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4235" windowHeight="9720" tabRatio="929" firstSheet="3" activeTab="6"/>
  </bookViews>
  <sheets>
    <sheet name="Entry data" sheetId="1" r:id="rId1"/>
    <sheet name="NHL PBP" sheetId="2" r:id="rId2"/>
    <sheet name="calc" sheetId="3" r:id="rId3"/>
    <sheet name="Entry list" sheetId="4" r:id="rId4"/>
    <sheet name="5v5 entries" sheetId="6" r:id="rId5"/>
    <sheet name="5v5 Entry stats" sheetId="7" r:id="rId6"/>
    <sheet name="For export" sheetId="8" r:id="rId7"/>
    <sheet name="Entries" sheetId="13" r:id="rId8"/>
    <sheet name="Home Lines" sheetId="11" r:id="rId9"/>
    <sheet name="Road Lines" sheetId="12" r:id="rId10"/>
    <sheet name="Home Defense" sheetId="9" r:id="rId11"/>
    <sheet name="Away Defense" sheetId="10" r:id="rId12"/>
  </sheets>
  <definedNames>
    <definedName name="PL020064_" localSheetId="1">'NHL PBP'!$A$1:$AH$713</definedName>
  </definedNames>
  <calcPr calcId="145621"/>
</workbook>
</file>

<file path=xl/calcChain.xml><?xml version="1.0" encoding="utf-8"?>
<calcChain xmlns="http://schemas.openxmlformats.org/spreadsheetml/2006/main">
  <c r="B14" i="13" l="1"/>
  <c r="B13" i="13"/>
  <c r="B12" i="13"/>
  <c r="C6" i="13"/>
  <c r="C11" i="13"/>
  <c r="B11" i="13"/>
  <c r="K33" i="12"/>
  <c r="G601" i="6" l="1"/>
  <c r="K6" i="3"/>
  <c r="K10" i="3"/>
  <c r="K14" i="3"/>
  <c r="K17" i="3"/>
  <c r="K28" i="3"/>
  <c r="K29" i="3"/>
  <c r="K31" i="3"/>
  <c r="K34" i="3"/>
  <c r="K35" i="3"/>
  <c r="K38" i="3"/>
  <c r="K48" i="3"/>
  <c r="K56" i="3"/>
  <c r="K57" i="3"/>
  <c r="K70" i="3"/>
  <c r="K72" i="3"/>
  <c r="K75" i="3"/>
  <c r="K76" i="3"/>
  <c r="K82" i="3"/>
  <c r="K83" i="3"/>
  <c r="K85" i="3"/>
  <c r="K88" i="3"/>
  <c r="K89" i="3"/>
  <c r="K92" i="3"/>
  <c r="K95" i="3"/>
  <c r="K96" i="3"/>
  <c r="K98" i="3"/>
  <c r="K99" i="3"/>
  <c r="K100" i="3"/>
  <c r="K102" i="3"/>
  <c r="K103" i="3"/>
  <c r="K105" i="3"/>
  <c r="K107" i="3"/>
  <c r="K108" i="3"/>
  <c r="K109" i="3"/>
  <c r="K112" i="3"/>
  <c r="K114" i="3"/>
  <c r="K125" i="3"/>
  <c r="K126" i="3"/>
  <c r="K128" i="3"/>
  <c r="K130" i="3"/>
  <c r="K132" i="3"/>
  <c r="K136" i="3"/>
  <c r="K139" i="3"/>
  <c r="K145" i="3"/>
  <c r="K146" i="3"/>
  <c r="K147" i="3"/>
  <c r="K151" i="3"/>
  <c r="K152" i="3"/>
  <c r="K157" i="3"/>
  <c r="K160" i="3"/>
  <c r="K164" i="3"/>
  <c r="K166" i="3"/>
  <c r="K169" i="3"/>
  <c r="K170" i="3"/>
  <c r="K173" i="3"/>
  <c r="K174" i="3"/>
  <c r="K183" i="3"/>
  <c r="K185" i="3"/>
  <c r="K187" i="3"/>
  <c r="K190" i="3"/>
  <c r="K199" i="3"/>
  <c r="K200" i="3"/>
  <c r="K202" i="3"/>
  <c r="K204" i="3"/>
  <c r="K206" i="3"/>
  <c r="K207" i="3"/>
  <c r="K213" i="3"/>
  <c r="K217" i="3"/>
  <c r="K221" i="3"/>
  <c r="K222" i="3"/>
  <c r="K227" i="3"/>
  <c r="K228" i="3"/>
  <c r="K232" i="3"/>
  <c r="K234" i="3"/>
  <c r="K237" i="3"/>
  <c r="K239" i="3"/>
  <c r="K243" i="3"/>
  <c r="K244" i="3"/>
  <c r="K248" i="3"/>
  <c r="K249" i="3"/>
  <c r="K250" i="3"/>
  <c r="K256" i="3"/>
  <c r="K258" i="3"/>
  <c r="K259" i="3"/>
  <c r="K267" i="3"/>
  <c r="K271" i="3"/>
  <c r="K272" i="3"/>
  <c r="K275" i="3"/>
  <c r="K276" i="3"/>
  <c r="K277" i="3"/>
  <c r="K281" i="3"/>
  <c r="K284" i="3"/>
  <c r="K289" i="3"/>
  <c r="K291" i="3"/>
  <c r="K295" i="3"/>
  <c r="K296" i="3"/>
  <c r="K299" i="3"/>
  <c r="K300" i="3"/>
  <c r="K301" i="3"/>
  <c r="K305" i="3"/>
  <c r="K310" i="3"/>
  <c r="K312" i="3"/>
  <c r="K317" i="3"/>
  <c r="K318" i="3"/>
  <c r="K319" i="3"/>
  <c r="K323" i="3"/>
  <c r="K329" i="3"/>
  <c r="K333" i="3"/>
  <c r="K334" i="3"/>
  <c r="K335" i="3"/>
  <c r="K337" i="3"/>
  <c r="K341" i="3"/>
  <c r="K342" i="3"/>
  <c r="K344" i="3"/>
  <c r="K345" i="3"/>
  <c r="K346" i="3"/>
  <c r="K349" i="3"/>
  <c r="K351" i="3"/>
  <c r="K354" i="3"/>
  <c r="K357" i="3"/>
  <c r="K358" i="3"/>
  <c r="K360" i="3"/>
  <c r="K361" i="3"/>
  <c r="K363" i="3"/>
  <c r="K365" i="3"/>
  <c r="K367" i="3"/>
  <c r="K373" i="3"/>
  <c r="K376" i="3"/>
  <c r="K377" i="3"/>
  <c r="K378" i="3"/>
  <c r="K379" i="3"/>
  <c r="K381" i="3"/>
  <c r="K384" i="3"/>
  <c r="K387" i="3"/>
  <c r="K388" i="3"/>
  <c r="K392" i="3"/>
  <c r="K396" i="3"/>
  <c r="K397" i="3"/>
  <c r="K404" i="3"/>
  <c r="K405" i="3"/>
  <c r="K415" i="3"/>
  <c r="K416" i="3"/>
  <c r="K418" i="3"/>
  <c r="K419" i="3"/>
  <c r="K421" i="3"/>
  <c r="K423" i="3"/>
  <c r="K424" i="3"/>
  <c r="K426" i="3"/>
  <c r="K427" i="3"/>
  <c r="K431" i="3"/>
  <c r="K433" i="3"/>
  <c r="K434" i="3"/>
  <c r="K43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4" i="3"/>
  <c r="J6" i="3"/>
  <c r="J10" i="3"/>
  <c r="J14" i="3"/>
  <c r="J17" i="3"/>
  <c r="J28" i="3"/>
  <c r="J29" i="3"/>
  <c r="J31" i="3"/>
  <c r="J34" i="3"/>
  <c r="J35" i="3"/>
  <c r="J38" i="3"/>
  <c r="J48" i="3"/>
  <c r="J56" i="3"/>
  <c r="J57" i="3"/>
  <c r="J70" i="3"/>
  <c r="J72" i="3"/>
  <c r="J75" i="3"/>
  <c r="J76" i="3"/>
  <c r="J82" i="3"/>
  <c r="J83" i="3"/>
  <c r="J85" i="3"/>
  <c r="J88" i="3"/>
  <c r="J89" i="3"/>
  <c r="J92" i="3"/>
  <c r="J95" i="3"/>
  <c r="J96" i="3"/>
  <c r="J98" i="3"/>
  <c r="J99" i="3"/>
  <c r="J100" i="3"/>
  <c r="J102" i="3"/>
  <c r="J103" i="3"/>
  <c r="J105" i="3"/>
  <c r="J107" i="3"/>
  <c r="J108" i="3"/>
  <c r="J109" i="3"/>
  <c r="J112" i="3"/>
  <c r="J114" i="3"/>
  <c r="J125" i="3"/>
  <c r="J126" i="3"/>
  <c r="J128" i="3"/>
  <c r="J130" i="3"/>
  <c r="J132" i="3"/>
  <c r="J136" i="3"/>
  <c r="J139" i="3"/>
  <c r="J145" i="3"/>
  <c r="J146" i="3"/>
  <c r="J147" i="3"/>
  <c r="J151" i="3"/>
  <c r="J152" i="3"/>
  <c r="J157" i="3"/>
  <c r="J160" i="3"/>
  <c r="J164" i="3"/>
  <c r="J166" i="3"/>
  <c r="J169" i="3"/>
  <c r="J170" i="3"/>
  <c r="J173" i="3"/>
  <c r="J174" i="3"/>
  <c r="J183" i="3"/>
  <c r="J185" i="3"/>
  <c r="J187" i="3"/>
  <c r="J190" i="3"/>
  <c r="J199" i="3"/>
  <c r="J200" i="3"/>
  <c r="J202" i="3"/>
  <c r="J204" i="3"/>
  <c r="J206" i="3"/>
  <c r="J207" i="3"/>
  <c r="J213" i="3"/>
  <c r="J217" i="3"/>
  <c r="J221" i="3"/>
  <c r="J222" i="3"/>
  <c r="J227" i="3"/>
  <c r="J228" i="3"/>
  <c r="J232" i="3"/>
  <c r="J234" i="3"/>
  <c r="J237" i="3"/>
  <c r="J239" i="3"/>
  <c r="J243" i="3"/>
  <c r="J244" i="3"/>
  <c r="J248" i="3"/>
  <c r="J249" i="3"/>
  <c r="J250" i="3"/>
  <c r="J256" i="3"/>
  <c r="J258" i="3"/>
  <c r="J259" i="3"/>
  <c r="J267" i="3"/>
  <c r="J271" i="3"/>
  <c r="J272" i="3"/>
  <c r="J275" i="3"/>
  <c r="J276" i="3"/>
  <c r="J277" i="3"/>
  <c r="J281" i="3"/>
  <c r="J284" i="3"/>
  <c r="J289" i="3"/>
  <c r="J291" i="3"/>
  <c r="J295" i="3"/>
  <c r="J296" i="3"/>
  <c r="J299" i="3"/>
  <c r="J300" i="3"/>
  <c r="J301" i="3"/>
  <c r="J305" i="3"/>
  <c r="J310" i="3"/>
  <c r="J312" i="3"/>
  <c r="J317" i="3"/>
  <c r="J318" i="3"/>
  <c r="J319" i="3"/>
  <c r="J323" i="3"/>
  <c r="J329" i="3"/>
  <c r="J333" i="3"/>
  <c r="J334" i="3"/>
  <c r="J335" i="3"/>
  <c r="J337" i="3"/>
  <c r="J341" i="3"/>
  <c r="J342" i="3"/>
  <c r="J344" i="3"/>
  <c r="J345" i="3"/>
  <c r="J346" i="3"/>
  <c r="J349" i="3"/>
  <c r="J351" i="3"/>
  <c r="J354" i="3"/>
  <c r="J357" i="3"/>
  <c r="J358" i="3"/>
  <c r="J360" i="3"/>
  <c r="J361" i="3"/>
  <c r="J363" i="3"/>
  <c r="J365" i="3"/>
  <c r="J367" i="3"/>
  <c r="J373" i="3"/>
  <c r="J376" i="3"/>
  <c r="J377" i="3"/>
  <c r="J378" i="3"/>
  <c r="J379" i="3"/>
  <c r="J381" i="3"/>
  <c r="J384" i="3"/>
  <c r="J387" i="3"/>
  <c r="J388" i="3"/>
  <c r="J392" i="3"/>
  <c r="J396" i="3"/>
  <c r="J397" i="3"/>
  <c r="J404" i="3"/>
  <c r="J405" i="3"/>
  <c r="J415" i="3"/>
  <c r="J416" i="3"/>
  <c r="J418" i="3"/>
  <c r="J419" i="3"/>
  <c r="J421" i="3"/>
  <c r="J423" i="3"/>
  <c r="J424" i="3"/>
  <c r="J426" i="3"/>
  <c r="J427" i="3"/>
  <c r="J431" i="3"/>
  <c r="J433" i="3"/>
  <c r="J434" i="3"/>
  <c r="J43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4" i="3"/>
  <c r="I6" i="3"/>
  <c r="I10" i="3"/>
  <c r="I14" i="3"/>
  <c r="I17" i="3"/>
  <c r="I28" i="3"/>
  <c r="I29" i="3"/>
  <c r="I31" i="3"/>
  <c r="I34" i="3"/>
  <c r="I35" i="3"/>
  <c r="I38" i="3"/>
  <c r="I48" i="3"/>
  <c r="I56" i="3"/>
  <c r="I57" i="3"/>
  <c r="I70" i="3"/>
  <c r="I72" i="3"/>
  <c r="I75" i="3"/>
  <c r="I76" i="3"/>
  <c r="I82" i="3"/>
  <c r="I83" i="3"/>
  <c r="I85" i="3"/>
  <c r="I88" i="3"/>
  <c r="I89" i="3"/>
  <c r="I92" i="3"/>
  <c r="I95" i="3"/>
  <c r="I96" i="3"/>
  <c r="I98" i="3"/>
  <c r="I99" i="3"/>
  <c r="I100" i="3"/>
  <c r="I102" i="3"/>
  <c r="I103" i="3"/>
  <c r="I105" i="3"/>
  <c r="I107" i="3"/>
  <c r="I108" i="3"/>
  <c r="I109" i="3"/>
  <c r="I112" i="3"/>
  <c r="I114" i="3"/>
  <c r="I125" i="3"/>
  <c r="I126" i="3"/>
  <c r="I128" i="3"/>
  <c r="I130" i="3"/>
  <c r="I132" i="3"/>
  <c r="I136" i="3"/>
  <c r="I139" i="3"/>
  <c r="I145" i="3"/>
  <c r="I146" i="3"/>
  <c r="I147" i="3"/>
  <c r="I151" i="3"/>
  <c r="I152" i="3"/>
  <c r="I157" i="3"/>
  <c r="I160" i="3"/>
  <c r="I164" i="3"/>
  <c r="I166" i="3"/>
  <c r="I169" i="3"/>
  <c r="I170" i="3"/>
  <c r="I173" i="3"/>
  <c r="I174" i="3"/>
  <c r="I183" i="3"/>
  <c r="I185" i="3"/>
  <c r="I187" i="3"/>
  <c r="I190" i="3"/>
  <c r="I199" i="3"/>
  <c r="I200" i="3"/>
  <c r="I202" i="3"/>
  <c r="I204" i="3"/>
  <c r="I206" i="3"/>
  <c r="I207" i="3"/>
  <c r="I213" i="3"/>
  <c r="I217" i="3"/>
  <c r="I221" i="3"/>
  <c r="I222" i="3"/>
  <c r="I227" i="3"/>
  <c r="I228" i="3"/>
  <c r="I232" i="3"/>
  <c r="I234" i="3"/>
  <c r="I237" i="3"/>
  <c r="I239" i="3"/>
  <c r="I243" i="3"/>
  <c r="I244" i="3"/>
  <c r="I248" i="3"/>
  <c r="I249" i="3"/>
  <c r="I250" i="3"/>
  <c r="I256" i="3"/>
  <c r="I258" i="3"/>
  <c r="I259" i="3"/>
  <c r="I267" i="3"/>
  <c r="I271" i="3"/>
  <c r="I272" i="3"/>
  <c r="I275" i="3"/>
  <c r="I276" i="3"/>
  <c r="I277" i="3"/>
  <c r="I281" i="3"/>
  <c r="I284" i="3"/>
  <c r="I289" i="3"/>
  <c r="I291" i="3"/>
  <c r="I295" i="3"/>
  <c r="I296" i="3"/>
  <c r="I299" i="3"/>
  <c r="I300" i="3"/>
  <c r="I301" i="3"/>
  <c r="I305" i="3"/>
  <c r="I310" i="3"/>
  <c r="I312" i="3"/>
  <c r="I317" i="3"/>
  <c r="I318" i="3"/>
  <c r="I319" i="3"/>
  <c r="I323" i="3"/>
  <c r="I329" i="3"/>
  <c r="I333" i="3"/>
  <c r="I334" i="3"/>
  <c r="I335" i="3"/>
  <c r="I337" i="3"/>
  <c r="I341" i="3"/>
  <c r="I342" i="3"/>
  <c r="I344" i="3"/>
  <c r="I345" i="3"/>
  <c r="I346" i="3"/>
  <c r="I349" i="3"/>
  <c r="I351" i="3"/>
  <c r="I354" i="3"/>
  <c r="I357" i="3"/>
  <c r="I358" i="3"/>
  <c r="I360" i="3"/>
  <c r="I361" i="3"/>
  <c r="I363" i="3"/>
  <c r="I365" i="3"/>
  <c r="I367" i="3"/>
  <c r="I373" i="3"/>
  <c r="I376" i="3"/>
  <c r="I377" i="3"/>
  <c r="I378" i="3"/>
  <c r="I379" i="3"/>
  <c r="I381" i="3"/>
  <c r="I384" i="3"/>
  <c r="I387" i="3"/>
  <c r="I388" i="3"/>
  <c r="I392" i="3"/>
  <c r="I396" i="3"/>
  <c r="I397" i="3"/>
  <c r="I404" i="3"/>
  <c r="I405" i="3"/>
  <c r="I415" i="3"/>
  <c r="I416" i="3"/>
  <c r="I418" i="3"/>
  <c r="I419" i="3"/>
  <c r="I421" i="3"/>
  <c r="I423" i="3"/>
  <c r="I424" i="3"/>
  <c r="I426" i="3"/>
  <c r="I427" i="3"/>
  <c r="I431" i="3"/>
  <c r="I433" i="3"/>
  <c r="I434" i="3"/>
  <c r="I43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4" i="3"/>
  <c r="H6" i="3"/>
  <c r="H10" i="3"/>
  <c r="H14" i="3"/>
  <c r="H17" i="3"/>
  <c r="H28" i="3"/>
  <c r="H29" i="3"/>
  <c r="H31" i="3"/>
  <c r="H34" i="3"/>
  <c r="H35" i="3"/>
  <c r="H38" i="3"/>
  <c r="H48" i="3"/>
  <c r="H56" i="3"/>
  <c r="H57" i="3"/>
  <c r="H70" i="3"/>
  <c r="H72" i="3"/>
  <c r="H75" i="3"/>
  <c r="H76" i="3"/>
  <c r="H82" i="3"/>
  <c r="H83" i="3"/>
  <c r="H85" i="3"/>
  <c r="H88" i="3"/>
  <c r="H89" i="3"/>
  <c r="H92" i="3"/>
  <c r="H95" i="3"/>
  <c r="H96" i="3"/>
  <c r="H98" i="3"/>
  <c r="H99" i="3"/>
  <c r="H100" i="3"/>
  <c r="H102" i="3"/>
  <c r="H103" i="3"/>
  <c r="H105" i="3"/>
  <c r="H107" i="3"/>
  <c r="H108" i="3"/>
  <c r="H109" i="3"/>
  <c r="H112" i="3"/>
  <c r="H114" i="3"/>
  <c r="H125" i="3"/>
  <c r="H126" i="3"/>
  <c r="H128" i="3"/>
  <c r="H130" i="3"/>
  <c r="H132" i="3"/>
  <c r="H136" i="3"/>
  <c r="H139" i="3"/>
  <c r="H145" i="3"/>
  <c r="H146" i="3"/>
  <c r="H147" i="3"/>
  <c r="H151" i="3"/>
  <c r="H152" i="3"/>
  <c r="H157" i="3"/>
  <c r="H160" i="3"/>
  <c r="H164" i="3"/>
  <c r="H166" i="3"/>
  <c r="H169" i="3"/>
  <c r="H170" i="3"/>
  <c r="H173" i="3"/>
  <c r="H174" i="3"/>
  <c r="H183" i="3"/>
  <c r="H185" i="3"/>
  <c r="H187" i="3"/>
  <c r="H190" i="3"/>
  <c r="H199" i="3"/>
  <c r="H200" i="3"/>
  <c r="H202" i="3"/>
  <c r="H204" i="3"/>
  <c r="H206" i="3"/>
  <c r="H207" i="3"/>
  <c r="H213" i="3"/>
  <c r="H217" i="3"/>
  <c r="H221" i="3"/>
  <c r="H222" i="3"/>
  <c r="H227" i="3"/>
  <c r="H228" i="3"/>
  <c r="H232" i="3"/>
  <c r="H234" i="3"/>
  <c r="H237" i="3"/>
  <c r="H239" i="3"/>
  <c r="H243" i="3"/>
  <c r="H244" i="3"/>
  <c r="H248" i="3"/>
  <c r="H249" i="3"/>
  <c r="H250" i="3"/>
  <c r="H256" i="3"/>
  <c r="H258" i="3"/>
  <c r="H259" i="3"/>
  <c r="H267" i="3"/>
  <c r="H271" i="3"/>
  <c r="H272" i="3"/>
  <c r="H275" i="3"/>
  <c r="H276" i="3"/>
  <c r="H277" i="3"/>
  <c r="H281" i="3"/>
  <c r="H284" i="3"/>
  <c r="H289" i="3"/>
  <c r="H291" i="3"/>
  <c r="H295" i="3"/>
  <c r="H296" i="3"/>
  <c r="H299" i="3"/>
  <c r="H300" i="3"/>
  <c r="H301" i="3"/>
  <c r="H305" i="3"/>
  <c r="H310" i="3"/>
  <c r="H312" i="3"/>
  <c r="H317" i="3"/>
  <c r="H318" i="3"/>
  <c r="H319" i="3"/>
  <c r="H323" i="3"/>
  <c r="H329" i="3"/>
  <c r="H333" i="3"/>
  <c r="H334" i="3"/>
  <c r="H335" i="3"/>
  <c r="H337" i="3"/>
  <c r="H341" i="3"/>
  <c r="H342" i="3"/>
  <c r="H344" i="3"/>
  <c r="H345" i="3"/>
  <c r="H346" i="3"/>
  <c r="H349" i="3"/>
  <c r="H351" i="3"/>
  <c r="H354" i="3"/>
  <c r="H357" i="3"/>
  <c r="H358" i="3"/>
  <c r="H360" i="3"/>
  <c r="H361" i="3"/>
  <c r="H363" i="3"/>
  <c r="H365" i="3"/>
  <c r="H367" i="3"/>
  <c r="H373" i="3"/>
  <c r="H376" i="3"/>
  <c r="H377" i="3"/>
  <c r="H378" i="3"/>
  <c r="H379" i="3"/>
  <c r="H381" i="3"/>
  <c r="H384" i="3"/>
  <c r="H387" i="3"/>
  <c r="H388" i="3"/>
  <c r="H392" i="3"/>
  <c r="H396" i="3"/>
  <c r="H397" i="3"/>
  <c r="H404" i="3"/>
  <c r="H405" i="3"/>
  <c r="H415" i="3"/>
  <c r="H416" i="3"/>
  <c r="H418" i="3"/>
  <c r="H419" i="3"/>
  <c r="H421" i="3"/>
  <c r="H423" i="3"/>
  <c r="H424" i="3"/>
  <c r="H426" i="3"/>
  <c r="H427" i="3"/>
  <c r="H431" i="3"/>
  <c r="H433" i="3"/>
  <c r="H434" i="3"/>
  <c r="H43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4" i="3"/>
  <c r="G6" i="3" l="1"/>
  <c r="G10" i="3"/>
  <c r="G14" i="3"/>
  <c r="G17" i="3"/>
  <c r="G28" i="3"/>
  <c r="G29" i="3"/>
  <c r="G31" i="3"/>
  <c r="G34" i="3"/>
  <c r="G35" i="3"/>
  <c r="G38" i="3"/>
  <c r="G48" i="3"/>
  <c r="G56" i="3"/>
  <c r="G57" i="3"/>
  <c r="G70" i="3"/>
  <c r="G72" i="3"/>
  <c r="G75" i="3"/>
  <c r="G76" i="3"/>
  <c r="G82" i="3"/>
  <c r="G83" i="3"/>
  <c r="G85" i="3"/>
  <c r="G88" i="3"/>
  <c r="G89" i="3"/>
  <c r="G92" i="3"/>
  <c r="G95" i="3"/>
  <c r="G96" i="3"/>
  <c r="G98" i="3"/>
  <c r="G99" i="3"/>
  <c r="G100" i="3"/>
  <c r="G102" i="3"/>
  <c r="G103" i="3"/>
  <c r="G105" i="3"/>
  <c r="G107" i="3"/>
  <c r="G108" i="3"/>
  <c r="G109" i="3"/>
  <c r="G112" i="3"/>
  <c r="G114" i="3"/>
  <c r="G125" i="3"/>
  <c r="G126" i="3"/>
  <c r="G128" i="3"/>
  <c r="G130" i="3"/>
  <c r="G132" i="3"/>
  <c r="G136" i="3"/>
  <c r="G139" i="3"/>
  <c r="G145" i="3"/>
  <c r="G146" i="3"/>
  <c r="G147" i="3"/>
  <c r="G151" i="3"/>
  <c r="G152" i="3"/>
  <c r="G157" i="3"/>
  <c r="G160" i="3"/>
  <c r="G164" i="3"/>
  <c r="G166" i="3"/>
  <c r="G169" i="3"/>
  <c r="G170" i="3"/>
  <c r="G173" i="3"/>
  <c r="G174" i="3"/>
  <c r="G183" i="3"/>
  <c r="G185" i="3"/>
  <c r="G187" i="3"/>
  <c r="G190" i="3"/>
  <c r="G199" i="3"/>
  <c r="G200" i="3"/>
  <c r="G202" i="3"/>
  <c r="G204" i="3"/>
  <c r="G206" i="3"/>
  <c r="G207" i="3"/>
  <c r="G213" i="3"/>
  <c r="G217" i="3"/>
  <c r="G221" i="3"/>
  <c r="G222" i="3"/>
  <c r="G227" i="3"/>
  <c r="G228" i="3"/>
  <c r="G232" i="3"/>
  <c r="G234" i="3"/>
  <c r="G237" i="3"/>
  <c r="G239" i="3"/>
  <c r="G243" i="3"/>
  <c r="G244" i="3"/>
  <c r="G248" i="3"/>
  <c r="G249" i="3"/>
  <c r="G250" i="3"/>
  <c r="G256" i="3"/>
  <c r="G258" i="3"/>
  <c r="G259" i="3"/>
  <c r="G267" i="3"/>
  <c r="G271" i="3"/>
  <c r="G272" i="3"/>
  <c r="G275" i="3"/>
  <c r="G276" i="3"/>
  <c r="G277" i="3"/>
  <c r="G281" i="3"/>
  <c r="G284" i="3"/>
  <c r="G289" i="3"/>
  <c r="G291" i="3"/>
  <c r="G295" i="3"/>
  <c r="G296" i="3"/>
  <c r="G299" i="3"/>
  <c r="G300" i="3"/>
  <c r="G301" i="3"/>
  <c r="G305" i="3"/>
  <c r="G310" i="3"/>
  <c r="G312" i="3"/>
  <c r="G317" i="3"/>
  <c r="G318" i="3"/>
  <c r="G319" i="3"/>
  <c r="G323" i="3"/>
  <c r="G329" i="3"/>
  <c r="G333" i="3"/>
  <c r="G334" i="3"/>
  <c r="G335" i="3"/>
  <c r="G337" i="3"/>
  <c r="G341" i="3"/>
  <c r="G342" i="3"/>
  <c r="G344" i="3"/>
  <c r="G345" i="3"/>
  <c r="G346" i="3"/>
  <c r="G349" i="3"/>
  <c r="G351" i="3"/>
  <c r="G354" i="3"/>
  <c r="G357" i="3"/>
  <c r="G358" i="3"/>
  <c r="G360" i="3"/>
  <c r="G361" i="3"/>
  <c r="G363" i="3"/>
  <c r="G365" i="3"/>
  <c r="G367" i="3"/>
  <c r="G373" i="3"/>
  <c r="G376" i="3"/>
  <c r="G377" i="3"/>
  <c r="G378" i="3"/>
  <c r="G379" i="3"/>
  <c r="G381" i="3"/>
  <c r="G384" i="3"/>
  <c r="G387" i="3"/>
  <c r="G388" i="3"/>
  <c r="G392" i="3"/>
  <c r="G396" i="3"/>
  <c r="G397" i="3"/>
  <c r="G404" i="3"/>
  <c r="G405" i="3"/>
  <c r="G415" i="3"/>
  <c r="G416" i="3"/>
  <c r="G418" i="3"/>
  <c r="G419" i="3"/>
  <c r="G421" i="3"/>
  <c r="G423" i="3"/>
  <c r="G424" i="3"/>
  <c r="G426" i="3"/>
  <c r="G427" i="3"/>
  <c r="G431" i="3"/>
  <c r="G433" i="3"/>
  <c r="G434" i="3"/>
  <c r="G43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4" i="3"/>
  <c r="F601" i="6" l="1"/>
  <c r="H601" i="6"/>
  <c r="J22" i="7" l="1"/>
  <c r="J23" i="7"/>
  <c r="L601" i="6" l="1"/>
  <c r="O601" i="6" s="1"/>
  <c r="R3" i="8" l="1"/>
  <c r="S3" i="8" s="1"/>
  <c r="R4" i="8"/>
  <c r="S4" i="8" s="1"/>
  <c r="R5" i="8"/>
  <c r="S5" i="8"/>
  <c r="R6" i="8"/>
  <c r="S6" i="8" s="1"/>
  <c r="R7" i="8"/>
  <c r="S7" i="8" s="1"/>
  <c r="R8" i="8"/>
  <c r="S8" i="8" s="1"/>
  <c r="R9" i="8"/>
  <c r="S9" i="8" s="1"/>
  <c r="R10" i="8"/>
  <c r="S10" i="8" s="1"/>
  <c r="R11" i="8"/>
  <c r="S11" i="8" s="1"/>
  <c r="R12" i="8"/>
  <c r="S12" i="8" s="1"/>
  <c r="R13" i="8"/>
  <c r="S13" i="8" s="1"/>
  <c r="R14" i="8"/>
  <c r="S14" i="8" s="1"/>
  <c r="R15" i="8"/>
  <c r="S15" i="8"/>
  <c r="R16" i="8"/>
  <c r="S16" i="8"/>
  <c r="R17" i="8"/>
  <c r="S17" i="8" s="1"/>
  <c r="R18" i="8"/>
  <c r="S18" i="8" s="1"/>
  <c r="R19" i="8"/>
  <c r="S19" i="8" s="1"/>
  <c r="R20" i="8"/>
  <c r="S20" i="8" s="1"/>
  <c r="R21" i="8"/>
  <c r="S21" i="8" s="1"/>
  <c r="R22" i="8"/>
  <c r="S22" i="8" s="1"/>
  <c r="R23" i="8"/>
  <c r="S23" i="8"/>
  <c r="R24" i="8"/>
  <c r="S24" i="8"/>
  <c r="R25" i="8"/>
  <c r="S25" i="8"/>
  <c r="R26" i="8"/>
  <c r="S26" i="8"/>
  <c r="R27" i="8"/>
  <c r="S27" i="8"/>
  <c r="R28" i="8"/>
  <c r="S28" i="8" s="1"/>
  <c r="R29" i="8"/>
  <c r="S29" i="8" s="1"/>
  <c r="R30" i="8"/>
  <c r="S30" i="8"/>
  <c r="R31" i="8"/>
  <c r="S31" i="8" s="1"/>
  <c r="R32" i="8"/>
  <c r="S32" i="8" s="1"/>
  <c r="R33" i="8"/>
  <c r="S33" i="8" s="1"/>
  <c r="R34" i="8"/>
  <c r="S34" i="8" s="1"/>
  <c r="R35" i="8"/>
  <c r="S35" i="8" s="1"/>
  <c r="R36" i="8"/>
  <c r="S36" i="8" s="1"/>
  <c r="R37" i="8"/>
  <c r="S37" i="8" s="1"/>
  <c r="R38" i="8"/>
  <c r="S38" i="8" s="1"/>
  <c r="R39" i="8"/>
  <c r="S39" i="8"/>
  <c r="R40" i="8"/>
  <c r="S40" i="8"/>
  <c r="R41" i="8"/>
  <c r="S41" i="8" s="1"/>
  <c r="R42" i="8"/>
  <c r="S42" i="8" s="1"/>
  <c r="R43" i="8"/>
  <c r="S43" i="8" s="1"/>
  <c r="R44" i="8"/>
  <c r="S44" i="8"/>
  <c r="R45" i="8"/>
  <c r="S45" i="8"/>
  <c r="R46" i="8"/>
  <c r="S46" i="8"/>
  <c r="R47" i="8"/>
  <c r="S47" i="8"/>
  <c r="R48" i="8"/>
  <c r="S48" i="8" s="1"/>
  <c r="R49" i="8"/>
  <c r="S49" i="8" s="1"/>
  <c r="R50" i="8"/>
  <c r="S50" i="8" s="1"/>
  <c r="R51" i="8"/>
  <c r="S51" i="8" s="1"/>
  <c r="R52" i="8"/>
  <c r="S52" i="8" s="1"/>
  <c r="R53" i="8"/>
  <c r="S53" i="8"/>
  <c r="R54" i="8"/>
  <c r="S54" i="8"/>
  <c r="R55" i="8"/>
  <c r="S55" i="8" s="1"/>
  <c r="R56" i="8"/>
  <c r="S56" i="8" s="1"/>
  <c r="R57" i="8"/>
  <c r="S57" i="8" s="1"/>
  <c r="R58" i="8"/>
  <c r="S58" i="8" s="1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 s="1"/>
  <c r="R68" i="8"/>
  <c r="S68" i="8"/>
  <c r="R69" i="8"/>
  <c r="S69" i="8"/>
  <c r="R70" i="8"/>
  <c r="S70" i="8" s="1"/>
  <c r="R71" i="8"/>
  <c r="S71" i="8" s="1"/>
  <c r="R72" i="8"/>
  <c r="S72" i="8" s="1"/>
  <c r="R73" i="8"/>
  <c r="S73" i="8"/>
  <c r="R74" i="8"/>
  <c r="S74" i="8"/>
  <c r="R75" i="8"/>
  <c r="S75" i="8" s="1"/>
  <c r="R76" i="8"/>
  <c r="S76" i="8" s="1"/>
  <c r="R77" i="8"/>
  <c r="S77" i="8"/>
  <c r="R78" i="8"/>
  <c r="S78" i="8"/>
  <c r="R79" i="8"/>
  <c r="S79" i="8"/>
  <c r="R80" i="8"/>
  <c r="S80" i="8" s="1"/>
  <c r="R81" i="8"/>
  <c r="S81" i="8" s="1"/>
  <c r="R82" i="8"/>
  <c r="S82" i="8" s="1"/>
  <c r="R83" i="8"/>
  <c r="S83" i="8" s="1"/>
  <c r="R84" i="8"/>
  <c r="S84" i="8" s="1"/>
  <c r="R85" i="8"/>
  <c r="S85" i="8" s="1"/>
  <c r="R86" i="8"/>
  <c r="S86" i="8"/>
  <c r="R87" i="8"/>
  <c r="S87" i="8"/>
  <c r="R88" i="8"/>
  <c r="S88" i="8" s="1"/>
  <c r="R89" i="8"/>
  <c r="S89" i="8" s="1"/>
  <c r="R90" i="8"/>
  <c r="S90" i="8"/>
  <c r="R91" i="8"/>
  <c r="S91" i="8"/>
  <c r="R92" i="8"/>
  <c r="S92" i="8" s="1"/>
  <c r="R93" i="8"/>
  <c r="S93" i="8" s="1"/>
  <c r="R94" i="8"/>
  <c r="S94" i="8" s="1"/>
  <c r="R95" i="8"/>
  <c r="S95" i="8" s="1"/>
  <c r="R96" i="8"/>
  <c r="S96" i="8" s="1"/>
  <c r="R97" i="8"/>
  <c r="S97" i="8" s="1"/>
  <c r="R98" i="8"/>
  <c r="S98" i="8" s="1"/>
  <c r="R99" i="8"/>
  <c r="S99" i="8" s="1"/>
  <c r="R100" i="8"/>
  <c r="S100" i="8" s="1"/>
  <c r="R101" i="8"/>
  <c r="S101" i="8"/>
  <c r="R102" i="8"/>
  <c r="S102" i="8" s="1"/>
  <c r="R103" i="8"/>
  <c r="S103" i="8" s="1"/>
  <c r="R104" i="8"/>
  <c r="S104" i="8"/>
  <c r="R105" i="8"/>
  <c r="S105" i="8" s="1"/>
  <c r="R106" i="8"/>
  <c r="S106" i="8" s="1"/>
  <c r="R107" i="8"/>
  <c r="S107" i="8" s="1"/>
  <c r="R108" i="8"/>
  <c r="S108" i="8" s="1"/>
  <c r="R109" i="8"/>
  <c r="S109" i="8" s="1"/>
  <c r="R110" i="8"/>
  <c r="S110" i="8"/>
  <c r="R111" i="8"/>
  <c r="S111" i="8"/>
  <c r="R112" i="8"/>
  <c r="S112" i="8" s="1"/>
  <c r="R113" i="8"/>
  <c r="S113" i="8" s="1"/>
  <c r="R114" i="8"/>
  <c r="S114" i="8" s="1"/>
  <c r="R115" i="8"/>
  <c r="S115" i="8"/>
  <c r="R116" i="8"/>
  <c r="S116" i="8"/>
  <c r="R117" i="8"/>
  <c r="S117" i="8"/>
  <c r="R118" i="8"/>
  <c r="S118" i="8"/>
  <c r="R119" i="8"/>
  <c r="S119" i="8" s="1"/>
  <c r="R120" i="8"/>
  <c r="S120" i="8" s="1"/>
  <c r="R121" i="8"/>
  <c r="S121" i="8" s="1"/>
  <c r="R122" i="8"/>
  <c r="S122" i="8"/>
  <c r="R123" i="8"/>
  <c r="S123" i="8"/>
  <c r="R124" i="8"/>
  <c r="S124" i="8" s="1"/>
  <c r="R125" i="8"/>
  <c r="S125" i="8" s="1"/>
  <c r="R126" i="8"/>
  <c r="S126" i="8" s="1"/>
  <c r="R127" i="8"/>
  <c r="S127" i="8" s="1"/>
  <c r="R128" i="8"/>
  <c r="S128" i="8" s="1"/>
  <c r="R129" i="8"/>
  <c r="S129" i="8"/>
  <c r="R130" i="8"/>
  <c r="S130" i="8" s="1"/>
  <c r="R131" i="8"/>
  <c r="S131" i="8" s="1"/>
  <c r="R132" i="8"/>
  <c r="S132" i="8" s="1"/>
  <c r="R133" i="8"/>
  <c r="S133" i="8"/>
  <c r="R134" i="8"/>
  <c r="S134" i="8"/>
  <c r="R135" i="8"/>
  <c r="S135" i="8" s="1"/>
  <c r="R136" i="8"/>
  <c r="S136" i="8" s="1"/>
  <c r="R137" i="8"/>
  <c r="S137" i="8"/>
  <c r="R138" i="8"/>
  <c r="S138" i="8"/>
  <c r="R139" i="8"/>
  <c r="S139" i="8" s="1"/>
  <c r="R140" i="8"/>
  <c r="S140" i="8" s="1"/>
  <c r="R141" i="8"/>
  <c r="S141" i="8" s="1"/>
  <c r="R142" i="8"/>
  <c r="S142" i="8" s="1"/>
  <c r="R143" i="8"/>
  <c r="S143" i="8" s="1"/>
  <c r="R144" i="8"/>
  <c r="S144" i="8" s="1"/>
  <c r="R145" i="8"/>
  <c r="S145" i="8" s="1"/>
  <c r="R146" i="8"/>
  <c r="S146" i="8" s="1"/>
  <c r="R147" i="8"/>
  <c r="S147" i="8" s="1"/>
  <c r="R148" i="8"/>
  <c r="S148" i="8"/>
  <c r="R149" i="8"/>
  <c r="S149" i="8"/>
  <c r="R150" i="8"/>
  <c r="S150" i="8"/>
  <c r="R151" i="8"/>
  <c r="S151" i="8" s="1"/>
  <c r="R152" i="8"/>
  <c r="S152" i="8" s="1"/>
  <c r="R153" i="8"/>
  <c r="S153" i="8"/>
  <c r="R154" i="8"/>
  <c r="S154" i="8"/>
  <c r="R155" i="8"/>
  <c r="S155" i="8"/>
  <c r="R156" i="8"/>
  <c r="S156" i="8"/>
  <c r="R157" i="8"/>
  <c r="S157" i="8" s="1"/>
  <c r="R158" i="8"/>
  <c r="S158" i="8" s="1"/>
  <c r="R159" i="8"/>
  <c r="S159" i="8" s="1"/>
  <c r="R160" i="8"/>
  <c r="S160" i="8" s="1"/>
  <c r="R161" i="8"/>
  <c r="S161" i="8"/>
  <c r="R162" i="8"/>
  <c r="S162" i="8"/>
  <c r="R163" i="8"/>
  <c r="S163" i="8"/>
  <c r="R164" i="8"/>
  <c r="S164" i="8" s="1"/>
  <c r="R165" i="8"/>
  <c r="S165" i="8" s="1"/>
  <c r="R166" i="8"/>
  <c r="S166" i="8" s="1"/>
  <c r="R167" i="8"/>
  <c r="S167" i="8"/>
  <c r="R168" i="8"/>
  <c r="S168" i="8"/>
  <c r="R169" i="8"/>
  <c r="S169" i="8" s="1"/>
  <c r="R170" i="8"/>
  <c r="S170" i="8" s="1"/>
  <c r="R171" i="8"/>
  <c r="S171" i="8"/>
  <c r="R172" i="8"/>
  <c r="S172" i="8"/>
  <c r="R173" i="8"/>
  <c r="S173" i="8" s="1"/>
  <c r="R174" i="8"/>
  <c r="S174" i="8" s="1"/>
  <c r="R175" i="8"/>
  <c r="S175" i="8"/>
  <c r="R176" i="8"/>
  <c r="S176" i="8"/>
  <c r="R177" i="8"/>
  <c r="S177" i="8"/>
  <c r="R178" i="8"/>
  <c r="S178" i="8"/>
  <c r="R179" i="8"/>
  <c r="S179" i="8"/>
  <c r="R180" i="8"/>
  <c r="S180" i="8"/>
  <c r="R181" i="8"/>
  <c r="S181" i="8"/>
  <c r="R182" i="8"/>
  <c r="S182" i="8" s="1"/>
  <c r="R183" i="8"/>
  <c r="S183" i="8" s="1"/>
  <c r="R184" i="8"/>
  <c r="S184" i="8"/>
  <c r="R185" i="8"/>
  <c r="S185" i="8" s="1"/>
  <c r="R186" i="8"/>
  <c r="S186" i="8" s="1"/>
  <c r="R187" i="8"/>
  <c r="S187" i="8" s="1"/>
  <c r="R188" i="8"/>
  <c r="S188" i="8"/>
  <c r="R189" i="8"/>
  <c r="S189" i="8"/>
  <c r="R190" i="8"/>
  <c r="S190" i="8" s="1"/>
  <c r="R191" i="8"/>
  <c r="S191" i="8"/>
  <c r="R192" i="8"/>
  <c r="S192" i="8"/>
  <c r="R193" i="8"/>
  <c r="S193" i="8" s="1"/>
  <c r="R194" i="8"/>
  <c r="S194" i="8"/>
  <c r="R195" i="8"/>
  <c r="S195" i="8"/>
  <c r="R196" i="8"/>
  <c r="S196" i="8"/>
  <c r="R197" i="8"/>
  <c r="S197" i="8"/>
  <c r="R198" i="8"/>
  <c r="S198" i="8"/>
  <c r="R199" i="8"/>
  <c r="S199" i="8" s="1"/>
  <c r="R200" i="8"/>
  <c r="S200" i="8" s="1"/>
  <c r="R201" i="8"/>
  <c r="S201" i="8"/>
  <c r="R202" i="8"/>
  <c r="S202" i="8" s="1"/>
  <c r="R203" i="8"/>
  <c r="S203" i="8"/>
  <c r="R204" i="8"/>
  <c r="S204" i="8" s="1"/>
  <c r="R205" i="8"/>
  <c r="S205" i="8"/>
  <c r="R206" i="8"/>
  <c r="S206" i="8" s="1"/>
  <c r="R207" i="8"/>
  <c r="S207" i="8" s="1"/>
  <c r="R208" i="8"/>
  <c r="S208" i="8"/>
  <c r="R209" i="8"/>
  <c r="S209" i="8"/>
  <c r="R210" i="8"/>
  <c r="S210" i="8" s="1"/>
  <c r="R211" i="8"/>
  <c r="S211" i="8"/>
  <c r="R212" i="8"/>
  <c r="S212" i="8"/>
  <c r="R213" i="8"/>
  <c r="S213" i="8" s="1"/>
  <c r="R214" i="8"/>
  <c r="S214" i="8"/>
  <c r="R215" i="8"/>
  <c r="S215" i="8"/>
  <c r="R216" i="8"/>
  <c r="S216" i="8" s="1"/>
  <c r="R217" i="8"/>
  <c r="S217" i="8" s="1"/>
  <c r="R218" i="8"/>
  <c r="S218" i="8"/>
  <c r="R219" i="8"/>
  <c r="S219" i="8"/>
  <c r="R220" i="8"/>
  <c r="S220" i="8"/>
  <c r="R221" i="8"/>
  <c r="S221" i="8" s="1"/>
  <c r="R222" i="8"/>
  <c r="S222" i="8" s="1"/>
  <c r="R223" i="8"/>
  <c r="S223" i="8"/>
  <c r="R224" i="8"/>
  <c r="S224" i="8"/>
  <c r="R225" i="8"/>
  <c r="S225" i="8"/>
  <c r="R226" i="8"/>
  <c r="S226" i="8" s="1"/>
  <c r="R227" i="8"/>
  <c r="S227" i="8" s="1"/>
  <c r="R228" i="8"/>
  <c r="S228" i="8" s="1"/>
  <c r="R229" i="8"/>
  <c r="S229" i="8"/>
  <c r="R230" i="8"/>
  <c r="S230" i="8"/>
  <c r="R231" i="8"/>
  <c r="S231" i="8"/>
  <c r="R232" i="8"/>
  <c r="S232" i="8" s="1"/>
  <c r="R233" i="8"/>
  <c r="S233" i="8"/>
  <c r="R234" i="8"/>
  <c r="S234" i="8" s="1"/>
  <c r="R235" i="8"/>
  <c r="S235" i="8"/>
  <c r="R236" i="8"/>
  <c r="S236" i="8"/>
  <c r="R237" i="8"/>
  <c r="S237" i="8" s="1"/>
  <c r="R238" i="8"/>
  <c r="S238" i="8"/>
  <c r="R239" i="8"/>
  <c r="S239" i="8" s="1"/>
  <c r="R240" i="8"/>
  <c r="S240" i="8"/>
  <c r="R241" i="8"/>
  <c r="S241" i="8"/>
  <c r="R242" i="8"/>
  <c r="S242" i="8" s="1"/>
  <c r="R243" i="8"/>
  <c r="S243" i="8" s="1"/>
  <c r="R244" i="8"/>
  <c r="S244" i="8" s="1"/>
  <c r="R245" i="8"/>
  <c r="S245" i="8"/>
  <c r="R246" i="8"/>
  <c r="S246" i="8"/>
  <c r="R247" i="8"/>
  <c r="S247" i="8" s="1"/>
  <c r="R248" i="8"/>
  <c r="S248" i="8" s="1"/>
  <c r="R249" i="8"/>
  <c r="S249" i="8" s="1"/>
  <c r="R250" i="8"/>
  <c r="S250" i="8" s="1"/>
  <c r="R251" i="8"/>
  <c r="S251" i="8"/>
  <c r="R252" i="8"/>
  <c r="S252" i="8"/>
  <c r="R253" i="8"/>
  <c r="S253" i="8"/>
  <c r="R254" i="8"/>
  <c r="S254" i="8"/>
  <c r="R255" i="8"/>
  <c r="S255" i="8" s="1"/>
  <c r="R256" i="8"/>
  <c r="S256" i="8" s="1"/>
  <c r="R257" i="8"/>
  <c r="S257" i="8"/>
  <c r="R258" i="8"/>
  <c r="S258" i="8" s="1"/>
  <c r="R259" i="8"/>
  <c r="S259" i="8" s="1"/>
  <c r="R260" i="8"/>
  <c r="S260" i="8" s="1"/>
  <c r="R261" i="8"/>
  <c r="S261" i="8"/>
  <c r="R262" i="8"/>
  <c r="S262" i="8"/>
  <c r="R263" i="8"/>
  <c r="S263" i="8"/>
  <c r="R264" i="8"/>
  <c r="S264" i="8"/>
  <c r="R265" i="8"/>
  <c r="S265" i="8"/>
  <c r="R266" i="8"/>
  <c r="S266" i="8"/>
  <c r="R267" i="8"/>
  <c r="S267" i="8" s="1"/>
  <c r="R268" i="8"/>
  <c r="S268" i="8"/>
  <c r="R269" i="8"/>
  <c r="S269" i="8"/>
  <c r="R270" i="8"/>
  <c r="S270" i="8"/>
  <c r="R271" i="8"/>
  <c r="S271" i="8" s="1"/>
  <c r="R272" i="8"/>
  <c r="S272" i="8" s="1"/>
  <c r="R273" i="8"/>
  <c r="S273" i="8"/>
  <c r="R274" i="8"/>
  <c r="S274" i="8"/>
  <c r="R275" i="8"/>
  <c r="S275" i="8" s="1"/>
  <c r="R276" i="8"/>
  <c r="S276" i="8" s="1"/>
  <c r="R277" i="8"/>
  <c r="S277" i="8" s="1"/>
  <c r="R278" i="8"/>
  <c r="S278" i="8"/>
  <c r="R279" i="8"/>
  <c r="S279" i="8" s="1"/>
  <c r="R280" i="8"/>
  <c r="S280" i="8"/>
  <c r="R281" i="8"/>
  <c r="S281" i="8" s="1"/>
  <c r="R282" i="8"/>
  <c r="S282" i="8"/>
  <c r="R283" i="8"/>
  <c r="S283" i="8" s="1"/>
  <c r="R284" i="8"/>
  <c r="S284" i="8" s="1"/>
  <c r="R285" i="8"/>
  <c r="S285" i="8"/>
  <c r="R286" i="8"/>
  <c r="S286" i="8"/>
  <c r="R287" i="8"/>
  <c r="S287" i="8" s="1"/>
  <c r="R288" i="8"/>
  <c r="S288" i="8"/>
  <c r="R289" i="8"/>
  <c r="S289" i="8" s="1"/>
  <c r="R290" i="8"/>
  <c r="S290" i="8"/>
  <c r="R291" i="8"/>
  <c r="S291" i="8" s="1"/>
  <c r="R292" i="8"/>
  <c r="S292" i="8"/>
  <c r="R293" i="8"/>
  <c r="S293" i="8"/>
  <c r="R294" i="8"/>
  <c r="S294" i="8" s="1"/>
  <c r="R295" i="8"/>
  <c r="S295" i="8" s="1"/>
  <c r="R296" i="8"/>
  <c r="S296" i="8" s="1"/>
  <c r="R297" i="8"/>
  <c r="S297" i="8"/>
  <c r="R298" i="8"/>
  <c r="S298" i="8"/>
  <c r="R299" i="8"/>
  <c r="S299" i="8" s="1"/>
  <c r="R300" i="8"/>
  <c r="S300" i="8" s="1"/>
  <c r="R301" i="8"/>
  <c r="S301" i="8" s="1"/>
  <c r="R302" i="8"/>
  <c r="S302" i="8"/>
  <c r="R303" i="8"/>
  <c r="S303" i="8"/>
  <c r="R304" i="8"/>
  <c r="S304" i="8"/>
  <c r="R305" i="8"/>
  <c r="S305" i="8" s="1"/>
  <c r="R306" i="8"/>
  <c r="S306" i="8"/>
  <c r="R307" i="8"/>
  <c r="S307" i="8"/>
  <c r="R308" i="8"/>
  <c r="S308" i="8"/>
  <c r="R309" i="8"/>
  <c r="S309" i="8"/>
  <c r="R310" i="8"/>
  <c r="S310" i="8" s="1"/>
  <c r="R311" i="8"/>
  <c r="S311" i="8"/>
  <c r="R312" i="8"/>
  <c r="S312" i="8" s="1"/>
  <c r="R313" i="8"/>
  <c r="S313" i="8"/>
  <c r="R314" i="8"/>
  <c r="S314" i="8"/>
  <c r="R315" i="8"/>
  <c r="S315" i="8"/>
  <c r="R316" i="8"/>
  <c r="S316" i="8"/>
  <c r="R317" i="8"/>
  <c r="S317" i="8" s="1"/>
  <c r="R318" i="8"/>
  <c r="S318" i="8" s="1"/>
  <c r="R319" i="8"/>
  <c r="S319" i="8" s="1"/>
  <c r="R320" i="8"/>
  <c r="S320" i="8"/>
  <c r="R321" i="8"/>
  <c r="S321" i="8"/>
  <c r="R322" i="8"/>
  <c r="S322" i="8" s="1"/>
  <c r="R323" i="8"/>
  <c r="S323" i="8" s="1"/>
  <c r="R324" i="8"/>
  <c r="S324" i="8"/>
  <c r="R325" i="8"/>
  <c r="S325" i="8" s="1"/>
  <c r="R326" i="8"/>
  <c r="S326" i="8"/>
  <c r="R327" i="8"/>
  <c r="S327" i="8"/>
  <c r="R328" i="8"/>
  <c r="S328" i="8" s="1"/>
  <c r="R329" i="8"/>
  <c r="S329" i="8" s="1"/>
  <c r="R330" i="8"/>
  <c r="S330" i="8"/>
  <c r="R331" i="8"/>
  <c r="S331" i="8"/>
  <c r="R332" i="8"/>
  <c r="S332" i="8" s="1"/>
  <c r="R333" i="8"/>
  <c r="S333" i="8" s="1"/>
  <c r="R334" i="8"/>
  <c r="S334" i="8" s="1"/>
  <c r="R335" i="8"/>
  <c r="S335" i="8" s="1"/>
  <c r="R336" i="8"/>
  <c r="S336" i="8"/>
  <c r="R337" i="8"/>
  <c r="S337" i="8" s="1"/>
  <c r="R338" i="8"/>
  <c r="S338" i="8"/>
  <c r="R339" i="8"/>
  <c r="S339" i="8"/>
  <c r="R340" i="8"/>
  <c r="S340" i="8"/>
  <c r="R341" i="8"/>
  <c r="S341" i="8" s="1"/>
  <c r="R342" i="8"/>
  <c r="S342" i="8" s="1"/>
  <c r="R343" i="8"/>
  <c r="S343" i="8"/>
  <c r="R344" i="8"/>
  <c r="S344" i="8" s="1"/>
  <c r="R345" i="8"/>
  <c r="S345" i="8" s="1"/>
  <c r="R346" i="8"/>
  <c r="S346" i="8" s="1"/>
  <c r="R347" i="8"/>
  <c r="S347" i="8"/>
  <c r="R348" i="8"/>
  <c r="S348" i="8"/>
  <c r="R349" i="8"/>
  <c r="S349" i="8" s="1"/>
  <c r="R350" i="8"/>
  <c r="S350" i="8"/>
  <c r="R351" i="8"/>
  <c r="S351" i="8" s="1"/>
  <c r="R352" i="8"/>
  <c r="S352" i="8"/>
  <c r="R353" i="8"/>
  <c r="S353" i="8"/>
  <c r="R354" i="8"/>
  <c r="S354" i="8" s="1"/>
  <c r="R355" i="8"/>
  <c r="S355" i="8"/>
  <c r="R356" i="8"/>
  <c r="S356" i="8"/>
  <c r="R357" i="8"/>
  <c r="S357" i="8" s="1"/>
  <c r="R358" i="8"/>
  <c r="S358" i="8" s="1"/>
  <c r="R359" i="8"/>
  <c r="S359" i="8"/>
  <c r="R360" i="8"/>
  <c r="S360" i="8" s="1"/>
  <c r="R361" i="8"/>
  <c r="S361" i="8" s="1"/>
  <c r="R362" i="8"/>
  <c r="S362" i="8"/>
  <c r="R363" i="8"/>
  <c r="S363" i="8" s="1"/>
  <c r="R364" i="8"/>
  <c r="S364" i="8"/>
  <c r="R365" i="8"/>
  <c r="S365" i="8" s="1"/>
  <c r="R366" i="8"/>
  <c r="S366" i="8"/>
  <c r="R367" i="8"/>
  <c r="S367" i="8" s="1"/>
  <c r="R368" i="8"/>
  <c r="S368" i="8"/>
  <c r="R369" i="8"/>
  <c r="S369" i="8" s="1"/>
  <c r="R370" i="8"/>
  <c r="S370" i="8"/>
  <c r="R371" i="8"/>
  <c r="S371" i="8"/>
  <c r="R372" i="8"/>
  <c r="S372" i="8"/>
  <c r="R373" i="8"/>
  <c r="S373" i="8" s="1"/>
  <c r="R374" i="8"/>
  <c r="S374" i="8"/>
  <c r="R375" i="8"/>
  <c r="S375" i="8"/>
  <c r="R376" i="8"/>
  <c r="S376" i="8" s="1"/>
  <c r="R377" i="8"/>
  <c r="S377" i="8" s="1"/>
  <c r="R378" i="8"/>
  <c r="S378" i="8" s="1"/>
  <c r="R379" i="8"/>
  <c r="S379" i="8" s="1"/>
  <c r="R380" i="8"/>
  <c r="S380" i="8"/>
  <c r="R381" i="8"/>
  <c r="S381" i="8" s="1"/>
  <c r="R382" i="8"/>
  <c r="S382" i="8"/>
  <c r="R383" i="8"/>
  <c r="S383" i="8"/>
  <c r="R384" i="8"/>
  <c r="S384" i="8" s="1"/>
  <c r="R385" i="8"/>
  <c r="S385" i="8"/>
  <c r="R386" i="8"/>
  <c r="S386" i="8"/>
  <c r="R387" i="8"/>
  <c r="S387" i="8" s="1"/>
  <c r="R388" i="8"/>
  <c r="S388" i="8"/>
  <c r="R389" i="8"/>
  <c r="S389" i="8"/>
  <c r="R390" i="8"/>
  <c r="S390" i="8"/>
  <c r="R391" i="8"/>
  <c r="S391" i="8"/>
  <c r="R392" i="8"/>
  <c r="S392" i="8"/>
  <c r="R393" i="8"/>
  <c r="S393" i="8"/>
  <c r="R394" i="8"/>
  <c r="S394" i="8"/>
  <c r="R395" i="8"/>
  <c r="S395" i="8"/>
  <c r="R396" i="8"/>
  <c r="S396" i="8"/>
  <c r="R397" i="8"/>
  <c r="S397" i="8" s="1"/>
  <c r="R398" i="8"/>
  <c r="S398" i="8"/>
  <c r="R399" i="8"/>
  <c r="S399" i="8"/>
  <c r="R400" i="8"/>
  <c r="S400" i="8"/>
  <c r="R401" i="8"/>
  <c r="S401" i="8"/>
  <c r="R402" i="8"/>
  <c r="S402" i="8"/>
  <c r="R403" i="8"/>
  <c r="S403" i="8"/>
  <c r="R404" i="8"/>
  <c r="S404" i="8"/>
  <c r="R405" i="8"/>
  <c r="S405" i="8" s="1"/>
  <c r="R406" i="8"/>
  <c r="S406" i="8"/>
  <c r="R407" i="8"/>
  <c r="S407" i="8"/>
  <c r="R408" i="8"/>
  <c r="S408" i="8"/>
  <c r="R409" i="8"/>
  <c r="S409" i="8"/>
  <c r="R410" i="8"/>
  <c r="S410" i="8"/>
  <c r="R411" i="8"/>
  <c r="S411" i="8"/>
  <c r="R412" i="8"/>
  <c r="S412" i="8"/>
  <c r="R413" i="8"/>
  <c r="S413" i="8"/>
  <c r="R414" i="8"/>
  <c r="S414" i="8"/>
  <c r="R415" i="8"/>
  <c r="S415" i="8" s="1"/>
  <c r="R416" i="8"/>
  <c r="S416" i="8"/>
  <c r="R417" i="8"/>
  <c r="S417" i="8"/>
  <c r="R418" i="8"/>
  <c r="S418" i="8"/>
  <c r="R419" i="8"/>
  <c r="S419" i="8" s="1"/>
  <c r="R420" i="8"/>
  <c r="S420" i="8"/>
  <c r="R421" i="8"/>
  <c r="S421" i="8" s="1"/>
  <c r="R422" i="8"/>
  <c r="S422" i="8"/>
  <c r="R423" i="8"/>
  <c r="S423" i="8" s="1"/>
  <c r="R424" i="8"/>
  <c r="S424" i="8"/>
  <c r="R425" i="8"/>
  <c r="S425" i="8"/>
  <c r="R426" i="8"/>
  <c r="S426" i="8"/>
  <c r="R427" i="8"/>
  <c r="S427" i="8" s="1"/>
  <c r="R428" i="8"/>
  <c r="S428" i="8"/>
  <c r="R429" i="8"/>
  <c r="S429" i="8"/>
  <c r="R430" i="8"/>
  <c r="S430" i="8"/>
  <c r="R431" i="8"/>
  <c r="S431" i="8" s="1"/>
  <c r="R432" i="8"/>
  <c r="S432" i="8"/>
  <c r="R433" i="8"/>
  <c r="S433" i="8" s="1"/>
  <c r="R434" i="8"/>
  <c r="S434" i="8"/>
  <c r="R435" i="8"/>
  <c r="S435" i="8" s="1"/>
  <c r="R436" i="8"/>
  <c r="S436" i="8"/>
  <c r="R437" i="8"/>
  <c r="S437" i="8"/>
  <c r="R438" i="8"/>
  <c r="S438" i="8"/>
  <c r="R439" i="8"/>
  <c r="S439" i="8"/>
  <c r="R440" i="8"/>
  <c r="S440" i="8"/>
  <c r="R441" i="8"/>
  <c r="S441" i="8"/>
  <c r="R442" i="8"/>
  <c r="S442" i="8"/>
  <c r="R443" i="8"/>
  <c r="S443" i="8"/>
  <c r="R444" i="8"/>
  <c r="S444" i="8"/>
  <c r="R445" i="8"/>
  <c r="S445" i="8"/>
  <c r="R446" i="8"/>
  <c r="S446" i="8"/>
  <c r="R447" i="8"/>
  <c r="S447" i="8"/>
  <c r="R448" i="8"/>
  <c r="S448" i="8"/>
  <c r="R449" i="8"/>
  <c r="S449" i="8"/>
  <c r="R450" i="8"/>
  <c r="S450" i="8"/>
  <c r="R451" i="8"/>
  <c r="S451" i="8"/>
  <c r="R452" i="8"/>
  <c r="S452" i="8"/>
  <c r="R453" i="8"/>
  <c r="S453" i="8"/>
  <c r="R454" i="8"/>
  <c r="S454" i="8"/>
  <c r="R455" i="8"/>
  <c r="S455" i="8"/>
  <c r="R456" i="8"/>
  <c r="S456" i="8"/>
  <c r="R457" i="8"/>
  <c r="S457" i="8"/>
  <c r="R458" i="8"/>
  <c r="S458" i="8"/>
  <c r="R459" i="8"/>
  <c r="S459" i="8"/>
  <c r="R460" i="8"/>
  <c r="S460" i="8"/>
  <c r="R461" i="8"/>
  <c r="S461" i="8"/>
  <c r="R462" i="8"/>
  <c r="S462" i="8"/>
  <c r="R463" i="8"/>
  <c r="S463" i="8"/>
  <c r="R464" i="8"/>
  <c r="S464" i="8"/>
  <c r="R465" i="8"/>
  <c r="S465" i="8"/>
  <c r="R466" i="8"/>
  <c r="S466" i="8"/>
  <c r="R467" i="8"/>
  <c r="S467" i="8"/>
  <c r="R468" i="8"/>
  <c r="S468" i="8"/>
  <c r="R469" i="8"/>
  <c r="S469" i="8"/>
  <c r="R470" i="8"/>
  <c r="S470" i="8"/>
  <c r="R471" i="8"/>
  <c r="S471" i="8"/>
  <c r="R472" i="8"/>
  <c r="S472" i="8"/>
  <c r="R473" i="8"/>
  <c r="S473" i="8"/>
  <c r="R474" i="8"/>
  <c r="S474" i="8"/>
  <c r="R475" i="8"/>
  <c r="S475" i="8"/>
  <c r="R476" i="8"/>
  <c r="S476" i="8"/>
  <c r="R477" i="8"/>
  <c r="S477" i="8"/>
  <c r="R478" i="8"/>
  <c r="S478" i="8"/>
  <c r="R479" i="8"/>
  <c r="S479" i="8"/>
  <c r="R480" i="8"/>
  <c r="S480" i="8"/>
  <c r="R481" i="8"/>
  <c r="S481" i="8"/>
  <c r="R482" i="8"/>
  <c r="S482" i="8"/>
  <c r="R483" i="8"/>
  <c r="S483" i="8"/>
  <c r="R484" i="8"/>
  <c r="S484" i="8"/>
  <c r="R485" i="8"/>
  <c r="S485" i="8"/>
  <c r="R486" i="8"/>
  <c r="S486" i="8"/>
  <c r="R487" i="8"/>
  <c r="S487" i="8"/>
  <c r="R488" i="8"/>
  <c r="S488" i="8"/>
  <c r="R489" i="8"/>
  <c r="S489" i="8"/>
  <c r="R490" i="8"/>
  <c r="S490" i="8"/>
  <c r="R491" i="8"/>
  <c r="S491" i="8"/>
  <c r="R492" i="8"/>
  <c r="S492" i="8"/>
  <c r="R493" i="8"/>
  <c r="S493" i="8"/>
  <c r="R494" i="8"/>
  <c r="S494" i="8"/>
  <c r="R495" i="8"/>
  <c r="S495" i="8"/>
  <c r="R496" i="8"/>
  <c r="S496" i="8"/>
  <c r="R497" i="8"/>
  <c r="S497" i="8"/>
  <c r="R498" i="8"/>
  <c r="S498" i="8"/>
  <c r="R499" i="8"/>
  <c r="S499" i="8"/>
  <c r="R500" i="8"/>
  <c r="S500" i="8"/>
  <c r="R501" i="8"/>
  <c r="S501" i="8"/>
  <c r="R502" i="8"/>
  <c r="S502" i="8"/>
  <c r="R503" i="8"/>
  <c r="S503" i="8"/>
  <c r="R504" i="8"/>
  <c r="S504" i="8"/>
  <c r="R505" i="8"/>
  <c r="S505" i="8"/>
  <c r="R506" i="8"/>
  <c r="S506" i="8"/>
  <c r="R507" i="8"/>
  <c r="S507" i="8"/>
  <c r="R508" i="8"/>
  <c r="S508" i="8"/>
  <c r="R509" i="8"/>
  <c r="S509" i="8"/>
  <c r="R510" i="8"/>
  <c r="S510" i="8"/>
  <c r="R511" i="8"/>
  <c r="S511" i="8"/>
  <c r="R512" i="8"/>
  <c r="S512" i="8"/>
  <c r="R513" i="8"/>
  <c r="S513" i="8"/>
  <c r="R514" i="8"/>
  <c r="S514" i="8"/>
  <c r="R515" i="8"/>
  <c r="S515" i="8"/>
  <c r="R516" i="8"/>
  <c r="S516" i="8"/>
  <c r="R517" i="8"/>
  <c r="S517" i="8"/>
  <c r="R518" i="8"/>
  <c r="S518" i="8"/>
  <c r="R519" i="8"/>
  <c r="S519" i="8"/>
  <c r="R520" i="8"/>
  <c r="S520" i="8"/>
  <c r="R521" i="8"/>
  <c r="S521" i="8"/>
  <c r="R522" i="8"/>
  <c r="S522" i="8"/>
  <c r="R523" i="8"/>
  <c r="S523" i="8"/>
  <c r="R524" i="8"/>
  <c r="S524" i="8"/>
  <c r="R525" i="8"/>
  <c r="S525" i="8"/>
  <c r="R526" i="8"/>
  <c r="S526" i="8"/>
  <c r="R527" i="8"/>
  <c r="S527" i="8"/>
  <c r="R528" i="8"/>
  <c r="S528" i="8"/>
  <c r="R529" i="8"/>
  <c r="S529" i="8"/>
  <c r="R530" i="8"/>
  <c r="S530" i="8"/>
  <c r="R531" i="8"/>
  <c r="S531" i="8"/>
  <c r="R532" i="8"/>
  <c r="S532" i="8"/>
  <c r="R533" i="8"/>
  <c r="S533" i="8"/>
  <c r="R534" i="8"/>
  <c r="S534" i="8"/>
  <c r="R535" i="8"/>
  <c r="S535" i="8"/>
  <c r="R536" i="8"/>
  <c r="S536" i="8"/>
  <c r="R537" i="8"/>
  <c r="S537" i="8"/>
  <c r="R538" i="8"/>
  <c r="S538" i="8"/>
  <c r="R539" i="8"/>
  <c r="S539" i="8"/>
  <c r="R540" i="8"/>
  <c r="S540" i="8"/>
  <c r="R541" i="8"/>
  <c r="S541" i="8"/>
  <c r="R542" i="8"/>
  <c r="S542" i="8"/>
  <c r="R543" i="8"/>
  <c r="S543" i="8"/>
  <c r="R544" i="8"/>
  <c r="S544" i="8"/>
  <c r="R545" i="8"/>
  <c r="S545" i="8"/>
  <c r="R546" i="8"/>
  <c r="S546" i="8"/>
  <c r="R547" i="8"/>
  <c r="S547" i="8"/>
  <c r="R548" i="8"/>
  <c r="S548" i="8"/>
  <c r="R549" i="8"/>
  <c r="S549" i="8"/>
  <c r="R550" i="8"/>
  <c r="S550" i="8"/>
  <c r="R551" i="8"/>
  <c r="S551" i="8"/>
  <c r="R552" i="8"/>
  <c r="S552" i="8"/>
  <c r="R553" i="8"/>
  <c r="S553" i="8"/>
  <c r="R554" i="8"/>
  <c r="S554" i="8"/>
  <c r="R555" i="8"/>
  <c r="S555" i="8"/>
  <c r="R556" i="8"/>
  <c r="S556" i="8"/>
  <c r="R557" i="8"/>
  <c r="S557" i="8"/>
  <c r="R558" i="8"/>
  <c r="S558" i="8"/>
  <c r="R559" i="8"/>
  <c r="S559" i="8"/>
  <c r="R560" i="8"/>
  <c r="S560" i="8"/>
  <c r="R561" i="8"/>
  <c r="S561" i="8"/>
  <c r="R562" i="8"/>
  <c r="S562" i="8"/>
  <c r="R563" i="8"/>
  <c r="S563" i="8"/>
  <c r="R564" i="8"/>
  <c r="S564" i="8"/>
  <c r="R565" i="8"/>
  <c r="S565" i="8"/>
  <c r="R566" i="8"/>
  <c r="S566" i="8"/>
  <c r="R567" i="8"/>
  <c r="S567" i="8"/>
  <c r="R568" i="8"/>
  <c r="S568" i="8"/>
  <c r="R569" i="8"/>
  <c r="S569" i="8"/>
  <c r="R570" i="8"/>
  <c r="S570" i="8"/>
  <c r="R571" i="8"/>
  <c r="S571" i="8"/>
  <c r="R572" i="8"/>
  <c r="S572" i="8"/>
  <c r="R573" i="8"/>
  <c r="S573" i="8"/>
  <c r="R574" i="8"/>
  <c r="S574" i="8"/>
  <c r="R575" i="8"/>
  <c r="S575" i="8"/>
  <c r="R576" i="8"/>
  <c r="S576" i="8"/>
  <c r="R577" i="8"/>
  <c r="S577" i="8"/>
  <c r="R578" i="8"/>
  <c r="S578" i="8"/>
  <c r="R579" i="8"/>
  <c r="S579" i="8"/>
  <c r="R580" i="8"/>
  <c r="S580" i="8"/>
  <c r="R581" i="8"/>
  <c r="S581" i="8"/>
  <c r="R582" i="8"/>
  <c r="S582" i="8"/>
  <c r="R583" i="8"/>
  <c r="S583" i="8"/>
  <c r="R584" i="8"/>
  <c r="S584" i="8"/>
  <c r="R585" i="8"/>
  <c r="S585" i="8"/>
  <c r="R586" i="8"/>
  <c r="S586" i="8"/>
  <c r="R587" i="8"/>
  <c r="S587" i="8"/>
  <c r="R588" i="8"/>
  <c r="S588" i="8"/>
  <c r="R589" i="8"/>
  <c r="S589" i="8"/>
  <c r="R590" i="8"/>
  <c r="S590" i="8"/>
  <c r="R591" i="8"/>
  <c r="S591" i="8"/>
  <c r="R592" i="8"/>
  <c r="S592" i="8"/>
  <c r="R593" i="8"/>
  <c r="S593" i="8"/>
  <c r="R594" i="8"/>
  <c r="S594" i="8"/>
  <c r="R595" i="8"/>
  <c r="S595" i="8"/>
  <c r="R596" i="8"/>
  <c r="S596" i="8"/>
  <c r="R597" i="8"/>
  <c r="S597" i="8"/>
  <c r="R598" i="8"/>
  <c r="S598" i="8"/>
  <c r="R599" i="8"/>
  <c r="S599" i="8"/>
  <c r="R600" i="8"/>
  <c r="S600" i="8"/>
  <c r="R601" i="8"/>
  <c r="S601" i="8"/>
  <c r="R602" i="8"/>
  <c r="S602" i="8"/>
  <c r="R603" i="8"/>
  <c r="S603" i="8"/>
  <c r="R604" i="8"/>
  <c r="S604" i="8"/>
  <c r="R605" i="8"/>
  <c r="S605" i="8"/>
  <c r="R606" i="8"/>
  <c r="S606" i="8"/>
  <c r="R607" i="8"/>
  <c r="S607" i="8"/>
  <c r="R608" i="8"/>
  <c r="S608" i="8"/>
  <c r="R609" i="8"/>
  <c r="S609" i="8"/>
  <c r="R610" i="8"/>
  <c r="S610" i="8"/>
  <c r="R611" i="8"/>
  <c r="S611" i="8"/>
  <c r="R612" i="8"/>
  <c r="S612" i="8"/>
  <c r="R613" i="8"/>
  <c r="S613" i="8"/>
  <c r="R614" i="8"/>
  <c r="S614" i="8"/>
  <c r="R615" i="8"/>
  <c r="S615" i="8"/>
  <c r="R616" i="8"/>
  <c r="S616" i="8"/>
  <c r="R617" i="8"/>
  <c r="S617" i="8"/>
  <c r="R618" i="8"/>
  <c r="S618" i="8"/>
  <c r="R619" i="8"/>
  <c r="S619" i="8"/>
  <c r="R620" i="8"/>
  <c r="S620" i="8"/>
  <c r="R621" i="8"/>
  <c r="S621" i="8"/>
  <c r="R622" i="8"/>
  <c r="S622" i="8"/>
  <c r="R623" i="8"/>
  <c r="S623" i="8"/>
  <c r="R624" i="8"/>
  <c r="S624" i="8"/>
  <c r="R625" i="8"/>
  <c r="S625" i="8"/>
  <c r="R626" i="8"/>
  <c r="S626" i="8"/>
  <c r="R627" i="8"/>
  <c r="S627" i="8"/>
  <c r="R628" i="8"/>
  <c r="S628" i="8"/>
  <c r="R629" i="8"/>
  <c r="S629" i="8"/>
  <c r="R630" i="8"/>
  <c r="S630" i="8"/>
  <c r="R631" i="8"/>
  <c r="S631" i="8"/>
  <c r="R632" i="8"/>
  <c r="S632" i="8"/>
  <c r="R633" i="8"/>
  <c r="S633" i="8"/>
  <c r="R634" i="8"/>
  <c r="S634" i="8"/>
  <c r="R635" i="8"/>
  <c r="S635" i="8"/>
  <c r="R636" i="8"/>
  <c r="S636" i="8"/>
  <c r="R637" i="8"/>
  <c r="S637" i="8"/>
  <c r="R638" i="8"/>
  <c r="S638" i="8"/>
  <c r="R639" i="8"/>
  <c r="S639" i="8"/>
  <c r="R640" i="8"/>
  <c r="S640" i="8"/>
  <c r="R641" i="8"/>
  <c r="S641" i="8"/>
  <c r="R642" i="8"/>
  <c r="S642" i="8"/>
  <c r="R643" i="8"/>
  <c r="S643" i="8"/>
  <c r="R644" i="8"/>
  <c r="S644" i="8"/>
  <c r="R645" i="8"/>
  <c r="S645" i="8"/>
  <c r="R646" i="8"/>
  <c r="S646" i="8"/>
  <c r="R647" i="8"/>
  <c r="S647" i="8"/>
  <c r="R648" i="8"/>
  <c r="S648" i="8"/>
  <c r="R649" i="8"/>
  <c r="S649" i="8"/>
  <c r="R650" i="8"/>
  <c r="S650" i="8"/>
  <c r="R651" i="8"/>
  <c r="S651" i="8"/>
  <c r="R652" i="8"/>
  <c r="S652" i="8"/>
  <c r="R653" i="8"/>
  <c r="S653" i="8"/>
  <c r="R654" i="8"/>
  <c r="S654" i="8"/>
  <c r="R655" i="8"/>
  <c r="S655" i="8"/>
  <c r="R656" i="8"/>
  <c r="S656" i="8"/>
  <c r="R657" i="8"/>
  <c r="S657" i="8"/>
  <c r="R658" i="8"/>
  <c r="S658" i="8"/>
  <c r="R659" i="8"/>
  <c r="S659" i="8"/>
  <c r="R660" i="8"/>
  <c r="S660" i="8"/>
  <c r="R661" i="8"/>
  <c r="S661" i="8"/>
  <c r="R662" i="8"/>
  <c r="S662" i="8"/>
  <c r="R663" i="8"/>
  <c r="S663" i="8"/>
  <c r="R664" i="8"/>
  <c r="S664" i="8"/>
  <c r="R665" i="8"/>
  <c r="S665" i="8"/>
  <c r="R666" i="8"/>
  <c r="S666" i="8"/>
  <c r="R667" i="8"/>
  <c r="S667" i="8"/>
  <c r="R668" i="8"/>
  <c r="S668" i="8"/>
  <c r="R669" i="8"/>
  <c r="S669" i="8"/>
  <c r="R670" i="8"/>
  <c r="S670" i="8"/>
  <c r="R671" i="8"/>
  <c r="S671" i="8"/>
  <c r="R672" i="8"/>
  <c r="S672" i="8"/>
  <c r="R673" i="8"/>
  <c r="S673" i="8"/>
  <c r="R674" i="8"/>
  <c r="S674" i="8"/>
  <c r="R675" i="8"/>
  <c r="S675" i="8"/>
  <c r="R676" i="8"/>
  <c r="S676" i="8"/>
  <c r="R677" i="8"/>
  <c r="S677" i="8"/>
  <c r="R678" i="8"/>
  <c r="S678" i="8"/>
  <c r="R679" i="8"/>
  <c r="S679" i="8"/>
  <c r="R680" i="8"/>
  <c r="S680" i="8"/>
  <c r="R681" i="8"/>
  <c r="S681" i="8"/>
  <c r="R682" i="8"/>
  <c r="S682" i="8"/>
  <c r="R683" i="8"/>
  <c r="S683" i="8"/>
  <c r="R684" i="8"/>
  <c r="S684" i="8"/>
  <c r="R685" i="8"/>
  <c r="S685" i="8"/>
  <c r="R686" i="8"/>
  <c r="S686" i="8"/>
  <c r="R687" i="8"/>
  <c r="S687" i="8"/>
  <c r="R688" i="8"/>
  <c r="S688" i="8"/>
  <c r="R689" i="8"/>
  <c r="S689" i="8"/>
  <c r="R690" i="8"/>
  <c r="S690" i="8"/>
  <c r="R691" i="8"/>
  <c r="S691" i="8"/>
  <c r="R692" i="8"/>
  <c r="S692" i="8"/>
  <c r="R693" i="8"/>
  <c r="S693" i="8"/>
  <c r="R694" i="8"/>
  <c r="S694" i="8"/>
  <c r="R695" i="8"/>
  <c r="S695" i="8"/>
  <c r="R696" i="8"/>
  <c r="S696" i="8"/>
  <c r="R697" i="8"/>
  <c r="S697" i="8"/>
  <c r="R698" i="8"/>
  <c r="S698" i="8"/>
  <c r="R699" i="8"/>
  <c r="S699" i="8"/>
  <c r="R700" i="8"/>
  <c r="S700" i="8"/>
  <c r="R701" i="8"/>
  <c r="S701" i="8"/>
  <c r="R702" i="8"/>
  <c r="S702" i="8"/>
  <c r="R703" i="8"/>
  <c r="S703" i="8"/>
  <c r="R704" i="8"/>
  <c r="S704" i="8"/>
  <c r="R705" i="8"/>
  <c r="S705" i="8"/>
  <c r="R706" i="8"/>
  <c r="S706" i="8"/>
  <c r="R707" i="8"/>
  <c r="S707" i="8"/>
  <c r="R708" i="8"/>
  <c r="S708" i="8"/>
  <c r="R709" i="8"/>
  <c r="S709" i="8"/>
  <c r="R710" i="8"/>
  <c r="S710" i="8"/>
  <c r="R711" i="8"/>
  <c r="S711" i="8"/>
  <c r="R712" i="8"/>
  <c r="S712" i="8"/>
  <c r="R713" i="8"/>
  <c r="S713" i="8"/>
  <c r="R714" i="8"/>
  <c r="S714" i="8"/>
  <c r="R715" i="8"/>
  <c r="S715" i="8"/>
  <c r="R716" i="8"/>
  <c r="S716" i="8"/>
  <c r="R717" i="8"/>
  <c r="S717" i="8"/>
  <c r="R718" i="8"/>
  <c r="S718" i="8"/>
  <c r="R719" i="8"/>
  <c r="S719" i="8"/>
  <c r="R720" i="8"/>
  <c r="S720" i="8"/>
  <c r="R721" i="8"/>
  <c r="S721" i="8"/>
  <c r="R722" i="8"/>
  <c r="S722" i="8"/>
  <c r="R723" i="8"/>
  <c r="S723" i="8"/>
  <c r="R724" i="8"/>
  <c r="S724" i="8"/>
  <c r="R725" i="8"/>
  <c r="S725" i="8"/>
  <c r="R726" i="8"/>
  <c r="S726" i="8"/>
  <c r="R727" i="8"/>
  <c r="S727" i="8"/>
  <c r="R728" i="8"/>
  <c r="S728" i="8"/>
  <c r="R729" i="8"/>
  <c r="S729" i="8"/>
  <c r="R730" i="8"/>
  <c r="S730" i="8"/>
  <c r="R731" i="8"/>
  <c r="S731" i="8"/>
  <c r="R732" i="8"/>
  <c r="S732" i="8"/>
  <c r="R733" i="8"/>
  <c r="S733" i="8"/>
  <c r="R734" i="8"/>
  <c r="S734" i="8"/>
  <c r="R735" i="8"/>
  <c r="S735" i="8"/>
  <c r="R736" i="8"/>
  <c r="S736" i="8"/>
  <c r="R737" i="8"/>
  <c r="S737" i="8"/>
  <c r="R738" i="8"/>
  <c r="S738" i="8"/>
  <c r="R739" i="8"/>
  <c r="S739" i="8"/>
  <c r="R740" i="8"/>
  <c r="S740" i="8"/>
  <c r="R741" i="8"/>
  <c r="S741" i="8"/>
  <c r="R742" i="8"/>
  <c r="S742" i="8"/>
  <c r="R743" i="8"/>
  <c r="S743" i="8"/>
  <c r="R744" i="8"/>
  <c r="S744" i="8"/>
  <c r="R745" i="8"/>
  <c r="S745" i="8"/>
  <c r="R746" i="8"/>
  <c r="S746" i="8"/>
  <c r="R747" i="8"/>
  <c r="S747" i="8"/>
  <c r="R748" i="8"/>
  <c r="S748" i="8"/>
  <c r="R749" i="8"/>
  <c r="S749" i="8"/>
  <c r="R750" i="8"/>
  <c r="S750" i="8"/>
  <c r="R751" i="8"/>
  <c r="S751" i="8"/>
  <c r="R752" i="8"/>
  <c r="S752" i="8"/>
  <c r="R753" i="8"/>
  <c r="S753" i="8"/>
  <c r="R754" i="8"/>
  <c r="S754" i="8"/>
  <c r="R755" i="8"/>
  <c r="S755" i="8"/>
  <c r="R756" i="8"/>
  <c r="S756" i="8"/>
  <c r="R757" i="8"/>
  <c r="S757" i="8"/>
  <c r="R758" i="8"/>
  <c r="S758" i="8"/>
  <c r="R759" i="8"/>
  <c r="S759" i="8"/>
  <c r="R760" i="8"/>
  <c r="S760" i="8"/>
  <c r="R761" i="8"/>
  <c r="S761" i="8"/>
  <c r="R762" i="8"/>
  <c r="S762" i="8"/>
  <c r="R763" i="8"/>
  <c r="S763" i="8"/>
  <c r="R764" i="8"/>
  <c r="S764" i="8"/>
  <c r="R765" i="8"/>
  <c r="S765" i="8"/>
  <c r="R766" i="8"/>
  <c r="S766" i="8"/>
  <c r="R767" i="8"/>
  <c r="S767" i="8"/>
  <c r="R768" i="8"/>
  <c r="S768" i="8"/>
  <c r="R769" i="8"/>
  <c r="S769" i="8"/>
  <c r="R770" i="8"/>
  <c r="S770" i="8"/>
  <c r="R771" i="8"/>
  <c r="S771" i="8"/>
  <c r="R772" i="8"/>
  <c r="S772" i="8"/>
  <c r="R773" i="8"/>
  <c r="S773" i="8"/>
  <c r="R774" i="8"/>
  <c r="S774" i="8"/>
  <c r="R775" i="8"/>
  <c r="S775" i="8"/>
  <c r="R776" i="8"/>
  <c r="S776" i="8"/>
  <c r="R777" i="8"/>
  <c r="S777" i="8"/>
  <c r="R778" i="8"/>
  <c r="S778" i="8"/>
  <c r="R779" i="8"/>
  <c r="S779" i="8"/>
  <c r="R780" i="8"/>
  <c r="S780" i="8"/>
  <c r="R781" i="8"/>
  <c r="S781" i="8"/>
  <c r="R782" i="8"/>
  <c r="S782" i="8"/>
  <c r="R783" i="8"/>
  <c r="S783" i="8"/>
  <c r="R784" i="8"/>
  <c r="S784" i="8"/>
  <c r="R785" i="8"/>
  <c r="S785" i="8"/>
  <c r="R786" i="8"/>
  <c r="S786" i="8"/>
  <c r="R787" i="8"/>
  <c r="S787" i="8"/>
  <c r="R788" i="8"/>
  <c r="S788" i="8"/>
  <c r="R789" i="8"/>
  <c r="S789" i="8"/>
  <c r="R790" i="8"/>
  <c r="S790" i="8"/>
  <c r="R791" i="8"/>
  <c r="S791" i="8"/>
  <c r="R792" i="8"/>
  <c r="S792" i="8"/>
  <c r="R793" i="8"/>
  <c r="S793" i="8"/>
  <c r="R2" i="8"/>
  <c r="S2" i="8" s="1"/>
  <c r="J655" i="3" l="1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2" i="3"/>
  <c r="J430" i="3"/>
  <c r="J429" i="3"/>
  <c r="J428" i="3"/>
  <c r="J425" i="3"/>
  <c r="J422" i="3"/>
  <c r="J420" i="3"/>
  <c r="J417" i="3"/>
  <c r="J414" i="3"/>
  <c r="J413" i="3"/>
  <c r="J412" i="3"/>
  <c r="J411" i="3"/>
  <c r="J410" i="3"/>
  <c r="J409" i="3"/>
  <c r="J408" i="3"/>
  <c r="J407" i="3"/>
  <c r="J406" i="3"/>
  <c r="J403" i="3"/>
  <c r="J402" i="3"/>
  <c r="J401" i="3"/>
  <c r="J400" i="3"/>
  <c r="J399" i="3"/>
  <c r="J398" i="3"/>
  <c r="J395" i="3"/>
  <c r="J394" i="3"/>
  <c r="J393" i="3"/>
  <c r="J391" i="3"/>
  <c r="J390" i="3"/>
  <c r="J389" i="3"/>
  <c r="J386" i="3"/>
  <c r="J385" i="3"/>
  <c r="J383" i="3"/>
  <c r="J382" i="3"/>
  <c r="J380" i="3"/>
  <c r="J375" i="3"/>
  <c r="J374" i="3"/>
  <c r="J372" i="3"/>
  <c r="J371" i="3"/>
  <c r="J370" i="3"/>
  <c r="J369" i="3"/>
  <c r="J368" i="3"/>
  <c r="J366" i="3"/>
  <c r="J364" i="3"/>
  <c r="J362" i="3"/>
  <c r="J359" i="3"/>
  <c r="J356" i="3"/>
  <c r="J355" i="3"/>
  <c r="J353" i="3"/>
  <c r="J352" i="3"/>
  <c r="J350" i="3"/>
  <c r="J348" i="3"/>
  <c r="J347" i="3"/>
  <c r="J343" i="3"/>
  <c r="J340" i="3"/>
  <c r="J339" i="3"/>
  <c r="J338" i="3"/>
  <c r="J336" i="3"/>
  <c r="J332" i="3"/>
  <c r="J331" i="3"/>
  <c r="J330" i="3"/>
  <c r="J328" i="3"/>
  <c r="J327" i="3"/>
  <c r="J326" i="3"/>
  <c r="J325" i="3"/>
  <c r="J324" i="3"/>
  <c r="J322" i="3"/>
  <c r="J321" i="3"/>
  <c r="J320" i="3"/>
  <c r="J316" i="3"/>
  <c r="J315" i="3"/>
  <c r="J314" i="3"/>
  <c r="J313" i="3"/>
  <c r="J311" i="3"/>
  <c r="J309" i="3"/>
  <c r="J308" i="3"/>
  <c r="J307" i="3"/>
  <c r="J306" i="3"/>
  <c r="J304" i="3"/>
  <c r="J303" i="3"/>
  <c r="J302" i="3"/>
  <c r="J298" i="3"/>
  <c r="J297" i="3"/>
  <c r="J294" i="3"/>
  <c r="J293" i="3"/>
  <c r="J292" i="3"/>
  <c r="J290" i="3"/>
  <c r="J288" i="3"/>
  <c r="J287" i="3"/>
  <c r="J286" i="3"/>
  <c r="J285" i="3"/>
  <c r="J283" i="3"/>
  <c r="J282" i="3"/>
  <c r="J280" i="3"/>
  <c r="J279" i="3"/>
  <c r="J278" i="3"/>
  <c r="J274" i="3"/>
  <c r="J273" i="3"/>
  <c r="J270" i="3"/>
  <c r="J269" i="3"/>
  <c r="J268" i="3"/>
  <c r="J266" i="3"/>
  <c r="J265" i="3"/>
  <c r="J264" i="3"/>
  <c r="J263" i="3"/>
  <c r="J262" i="3"/>
  <c r="J261" i="3"/>
  <c r="J260" i="3"/>
  <c r="J257" i="3"/>
  <c r="J255" i="3"/>
  <c r="J254" i="3"/>
  <c r="J253" i="3"/>
  <c r="J252" i="3"/>
  <c r="J251" i="3"/>
  <c r="J247" i="3"/>
  <c r="J246" i="3"/>
  <c r="J245" i="3"/>
  <c r="J242" i="3"/>
  <c r="J241" i="3"/>
  <c r="J240" i="3"/>
  <c r="J238" i="3"/>
  <c r="J236" i="3"/>
  <c r="J235" i="3"/>
  <c r="J233" i="3"/>
  <c r="J231" i="3"/>
  <c r="J230" i="3"/>
  <c r="J229" i="3"/>
  <c r="J226" i="3"/>
  <c r="J225" i="3"/>
  <c r="J224" i="3"/>
  <c r="J223" i="3"/>
  <c r="J220" i="3"/>
  <c r="J219" i="3"/>
  <c r="J218" i="3"/>
  <c r="J216" i="3"/>
  <c r="J215" i="3"/>
  <c r="J214" i="3"/>
  <c r="J212" i="3"/>
  <c r="J211" i="3"/>
  <c r="J210" i="3"/>
  <c r="J209" i="3"/>
  <c r="J208" i="3"/>
  <c r="J205" i="3"/>
  <c r="J203" i="3"/>
  <c r="J201" i="3"/>
  <c r="J198" i="3"/>
  <c r="J197" i="3"/>
  <c r="J196" i="3"/>
  <c r="J195" i="3"/>
  <c r="J194" i="3"/>
  <c r="J193" i="3"/>
  <c r="J192" i="3"/>
  <c r="J191" i="3"/>
  <c r="J189" i="3"/>
  <c r="J188" i="3"/>
  <c r="J186" i="3"/>
  <c r="J184" i="3"/>
  <c r="J182" i="3"/>
  <c r="J181" i="3"/>
  <c r="J180" i="3"/>
  <c r="J179" i="3"/>
  <c r="J178" i="3"/>
  <c r="J177" i="3"/>
  <c r="J176" i="3"/>
  <c r="J175" i="3"/>
  <c r="J172" i="3"/>
  <c r="J171" i="3"/>
  <c r="J168" i="3"/>
  <c r="J167" i="3"/>
  <c r="J165" i="3"/>
  <c r="J163" i="3"/>
  <c r="J162" i="3"/>
  <c r="J161" i="3"/>
  <c r="J159" i="3"/>
  <c r="J158" i="3"/>
  <c r="J156" i="3"/>
  <c r="J155" i="3"/>
  <c r="J154" i="3"/>
  <c r="J153" i="3"/>
  <c r="J150" i="3"/>
  <c r="J149" i="3"/>
  <c r="J148" i="3"/>
  <c r="J144" i="3"/>
  <c r="J143" i="3"/>
  <c r="J142" i="3"/>
  <c r="J141" i="3"/>
  <c r="J140" i="3"/>
  <c r="J138" i="3"/>
  <c r="J137" i="3"/>
  <c r="J135" i="3"/>
  <c r="J134" i="3"/>
  <c r="J133" i="3"/>
  <c r="J131" i="3"/>
  <c r="J129" i="3"/>
  <c r="J127" i="3"/>
  <c r="J124" i="3"/>
  <c r="J123" i="3"/>
  <c r="J122" i="3"/>
  <c r="J121" i="3"/>
  <c r="J120" i="3"/>
  <c r="J119" i="3"/>
  <c r="J118" i="3"/>
  <c r="J117" i="3"/>
  <c r="J116" i="3"/>
  <c r="J115" i="3"/>
  <c r="J113" i="3"/>
  <c r="J111" i="3"/>
  <c r="J110" i="3"/>
  <c r="J106" i="3"/>
  <c r="J104" i="3"/>
  <c r="J101" i="3"/>
  <c r="J97" i="3"/>
  <c r="J94" i="3"/>
  <c r="J93" i="3"/>
  <c r="J91" i="3"/>
  <c r="J90" i="3"/>
  <c r="J87" i="3"/>
  <c r="J86" i="3"/>
  <c r="J84" i="3"/>
  <c r="J81" i="3"/>
  <c r="J80" i="3"/>
  <c r="J79" i="3"/>
  <c r="J78" i="3"/>
  <c r="J77" i="3"/>
  <c r="J74" i="3"/>
  <c r="J73" i="3"/>
  <c r="J71" i="3"/>
  <c r="J69" i="3"/>
  <c r="J68" i="3"/>
  <c r="J67" i="3"/>
  <c r="J66" i="3"/>
  <c r="J65" i="3"/>
  <c r="J64" i="3"/>
  <c r="J63" i="3"/>
  <c r="J62" i="3"/>
  <c r="J61" i="3"/>
  <c r="J60" i="3"/>
  <c r="J59" i="3"/>
  <c r="J58" i="3"/>
  <c r="J55" i="3"/>
  <c r="J54" i="3"/>
  <c r="J53" i="3"/>
  <c r="J52" i="3"/>
  <c r="J51" i="3"/>
  <c r="J50" i="3"/>
  <c r="J49" i="3"/>
  <c r="J47" i="3"/>
  <c r="J46" i="3"/>
  <c r="J45" i="3"/>
  <c r="J44" i="3"/>
  <c r="J43" i="3"/>
  <c r="J42" i="3"/>
  <c r="J41" i="3"/>
  <c r="J40" i="3"/>
  <c r="J39" i="3"/>
  <c r="J37" i="3"/>
  <c r="J36" i="3"/>
  <c r="J33" i="3"/>
  <c r="J32" i="3"/>
  <c r="J30" i="3"/>
  <c r="J27" i="3"/>
  <c r="J26" i="3"/>
  <c r="J25" i="3"/>
  <c r="J24" i="3"/>
  <c r="J23" i="3"/>
  <c r="J22" i="3"/>
  <c r="J21" i="3"/>
  <c r="J20" i="3"/>
  <c r="J19" i="3"/>
  <c r="J18" i="3"/>
  <c r="J16" i="3"/>
  <c r="J15" i="3"/>
  <c r="J13" i="3"/>
  <c r="J12" i="3"/>
  <c r="J11" i="3"/>
  <c r="J9" i="3"/>
  <c r="J8" i="3"/>
  <c r="J7" i="3"/>
  <c r="J5" i="3"/>
  <c r="J3" i="3"/>
  <c r="J2" i="3"/>
  <c r="K3" i="3"/>
  <c r="K5" i="3"/>
  <c r="K7" i="3"/>
  <c r="K8" i="3"/>
  <c r="K9" i="3"/>
  <c r="K11" i="3"/>
  <c r="K12" i="3"/>
  <c r="K13" i="3"/>
  <c r="K15" i="3"/>
  <c r="K16" i="3"/>
  <c r="K18" i="3"/>
  <c r="K19" i="3"/>
  <c r="K20" i="3"/>
  <c r="K21" i="3"/>
  <c r="K22" i="3"/>
  <c r="K23" i="3"/>
  <c r="K24" i="3"/>
  <c r="K25" i="3"/>
  <c r="K26" i="3"/>
  <c r="K27" i="3"/>
  <c r="K30" i="3"/>
  <c r="K32" i="3"/>
  <c r="K33" i="3"/>
  <c r="K36" i="3"/>
  <c r="K37" i="3"/>
  <c r="K39" i="3"/>
  <c r="K40" i="3"/>
  <c r="K41" i="3"/>
  <c r="K42" i="3"/>
  <c r="K43" i="3"/>
  <c r="K44" i="3"/>
  <c r="K45" i="3"/>
  <c r="K46" i="3"/>
  <c r="K47" i="3"/>
  <c r="K49" i="3"/>
  <c r="K50" i="3"/>
  <c r="K51" i="3"/>
  <c r="K52" i="3"/>
  <c r="K53" i="3"/>
  <c r="K54" i="3"/>
  <c r="K55" i="3"/>
  <c r="K58" i="3"/>
  <c r="K59" i="3"/>
  <c r="K60" i="3"/>
  <c r="K61" i="3"/>
  <c r="K62" i="3"/>
  <c r="K63" i="3"/>
  <c r="K64" i="3"/>
  <c r="K65" i="3"/>
  <c r="K66" i="3"/>
  <c r="K67" i="3"/>
  <c r="K68" i="3"/>
  <c r="K69" i="3"/>
  <c r="K71" i="3"/>
  <c r="K73" i="3"/>
  <c r="K74" i="3"/>
  <c r="K77" i="3"/>
  <c r="K78" i="3"/>
  <c r="K79" i="3"/>
  <c r="K80" i="3"/>
  <c r="K81" i="3"/>
  <c r="K84" i="3"/>
  <c r="K86" i="3"/>
  <c r="K87" i="3"/>
  <c r="K90" i="3"/>
  <c r="K91" i="3"/>
  <c r="K93" i="3"/>
  <c r="K94" i="3"/>
  <c r="K97" i="3"/>
  <c r="K101" i="3"/>
  <c r="K104" i="3"/>
  <c r="K106" i="3"/>
  <c r="K110" i="3"/>
  <c r="K111" i="3"/>
  <c r="K113" i="3"/>
  <c r="K115" i="3"/>
  <c r="K116" i="3"/>
  <c r="K117" i="3"/>
  <c r="K118" i="3"/>
  <c r="K119" i="3"/>
  <c r="K120" i="3"/>
  <c r="K121" i="3"/>
  <c r="K122" i="3"/>
  <c r="K123" i="3"/>
  <c r="K124" i="3"/>
  <c r="K127" i="3"/>
  <c r="K129" i="3"/>
  <c r="K131" i="3"/>
  <c r="K133" i="3"/>
  <c r="K134" i="3"/>
  <c r="K135" i="3"/>
  <c r="K137" i="3"/>
  <c r="K138" i="3"/>
  <c r="K140" i="3"/>
  <c r="K141" i="3"/>
  <c r="K142" i="3"/>
  <c r="K143" i="3"/>
  <c r="K144" i="3"/>
  <c r="K148" i="3"/>
  <c r="K149" i="3"/>
  <c r="K150" i="3"/>
  <c r="K153" i="3"/>
  <c r="K154" i="3"/>
  <c r="K155" i="3"/>
  <c r="K156" i="3"/>
  <c r="K158" i="3"/>
  <c r="K159" i="3"/>
  <c r="K161" i="3"/>
  <c r="K162" i="3"/>
  <c r="K163" i="3"/>
  <c r="K165" i="3"/>
  <c r="K167" i="3"/>
  <c r="K168" i="3"/>
  <c r="K171" i="3"/>
  <c r="K172" i="3"/>
  <c r="K175" i="3"/>
  <c r="K176" i="3"/>
  <c r="K177" i="3"/>
  <c r="K178" i="3"/>
  <c r="K179" i="3"/>
  <c r="K180" i="3"/>
  <c r="K181" i="3"/>
  <c r="K182" i="3"/>
  <c r="K184" i="3"/>
  <c r="K186" i="3"/>
  <c r="K188" i="3"/>
  <c r="K189" i="3"/>
  <c r="K191" i="3"/>
  <c r="K192" i="3"/>
  <c r="K193" i="3"/>
  <c r="K194" i="3"/>
  <c r="K195" i="3"/>
  <c r="K196" i="3"/>
  <c r="K197" i="3"/>
  <c r="K198" i="3"/>
  <c r="K201" i="3"/>
  <c r="K203" i="3"/>
  <c r="K205" i="3"/>
  <c r="K208" i="3"/>
  <c r="K209" i="3"/>
  <c r="K210" i="3"/>
  <c r="K211" i="3"/>
  <c r="K212" i="3"/>
  <c r="K214" i="3"/>
  <c r="K215" i="3"/>
  <c r="K216" i="3"/>
  <c r="K218" i="3"/>
  <c r="K219" i="3"/>
  <c r="K220" i="3"/>
  <c r="K223" i="3"/>
  <c r="K224" i="3"/>
  <c r="K225" i="3"/>
  <c r="K226" i="3"/>
  <c r="K229" i="3"/>
  <c r="K230" i="3"/>
  <c r="K231" i="3"/>
  <c r="K233" i="3"/>
  <c r="K235" i="3"/>
  <c r="K236" i="3"/>
  <c r="K238" i="3"/>
  <c r="K240" i="3"/>
  <c r="K241" i="3"/>
  <c r="K242" i="3"/>
  <c r="K245" i="3"/>
  <c r="K246" i="3"/>
  <c r="K247" i="3"/>
  <c r="K251" i="3"/>
  <c r="K252" i="3"/>
  <c r="K253" i="3"/>
  <c r="K254" i="3"/>
  <c r="K255" i="3"/>
  <c r="K257" i="3"/>
  <c r="K260" i="3"/>
  <c r="K261" i="3"/>
  <c r="K262" i="3"/>
  <c r="K263" i="3"/>
  <c r="K264" i="3"/>
  <c r="K265" i="3"/>
  <c r="K266" i="3"/>
  <c r="K268" i="3"/>
  <c r="K269" i="3"/>
  <c r="K270" i="3"/>
  <c r="K273" i="3"/>
  <c r="K274" i="3"/>
  <c r="K278" i="3"/>
  <c r="K279" i="3"/>
  <c r="K280" i="3"/>
  <c r="K282" i="3"/>
  <c r="K283" i="3"/>
  <c r="K285" i="3"/>
  <c r="K286" i="3"/>
  <c r="K287" i="3"/>
  <c r="K288" i="3"/>
  <c r="K290" i="3"/>
  <c r="K292" i="3"/>
  <c r="K293" i="3"/>
  <c r="K294" i="3"/>
  <c r="K297" i="3"/>
  <c r="K298" i="3"/>
  <c r="K302" i="3"/>
  <c r="K303" i="3"/>
  <c r="K304" i="3"/>
  <c r="K306" i="3"/>
  <c r="K307" i="3"/>
  <c r="K308" i="3"/>
  <c r="K309" i="3"/>
  <c r="K311" i="3"/>
  <c r="K313" i="3"/>
  <c r="K314" i="3"/>
  <c r="K315" i="3"/>
  <c r="K316" i="3"/>
  <c r="K320" i="3"/>
  <c r="K321" i="3"/>
  <c r="K322" i="3"/>
  <c r="K324" i="3"/>
  <c r="K325" i="3"/>
  <c r="K326" i="3"/>
  <c r="K327" i="3"/>
  <c r="K328" i="3"/>
  <c r="K330" i="3"/>
  <c r="K331" i="3"/>
  <c r="K332" i="3"/>
  <c r="K336" i="3"/>
  <c r="K338" i="3"/>
  <c r="K339" i="3"/>
  <c r="K340" i="3"/>
  <c r="K343" i="3"/>
  <c r="K347" i="3"/>
  <c r="K348" i="3"/>
  <c r="K350" i="3"/>
  <c r="K352" i="3"/>
  <c r="K353" i="3"/>
  <c r="K355" i="3"/>
  <c r="K356" i="3"/>
  <c r="K359" i="3"/>
  <c r="K362" i="3"/>
  <c r="K364" i="3"/>
  <c r="K366" i="3"/>
  <c r="K368" i="3"/>
  <c r="K369" i="3"/>
  <c r="K370" i="3"/>
  <c r="K371" i="3"/>
  <c r="K372" i="3"/>
  <c r="K374" i="3"/>
  <c r="K375" i="3"/>
  <c r="K380" i="3"/>
  <c r="K382" i="3"/>
  <c r="K383" i="3"/>
  <c r="K385" i="3"/>
  <c r="K386" i="3"/>
  <c r="K389" i="3"/>
  <c r="K390" i="3"/>
  <c r="K391" i="3"/>
  <c r="K393" i="3"/>
  <c r="K394" i="3"/>
  <c r="K395" i="3"/>
  <c r="K398" i="3"/>
  <c r="K399" i="3"/>
  <c r="K400" i="3"/>
  <c r="K401" i="3"/>
  <c r="K402" i="3"/>
  <c r="K403" i="3"/>
  <c r="K406" i="3"/>
  <c r="K407" i="3"/>
  <c r="K408" i="3"/>
  <c r="K409" i="3"/>
  <c r="K410" i="3"/>
  <c r="K411" i="3"/>
  <c r="K412" i="3"/>
  <c r="K413" i="3"/>
  <c r="K414" i="3"/>
  <c r="K417" i="3"/>
  <c r="K420" i="3"/>
  <c r="K422" i="3"/>
  <c r="K425" i="3"/>
  <c r="K428" i="3"/>
  <c r="K429" i="3"/>
  <c r="K430" i="3"/>
  <c r="K432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2" i="3"/>
  <c r="F1001" i="3" l="1"/>
  <c r="E1001" i="3"/>
  <c r="D1001" i="3"/>
  <c r="P1001" i="3" s="1"/>
  <c r="C1001" i="3"/>
  <c r="B1001" i="3"/>
  <c r="F1000" i="3"/>
  <c r="E1000" i="3"/>
  <c r="D1000" i="3"/>
  <c r="P1000" i="3" s="1"/>
  <c r="C1000" i="3"/>
  <c r="B1000" i="3"/>
  <c r="F999" i="3"/>
  <c r="E999" i="3"/>
  <c r="D999" i="3"/>
  <c r="P999" i="3" s="1"/>
  <c r="C999" i="3"/>
  <c r="B999" i="3"/>
  <c r="F998" i="3"/>
  <c r="E998" i="3"/>
  <c r="D998" i="3"/>
  <c r="P998" i="3" s="1"/>
  <c r="C998" i="3"/>
  <c r="B998" i="3"/>
  <c r="F997" i="3"/>
  <c r="E997" i="3"/>
  <c r="D997" i="3"/>
  <c r="P997" i="3" s="1"/>
  <c r="C997" i="3"/>
  <c r="B997" i="3"/>
  <c r="F996" i="3"/>
  <c r="E996" i="3"/>
  <c r="D996" i="3"/>
  <c r="P996" i="3" s="1"/>
  <c r="C996" i="3"/>
  <c r="B996" i="3"/>
  <c r="F995" i="3"/>
  <c r="E995" i="3"/>
  <c r="D995" i="3"/>
  <c r="P995" i="3" s="1"/>
  <c r="C995" i="3"/>
  <c r="B995" i="3"/>
  <c r="F994" i="3"/>
  <c r="E994" i="3"/>
  <c r="D994" i="3"/>
  <c r="P994" i="3" s="1"/>
  <c r="C994" i="3"/>
  <c r="B994" i="3"/>
  <c r="F993" i="3"/>
  <c r="E993" i="3"/>
  <c r="D993" i="3"/>
  <c r="P993" i="3" s="1"/>
  <c r="C993" i="3"/>
  <c r="B993" i="3"/>
  <c r="F992" i="3"/>
  <c r="E992" i="3"/>
  <c r="D992" i="3"/>
  <c r="P992" i="3" s="1"/>
  <c r="C992" i="3"/>
  <c r="B992" i="3"/>
  <c r="F991" i="3"/>
  <c r="E991" i="3"/>
  <c r="D991" i="3"/>
  <c r="P991" i="3" s="1"/>
  <c r="C991" i="3"/>
  <c r="B991" i="3"/>
  <c r="F990" i="3"/>
  <c r="E990" i="3"/>
  <c r="D990" i="3"/>
  <c r="P990" i="3" s="1"/>
  <c r="C990" i="3"/>
  <c r="B990" i="3"/>
  <c r="F989" i="3"/>
  <c r="E989" i="3"/>
  <c r="D989" i="3"/>
  <c r="P989" i="3" s="1"/>
  <c r="C989" i="3"/>
  <c r="B989" i="3"/>
  <c r="F988" i="3"/>
  <c r="E988" i="3"/>
  <c r="D988" i="3"/>
  <c r="P988" i="3" s="1"/>
  <c r="C988" i="3"/>
  <c r="B988" i="3"/>
  <c r="F987" i="3"/>
  <c r="E987" i="3"/>
  <c r="D987" i="3"/>
  <c r="P987" i="3" s="1"/>
  <c r="C987" i="3"/>
  <c r="B987" i="3"/>
  <c r="F986" i="3"/>
  <c r="E986" i="3"/>
  <c r="D986" i="3"/>
  <c r="P986" i="3" s="1"/>
  <c r="C986" i="3"/>
  <c r="B986" i="3"/>
  <c r="F985" i="3"/>
  <c r="E985" i="3"/>
  <c r="D985" i="3"/>
  <c r="P985" i="3" s="1"/>
  <c r="C985" i="3"/>
  <c r="B985" i="3"/>
  <c r="F984" i="3"/>
  <c r="E984" i="3"/>
  <c r="D984" i="3"/>
  <c r="P984" i="3" s="1"/>
  <c r="C984" i="3"/>
  <c r="B984" i="3"/>
  <c r="F983" i="3"/>
  <c r="E983" i="3"/>
  <c r="D983" i="3"/>
  <c r="P983" i="3" s="1"/>
  <c r="C983" i="3"/>
  <c r="B983" i="3"/>
  <c r="F982" i="3"/>
  <c r="E982" i="3"/>
  <c r="D982" i="3"/>
  <c r="P982" i="3" s="1"/>
  <c r="C982" i="3"/>
  <c r="B982" i="3"/>
  <c r="F981" i="3"/>
  <c r="E981" i="3"/>
  <c r="D981" i="3"/>
  <c r="P981" i="3" s="1"/>
  <c r="C981" i="3"/>
  <c r="B981" i="3"/>
  <c r="F980" i="3"/>
  <c r="E980" i="3"/>
  <c r="D980" i="3"/>
  <c r="P980" i="3" s="1"/>
  <c r="C980" i="3"/>
  <c r="B980" i="3"/>
  <c r="F979" i="3"/>
  <c r="E979" i="3"/>
  <c r="D979" i="3"/>
  <c r="P979" i="3" s="1"/>
  <c r="C979" i="3"/>
  <c r="B979" i="3"/>
  <c r="F978" i="3"/>
  <c r="E978" i="3"/>
  <c r="D978" i="3"/>
  <c r="P978" i="3" s="1"/>
  <c r="C978" i="3"/>
  <c r="B978" i="3"/>
  <c r="F977" i="3"/>
  <c r="E977" i="3"/>
  <c r="D977" i="3"/>
  <c r="P977" i="3" s="1"/>
  <c r="C977" i="3"/>
  <c r="B977" i="3"/>
  <c r="F976" i="3"/>
  <c r="E976" i="3"/>
  <c r="D976" i="3"/>
  <c r="P976" i="3" s="1"/>
  <c r="C976" i="3"/>
  <c r="B976" i="3"/>
  <c r="F975" i="3"/>
  <c r="E975" i="3"/>
  <c r="D975" i="3"/>
  <c r="P975" i="3" s="1"/>
  <c r="C975" i="3"/>
  <c r="B975" i="3"/>
  <c r="F974" i="3"/>
  <c r="E974" i="3"/>
  <c r="D974" i="3"/>
  <c r="P974" i="3" s="1"/>
  <c r="C974" i="3"/>
  <c r="B974" i="3"/>
  <c r="F973" i="3"/>
  <c r="E973" i="3"/>
  <c r="D973" i="3"/>
  <c r="P973" i="3" s="1"/>
  <c r="C973" i="3"/>
  <c r="B973" i="3"/>
  <c r="F972" i="3"/>
  <c r="E972" i="3"/>
  <c r="D972" i="3"/>
  <c r="P972" i="3" s="1"/>
  <c r="C972" i="3"/>
  <c r="B972" i="3"/>
  <c r="F971" i="3"/>
  <c r="E971" i="3"/>
  <c r="D971" i="3"/>
  <c r="P971" i="3" s="1"/>
  <c r="C971" i="3"/>
  <c r="B971" i="3"/>
  <c r="F970" i="3"/>
  <c r="E970" i="3"/>
  <c r="D970" i="3"/>
  <c r="P970" i="3" s="1"/>
  <c r="C970" i="3"/>
  <c r="B970" i="3"/>
  <c r="F969" i="3"/>
  <c r="E969" i="3"/>
  <c r="D969" i="3"/>
  <c r="P969" i="3" s="1"/>
  <c r="C969" i="3"/>
  <c r="B969" i="3"/>
  <c r="F968" i="3"/>
  <c r="E968" i="3"/>
  <c r="D968" i="3"/>
  <c r="P968" i="3" s="1"/>
  <c r="C968" i="3"/>
  <c r="B968" i="3"/>
  <c r="F967" i="3"/>
  <c r="E967" i="3"/>
  <c r="D967" i="3"/>
  <c r="P967" i="3" s="1"/>
  <c r="C967" i="3"/>
  <c r="B967" i="3"/>
  <c r="F966" i="3"/>
  <c r="E966" i="3"/>
  <c r="D966" i="3"/>
  <c r="P966" i="3" s="1"/>
  <c r="C966" i="3"/>
  <c r="B966" i="3"/>
  <c r="F965" i="3"/>
  <c r="E965" i="3"/>
  <c r="D965" i="3"/>
  <c r="P965" i="3" s="1"/>
  <c r="C965" i="3"/>
  <c r="B965" i="3"/>
  <c r="F964" i="3"/>
  <c r="E964" i="3"/>
  <c r="D964" i="3"/>
  <c r="P964" i="3" s="1"/>
  <c r="C964" i="3"/>
  <c r="B964" i="3"/>
  <c r="F963" i="3"/>
  <c r="E963" i="3"/>
  <c r="D963" i="3"/>
  <c r="P963" i="3" s="1"/>
  <c r="C963" i="3"/>
  <c r="B963" i="3"/>
  <c r="F962" i="3"/>
  <c r="E962" i="3"/>
  <c r="D962" i="3"/>
  <c r="P962" i="3" s="1"/>
  <c r="C962" i="3"/>
  <c r="B962" i="3"/>
  <c r="F961" i="3"/>
  <c r="E961" i="3"/>
  <c r="D961" i="3"/>
  <c r="P961" i="3" s="1"/>
  <c r="C961" i="3"/>
  <c r="B961" i="3"/>
  <c r="F960" i="3"/>
  <c r="E960" i="3"/>
  <c r="D960" i="3"/>
  <c r="P960" i="3" s="1"/>
  <c r="C960" i="3"/>
  <c r="B960" i="3"/>
  <c r="F959" i="3"/>
  <c r="E959" i="3"/>
  <c r="D959" i="3"/>
  <c r="P959" i="3" s="1"/>
  <c r="C959" i="3"/>
  <c r="B959" i="3"/>
  <c r="F958" i="3"/>
  <c r="E958" i="3"/>
  <c r="D958" i="3"/>
  <c r="P958" i="3" s="1"/>
  <c r="C958" i="3"/>
  <c r="B958" i="3"/>
  <c r="F957" i="3"/>
  <c r="E957" i="3"/>
  <c r="D957" i="3"/>
  <c r="P957" i="3" s="1"/>
  <c r="C957" i="3"/>
  <c r="B957" i="3"/>
  <c r="F956" i="3"/>
  <c r="E956" i="3"/>
  <c r="D956" i="3"/>
  <c r="P956" i="3" s="1"/>
  <c r="C956" i="3"/>
  <c r="B956" i="3"/>
  <c r="F955" i="3"/>
  <c r="E955" i="3"/>
  <c r="D955" i="3"/>
  <c r="P955" i="3" s="1"/>
  <c r="C955" i="3"/>
  <c r="B955" i="3"/>
  <c r="F954" i="3"/>
  <c r="E954" i="3"/>
  <c r="D954" i="3"/>
  <c r="P954" i="3" s="1"/>
  <c r="C954" i="3"/>
  <c r="B954" i="3"/>
  <c r="F953" i="3"/>
  <c r="E953" i="3"/>
  <c r="D953" i="3"/>
  <c r="P953" i="3" s="1"/>
  <c r="C953" i="3"/>
  <c r="B953" i="3"/>
  <c r="F952" i="3"/>
  <c r="E952" i="3"/>
  <c r="D952" i="3"/>
  <c r="P952" i="3" s="1"/>
  <c r="C952" i="3"/>
  <c r="B952" i="3"/>
  <c r="F951" i="3"/>
  <c r="E951" i="3"/>
  <c r="D951" i="3"/>
  <c r="P951" i="3" s="1"/>
  <c r="C951" i="3"/>
  <c r="B951" i="3"/>
  <c r="F950" i="3"/>
  <c r="E950" i="3"/>
  <c r="D950" i="3"/>
  <c r="P950" i="3" s="1"/>
  <c r="C950" i="3"/>
  <c r="B950" i="3"/>
  <c r="F949" i="3"/>
  <c r="E949" i="3"/>
  <c r="D949" i="3"/>
  <c r="P949" i="3" s="1"/>
  <c r="C949" i="3"/>
  <c r="B949" i="3"/>
  <c r="F948" i="3"/>
  <c r="E948" i="3"/>
  <c r="D948" i="3"/>
  <c r="P948" i="3" s="1"/>
  <c r="C948" i="3"/>
  <c r="B948" i="3"/>
  <c r="F947" i="3"/>
  <c r="E947" i="3"/>
  <c r="D947" i="3"/>
  <c r="P947" i="3" s="1"/>
  <c r="C947" i="3"/>
  <c r="B947" i="3"/>
  <c r="F946" i="3"/>
  <c r="E946" i="3"/>
  <c r="D946" i="3"/>
  <c r="P946" i="3" s="1"/>
  <c r="C946" i="3"/>
  <c r="B946" i="3"/>
  <c r="F945" i="3"/>
  <c r="E945" i="3"/>
  <c r="D945" i="3"/>
  <c r="P945" i="3" s="1"/>
  <c r="C945" i="3"/>
  <c r="B945" i="3"/>
  <c r="F944" i="3"/>
  <c r="E944" i="3"/>
  <c r="D944" i="3"/>
  <c r="P944" i="3" s="1"/>
  <c r="C944" i="3"/>
  <c r="B944" i="3"/>
  <c r="F943" i="3"/>
  <c r="E943" i="3"/>
  <c r="D943" i="3"/>
  <c r="P943" i="3" s="1"/>
  <c r="C943" i="3"/>
  <c r="B943" i="3"/>
  <c r="F942" i="3"/>
  <c r="E942" i="3"/>
  <c r="D942" i="3"/>
  <c r="P942" i="3" s="1"/>
  <c r="C942" i="3"/>
  <c r="B942" i="3"/>
  <c r="F941" i="3"/>
  <c r="E941" i="3"/>
  <c r="D941" i="3"/>
  <c r="P941" i="3" s="1"/>
  <c r="C941" i="3"/>
  <c r="B941" i="3"/>
  <c r="F940" i="3"/>
  <c r="E940" i="3"/>
  <c r="D940" i="3"/>
  <c r="P940" i="3" s="1"/>
  <c r="C940" i="3"/>
  <c r="B940" i="3"/>
  <c r="F939" i="3"/>
  <c r="E939" i="3"/>
  <c r="D939" i="3"/>
  <c r="P939" i="3" s="1"/>
  <c r="C939" i="3"/>
  <c r="B939" i="3"/>
  <c r="F938" i="3"/>
  <c r="E938" i="3"/>
  <c r="D938" i="3"/>
  <c r="P938" i="3" s="1"/>
  <c r="C938" i="3"/>
  <c r="B938" i="3"/>
  <c r="F937" i="3"/>
  <c r="E937" i="3"/>
  <c r="D937" i="3"/>
  <c r="P937" i="3" s="1"/>
  <c r="C937" i="3"/>
  <c r="B937" i="3"/>
  <c r="F936" i="3"/>
  <c r="E936" i="3"/>
  <c r="D936" i="3"/>
  <c r="P936" i="3" s="1"/>
  <c r="C936" i="3"/>
  <c r="B936" i="3"/>
  <c r="F935" i="3"/>
  <c r="E935" i="3"/>
  <c r="D935" i="3"/>
  <c r="P935" i="3" s="1"/>
  <c r="C935" i="3"/>
  <c r="B935" i="3"/>
  <c r="F934" i="3"/>
  <c r="E934" i="3"/>
  <c r="D934" i="3"/>
  <c r="P934" i="3" s="1"/>
  <c r="C934" i="3"/>
  <c r="B934" i="3"/>
  <c r="F933" i="3"/>
  <c r="E933" i="3"/>
  <c r="D933" i="3"/>
  <c r="P933" i="3" s="1"/>
  <c r="C933" i="3"/>
  <c r="B933" i="3"/>
  <c r="F932" i="3"/>
  <c r="E932" i="3"/>
  <c r="D932" i="3"/>
  <c r="P932" i="3" s="1"/>
  <c r="C932" i="3"/>
  <c r="B932" i="3"/>
  <c r="F931" i="3"/>
  <c r="E931" i="3"/>
  <c r="D931" i="3"/>
  <c r="P931" i="3" s="1"/>
  <c r="C931" i="3"/>
  <c r="B931" i="3"/>
  <c r="F930" i="3"/>
  <c r="E930" i="3"/>
  <c r="D930" i="3"/>
  <c r="P930" i="3" s="1"/>
  <c r="C930" i="3"/>
  <c r="B930" i="3"/>
  <c r="F929" i="3"/>
  <c r="E929" i="3"/>
  <c r="D929" i="3"/>
  <c r="P929" i="3" s="1"/>
  <c r="C929" i="3"/>
  <c r="B929" i="3"/>
  <c r="F928" i="3"/>
  <c r="E928" i="3"/>
  <c r="D928" i="3"/>
  <c r="P928" i="3" s="1"/>
  <c r="C928" i="3"/>
  <c r="B928" i="3"/>
  <c r="F927" i="3"/>
  <c r="E927" i="3"/>
  <c r="D927" i="3"/>
  <c r="P927" i="3" s="1"/>
  <c r="C927" i="3"/>
  <c r="B927" i="3"/>
  <c r="F926" i="3"/>
  <c r="E926" i="3"/>
  <c r="D926" i="3"/>
  <c r="P926" i="3" s="1"/>
  <c r="C926" i="3"/>
  <c r="B926" i="3"/>
  <c r="F925" i="3"/>
  <c r="E925" i="3"/>
  <c r="D925" i="3"/>
  <c r="P925" i="3" s="1"/>
  <c r="C925" i="3"/>
  <c r="B925" i="3"/>
  <c r="F924" i="3"/>
  <c r="E924" i="3"/>
  <c r="D924" i="3"/>
  <c r="P924" i="3" s="1"/>
  <c r="C924" i="3"/>
  <c r="B924" i="3"/>
  <c r="F923" i="3"/>
  <c r="E923" i="3"/>
  <c r="D923" i="3"/>
  <c r="P923" i="3" s="1"/>
  <c r="C923" i="3"/>
  <c r="B923" i="3"/>
  <c r="F922" i="3"/>
  <c r="E922" i="3"/>
  <c r="D922" i="3"/>
  <c r="P922" i="3" s="1"/>
  <c r="C922" i="3"/>
  <c r="B922" i="3"/>
  <c r="F921" i="3"/>
  <c r="E921" i="3"/>
  <c r="D921" i="3"/>
  <c r="P921" i="3" s="1"/>
  <c r="C921" i="3"/>
  <c r="B921" i="3"/>
  <c r="F920" i="3"/>
  <c r="E920" i="3"/>
  <c r="D920" i="3"/>
  <c r="P920" i="3" s="1"/>
  <c r="C920" i="3"/>
  <c r="B920" i="3"/>
  <c r="F919" i="3"/>
  <c r="E919" i="3"/>
  <c r="D919" i="3"/>
  <c r="P919" i="3" s="1"/>
  <c r="C919" i="3"/>
  <c r="B919" i="3"/>
  <c r="F918" i="3"/>
  <c r="E918" i="3"/>
  <c r="D918" i="3"/>
  <c r="P918" i="3" s="1"/>
  <c r="C918" i="3"/>
  <c r="B918" i="3"/>
  <c r="F917" i="3"/>
  <c r="E917" i="3"/>
  <c r="D917" i="3"/>
  <c r="P917" i="3" s="1"/>
  <c r="C917" i="3"/>
  <c r="B917" i="3"/>
  <c r="F916" i="3"/>
  <c r="E916" i="3"/>
  <c r="D916" i="3"/>
  <c r="P916" i="3" s="1"/>
  <c r="C916" i="3"/>
  <c r="B916" i="3"/>
  <c r="F915" i="3"/>
  <c r="E915" i="3"/>
  <c r="D915" i="3"/>
  <c r="P915" i="3" s="1"/>
  <c r="C915" i="3"/>
  <c r="B915" i="3"/>
  <c r="F914" i="3"/>
  <c r="E914" i="3"/>
  <c r="D914" i="3"/>
  <c r="P914" i="3" s="1"/>
  <c r="C914" i="3"/>
  <c r="B914" i="3"/>
  <c r="F913" i="3"/>
  <c r="E913" i="3"/>
  <c r="D913" i="3"/>
  <c r="P913" i="3" s="1"/>
  <c r="C913" i="3"/>
  <c r="B913" i="3"/>
  <c r="F912" i="3"/>
  <c r="E912" i="3"/>
  <c r="D912" i="3"/>
  <c r="P912" i="3" s="1"/>
  <c r="C912" i="3"/>
  <c r="B912" i="3"/>
  <c r="F911" i="3"/>
  <c r="E911" i="3"/>
  <c r="D911" i="3"/>
  <c r="P911" i="3" s="1"/>
  <c r="C911" i="3"/>
  <c r="B911" i="3"/>
  <c r="F910" i="3"/>
  <c r="E910" i="3"/>
  <c r="D910" i="3"/>
  <c r="P910" i="3" s="1"/>
  <c r="C910" i="3"/>
  <c r="B910" i="3"/>
  <c r="F909" i="3"/>
  <c r="E909" i="3"/>
  <c r="D909" i="3"/>
  <c r="P909" i="3" s="1"/>
  <c r="C909" i="3"/>
  <c r="B909" i="3"/>
  <c r="F908" i="3"/>
  <c r="E908" i="3"/>
  <c r="D908" i="3"/>
  <c r="P908" i="3" s="1"/>
  <c r="C908" i="3"/>
  <c r="B908" i="3"/>
  <c r="F907" i="3"/>
  <c r="E907" i="3"/>
  <c r="D907" i="3"/>
  <c r="P907" i="3" s="1"/>
  <c r="C907" i="3"/>
  <c r="B907" i="3"/>
  <c r="F906" i="3"/>
  <c r="E906" i="3"/>
  <c r="D906" i="3"/>
  <c r="P906" i="3" s="1"/>
  <c r="C906" i="3"/>
  <c r="B906" i="3"/>
  <c r="F905" i="3"/>
  <c r="E905" i="3"/>
  <c r="D905" i="3"/>
  <c r="P905" i="3" s="1"/>
  <c r="C905" i="3"/>
  <c r="B905" i="3"/>
  <c r="F904" i="3"/>
  <c r="E904" i="3"/>
  <c r="D904" i="3"/>
  <c r="P904" i="3" s="1"/>
  <c r="C904" i="3"/>
  <c r="B904" i="3"/>
  <c r="F903" i="3"/>
  <c r="E903" i="3"/>
  <c r="D903" i="3"/>
  <c r="P903" i="3" s="1"/>
  <c r="C903" i="3"/>
  <c r="B903" i="3"/>
  <c r="F902" i="3"/>
  <c r="E902" i="3"/>
  <c r="D902" i="3"/>
  <c r="P902" i="3" s="1"/>
  <c r="C902" i="3"/>
  <c r="B902" i="3"/>
  <c r="F901" i="3"/>
  <c r="E901" i="3"/>
  <c r="D901" i="3"/>
  <c r="P901" i="3" s="1"/>
  <c r="C901" i="3"/>
  <c r="B901" i="3"/>
  <c r="F900" i="3"/>
  <c r="E900" i="3"/>
  <c r="D900" i="3"/>
  <c r="P900" i="3" s="1"/>
  <c r="C900" i="3"/>
  <c r="B900" i="3"/>
  <c r="F899" i="3"/>
  <c r="E899" i="3"/>
  <c r="D899" i="3"/>
  <c r="P899" i="3" s="1"/>
  <c r="C899" i="3"/>
  <c r="B899" i="3"/>
  <c r="F898" i="3"/>
  <c r="E898" i="3"/>
  <c r="D898" i="3"/>
  <c r="P898" i="3" s="1"/>
  <c r="C898" i="3"/>
  <c r="B898" i="3"/>
  <c r="F897" i="3"/>
  <c r="E897" i="3"/>
  <c r="D897" i="3"/>
  <c r="P897" i="3" s="1"/>
  <c r="C897" i="3"/>
  <c r="B897" i="3"/>
  <c r="F896" i="3"/>
  <c r="E896" i="3"/>
  <c r="D896" i="3"/>
  <c r="P896" i="3" s="1"/>
  <c r="C896" i="3"/>
  <c r="B896" i="3"/>
  <c r="F895" i="3"/>
  <c r="E895" i="3"/>
  <c r="D895" i="3"/>
  <c r="P895" i="3" s="1"/>
  <c r="C895" i="3"/>
  <c r="B895" i="3"/>
  <c r="F894" i="3"/>
  <c r="E894" i="3"/>
  <c r="D894" i="3"/>
  <c r="P894" i="3" s="1"/>
  <c r="C894" i="3"/>
  <c r="B894" i="3"/>
  <c r="F893" i="3"/>
  <c r="E893" i="3"/>
  <c r="D893" i="3"/>
  <c r="P893" i="3" s="1"/>
  <c r="C893" i="3"/>
  <c r="B893" i="3"/>
  <c r="F892" i="3"/>
  <c r="E892" i="3"/>
  <c r="D892" i="3"/>
  <c r="P892" i="3" s="1"/>
  <c r="C892" i="3"/>
  <c r="B892" i="3"/>
  <c r="F891" i="3"/>
  <c r="E891" i="3"/>
  <c r="D891" i="3"/>
  <c r="P891" i="3" s="1"/>
  <c r="C891" i="3"/>
  <c r="B891" i="3"/>
  <c r="F890" i="3"/>
  <c r="E890" i="3"/>
  <c r="D890" i="3"/>
  <c r="P890" i="3" s="1"/>
  <c r="C890" i="3"/>
  <c r="B890" i="3"/>
  <c r="F889" i="3"/>
  <c r="E889" i="3"/>
  <c r="D889" i="3"/>
  <c r="P889" i="3" s="1"/>
  <c r="C889" i="3"/>
  <c r="B889" i="3"/>
  <c r="F888" i="3"/>
  <c r="E888" i="3"/>
  <c r="D888" i="3"/>
  <c r="P888" i="3" s="1"/>
  <c r="C888" i="3"/>
  <c r="B888" i="3"/>
  <c r="F887" i="3"/>
  <c r="E887" i="3"/>
  <c r="D887" i="3"/>
  <c r="P887" i="3" s="1"/>
  <c r="C887" i="3"/>
  <c r="B887" i="3"/>
  <c r="F886" i="3"/>
  <c r="E886" i="3"/>
  <c r="D886" i="3"/>
  <c r="P886" i="3" s="1"/>
  <c r="C886" i="3"/>
  <c r="B886" i="3"/>
  <c r="F885" i="3"/>
  <c r="E885" i="3"/>
  <c r="D885" i="3"/>
  <c r="P885" i="3" s="1"/>
  <c r="C885" i="3"/>
  <c r="B885" i="3"/>
  <c r="F884" i="3"/>
  <c r="E884" i="3"/>
  <c r="D884" i="3"/>
  <c r="P884" i="3" s="1"/>
  <c r="C884" i="3"/>
  <c r="B884" i="3"/>
  <c r="F883" i="3"/>
  <c r="E883" i="3"/>
  <c r="D883" i="3"/>
  <c r="P883" i="3" s="1"/>
  <c r="C883" i="3"/>
  <c r="B883" i="3"/>
  <c r="F882" i="3"/>
  <c r="E882" i="3"/>
  <c r="D882" i="3"/>
  <c r="P882" i="3" s="1"/>
  <c r="C882" i="3"/>
  <c r="B882" i="3"/>
  <c r="F881" i="3"/>
  <c r="E881" i="3"/>
  <c r="D881" i="3"/>
  <c r="P881" i="3" s="1"/>
  <c r="C881" i="3"/>
  <c r="B881" i="3"/>
  <c r="F880" i="3"/>
  <c r="E880" i="3"/>
  <c r="D880" i="3"/>
  <c r="P880" i="3" s="1"/>
  <c r="C880" i="3"/>
  <c r="B880" i="3"/>
  <c r="F879" i="3"/>
  <c r="E879" i="3"/>
  <c r="D879" i="3"/>
  <c r="P879" i="3" s="1"/>
  <c r="C879" i="3"/>
  <c r="B879" i="3"/>
  <c r="F878" i="3"/>
  <c r="E878" i="3"/>
  <c r="D878" i="3"/>
  <c r="P878" i="3" s="1"/>
  <c r="C878" i="3"/>
  <c r="B878" i="3"/>
  <c r="F877" i="3"/>
  <c r="E877" i="3"/>
  <c r="D877" i="3"/>
  <c r="P877" i="3" s="1"/>
  <c r="C877" i="3"/>
  <c r="B877" i="3"/>
  <c r="F876" i="3"/>
  <c r="E876" i="3"/>
  <c r="D876" i="3"/>
  <c r="P876" i="3" s="1"/>
  <c r="C876" i="3"/>
  <c r="B876" i="3"/>
  <c r="F875" i="3"/>
  <c r="E875" i="3"/>
  <c r="D875" i="3"/>
  <c r="P875" i="3" s="1"/>
  <c r="C875" i="3"/>
  <c r="B875" i="3"/>
  <c r="F874" i="3"/>
  <c r="E874" i="3"/>
  <c r="D874" i="3"/>
  <c r="P874" i="3" s="1"/>
  <c r="C874" i="3"/>
  <c r="B874" i="3"/>
  <c r="F873" i="3"/>
  <c r="E873" i="3"/>
  <c r="D873" i="3"/>
  <c r="P873" i="3" s="1"/>
  <c r="C873" i="3"/>
  <c r="B873" i="3"/>
  <c r="F872" i="3"/>
  <c r="E872" i="3"/>
  <c r="D872" i="3"/>
  <c r="P872" i="3" s="1"/>
  <c r="C872" i="3"/>
  <c r="B872" i="3"/>
  <c r="F871" i="3"/>
  <c r="E871" i="3"/>
  <c r="D871" i="3"/>
  <c r="P871" i="3" s="1"/>
  <c r="C871" i="3"/>
  <c r="B871" i="3"/>
  <c r="F870" i="3"/>
  <c r="E870" i="3"/>
  <c r="D870" i="3"/>
  <c r="P870" i="3" s="1"/>
  <c r="C870" i="3"/>
  <c r="B870" i="3"/>
  <c r="F869" i="3"/>
  <c r="E869" i="3"/>
  <c r="D869" i="3"/>
  <c r="P869" i="3" s="1"/>
  <c r="C869" i="3"/>
  <c r="B869" i="3"/>
  <c r="F868" i="3"/>
  <c r="E868" i="3"/>
  <c r="D868" i="3"/>
  <c r="P868" i="3" s="1"/>
  <c r="C868" i="3"/>
  <c r="B868" i="3"/>
  <c r="F867" i="3"/>
  <c r="E867" i="3"/>
  <c r="D867" i="3"/>
  <c r="P867" i="3" s="1"/>
  <c r="C867" i="3"/>
  <c r="B867" i="3"/>
  <c r="F866" i="3"/>
  <c r="E866" i="3"/>
  <c r="D866" i="3"/>
  <c r="P866" i="3" s="1"/>
  <c r="C866" i="3"/>
  <c r="B866" i="3"/>
  <c r="F865" i="3"/>
  <c r="E865" i="3"/>
  <c r="D865" i="3"/>
  <c r="P865" i="3" s="1"/>
  <c r="C865" i="3"/>
  <c r="B865" i="3"/>
  <c r="F864" i="3"/>
  <c r="E864" i="3"/>
  <c r="D864" i="3"/>
  <c r="P864" i="3" s="1"/>
  <c r="C864" i="3"/>
  <c r="B864" i="3"/>
  <c r="F863" i="3"/>
  <c r="E863" i="3"/>
  <c r="D863" i="3"/>
  <c r="P863" i="3" s="1"/>
  <c r="C863" i="3"/>
  <c r="B863" i="3"/>
  <c r="F862" i="3"/>
  <c r="E862" i="3"/>
  <c r="D862" i="3"/>
  <c r="P862" i="3" s="1"/>
  <c r="C862" i="3"/>
  <c r="B862" i="3"/>
  <c r="F861" i="3"/>
  <c r="E861" i="3"/>
  <c r="D861" i="3"/>
  <c r="P861" i="3" s="1"/>
  <c r="C861" i="3"/>
  <c r="B861" i="3"/>
  <c r="F860" i="3"/>
  <c r="E860" i="3"/>
  <c r="D860" i="3"/>
  <c r="P860" i="3" s="1"/>
  <c r="C860" i="3"/>
  <c r="B860" i="3"/>
  <c r="F859" i="3"/>
  <c r="E859" i="3"/>
  <c r="D859" i="3"/>
  <c r="P859" i="3" s="1"/>
  <c r="C859" i="3"/>
  <c r="B859" i="3"/>
  <c r="F858" i="3"/>
  <c r="E858" i="3"/>
  <c r="D858" i="3"/>
  <c r="P858" i="3" s="1"/>
  <c r="C858" i="3"/>
  <c r="B858" i="3"/>
  <c r="F857" i="3"/>
  <c r="E857" i="3"/>
  <c r="D857" i="3"/>
  <c r="P857" i="3" s="1"/>
  <c r="C857" i="3"/>
  <c r="B857" i="3"/>
  <c r="F856" i="3"/>
  <c r="E856" i="3"/>
  <c r="D856" i="3"/>
  <c r="P856" i="3" s="1"/>
  <c r="C856" i="3"/>
  <c r="B856" i="3"/>
  <c r="F855" i="3"/>
  <c r="E855" i="3"/>
  <c r="D855" i="3"/>
  <c r="P855" i="3" s="1"/>
  <c r="C855" i="3"/>
  <c r="B855" i="3"/>
  <c r="F854" i="3"/>
  <c r="E854" i="3"/>
  <c r="D854" i="3"/>
  <c r="P854" i="3" s="1"/>
  <c r="C854" i="3"/>
  <c r="B854" i="3"/>
  <c r="F853" i="3"/>
  <c r="E853" i="3"/>
  <c r="D853" i="3"/>
  <c r="P853" i="3" s="1"/>
  <c r="C853" i="3"/>
  <c r="B853" i="3"/>
  <c r="F852" i="3"/>
  <c r="E852" i="3"/>
  <c r="D852" i="3"/>
  <c r="P852" i="3" s="1"/>
  <c r="C852" i="3"/>
  <c r="B852" i="3"/>
  <c r="F851" i="3"/>
  <c r="E851" i="3"/>
  <c r="D851" i="3"/>
  <c r="P851" i="3" s="1"/>
  <c r="C851" i="3"/>
  <c r="B851" i="3"/>
  <c r="F850" i="3"/>
  <c r="E850" i="3"/>
  <c r="D850" i="3"/>
  <c r="P850" i="3" s="1"/>
  <c r="C850" i="3"/>
  <c r="B850" i="3"/>
  <c r="F849" i="3"/>
  <c r="E849" i="3"/>
  <c r="D849" i="3"/>
  <c r="P849" i="3" s="1"/>
  <c r="C849" i="3"/>
  <c r="B849" i="3"/>
  <c r="F848" i="3"/>
  <c r="E848" i="3"/>
  <c r="D848" i="3"/>
  <c r="P848" i="3" s="1"/>
  <c r="C848" i="3"/>
  <c r="B848" i="3"/>
  <c r="F847" i="3"/>
  <c r="E847" i="3"/>
  <c r="D847" i="3"/>
  <c r="P847" i="3" s="1"/>
  <c r="C847" i="3"/>
  <c r="B847" i="3"/>
  <c r="F846" i="3"/>
  <c r="E846" i="3"/>
  <c r="D846" i="3"/>
  <c r="P846" i="3" s="1"/>
  <c r="C846" i="3"/>
  <c r="B846" i="3"/>
  <c r="F845" i="3"/>
  <c r="E845" i="3"/>
  <c r="D845" i="3"/>
  <c r="P845" i="3" s="1"/>
  <c r="C845" i="3"/>
  <c r="B845" i="3"/>
  <c r="F844" i="3"/>
  <c r="E844" i="3"/>
  <c r="D844" i="3"/>
  <c r="P844" i="3" s="1"/>
  <c r="C844" i="3"/>
  <c r="B844" i="3"/>
  <c r="F843" i="3"/>
  <c r="E843" i="3"/>
  <c r="D843" i="3"/>
  <c r="P843" i="3" s="1"/>
  <c r="C843" i="3"/>
  <c r="B843" i="3"/>
  <c r="F842" i="3"/>
  <c r="E842" i="3"/>
  <c r="D842" i="3"/>
  <c r="P842" i="3" s="1"/>
  <c r="C842" i="3"/>
  <c r="B842" i="3"/>
  <c r="F841" i="3"/>
  <c r="E841" i="3"/>
  <c r="D841" i="3"/>
  <c r="P841" i="3" s="1"/>
  <c r="C841" i="3"/>
  <c r="B841" i="3"/>
  <c r="F840" i="3"/>
  <c r="E840" i="3"/>
  <c r="D840" i="3"/>
  <c r="P840" i="3" s="1"/>
  <c r="C840" i="3"/>
  <c r="B840" i="3"/>
  <c r="F839" i="3"/>
  <c r="E839" i="3"/>
  <c r="D839" i="3"/>
  <c r="P839" i="3" s="1"/>
  <c r="C839" i="3"/>
  <c r="B839" i="3"/>
  <c r="F838" i="3"/>
  <c r="E838" i="3"/>
  <c r="D838" i="3"/>
  <c r="P838" i="3" s="1"/>
  <c r="C838" i="3"/>
  <c r="B838" i="3"/>
  <c r="F837" i="3"/>
  <c r="E837" i="3"/>
  <c r="D837" i="3"/>
  <c r="P837" i="3" s="1"/>
  <c r="C837" i="3"/>
  <c r="B837" i="3"/>
  <c r="F836" i="3"/>
  <c r="E836" i="3"/>
  <c r="D836" i="3"/>
  <c r="P836" i="3" s="1"/>
  <c r="C836" i="3"/>
  <c r="B836" i="3"/>
  <c r="F835" i="3"/>
  <c r="E835" i="3"/>
  <c r="D835" i="3"/>
  <c r="P835" i="3" s="1"/>
  <c r="C835" i="3"/>
  <c r="B835" i="3"/>
  <c r="F834" i="3"/>
  <c r="E834" i="3"/>
  <c r="D834" i="3"/>
  <c r="P834" i="3" s="1"/>
  <c r="C834" i="3"/>
  <c r="B834" i="3"/>
  <c r="F833" i="3"/>
  <c r="E833" i="3"/>
  <c r="D833" i="3"/>
  <c r="P833" i="3" s="1"/>
  <c r="C833" i="3"/>
  <c r="B833" i="3"/>
  <c r="F832" i="3"/>
  <c r="E832" i="3"/>
  <c r="D832" i="3"/>
  <c r="P832" i="3" s="1"/>
  <c r="C832" i="3"/>
  <c r="B832" i="3"/>
  <c r="F831" i="3"/>
  <c r="E831" i="3"/>
  <c r="D831" i="3"/>
  <c r="P831" i="3" s="1"/>
  <c r="C831" i="3"/>
  <c r="B831" i="3"/>
  <c r="F830" i="3"/>
  <c r="E830" i="3"/>
  <c r="D830" i="3"/>
  <c r="P830" i="3" s="1"/>
  <c r="C830" i="3"/>
  <c r="B830" i="3"/>
  <c r="F829" i="3"/>
  <c r="E829" i="3"/>
  <c r="D829" i="3"/>
  <c r="P829" i="3" s="1"/>
  <c r="C829" i="3"/>
  <c r="B829" i="3"/>
  <c r="F828" i="3"/>
  <c r="E828" i="3"/>
  <c r="D828" i="3"/>
  <c r="P828" i="3" s="1"/>
  <c r="C828" i="3"/>
  <c r="B828" i="3"/>
  <c r="F827" i="3"/>
  <c r="E827" i="3"/>
  <c r="D827" i="3"/>
  <c r="P827" i="3" s="1"/>
  <c r="C827" i="3"/>
  <c r="B827" i="3"/>
  <c r="F826" i="3"/>
  <c r="E826" i="3"/>
  <c r="D826" i="3"/>
  <c r="P826" i="3" s="1"/>
  <c r="C826" i="3"/>
  <c r="B826" i="3"/>
  <c r="F825" i="3"/>
  <c r="E825" i="3"/>
  <c r="D825" i="3"/>
  <c r="P825" i="3" s="1"/>
  <c r="C825" i="3"/>
  <c r="B825" i="3"/>
  <c r="F824" i="3"/>
  <c r="E824" i="3"/>
  <c r="D824" i="3"/>
  <c r="P824" i="3" s="1"/>
  <c r="C824" i="3"/>
  <c r="B824" i="3"/>
  <c r="F823" i="3"/>
  <c r="E823" i="3"/>
  <c r="D823" i="3"/>
  <c r="P823" i="3" s="1"/>
  <c r="C823" i="3"/>
  <c r="B823" i="3"/>
  <c r="F822" i="3"/>
  <c r="E822" i="3"/>
  <c r="D822" i="3"/>
  <c r="P822" i="3" s="1"/>
  <c r="C822" i="3"/>
  <c r="B822" i="3"/>
  <c r="F821" i="3"/>
  <c r="E821" i="3"/>
  <c r="D821" i="3"/>
  <c r="P821" i="3" s="1"/>
  <c r="C821" i="3"/>
  <c r="B821" i="3"/>
  <c r="F820" i="3"/>
  <c r="E820" i="3"/>
  <c r="D820" i="3"/>
  <c r="P820" i="3" s="1"/>
  <c r="C820" i="3"/>
  <c r="B820" i="3"/>
  <c r="F819" i="3"/>
  <c r="E819" i="3"/>
  <c r="D819" i="3"/>
  <c r="P819" i="3" s="1"/>
  <c r="C819" i="3"/>
  <c r="B819" i="3"/>
  <c r="F818" i="3"/>
  <c r="E818" i="3"/>
  <c r="D818" i="3"/>
  <c r="P818" i="3" s="1"/>
  <c r="C818" i="3"/>
  <c r="B818" i="3"/>
  <c r="F817" i="3"/>
  <c r="E817" i="3"/>
  <c r="D817" i="3"/>
  <c r="P817" i="3" s="1"/>
  <c r="C817" i="3"/>
  <c r="B817" i="3"/>
  <c r="F816" i="3"/>
  <c r="E816" i="3"/>
  <c r="D816" i="3"/>
  <c r="P816" i="3" s="1"/>
  <c r="C816" i="3"/>
  <c r="B816" i="3"/>
  <c r="F815" i="3"/>
  <c r="E815" i="3"/>
  <c r="D815" i="3"/>
  <c r="P815" i="3" s="1"/>
  <c r="C815" i="3"/>
  <c r="B815" i="3"/>
  <c r="F814" i="3"/>
  <c r="E814" i="3"/>
  <c r="D814" i="3"/>
  <c r="P814" i="3" s="1"/>
  <c r="C814" i="3"/>
  <c r="B814" i="3"/>
  <c r="F813" i="3"/>
  <c r="E813" i="3"/>
  <c r="D813" i="3"/>
  <c r="P813" i="3" s="1"/>
  <c r="C813" i="3"/>
  <c r="B813" i="3"/>
  <c r="F812" i="3"/>
  <c r="E812" i="3"/>
  <c r="D812" i="3"/>
  <c r="P812" i="3" s="1"/>
  <c r="C812" i="3"/>
  <c r="B812" i="3"/>
  <c r="F811" i="3"/>
  <c r="E811" i="3"/>
  <c r="D811" i="3"/>
  <c r="P811" i="3" s="1"/>
  <c r="C811" i="3"/>
  <c r="B811" i="3"/>
  <c r="F810" i="3"/>
  <c r="E810" i="3"/>
  <c r="D810" i="3"/>
  <c r="P810" i="3" s="1"/>
  <c r="C810" i="3"/>
  <c r="B810" i="3"/>
  <c r="F809" i="3"/>
  <c r="E809" i="3"/>
  <c r="D809" i="3"/>
  <c r="P809" i="3" s="1"/>
  <c r="C809" i="3"/>
  <c r="B809" i="3"/>
  <c r="F808" i="3"/>
  <c r="E808" i="3"/>
  <c r="D808" i="3"/>
  <c r="P808" i="3" s="1"/>
  <c r="C808" i="3"/>
  <c r="B808" i="3"/>
  <c r="F807" i="3"/>
  <c r="E807" i="3"/>
  <c r="D807" i="3"/>
  <c r="P807" i="3" s="1"/>
  <c r="C807" i="3"/>
  <c r="B807" i="3"/>
  <c r="F806" i="3"/>
  <c r="E806" i="3"/>
  <c r="D806" i="3"/>
  <c r="P806" i="3" s="1"/>
  <c r="C806" i="3"/>
  <c r="B806" i="3"/>
  <c r="F805" i="3"/>
  <c r="E805" i="3"/>
  <c r="D805" i="3"/>
  <c r="P805" i="3" s="1"/>
  <c r="C805" i="3"/>
  <c r="B805" i="3"/>
  <c r="F804" i="3"/>
  <c r="E804" i="3"/>
  <c r="D804" i="3"/>
  <c r="P804" i="3" s="1"/>
  <c r="C804" i="3"/>
  <c r="B804" i="3"/>
  <c r="F803" i="3"/>
  <c r="E803" i="3"/>
  <c r="D803" i="3"/>
  <c r="P803" i="3" s="1"/>
  <c r="C803" i="3"/>
  <c r="B803" i="3"/>
  <c r="F802" i="3"/>
  <c r="E802" i="3"/>
  <c r="D802" i="3"/>
  <c r="P802" i="3" s="1"/>
  <c r="C802" i="3"/>
  <c r="B802" i="3"/>
  <c r="F801" i="3"/>
  <c r="E801" i="3"/>
  <c r="D801" i="3"/>
  <c r="P801" i="3" s="1"/>
  <c r="C801" i="3"/>
  <c r="B801" i="3"/>
  <c r="F800" i="3"/>
  <c r="E800" i="3"/>
  <c r="D800" i="3"/>
  <c r="P800" i="3" s="1"/>
  <c r="C800" i="3"/>
  <c r="B800" i="3"/>
  <c r="F799" i="3"/>
  <c r="E799" i="3"/>
  <c r="D799" i="3"/>
  <c r="P799" i="3" s="1"/>
  <c r="C799" i="3"/>
  <c r="B799" i="3"/>
  <c r="F798" i="3"/>
  <c r="E798" i="3"/>
  <c r="D798" i="3"/>
  <c r="P798" i="3" s="1"/>
  <c r="C798" i="3"/>
  <c r="B798" i="3"/>
  <c r="F797" i="3"/>
  <c r="E797" i="3"/>
  <c r="D797" i="3"/>
  <c r="P797" i="3" s="1"/>
  <c r="C797" i="3"/>
  <c r="B797" i="3"/>
  <c r="F796" i="3"/>
  <c r="E796" i="3"/>
  <c r="D796" i="3"/>
  <c r="P796" i="3" s="1"/>
  <c r="C796" i="3"/>
  <c r="B796" i="3"/>
  <c r="F795" i="3"/>
  <c r="E795" i="3"/>
  <c r="D795" i="3"/>
  <c r="P795" i="3" s="1"/>
  <c r="C795" i="3"/>
  <c r="B795" i="3"/>
  <c r="F794" i="3"/>
  <c r="E794" i="3"/>
  <c r="D794" i="3"/>
  <c r="P794" i="3" s="1"/>
  <c r="C794" i="3"/>
  <c r="B794" i="3"/>
  <c r="F793" i="3"/>
  <c r="E793" i="3"/>
  <c r="D793" i="3"/>
  <c r="P793" i="3" s="1"/>
  <c r="C793" i="3"/>
  <c r="B793" i="3"/>
  <c r="F792" i="3"/>
  <c r="E792" i="3"/>
  <c r="D792" i="3"/>
  <c r="P792" i="3" s="1"/>
  <c r="C792" i="3"/>
  <c r="B792" i="3"/>
  <c r="F791" i="3"/>
  <c r="E791" i="3"/>
  <c r="D791" i="3"/>
  <c r="P791" i="3" s="1"/>
  <c r="C791" i="3"/>
  <c r="B791" i="3"/>
  <c r="F790" i="3"/>
  <c r="E790" i="3"/>
  <c r="D790" i="3"/>
  <c r="P790" i="3" s="1"/>
  <c r="C790" i="3"/>
  <c r="B790" i="3"/>
  <c r="F789" i="3"/>
  <c r="E789" i="3"/>
  <c r="D789" i="3"/>
  <c r="P789" i="3" s="1"/>
  <c r="C789" i="3"/>
  <c r="B789" i="3"/>
  <c r="F788" i="3"/>
  <c r="E788" i="3"/>
  <c r="D788" i="3"/>
  <c r="P788" i="3" s="1"/>
  <c r="C788" i="3"/>
  <c r="B788" i="3"/>
  <c r="F787" i="3"/>
  <c r="E787" i="3"/>
  <c r="D787" i="3"/>
  <c r="P787" i="3" s="1"/>
  <c r="C787" i="3"/>
  <c r="B787" i="3"/>
  <c r="F786" i="3"/>
  <c r="E786" i="3"/>
  <c r="D786" i="3"/>
  <c r="P786" i="3" s="1"/>
  <c r="C786" i="3"/>
  <c r="B786" i="3"/>
  <c r="F785" i="3"/>
  <c r="E785" i="3"/>
  <c r="D785" i="3"/>
  <c r="P785" i="3" s="1"/>
  <c r="C785" i="3"/>
  <c r="B785" i="3"/>
  <c r="F784" i="3"/>
  <c r="E784" i="3"/>
  <c r="D784" i="3"/>
  <c r="P784" i="3" s="1"/>
  <c r="C784" i="3"/>
  <c r="B784" i="3"/>
  <c r="F783" i="3"/>
  <c r="E783" i="3"/>
  <c r="D783" i="3"/>
  <c r="P783" i="3" s="1"/>
  <c r="C783" i="3"/>
  <c r="B783" i="3"/>
  <c r="F782" i="3"/>
  <c r="E782" i="3"/>
  <c r="D782" i="3"/>
  <c r="P782" i="3" s="1"/>
  <c r="C782" i="3"/>
  <c r="B782" i="3"/>
  <c r="F781" i="3"/>
  <c r="E781" i="3"/>
  <c r="D781" i="3"/>
  <c r="P781" i="3" s="1"/>
  <c r="C781" i="3"/>
  <c r="B781" i="3"/>
  <c r="F780" i="3"/>
  <c r="E780" i="3"/>
  <c r="D780" i="3"/>
  <c r="P780" i="3" s="1"/>
  <c r="C780" i="3"/>
  <c r="B780" i="3"/>
  <c r="F779" i="3"/>
  <c r="E779" i="3"/>
  <c r="D779" i="3"/>
  <c r="P779" i="3" s="1"/>
  <c r="C779" i="3"/>
  <c r="B779" i="3"/>
  <c r="F778" i="3"/>
  <c r="E778" i="3"/>
  <c r="D778" i="3"/>
  <c r="P778" i="3" s="1"/>
  <c r="C778" i="3"/>
  <c r="B778" i="3"/>
  <c r="F777" i="3"/>
  <c r="E777" i="3"/>
  <c r="D777" i="3"/>
  <c r="P777" i="3" s="1"/>
  <c r="C777" i="3"/>
  <c r="B777" i="3"/>
  <c r="F776" i="3"/>
  <c r="E776" i="3"/>
  <c r="D776" i="3"/>
  <c r="P776" i="3" s="1"/>
  <c r="C776" i="3"/>
  <c r="B776" i="3"/>
  <c r="F775" i="3"/>
  <c r="E775" i="3"/>
  <c r="D775" i="3"/>
  <c r="P775" i="3" s="1"/>
  <c r="C775" i="3"/>
  <c r="B775" i="3"/>
  <c r="F774" i="3"/>
  <c r="E774" i="3"/>
  <c r="D774" i="3"/>
  <c r="P774" i="3" s="1"/>
  <c r="C774" i="3"/>
  <c r="B774" i="3"/>
  <c r="F773" i="3"/>
  <c r="E773" i="3"/>
  <c r="D773" i="3"/>
  <c r="P773" i="3" s="1"/>
  <c r="C773" i="3"/>
  <c r="B773" i="3"/>
  <c r="F772" i="3"/>
  <c r="E772" i="3"/>
  <c r="D772" i="3"/>
  <c r="P772" i="3" s="1"/>
  <c r="C772" i="3"/>
  <c r="B772" i="3"/>
  <c r="F771" i="3"/>
  <c r="E771" i="3"/>
  <c r="D771" i="3"/>
  <c r="P771" i="3" s="1"/>
  <c r="C771" i="3"/>
  <c r="B771" i="3"/>
  <c r="F770" i="3"/>
  <c r="E770" i="3"/>
  <c r="D770" i="3"/>
  <c r="P770" i="3" s="1"/>
  <c r="C770" i="3"/>
  <c r="B770" i="3"/>
  <c r="F769" i="3"/>
  <c r="E769" i="3"/>
  <c r="D769" i="3"/>
  <c r="P769" i="3" s="1"/>
  <c r="C769" i="3"/>
  <c r="B769" i="3"/>
  <c r="F768" i="3"/>
  <c r="E768" i="3"/>
  <c r="D768" i="3"/>
  <c r="P768" i="3" s="1"/>
  <c r="C768" i="3"/>
  <c r="B768" i="3"/>
  <c r="F767" i="3"/>
  <c r="E767" i="3"/>
  <c r="D767" i="3"/>
  <c r="P767" i="3" s="1"/>
  <c r="C767" i="3"/>
  <c r="B767" i="3"/>
  <c r="F766" i="3"/>
  <c r="E766" i="3"/>
  <c r="D766" i="3"/>
  <c r="P766" i="3" s="1"/>
  <c r="C766" i="3"/>
  <c r="B766" i="3"/>
  <c r="F765" i="3"/>
  <c r="E765" i="3"/>
  <c r="D765" i="3"/>
  <c r="P765" i="3" s="1"/>
  <c r="C765" i="3"/>
  <c r="B765" i="3"/>
  <c r="F764" i="3"/>
  <c r="E764" i="3"/>
  <c r="D764" i="3"/>
  <c r="P764" i="3" s="1"/>
  <c r="C764" i="3"/>
  <c r="B764" i="3"/>
  <c r="F763" i="3"/>
  <c r="E763" i="3"/>
  <c r="D763" i="3"/>
  <c r="P763" i="3" s="1"/>
  <c r="C763" i="3"/>
  <c r="B763" i="3"/>
  <c r="F762" i="3"/>
  <c r="E762" i="3"/>
  <c r="D762" i="3"/>
  <c r="P762" i="3" s="1"/>
  <c r="C762" i="3"/>
  <c r="B762" i="3"/>
  <c r="F761" i="3"/>
  <c r="E761" i="3"/>
  <c r="D761" i="3"/>
  <c r="P761" i="3" s="1"/>
  <c r="C761" i="3"/>
  <c r="B761" i="3"/>
  <c r="F760" i="3"/>
  <c r="E760" i="3"/>
  <c r="D760" i="3"/>
  <c r="P760" i="3" s="1"/>
  <c r="C760" i="3"/>
  <c r="B760" i="3"/>
  <c r="F759" i="3"/>
  <c r="E759" i="3"/>
  <c r="D759" i="3"/>
  <c r="P759" i="3" s="1"/>
  <c r="C759" i="3"/>
  <c r="B759" i="3"/>
  <c r="F758" i="3"/>
  <c r="E758" i="3"/>
  <c r="D758" i="3"/>
  <c r="P758" i="3" s="1"/>
  <c r="C758" i="3"/>
  <c r="B758" i="3"/>
  <c r="F757" i="3"/>
  <c r="E757" i="3"/>
  <c r="D757" i="3"/>
  <c r="P757" i="3" s="1"/>
  <c r="C757" i="3"/>
  <c r="B757" i="3"/>
  <c r="F756" i="3"/>
  <c r="E756" i="3"/>
  <c r="D756" i="3"/>
  <c r="P756" i="3" s="1"/>
  <c r="C756" i="3"/>
  <c r="B756" i="3"/>
  <c r="F755" i="3"/>
  <c r="E755" i="3"/>
  <c r="D755" i="3"/>
  <c r="P755" i="3" s="1"/>
  <c r="C755" i="3"/>
  <c r="B755" i="3"/>
  <c r="F754" i="3"/>
  <c r="E754" i="3"/>
  <c r="D754" i="3"/>
  <c r="P754" i="3" s="1"/>
  <c r="C754" i="3"/>
  <c r="B754" i="3"/>
  <c r="F753" i="3"/>
  <c r="E753" i="3"/>
  <c r="D753" i="3"/>
  <c r="P753" i="3" s="1"/>
  <c r="C753" i="3"/>
  <c r="B753" i="3"/>
  <c r="F752" i="3"/>
  <c r="E752" i="3"/>
  <c r="D752" i="3"/>
  <c r="P752" i="3" s="1"/>
  <c r="C752" i="3"/>
  <c r="B752" i="3"/>
  <c r="F751" i="3"/>
  <c r="E751" i="3"/>
  <c r="D751" i="3"/>
  <c r="P751" i="3" s="1"/>
  <c r="C751" i="3"/>
  <c r="B751" i="3"/>
  <c r="F750" i="3"/>
  <c r="E750" i="3"/>
  <c r="D750" i="3"/>
  <c r="P750" i="3" s="1"/>
  <c r="C750" i="3"/>
  <c r="B750" i="3"/>
  <c r="F749" i="3"/>
  <c r="E749" i="3"/>
  <c r="D749" i="3"/>
  <c r="P749" i="3" s="1"/>
  <c r="C749" i="3"/>
  <c r="B749" i="3"/>
  <c r="F748" i="3"/>
  <c r="E748" i="3"/>
  <c r="D748" i="3"/>
  <c r="P748" i="3" s="1"/>
  <c r="C748" i="3"/>
  <c r="B748" i="3"/>
  <c r="F747" i="3"/>
  <c r="E747" i="3"/>
  <c r="D747" i="3"/>
  <c r="P747" i="3" s="1"/>
  <c r="C747" i="3"/>
  <c r="B747" i="3"/>
  <c r="F746" i="3"/>
  <c r="E746" i="3"/>
  <c r="D746" i="3"/>
  <c r="P746" i="3" s="1"/>
  <c r="C746" i="3"/>
  <c r="B746" i="3"/>
  <c r="F745" i="3"/>
  <c r="E745" i="3"/>
  <c r="D745" i="3"/>
  <c r="P745" i="3" s="1"/>
  <c r="C745" i="3"/>
  <c r="B745" i="3"/>
  <c r="F744" i="3"/>
  <c r="E744" i="3"/>
  <c r="D744" i="3"/>
  <c r="P744" i="3" s="1"/>
  <c r="C744" i="3"/>
  <c r="B744" i="3"/>
  <c r="F743" i="3"/>
  <c r="E743" i="3"/>
  <c r="D743" i="3"/>
  <c r="P743" i="3" s="1"/>
  <c r="C743" i="3"/>
  <c r="B743" i="3"/>
  <c r="F742" i="3"/>
  <c r="E742" i="3"/>
  <c r="D742" i="3"/>
  <c r="P742" i="3" s="1"/>
  <c r="C742" i="3"/>
  <c r="B742" i="3"/>
  <c r="F741" i="3"/>
  <c r="E741" i="3"/>
  <c r="D741" i="3"/>
  <c r="P741" i="3" s="1"/>
  <c r="C741" i="3"/>
  <c r="B741" i="3"/>
  <c r="F740" i="3"/>
  <c r="E740" i="3"/>
  <c r="D740" i="3"/>
  <c r="P740" i="3" s="1"/>
  <c r="C740" i="3"/>
  <c r="B740" i="3"/>
  <c r="F739" i="3"/>
  <c r="E739" i="3"/>
  <c r="D739" i="3"/>
  <c r="P739" i="3" s="1"/>
  <c r="C739" i="3"/>
  <c r="B739" i="3"/>
  <c r="F738" i="3"/>
  <c r="E738" i="3"/>
  <c r="D738" i="3"/>
  <c r="P738" i="3" s="1"/>
  <c r="C738" i="3"/>
  <c r="B738" i="3"/>
  <c r="F737" i="3"/>
  <c r="E737" i="3"/>
  <c r="D737" i="3"/>
  <c r="P737" i="3" s="1"/>
  <c r="C737" i="3"/>
  <c r="B737" i="3"/>
  <c r="F736" i="3"/>
  <c r="E736" i="3"/>
  <c r="D736" i="3"/>
  <c r="P736" i="3" s="1"/>
  <c r="C736" i="3"/>
  <c r="B736" i="3"/>
  <c r="F735" i="3"/>
  <c r="E735" i="3"/>
  <c r="D735" i="3"/>
  <c r="P735" i="3" s="1"/>
  <c r="C735" i="3"/>
  <c r="B735" i="3"/>
  <c r="F734" i="3"/>
  <c r="E734" i="3"/>
  <c r="D734" i="3"/>
  <c r="P734" i="3" s="1"/>
  <c r="C734" i="3"/>
  <c r="B734" i="3"/>
  <c r="F733" i="3"/>
  <c r="E733" i="3"/>
  <c r="D733" i="3"/>
  <c r="P733" i="3" s="1"/>
  <c r="C733" i="3"/>
  <c r="B733" i="3"/>
  <c r="F732" i="3"/>
  <c r="E732" i="3"/>
  <c r="D732" i="3"/>
  <c r="P732" i="3" s="1"/>
  <c r="C732" i="3"/>
  <c r="B732" i="3"/>
  <c r="F731" i="3"/>
  <c r="E731" i="3"/>
  <c r="D731" i="3"/>
  <c r="P731" i="3" s="1"/>
  <c r="C731" i="3"/>
  <c r="B731" i="3"/>
  <c r="F730" i="3"/>
  <c r="E730" i="3"/>
  <c r="D730" i="3"/>
  <c r="P730" i="3" s="1"/>
  <c r="C730" i="3"/>
  <c r="B730" i="3"/>
  <c r="F729" i="3"/>
  <c r="E729" i="3"/>
  <c r="D729" i="3"/>
  <c r="P729" i="3" s="1"/>
  <c r="C729" i="3"/>
  <c r="B729" i="3"/>
  <c r="F728" i="3"/>
  <c r="E728" i="3"/>
  <c r="D728" i="3"/>
  <c r="P728" i="3" s="1"/>
  <c r="C728" i="3"/>
  <c r="B728" i="3"/>
  <c r="F727" i="3"/>
  <c r="E727" i="3"/>
  <c r="D727" i="3"/>
  <c r="P727" i="3" s="1"/>
  <c r="C727" i="3"/>
  <c r="B727" i="3"/>
  <c r="F726" i="3"/>
  <c r="E726" i="3"/>
  <c r="D726" i="3"/>
  <c r="P726" i="3" s="1"/>
  <c r="C726" i="3"/>
  <c r="B726" i="3"/>
  <c r="F725" i="3"/>
  <c r="E725" i="3"/>
  <c r="D725" i="3"/>
  <c r="P725" i="3" s="1"/>
  <c r="C725" i="3"/>
  <c r="B725" i="3"/>
  <c r="F724" i="3"/>
  <c r="E724" i="3"/>
  <c r="D724" i="3"/>
  <c r="P724" i="3" s="1"/>
  <c r="C724" i="3"/>
  <c r="B724" i="3"/>
  <c r="F723" i="3"/>
  <c r="E723" i="3"/>
  <c r="D723" i="3"/>
  <c r="P723" i="3" s="1"/>
  <c r="C723" i="3"/>
  <c r="B723" i="3"/>
  <c r="F722" i="3"/>
  <c r="E722" i="3"/>
  <c r="D722" i="3"/>
  <c r="P722" i="3" s="1"/>
  <c r="C722" i="3"/>
  <c r="B722" i="3"/>
  <c r="F721" i="3"/>
  <c r="E721" i="3"/>
  <c r="D721" i="3"/>
  <c r="P721" i="3" s="1"/>
  <c r="C721" i="3"/>
  <c r="B721" i="3"/>
  <c r="F720" i="3"/>
  <c r="E720" i="3"/>
  <c r="D720" i="3"/>
  <c r="P720" i="3" s="1"/>
  <c r="C720" i="3"/>
  <c r="B720" i="3"/>
  <c r="F719" i="3"/>
  <c r="E719" i="3"/>
  <c r="D719" i="3"/>
  <c r="P719" i="3" s="1"/>
  <c r="C719" i="3"/>
  <c r="B719" i="3"/>
  <c r="F718" i="3"/>
  <c r="E718" i="3"/>
  <c r="D718" i="3"/>
  <c r="P718" i="3" s="1"/>
  <c r="C718" i="3"/>
  <c r="B718" i="3"/>
  <c r="F717" i="3"/>
  <c r="E717" i="3"/>
  <c r="D717" i="3"/>
  <c r="P717" i="3" s="1"/>
  <c r="C717" i="3"/>
  <c r="B717" i="3"/>
  <c r="F716" i="3"/>
  <c r="E716" i="3"/>
  <c r="D716" i="3"/>
  <c r="P716" i="3" s="1"/>
  <c r="C716" i="3"/>
  <c r="B716" i="3"/>
  <c r="F715" i="3"/>
  <c r="E715" i="3"/>
  <c r="D715" i="3"/>
  <c r="P715" i="3" s="1"/>
  <c r="C715" i="3"/>
  <c r="B715" i="3"/>
  <c r="F714" i="3"/>
  <c r="E714" i="3"/>
  <c r="D714" i="3"/>
  <c r="P714" i="3" s="1"/>
  <c r="C714" i="3"/>
  <c r="B714" i="3"/>
  <c r="F713" i="3"/>
  <c r="E713" i="3"/>
  <c r="D713" i="3"/>
  <c r="P713" i="3" s="1"/>
  <c r="C713" i="3"/>
  <c r="B713" i="3"/>
  <c r="F712" i="3"/>
  <c r="E712" i="3"/>
  <c r="D712" i="3"/>
  <c r="P712" i="3" s="1"/>
  <c r="C712" i="3"/>
  <c r="B712" i="3"/>
  <c r="F711" i="3"/>
  <c r="E711" i="3"/>
  <c r="D711" i="3"/>
  <c r="P711" i="3" s="1"/>
  <c r="C711" i="3"/>
  <c r="B711" i="3"/>
  <c r="F710" i="3"/>
  <c r="E710" i="3"/>
  <c r="D710" i="3"/>
  <c r="P710" i="3" s="1"/>
  <c r="C710" i="3"/>
  <c r="B710" i="3"/>
  <c r="F709" i="3"/>
  <c r="E709" i="3"/>
  <c r="D709" i="3"/>
  <c r="P709" i="3" s="1"/>
  <c r="C709" i="3"/>
  <c r="B709" i="3"/>
  <c r="F708" i="3"/>
  <c r="E708" i="3"/>
  <c r="D708" i="3"/>
  <c r="P708" i="3" s="1"/>
  <c r="C708" i="3"/>
  <c r="B708" i="3"/>
  <c r="F707" i="3"/>
  <c r="E707" i="3"/>
  <c r="D707" i="3"/>
  <c r="P707" i="3" s="1"/>
  <c r="C707" i="3"/>
  <c r="B707" i="3"/>
  <c r="F706" i="3"/>
  <c r="E706" i="3"/>
  <c r="D706" i="3"/>
  <c r="P706" i="3" s="1"/>
  <c r="C706" i="3"/>
  <c r="B706" i="3"/>
  <c r="F705" i="3"/>
  <c r="E705" i="3"/>
  <c r="D705" i="3"/>
  <c r="P705" i="3" s="1"/>
  <c r="C705" i="3"/>
  <c r="B705" i="3"/>
  <c r="F704" i="3"/>
  <c r="E704" i="3"/>
  <c r="D704" i="3"/>
  <c r="P704" i="3" s="1"/>
  <c r="C704" i="3"/>
  <c r="B704" i="3"/>
  <c r="F703" i="3"/>
  <c r="E703" i="3"/>
  <c r="D703" i="3"/>
  <c r="P703" i="3" s="1"/>
  <c r="C703" i="3"/>
  <c r="B703" i="3"/>
  <c r="F702" i="3"/>
  <c r="E702" i="3"/>
  <c r="D702" i="3"/>
  <c r="P702" i="3" s="1"/>
  <c r="C702" i="3"/>
  <c r="B702" i="3"/>
  <c r="F701" i="3"/>
  <c r="E701" i="3"/>
  <c r="D701" i="3"/>
  <c r="P701" i="3" s="1"/>
  <c r="C701" i="3"/>
  <c r="B701" i="3"/>
  <c r="F700" i="3"/>
  <c r="E700" i="3"/>
  <c r="D700" i="3"/>
  <c r="P700" i="3" s="1"/>
  <c r="C700" i="3"/>
  <c r="B700" i="3"/>
  <c r="F699" i="3"/>
  <c r="E699" i="3"/>
  <c r="D699" i="3"/>
  <c r="P699" i="3" s="1"/>
  <c r="C699" i="3"/>
  <c r="B699" i="3"/>
  <c r="F698" i="3"/>
  <c r="E698" i="3"/>
  <c r="D698" i="3"/>
  <c r="P698" i="3" s="1"/>
  <c r="C698" i="3"/>
  <c r="B698" i="3"/>
  <c r="F697" i="3"/>
  <c r="E697" i="3"/>
  <c r="D697" i="3"/>
  <c r="P697" i="3" s="1"/>
  <c r="C697" i="3"/>
  <c r="B697" i="3"/>
  <c r="F696" i="3"/>
  <c r="E696" i="3"/>
  <c r="D696" i="3"/>
  <c r="P696" i="3" s="1"/>
  <c r="C696" i="3"/>
  <c r="B696" i="3"/>
  <c r="F695" i="3"/>
  <c r="E695" i="3"/>
  <c r="D695" i="3"/>
  <c r="P695" i="3" s="1"/>
  <c r="C695" i="3"/>
  <c r="B695" i="3"/>
  <c r="F694" i="3"/>
  <c r="E694" i="3"/>
  <c r="D694" i="3"/>
  <c r="P694" i="3" s="1"/>
  <c r="C694" i="3"/>
  <c r="B694" i="3"/>
  <c r="F693" i="3"/>
  <c r="E693" i="3"/>
  <c r="D693" i="3"/>
  <c r="P693" i="3" s="1"/>
  <c r="C693" i="3"/>
  <c r="B693" i="3"/>
  <c r="F692" i="3"/>
  <c r="E692" i="3"/>
  <c r="D692" i="3"/>
  <c r="P692" i="3" s="1"/>
  <c r="C692" i="3"/>
  <c r="B692" i="3"/>
  <c r="F691" i="3"/>
  <c r="E691" i="3"/>
  <c r="D691" i="3"/>
  <c r="P691" i="3" s="1"/>
  <c r="C691" i="3"/>
  <c r="B691" i="3"/>
  <c r="F690" i="3"/>
  <c r="E690" i="3"/>
  <c r="D690" i="3"/>
  <c r="P690" i="3" s="1"/>
  <c r="C690" i="3"/>
  <c r="B690" i="3"/>
  <c r="F689" i="3"/>
  <c r="E689" i="3"/>
  <c r="D689" i="3"/>
  <c r="P689" i="3" s="1"/>
  <c r="C689" i="3"/>
  <c r="B689" i="3"/>
  <c r="F688" i="3"/>
  <c r="E688" i="3"/>
  <c r="D688" i="3"/>
  <c r="P688" i="3" s="1"/>
  <c r="C688" i="3"/>
  <c r="B688" i="3"/>
  <c r="F687" i="3"/>
  <c r="E687" i="3"/>
  <c r="D687" i="3"/>
  <c r="P687" i="3" s="1"/>
  <c r="C687" i="3"/>
  <c r="B687" i="3"/>
  <c r="F686" i="3"/>
  <c r="E686" i="3"/>
  <c r="D686" i="3"/>
  <c r="P686" i="3" s="1"/>
  <c r="C686" i="3"/>
  <c r="B686" i="3"/>
  <c r="F685" i="3"/>
  <c r="E685" i="3"/>
  <c r="D685" i="3"/>
  <c r="P685" i="3" s="1"/>
  <c r="C685" i="3"/>
  <c r="B685" i="3"/>
  <c r="F684" i="3"/>
  <c r="E684" i="3"/>
  <c r="D684" i="3"/>
  <c r="P684" i="3" s="1"/>
  <c r="C684" i="3"/>
  <c r="B684" i="3"/>
  <c r="F683" i="3"/>
  <c r="E683" i="3"/>
  <c r="D683" i="3"/>
  <c r="P683" i="3" s="1"/>
  <c r="C683" i="3"/>
  <c r="B683" i="3"/>
  <c r="F682" i="3"/>
  <c r="E682" i="3"/>
  <c r="D682" i="3"/>
  <c r="P682" i="3" s="1"/>
  <c r="C682" i="3"/>
  <c r="B682" i="3"/>
  <c r="F681" i="3"/>
  <c r="E681" i="3"/>
  <c r="D681" i="3"/>
  <c r="P681" i="3" s="1"/>
  <c r="C681" i="3"/>
  <c r="B681" i="3"/>
  <c r="F680" i="3"/>
  <c r="E680" i="3"/>
  <c r="D680" i="3"/>
  <c r="P680" i="3" s="1"/>
  <c r="C680" i="3"/>
  <c r="B680" i="3"/>
  <c r="F679" i="3"/>
  <c r="E679" i="3"/>
  <c r="D679" i="3"/>
  <c r="P679" i="3" s="1"/>
  <c r="C679" i="3"/>
  <c r="B679" i="3"/>
  <c r="F678" i="3"/>
  <c r="E678" i="3"/>
  <c r="D678" i="3"/>
  <c r="P678" i="3" s="1"/>
  <c r="C678" i="3"/>
  <c r="B678" i="3"/>
  <c r="F677" i="3"/>
  <c r="E677" i="3"/>
  <c r="D677" i="3"/>
  <c r="P677" i="3" s="1"/>
  <c r="C677" i="3"/>
  <c r="B677" i="3"/>
  <c r="F676" i="3"/>
  <c r="E676" i="3"/>
  <c r="D676" i="3"/>
  <c r="P676" i="3" s="1"/>
  <c r="C676" i="3"/>
  <c r="B676" i="3"/>
  <c r="F675" i="3"/>
  <c r="E675" i="3"/>
  <c r="D675" i="3"/>
  <c r="P675" i="3" s="1"/>
  <c r="C675" i="3"/>
  <c r="B675" i="3"/>
  <c r="F674" i="3"/>
  <c r="E674" i="3"/>
  <c r="D674" i="3"/>
  <c r="P674" i="3" s="1"/>
  <c r="C674" i="3"/>
  <c r="B674" i="3"/>
  <c r="F673" i="3"/>
  <c r="E673" i="3"/>
  <c r="D673" i="3"/>
  <c r="P673" i="3" s="1"/>
  <c r="C673" i="3"/>
  <c r="B673" i="3"/>
  <c r="F672" i="3"/>
  <c r="E672" i="3"/>
  <c r="D672" i="3"/>
  <c r="P672" i="3" s="1"/>
  <c r="C672" i="3"/>
  <c r="B672" i="3"/>
  <c r="F671" i="3"/>
  <c r="E671" i="3"/>
  <c r="D671" i="3"/>
  <c r="P671" i="3" s="1"/>
  <c r="C671" i="3"/>
  <c r="B671" i="3"/>
  <c r="F670" i="3"/>
  <c r="E670" i="3"/>
  <c r="D670" i="3"/>
  <c r="P670" i="3" s="1"/>
  <c r="C670" i="3"/>
  <c r="B670" i="3"/>
  <c r="F669" i="3"/>
  <c r="E669" i="3"/>
  <c r="D669" i="3"/>
  <c r="P669" i="3" s="1"/>
  <c r="C669" i="3"/>
  <c r="B669" i="3"/>
  <c r="F668" i="3"/>
  <c r="E668" i="3"/>
  <c r="D668" i="3"/>
  <c r="P668" i="3" s="1"/>
  <c r="C668" i="3"/>
  <c r="B668" i="3"/>
  <c r="F667" i="3"/>
  <c r="E667" i="3"/>
  <c r="D667" i="3"/>
  <c r="P667" i="3" s="1"/>
  <c r="C667" i="3"/>
  <c r="B667" i="3"/>
  <c r="F666" i="3"/>
  <c r="E666" i="3"/>
  <c r="D666" i="3"/>
  <c r="P666" i="3" s="1"/>
  <c r="C666" i="3"/>
  <c r="B666" i="3"/>
  <c r="F665" i="3"/>
  <c r="E665" i="3"/>
  <c r="D665" i="3"/>
  <c r="P665" i="3" s="1"/>
  <c r="C665" i="3"/>
  <c r="B665" i="3"/>
  <c r="F664" i="3"/>
  <c r="E664" i="3"/>
  <c r="D664" i="3"/>
  <c r="P664" i="3" s="1"/>
  <c r="C664" i="3"/>
  <c r="B664" i="3"/>
  <c r="F663" i="3"/>
  <c r="E663" i="3"/>
  <c r="D663" i="3"/>
  <c r="P663" i="3" s="1"/>
  <c r="C663" i="3"/>
  <c r="B663" i="3"/>
  <c r="F662" i="3"/>
  <c r="E662" i="3"/>
  <c r="D662" i="3"/>
  <c r="P662" i="3" s="1"/>
  <c r="C662" i="3"/>
  <c r="B662" i="3"/>
  <c r="F661" i="3"/>
  <c r="E661" i="3"/>
  <c r="D661" i="3"/>
  <c r="P661" i="3" s="1"/>
  <c r="C661" i="3"/>
  <c r="B661" i="3"/>
  <c r="F660" i="3"/>
  <c r="E660" i="3"/>
  <c r="D660" i="3"/>
  <c r="P660" i="3" s="1"/>
  <c r="C660" i="3"/>
  <c r="B660" i="3"/>
  <c r="F659" i="3"/>
  <c r="E659" i="3"/>
  <c r="D659" i="3"/>
  <c r="P659" i="3" s="1"/>
  <c r="C659" i="3"/>
  <c r="B659" i="3"/>
  <c r="F658" i="3"/>
  <c r="E658" i="3"/>
  <c r="D658" i="3"/>
  <c r="P658" i="3" s="1"/>
  <c r="C658" i="3"/>
  <c r="B658" i="3"/>
  <c r="F657" i="3"/>
  <c r="E657" i="3"/>
  <c r="D657" i="3"/>
  <c r="P657" i="3" s="1"/>
  <c r="C657" i="3"/>
  <c r="B657" i="3"/>
  <c r="F656" i="3"/>
  <c r="E656" i="3"/>
  <c r="D656" i="3"/>
  <c r="P656" i="3" s="1"/>
  <c r="C656" i="3"/>
  <c r="B656" i="3"/>
  <c r="F435" i="3"/>
  <c r="E435" i="3"/>
  <c r="D435" i="3"/>
  <c r="C435" i="3"/>
  <c r="B435" i="3"/>
  <c r="F434" i="3"/>
  <c r="E434" i="3"/>
  <c r="D434" i="3"/>
  <c r="C434" i="3"/>
  <c r="B434" i="3"/>
  <c r="F433" i="3"/>
  <c r="E433" i="3"/>
  <c r="D433" i="3"/>
  <c r="C433" i="3"/>
  <c r="B433" i="3"/>
  <c r="F431" i="3"/>
  <c r="E431" i="3"/>
  <c r="D431" i="3"/>
  <c r="C431" i="3"/>
  <c r="B431" i="3"/>
  <c r="F427" i="3"/>
  <c r="E427" i="3"/>
  <c r="D427" i="3"/>
  <c r="C427" i="3"/>
  <c r="B427" i="3"/>
  <c r="F426" i="3"/>
  <c r="E426" i="3"/>
  <c r="D426" i="3"/>
  <c r="C426" i="3"/>
  <c r="B426" i="3"/>
  <c r="F424" i="3"/>
  <c r="E424" i="3"/>
  <c r="D424" i="3"/>
  <c r="C424" i="3"/>
  <c r="B424" i="3"/>
  <c r="F423" i="3"/>
  <c r="E423" i="3"/>
  <c r="D423" i="3"/>
  <c r="C423" i="3"/>
  <c r="B423" i="3"/>
  <c r="F421" i="3"/>
  <c r="E421" i="3"/>
  <c r="D421" i="3"/>
  <c r="C421" i="3"/>
  <c r="B421" i="3"/>
  <c r="F419" i="3"/>
  <c r="E419" i="3"/>
  <c r="D419" i="3"/>
  <c r="C419" i="3"/>
  <c r="B419" i="3"/>
  <c r="F418" i="3"/>
  <c r="E418" i="3"/>
  <c r="D418" i="3"/>
  <c r="C418" i="3"/>
  <c r="B418" i="3"/>
  <c r="F416" i="3"/>
  <c r="E416" i="3"/>
  <c r="D416" i="3"/>
  <c r="C416" i="3"/>
  <c r="B416" i="3"/>
  <c r="F415" i="3"/>
  <c r="E415" i="3"/>
  <c r="D415" i="3"/>
  <c r="C415" i="3"/>
  <c r="B415" i="3"/>
  <c r="F405" i="3"/>
  <c r="E405" i="3"/>
  <c r="D405" i="3"/>
  <c r="C405" i="3"/>
  <c r="B405" i="3"/>
  <c r="F404" i="3"/>
  <c r="E404" i="3"/>
  <c r="D404" i="3"/>
  <c r="C404" i="3"/>
  <c r="B404" i="3"/>
  <c r="F397" i="3"/>
  <c r="E397" i="3"/>
  <c r="D397" i="3"/>
  <c r="C397" i="3"/>
  <c r="B397" i="3"/>
  <c r="F396" i="3"/>
  <c r="E396" i="3"/>
  <c r="D396" i="3"/>
  <c r="C396" i="3"/>
  <c r="B396" i="3"/>
  <c r="F392" i="3"/>
  <c r="E392" i="3"/>
  <c r="D392" i="3"/>
  <c r="C392" i="3"/>
  <c r="B392" i="3"/>
  <c r="F388" i="3"/>
  <c r="E388" i="3"/>
  <c r="D388" i="3"/>
  <c r="C388" i="3"/>
  <c r="B388" i="3"/>
  <c r="F387" i="3"/>
  <c r="E387" i="3"/>
  <c r="D387" i="3"/>
  <c r="C387" i="3"/>
  <c r="B387" i="3"/>
  <c r="F384" i="3"/>
  <c r="E384" i="3"/>
  <c r="D384" i="3"/>
  <c r="C384" i="3"/>
  <c r="B384" i="3"/>
  <c r="F381" i="3"/>
  <c r="E381" i="3"/>
  <c r="D381" i="3"/>
  <c r="C381" i="3"/>
  <c r="B381" i="3"/>
  <c r="F379" i="3"/>
  <c r="E379" i="3"/>
  <c r="D379" i="3"/>
  <c r="C379" i="3"/>
  <c r="B379" i="3"/>
  <c r="F378" i="3"/>
  <c r="E378" i="3"/>
  <c r="D378" i="3"/>
  <c r="C378" i="3"/>
  <c r="B378" i="3"/>
  <c r="F377" i="3"/>
  <c r="E377" i="3"/>
  <c r="D377" i="3"/>
  <c r="C377" i="3"/>
  <c r="B377" i="3"/>
  <c r="F376" i="3"/>
  <c r="E376" i="3"/>
  <c r="D376" i="3"/>
  <c r="C376" i="3"/>
  <c r="B376" i="3"/>
  <c r="F373" i="3"/>
  <c r="E373" i="3"/>
  <c r="D373" i="3"/>
  <c r="C373" i="3"/>
  <c r="B373" i="3"/>
  <c r="F367" i="3"/>
  <c r="E367" i="3"/>
  <c r="D367" i="3"/>
  <c r="C367" i="3"/>
  <c r="B367" i="3"/>
  <c r="F365" i="3"/>
  <c r="E365" i="3"/>
  <c r="D365" i="3"/>
  <c r="C365" i="3"/>
  <c r="B365" i="3"/>
  <c r="F363" i="3"/>
  <c r="E363" i="3"/>
  <c r="D363" i="3"/>
  <c r="C363" i="3"/>
  <c r="B363" i="3"/>
  <c r="F361" i="3"/>
  <c r="E361" i="3"/>
  <c r="D361" i="3"/>
  <c r="C361" i="3"/>
  <c r="B361" i="3"/>
  <c r="F360" i="3"/>
  <c r="E360" i="3"/>
  <c r="D360" i="3"/>
  <c r="C360" i="3"/>
  <c r="B360" i="3"/>
  <c r="F358" i="3"/>
  <c r="E358" i="3"/>
  <c r="D358" i="3"/>
  <c r="C358" i="3"/>
  <c r="B358" i="3"/>
  <c r="F357" i="3"/>
  <c r="E357" i="3"/>
  <c r="D357" i="3"/>
  <c r="C357" i="3"/>
  <c r="B357" i="3"/>
  <c r="F354" i="3"/>
  <c r="E354" i="3"/>
  <c r="D354" i="3"/>
  <c r="C354" i="3"/>
  <c r="B354" i="3"/>
  <c r="F351" i="3"/>
  <c r="E351" i="3"/>
  <c r="D351" i="3"/>
  <c r="C351" i="3"/>
  <c r="B351" i="3"/>
  <c r="F349" i="3"/>
  <c r="E349" i="3"/>
  <c r="D349" i="3"/>
  <c r="C349" i="3"/>
  <c r="B349" i="3"/>
  <c r="F346" i="3"/>
  <c r="E346" i="3"/>
  <c r="D346" i="3"/>
  <c r="C346" i="3"/>
  <c r="B346" i="3"/>
  <c r="F345" i="3"/>
  <c r="E345" i="3"/>
  <c r="D345" i="3"/>
  <c r="C345" i="3"/>
  <c r="B345" i="3"/>
  <c r="F344" i="3"/>
  <c r="E344" i="3"/>
  <c r="D344" i="3"/>
  <c r="C344" i="3"/>
  <c r="B344" i="3"/>
  <c r="F342" i="3"/>
  <c r="E342" i="3"/>
  <c r="D342" i="3"/>
  <c r="C342" i="3"/>
  <c r="B342" i="3"/>
  <c r="F341" i="3"/>
  <c r="E341" i="3"/>
  <c r="D341" i="3"/>
  <c r="C341" i="3"/>
  <c r="B341" i="3"/>
  <c r="F337" i="3"/>
  <c r="E337" i="3"/>
  <c r="D337" i="3"/>
  <c r="C337" i="3"/>
  <c r="B337" i="3"/>
  <c r="F335" i="3"/>
  <c r="E335" i="3"/>
  <c r="D335" i="3"/>
  <c r="C335" i="3"/>
  <c r="B335" i="3"/>
  <c r="F334" i="3"/>
  <c r="E334" i="3"/>
  <c r="D334" i="3"/>
  <c r="C334" i="3"/>
  <c r="B334" i="3"/>
  <c r="F333" i="3"/>
  <c r="E333" i="3"/>
  <c r="D333" i="3"/>
  <c r="C333" i="3"/>
  <c r="B333" i="3"/>
  <c r="F329" i="3"/>
  <c r="E329" i="3"/>
  <c r="D329" i="3"/>
  <c r="C329" i="3"/>
  <c r="B329" i="3"/>
  <c r="F323" i="3"/>
  <c r="E323" i="3"/>
  <c r="D323" i="3"/>
  <c r="C323" i="3"/>
  <c r="B323" i="3"/>
  <c r="F319" i="3"/>
  <c r="E319" i="3"/>
  <c r="D319" i="3"/>
  <c r="C319" i="3"/>
  <c r="B319" i="3"/>
  <c r="F318" i="3"/>
  <c r="E318" i="3"/>
  <c r="D318" i="3"/>
  <c r="C318" i="3"/>
  <c r="B318" i="3"/>
  <c r="F317" i="3"/>
  <c r="E317" i="3"/>
  <c r="D317" i="3"/>
  <c r="C317" i="3"/>
  <c r="B317" i="3"/>
  <c r="F312" i="3"/>
  <c r="E312" i="3"/>
  <c r="D312" i="3"/>
  <c r="C312" i="3"/>
  <c r="B312" i="3"/>
  <c r="F310" i="3"/>
  <c r="E310" i="3"/>
  <c r="D310" i="3"/>
  <c r="C310" i="3"/>
  <c r="B310" i="3"/>
  <c r="F305" i="3"/>
  <c r="E305" i="3"/>
  <c r="D305" i="3"/>
  <c r="C305" i="3"/>
  <c r="B305" i="3"/>
  <c r="F301" i="3"/>
  <c r="E301" i="3"/>
  <c r="D301" i="3"/>
  <c r="C301" i="3"/>
  <c r="B301" i="3"/>
  <c r="F300" i="3"/>
  <c r="E300" i="3"/>
  <c r="D300" i="3"/>
  <c r="C300" i="3"/>
  <c r="B300" i="3"/>
  <c r="F299" i="3"/>
  <c r="E299" i="3"/>
  <c r="D299" i="3"/>
  <c r="C299" i="3"/>
  <c r="B299" i="3"/>
  <c r="F296" i="3"/>
  <c r="E296" i="3"/>
  <c r="D296" i="3"/>
  <c r="C296" i="3"/>
  <c r="B296" i="3"/>
  <c r="F295" i="3"/>
  <c r="E295" i="3"/>
  <c r="D295" i="3"/>
  <c r="C295" i="3"/>
  <c r="B295" i="3"/>
  <c r="F291" i="3"/>
  <c r="E291" i="3"/>
  <c r="D291" i="3"/>
  <c r="C291" i="3"/>
  <c r="B291" i="3"/>
  <c r="F289" i="3"/>
  <c r="E289" i="3"/>
  <c r="D289" i="3"/>
  <c r="C289" i="3"/>
  <c r="B289" i="3"/>
  <c r="F284" i="3"/>
  <c r="E284" i="3"/>
  <c r="D284" i="3"/>
  <c r="C284" i="3"/>
  <c r="B284" i="3"/>
  <c r="F281" i="3"/>
  <c r="E281" i="3"/>
  <c r="D281" i="3"/>
  <c r="C281" i="3"/>
  <c r="B281" i="3"/>
  <c r="F277" i="3"/>
  <c r="E277" i="3"/>
  <c r="D277" i="3"/>
  <c r="C277" i="3"/>
  <c r="B277" i="3"/>
  <c r="F276" i="3"/>
  <c r="E276" i="3"/>
  <c r="D276" i="3"/>
  <c r="C276" i="3"/>
  <c r="B276" i="3"/>
  <c r="F275" i="3"/>
  <c r="E275" i="3"/>
  <c r="D275" i="3"/>
  <c r="C275" i="3"/>
  <c r="B275" i="3"/>
  <c r="F272" i="3"/>
  <c r="E272" i="3"/>
  <c r="D272" i="3"/>
  <c r="C272" i="3"/>
  <c r="B272" i="3"/>
  <c r="F271" i="3"/>
  <c r="E271" i="3"/>
  <c r="D271" i="3"/>
  <c r="C271" i="3"/>
  <c r="B271" i="3"/>
  <c r="F267" i="3"/>
  <c r="E267" i="3"/>
  <c r="D267" i="3"/>
  <c r="C267" i="3"/>
  <c r="B267" i="3"/>
  <c r="F259" i="3"/>
  <c r="E259" i="3"/>
  <c r="D259" i="3"/>
  <c r="C259" i="3"/>
  <c r="B259" i="3"/>
  <c r="F258" i="3"/>
  <c r="E258" i="3"/>
  <c r="D258" i="3"/>
  <c r="C258" i="3"/>
  <c r="B258" i="3"/>
  <c r="F256" i="3"/>
  <c r="E256" i="3"/>
  <c r="D256" i="3"/>
  <c r="C256" i="3"/>
  <c r="B256" i="3"/>
  <c r="F250" i="3"/>
  <c r="E250" i="3"/>
  <c r="D250" i="3"/>
  <c r="C250" i="3"/>
  <c r="B250" i="3"/>
  <c r="F249" i="3"/>
  <c r="E249" i="3"/>
  <c r="D249" i="3"/>
  <c r="C249" i="3"/>
  <c r="B249" i="3"/>
  <c r="F248" i="3"/>
  <c r="E248" i="3"/>
  <c r="D248" i="3"/>
  <c r="C248" i="3"/>
  <c r="B248" i="3"/>
  <c r="F244" i="3"/>
  <c r="E244" i="3"/>
  <c r="D244" i="3"/>
  <c r="C244" i="3"/>
  <c r="B244" i="3"/>
  <c r="F243" i="3"/>
  <c r="E243" i="3"/>
  <c r="D243" i="3"/>
  <c r="C243" i="3"/>
  <c r="B243" i="3"/>
  <c r="F239" i="3"/>
  <c r="E239" i="3"/>
  <c r="D239" i="3"/>
  <c r="C239" i="3"/>
  <c r="B239" i="3"/>
  <c r="F237" i="3"/>
  <c r="E237" i="3"/>
  <c r="D237" i="3"/>
  <c r="C237" i="3"/>
  <c r="B237" i="3"/>
  <c r="F234" i="3"/>
  <c r="E234" i="3"/>
  <c r="D234" i="3"/>
  <c r="C234" i="3"/>
  <c r="B234" i="3"/>
  <c r="F232" i="3"/>
  <c r="E232" i="3"/>
  <c r="D232" i="3"/>
  <c r="C232" i="3"/>
  <c r="B232" i="3"/>
  <c r="F228" i="3"/>
  <c r="E228" i="3"/>
  <c r="D228" i="3"/>
  <c r="C228" i="3"/>
  <c r="B228" i="3"/>
  <c r="F227" i="3"/>
  <c r="E227" i="3"/>
  <c r="D227" i="3"/>
  <c r="C227" i="3"/>
  <c r="B227" i="3"/>
  <c r="F222" i="3"/>
  <c r="E222" i="3"/>
  <c r="D222" i="3"/>
  <c r="C222" i="3"/>
  <c r="B222" i="3"/>
  <c r="F221" i="3"/>
  <c r="E221" i="3"/>
  <c r="D221" i="3"/>
  <c r="C221" i="3"/>
  <c r="B221" i="3"/>
  <c r="F217" i="3"/>
  <c r="E217" i="3"/>
  <c r="D217" i="3"/>
  <c r="C217" i="3"/>
  <c r="B217" i="3"/>
  <c r="F213" i="3"/>
  <c r="E213" i="3"/>
  <c r="D213" i="3"/>
  <c r="C213" i="3"/>
  <c r="B213" i="3"/>
  <c r="F207" i="3"/>
  <c r="E207" i="3"/>
  <c r="D207" i="3"/>
  <c r="C207" i="3"/>
  <c r="B207" i="3"/>
  <c r="F206" i="3"/>
  <c r="E206" i="3"/>
  <c r="D206" i="3"/>
  <c r="C206" i="3"/>
  <c r="B206" i="3"/>
  <c r="F204" i="3"/>
  <c r="E204" i="3"/>
  <c r="D204" i="3"/>
  <c r="C204" i="3"/>
  <c r="B204" i="3"/>
  <c r="F202" i="3"/>
  <c r="E202" i="3"/>
  <c r="D202" i="3"/>
  <c r="C202" i="3"/>
  <c r="B202" i="3"/>
  <c r="F200" i="3"/>
  <c r="E200" i="3"/>
  <c r="D200" i="3"/>
  <c r="C200" i="3"/>
  <c r="B200" i="3"/>
  <c r="F199" i="3"/>
  <c r="E199" i="3"/>
  <c r="D199" i="3"/>
  <c r="C199" i="3"/>
  <c r="B199" i="3"/>
  <c r="F190" i="3"/>
  <c r="E190" i="3"/>
  <c r="D190" i="3"/>
  <c r="C190" i="3"/>
  <c r="B190" i="3"/>
  <c r="F187" i="3"/>
  <c r="E187" i="3"/>
  <c r="D187" i="3"/>
  <c r="C187" i="3"/>
  <c r="B187" i="3"/>
  <c r="F185" i="3"/>
  <c r="E185" i="3"/>
  <c r="D185" i="3"/>
  <c r="C185" i="3"/>
  <c r="B185" i="3"/>
  <c r="F183" i="3"/>
  <c r="E183" i="3"/>
  <c r="D183" i="3"/>
  <c r="C183" i="3"/>
  <c r="B183" i="3"/>
  <c r="F174" i="3"/>
  <c r="E174" i="3"/>
  <c r="D174" i="3"/>
  <c r="C174" i="3"/>
  <c r="B174" i="3"/>
  <c r="F173" i="3"/>
  <c r="E173" i="3"/>
  <c r="D173" i="3"/>
  <c r="C173" i="3"/>
  <c r="B173" i="3"/>
  <c r="F170" i="3"/>
  <c r="E170" i="3"/>
  <c r="D170" i="3"/>
  <c r="C170" i="3"/>
  <c r="B170" i="3"/>
  <c r="F169" i="3"/>
  <c r="E169" i="3"/>
  <c r="D169" i="3"/>
  <c r="C169" i="3"/>
  <c r="B169" i="3"/>
  <c r="F166" i="3"/>
  <c r="E166" i="3"/>
  <c r="D166" i="3"/>
  <c r="C166" i="3"/>
  <c r="B166" i="3"/>
  <c r="F164" i="3"/>
  <c r="E164" i="3"/>
  <c r="D164" i="3"/>
  <c r="C164" i="3"/>
  <c r="B164" i="3"/>
  <c r="F160" i="3"/>
  <c r="E160" i="3"/>
  <c r="D160" i="3"/>
  <c r="C160" i="3"/>
  <c r="B160" i="3"/>
  <c r="F157" i="3"/>
  <c r="E157" i="3"/>
  <c r="D157" i="3"/>
  <c r="C157" i="3"/>
  <c r="B157" i="3"/>
  <c r="F152" i="3"/>
  <c r="E152" i="3"/>
  <c r="D152" i="3"/>
  <c r="C152" i="3"/>
  <c r="B152" i="3"/>
  <c r="F151" i="3"/>
  <c r="E151" i="3"/>
  <c r="D151" i="3"/>
  <c r="C151" i="3"/>
  <c r="B151" i="3"/>
  <c r="F147" i="3"/>
  <c r="E147" i="3"/>
  <c r="D147" i="3"/>
  <c r="C147" i="3"/>
  <c r="B147" i="3"/>
  <c r="F146" i="3"/>
  <c r="E146" i="3"/>
  <c r="D146" i="3"/>
  <c r="C146" i="3"/>
  <c r="B146" i="3"/>
  <c r="F145" i="3"/>
  <c r="E145" i="3"/>
  <c r="D145" i="3"/>
  <c r="C145" i="3"/>
  <c r="B145" i="3"/>
  <c r="F139" i="3"/>
  <c r="E139" i="3"/>
  <c r="D139" i="3"/>
  <c r="C139" i="3"/>
  <c r="B139" i="3"/>
  <c r="F136" i="3"/>
  <c r="E136" i="3"/>
  <c r="D136" i="3"/>
  <c r="C136" i="3"/>
  <c r="B136" i="3"/>
  <c r="F132" i="3"/>
  <c r="E132" i="3"/>
  <c r="D132" i="3"/>
  <c r="C132" i="3"/>
  <c r="B132" i="3"/>
  <c r="F130" i="3"/>
  <c r="E130" i="3"/>
  <c r="D130" i="3"/>
  <c r="C130" i="3"/>
  <c r="B130" i="3"/>
  <c r="F128" i="3"/>
  <c r="E128" i="3"/>
  <c r="D128" i="3"/>
  <c r="C128" i="3"/>
  <c r="B128" i="3"/>
  <c r="F126" i="3"/>
  <c r="E126" i="3"/>
  <c r="D126" i="3"/>
  <c r="C126" i="3"/>
  <c r="B126" i="3"/>
  <c r="F125" i="3"/>
  <c r="E125" i="3"/>
  <c r="D125" i="3"/>
  <c r="C125" i="3"/>
  <c r="B125" i="3"/>
  <c r="F114" i="3"/>
  <c r="E114" i="3"/>
  <c r="D114" i="3"/>
  <c r="C114" i="3"/>
  <c r="B114" i="3"/>
  <c r="F112" i="3"/>
  <c r="E112" i="3"/>
  <c r="D112" i="3"/>
  <c r="C112" i="3"/>
  <c r="B112" i="3"/>
  <c r="F109" i="3"/>
  <c r="E109" i="3"/>
  <c r="D109" i="3"/>
  <c r="C109" i="3"/>
  <c r="B109" i="3"/>
  <c r="F108" i="3"/>
  <c r="E108" i="3"/>
  <c r="D108" i="3"/>
  <c r="C108" i="3"/>
  <c r="B108" i="3"/>
  <c r="F107" i="3"/>
  <c r="E107" i="3"/>
  <c r="D107" i="3"/>
  <c r="C107" i="3"/>
  <c r="B107" i="3"/>
  <c r="F105" i="3"/>
  <c r="E105" i="3"/>
  <c r="D105" i="3"/>
  <c r="C105" i="3"/>
  <c r="B105" i="3"/>
  <c r="F103" i="3"/>
  <c r="E103" i="3"/>
  <c r="D103" i="3"/>
  <c r="C103" i="3"/>
  <c r="B103" i="3"/>
  <c r="F102" i="3"/>
  <c r="E102" i="3"/>
  <c r="D102" i="3"/>
  <c r="C102" i="3"/>
  <c r="B102" i="3"/>
  <c r="F100" i="3"/>
  <c r="E100" i="3"/>
  <c r="D100" i="3"/>
  <c r="C100" i="3"/>
  <c r="B100" i="3"/>
  <c r="F99" i="3"/>
  <c r="E99" i="3"/>
  <c r="D99" i="3"/>
  <c r="C99" i="3"/>
  <c r="B99" i="3"/>
  <c r="F98" i="3"/>
  <c r="E98" i="3"/>
  <c r="D98" i="3"/>
  <c r="C98" i="3"/>
  <c r="B98" i="3"/>
  <c r="F96" i="3"/>
  <c r="E96" i="3"/>
  <c r="D96" i="3"/>
  <c r="C96" i="3"/>
  <c r="B96" i="3"/>
  <c r="F95" i="3"/>
  <c r="E95" i="3"/>
  <c r="D95" i="3"/>
  <c r="C95" i="3"/>
  <c r="B95" i="3"/>
  <c r="F92" i="3"/>
  <c r="E92" i="3"/>
  <c r="D92" i="3"/>
  <c r="C92" i="3"/>
  <c r="B92" i="3"/>
  <c r="F89" i="3"/>
  <c r="E89" i="3"/>
  <c r="D89" i="3"/>
  <c r="C89" i="3"/>
  <c r="B89" i="3"/>
  <c r="F88" i="3"/>
  <c r="E88" i="3"/>
  <c r="D88" i="3"/>
  <c r="C88" i="3"/>
  <c r="B88" i="3"/>
  <c r="F85" i="3"/>
  <c r="E85" i="3"/>
  <c r="D85" i="3"/>
  <c r="C85" i="3"/>
  <c r="B85" i="3"/>
  <c r="F83" i="3"/>
  <c r="E83" i="3"/>
  <c r="D83" i="3"/>
  <c r="C83" i="3"/>
  <c r="B83" i="3"/>
  <c r="F82" i="3"/>
  <c r="E82" i="3"/>
  <c r="D82" i="3"/>
  <c r="C82" i="3"/>
  <c r="B82" i="3"/>
  <c r="F76" i="3"/>
  <c r="E76" i="3"/>
  <c r="D76" i="3"/>
  <c r="C76" i="3"/>
  <c r="B76" i="3"/>
  <c r="F75" i="3"/>
  <c r="E75" i="3"/>
  <c r="D75" i="3"/>
  <c r="C75" i="3"/>
  <c r="B75" i="3"/>
  <c r="F72" i="3"/>
  <c r="E72" i="3"/>
  <c r="D72" i="3"/>
  <c r="C72" i="3"/>
  <c r="B72" i="3"/>
  <c r="F70" i="3"/>
  <c r="E70" i="3"/>
  <c r="D70" i="3"/>
  <c r="C70" i="3"/>
  <c r="B70" i="3"/>
  <c r="F57" i="3"/>
  <c r="E57" i="3"/>
  <c r="D57" i="3"/>
  <c r="C57" i="3"/>
  <c r="B57" i="3"/>
  <c r="F56" i="3"/>
  <c r="E56" i="3"/>
  <c r="D56" i="3"/>
  <c r="C56" i="3"/>
  <c r="B56" i="3"/>
  <c r="F48" i="3"/>
  <c r="E48" i="3"/>
  <c r="D48" i="3"/>
  <c r="C48" i="3"/>
  <c r="B48" i="3"/>
  <c r="F38" i="3"/>
  <c r="E38" i="3"/>
  <c r="D38" i="3"/>
  <c r="C38" i="3"/>
  <c r="B38" i="3"/>
  <c r="F35" i="3"/>
  <c r="E35" i="3"/>
  <c r="D35" i="3"/>
  <c r="C35" i="3"/>
  <c r="B35" i="3"/>
  <c r="F34" i="3"/>
  <c r="E34" i="3"/>
  <c r="D34" i="3"/>
  <c r="C34" i="3"/>
  <c r="B34" i="3"/>
  <c r="F31" i="3"/>
  <c r="E31" i="3"/>
  <c r="D31" i="3"/>
  <c r="C31" i="3"/>
  <c r="B31" i="3"/>
  <c r="F29" i="3"/>
  <c r="E29" i="3"/>
  <c r="D29" i="3"/>
  <c r="C29" i="3"/>
  <c r="B29" i="3"/>
  <c r="F28" i="3"/>
  <c r="E28" i="3"/>
  <c r="D28" i="3"/>
  <c r="C28" i="3"/>
  <c r="B28" i="3"/>
  <c r="F17" i="3"/>
  <c r="E17" i="3"/>
  <c r="D17" i="3"/>
  <c r="C17" i="3"/>
  <c r="B17" i="3"/>
  <c r="F14" i="3"/>
  <c r="E14" i="3"/>
  <c r="D14" i="3"/>
  <c r="C14" i="3"/>
  <c r="B14" i="3"/>
  <c r="F10" i="3"/>
  <c r="E10" i="3"/>
  <c r="D10" i="3"/>
  <c r="C10" i="3"/>
  <c r="B10" i="3"/>
  <c r="F6" i="3"/>
  <c r="E6" i="3"/>
  <c r="D6" i="3"/>
  <c r="C6" i="3"/>
  <c r="B6" i="3"/>
  <c r="F4" i="3"/>
  <c r="E4" i="3"/>
  <c r="D4" i="3"/>
  <c r="C4" i="3"/>
  <c r="B4" i="3"/>
  <c r="O3" i="4"/>
  <c r="P3" i="4"/>
  <c r="Q3" i="4"/>
  <c r="O4" i="4"/>
  <c r="P4" i="4"/>
  <c r="Q4" i="4"/>
  <c r="O5" i="4"/>
  <c r="P5" i="4"/>
  <c r="Q5" i="4"/>
  <c r="O6" i="4"/>
  <c r="P6" i="4"/>
  <c r="Q6" i="4"/>
  <c r="O7" i="4"/>
  <c r="P7" i="4"/>
  <c r="Q7" i="4"/>
  <c r="O8" i="4"/>
  <c r="P8" i="4"/>
  <c r="Q8" i="4"/>
  <c r="O9" i="4"/>
  <c r="P9" i="4"/>
  <c r="Q9" i="4"/>
  <c r="O10" i="4"/>
  <c r="P10" i="4"/>
  <c r="Q10" i="4"/>
  <c r="O11" i="4"/>
  <c r="P11" i="4"/>
  <c r="Q11" i="4"/>
  <c r="O12" i="4"/>
  <c r="P12" i="4"/>
  <c r="Q12" i="4"/>
  <c r="O13" i="4"/>
  <c r="P13" i="4"/>
  <c r="Q13" i="4"/>
  <c r="O14" i="4"/>
  <c r="P14" i="4"/>
  <c r="Q14" i="4"/>
  <c r="O15" i="4"/>
  <c r="P15" i="4"/>
  <c r="Q15" i="4"/>
  <c r="O16" i="4"/>
  <c r="P16" i="4"/>
  <c r="Q16" i="4"/>
  <c r="O17" i="4"/>
  <c r="P17" i="4"/>
  <c r="Q17" i="4"/>
  <c r="O18" i="4"/>
  <c r="P18" i="4"/>
  <c r="Q18" i="4"/>
  <c r="O19" i="4"/>
  <c r="P19" i="4"/>
  <c r="Q19" i="4"/>
  <c r="O20" i="4"/>
  <c r="P20" i="4"/>
  <c r="Q20" i="4"/>
  <c r="O21" i="4"/>
  <c r="P21" i="4"/>
  <c r="Q21" i="4"/>
  <c r="O22" i="4"/>
  <c r="P22" i="4"/>
  <c r="Q22" i="4"/>
  <c r="O23" i="4"/>
  <c r="P23" i="4"/>
  <c r="Q23" i="4"/>
  <c r="O24" i="4"/>
  <c r="P24" i="4"/>
  <c r="Q24" i="4"/>
  <c r="O25" i="4"/>
  <c r="P25" i="4"/>
  <c r="Q25" i="4"/>
  <c r="O26" i="4"/>
  <c r="P26" i="4"/>
  <c r="Q26" i="4"/>
  <c r="O27" i="4"/>
  <c r="P27" i="4"/>
  <c r="Q27" i="4"/>
  <c r="O28" i="4"/>
  <c r="P28" i="4"/>
  <c r="Q28" i="4"/>
  <c r="O29" i="4"/>
  <c r="P29" i="4"/>
  <c r="Q29" i="4"/>
  <c r="O30" i="4"/>
  <c r="P30" i="4"/>
  <c r="Q30" i="4"/>
  <c r="O31" i="4"/>
  <c r="P31" i="4"/>
  <c r="Q31" i="4"/>
  <c r="O32" i="4"/>
  <c r="P32" i="4"/>
  <c r="Q32" i="4"/>
  <c r="O33" i="4"/>
  <c r="P33" i="4"/>
  <c r="Q33" i="4"/>
  <c r="O34" i="4"/>
  <c r="P34" i="4"/>
  <c r="Q34" i="4"/>
  <c r="O35" i="4"/>
  <c r="P35" i="4"/>
  <c r="Q35" i="4"/>
  <c r="O36" i="4"/>
  <c r="P36" i="4"/>
  <c r="Q36" i="4"/>
  <c r="O37" i="4"/>
  <c r="P37" i="4"/>
  <c r="Q37" i="4"/>
  <c r="O38" i="4"/>
  <c r="P38" i="4"/>
  <c r="Q38" i="4"/>
  <c r="O39" i="4"/>
  <c r="P39" i="4"/>
  <c r="Q39" i="4"/>
  <c r="O40" i="4"/>
  <c r="P40" i="4"/>
  <c r="Q40" i="4"/>
  <c r="O41" i="4"/>
  <c r="P41" i="4"/>
  <c r="Q41" i="4"/>
  <c r="O42" i="4"/>
  <c r="P42" i="4"/>
  <c r="Q42" i="4"/>
  <c r="O43" i="4"/>
  <c r="P43" i="4"/>
  <c r="Q43" i="4"/>
  <c r="O44" i="4"/>
  <c r="P44" i="4"/>
  <c r="Q44" i="4"/>
  <c r="O45" i="4"/>
  <c r="P45" i="4"/>
  <c r="Q45" i="4"/>
  <c r="O46" i="4"/>
  <c r="P46" i="4"/>
  <c r="Q46" i="4"/>
  <c r="O47" i="4"/>
  <c r="P47" i="4"/>
  <c r="Q47" i="4"/>
  <c r="O48" i="4"/>
  <c r="P48" i="4"/>
  <c r="Q48" i="4"/>
  <c r="O49" i="4"/>
  <c r="P49" i="4"/>
  <c r="Q49" i="4"/>
  <c r="O50" i="4"/>
  <c r="P50" i="4"/>
  <c r="Q50" i="4"/>
  <c r="O51" i="4"/>
  <c r="P51" i="4"/>
  <c r="Q51" i="4"/>
  <c r="O52" i="4"/>
  <c r="P52" i="4"/>
  <c r="Q52" i="4"/>
  <c r="O53" i="4"/>
  <c r="P53" i="4"/>
  <c r="Q53" i="4"/>
  <c r="O54" i="4"/>
  <c r="P54" i="4"/>
  <c r="Q54" i="4"/>
  <c r="O55" i="4"/>
  <c r="P55" i="4"/>
  <c r="Q55" i="4"/>
  <c r="O56" i="4"/>
  <c r="P56" i="4"/>
  <c r="Q56" i="4"/>
  <c r="O57" i="4"/>
  <c r="P57" i="4"/>
  <c r="Q57" i="4"/>
  <c r="O58" i="4"/>
  <c r="P58" i="4"/>
  <c r="Q58" i="4"/>
  <c r="O59" i="4"/>
  <c r="P59" i="4"/>
  <c r="Q59" i="4"/>
  <c r="O60" i="4"/>
  <c r="P60" i="4"/>
  <c r="Q60" i="4"/>
  <c r="O61" i="4"/>
  <c r="P61" i="4"/>
  <c r="Q61" i="4"/>
  <c r="O62" i="4"/>
  <c r="P62" i="4"/>
  <c r="Q62" i="4"/>
  <c r="O63" i="4"/>
  <c r="P63" i="4"/>
  <c r="Q63" i="4"/>
  <c r="O64" i="4"/>
  <c r="P64" i="4"/>
  <c r="Q64" i="4"/>
  <c r="O65" i="4"/>
  <c r="P65" i="4"/>
  <c r="Q65" i="4"/>
  <c r="O66" i="4"/>
  <c r="P66" i="4"/>
  <c r="Q66" i="4"/>
  <c r="O67" i="4"/>
  <c r="P67" i="4"/>
  <c r="Q67" i="4"/>
  <c r="O68" i="4"/>
  <c r="P68" i="4"/>
  <c r="Q68" i="4"/>
  <c r="O69" i="4"/>
  <c r="P69" i="4"/>
  <c r="Q69" i="4"/>
  <c r="O70" i="4"/>
  <c r="P70" i="4"/>
  <c r="Q70" i="4"/>
  <c r="O71" i="4"/>
  <c r="P71" i="4"/>
  <c r="Q71" i="4"/>
  <c r="O72" i="4"/>
  <c r="P72" i="4"/>
  <c r="Q72" i="4"/>
  <c r="O73" i="4"/>
  <c r="P73" i="4"/>
  <c r="Q73" i="4"/>
  <c r="O74" i="4"/>
  <c r="P74" i="4"/>
  <c r="Q74" i="4"/>
  <c r="O75" i="4"/>
  <c r="P75" i="4"/>
  <c r="Q75" i="4"/>
  <c r="O76" i="4"/>
  <c r="P76" i="4"/>
  <c r="Q76" i="4"/>
  <c r="O77" i="4"/>
  <c r="P77" i="4"/>
  <c r="Q77" i="4"/>
  <c r="O78" i="4"/>
  <c r="P78" i="4"/>
  <c r="Q78" i="4"/>
  <c r="O79" i="4"/>
  <c r="P79" i="4"/>
  <c r="Q79" i="4"/>
  <c r="O80" i="4"/>
  <c r="P80" i="4"/>
  <c r="Q80" i="4"/>
  <c r="O81" i="4"/>
  <c r="P81" i="4"/>
  <c r="Q81" i="4"/>
  <c r="O82" i="4"/>
  <c r="P82" i="4"/>
  <c r="Q82" i="4"/>
  <c r="O83" i="4"/>
  <c r="P83" i="4"/>
  <c r="Q83" i="4"/>
  <c r="O84" i="4"/>
  <c r="P84" i="4"/>
  <c r="Q84" i="4"/>
  <c r="O85" i="4"/>
  <c r="P85" i="4"/>
  <c r="Q85" i="4"/>
  <c r="O86" i="4"/>
  <c r="P86" i="4"/>
  <c r="Q86" i="4"/>
  <c r="O87" i="4"/>
  <c r="P87" i="4"/>
  <c r="Q87" i="4"/>
  <c r="O88" i="4"/>
  <c r="P88" i="4"/>
  <c r="Q88" i="4"/>
  <c r="O89" i="4"/>
  <c r="P89" i="4"/>
  <c r="Q89" i="4"/>
  <c r="O90" i="4"/>
  <c r="P90" i="4"/>
  <c r="Q90" i="4"/>
  <c r="O91" i="4"/>
  <c r="P91" i="4"/>
  <c r="Q91" i="4"/>
  <c r="O92" i="4"/>
  <c r="P92" i="4"/>
  <c r="Q92" i="4"/>
  <c r="O93" i="4"/>
  <c r="P93" i="4"/>
  <c r="Q93" i="4"/>
  <c r="O94" i="4"/>
  <c r="P94" i="4"/>
  <c r="Q94" i="4"/>
  <c r="O95" i="4"/>
  <c r="P95" i="4"/>
  <c r="Q95" i="4"/>
  <c r="O96" i="4"/>
  <c r="P96" i="4"/>
  <c r="Q96" i="4"/>
  <c r="O97" i="4"/>
  <c r="P97" i="4"/>
  <c r="Q97" i="4"/>
  <c r="O98" i="4"/>
  <c r="P98" i="4"/>
  <c r="Q98" i="4"/>
  <c r="O99" i="4"/>
  <c r="P99" i="4"/>
  <c r="Q99" i="4"/>
  <c r="O100" i="4"/>
  <c r="P100" i="4"/>
  <c r="Q100" i="4"/>
  <c r="O101" i="4"/>
  <c r="P101" i="4"/>
  <c r="Q101" i="4"/>
  <c r="O102" i="4"/>
  <c r="P102" i="4"/>
  <c r="Q102" i="4"/>
  <c r="O103" i="4"/>
  <c r="P103" i="4"/>
  <c r="Q103" i="4"/>
  <c r="O104" i="4"/>
  <c r="P104" i="4"/>
  <c r="Q104" i="4"/>
  <c r="O105" i="4"/>
  <c r="P105" i="4"/>
  <c r="Q105" i="4"/>
  <c r="O106" i="4"/>
  <c r="P106" i="4"/>
  <c r="Q106" i="4"/>
  <c r="O107" i="4"/>
  <c r="P107" i="4"/>
  <c r="Q107" i="4"/>
  <c r="O108" i="4"/>
  <c r="P108" i="4"/>
  <c r="Q108" i="4"/>
  <c r="O109" i="4"/>
  <c r="P109" i="4"/>
  <c r="Q109" i="4"/>
  <c r="O110" i="4"/>
  <c r="P110" i="4"/>
  <c r="Q110" i="4"/>
  <c r="O111" i="4"/>
  <c r="P111" i="4"/>
  <c r="Q111" i="4"/>
  <c r="O112" i="4"/>
  <c r="P112" i="4"/>
  <c r="Q112" i="4"/>
  <c r="O113" i="4"/>
  <c r="P113" i="4"/>
  <c r="Q113" i="4"/>
  <c r="O114" i="4"/>
  <c r="P114" i="4"/>
  <c r="Q114" i="4"/>
  <c r="O115" i="4"/>
  <c r="P115" i="4"/>
  <c r="Q115" i="4"/>
  <c r="O116" i="4"/>
  <c r="P116" i="4"/>
  <c r="Q116" i="4"/>
  <c r="O117" i="4"/>
  <c r="P117" i="4"/>
  <c r="Q117" i="4"/>
  <c r="O118" i="4"/>
  <c r="P118" i="4"/>
  <c r="Q118" i="4"/>
  <c r="O119" i="4"/>
  <c r="P119" i="4"/>
  <c r="Q119" i="4"/>
  <c r="O120" i="4"/>
  <c r="P120" i="4"/>
  <c r="Q120" i="4"/>
  <c r="O121" i="4"/>
  <c r="P121" i="4"/>
  <c r="Q121" i="4"/>
  <c r="O122" i="4"/>
  <c r="P122" i="4"/>
  <c r="Q122" i="4"/>
  <c r="O123" i="4"/>
  <c r="P123" i="4"/>
  <c r="Q123" i="4"/>
  <c r="O124" i="4"/>
  <c r="P124" i="4"/>
  <c r="Q124" i="4"/>
  <c r="O125" i="4"/>
  <c r="P125" i="4"/>
  <c r="Q125" i="4"/>
  <c r="O126" i="4"/>
  <c r="P126" i="4"/>
  <c r="Q126" i="4"/>
  <c r="O127" i="4"/>
  <c r="P127" i="4"/>
  <c r="Q127" i="4"/>
  <c r="O128" i="4"/>
  <c r="P128" i="4"/>
  <c r="Q128" i="4"/>
  <c r="O129" i="4"/>
  <c r="P129" i="4"/>
  <c r="Q129" i="4"/>
  <c r="O130" i="4"/>
  <c r="P130" i="4"/>
  <c r="Q130" i="4"/>
  <c r="O131" i="4"/>
  <c r="P131" i="4"/>
  <c r="Q131" i="4"/>
  <c r="O132" i="4"/>
  <c r="P132" i="4"/>
  <c r="Q132" i="4"/>
  <c r="O133" i="4"/>
  <c r="P133" i="4"/>
  <c r="Q133" i="4"/>
  <c r="O134" i="4"/>
  <c r="P134" i="4"/>
  <c r="Q134" i="4"/>
  <c r="O135" i="4"/>
  <c r="P135" i="4"/>
  <c r="Q135" i="4"/>
  <c r="O136" i="4"/>
  <c r="P136" i="4"/>
  <c r="Q136" i="4"/>
  <c r="O137" i="4"/>
  <c r="P137" i="4"/>
  <c r="Q137" i="4"/>
  <c r="O138" i="4"/>
  <c r="P138" i="4"/>
  <c r="Q138" i="4"/>
  <c r="O139" i="4"/>
  <c r="P139" i="4"/>
  <c r="Q139" i="4"/>
  <c r="O140" i="4"/>
  <c r="P140" i="4"/>
  <c r="Q140" i="4"/>
  <c r="O141" i="4"/>
  <c r="P141" i="4"/>
  <c r="Q141" i="4"/>
  <c r="O142" i="4"/>
  <c r="P142" i="4"/>
  <c r="Q142" i="4"/>
  <c r="O143" i="4"/>
  <c r="P143" i="4"/>
  <c r="Q143" i="4"/>
  <c r="O144" i="4"/>
  <c r="P144" i="4"/>
  <c r="Q144" i="4"/>
  <c r="O145" i="4"/>
  <c r="P145" i="4"/>
  <c r="Q145" i="4"/>
  <c r="O146" i="4"/>
  <c r="P146" i="4"/>
  <c r="Q146" i="4"/>
  <c r="O147" i="4"/>
  <c r="P147" i="4"/>
  <c r="Q147" i="4"/>
  <c r="O148" i="4"/>
  <c r="P148" i="4"/>
  <c r="Q148" i="4"/>
  <c r="O149" i="4"/>
  <c r="P149" i="4"/>
  <c r="Q149" i="4"/>
  <c r="O150" i="4"/>
  <c r="P150" i="4"/>
  <c r="Q150" i="4"/>
  <c r="O151" i="4"/>
  <c r="P151" i="4"/>
  <c r="Q151" i="4"/>
  <c r="O152" i="4"/>
  <c r="P152" i="4"/>
  <c r="Q152" i="4"/>
  <c r="O153" i="4"/>
  <c r="P153" i="4"/>
  <c r="Q153" i="4"/>
  <c r="O154" i="4"/>
  <c r="P154" i="4"/>
  <c r="Q154" i="4"/>
  <c r="O155" i="4"/>
  <c r="P155" i="4"/>
  <c r="Q155" i="4"/>
  <c r="O156" i="4"/>
  <c r="P156" i="4"/>
  <c r="Q156" i="4"/>
  <c r="O157" i="4"/>
  <c r="P157" i="4"/>
  <c r="Q157" i="4"/>
  <c r="O158" i="4"/>
  <c r="P158" i="4"/>
  <c r="Q158" i="4"/>
  <c r="O159" i="4"/>
  <c r="P159" i="4"/>
  <c r="Q159" i="4"/>
  <c r="O160" i="4"/>
  <c r="P160" i="4"/>
  <c r="Q160" i="4"/>
  <c r="O161" i="4"/>
  <c r="P161" i="4"/>
  <c r="Q161" i="4"/>
  <c r="O162" i="4"/>
  <c r="P162" i="4"/>
  <c r="Q162" i="4"/>
  <c r="O163" i="4"/>
  <c r="P163" i="4"/>
  <c r="Q163" i="4"/>
  <c r="O164" i="4"/>
  <c r="P164" i="4"/>
  <c r="Q164" i="4"/>
  <c r="O165" i="4"/>
  <c r="P165" i="4"/>
  <c r="Q165" i="4"/>
  <c r="O166" i="4"/>
  <c r="P166" i="4"/>
  <c r="Q166" i="4"/>
  <c r="O167" i="4"/>
  <c r="P167" i="4"/>
  <c r="Q167" i="4"/>
  <c r="O168" i="4"/>
  <c r="P168" i="4"/>
  <c r="Q168" i="4"/>
  <c r="O169" i="4"/>
  <c r="P169" i="4"/>
  <c r="Q169" i="4"/>
  <c r="O170" i="4"/>
  <c r="P170" i="4"/>
  <c r="Q170" i="4"/>
  <c r="O171" i="4"/>
  <c r="P171" i="4"/>
  <c r="Q171" i="4"/>
  <c r="O172" i="4"/>
  <c r="P172" i="4"/>
  <c r="Q172" i="4"/>
  <c r="O173" i="4"/>
  <c r="P173" i="4"/>
  <c r="Q173" i="4"/>
  <c r="O174" i="4"/>
  <c r="P174" i="4"/>
  <c r="Q174" i="4"/>
  <c r="O175" i="4"/>
  <c r="P175" i="4"/>
  <c r="Q175" i="4"/>
  <c r="O176" i="4"/>
  <c r="P176" i="4"/>
  <c r="Q176" i="4"/>
  <c r="O177" i="4"/>
  <c r="P177" i="4"/>
  <c r="Q177" i="4"/>
  <c r="O178" i="4"/>
  <c r="P178" i="4"/>
  <c r="Q178" i="4"/>
  <c r="O179" i="4"/>
  <c r="P179" i="4"/>
  <c r="Q179" i="4"/>
  <c r="O180" i="4"/>
  <c r="P180" i="4"/>
  <c r="Q180" i="4"/>
  <c r="O181" i="4"/>
  <c r="P181" i="4"/>
  <c r="Q181" i="4"/>
  <c r="O182" i="4"/>
  <c r="P182" i="4"/>
  <c r="Q182" i="4"/>
  <c r="O183" i="4"/>
  <c r="P183" i="4"/>
  <c r="Q183" i="4"/>
  <c r="O184" i="4"/>
  <c r="P184" i="4"/>
  <c r="Q184" i="4"/>
  <c r="O185" i="4"/>
  <c r="P185" i="4"/>
  <c r="Q185" i="4"/>
  <c r="O186" i="4"/>
  <c r="P186" i="4"/>
  <c r="Q186" i="4"/>
  <c r="O187" i="4"/>
  <c r="P187" i="4"/>
  <c r="Q187" i="4"/>
  <c r="O188" i="4"/>
  <c r="P188" i="4"/>
  <c r="Q188" i="4"/>
  <c r="O189" i="4"/>
  <c r="P189" i="4"/>
  <c r="Q189" i="4"/>
  <c r="O190" i="4"/>
  <c r="P190" i="4"/>
  <c r="Q190" i="4"/>
  <c r="O191" i="4"/>
  <c r="P191" i="4"/>
  <c r="Q191" i="4"/>
  <c r="O192" i="4"/>
  <c r="P192" i="4"/>
  <c r="Q192" i="4"/>
  <c r="O193" i="4"/>
  <c r="P193" i="4"/>
  <c r="Q193" i="4"/>
  <c r="O194" i="4"/>
  <c r="P194" i="4"/>
  <c r="Q194" i="4"/>
  <c r="O195" i="4"/>
  <c r="P195" i="4"/>
  <c r="Q195" i="4"/>
  <c r="O196" i="4"/>
  <c r="P196" i="4"/>
  <c r="Q196" i="4"/>
  <c r="O197" i="4"/>
  <c r="P197" i="4"/>
  <c r="Q197" i="4"/>
  <c r="O198" i="4"/>
  <c r="P198" i="4"/>
  <c r="Q198" i="4"/>
  <c r="O199" i="4"/>
  <c r="P199" i="4"/>
  <c r="Q199" i="4"/>
  <c r="O200" i="4"/>
  <c r="P200" i="4"/>
  <c r="Q200" i="4"/>
  <c r="O201" i="4"/>
  <c r="P201" i="4"/>
  <c r="Q201" i="4"/>
  <c r="O202" i="4"/>
  <c r="P202" i="4"/>
  <c r="Q202" i="4"/>
  <c r="O203" i="4"/>
  <c r="P203" i="4"/>
  <c r="Q203" i="4"/>
  <c r="O204" i="4"/>
  <c r="P204" i="4"/>
  <c r="Q204" i="4"/>
  <c r="O205" i="4"/>
  <c r="P205" i="4"/>
  <c r="Q205" i="4"/>
  <c r="O206" i="4"/>
  <c r="P206" i="4"/>
  <c r="Q206" i="4"/>
  <c r="O207" i="4"/>
  <c r="P207" i="4"/>
  <c r="Q207" i="4"/>
  <c r="O208" i="4"/>
  <c r="P208" i="4"/>
  <c r="Q208" i="4"/>
  <c r="O209" i="4"/>
  <c r="P209" i="4"/>
  <c r="Q209" i="4"/>
  <c r="O210" i="4"/>
  <c r="P210" i="4"/>
  <c r="Q210" i="4"/>
  <c r="O211" i="4"/>
  <c r="P211" i="4"/>
  <c r="Q211" i="4"/>
  <c r="O212" i="4"/>
  <c r="P212" i="4"/>
  <c r="Q212" i="4"/>
  <c r="O213" i="4"/>
  <c r="P213" i="4"/>
  <c r="Q213" i="4"/>
  <c r="O214" i="4"/>
  <c r="P214" i="4"/>
  <c r="Q214" i="4"/>
  <c r="O215" i="4"/>
  <c r="P215" i="4"/>
  <c r="Q215" i="4"/>
  <c r="O216" i="4"/>
  <c r="P216" i="4"/>
  <c r="Q216" i="4"/>
  <c r="O217" i="4"/>
  <c r="P217" i="4"/>
  <c r="Q217" i="4"/>
  <c r="O218" i="4"/>
  <c r="P218" i="4"/>
  <c r="Q218" i="4"/>
  <c r="O219" i="4"/>
  <c r="P219" i="4"/>
  <c r="Q219" i="4"/>
  <c r="O220" i="4"/>
  <c r="P220" i="4"/>
  <c r="Q220" i="4"/>
  <c r="O221" i="4"/>
  <c r="P221" i="4"/>
  <c r="Q221" i="4"/>
  <c r="O222" i="4"/>
  <c r="P222" i="4"/>
  <c r="Q222" i="4"/>
  <c r="O223" i="4"/>
  <c r="P223" i="4"/>
  <c r="Q223" i="4"/>
  <c r="O224" i="4"/>
  <c r="P224" i="4"/>
  <c r="Q224" i="4"/>
  <c r="O225" i="4"/>
  <c r="P225" i="4"/>
  <c r="Q225" i="4"/>
  <c r="O226" i="4"/>
  <c r="P226" i="4"/>
  <c r="Q226" i="4"/>
  <c r="O227" i="4"/>
  <c r="P227" i="4"/>
  <c r="Q227" i="4"/>
  <c r="O228" i="4"/>
  <c r="P228" i="4"/>
  <c r="Q228" i="4"/>
  <c r="O229" i="4"/>
  <c r="P229" i="4"/>
  <c r="Q229" i="4"/>
  <c r="O230" i="4"/>
  <c r="P230" i="4"/>
  <c r="Q230" i="4"/>
  <c r="O231" i="4"/>
  <c r="P231" i="4"/>
  <c r="Q231" i="4"/>
  <c r="O232" i="4"/>
  <c r="P232" i="4"/>
  <c r="Q232" i="4"/>
  <c r="O233" i="4"/>
  <c r="P233" i="4"/>
  <c r="Q233" i="4"/>
  <c r="O234" i="4"/>
  <c r="P234" i="4"/>
  <c r="Q234" i="4"/>
  <c r="O235" i="4"/>
  <c r="P235" i="4"/>
  <c r="Q235" i="4"/>
  <c r="O236" i="4"/>
  <c r="P236" i="4"/>
  <c r="Q236" i="4"/>
  <c r="O237" i="4"/>
  <c r="P237" i="4"/>
  <c r="Q237" i="4"/>
  <c r="O238" i="4"/>
  <c r="P238" i="4"/>
  <c r="Q238" i="4"/>
  <c r="O239" i="4"/>
  <c r="P239" i="4"/>
  <c r="Q239" i="4"/>
  <c r="O240" i="4"/>
  <c r="P240" i="4"/>
  <c r="Q240" i="4"/>
  <c r="O241" i="4"/>
  <c r="P241" i="4"/>
  <c r="Q241" i="4"/>
  <c r="O242" i="4"/>
  <c r="P242" i="4"/>
  <c r="Q242" i="4"/>
  <c r="O243" i="4"/>
  <c r="P243" i="4"/>
  <c r="Q243" i="4"/>
  <c r="O244" i="4"/>
  <c r="P244" i="4"/>
  <c r="Q244" i="4"/>
  <c r="O245" i="4"/>
  <c r="P245" i="4"/>
  <c r="Q245" i="4"/>
  <c r="O246" i="4"/>
  <c r="P246" i="4"/>
  <c r="Q246" i="4"/>
  <c r="O247" i="4"/>
  <c r="P247" i="4"/>
  <c r="Q247" i="4"/>
  <c r="O248" i="4"/>
  <c r="P248" i="4"/>
  <c r="Q248" i="4"/>
  <c r="O249" i="4"/>
  <c r="P249" i="4"/>
  <c r="Q249" i="4"/>
  <c r="O250" i="4"/>
  <c r="P250" i="4"/>
  <c r="Q250" i="4"/>
  <c r="O251" i="4"/>
  <c r="P251" i="4"/>
  <c r="Q251" i="4"/>
  <c r="O252" i="4"/>
  <c r="P252" i="4"/>
  <c r="Q252" i="4"/>
  <c r="O253" i="4"/>
  <c r="P253" i="4"/>
  <c r="Q253" i="4"/>
  <c r="O254" i="4"/>
  <c r="P254" i="4"/>
  <c r="Q254" i="4"/>
  <c r="O255" i="4"/>
  <c r="P255" i="4"/>
  <c r="Q255" i="4"/>
  <c r="O256" i="4"/>
  <c r="P256" i="4"/>
  <c r="Q256" i="4"/>
  <c r="O257" i="4"/>
  <c r="P257" i="4"/>
  <c r="Q257" i="4"/>
  <c r="O258" i="4"/>
  <c r="P258" i="4"/>
  <c r="Q258" i="4"/>
  <c r="O259" i="4"/>
  <c r="P259" i="4"/>
  <c r="Q259" i="4"/>
  <c r="O260" i="4"/>
  <c r="P260" i="4"/>
  <c r="Q260" i="4"/>
  <c r="O261" i="4"/>
  <c r="P261" i="4"/>
  <c r="Q261" i="4"/>
  <c r="O262" i="4"/>
  <c r="P262" i="4"/>
  <c r="Q262" i="4"/>
  <c r="O263" i="4"/>
  <c r="P263" i="4"/>
  <c r="Q263" i="4"/>
  <c r="O264" i="4"/>
  <c r="P264" i="4"/>
  <c r="Q264" i="4"/>
  <c r="O265" i="4"/>
  <c r="P265" i="4"/>
  <c r="Q265" i="4"/>
  <c r="O266" i="4"/>
  <c r="P266" i="4"/>
  <c r="Q266" i="4"/>
  <c r="O267" i="4"/>
  <c r="P267" i="4"/>
  <c r="Q267" i="4"/>
  <c r="O268" i="4"/>
  <c r="P268" i="4"/>
  <c r="Q268" i="4"/>
  <c r="O269" i="4"/>
  <c r="P269" i="4"/>
  <c r="Q269" i="4"/>
  <c r="O270" i="4"/>
  <c r="P270" i="4"/>
  <c r="Q270" i="4"/>
  <c r="O271" i="4"/>
  <c r="P271" i="4"/>
  <c r="Q271" i="4"/>
  <c r="O272" i="4"/>
  <c r="P272" i="4"/>
  <c r="Q272" i="4"/>
  <c r="O273" i="4"/>
  <c r="P273" i="4"/>
  <c r="Q273" i="4"/>
  <c r="O274" i="4"/>
  <c r="P274" i="4"/>
  <c r="Q274" i="4"/>
  <c r="O275" i="4"/>
  <c r="P275" i="4"/>
  <c r="Q275" i="4"/>
  <c r="O276" i="4"/>
  <c r="P276" i="4"/>
  <c r="Q276" i="4"/>
  <c r="O277" i="4"/>
  <c r="P277" i="4"/>
  <c r="Q277" i="4"/>
  <c r="O278" i="4"/>
  <c r="P278" i="4"/>
  <c r="Q278" i="4"/>
  <c r="O279" i="4"/>
  <c r="P279" i="4"/>
  <c r="Q279" i="4"/>
  <c r="O280" i="4"/>
  <c r="P280" i="4"/>
  <c r="Q280" i="4"/>
  <c r="O281" i="4"/>
  <c r="P281" i="4"/>
  <c r="Q281" i="4"/>
  <c r="O282" i="4"/>
  <c r="P282" i="4"/>
  <c r="Q282" i="4"/>
  <c r="O283" i="4"/>
  <c r="P283" i="4"/>
  <c r="Q283" i="4"/>
  <c r="O284" i="4"/>
  <c r="P284" i="4"/>
  <c r="Q284" i="4"/>
  <c r="O285" i="4"/>
  <c r="P285" i="4"/>
  <c r="Q285" i="4"/>
  <c r="O286" i="4"/>
  <c r="P286" i="4"/>
  <c r="Q286" i="4"/>
  <c r="O287" i="4"/>
  <c r="P287" i="4"/>
  <c r="Q287" i="4"/>
  <c r="O288" i="4"/>
  <c r="P288" i="4"/>
  <c r="Q288" i="4"/>
  <c r="O289" i="4"/>
  <c r="P289" i="4"/>
  <c r="Q289" i="4"/>
  <c r="O290" i="4"/>
  <c r="P290" i="4"/>
  <c r="Q290" i="4"/>
  <c r="O291" i="4"/>
  <c r="P291" i="4"/>
  <c r="Q291" i="4"/>
  <c r="O292" i="4"/>
  <c r="P292" i="4"/>
  <c r="Q292" i="4"/>
  <c r="O293" i="4"/>
  <c r="P293" i="4"/>
  <c r="Q293" i="4"/>
  <c r="O294" i="4"/>
  <c r="P294" i="4"/>
  <c r="Q294" i="4"/>
  <c r="O295" i="4"/>
  <c r="P295" i="4"/>
  <c r="Q295" i="4"/>
  <c r="O296" i="4"/>
  <c r="P296" i="4"/>
  <c r="Q296" i="4"/>
  <c r="O297" i="4"/>
  <c r="P297" i="4"/>
  <c r="Q297" i="4"/>
  <c r="O298" i="4"/>
  <c r="P298" i="4"/>
  <c r="Q298" i="4"/>
  <c r="O299" i="4"/>
  <c r="P299" i="4"/>
  <c r="Q299" i="4"/>
  <c r="O300" i="4"/>
  <c r="P300" i="4"/>
  <c r="Q300" i="4"/>
  <c r="O301" i="4"/>
  <c r="P301" i="4"/>
  <c r="Q301" i="4"/>
  <c r="O302" i="4"/>
  <c r="P302" i="4"/>
  <c r="Q302" i="4"/>
  <c r="O303" i="4"/>
  <c r="P303" i="4"/>
  <c r="Q303" i="4"/>
  <c r="O304" i="4"/>
  <c r="P304" i="4"/>
  <c r="Q304" i="4"/>
  <c r="O305" i="4"/>
  <c r="P305" i="4"/>
  <c r="Q305" i="4"/>
  <c r="O306" i="4"/>
  <c r="P306" i="4"/>
  <c r="Q306" i="4"/>
  <c r="O307" i="4"/>
  <c r="P307" i="4"/>
  <c r="Q307" i="4"/>
  <c r="O308" i="4"/>
  <c r="P308" i="4"/>
  <c r="Q308" i="4"/>
  <c r="O309" i="4"/>
  <c r="P309" i="4"/>
  <c r="Q309" i="4"/>
  <c r="O310" i="4"/>
  <c r="P310" i="4"/>
  <c r="Q310" i="4"/>
  <c r="O311" i="4"/>
  <c r="P311" i="4"/>
  <c r="Q311" i="4"/>
  <c r="O312" i="4"/>
  <c r="P312" i="4"/>
  <c r="Q312" i="4"/>
  <c r="O313" i="4"/>
  <c r="P313" i="4"/>
  <c r="Q313" i="4"/>
  <c r="O314" i="4"/>
  <c r="P314" i="4"/>
  <c r="Q314" i="4"/>
  <c r="O315" i="4"/>
  <c r="P315" i="4"/>
  <c r="Q315" i="4"/>
  <c r="O316" i="4"/>
  <c r="P316" i="4"/>
  <c r="Q316" i="4"/>
  <c r="O317" i="4"/>
  <c r="P317" i="4"/>
  <c r="Q317" i="4"/>
  <c r="O318" i="4"/>
  <c r="P318" i="4"/>
  <c r="Q318" i="4"/>
  <c r="O319" i="4"/>
  <c r="P319" i="4"/>
  <c r="Q319" i="4"/>
  <c r="O320" i="4"/>
  <c r="P320" i="4"/>
  <c r="Q320" i="4"/>
  <c r="O321" i="4"/>
  <c r="P321" i="4"/>
  <c r="Q321" i="4"/>
  <c r="O322" i="4"/>
  <c r="P322" i="4"/>
  <c r="Q322" i="4"/>
  <c r="O323" i="4"/>
  <c r="P323" i="4"/>
  <c r="Q323" i="4"/>
  <c r="O324" i="4"/>
  <c r="P324" i="4"/>
  <c r="Q324" i="4"/>
  <c r="O325" i="4"/>
  <c r="P325" i="4"/>
  <c r="Q325" i="4"/>
  <c r="O326" i="4"/>
  <c r="P326" i="4"/>
  <c r="Q326" i="4"/>
  <c r="O327" i="4"/>
  <c r="P327" i="4"/>
  <c r="Q327" i="4"/>
  <c r="O328" i="4"/>
  <c r="P328" i="4"/>
  <c r="Q328" i="4"/>
  <c r="O329" i="4"/>
  <c r="P329" i="4"/>
  <c r="Q329" i="4"/>
  <c r="O330" i="4"/>
  <c r="P330" i="4"/>
  <c r="Q330" i="4"/>
  <c r="O331" i="4"/>
  <c r="P331" i="4"/>
  <c r="Q331" i="4"/>
  <c r="O332" i="4"/>
  <c r="P332" i="4"/>
  <c r="Q332" i="4"/>
  <c r="O333" i="4"/>
  <c r="P333" i="4"/>
  <c r="Q333" i="4"/>
  <c r="O334" i="4"/>
  <c r="P334" i="4"/>
  <c r="Q334" i="4"/>
  <c r="O335" i="4"/>
  <c r="P335" i="4"/>
  <c r="Q335" i="4"/>
  <c r="O336" i="4"/>
  <c r="P336" i="4"/>
  <c r="Q336" i="4"/>
  <c r="O337" i="4"/>
  <c r="P337" i="4"/>
  <c r="Q337" i="4"/>
  <c r="O338" i="4"/>
  <c r="P338" i="4"/>
  <c r="Q338" i="4"/>
  <c r="O339" i="4"/>
  <c r="P339" i="4"/>
  <c r="Q339" i="4"/>
  <c r="O340" i="4"/>
  <c r="P340" i="4"/>
  <c r="Q340" i="4"/>
  <c r="O341" i="4"/>
  <c r="P341" i="4"/>
  <c r="Q341" i="4"/>
  <c r="O342" i="4"/>
  <c r="P342" i="4"/>
  <c r="Q342" i="4"/>
  <c r="O343" i="4"/>
  <c r="P343" i="4"/>
  <c r="Q343" i="4"/>
  <c r="O344" i="4"/>
  <c r="P344" i="4"/>
  <c r="Q344" i="4"/>
  <c r="O345" i="4"/>
  <c r="P345" i="4"/>
  <c r="Q345" i="4"/>
  <c r="O346" i="4"/>
  <c r="P346" i="4"/>
  <c r="Q346" i="4"/>
  <c r="O347" i="4"/>
  <c r="P347" i="4"/>
  <c r="Q347" i="4"/>
  <c r="O348" i="4"/>
  <c r="P348" i="4"/>
  <c r="Q348" i="4"/>
  <c r="O349" i="4"/>
  <c r="P349" i="4"/>
  <c r="Q349" i="4"/>
  <c r="O350" i="4"/>
  <c r="P350" i="4"/>
  <c r="Q350" i="4"/>
  <c r="O351" i="4"/>
  <c r="P351" i="4"/>
  <c r="Q351" i="4"/>
  <c r="O352" i="4"/>
  <c r="P352" i="4"/>
  <c r="Q352" i="4"/>
  <c r="O353" i="4"/>
  <c r="P353" i="4"/>
  <c r="Q353" i="4"/>
  <c r="O354" i="4"/>
  <c r="P354" i="4"/>
  <c r="Q354" i="4"/>
  <c r="O355" i="4"/>
  <c r="P355" i="4"/>
  <c r="Q355" i="4"/>
  <c r="O356" i="4"/>
  <c r="P356" i="4"/>
  <c r="Q356" i="4"/>
  <c r="O357" i="4"/>
  <c r="P357" i="4"/>
  <c r="Q357" i="4"/>
  <c r="O358" i="4"/>
  <c r="P358" i="4"/>
  <c r="Q358" i="4"/>
  <c r="O359" i="4"/>
  <c r="P359" i="4"/>
  <c r="Q359" i="4"/>
  <c r="O360" i="4"/>
  <c r="P360" i="4"/>
  <c r="Q360" i="4"/>
  <c r="O361" i="4"/>
  <c r="P361" i="4"/>
  <c r="Q361" i="4"/>
  <c r="O362" i="4"/>
  <c r="P362" i="4"/>
  <c r="Q362" i="4"/>
  <c r="O363" i="4"/>
  <c r="P363" i="4"/>
  <c r="Q363" i="4"/>
  <c r="O364" i="4"/>
  <c r="P364" i="4"/>
  <c r="Q364" i="4"/>
  <c r="O365" i="4"/>
  <c r="P365" i="4"/>
  <c r="Q365" i="4"/>
  <c r="O366" i="4"/>
  <c r="P366" i="4"/>
  <c r="Q366" i="4"/>
  <c r="O367" i="4"/>
  <c r="P367" i="4"/>
  <c r="Q367" i="4"/>
  <c r="O368" i="4"/>
  <c r="P368" i="4"/>
  <c r="Q368" i="4"/>
  <c r="O369" i="4"/>
  <c r="P369" i="4"/>
  <c r="Q369" i="4"/>
  <c r="O370" i="4"/>
  <c r="P370" i="4"/>
  <c r="Q370" i="4"/>
  <c r="O371" i="4"/>
  <c r="P371" i="4"/>
  <c r="Q371" i="4"/>
  <c r="O372" i="4"/>
  <c r="P372" i="4"/>
  <c r="Q372" i="4"/>
  <c r="O373" i="4"/>
  <c r="P373" i="4"/>
  <c r="Q373" i="4"/>
  <c r="O374" i="4"/>
  <c r="P374" i="4"/>
  <c r="Q374" i="4"/>
  <c r="O375" i="4"/>
  <c r="P375" i="4"/>
  <c r="Q375" i="4"/>
  <c r="O376" i="4"/>
  <c r="P376" i="4"/>
  <c r="Q376" i="4"/>
  <c r="O377" i="4"/>
  <c r="P377" i="4"/>
  <c r="Q377" i="4"/>
  <c r="O378" i="4"/>
  <c r="P378" i="4"/>
  <c r="Q378" i="4"/>
  <c r="O379" i="4"/>
  <c r="P379" i="4"/>
  <c r="Q379" i="4"/>
  <c r="O380" i="4"/>
  <c r="P380" i="4"/>
  <c r="Q380" i="4"/>
  <c r="O381" i="4"/>
  <c r="P381" i="4"/>
  <c r="Q381" i="4"/>
  <c r="O382" i="4"/>
  <c r="P382" i="4"/>
  <c r="Q382" i="4"/>
  <c r="O383" i="4"/>
  <c r="P383" i="4"/>
  <c r="Q383" i="4"/>
  <c r="O384" i="4"/>
  <c r="P384" i="4"/>
  <c r="Q384" i="4"/>
  <c r="O385" i="4"/>
  <c r="P385" i="4"/>
  <c r="Q385" i="4"/>
  <c r="O386" i="4"/>
  <c r="P386" i="4"/>
  <c r="Q386" i="4"/>
  <c r="O387" i="4"/>
  <c r="P387" i="4"/>
  <c r="Q387" i="4"/>
  <c r="O388" i="4"/>
  <c r="P388" i="4"/>
  <c r="Q388" i="4"/>
  <c r="O389" i="4"/>
  <c r="P389" i="4"/>
  <c r="Q389" i="4"/>
  <c r="O390" i="4"/>
  <c r="P390" i="4"/>
  <c r="Q390" i="4"/>
  <c r="O391" i="4"/>
  <c r="P391" i="4"/>
  <c r="Q391" i="4"/>
  <c r="O392" i="4"/>
  <c r="P392" i="4"/>
  <c r="Q392" i="4"/>
  <c r="O393" i="4"/>
  <c r="P393" i="4"/>
  <c r="Q393" i="4"/>
  <c r="O394" i="4"/>
  <c r="P394" i="4"/>
  <c r="Q394" i="4"/>
  <c r="O395" i="4"/>
  <c r="P395" i="4"/>
  <c r="Q395" i="4"/>
  <c r="O396" i="4"/>
  <c r="P396" i="4"/>
  <c r="Q396" i="4"/>
  <c r="O397" i="4"/>
  <c r="P397" i="4"/>
  <c r="Q397" i="4"/>
  <c r="O398" i="4"/>
  <c r="P398" i="4"/>
  <c r="Q398" i="4"/>
  <c r="O399" i="4"/>
  <c r="P399" i="4"/>
  <c r="Q399" i="4"/>
  <c r="O400" i="4"/>
  <c r="P400" i="4"/>
  <c r="Q400" i="4"/>
  <c r="O401" i="4"/>
  <c r="P401" i="4"/>
  <c r="Q401" i="4"/>
  <c r="O402" i="4"/>
  <c r="P402" i="4"/>
  <c r="Q402" i="4"/>
  <c r="O403" i="4"/>
  <c r="P403" i="4"/>
  <c r="Q403" i="4"/>
  <c r="O404" i="4"/>
  <c r="P404" i="4"/>
  <c r="Q404" i="4"/>
  <c r="O405" i="4"/>
  <c r="P405" i="4"/>
  <c r="Q405" i="4"/>
  <c r="O406" i="4"/>
  <c r="P406" i="4"/>
  <c r="Q406" i="4"/>
  <c r="O407" i="4"/>
  <c r="P407" i="4"/>
  <c r="Q407" i="4"/>
  <c r="O408" i="4"/>
  <c r="P408" i="4"/>
  <c r="Q408" i="4"/>
  <c r="O409" i="4"/>
  <c r="P409" i="4"/>
  <c r="Q409" i="4"/>
  <c r="O410" i="4"/>
  <c r="P410" i="4"/>
  <c r="Q410" i="4"/>
  <c r="O411" i="4"/>
  <c r="P411" i="4"/>
  <c r="Q411" i="4"/>
  <c r="O412" i="4"/>
  <c r="P412" i="4"/>
  <c r="Q412" i="4"/>
  <c r="O413" i="4"/>
  <c r="P413" i="4"/>
  <c r="Q413" i="4"/>
  <c r="O414" i="4"/>
  <c r="P414" i="4"/>
  <c r="Q414" i="4"/>
  <c r="O415" i="4"/>
  <c r="P415" i="4"/>
  <c r="Q415" i="4"/>
  <c r="O416" i="4"/>
  <c r="P416" i="4"/>
  <c r="Q416" i="4"/>
  <c r="O417" i="4"/>
  <c r="P417" i="4"/>
  <c r="Q417" i="4"/>
  <c r="O418" i="4"/>
  <c r="P418" i="4"/>
  <c r="Q418" i="4"/>
  <c r="O419" i="4"/>
  <c r="P419" i="4"/>
  <c r="Q419" i="4"/>
  <c r="O420" i="4"/>
  <c r="P420" i="4"/>
  <c r="Q420" i="4"/>
  <c r="O421" i="4"/>
  <c r="P421" i="4"/>
  <c r="Q421" i="4"/>
  <c r="O422" i="4"/>
  <c r="P422" i="4"/>
  <c r="Q422" i="4"/>
  <c r="O423" i="4"/>
  <c r="P423" i="4"/>
  <c r="Q423" i="4"/>
  <c r="O424" i="4"/>
  <c r="P424" i="4"/>
  <c r="Q424" i="4"/>
  <c r="O425" i="4"/>
  <c r="P425" i="4"/>
  <c r="Q425" i="4"/>
  <c r="O426" i="4"/>
  <c r="P426" i="4"/>
  <c r="Q426" i="4"/>
  <c r="O427" i="4"/>
  <c r="P427" i="4"/>
  <c r="Q427" i="4"/>
  <c r="O428" i="4"/>
  <c r="P428" i="4"/>
  <c r="Q428" i="4"/>
  <c r="O429" i="4"/>
  <c r="P429" i="4"/>
  <c r="Q429" i="4"/>
  <c r="O430" i="4"/>
  <c r="P430" i="4"/>
  <c r="Q430" i="4"/>
  <c r="O431" i="4"/>
  <c r="P431" i="4"/>
  <c r="Q431" i="4"/>
  <c r="O432" i="4"/>
  <c r="P432" i="4"/>
  <c r="Q432" i="4"/>
  <c r="O433" i="4"/>
  <c r="P433" i="4"/>
  <c r="Q433" i="4"/>
  <c r="O434" i="4"/>
  <c r="P434" i="4"/>
  <c r="Q434" i="4"/>
  <c r="O435" i="4"/>
  <c r="P435" i="4"/>
  <c r="Q435" i="4"/>
  <c r="O436" i="4"/>
  <c r="P436" i="4"/>
  <c r="Q436" i="4"/>
  <c r="O437" i="4"/>
  <c r="P437" i="4"/>
  <c r="Q437" i="4"/>
  <c r="O438" i="4"/>
  <c r="P438" i="4"/>
  <c r="Q438" i="4"/>
  <c r="O439" i="4"/>
  <c r="P439" i="4"/>
  <c r="Q439" i="4"/>
  <c r="O440" i="4"/>
  <c r="P440" i="4"/>
  <c r="Q440" i="4"/>
  <c r="O441" i="4"/>
  <c r="P441" i="4"/>
  <c r="Q441" i="4"/>
  <c r="O442" i="4"/>
  <c r="P442" i="4"/>
  <c r="Q442" i="4"/>
  <c r="O443" i="4"/>
  <c r="P443" i="4"/>
  <c r="Q443" i="4"/>
  <c r="O444" i="4"/>
  <c r="P444" i="4"/>
  <c r="Q444" i="4"/>
  <c r="O445" i="4"/>
  <c r="P445" i="4"/>
  <c r="Q445" i="4"/>
  <c r="O446" i="4"/>
  <c r="P446" i="4"/>
  <c r="Q446" i="4"/>
  <c r="O447" i="4"/>
  <c r="P447" i="4"/>
  <c r="Q447" i="4"/>
  <c r="O448" i="4"/>
  <c r="P448" i="4"/>
  <c r="Q448" i="4"/>
  <c r="O449" i="4"/>
  <c r="P449" i="4"/>
  <c r="Q449" i="4"/>
  <c r="O450" i="4"/>
  <c r="P450" i="4"/>
  <c r="Q450" i="4"/>
  <c r="O451" i="4"/>
  <c r="P451" i="4"/>
  <c r="Q451" i="4"/>
  <c r="O452" i="4"/>
  <c r="P452" i="4"/>
  <c r="Q452" i="4"/>
  <c r="O453" i="4"/>
  <c r="P453" i="4"/>
  <c r="Q453" i="4"/>
  <c r="O454" i="4"/>
  <c r="P454" i="4"/>
  <c r="Q454" i="4"/>
  <c r="O455" i="4"/>
  <c r="P455" i="4"/>
  <c r="Q455" i="4"/>
  <c r="O456" i="4"/>
  <c r="P456" i="4"/>
  <c r="Q456" i="4"/>
  <c r="O457" i="4"/>
  <c r="P457" i="4"/>
  <c r="Q457" i="4"/>
  <c r="O458" i="4"/>
  <c r="P458" i="4"/>
  <c r="Q458" i="4"/>
  <c r="O459" i="4"/>
  <c r="P459" i="4"/>
  <c r="Q459" i="4"/>
  <c r="O460" i="4"/>
  <c r="P460" i="4"/>
  <c r="Q460" i="4"/>
  <c r="O461" i="4"/>
  <c r="P461" i="4"/>
  <c r="Q461" i="4"/>
  <c r="O462" i="4"/>
  <c r="P462" i="4"/>
  <c r="Q462" i="4"/>
  <c r="O463" i="4"/>
  <c r="P463" i="4"/>
  <c r="Q463" i="4"/>
  <c r="O464" i="4"/>
  <c r="P464" i="4"/>
  <c r="Q464" i="4"/>
  <c r="O465" i="4"/>
  <c r="P465" i="4"/>
  <c r="Q465" i="4"/>
  <c r="O466" i="4"/>
  <c r="P466" i="4"/>
  <c r="Q466" i="4"/>
  <c r="O467" i="4"/>
  <c r="P467" i="4"/>
  <c r="Q467" i="4"/>
  <c r="O468" i="4"/>
  <c r="P468" i="4"/>
  <c r="Q468" i="4"/>
  <c r="O469" i="4"/>
  <c r="P469" i="4"/>
  <c r="Q469" i="4"/>
  <c r="O470" i="4"/>
  <c r="P470" i="4"/>
  <c r="Q470" i="4"/>
  <c r="O471" i="4"/>
  <c r="P471" i="4"/>
  <c r="Q471" i="4"/>
  <c r="O472" i="4"/>
  <c r="P472" i="4"/>
  <c r="Q472" i="4"/>
  <c r="O473" i="4"/>
  <c r="P473" i="4"/>
  <c r="Q473" i="4"/>
  <c r="O474" i="4"/>
  <c r="P474" i="4"/>
  <c r="Q474" i="4"/>
  <c r="O475" i="4"/>
  <c r="P475" i="4"/>
  <c r="Q475" i="4"/>
  <c r="O476" i="4"/>
  <c r="P476" i="4"/>
  <c r="Q476" i="4"/>
  <c r="O477" i="4"/>
  <c r="P477" i="4"/>
  <c r="Q477" i="4"/>
  <c r="O478" i="4"/>
  <c r="P478" i="4"/>
  <c r="Q478" i="4"/>
  <c r="O479" i="4"/>
  <c r="P479" i="4"/>
  <c r="Q479" i="4"/>
  <c r="O480" i="4"/>
  <c r="P480" i="4"/>
  <c r="Q480" i="4"/>
  <c r="O481" i="4"/>
  <c r="P481" i="4"/>
  <c r="Q481" i="4"/>
  <c r="O482" i="4"/>
  <c r="P482" i="4"/>
  <c r="Q482" i="4"/>
  <c r="O483" i="4"/>
  <c r="P483" i="4"/>
  <c r="Q483" i="4"/>
  <c r="O484" i="4"/>
  <c r="P484" i="4"/>
  <c r="Q484" i="4"/>
  <c r="O485" i="4"/>
  <c r="P485" i="4"/>
  <c r="Q485" i="4"/>
  <c r="O486" i="4"/>
  <c r="P486" i="4"/>
  <c r="Q486" i="4"/>
  <c r="O487" i="4"/>
  <c r="P487" i="4"/>
  <c r="Q487" i="4"/>
  <c r="O488" i="4"/>
  <c r="P488" i="4"/>
  <c r="Q488" i="4"/>
  <c r="O489" i="4"/>
  <c r="P489" i="4"/>
  <c r="Q489" i="4"/>
  <c r="O490" i="4"/>
  <c r="P490" i="4"/>
  <c r="Q490" i="4"/>
  <c r="O491" i="4"/>
  <c r="P491" i="4"/>
  <c r="Q491" i="4"/>
  <c r="O492" i="4"/>
  <c r="P492" i="4"/>
  <c r="Q492" i="4"/>
  <c r="O493" i="4"/>
  <c r="P493" i="4"/>
  <c r="Q493" i="4"/>
  <c r="O494" i="4"/>
  <c r="P494" i="4"/>
  <c r="Q494" i="4"/>
  <c r="O495" i="4"/>
  <c r="P495" i="4"/>
  <c r="Q495" i="4"/>
  <c r="O496" i="4"/>
  <c r="P496" i="4"/>
  <c r="Q496" i="4"/>
  <c r="O497" i="4"/>
  <c r="P497" i="4"/>
  <c r="Q497" i="4"/>
  <c r="O498" i="4"/>
  <c r="P498" i="4"/>
  <c r="Q498" i="4"/>
  <c r="O499" i="4"/>
  <c r="P499" i="4"/>
  <c r="Q499" i="4"/>
  <c r="O500" i="4"/>
  <c r="P500" i="4"/>
  <c r="Q500" i="4"/>
  <c r="O501" i="4"/>
  <c r="P501" i="4"/>
  <c r="Q501" i="4"/>
  <c r="O502" i="4"/>
  <c r="P502" i="4"/>
  <c r="Q502" i="4"/>
  <c r="O503" i="4"/>
  <c r="P503" i="4"/>
  <c r="Q503" i="4"/>
  <c r="O504" i="4"/>
  <c r="P504" i="4"/>
  <c r="Q504" i="4"/>
  <c r="O505" i="4"/>
  <c r="P505" i="4"/>
  <c r="Q505" i="4"/>
  <c r="O506" i="4"/>
  <c r="P506" i="4"/>
  <c r="Q506" i="4"/>
  <c r="O507" i="4"/>
  <c r="P507" i="4"/>
  <c r="Q507" i="4"/>
  <c r="O508" i="4"/>
  <c r="P508" i="4"/>
  <c r="Q508" i="4"/>
  <c r="O509" i="4"/>
  <c r="P509" i="4"/>
  <c r="Q509" i="4"/>
  <c r="O510" i="4"/>
  <c r="P510" i="4"/>
  <c r="Q510" i="4"/>
  <c r="O511" i="4"/>
  <c r="P511" i="4"/>
  <c r="Q511" i="4"/>
  <c r="O512" i="4"/>
  <c r="P512" i="4"/>
  <c r="Q512" i="4"/>
  <c r="O513" i="4"/>
  <c r="P513" i="4"/>
  <c r="Q513" i="4"/>
  <c r="O514" i="4"/>
  <c r="P514" i="4"/>
  <c r="Q514" i="4"/>
  <c r="O515" i="4"/>
  <c r="P515" i="4"/>
  <c r="Q515" i="4"/>
  <c r="O516" i="4"/>
  <c r="P516" i="4"/>
  <c r="Q516" i="4"/>
  <c r="O517" i="4"/>
  <c r="P517" i="4"/>
  <c r="Q517" i="4"/>
  <c r="O518" i="4"/>
  <c r="P518" i="4"/>
  <c r="Q518" i="4"/>
  <c r="O519" i="4"/>
  <c r="P519" i="4"/>
  <c r="Q519" i="4"/>
  <c r="O520" i="4"/>
  <c r="P520" i="4"/>
  <c r="Q520" i="4"/>
  <c r="O521" i="4"/>
  <c r="P521" i="4"/>
  <c r="Q521" i="4"/>
  <c r="O522" i="4"/>
  <c r="P522" i="4"/>
  <c r="Q522" i="4"/>
  <c r="O523" i="4"/>
  <c r="P523" i="4"/>
  <c r="Q523" i="4"/>
  <c r="O524" i="4"/>
  <c r="P524" i="4"/>
  <c r="Q524" i="4"/>
  <c r="O525" i="4"/>
  <c r="P525" i="4"/>
  <c r="Q525" i="4"/>
  <c r="O526" i="4"/>
  <c r="P526" i="4"/>
  <c r="Q526" i="4"/>
  <c r="O527" i="4"/>
  <c r="P527" i="4"/>
  <c r="Q527" i="4"/>
  <c r="O528" i="4"/>
  <c r="P528" i="4"/>
  <c r="Q528" i="4"/>
  <c r="O529" i="4"/>
  <c r="P529" i="4"/>
  <c r="Q529" i="4"/>
  <c r="O530" i="4"/>
  <c r="P530" i="4"/>
  <c r="Q530" i="4"/>
  <c r="O531" i="4"/>
  <c r="P531" i="4"/>
  <c r="Q531" i="4"/>
  <c r="O532" i="4"/>
  <c r="P532" i="4"/>
  <c r="Q532" i="4"/>
  <c r="O533" i="4"/>
  <c r="P533" i="4"/>
  <c r="Q533" i="4"/>
  <c r="O534" i="4"/>
  <c r="P534" i="4"/>
  <c r="Q534" i="4"/>
  <c r="O535" i="4"/>
  <c r="P535" i="4"/>
  <c r="Q535" i="4"/>
  <c r="O536" i="4"/>
  <c r="P536" i="4"/>
  <c r="Q536" i="4"/>
  <c r="O537" i="4"/>
  <c r="P537" i="4"/>
  <c r="Q537" i="4"/>
  <c r="O538" i="4"/>
  <c r="P538" i="4"/>
  <c r="Q538" i="4"/>
  <c r="O539" i="4"/>
  <c r="P539" i="4"/>
  <c r="Q539" i="4"/>
  <c r="O540" i="4"/>
  <c r="P540" i="4"/>
  <c r="Q540" i="4"/>
  <c r="O541" i="4"/>
  <c r="P541" i="4"/>
  <c r="Q541" i="4"/>
  <c r="O542" i="4"/>
  <c r="P542" i="4"/>
  <c r="Q542" i="4"/>
  <c r="O543" i="4"/>
  <c r="P543" i="4"/>
  <c r="Q543" i="4"/>
  <c r="O544" i="4"/>
  <c r="P544" i="4"/>
  <c r="Q544" i="4"/>
  <c r="O545" i="4"/>
  <c r="P545" i="4"/>
  <c r="Q545" i="4"/>
  <c r="O546" i="4"/>
  <c r="P546" i="4"/>
  <c r="Q546" i="4"/>
  <c r="O547" i="4"/>
  <c r="P547" i="4"/>
  <c r="Q547" i="4"/>
  <c r="O548" i="4"/>
  <c r="P548" i="4"/>
  <c r="Q548" i="4"/>
  <c r="O549" i="4"/>
  <c r="P549" i="4"/>
  <c r="Q549" i="4"/>
  <c r="O550" i="4"/>
  <c r="P550" i="4"/>
  <c r="Q550" i="4"/>
  <c r="O551" i="4"/>
  <c r="P551" i="4"/>
  <c r="Q551" i="4"/>
  <c r="O552" i="4"/>
  <c r="P552" i="4"/>
  <c r="Q552" i="4"/>
  <c r="O553" i="4"/>
  <c r="P553" i="4"/>
  <c r="Q553" i="4"/>
  <c r="O554" i="4"/>
  <c r="P554" i="4"/>
  <c r="Q554" i="4"/>
  <c r="O555" i="4"/>
  <c r="P555" i="4"/>
  <c r="Q555" i="4"/>
  <c r="O556" i="4"/>
  <c r="P556" i="4"/>
  <c r="Q556" i="4"/>
  <c r="O557" i="4"/>
  <c r="P557" i="4"/>
  <c r="Q557" i="4"/>
  <c r="O558" i="4"/>
  <c r="P558" i="4"/>
  <c r="Q558" i="4"/>
  <c r="O559" i="4"/>
  <c r="P559" i="4"/>
  <c r="Q559" i="4"/>
  <c r="O560" i="4"/>
  <c r="P560" i="4"/>
  <c r="Q560" i="4"/>
  <c r="O561" i="4"/>
  <c r="P561" i="4"/>
  <c r="Q561" i="4"/>
  <c r="O562" i="4"/>
  <c r="P562" i="4"/>
  <c r="Q562" i="4"/>
  <c r="O563" i="4"/>
  <c r="P563" i="4"/>
  <c r="Q563" i="4"/>
  <c r="O564" i="4"/>
  <c r="P564" i="4"/>
  <c r="Q564" i="4"/>
  <c r="O565" i="4"/>
  <c r="P565" i="4"/>
  <c r="Q565" i="4"/>
  <c r="O566" i="4"/>
  <c r="P566" i="4"/>
  <c r="Q566" i="4"/>
  <c r="O567" i="4"/>
  <c r="P567" i="4"/>
  <c r="Q567" i="4"/>
  <c r="O568" i="4"/>
  <c r="P568" i="4"/>
  <c r="Q568" i="4"/>
  <c r="O569" i="4"/>
  <c r="P569" i="4"/>
  <c r="Q569" i="4"/>
  <c r="O570" i="4"/>
  <c r="P570" i="4"/>
  <c r="Q570" i="4"/>
  <c r="O571" i="4"/>
  <c r="P571" i="4"/>
  <c r="Q571" i="4"/>
  <c r="O572" i="4"/>
  <c r="P572" i="4"/>
  <c r="Q572" i="4"/>
  <c r="O573" i="4"/>
  <c r="P573" i="4"/>
  <c r="Q573" i="4"/>
  <c r="O574" i="4"/>
  <c r="P574" i="4"/>
  <c r="Q574" i="4"/>
  <c r="O575" i="4"/>
  <c r="P575" i="4"/>
  <c r="Q575" i="4"/>
  <c r="O576" i="4"/>
  <c r="P576" i="4"/>
  <c r="Q576" i="4"/>
  <c r="O577" i="4"/>
  <c r="P577" i="4"/>
  <c r="Q577" i="4"/>
  <c r="O578" i="4"/>
  <c r="P578" i="4"/>
  <c r="Q578" i="4"/>
  <c r="O579" i="4"/>
  <c r="P579" i="4"/>
  <c r="Q579" i="4"/>
  <c r="O580" i="4"/>
  <c r="P580" i="4"/>
  <c r="Q580" i="4"/>
  <c r="O581" i="4"/>
  <c r="P581" i="4"/>
  <c r="Q581" i="4"/>
  <c r="O582" i="4"/>
  <c r="P582" i="4"/>
  <c r="Q582" i="4"/>
  <c r="O583" i="4"/>
  <c r="P583" i="4"/>
  <c r="Q583" i="4"/>
  <c r="O584" i="4"/>
  <c r="P584" i="4"/>
  <c r="Q584" i="4"/>
  <c r="O585" i="4"/>
  <c r="P585" i="4"/>
  <c r="Q585" i="4"/>
  <c r="O586" i="4"/>
  <c r="P586" i="4"/>
  <c r="Q586" i="4"/>
  <c r="O587" i="4"/>
  <c r="P587" i="4"/>
  <c r="Q587" i="4"/>
  <c r="O588" i="4"/>
  <c r="P588" i="4"/>
  <c r="Q588" i="4"/>
  <c r="O589" i="4"/>
  <c r="P589" i="4"/>
  <c r="Q589" i="4"/>
  <c r="O590" i="4"/>
  <c r="P590" i="4"/>
  <c r="Q590" i="4"/>
  <c r="O591" i="4"/>
  <c r="P591" i="4"/>
  <c r="Q591" i="4"/>
  <c r="O592" i="4"/>
  <c r="P592" i="4"/>
  <c r="Q592" i="4"/>
  <c r="O593" i="4"/>
  <c r="P593" i="4"/>
  <c r="Q593" i="4"/>
  <c r="O594" i="4"/>
  <c r="P594" i="4"/>
  <c r="Q594" i="4"/>
  <c r="O595" i="4"/>
  <c r="P595" i="4"/>
  <c r="Q595" i="4"/>
  <c r="O596" i="4"/>
  <c r="P596" i="4"/>
  <c r="Q596" i="4"/>
  <c r="O597" i="4"/>
  <c r="P597" i="4"/>
  <c r="Q597" i="4"/>
  <c r="O598" i="4"/>
  <c r="P598" i="4"/>
  <c r="Q598" i="4"/>
  <c r="O599" i="4"/>
  <c r="P599" i="4"/>
  <c r="Q599" i="4"/>
  <c r="O600" i="4"/>
  <c r="P600" i="4"/>
  <c r="Q600" i="4"/>
  <c r="Q2" i="4"/>
  <c r="P2" i="4"/>
  <c r="O2" i="4"/>
  <c r="K601" i="6"/>
  <c r="J601" i="6"/>
  <c r="I601" i="6"/>
  <c r="N601" i="6" s="1"/>
  <c r="E601" i="6"/>
  <c r="D601" i="6"/>
  <c r="M601" i="6" s="1"/>
  <c r="C601" i="6"/>
  <c r="B601" i="6"/>
  <c r="A601" i="6"/>
  <c r="A1" i="3"/>
  <c r="D649" i="3" l="1"/>
  <c r="C655" i="3"/>
  <c r="C653" i="3"/>
  <c r="C651" i="3"/>
  <c r="C649" i="3"/>
  <c r="C647" i="3"/>
  <c r="C645" i="3"/>
  <c r="C643" i="3"/>
  <c r="C641" i="3"/>
  <c r="C639" i="3"/>
  <c r="C637" i="3"/>
  <c r="C635" i="3"/>
  <c r="C633" i="3"/>
  <c r="C631" i="3"/>
  <c r="C629" i="3"/>
  <c r="C627" i="3"/>
  <c r="C625" i="3"/>
  <c r="C623" i="3"/>
  <c r="C621" i="3"/>
  <c r="C619" i="3"/>
  <c r="C617" i="3"/>
  <c r="C615" i="3"/>
  <c r="C613" i="3"/>
  <c r="C611" i="3"/>
  <c r="C609" i="3"/>
  <c r="C607" i="3"/>
  <c r="C605" i="3"/>
  <c r="C603" i="3"/>
  <c r="C601" i="3"/>
  <c r="C599" i="3"/>
  <c r="C597" i="3"/>
  <c r="C595" i="3"/>
  <c r="C593" i="3"/>
  <c r="C591" i="3"/>
  <c r="C589" i="3"/>
  <c r="C587" i="3"/>
  <c r="C585" i="3"/>
  <c r="C583" i="3"/>
  <c r="C581" i="3"/>
  <c r="C579" i="3"/>
  <c r="C577" i="3"/>
  <c r="C575" i="3"/>
  <c r="C573" i="3"/>
  <c r="C571" i="3"/>
  <c r="C569" i="3"/>
  <c r="C567" i="3"/>
  <c r="C565" i="3"/>
  <c r="C563" i="3"/>
  <c r="C561" i="3"/>
  <c r="C559" i="3"/>
  <c r="C557" i="3"/>
  <c r="C555" i="3"/>
  <c r="C553" i="3"/>
  <c r="C551" i="3"/>
  <c r="C549" i="3"/>
  <c r="C547" i="3"/>
  <c r="C545" i="3"/>
  <c r="C543" i="3"/>
  <c r="C541" i="3"/>
  <c r="C539" i="3"/>
  <c r="C537" i="3"/>
  <c r="C535" i="3"/>
  <c r="C533" i="3"/>
  <c r="C531" i="3"/>
  <c r="C529" i="3"/>
  <c r="C527" i="3"/>
  <c r="C525" i="3"/>
  <c r="C523" i="3"/>
  <c r="C521" i="3"/>
  <c r="C519" i="3"/>
  <c r="C517" i="3"/>
  <c r="C515" i="3"/>
  <c r="C513" i="3"/>
  <c r="C511" i="3"/>
  <c r="C509" i="3"/>
  <c r="C507" i="3"/>
  <c r="C505" i="3"/>
  <c r="C503" i="3"/>
  <c r="C501" i="3"/>
  <c r="C499" i="3"/>
  <c r="C497" i="3"/>
  <c r="C495" i="3"/>
  <c r="C493" i="3"/>
  <c r="C491" i="3"/>
  <c r="C489" i="3"/>
  <c r="C487" i="3"/>
  <c r="C485" i="3"/>
  <c r="C483" i="3"/>
  <c r="C481" i="3"/>
  <c r="C479" i="3"/>
  <c r="C477" i="3"/>
  <c r="C475" i="3"/>
  <c r="C473" i="3"/>
  <c r="C471" i="3"/>
  <c r="C469" i="3"/>
  <c r="C467" i="3"/>
  <c r="C465" i="3"/>
  <c r="C463" i="3"/>
  <c r="C461" i="3"/>
  <c r="C459" i="3"/>
  <c r="C457" i="3"/>
  <c r="C455" i="3"/>
  <c r="C453" i="3"/>
  <c r="C451" i="3"/>
  <c r="C449" i="3"/>
  <c r="C447" i="3"/>
  <c r="C445" i="3"/>
  <c r="C443" i="3"/>
  <c r="C441" i="3"/>
  <c r="C654" i="3"/>
  <c r="C652" i="3"/>
  <c r="C650" i="3"/>
  <c r="C648" i="3"/>
  <c r="C646" i="3"/>
  <c r="C644" i="3"/>
  <c r="C642" i="3"/>
  <c r="C640" i="3"/>
  <c r="C638" i="3"/>
  <c r="C636" i="3"/>
  <c r="C634" i="3"/>
  <c r="C632" i="3"/>
  <c r="C630" i="3"/>
  <c r="C628" i="3"/>
  <c r="C626" i="3"/>
  <c r="C624" i="3"/>
  <c r="C622" i="3"/>
  <c r="C620" i="3"/>
  <c r="C618" i="3"/>
  <c r="C616" i="3"/>
  <c r="C614" i="3"/>
  <c r="C612" i="3"/>
  <c r="C610" i="3"/>
  <c r="C608" i="3"/>
  <c r="C606" i="3"/>
  <c r="C604" i="3"/>
  <c r="C602" i="3"/>
  <c r="C600" i="3"/>
  <c r="C598" i="3"/>
  <c r="C596" i="3"/>
  <c r="C594" i="3"/>
  <c r="C592" i="3"/>
  <c r="C590" i="3"/>
  <c r="C588" i="3"/>
  <c r="C586" i="3"/>
  <c r="C584" i="3"/>
  <c r="C582" i="3"/>
  <c r="C580" i="3"/>
  <c r="C578" i="3"/>
  <c r="C576" i="3"/>
  <c r="C574" i="3"/>
  <c r="C572" i="3"/>
  <c r="C570" i="3"/>
  <c r="C568" i="3"/>
  <c r="C566" i="3"/>
  <c r="C564" i="3"/>
  <c r="C562" i="3"/>
  <c r="C560" i="3"/>
  <c r="C558" i="3"/>
  <c r="C556" i="3"/>
  <c r="C554" i="3"/>
  <c r="C552" i="3"/>
  <c r="C550" i="3"/>
  <c r="C548" i="3"/>
  <c r="C546" i="3"/>
  <c r="C544" i="3"/>
  <c r="C542" i="3"/>
  <c r="C540" i="3"/>
  <c r="C538" i="3"/>
  <c r="C536" i="3"/>
  <c r="C534" i="3"/>
  <c r="C532" i="3"/>
  <c r="C530" i="3"/>
  <c r="C528" i="3"/>
  <c r="C526" i="3"/>
  <c r="C524" i="3"/>
  <c r="C522" i="3"/>
  <c r="C520" i="3"/>
  <c r="C518" i="3"/>
  <c r="C516" i="3"/>
  <c r="C514" i="3"/>
  <c r="C512" i="3"/>
  <c r="C510" i="3"/>
  <c r="C508" i="3"/>
  <c r="C506" i="3"/>
  <c r="C504" i="3"/>
  <c r="C502" i="3"/>
  <c r="C500" i="3"/>
  <c r="C498" i="3"/>
  <c r="C496" i="3"/>
  <c r="C494" i="3"/>
  <c r="C492" i="3"/>
  <c r="C490" i="3"/>
  <c r="C488" i="3"/>
  <c r="C486" i="3"/>
  <c r="C484" i="3"/>
  <c r="C482" i="3"/>
  <c r="C480" i="3"/>
  <c r="C478" i="3"/>
  <c r="C476" i="3"/>
  <c r="C474" i="3"/>
  <c r="C472" i="3"/>
  <c r="C470" i="3"/>
  <c r="C468" i="3"/>
  <c r="C466" i="3"/>
  <c r="C464" i="3"/>
  <c r="C462" i="3"/>
  <c r="C460" i="3"/>
  <c r="C458" i="3"/>
  <c r="C456" i="3"/>
  <c r="C454" i="3"/>
  <c r="C452" i="3"/>
  <c r="C450" i="3"/>
  <c r="C448" i="3"/>
  <c r="C446" i="3"/>
  <c r="C444" i="3"/>
  <c r="C442" i="3"/>
  <c r="L14" i="3"/>
  <c r="L31" i="3"/>
  <c r="L48" i="3"/>
  <c r="L57" i="3"/>
  <c r="L76" i="3"/>
  <c r="L88" i="3"/>
  <c r="L96" i="3"/>
  <c r="L102" i="3"/>
  <c r="L108" i="3"/>
  <c r="L125" i="3"/>
  <c r="L132" i="3"/>
  <c r="L146" i="3"/>
  <c r="L157" i="3"/>
  <c r="L169" i="3"/>
  <c r="L183" i="3"/>
  <c r="L199" i="3"/>
  <c r="L213" i="3"/>
  <c r="L227" i="3"/>
  <c r="L237" i="3"/>
  <c r="L248" i="3"/>
  <c r="L258" i="3"/>
  <c r="L272" i="3"/>
  <c r="L281" i="3"/>
  <c r="L295" i="3"/>
  <c r="L301" i="3"/>
  <c r="L317" i="3"/>
  <c r="L329" i="3"/>
  <c r="L334" i="3"/>
  <c r="L337" i="3"/>
  <c r="L6" i="3"/>
  <c r="L28" i="3"/>
  <c r="L35" i="3"/>
  <c r="L72" i="3"/>
  <c r="L83" i="3"/>
  <c r="L92" i="3"/>
  <c r="L99" i="3"/>
  <c r="L105" i="3"/>
  <c r="L112" i="3"/>
  <c r="L128" i="3"/>
  <c r="L139" i="3"/>
  <c r="L151" i="3"/>
  <c r="L164" i="3"/>
  <c r="L173" i="3"/>
  <c r="L187" i="3"/>
  <c r="L202" i="3"/>
  <c r="L206" i="3"/>
  <c r="L221" i="3"/>
  <c r="L232" i="3"/>
  <c r="L243" i="3"/>
  <c r="L250" i="3"/>
  <c r="L267" i="3"/>
  <c r="L276" i="3"/>
  <c r="L289" i="3"/>
  <c r="L299" i="3"/>
  <c r="L310" i="3"/>
  <c r="L319" i="3"/>
  <c r="L342" i="3"/>
  <c r="L349" i="3"/>
  <c r="L358" i="3"/>
  <c r="L365" i="3"/>
  <c r="L377" i="3"/>
  <c r="L4" i="3"/>
  <c r="L10" i="3"/>
  <c r="L17" i="3"/>
  <c r="L29" i="3"/>
  <c r="L34" i="3"/>
  <c r="L38" i="3"/>
  <c r="L56" i="3"/>
  <c r="L70" i="3"/>
  <c r="L75" i="3"/>
  <c r="L82" i="3"/>
  <c r="L85" i="3"/>
  <c r="L89" i="3"/>
  <c r="L95" i="3"/>
  <c r="L98" i="3"/>
  <c r="L100" i="3"/>
  <c r="L103" i="3"/>
  <c r="L107" i="3"/>
  <c r="L109" i="3"/>
  <c r="L114" i="3"/>
  <c r="L126" i="3"/>
  <c r="L130" i="3"/>
  <c r="L136" i="3"/>
  <c r="L145" i="3"/>
  <c r="L147" i="3"/>
  <c r="L152" i="3"/>
  <c r="L160" i="3"/>
  <c r="L166" i="3"/>
  <c r="L170" i="3"/>
  <c r="L174" i="3"/>
  <c r="L185" i="3"/>
  <c r="L190" i="3"/>
  <c r="L200" i="3"/>
  <c r="L204" i="3"/>
  <c r="L207" i="3"/>
  <c r="L217" i="3"/>
  <c r="L222" i="3"/>
  <c r="L228" i="3"/>
  <c r="L234" i="3"/>
  <c r="L239" i="3"/>
  <c r="L244" i="3"/>
  <c r="L249" i="3"/>
  <c r="L256" i="3"/>
  <c r="L259" i="3"/>
  <c r="L271" i="3"/>
  <c r="L275" i="3"/>
  <c r="L277" i="3"/>
  <c r="L284" i="3"/>
  <c r="L291" i="3"/>
  <c r="L296" i="3"/>
  <c r="L300" i="3"/>
  <c r="L305" i="3"/>
  <c r="L312" i="3"/>
  <c r="L318" i="3"/>
  <c r="L323" i="3"/>
  <c r="L333" i="3"/>
  <c r="L335" i="3"/>
  <c r="L341" i="3"/>
  <c r="L344" i="3"/>
  <c r="L346" i="3"/>
  <c r="L351" i="3"/>
  <c r="L357" i="3"/>
  <c r="L360" i="3"/>
  <c r="L363" i="3"/>
  <c r="L367" i="3"/>
  <c r="L376" i="3"/>
  <c r="L378" i="3"/>
  <c r="L381" i="3"/>
  <c r="L387" i="3"/>
  <c r="L392" i="3"/>
  <c r="L397" i="3"/>
  <c r="L405" i="3"/>
  <c r="L416" i="3"/>
  <c r="L419" i="3"/>
  <c r="L423" i="3"/>
  <c r="L426" i="3"/>
  <c r="L431" i="3"/>
  <c r="L434" i="3"/>
  <c r="L656" i="3"/>
  <c r="L658" i="3"/>
  <c r="L660" i="3"/>
  <c r="L662" i="3"/>
  <c r="L664" i="3"/>
  <c r="L666" i="3"/>
  <c r="L668" i="3"/>
  <c r="L670" i="3"/>
  <c r="L672" i="3"/>
  <c r="L674" i="3"/>
  <c r="L676" i="3"/>
  <c r="L678" i="3"/>
  <c r="L680" i="3"/>
  <c r="L682" i="3"/>
  <c r="L684" i="3"/>
  <c r="L686" i="3"/>
  <c r="L688" i="3"/>
  <c r="L690" i="3"/>
  <c r="L692" i="3"/>
  <c r="L694" i="3"/>
  <c r="L696" i="3"/>
  <c r="L698" i="3"/>
  <c r="L700" i="3"/>
  <c r="L702" i="3"/>
  <c r="L704" i="3"/>
  <c r="L706" i="3"/>
  <c r="L708" i="3"/>
  <c r="L710" i="3"/>
  <c r="L712" i="3"/>
  <c r="L714" i="3"/>
  <c r="L716" i="3"/>
  <c r="L718" i="3"/>
  <c r="L720" i="3"/>
  <c r="L722" i="3"/>
  <c r="L724" i="3"/>
  <c r="L726" i="3"/>
  <c r="L728" i="3"/>
  <c r="L730" i="3"/>
  <c r="L732" i="3"/>
  <c r="L734" i="3"/>
  <c r="L736" i="3"/>
  <c r="L738" i="3"/>
  <c r="L740" i="3"/>
  <c r="L742" i="3"/>
  <c r="L744" i="3"/>
  <c r="L746" i="3"/>
  <c r="L748" i="3"/>
  <c r="L750" i="3"/>
  <c r="L752" i="3"/>
  <c r="L754" i="3"/>
  <c r="L756" i="3"/>
  <c r="L758" i="3"/>
  <c r="L760" i="3"/>
  <c r="L762" i="3"/>
  <c r="L764" i="3"/>
  <c r="L766" i="3"/>
  <c r="L768" i="3"/>
  <c r="L770" i="3"/>
  <c r="L772" i="3"/>
  <c r="L774" i="3"/>
  <c r="L776" i="3"/>
  <c r="L778" i="3"/>
  <c r="L780" i="3"/>
  <c r="L782" i="3"/>
  <c r="L784" i="3"/>
  <c r="L786" i="3"/>
  <c r="L788" i="3"/>
  <c r="L790" i="3"/>
  <c r="L792" i="3"/>
  <c r="L794" i="3"/>
  <c r="L796" i="3"/>
  <c r="L798" i="3"/>
  <c r="L800" i="3"/>
  <c r="L802" i="3"/>
  <c r="L804" i="3"/>
  <c r="L806" i="3"/>
  <c r="L808" i="3"/>
  <c r="L810" i="3"/>
  <c r="L812" i="3"/>
  <c r="L814" i="3"/>
  <c r="L816" i="3"/>
  <c r="L818" i="3"/>
  <c r="L820" i="3"/>
  <c r="L822" i="3"/>
  <c r="L824" i="3"/>
  <c r="L826" i="3"/>
  <c r="L828" i="3"/>
  <c r="L830" i="3"/>
  <c r="L832" i="3"/>
  <c r="L834" i="3"/>
  <c r="L836" i="3"/>
  <c r="L838" i="3"/>
  <c r="L840" i="3"/>
  <c r="L842" i="3"/>
  <c r="L844" i="3"/>
  <c r="L846" i="3"/>
  <c r="L848" i="3"/>
  <c r="L850" i="3"/>
  <c r="L852" i="3"/>
  <c r="L854" i="3"/>
  <c r="L856" i="3"/>
  <c r="L858" i="3"/>
  <c r="L860" i="3"/>
  <c r="L862" i="3"/>
  <c r="L864" i="3"/>
  <c r="L866" i="3"/>
  <c r="L868" i="3"/>
  <c r="L870" i="3"/>
  <c r="L872" i="3"/>
  <c r="L874" i="3"/>
  <c r="L876" i="3"/>
  <c r="L878" i="3"/>
  <c r="L880" i="3"/>
  <c r="L882" i="3"/>
  <c r="L884" i="3"/>
  <c r="L886" i="3"/>
  <c r="L888" i="3"/>
  <c r="L890" i="3"/>
  <c r="L892" i="3"/>
  <c r="L894" i="3"/>
  <c r="L896" i="3"/>
  <c r="L898" i="3"/>
  <c r="L900" i="3"/>
  <c r="L902" i="3"/>
  <c r="L904" i="3"/>
  <c r="L906" i="3"/>
  <c r="L908" i="3"/>
  <c r="L910" i="3"/>
  <c r="L912" i="3"/>
  <c r="L914" i="3"/>
  <c r="L916" i="3"/>
  <c r="L918" i="3"/>
  <c r="L920" i="3"/>
  <c r="L922" i="3"/>
  <c r="L924" i="3"/>
  <c r="L926" i="3"/>
  <c r="L928" i="3"/>
  <c r="L930" i="3"/>
  <c r="L932" i="3"/>
  <c r="L934" i="3"/>
  <c r="L936" i="3"/>
  <c r="L938" i="3"/>
  <c r="L940" i="3"/>
  <c r="L942" i="3"/>
  <c r="L944" i="3"/>
  <c r="L946" i="3"/>
  <c r="L948" i="3"/>
  <c r="L950" i="3"/>
  <c r="L952" i="3"/>
  <c r="L954" i="3"/>
  <c r="L956" i="3"/>
  <c r="L958" i="3"/>
  <c r="L960" i="3"/>
  <c r="L962" i="3"/>
  <c r="L964" i="3"/>
  <c r="L966" i="3"/>
  <c r="L968" i="3"/>
  <c r="L970" i="3"/>
  <c r="L972" i="3"/>
  <c r="L974" i="3"/>
  <c r="L976" i="3"/>
  <c r="L978" i="3"/>
  <c r="L980" i="3"/>
  <c r="L982" i="3"/>
  <c r="L984" i="3"/>
  <c r="L986" i="3"/>
  <c r="L988" i="3"/>
  <c r="L990" i="3"/>
  <c r="L992" i="3"/>
  <c r="L994" i="3"/>
  <c r="L996" i="3"/>
  <c r="L998" i="3"/>
  <c r="L1000" i="3"/>
  <c r="L345" i="3"/>
  <c r="L354" i="3"/>
  <c r="L361" i="3"/>
  <c r="L373" i="3"/>
  <c r="L379" i="3"/>
  <c r="L384" i="3"/>
  <c r="L388" i="3"/>
  <c r="L396" i="3"/>
  <c r="L404" i="3"/>
  <c r="L415" i="3"/>
  <c r="L418" i="3"/>
  <c r="L421" i="3"/>
  <c r="L424" i="3"/>
  <c r="L427" i="3"/>
  <c r="L433" i="3"/>
  <c r="L435" i="3"/>
  <c r="L657" i="3"/>
  <c r="L659" i="3"/>
  <c r="L661" i="3"/>
  <c r="L663" i="3"/>
  <c r="L665" i="3"/>
  <c r="L667" i="3"/>
  <c r="L669" i="3"/>
  <c r="L671" i="3"/>
  <c r="L673" i="3"/>
  <c r="L675" i="3"/>
  <c r="L677" i="3"/>
  <c r="L679" i="3"/>
  <c r="L681" i="3"/>
  <c r="L683" i="3"/>
  <c r="L685" i="3"/>
  <c r="L687" i="3"/>
  <c r="L689" i="3"/>
  <c r="L691" i="3"/>
  <c r="L693" i="3"/>
  <c r="L695" i="3"/>
  <c r="L697" i="3"/>
  <c r="L699" i="3"/>
  <c r="L701" i="3"/>
  <c r="L703" i="3"/>
  <c r="L705" i="3"/>
  <c r="L707" i="3"/>
  <c r="L709" i="3"/>
  <c r="L711" i="3"/>
  <c r="L713" i="3"/>
  <c r="L715" i="3"/>
  <c r="L717" i="3"/>
  <c r="L719" i="3"/>
  <c r="L721" i="3"/>
  <c r="L723" i="3"/>
  <c r="L725" i="3"/>
  <c r="L727" i="3"/>
  <c r="L729" i="3"/>
  <c r="L731" i="3"/>
  <c r="L733" i="3"/>
  <c r="L735" i="3"/>
  <c r="L737" i="3"/>
  <c r="L739" i="3"/>
  <c r="L741" i="3"/>
  <c r="L743" i="3"/>
  <c r="L745" i="3"/>
  <c r="L747" i="3"/>
  <c r="L749" i="3"/>
  <c r="L751" i="3"/>
  <c r="L753" i="3"/>
  <c r="L755" i="3"/>
  <c r="L757" i="3"/>
  <c r="L759" i="3"/>
  <c r="L761" i="3"/>
  <c r="L763" i="3"/>
  <c r="L765" i="3"/>
  <c r="L767" i="3"/>
  <c r="L769" i="3"/>
  <c r="L771" i="3"/>
  <c r="L773" i="3"/>
  <c r="L775" i="3"/>
  <c r="L777" i="3"/>
  <c r="L779" i="3"/>
  <c r="L781" i="3"/>
  <c r="L783" i="3"/>
  <c r="L785" i="3"/>
  <c r="L787" i="3"/>
  <c r="L789" i="3"/>
  <c r="L791" i="3"/>
  <c r="L793" i="3"/>
  <c r="L795" i="3"/>
  <c r="L797" i="3"/>
  <c r="L799" i="3"/>
  <c r="L801" i="3"/>
  <c r="L803" i="3"/>
  <c r="L805" i="3"/>
  <c r="L807" i="3"/>
  <c r="L809" i="3"/>
  <c r="L811" i="3"/>
  <c r="L813" i="3"/>
  <c r="L815" i="3"/>
  <c r="L817" i="3"/>
  <c r="L819" i="3"/>
  <c r="L821" i="3"/>
  <c r="L823" i="3"/>
  <c r="L825" i="3"/>
  <c r="L827" i="3"/>
  <c r="L829" i="3"/>
  <c r="L831" i="3"/>
  <c r="L833" i="3"/>
  <c r="L835" i="3"/>
  <c r="L837" i="3"/>
  <c r="L839" i="3"/>
  <c r="L841" i="3"/>
  <c r="L843" i="3"/>
  <c r="L845" i="3"/>
  <c r="L847" i="3"/>
  <c r="L849" i="3"/>
  <c r="L851" i="3"/>
  <c r="L853" i="3"/>
  <c r="L855" i="3"/>
  <c r="L857" i="3"/>
  <c r="L859" i="3"/>
  <c r="L861" i="3"/>
  <c r="L863" i="3"/>
  <c r="L865" i="3"/>
  <c r="L867" i="3"/>
  <c r="L869" i="3"/>
  <c r="L871" i="3"/>
  <c r="L873" i="3"/>
  <c r="L875" i="3"/>
  <c r="L877" i="3"/>
  <c r="L879" i="3"/>
  <c r="L881" i="3"/>
  <c r="L883" i="3"/>
  <c r="L885" i="3"/>
  <c r="L887" i="3"/>
  <c r="L889" i="3"/>
  <c r="L891" i="3"/>
  <c r="L893" i="3"/>
  <c r="L895" i="3"/>
  <c r="L897" i="3"/>
  <c r="L899" i="3"/>
  <c r="L901" i="3"/>
  <c r="L903" i="3"/>
  <c r="L905" i="3"/>
  <c r="L907" i="3"/>
  <c r="L909" i="3"/>
  <c r="L911" i="3"/>
  <c r="L913" i="3"/>
  <c r="L915" i="3"/>
  <c r="L917" i="3"/>
  <c r="L919" i="3"/>
  <c r="L921" i="3"/>
  <c r="L923" i="3"/>
  <c r="L925" i="3"/>
  <c r="L927" i="3"/>
  <c r="L929" i="3"/>
  <c r="L931" i="3"/>
  <c r="L933" i="3"/>
  <c r="L935" i="3"/>
  <c r="L937" i="3"/>
  <c r="L939" i="3"/>
  <c r="L941" i="3"/>
  <c r="L943" i="3"/>
  <c r="L945" i="3"/>
  <c r="L947" i="3"/>
  <c r="L949" i="3"/>
  <c r="L951" i="3"/>
  <c r="L953" i="3"/>
  <c r="L955" i="3"/>
  <c r="L957" i="3"/>
  <c r="L959" i="3"/>
  <c r="L961" i="3"/>
  <c r="L963" i="3"/>
  <c r="L965" i="3"/>
  <c r="L967" i="3"/>
  <c r="L969" i="3"/>
  <c r="L971" i="3"/>
  <c r="L973" i="3"/>
  <c r="L975" i="3"/>
  <c r="L977" i="3"/>
  <c r="L979" i="3"/>
  <c r="L981" i="3"/>
  <c r="L983" i="3"/>
  <c r="L985" i="3"/>
  <c r="L987" i="3"/>
  <c r="L989" i="3"/>
  <c r="L991" i="3"/>
  <c r="L993" i="3"/>
  <c r="L995" i="3"/>
  <c r="L997" i="3"/>
  <c r="L999" i="3"/>
  <c r="L1001" i="3"/>
  <c r="M1000" i="3"/>
  <c r="M998" i="3"/>
  <c r="M996" i="3"/>
  <c r="M994" i="3"/>
  <c r="M992" i="3"/>
  <c r="M990" i="3"/>
  <c r="M988" i="3"/>
  <c r="M987" i="3"/>
  <c r="M985" i="3"/>
  <c r="M983" i="3"/>
  <c r="M981" i="3"/>
  <c r="M979" i="3"/>
  <c r="M977" i="3"/>
  <c r="M975" i="3"/>
  <c r="M973" i="3"/>
  <c r="M971" i="3"/>
  <c r="M969" i="3"/>
  <c r="M967" i="3"/>
  <c r="M965" i="3"/>
  <c r="M963" i="3"/>
  <c r="M961" i="3"/>
  <c r="M960" i="3"/>
  <c r="M959" i="3"/>
  <c r="M958" i="3"/>
  <c r="M957" i="3"/>
  <c r="M956" i="3"/>
  <c r="M955" i="3"/>
  <c r="M954" i="3"/>
  <c r="M953" i="3"/>
  <c r="M952" i="3"/>
  <c r="M951" i="3"/>
  <c r="M950" i="3"/>
  <c r="M949" i="3"/>
  <c r="M948" i="3"/>
  <c r="M947" i="3"/>
  <c r="M946" i="3"/>
  <c r="M945" i="3"/>
  <c r="M944" i="3"/>
  <c r="M943" i="3"/>
  <c r="M942" i="3"/>
  <c r="M941" i="3"/>
  <c r="M940" i="3"/>
  <c r="M939" i="3"/>
  <c r="M938" i="3"/>
  <c r="M937" i="3"/>
  <c r="M936" i="3"/>
  <c r="M935" i="3"/>
  <c r="M934" i="3"/>
  <c r="M933" i="3"/>
  <c r="M932" i="3"/>
  <c r="M931" i="3"/>
  <c r="M930" i="3"/>
  <c r="M929" i="3"/>
  <c r="M928" i="3"/>
  <c r="M927" i="3"/>
  <c r="M926" i="3"/>
  <c r="M925" i="3"/>
  <c r="M924" i="3"/>
  <c r="M923" i="3"/>
  <c r="M922" i="3"/>
  <c r="M921" i="3"/>
  <c r="M920" i="3"/>
  <c r="M919" i="3"/>
  <c r="M918" i="3"/>
  <c r="M917" i="3"/>
  <c r="M916" i="3"/>
  <c r="M915" i="3"/>
  <c r="M914" i="3"/>
  <c r="M913" i="3"/>
  <c r="M912" i="3"/>
  <c r="M911" i="3"/>
  <c r="M910" i="3"/>
  <c r="M909" i="3"/>
  <c r="M908" i="3"/>
  <c r="M907" i="3"/>
  <c r="M906" i="3"/>
  <c r="M905" i="3"/>
  <c r="M904" i="3"/>
  <c r="M903" i="3"/>
  <c r="M902" i="3"/>
  <c r="M901" i="3"/>
  <c r="M900" i="3"/>
  <c r="M899" i="3"/>
  <c r="M898" i="3"/>
  <c r="M897" i="3"/>
  <c r="M896" i="3"/>
  <c r="M895" i="3"/>
  <c r="M894" i="3"/>
  <c r="M893" i="3"/>
  <c r="M892" i="3"/>
  <c r="M891" i="3"/>
  <c r="M890" i="3"/>
  <c r="M889" i="3"/>
  <c r="M888" i="3"/>
  <c r="M887" i="3"/>
  <c r="M886" i="3"/>
  <c r="M885" i="3"/>
  <c r="M884" i="3"/>
  <c r="M883" i="3"/>
  <c r="M882" i="3"/>
  <c r="M881" i="3"/>
  <c r="M880" i="3"/>
  <c r="M879" i="3"/>
  <c r="M878" i="3"/>
  <c r="M877" i="3"/>
  <c r="M876" i="3"/>
  <c r="M875" i="3"/>
  <c r="M874" i="3"/>
  <c r="M873" i="3"/>
  <c r="M872" i="3"/>
  <c r="M871" i="3"/>
  <c r="M870" i="3"/>
  <c r="M869" i="3"/>
  <c r="M868" i="3"/>
  <c r="M867" i="3"/>
  <c r="M866" i="3"/>
  <c r="M865" i="3"/>
  <c r="M864" i="3"/>
  <c r="M863" i="3"/>
  <c r="M862" i="3"/>
  <c r="M861" i="3"/>
  <c r="M860" i="3"/>
  <c r="M859" i="3"/>
  <c r="M858" i="3"/>
  <c r="M857" i="3"/>
  <c r="M856" i="3"/>
  <c r="M855" i="3"/>
  <c r="M854" i="3"/>
  <c r="M853" i="3"/>
  <c r="M852" i="3"/>
  <c r="M851" i="3"/>
  <c r="M850" i="3"/>
  <c r="M849" i="3"/>
  <c r="M848" i="3"/>
  <c r="M847" i="3"/>
  <c r="M846" i="3"/>
  <c r="M845" i="3"/>
  <c r="M844" i="3"/>
  <c r="M843" i="3"/>
  <c r="M842" i="3"/>
  <c r="M841" i="3"/>
  <c r="M840" i="3"/>
  <c r="M839" i="3"/>
  <c r="M838" i="3"/>
  <c r="M837" i="3"/>
  <c r="M836" i="3"/>
  <c r="M835" i="3"/>
  <c r="M834" i="3"/>
  <c r="M833" i="3"/>
  <c r="M832" i="3"/>
  <c r="M831" i="3"/>
  <c r="M830" i="3"/>
  <c r="M829" i="3"/>
  <c r="M828" i="3"/>
  <c r="M827" i="3"/>
  <c r="M826" i="3"/>
  <c r="M825" i="3"/>
  <c r="M824" i="3"/>
  <c r="M823" i="3"/>
  <c r="M822" i="3"/>
  <c r="M821" i="3"/>
  <c r="M820" i="3"/>
  <c r="M819" i="3"/>
  <c r="M818" i="3"/>
  <c r="M817" i="3"/>
  <c r="M816" i="3"/>
  <c r="M815" i="3"/>
  <c r="M814" i="3"/>
  <c r="M813" i="3"/>
  <c r="M812" i="3"/>
  <c r="M811" i="3"/>
  <c r="M810" i="3"/>
  <c r="M809" i="3"/>
  <c r="M808" i="3"/>
  <c r="M807" i="3"/>
  <c r="M806" i="3"/>
  <c r="M805" i="3"/>
  <c r="M804" i="3"/>
  <c r="M803" i="3"/>
  <c r="M802" i="3"/>
  <c r="M801" i="3"/>
  <c r="M800" i="3"/>
  <c r="M799" i="3"/>
  <c r="M798" i="3"/>
  <c r="M797" i="3"/>
  <c r="M796" i="3"/>
  <c r="M795" i="3"/>
  <c r="M794" i="3"/>
  <c r="M793" i="3"/>
  <c r="M792" i="3"/>
  <c r="M791" i="3"/>
  <c r="M790" i="3"/>
  <c r="M789" i="3"/>
  <c r="M788" i="3"/>
  <c r="M787" i="3"/>
  <c r="M786" i="3"/>
  <c r="M785" i="3"/>
  <c r="M784" i="3"/>
  <c r="M783" i="3"/>
  <c r="M782" i="3"/>
  <c r="M781" i="3"/>
  <c r="M780" i="3"/>
  <c r="M779" i="3"/>
  <c r="M778" i="3"/>
  <c r="M777" i="3"/>
  <c r="M776" i="3"/>
  <c r="M775" i="3"/>
  <c r="M774" i="3"/>
  <c r="M773" i="3"/>
  <c r="M772" i="3"/>
  <c r="M771" i="3"/>
  <c r="M770" i="3"/>
  <c r="M769" i="3"/>
  <c r="M768" i="3"/>
  <c r="M767" i="3"/>
  <c r="M766" i="3"/>
  <c r="M765" i="3"/>
  <c r="M764" i="3"/>
  <c r="M763" i="3"/>
  <c r="M762" i="3"/>
  <c r="M761" i="3"/>
  <c r="M760" i="3"/>
  <c r="M759" i="3"/>
  <c r="M1001" i="3"/>
  <c r="M999" i="3"/>
  <c r="M997" i="3"/>
  <c r="M995" i="3"/>
  <c r="M993" i="3"/>
  <c r="M991" i="3"/>
  <c r="M989" i="3"/>
  <c r="M986" i="3"/>
  <c r="M984" i="3"/>
  <c r="M982" i="3"/>
  <c r="M980" i="3"/>
  <c r="M978" i="3"/>
  <c r="M976" i="3"/>
  <c r="M974" i="3"/>
  <c r="M972" i="3"/>
  <c r="M970" i="3"/>
  <c r="M968" i="3"/>
  <c r="M966" i="3"/>
  <c r="M964" i="3"/>
  <c r="M962" i="3"/>
  <c r="M758" i="3"/>
  <c r="M757" i="3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49" i="3"/>
  <c r="N1001" i="3"/>
  <c r="O1001" i="3"/>
  <c r="B2" i="3"/>
  <c r="C2" i="3" s="1"/>
  <c r="B5" i="3"/>
  <c r="C5" i="3" s="1"/>
  <c r="B8" i="3"/>
  <c r="C8" i="3" s="1"/>
  <c r="B11" i="3"/>
  <c r="C11" i="3" s="1"/>
  <c r="B13" i="3"/>
  <c r="C13" i="3" s="1"/>
  <c r="B16" i="3"/>
  <c r="C16" i="3" s="1"/>
  <c r="B19" i="3"/>
  <c r="C19" i="3" s="1"/>
  <c r="B21" i="3"/>
  <c r="C21" i="3" s="1"/>
  <c r="B23" i="3"/>
  <c r="C23" i="3" s="1"/>
  <c r="B25" i="3"/>
  <c r="C25" i="3" s="1"/>
  <c r="B27" i="3"/>
  <c r="C27" i="3" s="1"/>
  <c r="B32" i="3"/>
  <c r="C32" i="3" s="1"/>
  <c r="B36" i="3"/>
  <c r="C36" i="3" s="1"/>
  <c r="B39" i="3"/>
  <c r="C39" i="3" s="1"/>
  <c r="B41" i="3"/>
  <c r="C41" i="3" s="1"/>
  <c r="B43" i="3"/>
  <c r="C43" i="3" s="1"/>
  <c r="B45" i="3"/>
  <c r="C45" i="3" s="1"/>
  <c r="B47" i="3"/>
  <c r="C47" i="3" s="1"/>
  <c r="B50" i="3"/>
  <c r="C50" i="3" s="1"/>
  <c r="B52" i="3"/>
  <c r="C52" i="3" s="1"/>
  <c r="B54" i="3"/>
  <c r="C54" i="3" s="1"/>
  <c r="B58" i="3"/>
  <c r="C58" i="3" s="1"/>
  <c r="B60" i="3"/>
  <c r="C60" i="3" s="1"/>
  <c r="B62" i="3"/>
  <c r="C62" i="3" s="1"/>
  <c r="B64" i="3"/>
  <c r="C64" i="3" s="1"/>
  <c r="B66" i="3"/>
  <c r="C66" i="3" s="1"/>
  <c r="B68" i="3"/>
  <c r="C68" i="3" s="1"/>
  <c r="B71" i="3"/>
  <c r="C71" i="3" s="1"/>
  <c r="B74" i="3"/>
  <c r="C74" i="3" s="1"/>
  <c r="B78" i="3"/>
  <c r="C78" i="3" s="1"/>
  <c r="B80" i="3"/>
  <c r="C80" i="3" s="1"/>
  <c r="B84" i="3"/>
  <c r="C84" i="3" s="1"/>
  <c r="B87" i="3"/>
  <c r="C87" i="3" s="1"/>
  <c r="B91" i="3"/>
  <c r="C91" i="3" s="1"/>
  <c r="B94" i="3"/>
  <c r="C94" i="3" s="1"/>
  <c r="B101" i="3"/>
  <c r="C101" i="3" s="1"/>
  <c r="B106" i="3"/>
  <c r="C106" i="3" s="1"/>
  <c r="B111" i="3"/>
  <c r="C111" i="3" s="1"/>
  <c r="B115" i="3"/>
  <c r="C115" i="3" s="1"/>
  <c r="B117" i="3"/>
  <c r="C117" i="3" s="1"/>
  <c r="B119" i="3"/>
  <c r="C119" i="3" s="1"/>
  <c r="B121" i="3"/>
  <c r="C121" i="3" s="1"/>
  <c r="B123" i="3"/>
  <c r="C123" i="3" s="1"/>
  <c r="B127" i="3"/>
  <c r="C127" i="3" s="1"/>
  <c r="B131" i="3"/>
  <c r="C131" i="3" s="1"/>
  <c r="B134" i="3"/>
  <c r="C134" i="3" s="1"/>
  <c r="B137" i="3"/>
  <c r="C137" i="3" s="1"/>
  <c r="B140" i="3"/>
  <c r="C140" i="3" s="1"/>
  <c r="B142" i="3"/>
  <c r="C142" i="3" s="1"/>
  <c r="B144" i="3"/>
  <c r="C144" i="3" s="1"/>
  <c r="B149" i="3"/>
  <c r="C149" i="3" s="1"/>
  <c r="B153" i="3"/>
  <c r="C153" i="3" s="1"/>
  <c r="B155" i="3"/>
  <c r="C155" i="3" s="1"/>
  <c r="B158" i="3"/>
  <c r="C158" i="3" s="1"/>
  <c r="B161" i="3"/>
  <c r="C161" i="3" s="1"/>
  <c r="B163" i="3"/>
  <c r="C163" i="3" s="1"/>
  <c r="B167" i="3"/>
  <c r="C167" i="3" s="1"/>
  <c r="B171" i="3"/>
  <c r="C171" i="3" s="1"/>
  <c r="B177" i="3"/>
  <c r="C177" i="3" s="1"/>
  <c r="B181" i="3"/>
  <c r="C181" i="3" s="1"/>
  <c r="B188" i="3"/>
  <c r="C188" i="3" s="1"/>
  <c r="B193" i="3"/>
  <c r="C193" i="3" s="1"/>
  <c r="B197" i="3"/>
  <c r="C197" i="3" s="1"/>
  <c r="B205" i="3"/>
  <c r="C205" i="3" s="1"/>
  <c r="B211" i="3"/>
  <c r="C211" i="3" s="1"/>
  <c r="B216" i="3"/>
  <c r="C216" i="3" s="1"/>
  <c r="B223" i="3"/>
  <c r="C223" i="3" s="1"/>
  <c r="B229" i="3"/>
  <c r="C229" i="3" s="1"/>
  <c r="B235" i="3"/>
  <c r="C235" i="3" s="1"/>
  <c r="B241" i="3"/>
  <c r="C241" i="3" s="1"/>
  <c r="B247" i="3"/>
  <c r="C247" i="3" s="1"/>
  <c r="B254" i="3"/>
  <c r="C254" i="3" s="1"/>
  <c r="B261" i="3"/>
  <c r="C261" i="3" s="1"/>
  <c r="B265" i="3"/>
  <c r="C265" i="3" s="1"/>
  <c r="B270" i="3"/>
  <c r="C270" i="3" s="1"/>
  <c r="B279" i="3"/>
  <c r="C279" i="3" s="1"/>
  <c r="B285" i="3"/>
  <c r="C285" i="3" s="1"/>
  <c r="B290" i="3"/>
  <c r="C290" i="3" s="1"/>
  <c r="B297" i="3"/>
  <c r="C297" i="3" s="1"/>
  <c r="B304" i="3"/>
  <c r="C304" i="3" s="1"/>
  <c r="B309" i="3"/>
  <c r="C309" i="3" s="1"/>
  <c r="B315" i="3"/>
  <c r="C315" i="3" s="1"/>
  <c r="B322" i="3"/>
  <c r="C322" i="3" s="1"/>
  <c r="B327" i="3"/>
  <c r="C327" i="3" s="1"/>
  <c r="B332" i="3"/>
  <c r="C332" i="3" s="1"/>
  <c r="B340" i="3"/>
  <c r="C340" i="3" s="1"/>
  <c r="B350" i="3"/>
  <c r="C350" i="3" s="1"/>
  <c r="B356" i="3"/>
  <c r="C356" i="3" s="1"/>
  <c r="B366" i="3"/>
  <c r="C366" i="3" s="1"/>
  <c r="B371" i="3"/>
  <c r="C371" i="3" s="1"/>
  <c r="D385" i="3"/>
  <c r="D398" i="3"/>
  <c r="P259" i="3" s="1"/>
  <c r="D408" i="3"/>
  <c r="P267" i="3" s="1"/>
  <c r="D420" i="3"/>
  <c r="P275" i="3" s="1"/>
  <c r="D437" i="3"/>
  <c r="D445" i="3"/>
  <c r="P291" i="3" s="1"/>
  <c r="D453" i="3"/>
  <c r="P299" i="3" s="1"/>
  <c r="D461" i="3"/>
  <c r="D469" i="3"/>
  <c r="D477" i="3"/>
  <c r="P323" i="3" s="1"/>
  <c r="D485" i="3"/>
  <c r="D493" i="3"/>
  <c r="D501" i="3"/>
  <c r="D509" i="3"/>
  <c r="P509" i="3" s="1"/>
  <c r="D517" i="3"/>
  <c r="P363" i="3" s="1"/>
  <c r="D525" i="3"/>
  <c r="D533" i="3"/>
  <c r="P379" i="3" s="1"/>
  <c r="D541" i="3"/>
  <c r="P387" i="3" s="1"/>
  <c r="D549" i="3"/>
  <c r="P549" i="3" s="1"/>
  <c r="D557" i="3"/>
  <c r="D565" i="3"/>
  <c r="D573" i="3"/>
  <c r="P419" i="3" s="1"/>
  <c r="D581" i="3"/>
  <c r="P427" i="3" s="1"/>
  <c r="D589" i="3"/>
  <c r="P435" i="3" s="1"/>
  <c r="D597" i="3"/>
  <c r="D605" i="3"/>
  <c r="D613" i="3"/>
  <c r="D621" i="3"/>
  <c r="P621" i="3" s="1"/>
  <c r="D629" i="3"/>
  <c r="D637" i="3"/>
  <c r="P637" i="3" s="1"/>
  <c r="D645" i="3"/>
  <c r="B654" i="3"/>
  <c r="B3" i="3"/>
  <c r="C3" i="3" s="1"/>
  <c r="B7" i="3"/>
  <c r="C7" i="3" s="1"/>
  <c r="B9" i="3"/>
  <c r="C9" i="3" s="1"/>
  <c r="B12" i="3"/>
  <c r="C12" i="3" s="1"/>
  <c r="B15" i="3"/>
  <c r="C15" i="3" s="1"/>
  <c r="B18" i="3"/>
  <c r="C18" i="3" s="1"/>
  <c r="B20" i="3"/>
  <c r="C20" i="3" s="1"/>
  <c r="B22" i="3"/>
  <c r="C22" i="3" s="1"/>
  <c r="B24" i="3"/>
  <c r="C24" i="3" s="1"/>
  <c r="B26" i="3"/>
  <c r="C26" i="3" s="1"/>
  <c r="B30" i="3"/>
  <c r="C30" i="3" s="1"/>
  <c r="B33" i="3"/>
  <c r="C33" i="3" s="1"/>
  <c r="B37" i="3"/>
  <c r="C37" i="3" s="1"/>
  <c r="B40" i="3"/>
  <c r="C40" i="3" s="1"/>
  <c r="B42" i="3"/>
  <c r="C42" i="3" s="1"/>
  <c r="B44" i="3"/>
  <c r="C44" i="3" s="1"/>
  <c r="B46" i="3"/>
  <c r="C46" i="3" s="1"/>
  <c r="B49" i="3"/>
  <c r="C49" i="3" s="1"/>
  <c r="B51" i="3"/>
  <c r="C51" i="3" s="1"/>
  <c r="B53" i="3"/>
  <c r="C53" i="3" s="1"/>
  <c r="B55" i="3"/>
  <c r="C55" i="3" s="1"/>
  <c r="B59" i="3"/>
  <c r="C59" i="3" s="1"/>
  <c r="B61" i="3"/>
  <c r="C61" i="3" s="1"/>
  <c r="B63" i="3"/>
  <c r="C63" i="3" s="1"/>
  <c r="B65" i="3"/>
  <c r="C65" i="3" s="1"/>
  <c r="B67" i="3"/>
  <c r="C67" i="3" s="1"/>
  <c r="B69" i="3"/>
  <c r="C69" i="3" s="1"/>
  <c r="B73" i="3"/>
  <c r="C73" i="3" s="1"/>
  <c r="B77" i="3"/>
  <c r="C77" i="3" s="1"/>
  <c r="B79" i="3"/>
  <c r="C79" i="3" s="1"/>
  <c r="B81" i="3"/>
  <c r="C81" i="3" s="1"/>
  <c r="B86" i="3"/>
  <c r="C86" i="3" s="1"/>
  <c r="B90" i="3"/>
  <c r="C90" i="3" s="1"/>
  <c r="B93" i="3"/>
  <c r="C93" i="3" s="1"/>
  <c r="B97" i="3"/>
  <c r="C97" i="3" s="1"/>
  <c r="B104" i="3"/>
  <c r="C104" i="3" s="1"/>
  <c r="B110" i="3"/>
  <c r="C110" i="3" s="1"/>
  <c r="B113" i="3"/>
  <c r="C113" i="3" s="1"/>
  <c r="B116" i="3"/>
  <c r="C116" i="3" s="1"/>
  <c r="B118" i="3"/>
  <c r="C118" i="3" s="1"/>
  <c r="B120" i="3"/>
  <c r="C120" i="3" s="1"/>
  <c r="B122" i="3"/>
  <c r="C122" i="3" s="1"/>
  <c r="B124" i="3"/>
  <c r="C124" i="3" s="1"/>
  <c r="B129" i="3"/>
  <c r="C129" i="3" s="1"/>
  <c r="B133" i="3"/>
  <c r="C133" i="3" s="1"/>
  <c r="B135" i="3"/>
  <c r="C135" i="3" s="1"/>
  <c r="B138" i="3"/>
  <c r="C138" i="3" s="1"/>
  <c r="B141" i="3"/>
  <c r="C141" i="3" s="1"/>
  <c r="B143" i="3"/>
  <c r="C143" i="3" s="1"/>
  <c r="B148" i="3"/>
  <c r="C148" i="3" s="1"/>
  <c r="B150" i="3"/>
  <c r="C150" i="3" s="1"/>
  <c r="B154" i="3"/>
  <c r="C154" i="3" s="1"/>
  <c r="B156" i="3"/>
  <c r="C156" i="3" s="1"/>
  <c r="B159" i="3"/>
  <c r="C159" i="3" s="1"/>
  <c r="B162" i="3"/>
  <c r="C162" i="3" s="1"/>
  <c r="B165" i="3"/>
  <c r="C165" i="3" s="1"/>
  <c r="B168" i="3"/>
  <c r="C168" i="3" s="1"/>
  <c r="B175" i="3"/>
  <c r="C175" i="3" s="1"/>
  <c r="B179" i="3"/>
  <c r="C179" i="3" s="1"/>
  <c r="B184" i="3"/>
  <c r="C184" i="3" s="1"/>
  <c r="B191" i="3"/>
  <c r="C191" i="3" s="1"/>
  <c r="B195" i="3"/>
  <c r="C195" i="3" s="1"/>
  <c r="B201" i="3"/>
  <c r="C201" i="3" s="1"/>
  <c r="B209" i="3"/>
  <c r="C209" i="3" s="1"/>
  <c r="B214" i="3"/>
  <c r="C214" i="3" s="1"/>
  <c r="B219" i="3"/>
  <c r="C219" i="3" s="1"/>
  <c r="B225" i="3"/>
  <c r="C225" i="3" s="1"/>
  <c r="B231" i="3"/>
  <c r="C231" i="3" s="1"/>
  <c r="B238" i="3"/>
  <c r="C238" i="3" s="1"/>
  <c r="B245" i="3"/>
  <c r="C245" i="3" s="1"/>
  <c r="B252" i="3"/>
  <c r="C252" i="3" s="1"/>
  <c r="B257" i="3"/>
  <c r="C257" i="3" s="1"/>
  <c r="B263" i="3"/>
  <c r="C263" i="3" s="1"/>
  <c r="B268" i="3"/>
  <c r="C268" i="3" s="1"/>
  <c r="B274" i="3"/>
  <c r="C274" i="3" s="1"/>
  <c r="B282" i="3"/>
  <c r="C282" i="3" s="1"/>
  <c r="B287" i="3"/>
  <c r="C287" i="3" s="1"/>
  <c r="B293" i="3"/>
  <c r="C293" i="3" s="1"/>
  <c r="B302" i="3"/>
  <c r="C302" i="3" s="1"/>
  <c r="B307" i="3"/>
  <c r="C307" i="3" s="1"/>
  <c r="B313" i="3"/>
  <c r="C313" i="3" s="1"/>
  <c r="B320" i="3"/>
  <c r="C320" i="3" s="1"/>
  <c r="B325" i="3"/>
  <c r="C325" i="3" s="1"/>
  <c r="B330" i="3"/>
  <c r="C330" i="3" s="1"/>
  <c r="B338" i="3"/>
  <c r="C338" i="3" s="1"/>
  <c r="B347" i="3"/>
  <c r="C347" i="3" s="1"/>
  <c r="B353" i="3"/>
  <c r="C353" i="3" s="1"/>
  <c r="B362" i="3"/>
  <c r="C362" i="3" s="1"/>
  <c r="B369" i="3"/>
  <c r="C369" i="3" s="1"/>
  <c r="D375" i="3"/>
  <c r="D391" i="3"/>
  <c r="D402" i="3"/>
  <c r="D412" i="3"/>
  <c r="P271" i="3" s="1"/>
  <c r="D429" i="3"/>
  <c r="D441" i="3"/>
  <c r="D449" i="3"/>
  <c r="P295" i="3" s="1"/>
  <c r="D457" i="3"/>
  <c r="D465" i="3"/>
  <c r="D473" i="3"/>
  <c r="P319" i="3" s="1"/>
  <c r="D481" i="3"/>
  <c r="D489" i="3"/>
  <c r="P335" i="3" s="1"/>
  <c r="D497" i="3"/>
  <c r="D505" i="3"/>
  <c r="D513" i="3"/>
  <c r="D521" i="3"/>
  <c r="D529" i="3"/>
  <c r="D537" i="3"/>
  <c r="D545" i="3"/>
  <c r="D553" i="3"/>
  <c r="D561" i="3"/>
  <c r="D569" i="3"/>
  <c r="D577" i="3"/>
  <c r="D585" i="3"/>
  <c r="D593" i="3"/>
  <c r="D601" i="3"/>
  <c r="D609" i="3"/>
  <c r="D617" i="3"/>
  <c r="D625" i="3"/>
  <c r="D633" i="3"/>
  <c r="D641" i="3"/>
  <c r="D652" i="3"/>
  <c r="D650" i="3"/>
  <c r="D648" i="3"/>
  <c r="D646" i="3"/>
  <c r="D644" i="3"/>
  <c r="D642" i="3"/>
  <c r="D640" i="3"/>
  <c r="D638" i="3"/>
  <c r="D636" i="3"/>
  <c r="D634" i="3"/>
  <c r="D632" i="3"/>
  <c r="D630" i="3"/>
  <c r="D628" i="3"/>
  <c r="D626" i="3"/>
  <c r="D624" i="3"/>
  <c r="D622" i="3"/>
  <c r="D620" i="3"/>
  <c r="D618" i="3"/>
  <c r="D616" i="3"/>
  <c r="D614" i="3"/>
  <c r="D612" i="3"/>
  <c r="D610" i="3"/>
  <c r="D608" i="3"/>
  <c r="D606" i="3"/>
  <c r="D604" i="3"/>
  <c r="D602" i="3"/>
  <c r="D600" i="3"/>
  <c r="D598" i="3"/>
  <c r="D596" i="3"/>
  <c r="D594" i="3"/>
  <c r="D592" i="3"/>
  <c r="D590" i="3"/>
  <c r="D588" i="3"/>
  <c r="D586" i="3"/>
  <c r="D584" i="3"/>
  <c r="D582" i="3"/>
  <c r="D580" i="3"/>
  <c r="D578" i="3"/>
  <c r="D576" i="3"/>
  <c r="D574" i="3"/>
  <c r="D572" i="3"/>
  <c r="D570" i="3"/>
  <c r="D568" i="3"/>
  <c r="D566" i="3"/>
  <c r="D564" i="3"/>
  <c r="D562" i="3"/>
  <c r="D560" i="3"/>
  <c r="D558" i="3"/>
  <c r="D556" i="3"/>
  <c r="D554" i="3"/>
  <c r="D552" i="3"/>
  <c r="D550" i="3"/>
  <c r="D548" i="3"/>
  <c r="D546" i="3"/>
  <c r="D544" i="3"/>
  <c r="D542" i="3"/>
  <c r="D540" i="3"/>
  <c r="D538" i="3"/>
  <c r="D536" i="3"/>
  <c r="D534" i="3"/>
  <c r="D532" i="3"/>
  <c r="D530" i="3"/>
  <c r="D528" i="3"/>
  <c r="D526" i="3"/>
  <c r="D524" i="3"/>
  <c r="D522" i="3"/>
  <c r="D520" i="3"/>
  <c r="D518" i="3"/>
  <c r="D516" i="3"/>
  <c r="D514" i="3"/>
  <c r="D512" i="3"/>
  <c r="D510" i="3"/>
  <c r="D508" i="3"/>
  <c r="D506" i="3"/>
  <c r="D504" i="3"/>
  <c r="D502" i="3"/>
  <c r="D500" i="3"/>
  <c r="P346" i="3" s="1"/>
  <c r="D498" i="3"/>
  <c r="P344" i="3" s="1"/>
  <c r="D496" i="3"/>
  <c r="P342" i="3" s="1"/>
  <c r="D494" i="3"/>
  <c r="D492" i="3"/>
  <c r="D490" i="3"/>
  <c r="D488" i="3"/>
  <c r="P334" i="3" s="1"/>
  <c r="D486" i="3"/>
  <c r="D484" i="3"/>
  <c r="D482" i="3"/>
  <c r="D480" i="3"/>
  <c r="D478" i="3"/>
  <c r="D476" i="3"/>
  <c r="D474" i="3"/>
  <c r="D472" i="3"/>
  <c r="P318" i="3" s="1"/>
  <c r="D470" i="3"/>
  <c r="D468" i="3"/>
  <c r="D466" i="3"/>
  <c r="P312" i="3" s="1"/>
  <c r="D464" i="3"/>
  <c r="P310" i="3" s="1"/>
  <c r="D462" i="3"/>
  <c r="D460" i="3"/>
  <c r="D458" i="3"/>
  <c r="D456" i="3"/>
  <c r="D454" i="3"/>
  <c r="P300" i="3" s="1"/>
  <c r="D452" i="3"/>
  <c r="D450" i="3"/>
  <c r="P296" i="3" s="1"/>
  <c r="D448" i="3"/>
  <c r="D446" i="3"/>
  <c r="D444" i="3"/>
  <c r="D442" i="3"/>
  <c r="D440" i="3"/>
  <c r="D438" i="3"/>
  <c r="P284" i="3" s="1"/>
  <c r="D436" i="3"/>
  <c r="D430" i="3"/>
  <c r="D428" i="3"/>
  <c r="D422" i="3"/>
  <c r="P276" i="3" s="1"/>
  <c r="D417" i="3"/>
  <c r="D413" i="3"/>
  <c r="P272" i="3" s="1"/>
  <c r="D411" i="3"/>
  <c r="D409" i="3"/>
  <c r="D407" i="3"/>
  <c r="D403" i="3"/>
  <c r="D401" i="3"/>
  <c r="D399" i="3"/>
  <c r="D395" i="3"/>
  <c r="P258" i="3" s="1"/>
  <c r="D393" i="3"/>
  <c r="P256" i="3" s="1"/>
  <c r="D390" i="3"/>
  <c r="D386" i="3"/>
  <c r="D383" i="3"/>
  <c r="P250" i="3" s="1"/>
  <c r="D380" i="3"/>
  <c r="P248" i="3" s="1"/>
  <c r="D374" i="3"/>
  <c r="D371" i="3"/>
  <c r="P244" i="3" s="1"/>
  <c r="D370" i="3"/>
  <c r="P243" i="3" s="1"/>
  <c r="D369" i="3"/>
  <c r="D368" i="3"/>
  <c r="D366" i="3"/>
  <c r="D364" i="3"/>
  <c r="P239" i="3" s="1"/>
  <c r="D362" i="3"/>
  <c r="D359" i="3"/>
  <c r="P237" i="3" s="1"/>
  <c r="D356" i="3"/>
  <c r="D355" i="3"/>
  <c r="D353" i="3"/>
  <c r="P234" i="3" s="1"/>
  <c r="D352" i="3"/>
  <c r="D350" i="3"/>
  <c r="P232" i="3" s="1"/>
  <c r="D348" i="3"/>
  <c r="D347" i="3"/>
  <c r="D343" i="3"/>
  <c r="D340" i="3"/>
  <c r="P228" i="3" s="1"/>
  <c r="D339" i="3"/>
  <c r="P227" i="3" s="1"/>
  <c r="D338" i="3"/>
  <c r="D336" i="3"/>
  <c r="D332" i="3"/>
  <c r="D331" i="3"/>
  <c r="D330" i="3"/>
  <c r="P222" i="3" s="1"/>
  <c r="D328" i="3"/>
  <c r="P221" i="3" s="1"/>
  <c r="D327" i="3"/>
  <c r="D326" i="3"/>
  <c r="D325" i="3"/>
  <c r="D324" i="3"/>
  <c r="P217" i="3" s="1"/>
  <c r="D322" i="3"/>
  <c r="D321" i="3"/>
  <c r="D320" i="3"/>
  <c r="D316" i="3"/>
  <c r="P213" i="3" s="1"/>
  <c r="D315" i="3"/>
  <c r="D314" i="3"/>
  <c r="D313" i="3"/>
  <c r="D311" i="3"/>
  <c r="D309" i="3"/>
  <c r="D308" i="3"/>
  <c r="P207" i="3" s="1"/>
  <c r="D307" i="3"/>
  <c r="P206" i="3" s="1"/>
  <c r="D306" i="3"/>
  <c r="D304" i="3"/>
  <c r="P204" i="3" s="1"/>
  <c r="D303" i="3"/>
  <c r="D302" i="3"/>
  <c r="P202" i="3" s="1"/>
  <c r="D298" i="3"/>
  <c r="D297" i="3"/>
  <c r="P200" i="3" s="1"/>
  <c r="D294" i="3"/>
  <c r="P199" i="3" s="1"/>
  <c r="D293" i="3"/>
  <c r="D292" i="3"/>
  <c r="D290" i="3"/>
  <c r="D288" i="3"/>
  <c r="D287" i="3"/>
  <c r="D286" i="3"/>
  <c r="D285" i="3"/>
  <c r="D283" i="3"/>
  <c r="D282" i="3"/>
  <c r="P190" i="3" s="1"/>
  <c r="D280" i="3"/>
  <c r="D279" i="3"/>
  <c r="D278" i="3"/>
  <c r="P187" i="3" s="1"/>
  <c r="D274" i="3"/>
  <c r="D273" i="3"/>
  <c r="P185" i="3" s="1"/>
  <c r="D270" i="3"/>
  <c r="D269" i="3"/>
  <c r="P183" i="3" s="1"/>
  <c r="D268" i="3"/>
  <c r="D266" i="3"/>
  <c r="D265" i="3"/>
  <c r="D264" i="3"/>
  <c r="D263" i="3"/>
  <c r="D262" i="3"/>
  <c r="D261" i="3"/>
  <c r="D260" i="3"/>
  <c r="D257" i="3"/>
  <c r="P174" i="3" s="1"/>
  <c r="D255" i="3"/>
  <c r="P173" i="3" s="1"/>
  <c r="D254" i="3"/>
  <c r="D253" i="3"/>
  <c r="D252" i="3"/>
  <c r="P170" i="3" s="1"/>
  <c r="D251" i="3"/>
  <c r="P169" i="3" s="1"/>
  <c r="D247" i="3"/>
  <c r="D246" i="3"/>
  <c r="D245" i="3"/>
  <c r="P166" i="3" s="1"/>
  <c r="D242" i="3"/>
  <c r="D241" i="3"/>
  <c r="P164" i="3" s="1"/>
  <c r="D240" i="3"/>
  <c r="D238" i="3"/>
  <c r="D236" i="3"/>
  <c r="D235" i="3"/>
  <c r="P160" i="3" s="1"/>
  <c r="D233" i="3"/>
  <c r="D231" i="3"/>
  <c r="D230" i="3"/>
  <c r="P157" i="3" s="1"/>
  <c r="D229" i="3"/>
  <c r="D226" i="3"/>
  <c r="D225" i="3"/>
  <c r="D224" i="3"/>
  <c r="D223" i="3"/>
  <c r="P152" i="3" s="1"/>
  <c r="D220" i="3"/>
  <c r="P151" i="3" s="1"/>
  <c r="D219" i="3"/>
  <c r="D218" i="3"/>
  <c r="D216" i="3"/>
  <c r="D215" i="3"/>
  <c r="P147" i="3" s="1"/>
  <c r="D214" i="3"/>
  <c r="P146" i="3" s="1"/>
  <c r="D212" i="3"/>
  <c r="P145" i="3" s="1"/>
  <c r="D211" i="3"/>
  <c r="D210" i="3"/>
  <c r="D209" i="3"/>
  <c r="D208" i="3"/>
  <c r="D205" i="3"/>
  <c r="D203" i="3"/>
  <c r="P139" i="3" s="1"/>
  <c r="D201" i="3"/>
  <c r="D198" i="3"/>
  <c r="D197" i="3"/>
  <c r="P136" i="3" s="1"/>
  <c r="D196" i="3"/>
  <c r="D195" i="3"/>
  <c r="D194" i="3"/>
  <c r="D193" i="3"/>
  <c r="P132" i="3" s="1"/>
  <c r="D192" i="3"/>
  <c r="D191" i="3"/>
  <c r="P130" i="3" s="1"/>
  <c r="D189" i="3"/>
  <c r="D188" i="3"/>
  <c r="P128" i="3" s="1"/>
  <c r="D186" i="3"/>
  <c r="D184" i="3"/>
  <c r="P126" i="3" s="1"/>
  <c r="D182" i="3"/>
  <c r="P125" i="3" s="1"/>
  <c r="D181" i="3"/>
  <c r="D180" i="3"/>
  <c r="D179" i="3"/>
  <c r="D178" i="3"/>
  <c r="D177" i="3"/>
  <c r="D176" i="3"/>
  <c r="D175" i="3"/>
  <c r="D172" i="3"/>
  <c r="D171" i="3"/>
  <c r="D2" i="3"/>
  <c r="D3" i="3"/>
  <c r="P3" i="3" s="1"/>
  <c r="D5" i="3"/>
  <c r="P4" i="3" s="1"/>
  <c r="D7" i="3"/>
  <c r="P5" i="3" s="1"/>
  <c r="D8" i="3"/>
  <c r="P6" i="3" s="1"/>
  <c r="D9" i="3"/>
  <c r="D11" i="3"/>
  <c r="P8" i="3" s="1"/>
  <c r="D12" i="3"/>
  <c r="P9" i="3" s="1"/>
  <c r="D13" i="3"/>
  <c r="P10" i="3" s="1"/>
  <c r="D15" i="3"/>
  <c r="D16" i="3"/>
  <c r="P12" i="3" s="1"/>
  <c r="D18" i="3"/>
  <c r="P13" i="3" s="1"/>
  <c r="D19" i="3"/>
  <c r="P14" i="3" s="1"/>
  <c r="D20" i="3"/>
  <c r="P15" i="3" s="1"/>
  <c r="D21" i="3"/>
  <c r="P16" i="3" s="1"/>
  <c r="D22" i="3"/>
  <c r="P17" i="3" s="1"/>
  <c r="D23" i="3"/>
  <c r="P18" i="3" s="1"/>
  <c r="D24" i="3"/>
  <c r="D25" i="3"/>
  <c r="P20" i="3" s="1"/>
  <c r="D26" i="3"/>
  <c r="P21" i="3" s="1"/>
  <c r="D27" i="3"/>
  <c r="P22" i="3" s="1"/>
  <c r="D30" i="3"/>
  <c r="D32" i="3"/>
  <c r="P24" i="3" s="1"/>
  <c r="D33" i="3"/>
  <c r="P25" i="3" s="1"/>
  <c r="D36" i="3"/>
  <c r="P26" i="3" s="1"/>
  <c r="D37" i="3"/>
  <c r="D39" i="3"/>
  <c r="P28" i="3" s="1"/>
  <c r="D40" i="3"/>
  <c r="P29" i="3" s="1"/>
  <c r="D41" i="3"/>
  <c r="P30" i="3" s="1"/>
  <c r="D42" i="3"/>
  <c r="P31" i="3" s="1"/>
  <c r="D43" i="3"/>
  <c r="P32" i="3" s="1"/>
  <c r="D44" i="3"/>
  <c r="P33" i="3" s="1"/>
  <c r="D45" i="3"/>
  <c r="P34" i="3" s="1"/>
  <c r="D46" i="3"/>
  <c r="P35" i="3" s="1"/>
  <c r="D47" i="3"/>
  <c r="P36" i="3" s="1"/>
  <c r="D49" i="3"/>
  <c r="P37" i="3" s="1"/>
  <c r="D50" i="3"/>
  <c r="P38" i="3" s="1"/>
  <c r="D51" i="3"/>
  <c r="D52" i="3"/>
  <c r="P40" i="3" s="1"/>
  <c r="D53" i="3"/>
  <c r="P41" i="3" s="1"/>
  <c r="D54" i="3"/>
  <c r="P42" i="3" s="1"/>
  <c r="D55" i="3"/>
  <c r="D58" i="3"/>
  <c r="P44" i="3" s="1"/>
  <c r="D59" i="3"/>
  <c r="P45" i="3" s="1"/>
  <c r="D60" i="3"/>
  <c r="P46" i="3" s="1"/>
  <c r="D61" i="3"/>
  <c r="D62" i="3"/>
  <c r="P48" i="3" s="1"/>
  <c r="D63" i="3"/>
  <c r="P49" i="3" s="1"/>
  <c r="D64" i="3"/>
  <c r="P50" i="3" s="1"/>
  <c r="D65" i="3"/>
  <c r="P51" i="3" s="1"/>
  <c r="D66" i="3"/>
  <c r="P52" i="3" s="1"/>
  <c r="D67" i="3"/>
  <c r="P53" i="3" s="1"/>
  <c r="D68" i="3"/>
  <c r="P54" i="3" s="1"/>
  <c r="D69" i="3"/>
  <c r="P55" i="3" s="1"/>
  <c r="D71" i="3"/>
  <c r="P56" i="3" s="1"/>
  <c r="D73" i="3"/>
  <c r="P57" i="3" s="1"/>
  <c r="D74" i="3"/>
  <c r="P58" i="3" s="1"/>
  <c r="D77" i="3"/>
  <c r="D78" i="3"/>
  <c r="P60" i="3" s="1"/>
  <c r="D79" i="3"/>
  <c r="P61" i="3" s="1"/>
  <c r="D80" i="3"/>
  <c r="P62" i="3" s="1"/>
  <c r="D81" i="3"/>
  <c r="D84" i="3"/>
  <c r="P64" i="3" s="1"/>
  <c r="D86" i="3"/>
  <c r="P65" i="3" s="1"/>
  <c r="D87" i="3"/>
  <c r="P66" i="3" s="1"/>
  <c r="D90" i="3"/>
  <c r="D91" i="3"/>
  <c r="P68" i="3" s="1"/>
  <c r="D93" i="3"/>
  <c r="P69" i="3" s="1"/>
  <c r="D94" i="3"/>
  <c r="P70" i="3" s="1"/>
  <c r="D97" i="3"/>
  <c r="P71" i="3" s="1"/>
  <c r="D101" i="3"/>
  <c r="P72" i="3" s="1"/>
  <c r="D104" i="3"/>
  <c r="P73" i="3" s="1"/>
  <c r="D106" i="3"/>
  <c r="P74" i="3" s="1"/>
  <c r="D110" i="3"/>
  <c r="P75" i="3" s="1"/>
  <c r="D111" i="3"/>
  <c r="P76" i="3" s="1"/>
  <c r="D113" i="3"/>
  <c r="P77" i="3" s="1"/>
  <c r="D115" i="3"/>
  <c r="P78" i="3" s="1"/>
  <c r="D116" i="3"/>
  <c r="P79" i="3" s="1"/>
  <c r="D117" i="3"/>
  <c r="P80" i="3" s="1"/>
  <c r="D118" i="3"/>
  <c r="P81" i="3" s="1"/>
  <c r="D119" i="3"/>
  <c r="P82" i="3" s="1"/>
  <c r="D120" i="3"/>
  <c r="P83" i="3" s="1"/>
  <c r="D121" i="3"/>
  <c r="P84" i="3" s="1"/>
  <c r="D122" i="3"/>
  <c r="P85" i="3" s="1"/>
  <c r="D123" i="3"/>
  <c r="P86" i="3" s="1"/>
  <c r="D124" i="3"/>
  <c r="P87" i="3" s="1"/>
  <c r="D127" i="3"/>
  <c r="P88" i="3" s="1"/>
  <c r="D129" i="3"/>
  <c r="P89" i="3" s="1"/>
  <c r="D131" i="3"/>
  <c r="P90" i="3" s="1"/>
  <c r="D133" i="3"/>
  <c r="P91" i="3" s="1"/>
  <c r="D134" i="3"/>
  <c r="P92" i="3" s="1"/>
  <c r="D135" i="3"/>
  <c r="P93" i="3" s="1"/>
  <c r="D137" i="3"/>
  <c r="P94" i="3" s="1"/>
  <c r="D138" i="3"/>
  <c r="P95" i="3" s="1"/>
  <c r="D140" i="3"/>
  <c r="P96" i="3" s="1"/>
  <c r="D141" i="3"/>
  <c r="P97" i="3" s="1"/>
  <c r="D142" i="3"/>
  <c r="P98" i="3" s="1"/>
  <c r="D143" i="3"/>
  <c r="P99" i="3" s="1"/>
  <c r="D144" i="3"/>
  <c r="P100" i="3" s="1"/>
  <c r="D148" i="3"/>
  <c r="P101" i="3" s="1"/>
  <c r="D149" i="3"/>
  <c r="P102" i="3" s="1"/>
  <c r="D150" i="3"/>
  <c r="P103" i="3" s="1"/>
  <c r="D153" i="3"/>
  <c r="P104" i="3" s="1"/>
  <c r="D154" i="3"/>
  <c r="P105" i="3" s="1"/>
  <c r="D155" i="3"/>
  <c r="P106" i="3" s="1"/>
  <c r="D156" i="3"/>
  <c r="P107" i="3" s="1"/>
  <c r="D158" i="3"/>
  <c r="P108" i="3" s="1"/>
  <c r="D159" i="3"/>
  <c r="P109" i="3" s="1"/>
  <c r="D161" i="3"/>
  <c r="P110" i="3" s="1"/>
  <c r="D162" i="3"/>
  <c r="P111" i="3" s="1"/>
  <c r="D163" i="3"/>
  <c r="P112" i="3" s="1"/>
  <c r="D165" i="3"/>
  <c r="P113" i="3" s="1"/>
  <c r="D167" i="3"/>
  <c r="P114" i="3" s="1"/>
  <c r="D168" i="3"/>
  <c r="P115" i="3" s="1"/>
  <c r="B172" i="3"/>
  <c r="C172" i="3" s="1"/>
  <c r="B176" i="3"/>
  <c r="C176" i="3" s="1"/>
  <c r="B178" i="3"/>
  <c r="C178" i="3" s="1"/>
  <c r="B180" i="3"/>
  <c r="C180" i="3" s="1"/>
  <c r="B182" i="3"/>
  <c r="C182" i="3" s="1"/>
  <c r="B186" i="3"/>
  <c r="C186" i="3" s="1"/>
  <c r="B189" i="3"/>
  <c r="C189" i="3" s="1"/>
  <c r="B192" i="3"/>
  <c r="C192" i="3" s="1"/>
  <c r="B194" i="3"/>
  <c r="C194" i="3" s="1"/>
  <c r="B196" i="3"/>
  <c r="C196" i="3" s="1"/>
  <c r="B198" i="3"/>
  <c r="C198" i="3" s="1"/>
  <c r="B203" i="3"/>
  <c r="C203" i="3" s="1"/>
  <c r="B208" i="3"/>
  <c r="C208" i="3" s="1"/>
  <c r="B210" i="3"/>
  <c r="C210" i="3" s="1"/>
  <c r="B212" i="3"/>
  <c r="C212" i="3" s="1"/>
  <c r="B215" i="3"/>
  <c r="C215" i="3" s="1"/>
  <c r="B218" i="3"/>
  <c r="C218" i="3" s="1"/>
  <c r="B220" i="3"/>
  <c r="C220" i="3" s="1"/>
  <c r="B224" i="3"/>
  <c r="C224" i="3" s="1"/>
  <c r="B226" i="3"/>
  <c r="C226" i="3" s="1"/>
  <c r="B230" i="3"/>
  <c r="C230" i="3" s="1"/>
  <c r="B233" i="3"/>
  <c r="C233" i="3" s="1"/>
  <c r="B236" i="3"/>
  <c r="C236" i="3" s="1"/>
  <c r="B240" i="3"/>
  <c r="C240" i="3" s="1"/>
  <c r="B242" i="3"/>
  <c r="C242" i="3" s="1"/>
  <c r="B246" i="3"/>
  <c r="C246" i="3" s="1"/>
  <c r="B251" i="3"/>
  <c r="C251" i="3" s="1"/>
  <c r="B253" i="3"/>
  <c r="C253" i="3" s="1"/>
  <c r="B255" i="3"/>
  <c r="C255" i="3" s="1"/>
  <c r="B260" i="3"/>
  <c r="C260" i="3" s="1"/>
  <c r="B262" i="3"/>
  <c r="C262" i="3" s="1"/>
  <c r="B264" i="3"/>
  <c r="C264" i="3" s="1"/>
  <c r="B266" i="3"/>
  <c r="C266" i="3" s="1"/>
  <c r="B269" i="3"/>
  <c r="C269" i="3" s="1"/>
  <c r="B273" i="3"/>
  <c r="C273" i="3" s="1"/>
  <c r="B278" i="3"/>
  <c r="C278" i="3" s="1"/>
  <c r="B280" i="3"/>
  <c r="C280" i="3" s="1"/>
  <c r="B283" i="3"/>
  <c r="C283" i="3" s="1"/>
  <c r="B286" i="3"/>
  <c r="C286" i="3" s="1"/>
  <c r="B288" i="3"/>
  <c r="C288" i="3" s="1"/>
  <c r="B292" i="3"/>
  <c r="C292" i="3" s="1"/>
  <c r="B294" i="3"/>
  <c r="C294" i="3" s="1"/>
  <c r="B298" i="3"/>
  <c r="C298" i="3" s="1"/>
  <c r="B303" i="3"/>
  <c r="C303" i="3" s="1"/>
  <c r="B306" i="3"/>
  <c r="C306" i="3" s="1"/>
  <c r="B308" i="3"/>
  <c r="C308" i="3" s="1"/>
  <c r="B311" i="3"/>
  <c r="C311" i="3" s="1"/>
  <c r="B314" i="3"/>
  <c r="C314" i="3" s="1"/>
  <c r="B316" i="3"/>
  <c r="C316" i="3" s="1"/>
  <c r="B321" i="3"/>
  <c r="C321" i="3" s="1"/>
  <c r="B324" i="3"/>
  <c r="C324" i="3" s="1"/>
  <c r="B326" i="3"/>
  <c r="C326" i="3" s="1"/>
  <c r="B328" i="3"/>
  <c r="C328" i="3" s="1"/>
  <c r="B331" i="3"/>
  <c r="C331" i="3" s="1"/>
  <c r="B336" i="3"/>
  <c r="C336" i="3" s="1"/>
  <c r="B339" i="3"/>
  <c r="C339" i="3" s="1"/>
  <c r="B343" i="3"/>
  <c r="C343" i="3" s="1"/>
  <c r="B348" i="3"/>
  <c r="C348" i="3" s="1"/>
  <c r="B352" i="3"/>
  <c r="C352" i="3" s="1"/>
  <c r="B355" i="3"/>
  <c r="C355" i="3" s="1"/>
  <c r="B359" i="3"/>
  <c r="C359" i="3" s="1"/>
  <c r="B364" i="3"/>
  <c r="C364" i="3" s="1"/>
  <c r="B368" i="3"/>
  <c r="C368" i="3" s="1"/>
  <c r="B370" i="3"/>
  <c r="C370" i="3" s="1"/>
  <c r="D372" i="3"/>
  <c r="P245" i="3" s="1"/>
  <c r="D382" i="3"/>
  <c r="P249" i="3" s="1"/>
  <c r="D389" i="3"/>
  <c r="P253" i="3" s="1"/>
  <c r="D394" i="3"/>
  <c r="P257" i="3" s="1"/>
  <c r="D400" i="3"/>
  <c r="P261" i="3" s="1"/>
  <c r="D406" i="3"/>
  <c r="P265" i="3" s="1"/>
  <c r="D410" i="3"/>
  <c r="P269" i="3" s="1"/>
  <c r="D414" i="3"/>
  <c r="P273" i="3" s="1"/>
  <c r="D425" i="3"/>
  <c r="P277" i="3" s="1"/>
  <c r="D432" i="3"/>
  <c r="P281" i="3" s="1"/>
  <c r="D439" i="3"/>
  <c r="P285" i="3" s="1"/>
  <c r="D443" i="3"/>
  <c r="P289" i="3" s="1"/>
  <c r="D447" i="3"/>
  <c r="P293" i="3" s="1"/>
  <c r="D451" i="3"/>
  <c r="P297" i="3" s="1"/>
  <c r="D455" i="3"/>
  <c r="P301" i="3" s="1"/>
  <c r="D459" i="3"/>
  <c r="P305" i="3" s="1"/>
  <c r="D463" i="3"/>
  <c r="P309" i="3" s="1"/>
  <c r="D467" i="3"/>
  <c r="P313" i="3" s="1"/>
  <c r="D471" i="3"/>
  <c r="P317" i="3" s="1"/>
  <c r="D475" i="3"/>
  <c r="P321" i="3" s="1"/>
  <c r="D479" i="3"/>
  <c r="P325" i="3" s="1"/>
  <c r="D483" i="3"/>
  <c r="P329" i="3" s="1"/>
  <c r="D487" i="3"/>
  <c r="P333" i="3" s="1"/>
  <c r="D491" i="3"/>
  <c r="P337" i="3" s="1"/>
  <c r="D495" i="3"/>
  <c r="D499" i="3"/>
  <c r="P345" i="3" s="1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1" i="3"/>
  <c r="D595" i="3"/>
  <c r="D599" i="3"/>
  <c r="D603" i="3"/>
  <c r="D607" i="3"/>
  <c r="D611" i="3"/>
  <c r="D615" i="3"/>
  <c r="D619" i="3"/>
  <c r="D623" i="3"/>
  <c r="D627" i="3"/>
  <c r="D631" i="3"/>
  <c r="D635" i="3"/>
  <c r="D639" i="3"/>
  <c r="D643" i="3"/>
  <c r="D647" i="3"/>
  <c r="D651" i="3"/>
  <c r="F655" i="3"/>
  <c r="F654" i="3"/>
  <c r="F653" i="3"/>
  <c r="D655" i="3"/>
  <c r="D654" i="3"/>
  <c r="D653" i="3"/>
  <c r="F652" i="3"/>
  <c r="F651" i="3"/>
  <c r="F650" i="3"/>
  <c r="F649" i="3"/>
  <c r="E649" i="3" s="1"/>
  <c r="L649" i="3" s="1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2" i="3"/>
  <c r="F430" i="3"/>
  <c r="F429" i="3"/>
  <c r="F428" i="3"/>
  <c r="F425" i="3"/>
  <c r="F422" i="3"/>
  <c r="F420" i="3"/>
  <c r="F417" i="3"/>
  <c r="F414" i="3"/>
  <c r="F413" i="3"/>
  <c r="F412" i="3"/>
  <c r="F411" i="3"/>
  <c r="F410" i="3"/>
  <c r="F409" i="3"/>
  <c r="F408" i="3"/>
  <c r="F407" i="3"/>
  <c r="F406" i="3"/>
  <c r="F403" i="3"/>
  <c r="F402" i="3"/>
  <c r="F401" i="3"/>
  <c r="F400" i="3"/>
  <c r="F399" i="3"/>
  <c r="F398" i="3"/>
  <c r="F395" i="3"/>
  <c r="F394" i="3"/>
  <c r="F393" i="3"/>
  <c r="F391" i="3"/>
  <c r="F390" i="3"/>
  <c r="F389" i="3"/>
  <c r="F386" i="3"/>
  <c r="F385" i="3"/>
  <c r="F383" i="3"/>
  <c r="F382" i="3"/>
  <c r="F380" i="3"/>
  <c r="F375" i="3"/>
  <c r="F374" i="3"/>
  <c r="F372" i="3"/>
  <c r="F371" i="3"/>
  <c r="F2" i="3"/>
  <c r="F3" i="3"/>
  <c r="F5" i="3"/>
  <c r="F7" i="3"/>
  <c r="F8" i="3"/>
  <c r="F9" i="3"/>
  <c r="F11" i="3"/>
  <c r="F12" i="3"/>
  <c r="F13" i="3"/>
  <c r="F15" i="3"/>
  <c r="F16" i="3"/>
  <c r="F18" i="3"/>
  <c r="F19" i="3"/>
  <c r="F20" i="3"/>
  <c r="F21" i="3"/>
  <c r="F22" i="3"/>
  <c r="F23" i="3"/>
  <c r="F24" i="3"/>
  <c r="F25" i="3"/>
  <c r="F26" i="3"/>
  <c r="F27" i="3"/>
  <c r="F30" i="3"/>
  <c r="F32" i="3"/>
  <c r="F33" i="3"/>
  <c r="F36" i="3"/>
  <c r="F37" i="3"/>
  <c r="F39" i="3"/>
  <c r="F40" i="3"/>
  <c r="F41" i="3"/>
  <c r="F42" i="3"/>
  <c r="F43" i="3"/>
  <c r="F44" i="3"/>
  <c r="F45" i="3"/>
  <c r="F46" i="3"/>
  <c r="F47" i="3"/>
  <c r="F49" i="3"/>
  <c r="F50" i="3"/>
  <c r="F51" i="3"/>
  <c r="F52" i="3"/>
  <c r="F53" i="3"/>
  <c r="F54" i="3"/>
  <c r="F55" i="3"/>
  <c r="F58" i="3"/>
  <c r="F59" i="3"/>
  <c r="F60" i="3"/>
  <c r="F61" i="3"/>
  <c r="F62" i="3"/>
  <c r="F63" i="3"/>
  <c r="F64" i="3"/>
  <c r="F65" i="3"/>
  <c r="F66" i="3"/>
  <c r="F67" i="3"/>
  <c r="F68" i="3"/>
  <c r="F69" i="3"/>
  <c r="F71" i="3"/>
  <c r="F73" i="3"/>
  <c r="F74" i="3"/>
  <c r="F77" i="3"/>
  <c r="F78" i="3"/>
  <c r="F79" i="3"/>
  <c r="F80" i="3"/>
  <c r="F81" i="3"/>
  <c r="F84" i="3"/>
  <c r="F86" i="3"/>
  <c r="F87" i="3"/>
  <c r="F90" i="3"/>
  <c r="F91" i="3"/>
  <c r="F93" i="3"/>
  <c r="F94" i="3"/>
  <c r="F97" i="3"/>
  <c r="F101" i="3"/>
  <c r="F104" i="3"/>
  <c r="F106" i="3"/>
  <c r="F110" i="3"/>
  <c r="F111" i="3"/>
  <c r="F113" i="3"/>
  <c r="F115" i="3"/>
  <c r="F116" i="3"/>
  <c r="F117" i="3"/>
  <c r="F118" i="3"/>
  <c r="F119" i="3"/>
  <c r="F120" i="3"/>
  <c r="F121" i="3"/>
  <c r="F122" i="3"/>
  <c r="F123" i="3"/>
  <c r="F124" i="3"/>
  <c r="F127" i="3"/>
  <c r="F129" i="3"/>
  <c r="F131" i="3"/>
  <c r="F133" i="3"/>
  <c r="F134" i="3"/>
  <c r="F135" i="3"/>
  <c r="F137" i="3"/>
  <c r="F138" i="3"/>
  <c r="F140" i="3"/>
  <c r="F141" i="3"/>
  <c r="F142" i="3"/>
  <c r="F143" i="3"/>
  <c r="F144" i="3"/>
  <c r="F148" i="3"/>
  <c r="F149" i="3"/>
  <c r="F150" i="3"/>
  <c r="F153" i="3"/>
  <c r="F154" i="3"/>
  <c r="F155" i="3"/>
  <c r="F156" i="3"/>
  <c r="F158" i="3"/>
  <c r="F159" i="3"/>
  <c r="F161" i="3"/>
  <c r="F162" i="3"/>
  <c r="F163" i="3"/>
  <c r="F165" i="3"/>
  <c r="F167" i="3"/>
  <c r="F168" i="3"/>
  <c r="F171" i="3"/>
  <c r="F172" i="3"/>
  <c r="F175" i="3"/>
  <c r="F176" i="3"/>
  <c r="F177" i="3"/>
  <c r="F178" i="3"/>
  <c r="F179" i="3"/>
  <c r="F180" i="3"/>
  <c r="F181" i="3"/>
  <c r="F182" i="3"/>
  <c r="F184" i="3"/>
  <c r="F186" i="3"/>
  <c r="F188" i="3"/>
  <c r="F189" i="3"/>
  <c r="F191" i="3"/>
  <c r="F192" i="3"/>
  <c r="F193" i="3"/>
  <c r="F194" i="3"/>
  <c r="F195" i="3"/>
  <c r="F196" i="3"/>
  <c r="F197" i="3"/>
  <c r="F198" i="3"/>
  <c r="F201" i="3"/>
  <c r="F203" i="3"/>
  <c r="F205" i="3"/>
  <c r="F208" i="3"/>
  <c r="F209" i="3"/>
  <c r="F210" i="3"/>
  <c r="F211" i="3"/>
  <c r="F212" i="3"/>
  <c r="F214" i="3"/>
  <c r="F215" i="3"/>
  <c r="F216" i="3"/>
  <c r="F218" i="3"/>
  <c r="F219" i="3"/>
  <c r="F220" i="3"/>
  <c r="F223" i="3"/>
  <c r="F224" i="3"/>
  <c r="F225" i="3"/>
  <c r="F226" i="3"/>
  <c r="F229" i="3"/>
  <c r="F230" i="3"/>
  <c r="F231" i="3"/>
  <c r="F233" i="3"/>
  <c r="F235" i="3"/>
  <c r="F236" i="3"/>
  <c r="F238" i="3"/>
  <c r="F240" i="3"/>
  <c r="F241" i="3"/>
  <c r="F242" i="3"/>
  <c r="F245" i="3"/>
  <c r="F246" i="3"/>
  <c r="F247" i="3"/>
  <c r="F251" i="3"/>
  <c r="F252" i="3"/>
  <c r="F253" i="3"/>
  <c r="F254" i="3"/>
  <c r="F255" i="3"/>
  <c r="F257" i="3"/>
  <c r="F260" i="3"/>
  <c r="F261" i="3"/>
  <c r="F262" i="3"/>
  <c r="F263" i="3"/>
  <c r="F264" i="3"/>
  <c r="F265" i="3"/>
  <c r="F266" i="3"/>
  <c r="F268" i="3"/>
  <c r="F269" i="3"/>
  <c r="F270" i="3"/>
  <c r="F273" i="3"/>
  <c r="F274" i="3"/>
  <c r="F278" i="3"/>
  <c r="F279" i="3"/>
  <c r="F280" i="3"/>
  <c r="F282" i="3"/>
  <c r="F283" i="3"/>
  <c r="F285" i="3"/>
  <c r="F286" i="3"/>
  <c r="F287" i="3"/>
  <c r="F288" i="3"/>
  <c r="F290" i="3"/>
  <c r="F292" i="3"/>
  <c r="F293" i="3"/>
  <c r="F294" i="3"/>
  <c r="F297" i="3"/>
  <c r="F298" i="3"/>
  <c r="F302" i="3"/>
  <c r="F303" i="3"/>
  <c r="F304" i="3"/>
  <c r="F306" i="3"/>
  <c r="F307" i="3"/>
  <c r="F308" i="3"/>
  <c r="F309" i="3"/>
  <c r="F311" i="3"/>
  <c r="F313" i="3"/>
  <c r="F314" i="3"/>
  <c r="F315" i="3"/>
  <c r="F316" i="3"/>
  <c r="F320" i="3"/>
  <c r="F321" i="3"/>
  <c r="F322" i="3"/>
  <c r="F324" i="3"/>
  <c r="F325" i="3"/>
  <c r="F326" i="3"/>
  <c r="F327" i="3"/>
  <c r="F328" i="3"/>
  <c r="F330" i="3"/>
  <c r="F331" i="3"/>
  <c r="F332" i="3"/>
  <c r="F336" i="3"/>
  <c r="F338" i="3"/>
  <c r="F339" i="3"/>
  <c r="F340" i="3"/>
  <c r="F343" i="3"/>
  <c r="F347" i="3"/>
  <c r="F348" i="3"/>
  <c r="F350" i="3"/>
  <c r="F352" i="3"/>
  <c r="F353" i="3"/>
  <c r="F355" i="3"/>
  <c r="F356" i="3"/>
  <c r="F359" i="3"/>
  <c r="F362" i="3"/>
  <c r="F364" i="3"/>
  <c r="F366" i="3"/>
  <c r="F368" i="3"/>
  <c r="F369" i="3"/>
  <c r="F370" i="3"/>
  <c r="B372" i="3"/>
  <c r="C372" i="3" s="1"/>
  <c r="B374" i="3"/>
  <c r="C374" i="3" s="1"/>
  <c r="B375" i="3"/>
  <c r="C375" i="3" s="1"/>
  <c r="B380" i="3"/>
  <c r="C380" i="3" s="1"/>
  <c r="B382" i="3"/>
  <c r="C382" i="3" s="1"/>
  <c r="B383" i="3"/>
  <c r="C383" i="3" s="1"/>
  <c r="B385" i="3"/>
  <c r="C385" i="3" s="1"/>
  <c r="B386" i="3"/>
  <c r="C386" i="3" s="1"/>
  <c r="B389" i="3"/>
  <c r="C389" i="3" s="1"/>
  <c r="B390" i="3"/>
  <c r="C390" i="3" s="1"/>
  <c r="B391" i="3"/>
  <c r="C391" i="3" s="1"/>
  <c r="B393" i="3"/>
  <c r="C393" i="3" s="1"/>
  <c r="B394" i="3"/>
  <c r="C394" i="3" s="1"/>
  <c r="B395" i="3"/>
  <c r="C395" i="3" s="1"/>
  <c r="B398" i="3"/>
  <c r="C398" i="3" s="1"/>
  <c r="B399" i="3"/>
  <c r="C399" i="3" s="1"/>
  <c r="B400" i="3"/>
  <c r="C400" i="3" s="1"/>
  <c r="B401" i="3"/>
  <c r="C401" i="3" s="1"/>
  <c r="B402" i="3"/>
  <c r="C402" i="3" s="1"/>
  <c r="B403" i="3"/>
  <c r="C403" i="3" s="1"/>
  <c r="B406" i="3"/>
  <c r="C406" i="3" s="1"/>
  <c r="B407" i="3"/>
  <c r="C407" i="3" s="1"/>
  <c r="B408" i="3"/>
  <c r="C408" i="3" s="1"/>
  <c r="B409" i="3"/>
  <c r="C409" i="3" s="1"/>
  <c r="B410" i="3"/>
  <c r="C410" i="3" s="1"/>
  <c r="B411" i="3"/>
  <c r="C411" i="3" s="1"/>
  <c r="B412" i="3"/>
  <c r="C412" i="3" s="1"/>
  <c r="B413" i="3"/>
  <c r="C413" i="3" s="1"/>
  <c r="B414" i="3"/>
  <c r="C414" i="3" s="1"/>
  <c r="B417" i="3"/>
  <c r="C417" i="3" s="1"/>
  <c r="B420" i="3"/>
  <c r="C420" i="3" s="1"/>
  <c r="B422" i="3"/>
  <c r="C422" i="3" s="1"/>
  <c r="B425" i="3"/>
  <c r="C425" i="3" s="1"/>
  <c r="B428" i="3"/>
  <c r="C428" i="3" s="1"/>
  <c r="B429" i="3"/>
  <c r="C429" i="3" s="1"/>
  <c r="B430" i="3"/>
  <c r="C430" i="3" s="1"/>
  <c r="B432" i="3"/>
  <c r="C432" i="3" s="1"/>
  <c r="B436" i="3"/>
  <c r="C436" i="3" s="1"/>
  <c r="B437" i="3"/>
  <c r="C437" i="3" s="1"/>
  <c r="B438" i="3"/>
  <c r="C438" i="3" s="1"/>
  <c r="B439" i="3"/>
  <c r="C439" i="3" s="1"/>
  <c r="B440" i="3"/>
  <c r="C440" i="3" s="1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5" i="3"/>
  <c r="P493" i="3" l="1"/>
  <c r="M647" i="3"/>
  <c r="P647" i="3"/>
  <c r="P477" i="3"/>
  <c r="M631" i="3"/>
  <c r="P631" i="3"/>
  <c r="P461" i="3"/>
  <c r="P615" i="3"/>
  <c r="M615" i="3"/>
  <c r="P445" i="3"/>
  <c r="P599" i="3"/>
  <c r="M599" i="3"/>
  <c r="P429" i="3"/>
  <c r="P583" i="3"/>
  <c r="M583" i="3"/>
  <c r="P413" i="3"/>
  <c r="P567" i="3"/>
  <c r="M567" i="3"/>
  <c r="P397" i="3"/>
  <c r="P551" i="3"/>
  <c r="M551" i="3"/>
  <c r="P381" i="3"/>
  <c r="P535" i="3"/>
  <c r="M535" i="3"/>
  <c r="P365" i="3"/>
  <c r="P519" i="3"/>
  <c r="M519" i="3"/>
  <c r="P349" i="3"/>
  <c r="P503" i="3"/>
  <c r="M503" i="3"/>
  <c r="P119" i="3"/>
  <c r="P123" i="3"/>
  <c r="P127" i="3"/>
  <c r="P131" i="3"/>
  <c r="P135" i="3"/>
  <c r="P143" i="3"/>
  <c r="P155" i="3"/>
  <c r="P159" i="3"/>
  <c r="P163" i="3"/>
  <c r="P167" i="3"/>
  <c r="P171" i="3"/>
  <c r="P175" i="3"/>
  <c r="P179" i="3"/>
  <c r="P191" i="3"/>
  <c r="P195" i="3"/>
  <c r="P203" i="3"/>
  <c r="P211" i="3"/>
  <c r="P215" i="3"/>
  <c r="P219" i="3"/>
  <c r="P223" i="3"/>
  <c r="P231" i="3"/>
  <c r="P235" i="3"/>
  <c r="P266" i="3"/>
  <c r="P274" i="3"/>
  <c r="P282" i="3"/>
  <c r="P290" i="3"/>
  <c r="P298" i="3"/>
  <c r="P306" i="3"/>
  <c r="P314" i="3"/>
  <c r="P322" i="3"/>
  <c r="P330" i="3"/>
  <c r="P338" i="3"/>
  <c r="P354" i="3"/>
  <c r="P508" i="3"/>
  <c r="M508" i="3"/>
  <c r="P362" i="3"/>
  <c r="M516" i="3"/>
  <c r="P516" i="3"/>
  <c r="P370" i="3"/>
  <c r="P524" i="3"/>
  <c r="M524" i="3"/>
  <c r="P378" i="3"/>
  <c r="M532" i="3"/>
  <c r="P532" i="3"/>
  <c r="P386" i="3"/>
  <c r="P540" i="3"/>
  <c r="M540" i="3"/>
  <c r="P394" i="3"/>
  <c r="M548" i="3"/>
  <c r="P548" i="3"/>
  <c r="P402" i="3"/>
  <c r="P556" i="3"/>
  <c r="M556" i="3"/>
  <c r="P410" i="3"/>
  <c r="M564" i="3"/>
  <c r="P564" i="3"/>
  <c r="P418" i="3"/>
  <c r="P572" i="3"/>
  <c r="M572" i="3"/>
  <c r="P426" i="3"/>
  <c r="M580" i="3"/>
  <c r="P580" i="3"/>
  <c r="P434" i="3"/>
  <c r="P588" i="3"/>
  <c r="M588" i="3"/>
  <c r="P442" i="3"/>
  <c r="M596" i="3"/>
  <c r="P596" i="3"/>
  <c r="P450" i="3"/>
  <c r="P604" i="3"/>
  <c r="M604" i="3"/>
  <c r="P458" i="3"/>
  <c r="M612" i="3"/>
  <c r="P612" i="3"/>
  <c r="P466" i="3"/>
  <c r="P620" i="3"/>
  <c r="M620" i="3"/>
  <c r="P474" i="3"/>
  <c r="M628" i="3"/>
  <c r="P628" i="3"/>
  <c r="P482" i="3"/>
  <c r="M636" i="3"/>
  <c r="P636" i="3"/>
  <c r="P490" i="3"/>
  <c r="M644" i="3"/>
  <c r="P644" i="3"/>
  <c r="P498" i="3"/>
  <c r="P652" i="3"/>
  <c r="M652" i="3"/>
  <c r="P463" i="3"/>
  <c r="M617" i="3"/>
  <c r="P617" i="3"/>
  <c r="P431" i="3"/>
  <c r="M585" i="3"/>
  <c r="P585" i="3"/>
  <c r="P399" i="3"/>
  <c r="P553" i="3"/>
  <c r="M553" i="3"/>
  <c r="P367" i="3"/>
  <c r="M521" i="3"/>
  <c r="P521" i="3"/>
  <c r="P303" i="3"/>
  <c r="P499" i="3"/>
  <c r="M653" i="3"/>
  <c r="P653" i="3"/>
  <c r="P489" i="3"/>
  <c r="P643" i="3"/>
  <c r="M643" i="3"/>
  <c r="P473" i="3"/>
  <c r="P627" i="3"/>
  <c r="M627" i="3"/>
  <c r="P457" i="3"/>
  <c r="M611" i="3"/>
  <c r="P611" i="3"/>
  <c r="P441" i="3"/>
  <c r="M595" i="3"/>
  <c r="P595" i="3"/>
  <c r="P425" i="3"/>
  <c r="M579" i="3"/>
  <c r="P579" i="3"/>
  <c r="P409" i="3"/>
  <c r="M563" i="3"/>
  <c r="P563" i="3"/>
  <c r="P393" i="3"/>
  <c r="P547" i="3"/>
  <c r="M547" i="3"/>
  <c r="P377" i="3"/>
  <c r="P531" i="3"/>
  <c r="M531" i="3"/>
  <c r="P361" i="3"/>
  <c r="P515" i="3"/>
  <c r="M515" i="3"/>
  <c r="P116" i="3"/>
  <c r="P120" i="3"/>
  <c r="P124" i="3"/>
  <c r="P140" i="3"/>
  <c r="P144" i="3"/>
  <c r="P148" i="3"/>
  <c r="P156" i="3"/>
  <c r="P168" i="3"/>
  <c r="P172" i="3"/>
  <c r="P176" i="3"/>
  <c r="P180" i="3"/>
  <c r="P184" i="3"/>
  <c r="P188" i="3"/>
  <c r="P192" i="3"/>
  <c r="P196" i="3"/>
  <c r="P208" i="3"/>
  <c r="P212" i="3"/>
  <c r="P216" i="3"/>
  <c r="P220" i="3"/>
  <c r="P224" i="3"/>
  <c r="P236" i="3"/>
  <c r="P240" i="3"/>
  <c r="P252" i="3"/>
  <c r="P260" i="3"/>
  <c r="P268" i="3"/>
  <c r="P292" i="3"/>
  <c r="P308" i="3"/>
  <c r="P316" i="3"/>
  <c r="P324" i="3"/>
  <c r="P332" i="3"/>
  <c r="P340" i="3"/>
  <c r="P348" i="3"/>
  <c r="P502" i="3"/>
  <c r="M502" i="3"/>
  <c r="P356" i="3"/>
  <c r="P510" i="3"/>
  <c r="M510" i="3"/>
  <c r="P364" i="3"/>
  <c r="P518" i="3"/>
  <c r="M518" i="3"/>
  <c r="P372" i="3"/>
  <c r="P526" i="3"/>
  <c r="M526" i="3"/>
  <c r="P380" i="3"/>
  <c r="P534" i="3"/>
  <c r="M534" i="3"/>
  <c r="P388" i="3"/>
  <c r="P542" i="3"/>
  <c r="M542" i="3"/>
  <c r="P396" i="3"/>
  <c r="P550" i="3"/>
  <c r="M550" i="3"/>
  <c r="P404" i="3"/>
  <c r="P558" i="3"/>
  <c r="M558" i="3"/>
  <c r="P412" i="3"/>
  <c r="P566" i="3"/>
  <c r="M566" i="3"/>
  <c r="P420" i="3"/>
  <c r="P574" i="3"/>
  <c r="M574" i="3"/>
  <c r="P428" i="3"/>
  <c r="P582" i="3"/>
  <c r="M582" i="3"/>
  <c r="P436" i="3"/>
  <c r="P590" i="3"/>
  <c r="M590" i="3"/>
  <c r="P444" i="3"/>
  <c r="P598" i="3"/>
  <c r="M598" i="3"/>
  <c r="P452" i="3"/>
  <c r="P606" i="3"/>
  <c r="M606" i="3"/>
  <c r="P460" i="3"/>
  <c r="P614" i="3"/>
  <c r="M614" i="3"/>
  <c r="P468" i="3"/>
  <c r="P622" i="3"/>
  <c r="M622" i="3"/>
  <c r="P476" i="3"/>
  <c r="P630" i="3"/>
  <c r="M630" i="3"/>
  <c r="P484" i="3"/>
  <c r="P638" i="3"/>
  <c r="M638" i="3"/>
  <c r="P492" i="3"/>
  <c r="P646" i="3"/>
  <c r="M646" i="3"/>
  <c r="P487" i="3"/>
  <c r="P641" i="3"/>
  <c r="M641" i="3"/>
  <c r="P455" i="3"/>
  <c r="M609" i="3"/>
  <c r="P609" i="3"/>
  <c r="P423" i="3"/>
  <c r="M577" i="3"/>
  <c r="P577" i="3"/>
  <c r="P391" i="3"/>
  <c r="M545" i="3"/>
  <c r="P545" i="3"/>
  <c r="P359" i="3"/>
  <c r="M513" i="3"/>
  <c r="P513" i="3"/>
  <c r="P327" i="3"/>
  <c r="P263" i="3"/>
  <c r="P500" i="3"/>
  <c r="P654" i="3"/>
  <c r="M654" i="3"/>
  <c r="P485" i="3"/>
  <c r="P639" i="3"/>
  <c r="M639" i="3"/>
  <c r="P469" i="3"/>
  <c r="P623" i="3"/>
  <c r="M623" i="3"/>
  <c r="P453" i="3"/>
  <c r="P607" i="3"/>
  <c r="M607" i="3"/>
  <c r="P437" i="3"/>
  <c r="P591" i="3"/>
  <c r="M591" i="3"/>
  <c r="P421" i="3"/>
  <c r="P575" i="3"/>
  <c r="M575" i="3"/>
  <c r="P405" i="3"/>
  <c r="P559" i="3"/>
  <c r="M559" i="3"/>
  <c r="P389" i="3"/>
  <c r="M543" i="3"/>
  <c r="P543" i="3"/>
  <c r="P373" i="3"/>
  <c r="P527" i="3"/>
  <c r="M527" i="3"/>
  <c r="P357" i="3"/>
  <c r="P511" i="3"/>
  <c r="M511" i="3"/>
  <c r="P341" i="3"/>
  <c r="M495" i="3"/>
  <c r="P117" i="3"/>
  <c r="P121" i="3"/>
  <c r="P129" i="3"/>
  <c r="P133" i="3"/>
  <c r="P137" i="3"/>
  <c r="P141" i="3"/>
  <c r="P149" i="3"/>
  <c r="P153" i="3"/>
  <c r="P161" i="3"/>
  <c r="P165" i="3"/>
  <c r="P177" i="3"/>
  <c r="P181" i="3"/>
  <c r="P189" i="3"/>
  <c r="P193" i="3"/>
  <c r="P197" i="3"/>
  <c r="P201" i="3"/>
  <c r="P205" i="3"/>
  <c r="P209" i="3"/>
  <c r="P225" i="3"/>
  <c r="P229" i="3"/>
  <c r="P233" i="3"/>
  <c r="P241" i="3"/>
  <c r="P246" i="3"/>
  <c r="P254" i="3"/>
  <c r="P262" i="3"/>
  <c r="P270" i="3"/>
  <c r="P278" i="3"/>
  <c r="P286" i="3"/>
  <c r="P294" i="3"/>
  <c r="P302" i="3"/>
  <c r="P326" i="3"/>
  <c r="P350" i="3"/>
  <c r="P504" i="3"/>
  <c r="M504" i="3"/>
  <c r="P358" i="3"/>
  <c r="M512" i="3"/>
  <c r="P512" i="3"/>
  <c r="P366" i="3"/>
  <c r="P520" i="3"/>
  <c r="M520" i="3"/>
  <c r="P374" i="3"/>
  <c r="M528" i="3"/>
  <c r="P528" i="3"/>
  <c r="P382" i="3"/>
  <c r="P536" i="3"/>
  <c r="M536" i="3"/>
  <c r="P390" i="3"/>
  <c r="M544" i="3"/>
  <c r="P544" i="3"/>
  <c r="P398" i="3"/>
  <c r="P552" i="3"/>
  <c r="M552" i="3"/>
  <c r="P406" i="3"/>
  <c r="M560" i="3"/>
  <c r="P560" i="3"/>
  <c r="P414" i="3"/>
  <c r="P568" i="3"/>
  <c r="M568" i="3"/>
  <c r="P422" i="3"/>
  <c r="M576" i="3"/>
  <c r="P576" i="3"/>
  <c r="P430" i="3"/>
  <c r="P584" i="3"/>
  <c r="M584" i="3"/>
  <c r="P438" i="3"/>
  <c r="M592" i="3"/>
  <c r="P592" i="3"/>
  <c r="P446" i="3"/>
  <c r="P600" i="3"/>
  <c r="M600" i="3"/>
  <c r="P454" i="3"/>
  <c r="M608" i="3"/>
  <c r="P608" i="3"/>
  <c r="P462" i="3"/>
  <c r="P616" i="3"/>
  <c r="M616" i="3"/>
  <c r="P470" i="3"/>
  <c r="M624" i="3"/>
  <c r="P624" i="3"/>
  <c r="P478" i="3"/>
  <c r="P632" i="3"/>
  <c r="M632" i="3"/>
  <c r="P486" i="3"/>
  <c r="P640" i="3"/>
  <c r="M640" i="3"/>
  <c r="P494" i="3"/>
  <c r="M648" i="3"/>
  <c r="P648" i="3"/>
  <c r="P479" i="3"/>
  <c r="M633" i="3"/>
  <c r="P633" i="3"/>
  <c r="P447" i="3"/>
  <c r="M601" i="3"/>
  <c r="P601" i="3"/>
  <c r="P415" i="3"/>
  <c r="P569" i="3"/>
  <c r="M569" i="3"/>
  <c r="P383" i="3"/>
  <c r="P537" i="3"/>
  <c r="M537" i="3"/>
  <c r="P351" i="3"/>
  <c r="M505" i="3"/>
  <c r="P505" i="3"/>
  <c r="P287" i="3"/>
  <c r="P255" i="3"/>
  <c r="P491" i="3"/>
  <c r="P501" i="3"/>
  <c r="P655" i="3"/>
  <c r="M655" i="3"/>
  <c r="P497" i="3"/>
  <c r="P651" i="3"/>
  <c r="M651" i="3"/>
  <c r="P481" i="3"/>
  <c r="P635" i="3"/>
  <c r="M635" i="3"/>
  <c r="P465" i="3"/>
  <c r="P619" i="3"/>
  <c r="M619" i="3"/>
  <c r="P449" i="3"/>
  <c r="P603" i="3"/>
  <c r="M603" i="3"/>
  <c r="P433" i="3"/>
  <c r="P587" i="3"/>
  <c r="M587" i="3"/>
  <c r="P417" i="3"/>
  <c r="P571" i="3"/>
  <c r="M571" i="3"/>
  <c r="P401" i="3"/>
  <c r="P555" i="3"/>
  <c r="M555" i="3"/>
  <c r="P385" i="3"/>
  <c r="P539" i="3"/>
  <c r="M539" i="3"/>
  <c r="P369" i="3"/>
  <c r="M523" i="3"/>
  <c r="P523" i="3"/>
  <c r="P353" i="3"/>
  <c r="M507" i="3"/>
  <c r="P507" i="3"/>
  <c r="P67" i="3"/>
  <c r="P63" i="3"/>
  <c r="P59" i="3"/>
  <c r="P47" i="3"/>
  <c r="P43" i="3"/>
  <c r="P39" i="3"/>
  <c r="P27" i="3"/>
  <c r="P23" i="3"/>
  <c r="P19" i="3"/>
  <c r="P11" i="3"/>
  <c r="P7" i="3"/>
  <c r="P118" i="3"/>
  <c r="P122" i="3"/>
  <c r="P134" i="3"/>
  <c r="P138" i="3"/>
  <c r="P142" i="3"/>
  <c r="P150" i="3"/>
  <c r="P154" i="3"/>
  <c r="P158" i="3"/>
  <c r="P162" i="3"/>
  <c r="P178" i="3"/>
  <c r="P182" i="3"/>
  <c r="P186" i="3"/>
  <c r="P194" i="3"/>
  <c r="P198" i="3"/>
  <c r="P210" i="3"/>
  <c r="P214" i="3"/>
  <c r="P218" i="3"/>
  <c r="P226" i="3"/>
  <c r="P230" i="3"/>
  <c r="P238" i="3"/>
  <c r="P242" i="3"/>
  <c r="P264" i="3"/>
  <c r="P280" i="3"/>
  <c r="P288" i="3"/>
  <c r="P304" i="3"/>
  <c r="P320" i="3"/>
  <c r="P328" i="3"/>
  <c r="P336" i="3"/>
  <c r="P352" i="3"/>
  <c r="P506" i="3"/>
  <c r="M506" i="3"/>
  <c r="P360" i="3"/>
  <c r="P514" i="3"/>
  <c r="M514" i="3"/>
  <c r="P368" i="3"/>
  <c r="P522" i="3"/>
  <c r="M522" i="3"/>
  <c r="P376" i="3"/>
  <c r="P530" i="3"/>
  <c r="M530" i="3"/>
  <c r="P384" i="3"/>
  <c r="P538" i="3"/>
  <c r="M538" i="3"/>
  <c r="P392" i="3"/>
  <c r="P546" i="3"/>
  <c r="M546" i="3"/>
  <c r="P400" i="3"/>
  <c r="P554" i="3"/>
  <c r="M554" i="3"/>
  <c r="P408" i="3"/>
  <c r="P562" i="3"/>
  <c r="M562" i="3"/>
  <c r="P416" i="3"/>
  <c r="P570" i="3"/>
  <c r="M570" i="3"/>
  <c r="P424" i="3"/>
  <c r="P578" i="3"/>
  <c r="M578" i="3"/>
  <c r="P432" i="3"/>
  <c r="P586" i="3"/>
  <c r="M586" i="3"/>
  <c r="P440" i="3"/>
  <c r="P594" i="3"/>
  <c r="M594" i="3"/>
  <c r="P448" i="3"/>
  <c r="P602" i="3"/>
  <c r="M602" i="3"/>
  <c r="P456" i="3"/>
  <c r="P610" i="3"/>
  <c r="M610" i="3"/>
  <c r="P464" i="3"/>
  <c r="P618" i="3"/>
  <c r="M618" i="3"/>
  <c r="P472" i="3"/>
  <c r="P626" i="3"/>
  <c r="M626" i="3"/>
  <c r="P480" i="3"/>
  <c r="P634" i="3"/>
  <c r="M634" i="3"/>
  <c r="P488" i="3"/>
  <c r="P642" i="3"/>
  <c r="M642" i="3"/>
  <c r="P496" i="3"/>
  <c r="P650" i="3"/>
  <c r="M650" i="3"/>
  <c r="P471" i="3"/>
  <c r="P625" i="3"/>
  <c r="M625" i="3"/>
  <c r="P439" i="3"/>
  <c r="M593" i="3"/>
  <c r="P593" i="3"/>
  <c r="P407" i="3"/>
  <c r="M561" i="3"/>
  <c r="P561" i="3"/>
  <c r="P375" i="3"/>
  <c r="M529" i="3"/>
  <c r="P529" i="3"/>
  <c r="P343" i="3"/>
  <c r="P311" i="3"/>
  <c r="P279" i="3"/>
  <c r="P247" i="3"/>
  <c r="P475" i="3"/>
  <c r="P443" i="3"/>
  <c r="P411" i="3"/>
  <c r="P347" i="3"/>
  <c r="P315" i="3"/>
  <c r="P283" i="3"/>
  <c r="P251" i="3"/>
  <c r="P581" i="3"/>
  <c r="P565" i="3"/>
  <c r="P533" i="3"/>
  <c r="P467" i="3"/>
  <c r="P403" i="3"/>
  <c r="P371" i="3"/>
  <c r="P339" i="3"/>
  <c r="P307" i="3"/>
  <c r="P495" i="3"/>
  <c r="P649" i="3"/>
  <c r="P597" i="3"/>
  <c r="P525" i="3"/>
  <c r="P459" i="3"/>
  <c r="P395" i="3"/>
  <c r="P331" i="3"/>
  <c r="P645" i="3"/>
  <c r="P629" i="3"/>
  <c r="P613" i="3"/>
  <c r="P573" i="3"/>
  <c r="P557" i="3"/>
  <c r="P541" i="3"/>
  <c r="P483" i="3"/>
  <c r="P451" i="3"/>
  <c r="P355" i="3"/>
  <c r="M509" i="3"/>
  <c r="M517" i="3"/>
  <c r="M525" i="3"/>
  <c r="M533" i="3"/>
  <c r="M541" i="3"/>
  <c r="M549" i="3"/>
  <c r="M557" i="3"/>
  <c r="M565" i="3"/>
  <c r="M573" i="3"/>
  <c r="M581" i="3"/>
  <c r="M589" i="3"/>
  <c r="M597" i="3"/>
  <c r="M605" i="3"/>
  <c r="M613" i="3"/>
  <c r="M621" i="3"/>
  <c r="M629" i="3"/>
  <c r="M637" i="3"/>
  <c r="M645" i="3"/>
  <c r="P605" i="3"/>
  <c r="P589" i="3"/>
  <c r="P517" i="3"/>
  <c r="G519" i="4"/>
  <c r="F577" i="4"/>
  <c r="F590" i="4"/>
  <c r="F574" i="4"/>
  <c r="F558" i="4"/>
  <c r="F542" i="4"/>
  <c r="F526" i="4"/>
  <c r="F510" i="4"/>
  <c r="G599" i="4"/>
  <c r="G567" i="4"/>
  <c r="G503" i="4"/>
  <c r="H580" i="4"/>
  <c r="H532" i="4"/>
  <c r="G595" i="4"/>
  <c r="F517" i="4"/>
  <c r="E529" i="4"/>
  <c r="E581" i="4"/>
  <c r="E563" i="4"/>
  <c r="E547" i="4"/>
  <c r="E531" i="4"/>
  <c r="E515" i="4"/>
  <c r="P2" i="3"/>
  <c r="E2" i="3"/>
  <c r="M499" i="3"/>
  <c r="M501" i="3"/>
  <c r="M493" i="3"/>
  <c r="M485" i="3"/>
  <c r="M477" i="3"/>
  <c r="M469" i="3"/>
  <c r="M461" i="3"/>
  <c r="M453" i="3"/>
  <c r="M445" i="3"/>
  <c r="M437" i="3"/>
  <c r="M429" i="3"/>
  <c r="M421" i="3"/>
  <c r="M413" i="3"/>
  <c r="M405" i="3"/>
  <c r="M397" i="3"/>
  <c r="M389" i="3"/>
  <c r="M381" i="3"/>
  <c r="M373" i="3"/>
  <c r="M365" i="3"/>
  <c r="M357" i="3"/>
  <c r="M349" i="3"/>
  <c r="M341" i="3"/>
  <c r="M333" i="3"/>
  <c r="M325" i="3"/>
  <c r="M317" i="3"/>
  <c r="M309" i="3"/>
  <c r="M301" i="3"/>
  <c r="M293" i="3"/>
  <c r="M285" i="3"/>
  <c r="M277" i="3"/>
  <c r="M269" i="3"/>
  <c r="M261" i="3"/>
  <c r="M253" i="3"/>
  <c r="M245" i="3"/>
  <c r="M114" i="3"/>
  <c r="M112" i="3"/>
  <c r="M110" i="3"/>
  <c r="M108" i="3"/>
  <c r="M106" i="3"/>
  <c r="M104" i="3"/>
  <c r="M102" i="3"/>
  <c r="M100" i="3"/>
  <c r="M98" i="3"/>
  <c r="M500" i="3"/>
  <c r="M497" i="3"/>
  <c r="M489" i="3"/>
  <c r="M481" i="3"/>
  <c r="M473" i="3"/>
  <c r="M465" i="3"/>
  <c r="M457" i="3"/>
  <c r="M449" i="3"/>
  <c r="M441" i="3"/>
  <c r="M433" i="3"/>
  <c r="M425" i="3"/>
  <c r="M417" i="3"/>
  <c r="M409" i="3"/>
  <c r="M401" i="3"/>
  <c r="M393" i="3"/>
  <c r="M385" i="3"/>
  <c r="M377" i="3"/>
  <c r="M369" i="3"/>
  <c r="M361" i="3"/>
  <c r="M353" i="3"/>
  <c r="M345" i="3"/>
  <c r="M337" i="3"/>
  <c r="M329" i="3"/>
  <c r="M321" i="3"/>
  <c r="M313" i="3"/>
  <c r="M305" i="3"/>
  <c r="M297" i="3"/>
  <c r="M289" i="3"/>
  <c r="M281" i="3"/>
  <c r="M273" i="3"/>
  <c r="M265" i="3"/>
  <c r="M257" i="3"/>
  <c r="M249" i="3"/>
  <c r="M115" i="3"/>
  <c r="M113" i="3"/>
  <c r="M111" i="3"/>
  <c r="M109" i="3"/>
  <c r="M107" i="3"/>
  <c r="M105" i="3"/>
  <c r="M103" i="3"/>
  <c r="M101" i="3"/>
  <c r="M99" i="3"/>
  <c r="M97" i="3"/>
  <c r="M95" i="3"/>
  <c r="M93" i="3"/>
  <c r="M91" i="3"/>
  <c r="M89" i="3"/>
  <c r="M87" i="3"/>
  <c r="M85" i="3"/>
  <c r="M83" i="3"/>
  <c r="M81" i="3"/>
  <c r="M79" i="3"/>
  <c r="M77" i="3"/>
  <c r="M75" i="3"/>
  <c r="M73" i="3"/>
  <c r="M71" i="3"/>
  <c r="M69" i="3"/>
  <c r="M67" i="3"/>
  <c r="M65" i="3"/>
  <c r="M63" i="3"/>
  <c r="M61" i="3"/>
  <c r="M59" i="3"/>
  <c r="M57" i="3"/>
  <c r="M55" i="3"/>
  <c r="M53" i="3"/>
  <c r="M51" i="3"/>
  <c r="M49" i="3"/>
  <c r="M47" i="3"/>
  <c r="M45" i="3"/>
  <c r="M43" i="3"/>
  <c r="M41" i="3"/>
  <c r="M39" i="3"/>
  <c r="M37" i="3"/>
  <c r="M35" i="3"/>
  <c r="M33" i="3"/>
  <c r="M31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116" i="3"/>
  <c r="M118" i="3"/>
  <c r="M120" i="3"/>
  <c r="M122" i="3"/>
  <c r="M124" i="3"/>
  <c r="M126" i="3"/>
  <c r="M128" i="3"/>
  <c r="M130" i="3"/>
  <c r="M132" i="3"/>
  <c r="M134" i="3"/>
  <c r="M136" i="3"/>
  <c r="M138" i="3"/>
  <c r="M140" i="3"/>
  <c r="M142" i="3"/>
  <c r="M144" i="3"/>
  <c r="M146" i="3"/>
  <c r="M148" i="3"/>
  <c r="M150" i="3"/>
  <c r="M152" i="3"/>
  <c r="M154" i="3"/>
  <c r="M156" i="3"/>
  <c r="M158" i="3"/>
  <c r="M160" i="3"/>
  <c r="M162" i="3"/>
  <c r="M164" i="3"/>
  <c r="M166" i="3"/>
  <c r="M168" i="3"/>
  <c r="M170" i="3"/>
  <c r="M172" i="3"/>
  <c r="M174" i="3"/>
  <c r="M176" i="3"/>
  <c r="M178" i="3"/>
  <c r="M180" i="3"/>
  <c r="M182" i="3"/>
  <c r="M184" i="3"/>
  <c r="M186" i="3"/>
  <c r="M188" i="3"/>
  <c r="M190" i="3"/>
  <c r="M192" i="3"/>
  <c r="M194" i="3"/>
  <c r="M196" i="3"/>
  <c r="M198" i="3"/>
  <c r="M200" i="3"/>
  <c r="M202" i="3"/>
  <c r="M204" i="3"/>
  <c r="M206" i="3"/>
  <c r="M208" i="3"/>
  <c r="M210" i="3"/>
  <c r="M212" i="3"/>
  <c r="M214" i="3"/>
  <c r="M216" i="3"/>
  <c r="M218" i="3"/>
  <c r="M220" i="3"/>
  <c r="M222" i="3"/>
  <c r="M224" i="3"/>
  <c r="M226" i="3"/>
  <c r="M228" i="3"/>
  <c r="M230" i="3"/>
  <c r="M232" i="3"/>
  <c r="M234" i="3"/>
  <c r="M236" i="3"/>
  <c r="M238" i="3"/>
  <c r="M240" i="3"/>
  <c r="M242" i="3"/>
  <c r="M244" i="3"/>
  <c r="M248" i="3"/>
  <c r="M252" i="3"/>
  <c r="M256" i="3"/>
  <c r="M260" i="3"/>
  <c r="M264" i="3"/>
  <c r="M268" i="3"/>
  <c r="M272" i="3"/>
  <c r="M276" i="3"/>
  <c r="M280" i="3"/>
  <c r="M284" i="3"/>
  <c r="M288" i="3"/>
  <c r="M292" i="3"/>
  <c r="M296" i="3"/>
  <c r="M300" i="3"/>
  <c r="M304" i="3"/>
  <c r="M308" i="3"/>
  <c r="M312" i="3"/>
  <c r="M316" i="3"/>
  <c r="M320" i="3"/>
  <c r="M324" i="3"/>
  <c r="M328" i="3"/>
  <c r="M332" i="3"/>
  <c r="M336" i="3"/>
  <c r="M340" i="3"/>
  <c r="M344" i="3"/>
  <c r="M348" i="3"/>
  <c r="M352" i="3"/>
  <c r="M356" i="3"/>
  <c r="M360" i="3"/>
  <c r="M364" i="3"/>
  <c r="M368" i="3"/>
  <c r="M372" i="3"/>
  <c r="M376" i="3"/>
  <c r="M380" i="3"/>
  <c r="M384" i="3"/>
  <c r="M388" i="3"/>
  <c r="M392" i="3"/>
  <c r="M396" i="3"/>
  <c r="M400" i="3"/>
  <c r="M404" i="3"/>
  <c r="M408" i="3"/>
  <c r="M412" i="3"/>
  <c r="M416" i="3"/>
  <c r="M420" i="3"/>
  <c r="M424" i="3"/>
  <c r="M428" i="3"/>
  <c r="M432" i="3"/>
  <c r="M436" i="3"/>
  <c r="M440" i="3"/>
  <c r="M444" i="3"/>
  <c r="M448" i="3"/>
  <c r="M452" i="3"/>
  <c r="M456" i="3"/>
  <c r="M460" i="3"/>
  <c r="M464" i="3"/>
  <c r="M468" i="3"/>
  <c r="M472" i="3"/>
  <c r="M476" i="3"/>
  <c r="M480" i="3"/>
  <c r="M484" i="3"/>
  <c r="M488" i="3"/>
  <c r="M492" i="3"/>
  <c r="M496" i="3"/>
  <c r="M487" i="3"/>
  <c r="M471" i="3"/>
  <c r="M455" i="3"/>
  <c r="M439" i="3"/>
  <c r="M423" i="3"/>
  <c r="M407" i="3"/>
  <c r="M391" i="3"/>
  <c r="M375" i="3"/>
  <c r="M359" i="3"/>
  <c r="M343" i="3"/>
  <c r="M327" i="3"/>
  <c r="M311" i="3"/>
  <c r="M295" i="3"/>
  <c r="M279" i="3"/>
  <c r="M263" i="3"/>
  <c r="M247" i="3"/>
  <c r="M483" i="3"/>
  <c r="M467" i="3"/>
  <c r="M451" i="3"/>
  <c r="M435" i="3"/>
  <c r="M419" i="3"/>
  <c r="M403" i="3"/>
  <c r="M387" i="3"/>
  <c r="M371" i="3"/>
  <c r="M355" i="3"/>
  <c r="M339" i="3"/>
  <c r="M323" i="3"/>
  <c r="M307" i="3"/>
  <c r="M291" i="3"/>
  <c r="M275" i="3"/>
  <c r="M259" i="3"/>
  <c r="N595" i="4"/>
  <c r="N579" i="4"/>
  <c r="N563" i="4"/>
  <c r="N547" i="4"/>
  <c r="N531" i="4"/>
  <c r="N515" i="4"/>
  <c r="N598" i="4"/>
  <c r="N590" i="4"/>
  <c r="N582" i="4"/>
  <c r="N574" i="4"/>
  <c r="N566" i="4"/>
  <c r="N558" i="4"/>
  <c r="N550" i="4"/>
  <c r="N542" i="4"/>
  <c r="N534" i="4"/>
  <c r="N526" i="4"/>
  <c r="N518" i="4"/>
  <c r="N510" i="4"/>
  <c r="N502" i="4"/>
  <c r="M96" i="3"/>
  <c r="M94" i="3"/>
  <c r="M92" i="3"/>
  <c r="M90" i="3"/>
  <c r="M88" i="3"/>
  <c r="M86" i="3"/>
  <c r="M84" i="3"/>
  <c r="M82" i="3"/>
  <c r="M80" i="3"/>
  <c r="M78" i="3"/>
  <c r="M76" i="3"/>
  <c r="M74" i="3"/>
  <c r="M72" i="3"/>
  <c r="M70" i="3"/>
  <c r="M68" i="3"/>
  <c r="M66" i="3"/>
  <c r="M64" i="3"/>
  <c r="M62" i="3"/>
  <c r="M60" i="3"/>
  <c r="M58" i="3"/>
  <c r="M56" i="3"/>
  <c r="M54" i="3"/>
  <c r="M52" i="3"/>
  <c r="M50" i="3"/>
  <c r="M48" i="3"/>
  <c r="M46" i="3"/>
  <c r="M44" i="3"/>
  <c r="M42" i="3"/>
  <c r="M40" i="3"/>
  <c r="M38" i="3"/>
  <c r="M36" i="3"/>
  <c r="M34" i="3"/>
  <c r="M32" i="3"/>
  <c r="M30" i="3"/>
  <c r="M28" i="3"/>
  <c r="M26" i="3"/>
  <c r="M24" i="3"/>
  <c r="M22" i="3"/>
  <c r="M20" i="3"/>
  <c r="M18" i="3"/>
  <c r="M16" i="3"/>
  <c r="M14" i="3"/>
  <c r="M12" i="3"/>
  <c r="M10" i="3"/>
  <c r="M8" i="3"/>
  <c r="M6" i="3"/>
  <c r="M4" i="3"/>
  <c r="M2" i="3"/>
  <c r="M117" i="3"/>
  <c r="M119" i="3"/>
  <c r="M121" i="3"/>
  <c r="M123" i="3"/>
  <c r="M125" i="3"/>
  <c r="M127" i="3"/>
  <c r="M129" i="3"/>
  <c r="M131" i="3"/>
  <c r="M133" i="3"/>
  <c r="M135" i="3"/>
  <c r="M137" i="3"/>
  <c r="M139" i="3"/>
  <c r="M141" i="3"/>
  <c r="M143" i="3"/>
  <c r="M145" i="3"/>
  <c r="M147" i="3"/>
  <c r="M149" i="3"/>
  <c r="M151" i="3"/>
  <c r="M153" i="3"/>
  <c r="M155" i="3"/>
  <c r="M157" i="3"/>
  <c r="M159" i="3"/>
  <c r="M161" i="3"/>
  <c r="M163" i="3"/>
  <c r="M165" i="3"/>
  <c r="M167" i="3"/>
  <c r="M169" i="3"/>
  <c r="M171" i="3"/>
  <c r="M173" i="3"/>
  <c r="M175" i="3"/>
  <c r="M177" i="3"/>
  <c r="M179" i="3"/>
  <c r="M181" i="3"/>
  <c r="M183" i="3"/>
  <c r="M185" i="3"/>
  <c r="M187" i="3"/>
  <c r="M189" i="3"/>
  <c r="M191" i="3"/>
  <c r="M193" i="3"/>
  <c r="M195" i="3"/>
  <c r="M197" i="3"/>
  <c r="M199" i="3"/>
  <c r="M201" i="3"/>
  <c r="M203" i="3"/>
  <c r="M205" i="3"/>
  <c r="M207" i="3"/>
  <c r="M209" i="3"/>
  <c r="M211" i="3"/>
  <c r="M213" i="3"/>
  <c r="M215" i="3"/>
  <c r="M217" i="3"/>
  <c r="M219" i="3"/>
  <c r="M221" i="3"/>
  <c r="M223" i="3"/>
  <c r="M225" i="3"/>
  <c r="M227" i="3"/>
  <c r="M229" i="3"/>
  <c r="M231" i="3"/>
  <c r="M233" i="3"/>
  <c r="M235" i="3"/>
  <c r="M237" i="3"/>
  <c r="M239" i="3"/>
  <c r="M241" i="3"/>
  <c r="M243" i="3"/>
  <c r="M246" i="3"/>
  <c r="M250" i="3"/>
  <c r="M254" i="3"/>
  <c r="M258" i="3"/>
  <c r="M262" i="3"/>
  <c r="M266" i="3"/>
  <c r="M270" i="3"/>
  <c r="M274" i="3"/>
  <c r="M278" i="3"/>
  <c r="M282" i="3"/>
  <c r="M286" i="3"/>
  <c r="M290" i="3"/>
  <c r="M294" i="3"/>
  <c r="M298" i="3"/>
  <c r="M302" i="3"/>
  <c r="M306" i="3"/>
  <c r="M310" i="3"/>
  <c r="M314" i="3"/>
  <c r="M318" i="3"/>
  <c r="M322" i="3"/>
  <c r="M326" i="3"/>
  <c r="M330" i="3"/>
  <c r="M334" i="3"/>
  <c r="M338" i="3"/>
  <c r="M342" i="3"/>
  <c r="M346" i="3"/>
  <c r="M350" i="3"/>
  <c r="M354" i="3"/>
  <c r="M358" i="3"/>
  <c r="M362" i="3"/>
  <c r="M366" i="3"/>
  <c r="M370" i="3"/>
  <c r="M374" i="3"/>
  <c r="M378" i="3"/>
  <c r="M382" i="3"/>
  <c r="M386" i="3"/>
  <c r="M390" i="3"/>
  <c r="M394" i="3"/>
  <c r="M398" i="3"/>
  <c r="M402" i="3"/>
  <c r="M406" i="3"/>
  <c r="M410" i="3"/>
  <c r="M414" i="3"/>
  <c r="M418" i="3"/>
  <c r="M422" i="3"/>
  <c r="M426" i="3"/>
  <c r="M430" i="3"/>
  <c r="M434" i="3"/>
  <c r="M438" i="3"/>
  <c r="M442" i="3"/>
  <c r="M446" i="3"/>
  <c r="M450" i="3"/>
  <c r="M454" i="3"/>
  <c r="M458" i="3"/>
  <c r="M462" i="3"/>
  <c r="M466" i="3"/>
  <c r="M470" i="3"/>
  <c r="M474" i="3"/>
  <c r="M478" i="3"/>
  <c r="M482" i="3"/>
  <c r="M486" i="3"/>
  <c r="M490" i="3"/>
  <c r="M494" i="3"/>
  <c r="M498" i="3"/>
  <c r="M479" i="3"/>
  <c r="M463" i="3"/>
  <c r="M447" i="3"/>
  <c r="M431" i="3"/>
  <c r="M415" i="3"/>
  <c r="M399" i="3"/>
  <c r="M383" i="3"/>
  <c r="M367" i="3"/>
  <c r="M351" i="3"/>
  <c r="M335" i="3"/>
  <c r="M319" i="3"/>
  <c r="M303" i="3"/>
  <c r="M287" i="3"/>
  <c r="M271" i="3"/>
  <c r="M255" i="3"/>
  <c r="M491" i="3"/>
  <c r="M475" i="3"/>
  <c r="M459" i="3"/>
  <c r="M443" i="3"/>
  <c r="M427" i="3"/>
  <c r="M411" i="3"/>
  <c r="M395" i="3"/>
  <c r="M379" i="3"/>
  <c r="M363" i="3"/>
  <c r="M347" i="3"/>
  <c r="M331" i="3"/>
  <c r="M315" i="3"/>
  <c r="M299" i="3"/>
  <c r="M283" i="3"/>
  <c r="M267" i="3"/>
  <c r="M251" i="3"/>
  <c r="N581" i="4"/>
  <c r="N549" i="4"/>
  <c r="N517" i="4"/>
  <c r="E653" i="3"/>
  <c r="L653" i="3" s="1"/>
  <c r="E655" i="3"/>
  <c r="L655" i="3" s="1"/>
  <c r="E647" i="3"/>
  <c r="L647" i="3" s="1"/>
  <c r="E639" i="3"/>
  <c r="L639" i="3" s="1"/>
  <c r="E631" i="3"/>
  <c r="L631" i="3" s="1"/>
  <c r="E623" i="3"/>
  <c r="L623" i="3" s="1"/>
  <c r="E615" i="3"/>
  <c r="L615" i="3" s="1"/>
  <c r="E607" i="3"/>
  <c r="L607" i="3" s="1"/>
  <c r="E599" i="3"/>
  <c r="L599" i="3" s="1"/>
  <c r="E599" i="4" s="1"/>
  <c r="E591" i="3"/>
  <c r="L591" i="3" s="1"/>
  <c r="E591" i="4" s="1"/>
  <c r="E583" i="3"/>
  <c r="L583" i="3" s="1"/>
  <c r="E575" i="3"/>
  <c r="L575" i="3" s="1"/>
  <c r="E567" i="3"/>
  <c r="L567" i="3" s="1"/>
  <c r="E567" i="4" s="1"/>
  <c r="E559" i="3"/>
  <c r="L559" i="3" s="1"/>
  <c r="E551" i="3"/>
  <c r="L551" i="3" s="1"/>
  <c r="E543" i="3"/>
  <c r="L543" i="3" s="1"/>
  <c r="E535" i="3"/>
  <c r="L535" i="3" s="1"/>
  <c r="N535" i="4" s="1"/>
  <c r="E527" i="3"/>
  <c r="L527" i="3" s="1"/>
  <c r="E519" i="3"/>
  <c r="L519" i="3" s="1"/>
  <c r="E511" i="3"/>
  <c r="L511" i="3" s="1"/>
  <c r="E503" i="3"/>
  <c r="L503" i="3" s="1"/>
  <c r="E503" i="4" s="1"/>
  <c r="E495" i="3"/>
  <c r="L495" i="3" s="1"/>
  <c r="E487" i="3"/>
  <c r="L487" i="3" s="1"/>
  <c r="E479" i="3"/>
  <c r="L479" i="3" s="1"/>
  <c r="E471" i="3"/>
  <c r="L471" i="3" s="1"/>
  <c r="E463" i="3"/>
  <c r="L463" i="3" s="1"/>
  <c r="E455" i="3"/>
  <c r="L455" i="3" s="1"/>
  <c r="E447" i="3"/>
  <c r="L447" i="3" s="1"/>
  <c r="E439" i="3"/>
  <c r="L439" i="3" s="1"/>
  <c r="E425" i="3"/>
  <c r="L425" i="3" s="1"/>
  <c r="E410" i="3"/>
  <c r="L410" i="3" s="1"/>
  <c r="E400" i="3"/>
  <c r="L400" i="3" s="1"/>
  <c r="E389" i="3"/>
  <c r="L389" i="3" s="1"/>
  <c r="E372" i="3"/>
  <c r="L372" i="3" s="1"/>
  <c r="E167" i="3"/>
  <c r="L167" i="3" s="1"/>
  <c r="E163" i="3"/>
  <c r="L163" i="3" s="1"/>
  <c r="E161" i="3"/>
  <c r="L161" i="3" s="1"/>
  <c r="E158" i="3"/>
  <c r="L158" i="3" s="1"/>
  <c r="E155" i="3"/>
  <c r="L155" i="3" s="1"/>
  <c r="E153" i="3"/>
  <c r="L153" i="3" s="1"/>
  <c r="E149" i="3"/>
  <c r="L149" i="3" s="1"/>
  <c r="E144" i="3"/>
  <c r="L144" i="3" s="1"/>
  <c r="E142" i="3"/>
  <c r="L142" i="3" s="1"/>
  <c r="E140" i="3"/>
  <c r="L140" i="3" s="1"/>
  <c r="E137" i="3"/>
  <c r="L137" i="3" s="1"/>
  <c r="E134" i="3"/>
  <c r="L134" i="3" s="1"/>
  <c r="E131" i="3"/>
  <c r="L131" i="3" s="1"/>
  <c r="E127" i="3"/>
  <c r="L127" i="3" s="1"/>
  <c r="E123" i="3"/>
  <c r="L123" i="3" s="1"/>
  <c r="E121" i="3"/>
  <c r="L121" i="3" s="1"/>
  <c r="E119" i="3"/>
  <c r="L119" i="3" s="1"/>
  <c r="E117" i="3"/>
  <c r="L117" i="3" s="1"/>
  <c r="E115" i="3"/>
  <c r="L115" i="3" s="1"/>
  <c r="E111" i="3"/>
  <c r="L111" i="3" s="1"/>
  <c r="E106" i="3"/>
  <c r="L106" i="3" s="1"/>
  <c r="E101" i="3"/>
  <c r="L101" i="3" s="1"/>
  <c r="E94" i="3"/>
  <c r="L94" i="3" s="1"/>
  <c r="E91" i="3"/>
  <c r="L91" i="3" s="1"/>
  <c r="E87" i="3"/>
  <c r="L87" i="3" s="1"/>
  <c r="E84" i="3"/>
  <c r="L84" i="3" s="1"/>
  <c r="E80" i="3"/>
  <c r="L80" i="3" s="1"/>
  <c r="E78" i="3"/>
  <c r="L78" i="3" s="1"/>
  <c r="E74" i="3"/>
  <c r="L74" i="3" s="1"/>
  <c r="E71" i="3"/>
  <c r="L71" i="3" s="1"/>
  <c r="E68" i="3"/>
  <c r="L68" i="3" s="1"/>
  <c r="E66" i="3"/>
  <c r="L66" i="3" s="1"/>
  <c r="E64" i="3"/>
  <c r="L64" i="3" s="1"/>
  <c r="E62" i="3"/>
  <c r="L62" i="3" s="1"/>
  <c r="E60" i="3"/>
  <c r="L60" i="3" s="1"/>
  <c r="E58" i="3"/>
  <c r="L58" i="3" s="1"/>
  <c r="E54" i="3"/>
  <c r="L54" i="3" s="1"/>
  <c r="E52" i="3"/>
  <c r="L52" i="3" s="1"/>
  <c r="E50" i="3"/>
  <c r="L50" i="3" s="1"/>
  <c r="E47" i="3"/>
  <c r="L47" i="3" s="1"/>
  <c r="E45" i="3"/>
  <c r="L45" i="3" s="1"/>
  <c r="E43" i="3"/>
  <c r="L43" i="3" s="1"/>
  <c r="E41" i="3"/>
  <c r="L41" i="3" s="1"/>
  <c r="E39" i="3"/>
  <c r="L39" i="3" s="1"/>
  <c r="E36" i="3"/>
  <c r="L36" i="3" s="1"/>
  <c r="E32" i="3"/>
  <c r="L32" i="3" s="1"/>
  <c r="E27" i="3"/>
  <c r="L27" i="3" s="1"/>
  <c r="E25" i="3"/>
  <c r="L25" i="3" s="1"/>
  <c r="E23" i="3"/>
  <c r="L23" i="3" s="1"/>
  <c r="E21" i="3"/>
  <c r="L21" i="3" s="1"/>
  <c r="E19" i="3"/>
  <c r="L19" i="3" s="1"/>
  <c r="E16" i="3"/>
  <c r="L16" i="3" s="1"/>
  <c r="E13" i="3"/>
  <c r="L13" i="3" s="1"/>
  <c r="E11" i="3"/>
  <c r="L11" i="3" s="1"/>
  <c r="E8" i="3"/>
  <c r="L8" i="3" s="1"/>
  <c r="E5" i="3"/>
  <c r="L5" i="3" s="1"/>
  <c r="L2" i="3"/>
  <c r="E172" i="3"/>
  <c r="L172" i="3" s="1"/>
  <c r="E176" i="3"/>
  <c r="L176" i="3" s="1"/>
  <c r="E178" i="3"/>
  <c r="L178" i="3" s="1"/>
  <c r="E180" i="3"/>
  <c r="L180" i="3" s="1"/>
  <c r="E182" i="3"/>
  <c r="L182" i="3" s="1"/>
  <c r="E186" i="3"/>
  <c r="L186" i="3" s="1"/>
  <c r="E189" i="3"/>
  <c r="L189" i="3" s="1"/>
  <c r="E192" i="3"/>
  <c r="L192" i="3" s="1"/>
  <c r="E194" i="3"/>
  <c r="L194" i="3" s="1"/>
  <c r="E196" i="3"/>
  <c r="L196" i="3" s="1"/>
  <c r="E198" i="3"/>
  <c r="L198" i="3" s="1"/>
  <c r="E203" i="3"/>
  <c r="L203" i="3" s="1"/>
  <c r="E208" i="3"/>
  <c r="L208" i="3" s="1"/>
  <c r="E210" i="3"/>
  <c r="L210" i="3" s="1"/>
  <c r="E212" i="3"/>
  <c r="L212" i="3" s="1"/>
  <c r="E215" i="3"/>
  <c r="L215" i="3" s="1"/>
  <c r="E218" i="3"/>
  <c r="L218" i="3" s="1"/>
  <c r="E220" i="3"/>
  <c r="L220" i="3" s="1"/>
  <c r="E224" i="3"/>
  <c r="L224" i="3" s="1"/>
  <c r="E226" i="3"/>
  <c r="L226" i="3" s="1"/>
  <c r="E230" i="3"/>
  <c r="L230" i="3" s="1"/>
  <c r="E233" i="3"/>
  <c r="L233" i="3" s="1"/>
  <c r="E236" i="3"/>
  <c r="L236" i="3" s="1"/>
  <c r="E240" i="3"/>
  <c r="L240" i="3" s="1"/>
  <c r="E242" i="3"/>
  <c r="L242" i="3" s="1"/>
  <c r="E246" i="3"/>
  <c r="L246" i="3" s="1"/>
  <c r="E251" i="3"/>
  <c r="L251" i="3" s="1"/>
  <c r="E253" i="3"/>
  <c r="L253" i="3" s="1"/>
  <c r="E255" i="3"/>
  <c r="L255" i="3" s="1"/>
  <c r="E260" i="3"/>
  <c r="L260" i="3" s="1"/>
  <c r="E262" i="3"/>
  <c r="L262" i="3" s="1"/>
  <c r="E264" i="3"/>
  <c r="L264" i="3" s="1"/>
  <c r="E266" i="3"/>
  <c r="L266" i="3" s="1"/>
  <c r="E269" i="3"/>
  <c r="L269" i="3" s="1"/>
  <c r="E273" i="3"/>
  <c r="L273" i="3" s="1"/>
  <c r="E278" i="3"/>
  <c r="L278" i="3" s="1"/>
  <c r="E280" i="3"/>
  <c r="L280" i="3" s="1"/>
  <c r="E283" i="3"/>
  <c r="L283" i="3" s="1"/>
  <c r="E286" i="3"/>
  <c r="L286" i="3" s="1"/>
  <c r="E288" i="3"/>
  <c r="L288" i="3" s="1"/>
  <c r="E292" i="3"/>
  <c r="L292" i="3" s="1"/>
  <c r="E294" i="3"/>
  <c r="L294" i="3" s="1"/>
  <c r="E298" i="3"/>
  <c r="L298" i="3" s="1"/>
  <c r="E303" i="3"/>
  <c r="L303" i="3" s="1"/>
  <c r="E306" i="3"/>
  <c r="L306" i="3" s="1"/>
  <c r="E308" i="3"/>
  <c r="L308" i="3" s="1"/>
  <c r="E311" i="3"/>
  <c r="L311" i="3" s="1"/>
  <c r="E314" i="3"/>
  <c r="L314" i="3" s="1"/>
  <c r="E316" i="3"/>
  <c r="L316" i="3" s="1"/>
  <c r="E321" i="3"/>
  <c r="L321" i="3" s="1"/>
  <c r="E324" i="3"/>
  <c r="L324" i="3" s="1"/>
  <c r="E326" i="3"/>
  <c r="L326" i="3" s="1"/>
  <c r="E328" i="3"/>
  <c r="L328" i="3" s="1"/>
  <c r="E331" i="3"/>
  <c r="L331" i="3" s="1"/>
  <c r="E336" i="3"/>
  <c r="L336" i="3" s="1"/>
  <c r="E339" i="3"/>
  <c r="L339" i="3" s="1"/>
  <c r="E343" i="3"/>
  <c r="L343" i="3" s="1"/>
  <c r="E348" i="3"/>
  <c r="L348" i="3" s="1"/>
  <c r="E352" i="3"/>
  <c r="L352" i="3" s="1"/>
  <c r="E355" i="3"/>
  <c r="L355" i="3" s="1"/>
  <c r="E359" i="3"/>
  <c r="L359" i="3" s="1"/>
  <c r="E364" i="3"/>
  <c r="L364" i="3" s="1"/>
  <c r="E368" i="3"/>
  <c r="L368" i="3" s="1"/>
  <c r="E370" i="3"/>
  <c r="L370" i="3" s="1"/>
  <c r="E374" i="3"/>
  <c r="L374" i="3" s="1"/>
  <c r="E383" i="3"/>
  <c r="L383" i="3" s="1"/>
  <c r="E390" i="3"/>
  <c r="L390" i="3" s="1"/>
  <c r="E395" i="3"/>
  <c r="L395" i="3" s="1"/>
  <c r="E401" i="3"/>
  <c r="L401" i="3" s="1"/>
  <c r="E407" i="3"/>
  <c r="L407" i="3" s="1"/>
  <c r="E411" i="3"/>
  <c r="L411" i="3" s="1"/>
  <c r="E417" i="3"/>
  <c r="L417" i="3" s="1"/>
  <c r="E428" i="3"/>
  <c r="L428" i="3" s="1"/>
  <c r="E436" i="3"/>
  <c r="L436" i="3" s="1"/>
  <c r="E440" i="3"/>
  <c r="L440" i="3" s="1"/>
  <c r="E444" i="3"/>
  <c r="L444" i="3" s="1"/>
  <c r="E448" i="3"/>
  <c r="L448" i="3" s="1"/>
  <c r="E452" i="3"/>
  <c r="L452" i="3" s="1"/>
  <c r="E456" i="3"/>
  <c r="L456" i="3" s="1"/>
  <c r="E460" i="3"/>
  <c r="L460" i="3" s="1"/>
  <c r="E464" i="3"/>
  <c r="L464" i="3" s="1"/>
  <c r="E468" i="3"/>
  <c r="L468" i="3" s="1"/>
  <c r="E472" i="3"/>
  <c r="L472" i="3" s="1"/>
  <c r="E476" i="3"/>
  <c r="L476" i="3" s="1"/>
  <c r="E480" i="3"/>
  <c r="L480" i="3" s="1"/>
  <c r="E484" i="3"/>
  <c r="L484" i="3" s="1"/>
  <c r="E488" i="3"/>
  <c r="L488" i="3" s="1"/>
  <c r="E492" i="3"/>
  <c r="L492" i="3" s="1"/>
  <c r="E496" i="3"/>
  <c r="L496" i="3" s="1"/>
  <c r="E500" i="3"/>
  <c r="L500" i="3" s="1"/>
  <c r="E504" i="3"/>
  <c r="L504" i="3" s="1"/>
  <c r="H504" i="4" s="1"/>
  <c r="E508" i="3"/>
  <c r="L508" i="3" s="1"/>
  <c r="E512" i="3"/>
  <c r="L512" i="3" s="1"/>
  <c r="E516" i="3"/>
  <c r="L516" i="3" s="1"/>
  <c r="E520" i="3"/>
  <c r="L520" i="3" s="1"/>
  <c r="A520" i="4" s="1"/>
  <c r="E524" i="3"/>
  <c r="L524" i="3" s="1"/>
  <c r="E528" i="3"/>
  <c r="L528" i="3" s="1"/>
  <c r="E532" i="3"/>
  <c r="L532" i="3" s="1"/>
  <c r="G532" i="4" s="1"/>
  <c r="E536" i="3"/>
  <c r="L536" i="3" s="1"/>
  <c r="E540" i="3"/>
  <c r="L540" i="3" s="1"/>
  <c r="E544" i="3"/>
  <c r="L544" i="3" s="1"/>
  <c r="E548" i="3"/>
  <c r="L548" i="3" s="1"/>
  <c r="E552" i="3"/>
  <c r="L552" i="3" s="1"/>
  <c r="N552" i="4" s="1"/>
  <c r="E556" i="3"/>
  <c r="L556" i="3" s="1"/>
  <c r="E560" i="3"/>
  <c r="L560" i="3" s="1"/>
  <c r="E564" i="3"/>
  <c r="L564" i="3" s="1"/>
  <c r="E568" i="3"/>
  <c r="L568" i="3" s="1"/>
  <c r="E572" i="3"/>
  <c r="L572" i="3" s="1"/>
  <c r="E576" i="3"/>
  <c r="L576" i="3" s="1"/>
  <c r="E580" i="3"/>
  <c r="L580" i="3" s="1"/>
  <c r="G580" i="4" s="1"/>
  <c r="E584" i="3"/>
  <c r="L584" i="3" s="1"/>
  <c r="A584" i="4" s="1"/>
  <c r="E588" i="3"/>
  <c r="L588" i="3" s="1"/>
  <c r="E592" i="3"/>
  <c r="L592" i="3" s="1"/>
  <c r="E596" i="3"/>
  <c r="L596" i="3" s="1"/>
  <c r="E600" i="3"/>
  <c r="L600" i="3" s="1"/>
  <c r="E604" i="3"/>
  <c r="L604" i="3" s="1"/>
  <c r="E608" i="3"/>
  <c r="L608" i="3" s="1"/>
  <c r="E612" i="3"/>
  <c r="L612" i="3" s="1"/>
  <c r="E616" i="3"/>
  <c r="L616" i="3" s="1"/>
  <c r="E620" i="3"/>
  <c r="L620" i="3" s="1"/>
  <c r="E624" i="3"/>
  <c r="L624" i="3" s="1"/>
  <c r="E628" i="3"/>
  <c r="L628" i="3" s="1"/>
  <c r="E632" i="3"/>
  <c r="L632" i="3" s="1"/>
  <c r="E636" i="3"/>
  <c r="L636" i="3" s="1"/>
  <c r="E640" i="3"/>
  <c r="L640" i="3" s="1"/>
  <c r="E644" i="3"/>
  <c r="L644" i="3" s="1"/>
  <c r="E648" i="3"/>
  <c r="L648" i="3" s="1"/>
  <c r="E652" i="3"/>
  <c r="L652" i="3" s="1"/>
  <c r="E633" i="3"/>
  <c r="L633" i="3" s="1"/>
  <c r="E617" i="3"/>
  <c r="L617" i="3" s="1"/>
  <c r="E601" i="3"/>
  <c r="L601" i="3" s="1"/>
  <c r="E585" i="3"/>
  <c r="L585" i="3" s="1"/>
  <c r="E569" i="3"/>
  <c r="L569" i="3" s="1"/>
  <c r="E553" i="3"/>
  <c r="L553" i="3" s="1"/>
  <c r="N553" i="4" s="1"/>
  <c r="E537" i="3"/>
  <c r="L537" i="3" s="1"/>
  <c r="D537" i="4" s="1"/>
  <c r="E521" i="3"/>
  <c r="L521" i="3" s="1"/>
  <c r="E505" i="3"/>
  <c r="L505" i="3" s="1"/>
  <c r="E489" i="3"/>
  <c r="L489" i="3" s="1"/>
  <c r="E473" i="3"/>
  <c r="L473" i="3" s="1"/>
  <c r="E457" i="3"/>
  <c r="L457" i="3" s="1"/>
  <c r="E441" i="3"/>
  <c r="L441" i="3" s="1"/>
  <c r="E412" i="3"/>
  <c r="L412" i="3" s="1"/>
  <c r="E391" i="3"/>
  <c r="L391" i="3" s="1"/>
  <c r="E645" i="3"/>
  <c r="L645" i="3" s="1"/>
  <c r="E629" i="3"/>
  <c r="L629" i="3" s="1"/>
  <c r="E613" i="3"/>
  <c r="L613" i="3" s="1"/>
  <c r="E597" i="3"/>
  <c r="L597" i="3" s="1"/>
  <c r="E581" i="3"/>
  <c r="L581" i="3" s="1"/>
  <c r="F581" i="4" s="1"/>
  <c r="E565" i="3"/>
  <c r="L565" i="3" s="1"/>
  <c r="E549" i="3"/>
  <c r="L549" i="3" s="1"/>
  <c r="E533" i="3"/>
  <c r="L533" i="3" s="1"/>
  <c r="E517" i="3"/>
  <c r="L517" i="3" s="1"/>
  <c r="E501" i="3"/>
  <c r="L501" i="3" s="1"/>
  <c r="E485" i="3"/>
  <c r="L485" i="3" s="1"/>
  <c r="E469" i="3"/>
  <c r="L469" i="3" s="1"/>
  <c r="E453" i="3"/>
  <c r="L453" i="3" s="1"/>
  <c r="E437" i="3"/>
  <c r="L437" i="3" s="1"/>
  <c r="E408" i="3"/>
  <c r="L408" i="3" s="1"/>
  <c r="E385" i="3"/>
  <c r="L385" i="3" s="1"/>
  <c r="E654" i="3"/>
  <c r="L654" i="3" s="1"/>
  <c r="E651" i="3"/>
  <c r="L651" i="3" s="1"/>
  <c r="E643" i="3"/>
  <c r="L643" i="3" s="1"/>
  <c r="E635" i="3"/>
  <c r="L635" i="3" s="1"/>
  <c r="E627" i="3"/>
  <c r="L627" i="3" s="1"/>
  <c r="E619" i="3"/>
  <c r="L619" i="3" s="1"/>
  <c r="E611" i="3"/>
  <c r="L611" i="3" s="1"/>
  <c r="E603" i="3"/>
  <c r="L603" i="3" s="1"/>
  <c r="E595" i="3"/>
  <c r="L595" i="3" s="1"/>
  <c r="E587" i="3"/>
  <c r="L587" i="3" s="1"/>
  <c r="E579" i="3"/>
  <c r="L579" i="3" s="1"/>
  <c r="G579" i="4" s="1"/>
  <c r="E571" i="3"/>
  <c r="L571" i="3" s="1"/>
  <c r="E563" i="3"/>
  <c r="L563" i="3" s="1"/>
  <c r="G563" i="4" s="1"/>
  <c r="E555" i="3"/>
  <c r="L555" i="3" s="1"/>
  <c r="E547" i="3"/>
  <c r="L547" i="3" s="1"/>
  <c r="G547" i="4" s="1"/>
  <c r="E539" i="3"/>
  <c r="L539" i="3" s="1"/>
  <c r="E531" i="3"/>
  <c r="L531" i="3" s="1"/>
  <c r="G531" i="4" s="1"/>
  <c r="E523" i="3"/>
  <c r="L523" i="3" s="1"/>
  <c r="E515" i="3"/>
  <c r="L515" i="3" s="1"/>
  <c r="G515" i="4" s="1"/>
  <c r="E507" i="3"/>
  <c r="L507" i="3" s="1"/>
  <c r="E499" i="3"/>
  <c r="L499" i="3" s="1"/>
  <c r="E491" i="3"/>
  <c r="L491" i="3" s="1"/>
  <c r="E483" i="3"/>
  <c r="L483" i="3" s="1"/>
  <c r="E475" i="3"/>
  <c r="L475" i="3" s="1"/>
  <c r="E467" i="3"/>
  <c r="L467" i="3" s="1"/>
  <c r="E459" i="3"/>
  <c r="L459" i="3" s="1"/>
  <c r="E451" i="3"/>
  <c r="L451" i="3" s="1"/>
  <c r="E443" i="3"/>
  <c r="L443" i="3" s="1"/>
  <c r="E432" i="3"/>
  <c r="L432" i="3" s="1"/>
  <c r="E414" i="3"/>
  <c r="L414" i="3" s="1"/>
  <c r="E406" i="3"/>
  <c r="L406" i="3" s="1"/>
  <c r="E394" i="3"/>
  <c r="L394" i="3" s="1"/>
  <c r="E382" i="3"/>
  <c r="L382" i="3" s="1"/>
  <c r="E168" i="3"/>
  <c r="L168" i="3" s="1"/>
  <c r="E165" i="3"/>
  <c r="L165" i="3" s="1"/>
  <c r="E162" i="3"/>
  <c r="L162" i="3" s="1"/>
  <c r="E159" i="3"/>
  <c r="L159" i="3" s="1"/>
  <c r="E156" i="3"/>
  <c r="L156" i="3" s="1"/>
  <c r="E154" i="3"/>
  <c r="L154" i="3" s="1"/>
  <c r="E150" i="3"/>
  <c r="L150" i="3" s="1"/>
  <c r="E148" i="3"/>
  <c r="L148" i="3" s="1"/>
  <c r="E143" i="3"/>
  <c r="L143" i="3" s="1"/>
  <c r="E141" i="3"/>
  <c r="L141" i="3" s="1"/>
  <c r="E138" i="3"/>
  <c r="L138" i="3" s="1"/>
  <c r="E135" i="3"/>
  <c r="L135" i="3" s="1"/>
  <c r="E133" i="3"/>
  <c r="L133" i="3" s="1"/>
  <c r="E129" i="3"/>
  <c r="L129" i="3" s="1"/>
  <c r="E124" i="3"/>
  <c r="L124" i="3" s="1"/>
  <c r="E122" i="3"/>
  <c r="L122" i="3" s="1"/>
  <c r="E120" i="3"/>
  <c r="L120" i="3" s="1"/>
  <c r="E118" i="3"/>
  <c r="L118" i="3" s="1"/>
  <c r="E116" i="3"/>
  <c r="L116" i="3" s="1"/>
  <c r="E113" i="3"/>
  <c r="L113" i="3" s="1"/>
  <c r="E110" i="3"/>
  <c r="L110" i="3" s="1"/>
  <c r="E104" i="3"/>
  <c r="L104" i="3" s="1"/>
  <c r="E97" i="3"/>
  <c r="L97" i="3" s="1"/>
  <c r="E93" i="3"/>
  <c r="L93" i="3" s="1"/>
  <c r="E90" i="3"/>
  <c r="L90" i="3" s="1"/>
  <c r="E86" i="3"/>
  <c r="L86" i="3" s="1"/>
  <c r="E81" i="3"/>
  <c r="L81" i="3" s="1"/>
  <c r="E79" i="3"/>
  <c r="L79" i="3" s="1"/>
  <c r="E77" i="3"/>
  <c r="L77" i="3" s="1"/>
  <c r="E73" i="3"/>
  <c r="L73" i="3" s="1"/>
  <c r="E69" i="3"/>
  <c r="L69" i="3" s="1"/>
  <c r="E67" i="3"/>
  <c r="L67" i="3" s="1"/>
  <c r="E65" i="3"/>
  <c r="L65" i="3" s="1"/>
  <c r="E63" i="3"/>
  <c r="L63" i="3" s="1"/>
  <c r="E61" i="3"/>
  <c r="L61" i="3" s="1"/>
  <c r="E59" i="3"/>
  <c r="L59" i="3" s="1"/>
  <c r="E55" i="3"/>
  <c r="L55" i="3" s="1"/>
  <c r="E53" i="3"/>
  <c r="L53" i="3" s="1"/>
  <c r="E51" i="3"/>
  <c r="L51" i="3" s="1"/>
  <c r="E49" i="3"/>
  <c r="L49" i="3" s="1"/>
  <c r="E46" i="3"/>
  <c r="L46" i="3" s="1"/>
  <c r="E44" i="3"/>
  <c r="L44" i="3" s="1"/>
  <c r="E42" i="3"/>
  <c r="L42" i="3" s="1"/>
  <c r="E40" i="3"/>
  <c r="L40" i="3" s="1"/>
  <c r="E37" i="3"/>
  <c r="L37" i="3" s="1"/>
  <c r="E33" i="3"/>
  <c r="L33" i="3" s="1"/>
  <c r="E30" i="3"/>
  <c r="L30" i="3" s="1"/>
  <c r="E26" i="3"/>
  <c r="L26" i="3" s="1"/>
  <c r="E24" i="3"/>
  <c r="L24" i="3" s="1"/>
  <c r="E22" i="3"/>
  <c r="L22" i="3" s="1"/>
  <c r="E20" i="3"/>
  <c r="L20" i="3" s="1"/>
  <c r="E18" i="3"/>
  <c r="L18" i="3" s="1"/>
  <c r="E15" i="3"/>
  <c r="L15" i="3" s="1"/>
  <c r="E12" i="3"/>
  <c r="L12" i="3" s="1"/>
  <c r="E9" i="3"/>
  <c r="L9" i="3" s="1"/>
  <c r="E7" i="3"/>
  <c r="L7" i="3" s="1"/>
  <c r="E3" i="3"/>
  <c r="L3" i="3" s="1"/>
  <c r="E171" i="3"/>
  <c r="L171" i="3" s="1"/>
  <c r="E175" i="3"/>
  <c r="L175" i="3" s="1"/>
  <c r="E177" i="3"/>
  <c r="L177" i="3" s="1"/>
  <c r="E179" i="3"/>
  <c r="L179" i="3" s="1"/>
  <c r="E181" i="3"/>
  <c r="L181" i="3" s="1"/>
  <c r="E184" i="3"/>
  <c r="L184" i="3" s="1"/>
  <c r="E188" i="3"/>
  <c r="L188" i="3" s="1"/>
  <c r="E191" i="3"/>
  <c r="L191" i="3" s="1"/>
  <c r="E193" i="3"/>
  <c r="L193" i="3" s="1"/>
  <c r="E195" i="3"/>
  <c r="L195" i="3" s="1"/>
  <c r="E197" i="3"/>
  <c r="L197" i="3" s="1"/>
  <c r="E201" i="3"/>
  <c r="L201" i="3" s="1"/>
  <c r="E205" i="3"/>
  <c r="L205" i="3" s="1"/>
  <c r="E209" i="3"/>
  <c r="L209" i="3" s="1"/>
  <c r="E211" i="3"/>
  <c r="L211" i="3" s="1"/>
  <c r="E214" i="3"/>
  <c r="L214" i="3" s="1"/>
  <c r="E216" i="3"/>
  <c r="L216" i="3" s="1"/>
  <c r="E219" i="3"/>
  <c r="L219" i="3" s="1"/>
  <c r="E223" i="3"/>
  <c r="L223" i="3" s="1"/>
  <c r="E225" i="3"/>
  <c r="L225" i="3" s="1"/>
  <c r="E229" i="3"/>
  <c r="L229" i="3" s="1"/>
  <c r="E231" i="3"/>
  <c r="L231" i="3" s="1"/>
  <c r="E235" i="3"/>
  <c r="L235" i="3" s="1"/>
  <c r="E238" i="3"/>
  <c r="L238" i="3" s="1"/>
  <c r="E241" i="3"/>
  <c r="L241" i="3" s="1"/>
  <c r="E245" i="3"/>
  <c r="L245" i="3" s="1"/>
  <c r="E247" i="3"/>
  <c r="L247" i="3" s="1"/>
  <c r="E252" i="3"/>
  <c r="L252" i="3" s="1"/>
  <c r="E254" i="3"/>
  <c r="L254" i="3" s="1"/>
  <c r="E257" i="3"/>
  <c r="L257" i="3" s="1"/>
  <c r="E261" i="3"/>
  <c r="L261" i="3" s="1"/>
  <c r="E263" i="3"/>
  <c r="L263" i="3" s="1"/>
  <c r="E265" i="3"/>
  <c r="L265" i="3" s="1"/>
  <c r="E268" i="3"/>
  <c r="L268" i="3" s="1"/>
  <c r="E270" i="3"/>
  <c r="L270" i="3" s="1"/>
  <c r="E274" i="3"/>
  <c r="L274" i="3" s="1"/>
  <c r="E279" i="3"/>
  <c r="L279" i="3" s="1"/>
  <c r="E282" i="3"/>
  <c r="L282" i="3" s="1"/>
  <c r="E285" i="3"/>
  <c r="L285" i="3" s="1"/>
  <c r="E287" i="3"/>
  <c r="L287" i="3" s="1"/>
  <c r="E290" i="3"/>
  <c r="L290" i="3" s="1"/>
  <c r="E293" i="3"/>
  <c r="L293" i="3" s="1"/>
  <c r="E297" i="3"/>
  <c r="L297" i="3" s="1"/>
  <c r="E302" i="3"/>
  <c r="L302" i="3" s="1"/>
  <c r="E304" i="3"/>
  <c r="L304" i="3" s="1"/>
  <c r="E307" i="3"/>
  <c r="L307" i="3" s="1"/>
  <c r="E309" i="3"/>
  <c r="L309" i="3" s="1"/>
  <c r="E313" i="3"/>
  <c r="L313" i="3" s="1"/>
  <c r="E315" i="3"/>
  <c r="L315" i="3" s="1"/>
  <c r="E320" i="3"/>
  <c r="L320" i="3" s="1"/>
  <c r="E322" i="3"/>
  <c r="L322" i="3" s="1"/>
  <c r="E325" i="3"/>
  <c r="L325" i="3" s="1"/>
  <c r="E327" i="3"/>
  <c r="L327" i="3" s="1"/>
  <c r="E330" i="3"/>
  <c r="L330" i="3" s="1"/>
  <c r="E332" i="3"/>
  <c r="L332" i="3" s="1"/>
  <c r="E338" i="3"/>
  <c r="L338" i="3" s="1"/>
  <c r="E340" i="3"/>
  <c r="L340" i="3" s="1"/>
  <c r="E347" i="3"/>
  <c r="L347" i="3" s="1"/>
  <c r="E350" i="3"/>
  <c r="L350" i="3" s="1"/>
  <c r="E353" i="3"/>
  <c r="L353" i="3" s="1"/>
  <c r="E356" i="3"/>
  <c r="L356" i="3" s="1"/>
  <c r="E362" i="3"/>
  <c r="L362" i="3" s="1"/>
  <c r="E366" i="3"/>
  <c r="L366" i="3" s="1"/>
  <c r="E369" i="3"/>
  <c r="L369" i="3" s="1"/>
  <c r="E371" i="3"/>
  <c r="L371" i="3" s="1"/>
  <c r="E380" i="3"/>
  <c r="L380" i="3" s="1"/>
  <c r="E386" i="3"/>
  <c r="L386" i="3" s="1"/>
  <c r="E393" i="3"/>
  <c r="L393" i="3" s="1"/>
  <c r="E399" i="3"/>
  <c r="L399" i="3" s="1"/>
  <c r="E403" i="3"/>
  <c r="L403" i="3" s="1"/>
  <c r="E409" i="3"/>
  <c r="L409" i="3" s="1"/>
  <c r="E413" i="3"/>
  <c r="L413" i="3" s="1"/>
  <c r="E422" i="3"/>
  <c r="L422" i="3" s="1"/>
  <c r="E430" i="3"/>
  <c r="L430" i="3" s="1"/>
  <c r="E438" i="3"/>
  <c r="L438" i="3" s="1"/>
  <c r="E442" i="3"/>
  <c r="L442" i="3" s="1"/>
  <c r="E446" i="3"/>
  <c r="L446" i="3" s="1"/>
  <c r="E450" i="3"/>
  <c r="L450" i="3" s="1"/>
  <c r="E454" i="3"/>
  <c r="L454" i="3" s="1"/>
  <c r="E458" i="3"/>
  <c r="L458" i="3" s="1"/>
  <c r="E462" i="3"/>
  <c r="L462" i="3" s="1"/>
  <c r="E466" i="3"/>
  <c r="L466" i="3" s="1"/>
  <c r="E470" i="3"/>
  <c r="L470" i="3" s="1"/>
  <c r="E474" i="3"/>
  <c r="L474" i="3" s="1"/>
  <c r="E478" i="3"/>
  <c r="L478" i="3" s="1"/>
  <c r="E482" i="3"/>
  <c r="L482" i="3" s="1"/>
  <c r="E486" i="3"/>
  <c r="L486" i="3" s="1"/>
  <c r="E490" i="3"/>
  <c r="L490" i="3" s="1"/>
  <c r="E494" i="3"/>
  <c r="L494" i="3" s="1"/>
  <c r="E498" i="3"/>
  <c r="L498" i="3" s="1"/>
  <c r="E502" i="3"/>
  <c r="L502" i="3" s="1"/>
  <c r="E506" i="3"/>
  <c r="L506" i="3" s="1"/>
  <c r="E510" i="3"/>
  <c r="L510" i="3" s="1"/>
  <c r="G510" i="4" s="1"/>
  <c r="E514" i="3"/>
  <c r="L514" i="3" s="1"/>
  <c r="E518" i="3"/>
  <c r="L518" i="3" s="1"/>
  <c r="E522" i="3"/>
  <c r="L522" i="3" s="1"/>
  <c r="E526" i="3"/>
  <c r="L526" i="3" s="1"/>
  <c r="G526" i="4" s="1"/>
  <c r="E530" i="3"/>
  <c r="L530" i="3" s="1"/>
  <c r="I530" i="4" s="1"/>
  <c r="E534" i="3"/>
  <c r="L534" i="3" s="1"/>
  <c r="E538" i="3"/>
  <c r="L538" i="3" s="1"/>
  <c r="E542" i="3"/>
  <c r="L542" i="3" s="1"/>
  <c r="G542" i="4" s="1"/>
  <c r="E546" i="3"/>
  <c r="L546" i="3" s="1"/>
  <c r="E550" i="3"/>
  <c r="L550" i="3" s="1"/>
  <c r="E554" i="3"/>
  <c r="L554" i="3" s="1"/>
  <c r="E558" i="3"/>
  <c r="L558" i="3" s="1"/>
  <c r="G558" i="4" s="1"/>
  <c r="E562" i="3"/>
  <c r="L562" i="3" s="1"/>
  <c r="I562" i="4" s="1"/>
  <c r="E566" i="3"/>
  <c r="L566" i="3" s="1"/>
  <c r="E570" i="3"/>
  <c r="L570" i="3" s="1"/>
  <c r="E574" i="3"/>
  <c r="L574" i="3" s="1"/>
  <c r="G574" i="4" s="1"/>
  <c r="E578" i="3"/>
  <c r="L578" i="3" s="1"/>
  <c r="E582" i="3"/>
  <c r="L582" i="3" s="1"/>
  <c r="E586" i="3"/>
  <c r="L586" i="3" s="1"/>
  <c r="E590" i="3"/>
  <c r="L590" i="3" s="1"/>
  <c r="G590" i="4" s="1"/>
  <c r="E594" i="3"/>
  <c r="L594" i="3" s="1"/>
  <c r="I594" i="4" s="1"/>
  <c r="E598" i="3"/>
  <c r="L598" i="3" s="1"/>
  <c r="E602" i="3"/>
  <c r="L602" i="3" s="1"/>
  <c r="E606" i="3"/>
  <c r="L606" i="3" s="1"/>
  <c r="E610" i="3"/>
  <c r="L610" i="3" s="1"/>
  <c r="E614" i="3"/>
  <c r="L614" i="3" s="1"/>
  <c r="E618" i="3"/>
  <c r="L618" i="3" s="1"/>
  <c r="E622" i="3"/>
  <c r="L622" i="3" s="1"/>
  <c r="E626" i="3"/>
  <c r="L626" i="3" s="1"/>
  <c r="E630" i="3"/>
  <c r="L630" i="3" s="1"/>
  <c r="E634" i="3"/>
  <c r="L634" i="3" s="1"/>
  <c r="E638" i="3"/>
  <c r="L638" i="3" s="1"/>
  <c r="E642" i="3"/>
  <c r="L642" i="3" s="1"/>
  <c r="E646" i="3"/>
  <c r="L646" i="3" s="1"/>
  <c r="E650" i="3"/>
  <c r="L650" i="3" s="1"/>
  <c r="E641" i="3"/>
  <c r="L641" i="3" s="1"/>
  <c r="E625" i="3"/>
  <c r="L625" i="3" s="1"/>
  <c r="E609" i="3"/>
  <c r="L609" i="3" s="1"/>
  <c r="E593" i="3"/>
  <c r="L593" i="3" s="1"/>
  <c r="E577" i="3"/>
  <c r="L577" i="3" s="1"/>
  <c r="E577" i="4" s="1"/>
  <c r="E561" i="3"/>
  <c r="L561" i="3" s="1"/>
  <c r="E545" i="3"/>
  <c r="L545" i="3" s="1"/>
  <c r="E545" i="4" s="1"/>
  <c r="E529" i="3"/>
  <c r="L529" i="3" s="1"/>
  <c r="E513" i="3"/>
  <c r="L513" i="3" s="1"/>
  <c r="E497" i="3"/>
  <c r="L497" i="3" s="1"/>
  <c r="E481" i="3"/>
  <c r="L481" i="3" s="1"/>
  <c r="E465" i="3"/>
  <c r="L465" i="3" s="1"/>
  <c r="E449" i="3"/>
  <c r="L449" i="3" s="1"/>
  <c r="E429" i="3"/>
  <c r="L429" i="3" s="1"/>
  <c r="E402" i="3"/>
  <c r="L402" i="3" s="1"/>
  <c r="E375" i="3"/>
  <c r="L375" i="3" s="1"/>
  <c r="E637" i="3"/>
  <c r="L637" i="3" s="1"/>
  <c r="E621" i="3"/>
  <c r="L621" i="3" s="1"/>
  <c r="E605" i="3"/>
  <c r="L605" i="3" s="1"/>
  <c r="E589" i="3"/>
  <c r="L589" i="3" s="1"/>
  <c r="E573" i="3"/>
  <c r="L573" i="3" s="1"/>
  <c r="E557" i="3"/>
  <c r="L557" i="3" s="1"/>
  <c r="E541" i="3"/>
  <c r="L541" i="3" s="1"/>
  <c r="F541" i="4" s="1"/>
  <c r="E525" i="3"/>
  <c r="L525" i="3" s="1"/>
  <c r="E509" i="3"/>
  <c r="L509" i="3" s="1"/>
  <c r="E493" i="3"/>
  <c r="L493" i="3" s="1"/>
  <c r="E477" i="3"/>
  <c r="L477" i="3" s="1"/>
  <c r="E461" i="3"/>
  <c r="L461" i="3" s="1"/>
  <c r="E445" i="3"/>
  <c r="L445" i="3" s="1"/>
  <c r="E420" i="3"/>
  <c r="L420" i="3" s="1"/>
  <c r="E398" i="3"/>
  <c r="L398" i="3" s="1"/>
  <c r="I600" i="4"/>
  <c r="A600" i="4"/>
  <c r="D600" i="4"/>
  <c r="I596" i="4"/>
  <c r="C596" i="4"/>
  <c r="A596" i="4"/>
  <c r="J596" i="4"/>
  <c r="D596" i="4"/>
  <c r="B596" i="4"/>
  <c r="I592" i="4"/>
  <c r="A592" i="4"/>
  <c r="I588" i="4"/>
  <c r="G588" i="6" s="1"/>
  <c r="C588" i="4"/>
  <c r="A588" i="4"/>
  <c r="J588" i="4"/>
  <c r="D588" i="4"/>
  <c r="B588" i="4"/>
  <c r="I584" i="4"/>
  <c r="D584" i="4"/>
  <c r="I580" i="4"/>
  <c r="G580" i="6" s="1"/>
  <c r="C580" i="4"/>
  <c r="A580" i="4"/>
  <c r="J580" i="4"/>
  <c r="D580" i="4"/>
  <c r="B580" i="4"/>
  <c r="A576" i="4"/>
  <c r="D576" i="4"/>
  <c r="I572" i="4"/>
  <c r="G572" i="6" s="1"/>
  <c r="C572" i="4"/>
  <c r="A572" i="4"/>
  <c r="J572" i="4"/>
  <c r="D572" i="4"/>
  <c r="B572" i="4"/>
  <c r="I568" i="4"/>
  <c r="A568" i="4"/>
  <c r="D568" i="4"/>
  <c r="I564" i="4"/>
  <c r="G564" i="6" s="1"/>
  <c r="C564" i="4"/>
  <c r="A564" i="4"/>
  <c r="J564" i="4"/>
  <c r="D564" i="4"/>
  <c r="B564" i="4"/>
  <c r="I560" i="4"/>
  <c r="A560" i="4"/>
  <c r="I556" i="4"/>
  <c r="G556" i="6" s="1"/>
  <c r="C556" i="4"/>
  <c r="A556" i="4"/>
  <c r="J556" i="4"/>
  <c r="D556" i="4"/>
  <c r="B556" i="4"/>
  <c r="I552" i="4"/>
  <c r="D552" i="4"/>
  <c r="I548" i="4"/>
  <c r="G548" i="6" s="1"/>
  <c r="C548" i="4"/>
  <c r="A548" i="4"/>
  <c r="J548" i="4"/>
  <c r="D548" i="4"/>
  <c r="B548" i="4"/>
  <c r="A544" i="4"/>
  <c r="D544" i="4"/>
  <c r="I540" i="4"/>
  <c r="G540" i="6" s="1"/>
  <c r="C540" i="4"/>
  <c r="A540" i="4"/>
  <c r="J540" i="4"/>
  <c r="D540" i="4"/>
  <c r="B540" i="4"/>
  <c r="I536" i="4"/>
  <c r="A536" i="4"/>
  <c r="D536" i="4"/>
  <c r="I532" i="4"/>
  <c r="G532" i="6" s="1"/>
  <c r="C532" i="4"/>
  <c r="A532" i="4"/>
  <c r="J532" i="4"/>
  <c r="D532" i="4"/>
  <c r="B532" i="4"/>
  <c r="I528" i="4"/>
  <c r="A528" i="4"/>
  <c r="I524" i="4"/>
  <c r="G524" i="6" s="1"/>
  <c r="C524" i="4"/>
  <c r="A524" i="4"/>
  <c r="J524" i="4"/>
  <c r="D524" i="4"/>
  <c r="B524" i="4"/>
  <c r="I520" i="4"/>
  <c r="D520" i="4"/>
  <c r="I516" i="4"/>
  <c r="G516" i="6" s="1"/>
  <c r="C516" i="4"/>
  <c r="A516" i="4"/>
  <c r="J516" i="4"/>
  <c r="D516" i="4"/>
  <c r="B516" i="4"/>
  <c r="A512" i="4"/>
  <c r="D512" i="4"/>
  <c r="I508" i="4"/>
  <c r="G508" i="6" s="1"/>
  <c r="C508" i="4"/>
  <c r="A508" i="4"/>
  <c r="J508" i="4"/>
  <c r="D508" i="4"/>
  <c r="B508" i="4"/>
  <c r="I504" i="4"/>
  <c r="A504" i="4"/>
  <c r="D504" i="4"/>
  <c r="I599" i="4"/>
  <c r="G599" i="6" s="1"/>
  <c r="C599" i="4"/>
  <c r="A599" i="4"/>
  <c r="J599" i="4"/>
  <c r="D599" i="4"/>
  <c r="B599" i="4"/>
  <c r="I595" i="4"/>
  <c r="C595" i="4"/>
  <c r="A595" i="4"/>
  <c r="J595" i="4"/>
  <c r="D595" i="4"/>
  <c r="B595" i="4"/>
  <c r="I591" i="4"/>
  <c r="A591" i="4"/>
  <c r="D591" i="4"/>
  <c r="I587" i="4"/>
  <c r="D587" i="4"/>
  <c r="I583" i="4"/>
  <c r="G583" i="6" s="1"/>
  <c r="C583" i="4"/>
  <c r="A583" i="4"/>
  <c r="J583" i="4"/>
  <c r="D583" i="4"/>
  <c r="B583" i="4"/>
  <c r="I579" i="4"/>
  <c r="C579" i="4"/>
  <c r="A579" i="4"/>
  <c r="J579" i="4"/>
  <c r="D579" i="4"/>
  <c r="B579" i="4"/>
  <c r="I575" i="4"/>
  <c r="G575" i="6" s="1"/>
  <c r="C575" i="4"/>
  <c r="A575" i="4"/>
  <c r="J575" i="4"/>
  <c r="D575" i="4"/>
  <c r="B575" i="4"/>
  <c r="I567" i="4"/>
  <c r="G567" i="6" s="1"/>
  <c r="C567" i="4"/>
  <c r="A567" i="4"/>
  <c r="J567" i="4"/>
  <c r="D567" i="4"/>
  <c r="B567" i="4"/>
  <c r="I563" i="4"/>
  <c r="C563" i="4"/>
  <c r="A563" i="4"/>
  <c r="J563" i="4"/>
  <c r="D563" i="4"/>
  <c r="B563" i="4"/>
  <c r="I559" i="4"/>
  <c r="A559" i="4"/>
  <c r="D559" i="4"/>
  <c r="I555" i="4"/>
  <c r="A555" i="4"/>
  <c r="I551" i="4"/>
  <c r="G551" i="6" s="1"/>
  <c r="C551" i="4"/>
  <c r="A551" i="4"/>
  <c r="J551" i="4"/>
  <c r="D551" i="4"/>
  <c r="B551" i="4"/>
  <c r="I547" i="4"/>
  <c r="C547" i="4"/>
  <c r="A547" i="4"/>
  <c r="J547" i="4"/>
  <c r="D547" i="4"/>
  <c r="B547" i="4"/>
  <c r="I543" i="4"/>
  <c r="G543" i="6" s="1"/>
  <c r="C543" i="4"/>
  <c r="A543" i="4"/>
  <c r="J543" i="4"/>
  <c r="D543" i="4"/>
  <c r="B543" i="4"/>
  <c r="I539" i="4"/>
  <c r="I535" i="4"/>
  <c r="G535" i="6" s="1"/>
  <c r="C535" i="4"/>
  <c r="A535" i="4"/>
  <c r="J535" i="4"/>
  <c r="D535" i="4"/>
  <c r="B535" i="4"/>
  <c r="I531" i="4"/>
  <c r="C531" i="4"/>
  <c r="A531" i="4"/>
  <c r="J531" i="4"/>
  <c r="D531" i="4"/>
  <c r="B531" i="4"/>
  <c r="I527" i="4"/>
  <c r="A527" i="4"/>
  <c r="D527" i="4"/>
  <c r="I523" i="4"/>
  <c r="A523" i="4"/>
  <c r="D523" i="4"/>
  <c r="I519" i="4"/>
  <c r="G519" i="6" s="1"/>
  <c r="C519" i="4"/>
  <c r="A519" i="4"/>
  <c r="J519" i="4"/>
  <c r="D519" i="4"/>
  <c r="B519" i="4"/>
  <c r="I515" i="4"/>
  <c r="C515" i="4"/>
  <c r="A515" i="4"/>
  <c r="J515" i="4"/>
  <c r="D515" i="4"/>
  <c r="B515" i="4"/>
  <c r="I511" i="4"/>
  <c r="G511" i="6" s="1"/>
  <c r="C511" i="4"/>
  <c r="A511" i="4"/>
  <c r="J511" i="4"/>
  <c r="D511" i="4"/>
  <c r="B511" i="4"/>
  <c r="A507" i="4"/>
  <c r="I503" i="4"/>
  <c r="G503" i="6" s="1"/>
  <c r="C503" i="4"/>
  <c r="A503" i="4"/>
  <c r="J503" i="4"/>
  <c r="D503" i="4"/>
  <c r="B503" i="4"/>
  <c r="L495" i="4"/>
  <c r="C495" i="4"/>
  <c r="M495" i="4"/>
  <c r="D495" i="4"/>
  <c r="I598" i="4"/>
  <c r="C598" i="4"/>
  <c r="A598" i="4"/>
  <c r="J598" i="4"/>
  <c r="D598" i="4"/>
  <c r="B598" i="4"/>
  <c r="D594" i="4"/>
  <c r="I590" i="4"/>
  <c r="C590" i="4"/>
  <c r="A590" i="4"/>
  <c r="J590" i="4"/>
  <c r="D590" i="4"/>
  <c r="B590" i="4"/>
  <c r="I586" i="4"/>
  <c r="A586" i="4"/>
  <c r="I582" i="4"/>
  <c r="C582" i="4"/>
  <c r="A582" i="4"/>
  <c r="J582" i="4"/>
  <c r="D582" i="4"/>
  <c r="B582" i="4"/>
  <c r="I578" i="4"/>
  <c r="I574" i="4"/>
  <c r="C574" i="4"/>
  <c r="A574" i="4"/>
  <c r="J574" i="4"/>
  <c r="D574" i="4"/>
  <c r="B574" i="4"/>
  <c r="A570" i="4"/>
  <c r="D570" i="4"/>
  <c r="I566" i="4"/>
  <c r="C566" i="4"/>
  <c r="A566" i="4"/>
  <c r="J566" i="4"/>
  <c r="D566" i="4"/>
  <c r="B566" i="4"/>
  <c r="D562" i="4"/>
  <c r="I558" i="4"/>
  <c r="C558" i="4"/>
  <c r="A558" i="4"/>
  <c r="J558" i="4"/>
  <c r="D558" i="4"/>
  <c r="B558" i="4"/>
  <c r="I554" i="4"/>
  <c r="A554" i="4"/>
  <c r="I550" i="4"/>
  <c r="C550" i="4"/>
  <c r="A550" i="4"/>
  <c r="J550" i="4"/>
  <c r="D550" i="4"/>
  <c r="B550" i="4"/>
  <c r="I546" i="4"/>
  <c r="I542" i="4"/>
  <c r="C542" i="4"/>
  <c r="A542" i="4"/>
  <c r="J542" i="4"/>
  <c r="D542" i="4"/>
  <c r="B542" i="4"/>
  <c r="A538" i="4"/>
  <c r="D538" i="4"/>
  <c r="I534" i="4"/>
  <c r="C534" i="4"/>
  <c r="A534" i="4"/>
  <c r="J534" i="4"/>
  <c r="D534" i="4"/>
  <c r="B534" i="4"/>
  <c r="D530" i="4"/>
  <c r="I526" i="4"/>
  <c r="C526" i="4"/>
  <c r="A526" i="4"/>
  <c r="J526" i="4"/>
  <c r="D526" i="4"/>
  <c r="B526" i="4"/>
  <c r="I522" i="4"/>
  <c r="A522" i="4"/>
  <c r="I518" i="4"/>
  <c r="C518" i="4"/>
  <c r="A518" i="4"/>
  <c r="J518" i="4"/>
  <c r="D518" i="4"/>
  <c r="B518" i="4"/>
  <c r="I514" i="4"/>
  <c r="I510" i="4"/>
  <c r="C510" i="4"/>
  <c r="A510" i="4"/>
  <c r="J510" i="4"/>
  <c r="D510" i="4"/>
  <c r="B510" i="4"/>
  <c r="A506" i="4"/>
  <c r="D506" i="4"/>
  <c r="I502" i="4"/>
  <c r="C502" i="4"/>
  <c r="A502" i="4"/>
  <c r="J502" i="4"/>
  <c r="D502" i="4"/>
  <c r="B502" i="4"/>
  <c r="I597" i="4"/>
  <c r="A597" i="4"/>
  <c r="D597" i="4"/>
  <c r="A593" i="4"/>
  <c r="D593" i="4"/>
  <c r="I589" i="4"/>
  <c r="D589" i="4"/>
  <c r="I585" i="4"/>
  <c r="C585" i="4"/>
  <c r="A585" i="4"/>
  <c r="J585" i="4"/>
  <c r="D585" i="4"/>
  <c r="B585" i="4"/>
  <c r="I581" i="4"/>
  <c r="G581" i="6" s="1"/>
  <c r="C581" i="4"/>
  <c r="A581" i="4"/>
  <c r="J581" i="4"/>
  <c r="D581" i="4"/>
  <c r="B581" i="4"/>
  <c r="I577" i="4"/>
  <c r="C577" i="4"/>
  <c r="A577" i="4"/>
  <c r="J577" i="4"/>
  <c r="D577" i="4"/>
  <c r="B577" i="4"/>
  <c r="I573" i="4"/>
  <c r="G573" i="6" s="1"/>
  <c r="C573" i="4"/>
  <c r="A573" i="4"/>
  <c r="J573" i="4"/>
  <c r="D573" i="4"/>
  <c r="B573" i="4"/>
  <c r="I569" i="4"/>
  <c r="A569" i="4"/>
  <c r="I565" i="4"/>
  <c r="A565" i="4"/>
  <c r="D565" i="4"/>
  <c r="I557" i="4"/>
  <c r="I553" i="4"/>
  <c r="C553" i="4"/>
  <c r="A553" i="4"/>
  <c r="J553" i="4"/>
  <c r="D553" i="4"/>
  <c r="B553" i="4"/>
  <c r="I549" i="4"/>
  <c r="G549" i="6" s="1"/>
  <c r="C549" i="4"/>
  <c r="A549" i="4"/>
  <c r="J549" i="4"/>
  <c r="D549" i="4"/>
  <c r="B549" i="4"/>
  <c r="I545" i="4"/>
  <c r="C545" i="4"/>
  <c r="A545" i="4"/>
  <c r="J545" i="4"/>
  <c r="D545" i="4"/>
  <c r="B545" i="4"/>
  <c r="I541" i="4"/>
  <c r="G541" i="6" s="1"/>
  <c r="C541" i="4"/>
  <c r="A541" i="4"/>
  <c r="J541" i="4"/>
  <c r="D541" i="4"/>
  <c r="B541" i="4"/>
  <c r="I537" i="4"/>
  <c r="A537" i="4"/>
  <c r="I533" i="4"/>
  <c r="A533" i="4"/>
  <c r="D533" i="4"/>
  <c r="A529" i="4"/>
  <c r="D529" i="4"/>
  <c r="I525" i="4"/>
  <c r="D525" i="4"/>
  <c r="B525" i="4"/>
  <c r="I521" i="4"/>
  <c r="C521" i="4"/>
  <c r="A521" i="4"/>
  <c r="J521" i="4"/>
  <c r="D521" i="4"/>
  <c r="B521" i="4"/>
  <c r="I517" i="4"/>
  <c r="G517" i="6" s="1"/>
  <c r="C517" i="4"/>
  <c r="A517" i="4"/>
  <c r="J517" i="4"/>
  <c r="D517" i="4"/>
  <c r="B517" i="4"/>
  <c r="I513" i="4"/>
  <c r="C513" i="4"/>
  <c r="A513" i="4"/>
  <c r="J513" i="4"/>
  <c r="D513" i="4"/>
  <c r="B513" i="4"/>
  <c r="I509" i="4"/>
  <c r="G509" i="6" s="1"/>
  <c r="C509" i="4"/>
  <c r="A509" i="4"/>
  <c r="J509" i="4"/>
  <c r="D509" i="4"/>
  <c r="B509" i="4"/>
  <c r="I505" i="4"/>
  <c r="A505" i="4"/>
  <c r="J505" i="4"/>
  <c r="D505" i="4"/>
  <c r="O1000" i="3"/>
  <c r="O999" i="3" s="1"/>
  <c r="O998" i="3" s="1"/>
  <c r="O997" i="3" s="1"/>
  <c r="O996" i="3" s="1"/>
  <c r="O995" i="3" s="1"/>
  <c r="O994" i="3" s="1"/>
  <c r="O993" i="3" s="1"/>
  <c r="O992" i="3" s="1"/>
  <c r="O991" i="3" s="1"/>
  <c r="O990" i="3" s="1"/>
  <c r="O989" i="3" s="1"/>
  <c r="O988" i="3" s="1"/>
  <c r="O987" i="3" s="1"/>
  <c r="O986" i="3" s="1"/>
  <c r="O985" i="3" s="1"/>
  <c r="O984" i="3" s="1"/>
  <c r="O983" i="3" s="1"/>
  <c r="O982" i="3" s="1"/>
  <c r="O981" i="3" s="1"/>
  <c r="O980" i="3" s="1"/>
  <c r="O979" i="3" s="1"/>
  <c r="O978" i="3" s="1"/>
  <c r="O977" i="3" s="1"/>
  <c r="O976" i="3" s="1"/>
  <c r="O975" i="3" s="1"/>
  <c r="O974" i="3" s="1"/>
  <c r="O973" i="3" s="1"/>
  <c r="O972" i="3" s="1"/>
  <c r="O971" i="3" s="1"/>
  <c r="O970" i="3" s="1"/>
  <c r="O969" i="3" s="1"/>
  <c r="O968" i="3" s="1"/>
  <c r="O967" i="3" s="1"/>
  <c r="O966" i="3" s="1"/>
  <c r="O965" i="3" s="1"/>
  <c r="O964" i="3" s="1"/>
  <c r="O963" i="3" s="1"/>
  <c r="O962" i="3" s="1"/>
  <c r="O961" i="3" s="1"/>
  <c r="O960" i="3" s="1"/>
  <c r="O959" i="3" s="1"/>
  <c r="O958" i="3" s="1"/>
  <c r="O957" i="3" s="1"/>
  <c r="O956" i="3" s="1"/>
  <c r="O955" i="3" s="1"/>
  <c r="O954" i="3" s="1"/>
  <c r="O953" i="3" s="1"/>
  <c r="O952" i="3" s="1"/>
  <c r="O951" i="3" s="1"/>
  <c r="O950" i="3" s="1"/>
  <c r="O949" i="3" s="1"/>
  <c r="O948" i="3" s="1"/>
  <c r="O947" i="3" s="1"/>
  <c r="O946" i="3" s="1"/>
  <c r="O945" i="3" s="1"/>
  <c r="O944" i="3" s="1"/>
  <c r="O943" i="3" s="1"/>
  <c r="O942" i="3" s="1"/>
  <c r="O941" i="3" s="1"/>
  <c r="O940" i="3" s="1"/>
  <c r="O939" i="3" s="1"/>
  <c r="O938" i="3" s="1"/>
  <c r="O937" i="3" s="1"/>
  <c r="O936" i="3" s="1"/>
  <c r="O935" i="3" s="1"/>
  <c r="O934" i="3" s="1"/>
  <c r="O933" i="3" s="1"/>
  <c r="O932" i="3" s="1"/>
  <c r="O931" i="3" s="1"/>
  <c r="O930" i="3" s="1"/>
  <c r="O929" i="3" s="1"/>
  <c r="O928" i="3" s="1"/>
  <c r="O927" i="3" s="1"/>
  <c r="O926" i="3" s="1"/>
  <c r="O925" i="3" s="1"/>
  <c r="O924" i="3" s="1"/>
  <c r="O923" i="3" s="1"/>
  <c r="O922" i="3" s="1"/>
  <c r="O921" i="3" s="1"/>
  <c r="O920" i="3" s="1"/>
  <c r="O919" i="3" s="1"/>
  <c r="O918" i="3" s="1"/>
  <c r="O917" i="3" s="1"/>
  <c r="O916" i="3" s="1"/>
  <c r="O915" i="3" s="1"/>
  <c r="O914" i="3" s="1"/>
  <c r="O913" i="3" s="1"/>
  <c r="O912" i="3" s="1"/>
  <c r="O911" i="3" s="1"/>
  <c r="O910" i="3" s="1"/>
  <c r="O909" i="3" s="1"/>
  <c r="O908" i="3" s="1"/>
  <c r="O907" i="3" s="1"/>
  <c r="O906" i="3" s="1"/>
  <c r="O905" i="3" s="1"/>
  <c r="O904" i="3" s="1"/>
  <c r="O903" i="3" s="1"/>
  <c r="O902" i="3" s="1"/>
  <c r="O901" i="3" s="1"/>
  <c r="O900" i="3" s="1"/>
  <c r="O899" i="3" s="1"/>
  <c r="O898" i="3" s="1"/>
  <c r="O897" i="3" s="1"/>
  <c r="O896" i="3" s="1"/>
  <c r="O895" i="3" s="1"/>
  <c r="O894" i="3" s="1"/>
  <c r="O893" i="3" s="1"/>
  <c r="O892" i="3" s="1"/>
  <c r="O891" i="3" s="1"/>
  <c r="O890" i="3" s="1"/>
  <c r="O889" i="3" s="1"/>
  <c r="O888" i="3" s="1"/>
  <c r="O887" i="3" s="1"/>
  <c r="O886" i="3" s="1"/>
  <c r="O885" i="3" s="1"/>
  <c r="O884" i="3" s="1"/>
  <c r="O883" i="3" s="1"/>
  <c r="O882" i="3" s="1"/>
  <c r="O881" i="3" s="1"/>
  <c r="O880" i="3" s="1"/>
  <c r="O879" i="3" s="1"/>
  <c r="O878" i="3" s="1"/>
  <c r="O877" i="3" s="1"/>
  <c r="O876" i="3" s="1"/>
  <c r="O875" i="3" s="1"/>
  <c r="O874" i="3" s="1"/>
  <c r="O873" i="3" s="1"/>
  <c r="O872" i="3" s="1"/>
  <c r="O871" i="3" s="1"/>
  <c r="O870" i="3" s="1"/>
  <c r="O869" i="3" s="1"/>
  <c r="O868" i="3" s="1"/>
  <c r="O867" i="3" s="1"/>
  <c r="O866" i="3" s="1"/>
  <c r="O865" i="3" s="1"/>
  <c r="O864" i="3" s="1"/>
  <c r="O863" i="3" s="1"/>
  <c r="O862" i="3" s="1"/>
  <c r="O861" i="3" s="1"/>
  <c r="O860" i="3" s="1"/>
  <c r="O859" i="3" s="1"/>
  <c r="O858" i="3" s="1"/>
  <c r="O857" i="3" s="1"/>
  <c r="O856" i="3" s="1"/>
  <c r="O855" i="3" s="1"/>
  <c r="O854" i="3" s="1"/>
  <c r="O853" i="3" s="1"/>
  <c r="O852" i="3" s="1"/>
  <c r="O851" i="3" s="1"/>
  <c r="O850" i="3" s="1"/>
  <c r="O849" i="3" s="1"/>
  <c r="O848" i="3" s="1"/>
  <c r="O847" i="3" s="1"/>
  <c r="O846" i="3" s="1"/>
  <c r="O845" i="3" s="1"/>
  <c r="O844" i="3" s="1"/>
  <c r="O843" i="3" s="1"/>
  <c r="O842" i="3" s="1"/>
  <c r="O841" i="3" s="1"/>
  <c r="O840" i="3" s="1"/>
  <c r="O839" i="3" s="1"/>
  <c r="O838" i="3" s="1"/>
  <c r="O837" i="3" s="1"/>
  <c r="O836" i="3" s="1"/>
  <c r="O835" i="3" s="1"/>
  <c r="O834" i="3" s="1"/>
  <c r="O833" i="3" s="1"/>
  <c r="O832" i="3" s="1"/>
  <c r="O831" i="3" s="1"/>
  <c r="O830" i="3" s="1"/>
  <c r="O829" i="3" s="1"/>
  <c r="O828" i="3" s="1"/>
  <c r="O827" i="3" s="1"/>
  <c r="O826" i="3" s="1"/>
  <c r="O825" i="3" s="1"/>
  <c r="O824" i="3" s="1"/>
  <c r="O823" i="3" s="1"/>
  <c r="O822" i="3" s="1"/>
  <c r="O821" i="3" s="1"/>
  <c r="O820" i="3" s="1"/>
  <c r="O819" i="3" s="1"/>
  <c r="O818" i="3" s="1"/>
  <c r="O817" i="3" s="1"/>
  <c r="O816" i="3" s="1"/>
  <c r="O815" i="3" s="1"/>
  <c r="O814" i="3" s="1"/>
  <c r="O813" i="3" s="1"/>
  <c r="O812" i="3" s="1"/>
  <c r="O811" i="3" s="1"/>
  <c r="O810" i="3" s="1"/>
  <c r="O809" i="3" s="1"/>
  <c r="O808" i="3" s="1"/>
  <c r="O807" i="3" s="1"/>
  <c r="O806" i="3" s="1"/>
  <c r="O805" i="3" s="1"/>
  <c r="O804" i="3" s="1"/>
  <c r="O803" i="3" s="1"/>
  <c r="O802" i="3" s="1"/>
  <c r="O801" i="3" s="1"/>
  <c r="O800" i="3" s="1"/>
  <c r="O799" i="3" s="1"/>
  <c r="O798" i="3" s="1"/>
  <c r="O797" i="3" s="1"/>
  <c r="O796" i="3" s="1"/>
  <c r="O795" i="3" s="1"/>
  <c r="O794" i="3" s="1"/>
  <c r="O793" i="3" s="1"/>
  <c r="O792" i="3" s="1"/>
  <c r="O791" i="3" s="1"/>
  <c r="O790" i="3" s="1"/>
  <c r="O789" i="3" s="1"/>
  <c r="O788" i="3" s="1"/>
  <c r="O787" i="3" s="1"/>
  <c r="O786" i="3" s="1"/>
  <c r="O785" i="3" s="1"/>
  <c r="O784" i="3" s="1"/>
  <c r="O783" i="3" s="1"/>
  <c r="O782" i="3" s="1"/>
  <c r="O781" i="3" s="1"/>
  <c r="O780" i="3" s="1"/>
  <c r="O779" i="3" s="1"/>
  <c r="O778" i="3" s="1"/>
  <c r="O777" i="3" s="1"/>
  <c r="O776" i="3" s="1"/>
  <c r="O775" i="3" s="1"/>
  <c r="O774" i="3" s="1"/>
  <c r="O773" i="3" s="1"/>
  <c r="O772" i="3" s="1"/>
  <c r="O771" i="3" s="1"/>
  <c r="O770" i="3" s="1"/>
  <c r="O769" i="3" s="1"/>
  <c r="O768" i="3" s="1"/>
  <c r="O767" i="3" s="1"/>
  <c r="O766" i="3" s="1"/>
  <c r="O765" i="3" s="1"/>
  <c r="O764" i="3" s="1"/>
  <c r="O763" i="3" s="1"/>
  <c r="O762" i="3" s="1"/>
  <c r="O761" i="3" s="1"/>
  <c r="O760" i="3" s="1"/>
  <c r="O759" i="3" s="1"/>
  <c r="O758" i="3" s="1"/>
  <c r="O757" i="3" s="1"/>
  <c r="O756" i="3" s="1"/>
  <c r="O755" i="3" s="1"/>
  <c r="O754" i="3" s="1"/>
  <c r="O753" i="3" s="1"/>
  <c r="O752" i="3" s="1"/>
  <c r="O751" i="3" s="1"/>
  <c r="O750" i="3" s="1"/>
  <c r="O749" i="3" s="1"/>
  <c r="O748" i="3" s="1"/>
  <c r="O747" i="3" s="1"/>
  <c r="O746" i="3" s="1"/>
  <c r="O745" i="3" s="1"/>
  <c r="O744" i="3" s="1"/>
  <c r="O743" i="3" s="1"/>
  <c r="O742" i="3" s="1"/>
  <c r="O741" i="3" s="1"/>
  <c r="O740" i="3" s="1"/>
  <c r="O739" i="3" s="1"/>
  <c r="O738" i="3" s="1"/>
  <c r="O737" i="3" s="1"/>
  <c r="O736" i="3" s="1"/>
  <c r="O735" i="3" s="1"/>
  <c r="O734" i="3" s="1"/>
  <c r="O733" i="3" s="1"/>
  <c r="O732" i="3" s="1"/>
  <c r="O731" i="3" s="1"/>
  <c r="O730" i="3" s="1"/>
  <c r="O729" i="3" s="1"/>
  <c r="O728" i="3" s="1"/>
  <c r="O727" i="3" s="1"/>
  <c r="O726" i="3" s="1"/>
  <c r="O725" i="3" s="1"/>
  <c r="O724" i="3" s="1"/>
  <c r="O723" i="3" s="1"/>
  <c r="O722" i="3" s="1"/>
  <c r="O721" i="3" s="1"/>
  <c r="O720" i="3" s="1"/>
  <c r="O719" i="3" s="1"/>
  <c r="O718" i="3" s="1"/>
  <c r="O717" i="3" s="1"/>
  <c r="O716" i="3" s="1"/>
  <c r="O715" i="3" s="1"/>
  <c r="O714" i="3" s="1"/>
  <c r="O713" i="3" s="1"/>
  <c r="O712" i="3" s="1"/>
  <c r="O711" i="3" s="1"/>
  <c r="O710" i="3" s="1"/>
  <c r="O709" i="3" s="1"/>
  <c r="O708" i="3" s="1"/>
  <c r="O707" i="3" s="1"/>
  <c r="O706" i="3" s="1"/>
  <c r="O705" i="3" s="1"/>
  <c r="O704" i="3" s="1"/>
  <c r="O703" i="3" s="1"/>
  <c r="O702" i="3" s="1"/>
  <c r="O701" i="3" s="1"/>
  <c r="O700" i="3" s="1"/>
  <c r="O699" i="3" s="1"/>
  <c r="O698" i="3" s="1"/>
  <c r="O697" i="3" s="1"/>
  <c r="O696" i="3" s="1"/>
  <c r="N1000" i="3"/>
  <c r="N999" i="3" s="1"/>
  <c r="N998" i="3" s="1"/>
  <c r="N997" i="3" s="1"/>
  <c r="N996" i="3" s="1"/>
  <c r="N995" i="3" s="1"/>
  <c r="N994" i="3" s="1"/>
  <c r="N993" i="3" s="1"/>
  <c r="N992" i="3" s="1"/>
  <c r="N991" i="3" s="1"/>
  <c r="N990" i="3" s="1"/>
  <c r="N989" i="3" s="1"/>
  <c r="N988" i="3" s="1"/>
  <c r="N987" i="3" s="1"/>
  <c r="N986" i="3" s="1"/>
  <c r="N985" i="3" s="1"/>
  <c r="N984" i="3" s="1"/>
  <c r="N983" i="3" s="1"/>
  <c r="N982" i="3" s="1"/>
  <c r="N981" i="3" s="1"/>
  <c r="N980" i="3" s="1"/>
  <c r="N979" i="3" s="1"/>
  <c r="N978" i="3" s="1"/>
  <c r="N977" i="3" s="1"/>
  <c r="N976" i="3" s="1"/>
  <c r="N975" i="3" s="1"/>
  <c r="N974" i="3" s="1"/>
  <c r="N973" i="3" s="1"/>
  <c r="N972" i="3" s="1"/>
  <c r="N971" i="3" s="1"/>
  <c r="N970" i="3" s="1"/>
  <c r="N969" i="3" s="1"/>
  <c r="N968" i="3" s="1"/>
  <c r="N967" i="3" s="1"/>
  <c r="N966" i="3" s="1"/>
  <c r="N965" i="3" s="1"/>
  <c r="N964" i="3" s="1"/>
  <c r="N963" i="3" s="1"/>
  <c r="N962" i="3" s="1"/>
  <c r="N961" i="3" s="1"/>
  <c r="N960" i="3" s="1"/>
  <c r="N959" i="3" s="1"/>
  <c r="N958" i="3" s="1"/>
  <c r="N957" i="3" s="1"/>
  <c r="N956" i="3" s="1"/>
  <c r="N955" i="3" s="1"/>
  <c r="N954" i="3" s="1"/>
  <c r="N953" i="3" s="1"/>
  <c r="N952" i="3" s="1"/>
  <c r="N951" i="3" s="1"/>
  <c r="N950" i="3" s="1"/>
  <c r="N949" i="3" s="1"/>
  <c r="N948" i="3" s="1"/>
  <c r="N947" i="3" s="1"/>
  <c r="N946" i="3" s="1"/>
  <c r="N945" i="3" s="1"/>
  <c r="N944" i="3" s="1"/>
  <c r="N943" i="3" s="1"/>
  <c r="N942" i="3" s="1"/>
  <c r="N941" i="3" s="1"/>
  <c r="N940" i="3" s="1"/>
  <c r="N939" i="3" s="1"/>
  <c r="N938" i="3" s="1"/>
  <c r="N937" i="3" s="1"/>
  <c r="N936" i="3" s="1"/>
  <c r="N935" i="3" s="1"/>
  <c r="N934" i="3" s="1"/>
  <c r="N933" i="3" s="1"/>
  <c r="N932" i="3" s="1"/>
  <c r="N931" i="3" s="1"/>
  <c r="N930" i="3" s="1"/>
  <c r="N929" i="3" s="1"/>
  <c r="N928" i="3" s="1"/>
  <c r="N927" i="3" s="1"/>
  <c r="N926" i="3" s="1"/>
  <c r="N925" i="3" s="1"/>
  <c r="N924" i="3" s="1"/>
  <c r="N923" i="3" s="1"/>
  <c r="N922" i="3" s="1"/>
  <c r="N921" i="3" s="1"/>
  <c r="N920" i="3" s="1"/>
  <c r="N919" i="3" s="1"/>
  <c r="N918" i="3" s="1"/>
  <c r="N917" i="3" s="1"/>
  <c r="N916" i="3" s="1"/>
  <c r="N915" i="3" s="1"/>
  <c r="N914" i="3" s="1"/>
  <c r="N913" i="3" s="1"/>
  <c r="N912" i="3" s="1"/>
  <c r="N911" i="3" s="1"/>
  <c r="N910" i="3" s="1"/>
  <c r="N909" i="3" s="1"/>
  <c r="N908" i="3" s="1"/>
  <c r="N907" i="3" s="1"/>
  <c r="N906" i="3" s="1"/>
  <c r="N905" i="3" s="1"/>
  <c r="N904" i="3" s="1"/>
  <c r="N903" i="3" s="1"/>
  <c r="N902" i="3" s="1"/>
  <c r="N901" i="3" s="1"/>
  <c r="N900" i="3" s="1"/>
  <c r="N899" i="3" s="1"/>
  <c r="N898" i="3" s="1"/>
  <c r="N897" i="3" s="1"/>
  <c r="N896" i="3" s="1"/>
  <c r="N895" i="3" s="1"/>
  <c r="N894" i="3" s="1"/>
  <c r="N893" i="3" s="1"/>
  <c r="N892" i="3" s="1"/>
  <c r="N891" i="3" s="1"/>
  <c r="N890" i="3" s="1"/>
  <c r="N889" i="3" s="1"/>
  <c r="N888" i="3" s="1"/>
  <c r="N887" i="3" s="1"/>
  <c r="N886" i="3" s="1"/>
  <c r="N885" i="3" s="1"/>
  <c r="N884" i="3" s="1"/>
  <c r="N883" i="3" s="1"/>
  <c r="N882" i="3" s="1"/>
  <c r="N881" i="3" s="1"/>
  <c r="N880" i="3" s="1"/>
  <c r="N879" i="3" s="1"/>
  <c r="N878" i="3" s="1"/>
  <c r="N877" i="3" s="1"/>
  <c r="N876" i="3" s="1"/>
  <c r="N875" i="3" s="1"/>
  <c r="N874" i="3" s="1"/>
  <c r="N873" i="3" s="1"/>
  <c r="N872" i="3" s="1"/>
  <c r="N871" i="3" s="1"/>
  <c r="N870" i="3" s="1"/>
  <c r="N869" i="3" s="1"/>
  <c r="N868" i="3" s="1"/>
  <c r="N867" i="3" s="1"/>
  <c r="N866" i="3" s="1"/>
  <c r="N865" i="3" s="1"/>
  <c r="N864" i="3" s="1"/>
  <c r="N863" i="3" s="1"/>
  <c r="N862" i="3" s="1"/>
  <c r="N861" i="3" s="1"/>
  <c r="N860" i="3" s="1"/>
  <c r="N859" i="3" s="1"/>
  <c r="N858" i="3" s="1"/>
  <c r="N857" i="3" s="1"/>
  <c r="N856" i="3" s="1"/>
  <c r="N855" i="3" s="1"/>
  <c r="N854" i="3" s="1"/>
  <c r="N853" i="3" s="1"/>
  <c r="N852" i="3" s="1"/>
  <c r="N851" i="3" s="1"/>
  <c r="N850" i="3" s="1"/>
  <c r="N849" i="3" s="1"/>
  <c r="N848" i="3" s="1"/>
  <c r="N847" i="3" s="1"/>
  <c r="N846" i="3" s="1"/>
  <c r="N845" i="3" s="1"/>
  <c r="N844" i="3" s="1"/>
  <c r="N843" i="3" s="1"/>
  <c r="N842" i="3" s="1"/>
  <c r="N841" i="3" s="1"/>
  <c r="N840" i="3" s="1"/>
  <c r="N839" i="3" s="1"/>
  <c r="N838" i="3" s="1"/>
  <c r="N837" i="3" s="1"/>
  <c r="N836" i="3" s="1"/>
  <c r="N835" i="3" s="1"/>
  <c r="N834" i="3" s="1"/>
  <c r="N833" i="3" s="1"/>
  <c r="N832" i="3" s="1"/>
  <c r="N831" i="3" s="1"/>
  <c r="N830" i="3" s="1"/>
  <c r="N829" i="3" s="1"/>
  <c r="N828" i="3" s="1"/>
  <c r="N827" i="3" s="1"/>
  <c r="N826" i="3" s="1"/>
  <c r="N825" i="3" s="1"/>
  <c r="N824" i="3" s="1"/>
  <c r="N823" i="3" s="1"/>
  <c r="N822" i="3" s="1"/>
  <c r="N821" i="3" s="1"/>
  <c r="N820" i="3" s="1"/>
  <c r="N819" i="3" s="1"/>
  <c r="N818" i="3" s="1"/>
  <c r="N817" i="3" s="1"/>
  <c r="N816" i="3" s="1"/>
  <c r="N815" i="3" s="1"/>
  <c r="N814" i="3" s="1"/>
  <c r="N813" i="3" s="1"/>
  <c r="N812" i="3" s="1"/>
  <c r="N811" i="3" s="1"/>
  <c r="N810" i="3" s="1"/>
  <c r="N809" i="3" s="1"/>
  <c r="N808" i="3" s="1"/>
  <c r="N807" i="3" s="1"/>
  <c r="N806" i="3" s="1"/>
  <c r="N805" i="3" s="1"/>
  <c r="N804" i="3" s="1"/>
  <c r="N803" i="3" s="1"/>
  <c r="N802" i="3" s="1"/>
  <c r="N801" i="3" s="1"/>
  <c r="N800" i="3" s="1"/>
  <c r="N799" i="3" s="1"/>
  <c r="N798" i="3" s="1"/>
  <c r="N797" i="3" s="1"/>
  <c r="N796" i="3" s="1"/>
  <c r="N795" i="3" s="1"/>
  <c r="N794" i="3" s="1"/>
  <c r="N793" i="3" s="1"/>
  <c r="N792" i="3" s="1"/>
  <c r="N791" i="3" s="1"/>
  <c r="N790" i="3" s="1"/>
  <c r="N789" i="3" s="1"/>
  <c r="N788" i="3" s="1"/>
  <c r="N787" i="3" s="1"/>
  <c r="N786" i="3" s="1"/>
  <c r="N785" i="3" s="1"/>
  <c r="N784" i="3" s="1"/>
  <c r="N783" i="3" s="1"/>
  <c r="N782" i="3" s="1"/>
  <c r="N781" i="3" s="1"/>
  <c r="N780" i="3" s="1"/>
  <c r="N779" i="3" s="1"/>
  <c r="N778" i="3" s="1"/>
  <c r="N777" i="3" s="1"/>
  <c r="N776" i="3" s="1"/>
  <c r="N775" i="3" s="1"/>
  <c r="N774" i="3" s="1"/>
  <c r="N773" i="3" s="1"/>
  <c r="N772" i="3" s="1"/>
  <c r="N771" i="3" s="1"/>
  <c r="N770" i="3" s="1"/>
  <c r="N769" i="3" s="1"/>
  <c r="N768" i="3" s="1"/>
  <c r="N767" i="3" s="1"/>
  <c r="N766" i="3" s="1"/>
  <c r="N765" i="3" s="1"/>
  <c r="N764" i="3" s="1"/>
  <c r="N763" i="3" s="1"/>
  <c r="N762" i="3" s="1"/>
  <c r="N761" i="3" s="1"/>
  <c r="N760" i="3" s="1"/>
  <c r="N759" i="3" s="1"/>
  <c r="N758" i="3" s="1"/>
  <c r="N757" i="3" s="1"/>
  <c r="N756" i="3" s="1"/>
  <c r="N755" i="3" s="1"/>
  <c r="N754" i="3" s="1"/>
  <c r="N753" i="3" s="1"/>
  <c r="N752" i="3" s="1"/>
  <c r="N751" i="3" s="1"/>
  <c r="N750" i="3" s="1"/>
  <c r="N749" i="3" s="1"/>
  <c r="N748" i="3" s="1"/>
  <c r="N747" i="3" s="1"/>
  <c r="N746" i="3" s="1"/>
  <c r="N745" i="3" s="1"/>
  <c r="N744" i="3" s="1"/>
  <c r="N743" i="3" s="1"/>
  <c r="N742" i="3" s="1"/>
  <c r="N741" i="3" s="1"/>
  <c r="N740" i="3" s="1"/>
  <c r="N739" i="3" s="1"/>
  <c r="N738" i="3" s="1"/>
  <c r="N737" i="3" s="1"/>
  <c r="N736" i="3" s="1"/>
  <c r="N735" i="3" s="1"/>
  <c r="N734" i="3" s="1"/>
  <c r="N733" i="3" s="1"/>
  <c r="N732" i="3" s="1"/>
  <c r="N731" i="3" s="1"/>
  <c r="N730" i="3" s="1"/>
  <c r="N729" i="3" s="1"/>
  <c r="N728" i="3" s="1"/>
  <c r="N727" i="3" s="1"/>
  <c r="N726" i="3" s="1"/>
  <c r="N725" i="3" s="1"/>
  <c r="N724" i="3" s="1"/>
  <c r="N723" i="3" s="1"/>
  <c r="N722" i="3" s="1"/>
  <c r="N721" i="3" s="1"/>
  <c r="N720" i="3" s="1"/>
  <c r="N719" i="3" s="1"/>
  <c r="N718" i="3" s="1"/>
  <c r="N717" i="3" s="1"/>
  <c r="N716" i="3" s="1"/>
  <c r="N715" i="3" s="1"/>
  <c r="N714" i="3" s="1"/>
  <c r="N713" i="3" s="1"/>
  <c r="N712" i="3" s="1"/>
  <c r="N711" i="3" s="1"/>
  <c r="N710" i="3" s="1"/>
  <c r="N709" i="3" s="1"/>
  <c r="N708" i="3" s="1"/>
  <c r="N707" i="3" s="1"/>
  <c r="N706" i="3" s="1"/>
  <c r="N705" i="3" s="1"/>
  <c r="N704" i="3" s="1"/>
  <c r="N703" i="3" s="1"/>
  <c r="N702" i="3" s="1"/>
  <c r="N701" i="3" s="1"/>
  <c r="N700" i="3" s="1"/>
  <c r="N699" i="3" s="1"/>
  <c r="N698" i="3" s="1"/>
  <c r="N697" i="3" s="1"/>
  <c r="N696" i="3" s="1"/>
  <c r="F561" i="4" l="1"/>
  <c r="G561" i="4"/>
  <c r="N561" i="4"/>
  <c r="H561" i="4"/>
  <c r="J561" i="4"/>
  <c r="E561" i="4"/>
  <c r="C561" i="4"/>
  <c r="B561" i="4"/>
  <c r="G578" i="4"/>
  <c r="E578" i="4"/>
  <c r="N578" i="4"/>
  <c r="H578" i="4"/>
  <c r="F578" i="4"/>
  <c r="C578" i="4"/>
  <c r="B578" i="4"/>
  <c r="J578" i="4"/>
  <c r="H546" i="4"/>
  <c r="E546" i="4"/>
  <c r="N546" i="4"/>
  <c r="G546" i="4"/>
  <c r="C546" i="4"/>
  <c r="B546" i="4"/>
  <c r="F546" i="4"/>
  <c r="J546" i="4"/>
  <c r="G546" i="6" s="1"/>
  <c r="F514" i="4"/>
  <c r="E514" i="4"/>
  <c r="N514" i="4"/>
  <c r="H514" i="4"/>
  <c r="C514" i="4"/>
  <c r="B514" i="4"/>
  <c r="G514" i="4"/>
  <c r="J514" i="4"/>
  <c r="F507" i="4"/>
  <c r="H507" i="4"/>
  <c r="E507" i="4"/>
  <c r="N507" i="4"/>
  <c r="J507" i="4"/>
  <c r="G507" i="4"/>
  <c r="C507" i="4"/>
  <c r="B507" i="4"/>
  <c r="F539" i="4"/>
  <c r="H539" i="4"/>
  <c r="E539" i="4"/>
  <c r="N539" i="4"/>
  <c r="J539" i="4"/>
  <c r="G539" i="4"/>
  <c r="C539" i="4"/>
  <c r="B539" i="4"/>
  <c r="F571" i="4"/>
  <c r="H571" i="4"/>
  <c r="E571" i="4"/>
  <c r="G571" i="4"/>
  <c r="N571" i="4"/>
  <c r="J571" i="4"/>
  <c r="C571" i="4"/>
  <c r="B571" i="4"/>
  <c r="A562" i="4"/>
  <c r="I507" i="4"/>
  <c r="D561" i="4"/>
  <c r="A530" i="4"/>
  <c r="A594" i="4"/>
  <c r="D571" i="4"/>
  <c r="D546" i="4"/>
  <c r="H525" i="4"/>
  <c r="G525" i="4"/>
  <c r="F525" i="4"/>
  <c r="E525" i="4"/>
  <c r="C525" i="4"/>
  <c r="N525" i="4"/>
  <c r="J525" i="4"/>
  <c r="G525" i="6" s="1"/>
  <c r="F529" i="4"/>
  <c r="G529" i="4"/>
  <c r="N529" i="4"/>
  <c r="H529" i="4"/>
  <c r="J529" i="4"/>
  <c r="C529" i="4"/>
  <c r="B529" i="4"/>
  <c r="H593" i="4"/>
  <c r="G593" i="4"/>
  <c r="F593" i="4"/>
  <c r="E593" i="4"/>
  <c r="N593" i="4"/>
  <c r="J593" i="4"/>
  <c r="C593" i="4"/>
  <c r="B593" i="4"/>
  <c r="G586" i="4"/>
  <c r="E586" i="4"/>
  <c r="F586" i="4"/>
  <c r="H586" i="4"/>
  <c r="N586" i="4"/>
  <c r="C586" i="4"/>
  <c r="B586" i="4"/>
  <c r="J586" i="4"/>
  <c r="G586" i="6" s="1"/>
  <c r="G570" i="4"/>
  <c r="E570" i="4"/>
  <c r="F570" i="4"/>
  <c r="H570" i="4"/>
  <c r="N570" i="4"/>
  <c r="C570" i="4"/>
  <c r="B570" i="4"/>
  <c r="J570" i="4"/>
  <c r="H538" i="4"/>
  <c r="E538" i="4"/>
  <c r="F538" i="4"/>
  <c r="G538" i="4"/>
  <c r="N538" i="4"/>
  <c r="C538" i="4"/>
  <c r="B538" i="4"/>
  <c r="J538" i="4"/>
  <c r="F506" i="4"/>
  <c r="E506" i="4"/>
  <c r="H506" i="4"/>
  <c r="N506" i="4"/>
  <c r="C506" i="4"/>
  <c r="B506" i="4"/>
  <c r="G506" i="4"/>
  <c r="J506" i="4"/>
  <c r="F555" i="4"/>
  <c r="H555" i="4"/>
  <c r="G555" i="4"/>
  <c r="E555" i="4"/>
  <c r="J555" i="4"/>
  <c r="N555" i="4"/>
  <c r="C555" i="4"/>
  <c r="B555" i="4"/>
  <c r="H565" i="4"/>
  <c r="G565" i="4"/>
  <c r="F565" i="4"/>
  <c r="E565" i="4"/>
  <c r="C565" i="4"/>
  <c r="B565" i="4"/>
  <c r="N565" i="4"/>
  <c r="J565" i="4"/>
  <c r="G565" i="6" s="1"/>
  <c r="E569" i="4"/>
  <c r="H569" i="4"/>
  <c r="G569" i="4"/>
  <c r="N569" i="4"/>
  <c r="J569" i="4"/>
  <c r="C569" i="4"/>
  <c r="B569" i="4"/>
  <c r="G576" i="4"/>
  <c r="F576" i="4"/>
  <c r="H576" i="4"/>
  <c r="E576" i="4"/>
  <c r="N576" i="4"/>
  <c r="J576" i="4"/>
  <c r="C576" i="4"/>
  <c r="B576" i="4"/>
  <c r="G560" i="4"/>
  <c r="F560" i="4"/>
  <c r="H560" i="4"/>
  <c r="E560" i="4"/>
  <c r="J560" i="4"/>
  <c r="N560" i="4"/>
  <c r="C560" i="4"/>
  <c r="B560" i="4"/>
  <c r="G528" i="4"/>
  <c r="F528" i="4"/>
  <c r="H528" i="4"/>
  <c r="E528" i="4"/>
  <c r="J528" i="4"/>
  <c r="N528" i="4"/>
  <c r="C528" i="4"/>
  <c r="B528" i="4"/>
  <c r="G512" i="4"/>
  <c r="F512" i="4"/>
  <c r="H512" i="4"/>
  <c r="E512" i="4"/>
  <c r="N512" i="4"/>
  <c r="J512" i="4"/>
  <c r="C512" i="4"/>
  <c r="B512" i="4"/>
  <c r="N520" i="4"/>
  <c r="F569" i="4"/>
  <c r="G557" i="6"/>
  <c r="G514" i="6"/>
  <c r="G578" i="6"/>
  <c r="H557" i="4"/>
  <c r="G557" i="4"/>
  <c r="F557" i="4"/>
  <c r="E557" i="4"/>
  <c r="C557" i="4"/>
  <c r="B557" i="4"/>
  <c r="N557" i="4"/>
  <c r="J557" i="4"/>
  <c r="G594" i="4"/>
  <c r="E594" i="4"/>
  <c r="N594" i="4"/>
  <c r="H594" i="4"/>
  <c r="C594" i="4"/>
  <c r="B594" i="4"/>
  <c r="J594" i="4"/>
  <c r="G594" i="6" s="1"/>
  <c r="G562" i="4"/>
  <c r="E562" i="4"/>
  <c r="N562" i="4"/>
  <c r="H562" i="4"/>
  <c r="C562" i="4"/>
  <c r="B562" i="4"/>
  <c r="F562" i="4"/>
  <c r="J562" i="4"/>
  <c r="G562" i="6" s="1"/>
  <c r="H530" i="4"/>
  <c r="E530" i="4"/>
  <c r="N530" i="4"/>
  <c r="G530" i="4"/>
  <c r="C530" i="4"/>
  <c r="B530" i="4"/>
  <c r="J530" i="4"/>
  <c r="G530" i="6" s="1"/>
  <c r="D557" i="4"/>
  <c r="A561" i="4"/>
  <c r="D514" i="4"/>
  <c r="D578" i="4"/>
  <c r="D539" i="4"/>
  <c r="A571" i="4"/>
  <c r="H589" i="4"/>
  <c r="G589" i="4"/>
  <c r="F589" i="4"/>
  <c r="E589" i="4"/>
  <c r="C589" i="4"/>
  <c r="B589" i="4"/>
  <c r="N589" i="4"/>
  <c r="J589" i="4"/>
  <c r="G589" i="6" s="1"/>
  <c r="G554" i="4"/>
  <c r="E554" i="4"/>
  <c r="F554" i="4"/>
  <c r="H554" i="4"/>
  <c r="N554" i="4"/>
  <c r="C554" i="4"/>
  <c r="B554" i="4"/>
  <c r="J554" i="4"/>
  <c r="G554" i="6" s="1"/>
  <c r="F522" i="4"/>
  <c r="E522" i="4"/>
  <c r="H522" i="4"/>
  <c r="N522" i="4"/>
  <c r="G522" i="4"/>
  <c r="C522" i="4"/>
  <c r="B522" i="4"/>
  <c r="J522" i="4"/>
  <c r="G522" i="6" s="1"/>
  <c r="F523" i="4"/>
  <c r="H523" i="4"/>
  <c r="G523" i="4"/>
  <c r="E523" i="4"/>
  <c r="J523" i="4"/>
  <c r="N523" i="4"/>
  <c r="C523" i="4"/>
  <c r="B523" i="4"/>
  <c r="F587" i="4"/>
  <c r="H587" i="4"/>
  <c r="G587" i="4"/>
  <c r="E587" i="4"/>
  <c r="J587" i="4"/>
  <c r="N587" i="4"/>
  <c r="C587" i="4"/>
  <c r="B587" i="4"/>
  <c r="H505" i="4"/>
  <c r="G505" i="4"/>
  <c r="F505" i="4"/>
  <c r="E505" i="4"/>
  <c r="N505" i="4"/>
  <c r="G592" i="4"/>
  <c r="F592" i="4"/>
  <c r="H592" i="4"/>
  <c r="E592" i="4"/>
  <c r="J592" i="4"/>
  <c r="N592" i="4"/>
  <c r="C592" i="4"/>
  <c r="B592" i="4"/>
  <c r="G544" i="4"/>
  <c r="F544" i="4"/>
  <c r="H544" i="4"/>
  <c r="E544" i="4"/>
  <c r="N544" i="4"/>
  <c r="J544" i="4"/>
  <c r="C544" i="4"/>
  <c r="B544" i="4"/>
  <c r="B505" i="4"/>
  <c r="C505" i="4"/>
  <c r="A525" i="4"/>
  <c r="I529" i="4"/>
  <c r="A557" i="4"/>
  <c r="I561" i="4"/>
  <c r="D569" i="4"/>
  <c r="A589" i="4"/>
  <c r="I593" i="4"/>
  <c r="I506" i="4"/>
  <c r="G506" i="6" s="1"/>
  <c r="A514" i="4"/>
  <c r="D522" i="4"/>
  <c r="I538" i="4"/>
  <c r="G538" i="6" s="1"/>
  <c r="A546" i="4"/>
  <c r="D554" i="4"/>
  <c r="I570" i="4"/>
  <c r="G570" i="6" s="1"/>
  <c r="A578" i="4"/>
  <c r="D586" i="4"/>
  <c r="D507" i="4"/>
  <c r="A539" i="4"/>
  <c r="D555" i="4"/>
  <c r="I571" i="4"/>
  <c r="A587" i="4"/>
  <c r="I512" i="4"/>
  <c r="D528" i="4"/>
  <c r="I544" i="4"/>
  <c r="A552" i="4"/>
  <c r="D560" i="4"/>
  <c r="I576" i="4"/>
  <c r="D592" i="4"/>
  <c r="F530" i="4"/>
  <c r="H533" i="4"/>
  <c r="G533" i="4"/>
  <c r="E533" i="4"/>
  <c r="C533" i="4"/>
  <c r="B533" i="4"/>
  <c r="N533" i="4"/>
  <c r="F533" i="4"/>
  <c r="J533" i="4"/>
  <c r="G533" i="6" s="1"/>
  <c r="F597" i="4"/>
  <c r="G597" i="4"/>
  <c r="H597" i="4"/>
  <c r="C597" i="4"/>
  <c r="B597" i="4"/>
  <c r="E597" i="4"/>
  <c r="N597" i="4"/>
  <c r="J597" i="4"/>
  <c r="G597" i="6" s="1"/>
  <c r="H537" i="4"/>
  <c r="G537" i="4"/>
  <c r="E537" i="4"/>
  <c r="N537" i="4"/>
  <c r="J537" i="4"/>
  <c r="F537" i="4"/>
  <c r="C537" i="4"/>
  <c r="B537" i="4"/>
  <c r="E600" i="4"/>
  <c r="F600" i="4"/>
  <c r="G600" i="4"/>
  <c r="J600" i="4"/>
  <c r="H600" i="4"/>
  <c r="N600" i="4"/>
  <c r="C600" i="4"/>
  <c r="B600" i="4"/>
  <c r="E584" i="4"/>
  <c r="F584" i="4"/>
  <c r="G584" i="4"/>
  <c r="J584" i="4"/>
  <c r="H584" i="4"/>
  <c r="C584" i="4"/>
  <c r="B584" i="4"/>
  <c r="E568" i="4"/>
  <c r="F568" i="4"/>
  <c r="G568" i="4"/>
  <c r="J568" i="4"/>
  <c r="N568" i="4"/>
  <c r="C568" i="4"/>
  <c r="B568" i="4"/>
  <c r="E552" i="4"/>
  <c r="F552" i="4"/>
  <c r="G552" i="4"/>
  <c r="H552" i="4"/>
  <c r="J552" i="4"/>
  <c r="C552" i="4"/>
  <c r="B552" i="4"/>
  <c r="E536" i="4"/>
  <c r="F536" i="4"/>
  <c r="G536" i="4"/>
  <c r="J536" i="4"/>
  <c r="H536" i="4"/>
  <c r="N536" i="4"/>
  <c r="C536" i="4"/>
  <c r="B536" i="4"/>
  <c r="E520" i="4"/>
  <c r="F520" i="4"/>
  <c r="G520" i="4"/>
  <c r="J520" i="4"/>
  <c r="H520" i="4"/>
  <c r="C520" i="4"/>
  <c r="B520" i="4"/>
  <c r="E504" i="4"/>
  <c r="F504" i="4"/>
  <c r="G504" i="4"/>
  <c r="J504" i="4"/>
  <c r="N504" i="4"/>
  <c r="C504" i="4"/>
  <c r="B504" i="4"/>
  <c r="F495" i="4"/>
  <c r="E495" i="4"/>
  <c r="H495" i="4"/>
  <c r="G495" i="4"/>
  <c r="N495" i="4"/>
  <c r="A495" i="4"/>
  <c r="B495" i="4"/>
  <c r="I495" i="4"/>
  <c r="J495" i="4"/>
  <c r="F527" i="4"/>
  <c r="H527" i="4"/>
  <c r="G527" i="4"/>
  <c r="E527" i="4"/>
  <c r="N527" i="4"/>
  <c r="C527" i="4"/>
  <c r="B527" i="4"/>
  <c r="J527" i="4"/>
  <c r="G527" i="6" s="1"/>
  <c r="F559" i="4"/>
  <c r="H559" i="4"/>
  <c r="G559" i="4"/>
  <c r="E559" i="4"/>
  <c r="N559" i="4"/>
  <c r="C559" i="4"/>
  <c r="B559" i="4"/>
  <c r="J559" i="4"/>
  <c r="G559" i="6" s="1"/>
  <c r="G591" i="4"/>
  <c r="H591" i="4"/>
  <c r="N591" i="4"/>
  <c r="F591" i="4"/>
  <c r="C591" i="4"/>
  <c r="B591" i="4"/>
  <c r="J591" i="4"/>
  <c r="G591" i="6" s="1"/>
  <c r="N584" i="4"/>
  <c r="F594" i="4"/>
  <c r="H568" i="4"/>
  <c r="H509" i="4"/>
  <c r="G509" i="4"/>
  <c r="E509" i="4"/>
  <c r="H573" i="4"/>
  <c r="G573" i="4"/>
  <c r="E573" i="4"/>
  <c r="H513" i="4"/>
  <c r="G513" i="4"/>
  <c r="N513" i="4"/>
  <c r="E513" i="4"/>
  <c r="F509" i="4"/>
  <c r="G511" i="4"/>
  <c r="H511" i="4"/>
  <c r="N511" i="4"/>
  <c r="F511" i="4"/>
  <c r="F543" i="4"/>
  <c r="H543" i="4"/>
  <c r="N543" i="4"/>
  <c r="E543" i="4"/>
  <c r="G575" i="4"/>
  <c r="H575" i="4"/>
  <c r="N575" i="4"/>
  <c r="F575" i="4"/>
  <c r="F513" i="4"/>
  <c r="H541" i="4"/>
  <c r="G541" i="4"/>
  <c r="E541" i="4"/>
  <c r="F545" i="4"/>
  <c r="G545" i="4"/>
  <c r="N545" i="4"/>
  <c r="H545" i="4"/>
  <c r="N509" i="4"/>
  <c r="N541" i="4"/>
  <c r="N573" i="4"/>
  <c r="E511" i="4"/>
  <c r="E575" i="4"/>
  <c r="F573" i="4"/>
  <c r="G543" i="4"/>
  <c r="H598" i="4"/>
  <c r="E598" i="4"/>
  <c r="H582" i="4"/>
  <c r="E582" i="4"/>
  <c r="H566" i="4"/>
  <c r="E566" i="4"/>
  <c r="H550" i="4"/>
  <c r="E550" i="4"/>
  <c r="H534" i="4"/>
  <c r="E534" i="4"/>
  <c r="H518" i="4"/>
  <c r="E518" i="4"/>
  <c r="H502" i="4"/>
  <c r="E502" i="4"/>
  <c r="F595" i="4"/>
  <c r="H595" i="4"/>
  <c r="H517" i="4"/>
  <c r="G517" i="4"/>
  <c r="H521" i="4"/>
  <c r="G521" i="4"/>
  <c r="E585" i="4"/>
  <c r="H585" i="4"/>
  <c r="G588" i="4"/>
  <c r="E588" i="4"/>
  <c r="H588" i="4"/>
  <c r="F588" i="4"/>
  <c r="G572" i="4"/>
  <c r="E572" i="4"/>
  <c r="H572" i="4"/>
  <c r="F572" i="4"/>
  <c r="E556" i="4"/>
  <c r="F556" i="4"/>
  <c r="G540" i="4"/>
  <c r="E540" i="4"/>
  <c r="H540" i="4"/>
  <c r="F540" i="4"/>
  <c r="G524" i="4"/>
  <c r="E524" i="4"/>
  <c r="H524" i="4"/>
  <c r="F524" i="4"/>
  <c r="E508" i="4"/>
  <c r="F508" i="4"/>
  <c r="F519" i="4"/>
  <c r="H519" i="4"/>
  <c r="F551" i="4"/>
  <c r="H551" i="4"/>
  <c r="F583" i="4"/>
  <c r="H583" i="4"/>
  <c r="N508" i="4"/>
  <c r="N524" i="4"/>
  <c r="N540" i="4"/>
  <c r="N556" i="4"/>
  <c r="N572" i="4"/>
  <c r="N588" i="4"/>
  <c r="N521" i="4"/>
  <c r="N585" i="4"/>
  <c r="N503" i="4"/>
  <c r="N519" i="4"/>
  <c r="N551" i="4"/>
  <c r="N567" i="4"/>
  <c r="N583" i="4"/>
  <c r="N599" i="4"/>
  <c r="F515" i="4"/>
  <c r="F531" i="4"/>
  <c r="F547" i="4"/>
  <c r="F563" i="4"/>
  <c r="H581" i="4"/>
  <c r="E517" i="4"/>
  <c r="E595" i="4"/>
  <c r="E519" i="4"/>
  <c r="E579" i="4"/>
  <c r="H577" i="4"/>
  <c r="G577" i="4"/>
  <c r="H590" i="4"/>
  <c r="E590" i="4"/>
  <c r="H574" i="4"/>
  <c r="E574" i="4"/>
  <c r="H558" i="4"/>
  <c r="E558" i="4"/>
  <c r="H542" i="4"/>
  <c r="E542" i="4"/>
  <c r="H526" i="4"/>
  <c r="E526" i="4"/>
  <c r="H510" i="4"/>
  <c r="E510" i="4"/>
  <c r="F579" i="4"/>
  <c r="H579" i="4"/>
  <c r="H549" i="4"/>
  <c r="G549" i="4"/>
  <c r="E553" i="4"/>
  <c r="H553" i="4"/>
  <c r="E596" i="4"/>
  <c r="F596" i="4"/>
  <c r="E580" i="4"/>
  <c r="F580" i="4"/>
  <c r="G564" i="4"/>
  <c r="E564" i="4"/>
  <c r="H564" i="4"/>
  <c r="F564" i="4"/>
  <c r="G548" i="4"/>
  <c r="E548" i="4"/>
  <c r="H548" i="4"/>
  <c r="F548" i="4"/>
  <c r="E532" i="4"/>
  <c r="F532" i="4"/>
  <c r="G516" i="4"/>
  <c r="E516" i="4"/>
  <c r="H516" i="4"/>
  <c r="F516" i="4"/>
  <c r="F503" i="4"/>
  <c r="H503" i="4"/>
  <c r="F535" i="4"/>
  <c r="H535" i="4"/>
  <c r="F567" i="4"/>
  <c r="H567" i="4"/>
  <c r="F599" i="4"/>
  <c r="H599" i="4"/>
  <c r="N516" i="4"/>
  <c r="N532" i="4"/>
  <c r="N548" i="4"/>
  <c r="N564" i="4"/>
  <c r="N580" i="4"/>
  <c r="N596" i="4"/>
  <c r="N577" i="4"/>
  <c r="H515" i="4"/>
  <c r="H531" i="4"/>
  <c r="H547" i="4"/>
  <c r="H563" i="4"/>
  <c r="G581" i="4"/>
  <c r="E551" i="4"/>
  <c r="G508" i="4"/>
  <c r="G556" i="4"/>
  <c r="G596" i="4"/>
  <c r="E521" i="4"/>
  <c r="G553" i="4"/>
  <c r="E583" i="4"/>
  <c r="G502" i="4"/>
  <c r="G518" i="4"/>
  <c r="G534" i="4"/>
  <c r="G550" i="4"/>
  <c r="G566" i="4"/>
  <c r="G582" i="4"/>
  <c r="G598" i="4"/>
  <c r="E535" i="4"/>
  <c r="G585" i="4"/>
  <c r="E549" i="4"/>
  <c r="G551" i="4"/>
  <c r="H508" i="4"/>
  <c r="H556" i="4"/>
  <c r="H596" i="4"/>
  <c r="F521" i="4"/>
  <c r="F553" i="4"/>
  <c r="G583" i="4"/>
  <c r="F502" i="4"/>
  <c r="F518" i="4"/>
  <c r="F534" i="4"/>
  <c r="F550" i="4"/>
  <c r="F566" i="4"/>
  <c r="F582" i="4"/>
  <c r="F598" i="4"/>
  <c r="G535" i="4"/>
  <c r="F585" i="4"/>
  <c r="F549" i="4"/>
  <c r="H259" i="4"/>
  <c r="G259" i="4"/>
  <c r="F259" i="4"/>
  <c r="E259" i="4"/>
  <c r="H323" i="4"/>
  <c r="G323" i="4"/>
  <c r="F323" i="4"/>
  <c r="E323" i="4"/>
  <c r="H387" i="4"/>
  <c r="G387" i="4"/>
  <c r="F387" i="4"/>
  <c r="E387" i="4"/>
  <c r="H451" i="4"/>
  <c r="G451" i="4"/>
  <c r="F451" i="4"/>
  <c r="E451" i="4"/>
  <c r="H263" i="4"/>
  <c r="G263" i="4"/>
  <c r="F263" i="4"/>
  <c r="E263" i="4"/>
  <c r="H327" i="4"/>
  <c r="G327" i="4"/>
  <c r="F327" i="4"/>
  <c r="E327" i="4"/>
  <c r="H391" i="4"/>
  <c r="G391" i="4"/>
  <c r="F391" i="4"/>
  <c r="E391" i="4"/>
  <c r="H455" i="4"/>
  <c r="G455" i="4"/>
  <c r="F455" i="4"/>
  <c r="E455" i="4"/>
  <c r="H492" i="4"/>
  <c r="G492" i="4"/>
  <c r="F492" i="4"/>
  <c r="E492" i="4"/>
  <c r="H476" i="4"/>
  <c r="G476" i="4"/>
  <c r="F476" i="4"/>
  <c r="E476" i="4"/>
  <c r="H460" i="4"/>
  <c r="G460" i="4"/>
  <c r="F460" i="4"/>
  <c r="E460" i="4"/>
  <c r="H444" i="4"/>
  <c r="G444" i="4"/>
  <c r="F444" i="4"/>
  <c r="E444" i="4"/>
  <c r="H428" i="4"/>
  <c r="G428" i="4"/>
  <c r="F428" i="4"/>
  <c r="E428" i="4"/>
  <c r="H412" i="4"/>
  <c r="G412" i="4"/>
  <c r="F412" i="4"/>
  <c r="E412" i="4"/>
  <c r="H396" i="4"/>
  <c r="G396" i="4"/>
  <c r="F396" i="4"/>
  <c r="E396" i="4"/>
  <c r="H380" i="4"/>
  <c r="G380" i="4"/>
  <c r="F380" i="4"/>
  <c r="E380" i="4"/>
  <c r="H364" i="4"/>
  <c r="G364" i="4"/>
  <c r="F364" i="4"/>
  <c r="E364" i="4"/>
  <c r="H348" i="4"/>
  <c r="G348" i="4"/>
  <c r="F348" i="4"/>
  <c r="E348" i="4"/>
  <c r="H332" i="4"/>
  <c r="G332" i="4"/>
  <c r="F332" i="4"/>
  <c r="E332" i="4"/>
  <c r="H316" i="4"/>
  <c r="G316" i="4"/>
  <c r="F316" i="4"/>
  <c r="E316" i="4"/>
  <c r="H300" i="4"/>
  <c r="G300" i="4"/>
  <c r="F300" i="4"/>
  <c r="E300" i="4"/>
  <c r="H284" i="4"/>
  <c r="G284" i="4"/>
  <c r="F284" i="4"/>
  <c r="E284" i="4"/>
  <c r="H268" i="4"/>
  <c r="G268" i="4"/>
  <c r="F268" i="4"/>
  <c r="E268" i="4"/>
  <c r="H252" i="4"/>
  <c r="G252" i="4"/>
  <c r="F252" i="4"/>
  <c r="E252" i="4"/>
  <c r="H240" i="4"/>
  <c r="G240" i="4"/>
  <c r="F240" i="4"/>
  <c r="E240" i="4"/>
  <c r="H232" i="4"/>
  <c r="G232" i="4"/>
  <c r="F232" i="4"/>
  <c r="E232" i="4"/>
  <c r="H224" i="4"/>
  <c r="G224" i="4"/>
  <c r="F224" i="4"/>
  <c r="E224" i="4"/>
  <c r="H216" i="4"/>
  <c r="G216" i="4"/>
  <c r="F216" i="4"/>
  <c r="E216" i="4"/>
  <c r="H208" i="4"/>
  <c r="G208" i="4"/>
  <c r="F208" i="4"/>
  <c r="E208" i="4"/>
  <c r="H200" i="4"/>
  <c r="G200" i="4"/>
  <c r="F200" i="4"/>
  <c r="E200" i="4"/>
  <c r="H192" i="4"/>
  <c r="G192" i="4"/>
  <c r="F192" i="4"/>
  <c r="E192" i="4"/>
  <c r="H184" i="4"/>
  <c r="G184" i="4"/>
  <c r="F184" i="4"/>
  <c r="E184" i="4"/>
  <c r="H176" i="4"/>
  <c r="G176" i="4"/>
  <c r="F176" i="4"/>
  <c r="E176" i="4"/>
  <c r="H168" i="4"/>
  <c r="G168" i="4"/>
  <c r="F168" i="4"/>
  <c r="E168" i="4"/>
  <c r="H160" i="4"/>
  <c r="G160" i="4"/>
  <c r="F160" i="4"/>
  <c r="E160" i="4"/>
  <c r="H152" i="4"/>
  <c r="G152" i="4"/>
  <c r="F152" i="4"/>
  <c r="E152" i="4"/>
  <c r="H144" i="4"/>
  <c r="G144" i="4"/>
  <c r="F144" i="4"/>
  <c r="E144" i="4"/>
  <c r="H136" i="4"/>
  <c r="G136" i="4"/>
  <c r="F136" i="4"/>
  <c r="E136" i="4"/>
  <c r="H128" i="4"/>
  <c r="G128" i="4"/>
  <c r="F128" i="4"/>
  <c r="E128" i="4"/>
  <c r="H120" i="4"/>
  <c r="G120" i="4"/>
  <c r="F120" i="4"/>
  <c r="E120" i="4"/>
  <c r="H5" i="4"/>
  <c r="G5" i="4"/>
  <c r="F5" i="4"/>
  <c r="E5" i="4"/>
  <c r="H13" i="4"/>
  <c r="G13" i="4"/>
  <c r="F13" i="4"/>
  <c r="E13" i="4"/>
  <c r="H21" i="4"/>
  <c r="G21" i="4"/>
  <c r="F21" i="4"/>
  <c r="E21" i="4"/>
  <c r="H29" i="4"/>
  <c r="G29" i="4"/>
  <c r="F29" i="4"/>
  <c r="E29" i="4"/>
  <c r="H37" i="4"/>
  <c r="G37" i="4"/>
  <c r="F37" i="4"/>
  <c r="E37" i="4"/>
  <c r="H45" i="4"/>
  <c r="G45" i="4"/>
  <c r="F45" i="4"/>
  <c r="E45" i="4"/>
  <c r="H53" i="4"/>
  <c r="G53" i="4"/>
  <c r="F53" i="4"/>
  <c r="E53" i="4"/>
  <c r="H61" i="4"/>
  <c r="G61" i="4"/>
  <c r="F61" i="4"/>
  <c r="E61" i="4"/>
  <c r="H69" i="4"/>
  <c r="G69" i="4"/>
  <c r="F69" i="4"/>
  <c r="E69" i="4"/>
  <c r="H77" i="4"/>
  <c r="G77" i="4"/>
  <c r="F77" i="4"/>
  <c r="E77" i="4"/>
  <c r="H85" i="4"/>
  <c r="G85" i="4"/>
  <c r="F85" i="4"/>
  <c r="E85" i="4"/>
  <c r="H93" i="4"/>
  <c r="G93" i="4"/>
  <c r="F93" i="4"/>
  <c r="E93" i="4"/>
  <c r="H101" i="4"/>
  <c r="G101" i="4"/>
  <c r="F101" i="4"/>
  <c r="E101" i="4"/>
  <c r="H109" i="4"/>
  <c r="G109" i="4"/>
  <c r="F109" i="4"/>
  <c r="E109" i="4"/>
  <c r="H249" i="4"/>
  <c r="G249" i="4"/>
  <c r="F249" i="4"/>
  <c r="E249" i="4"/>
  <c r="H281" i="4"/>
  <c r="G281" i="4"/>
  <c r="F281" i="4"/>
  <c r="E281" i="4"/>
  <c r="H313" i="4"/>
  <c r="G313" i="4"/>
  <c r="F313" i="4"/>
  <c r="E313" i="4"/>
  <c r="H345" i="4"/>
  <c r="G345" i="4"/>
  <c r="F345" i="4"/>
  <c r="E345" i="4"/>
  <c r="H377" i="4"/>
  <c r="G377" i="4"/>
  <c r="F377" i="4"/>
  <c r="E377" i="4"/>
  <c r="H409" i="4"/>
  <c r="G409" i="4"/>
  <c r="F409" i="4"/>
  <c r="E409" i="4"/>
  <c r="H441" i="4"/>
  <c r="G441" i="4"/>
  <c r="F441" i="4"/>
  <c r="E441" i="4"/>
  <c r="H473" i="4"/>
  <c r="G473" i="4"/>
  <c r="F473" i="4"/>
  <c r="E473" i="4"/>
  <c r="H500" i="4"/>
  <c r="G500" i="4"/>
  <c r="F500" i="4"/>
  <c r="E500" i="4"/>
  <c r="H299" i="4"/>
  <c r="G299" i="4"/>
  <c r="F299" i="4"/>
  <c r="E299" i="4"/>
  <c r="H363" i="4"/>
  <c r="G363" i="4"/>
  <c r="F363" i="4"/>
  <c r="E363" i="4"/>
  <c r="H427" i="4"/>
  <c r="G427" i="4"/>
  <c r="F427" i="4"/>
  <c r="E427" i="4"/>
  <c r="H491" i="4"/>
  <c r="G491" i="4"/>
  <c r="F491" i="4"/>
  <c r="E491" i="4"/>
  <c r="H303" i="4"/>
  <c r="G303" i="4"/>
  <c r="F303" i="4"/>
  <c r="E303" i="4"/>
  <c r="H367" i="4"/>
  <c r="G367" i="4"/>
  <c r="F367" i="4"/>
  <c r="E367" i="4"/>
  <c r="H431" i="4"/>
  <c r="G431" i="4"/>
  <c r="F431" i="4"/>
  <c r="E431" i="4"/>
  <c r="H498" i="4"/>
  <c r="G498" i="4"/>
  <c r="F498" i="4"/>
  <c r="E498" i="4"/>
  <c r="H482" i="4"/>
  <c r="G482" i="4"/>
  <c r="F482" i="4"/>
  <c r="E482" i="4"/>
  <c r="H466" i="4"/>
  <c r="F466" i="4"/>
  <c r="G466" i="4"/>
  <c r="E466" i="4"/>
  <c r="H450" i="4"/>
  <c r="F450" i="4"/>
  <c r="G450" i="4"/>
  <c r="E450" i="4"/>
  <c r="H434" i="4"/>
  <c r="F434" i="4"/>
  <c r="G434" i="4"/>
  <c r="E434" i="4"/>
  <c r="H418" i="4"/>
  <c r="F418" i="4"/>
  <c r="G418" i="4"/>
  <c r="E418" i="4"/>
  <c r="H402" i="4"/>
  <c r="G402" i="4"/>
  <c r="F402" i="4"/>
  <c r="E402" i="4"/>
  <c r="H386" i="4"/>
  <c r="G386" i="4"/>
  <c r="F386" i="4"/>
  <c r="E386" i="4"/>
  <c r="H370" i="4"/>
  <c r="G370" i="4"/>
  <c r="F370" i="4"/>
  <c r="E370" i="4"/>
  <c r="H354" i="4"/>
  <c r="G354" i="4"/>
  <c r="F354" i="4"/>
  <c r="E354" i="4"/>
  <c r="H338" i="4"/>
  <c r="G338" i="4"/>
  <c r="F338" i="4"/>
  <c r="E338" i="4"/>
  <c r="H322" i="4"/>
  <c r="G322" i="4"/>
  <c r="F322" i="4"/>
  <c r="E322" i="4"/>
  <c r="H306" i="4"/>
  <c r="G306" i="4"/>
  <c r="F306" i="4"/>
  <c r="E306" i="4"/>
  <c r="H290" i="4"/>
  <c r="G290" i="4"/>
  <c r="F290" i="4"/>
  <c r="E290" i="4"/>
  <c r="H274" i="4"/>
  <c r="G274" i="4"/>
  <c r="F274" i="4"/>
  <c r="E274" i="4"/>
  <c r="H258" i="4"/>
  <c r="G258" i="4"/>
  <c r="F258" i="4"/>
  <c r="E258" i="4"/>
  <c r="H243" i="4"/>
  <c r="G243" i="4"/>
  <c r="F243" i="4"/>
  <c r="E243" i="4"/>
  <c r="H235" i="4"/>
  <c r="G235" i="4"/>
  <c r="F235" i="4"/>
  <c r="E235" i="4"/>
  <c r="H227" i="4"/>
  <c r="G227" i="4"/>
  <c r="F227" i="4"/>
  <c r="E227" i="4"/>
  <c r="H219" i="4"/>
  <c r="G219" i="4"/>
  <c r="F219" i="4"/>
  <c r="E219" i="4"/>
  <c r="H211" i="4"/>
  <c r="G211" i="4"/>
  <c r="F211" i="4"/>
  <c r="E211" i="4"/>
  <c r="H203" i="4"/>
  <c r="G203" i="4"/>
  <c r="F203" i="4"/>
  <c r="E203" i="4"/>
  <c r="H195" i="4"/>
  <c r="G195" i="4"/>
  <c r="F195" i="4"/>
  <c r="E195" i="4"/>
  <c r="H187" i="4"/>
  <c r="G187" i="4"/>
  <c r="F187" i="4"/>
  <c r="E187" i="4"/>
  <c r="H179" i="4"/>
  <c r="G179" i="4"/>
  <c r="E179" i="4"/>
  <c r="F179" i="4"/>
  <c r="H171" i="4"/>
  <c r="G171" i="4"/>
  <c r="E171" i="4"/>
  <c r="F171" i="4"/>
  <c r="H163" i="4"/>
  <c r="G163" i="4"/>
  <c r="E163" i="4"/>
  <c r="F163" i="4"/>
  <c r="H155" i="4"/>
  <c r="G155" i="4"/>
  <c r="E155" i="4"/>
  <c r="F155" i="4"/>
  <c r="H147" i="4"/>
  <c r="G147" i="4"/>
  <c r="E147" i="4"/>
  <c r="F147" i="4"/>
  <c r="H139" i="4"/>
  <c r="G139" i="4"/>
  <c r="E139" i="4"/>
  <c r="F139" i="4"/>
  <c r="H131" i="4"/>
  <c r="G131" i="4"/>
  <c r="E131" i="4"/>
  <c r="F131" i="4"/>
  <c r="H123" i="4"/>
  <c r="G123" i="4"/>
  <c r="E123" i="4"/>
  <c r="F123" i="4"/>
  <c r="H2" i="4"/>
  <c r="G2" i="4"/>
  <c r="F2" i="4"/>
  <c r="E2" i="4"/>
  <c r="H10" i="4"/>
  <c r="G10" i="4"/>
  <c r="F10" i="4"/>
  <c r="E10" i="4"/>
  <c r="H18" i="4"/>
  <c r="G18" i="4"/>
  <c r="F18" i="4"/>
  <c r="E18" i="4"/>
  <c r="H26" i="4"/>
  <c r="G26" i="4"/>
  <c r="F26" i="4"/>
  <c r="E26" i="4"/>
  <c r="H34" i="4"/>
  <c r="G34" i="4"/>
  <c r="F34" i="4"/>
  <c r="E34" i="4"/>
  <c r="H42" i="4"/>
  <c r="G42" i="4"/>
  <c r="F42" i="4"/>
  <c r="E42" i="4"/>
  <c r="H50" i="4"/>
  <c r="G50" i="4"/>
  <c r="F50" i="4"/>
  <c r="E50" i="4"/>
  <c r="H58" i="4"/>
  <c r="G58" i="4"/>
  <c r="F58" i="4"/>
  <c r="E58" i="4"/>
  <c r="H66" i="4"/>
  <c r="G66" i="4"/>
  <c r="F66" i="4"/>
  <c r="E66" i="4"/>
  <c r="H74" i="4"/>
  <c r="G74" i="4"/>
  <c r="F74" i="4"/>
  <c r="E74" i="4"/>
  <c r="H82" i="4"/>
  <c r="G82" i="4"/>
  <c r="F82" i="4"/>
  <c r="E82" i="4"/>
  <c r="H90" i="4"/>
  <c r="G90" i="4"/>
  <c r="F90" i="4"/>
  <c r="E90" i="4"/>
  <c r="H98" i="4"/>
  <c r="G98" i="4"/>
  <c r="F98" i="4"/>
  <c r="E98" i="4"/>
  <c r="H106" i="4"/>
  <c r="G106" i="4"/>
  <c r="F106" i="4"/>
  <c r="E106" i="4"/>
  <c r="H114" i="4"/>
  <c r="G114" i="4"/>
  <c r="F114" i="4"/>
  <c r="E114" i="4"/>
  <c r="H269" i="4"/>
  <c r="G269" i="4"/>
  <c r="F269" i="4"/>
  <c r="E269" i="4"/>
  <c r="H301" i="4"/>
  <c r="G301" i="4"/>
  <c r="F301" i="4"/>
  <c r="E301" i="4"/>
  <c r="H333" i="4"/>
  <c r="G333" i="4"/>
  <c r="F333" i="4"/>
  <c r="E333" i="4"/>
  <c r="H365" i="4"/>
  <c r="G365" i="4"/>
  <c r="F365" i="4"/>
  <c r="E365" i="4"/>
  <c r="H397" i="4"/>
  <c r="G397" i="4"/>
  <c r="F397" i="4"/>
  <c r="E397" i="4"/>
  <c r="H429" i="4"/>
  <c r="G429" i="4"/>
  <c r="F429" i="4"/>
  <c r="E429" i="4"/>
  <c r="H461" i="4"/>
  <c r="G461" i="4"/>
  <c r="F461" i="4"/>
  <c r="E461" i="4"/>
  <c r="H493" i="4"/>
  <c r="G493" i="4"/>
  <c r="F493" i="4"/>
  <c r="E493" i="4"/>
  <c r="H275" i="4"/>
  <c r="G275" i="4"/>
  <c r="F275" i="4"/>
  <c r="E275" i="4"/>
  <c r="H339" i="4"/>
  <c r="G339" i="4"/>
  <c r="F339" i="4"/>
  <c r="E339" i="4"/>
  <c r="H403" i="4"/>
  <c r="G403" i="4"/>
  <c r="F403" i="4"/>
  <c r="E403" i="4"/>
  <c r="H467" i="4"/>
  <c r="G467" i="4"/>
  <c r="F467" i="4"/>
  <c r="E467" i="4"/>
  <c r="H279" i="4"/>
  <c r="G279" i="4"/>
  <c r="F279" i="4"/>
  <c r="E279" i="4"/>
  <c r="H343" i="4"/>
  <c r="G343" i="4"/>
  <c r="F343" i="4"/>
  <c r="E343" i="4"/>
  <c r="H407" i="4"/>
  <c r="G407" i="4"/>
  <c r="F407" i="4"/>
  <c r="E407" i="4"/>
  <c r="H471" i="4"/>
  <c r="G471" i="4"/>
  <c r="F471" i="4"/>
  <c r="E471" i="4"/>
  <c r="H488" i="4"/>
  <c r="G488" i="4"/>
  <c r="F488" i="4"/>
  <c r="E488" i="4"/>
  <c r="H472" i="4"/>
  <c r="G472" i="4"/>
  <c r="F472" i="4"/>
  <c r="E472" i="4"/>
  <c r="H456" i="4"/>
  <c r="G456" i="4"/>
  <c r="F456" i="4"/>
  <c r="E456" i="4"/>
  <c r="H440" i="4"/>
  <c r="G440" i="4"/>
  <c r="F440" i="4"/>
  <c r="E440" i="4"/>
  <c r="H424" i="4"/>
  <c r="G424" i="4"/>
  <c r="F424" i="4"/>
  <c r="E424" i="4"/>
  <c r="H408" i="4"/>
  <c r="G408" i="4"/>
  <c r="F408" i="4"/>
  <c r="E408" i="4"/>
  <c r="H392" i="4"/>
  <c r="G392" i="4"/>
  <c r="F392" i="4"/>
  <c r="E392" i="4"/>
  <c r="H376" i="4"/>
  <c r="G376" i="4"/>
  <c r="F376" i="4"/>
  <c r="E376" i="4"/>
  <c r="H360" i="4"/>
  <c r="G360" i="4"/>
  <c r="F360" i="4"/>
  <c r="E360" i="4"/>
  <c r="H344" i="4"/>
  <c r="G344" i="4"/>
  <c r="F344" i="4"/>
  <c r="E344" i="4"/>
  <c r="H328" i="4"/>
  <c r="G328" i="4"/>
  <c r="F328" i="4"/>
  <c r="E328" i="4"/>
  <c r="H312" i="4"/>
  <c r="G312" i="4"/>
  <c r="F312" i="4"/>
  <c r="E312" i="4"/>
  <c r="H296" i="4"/>
  <c r="G296" i="4"/>
  <c r="F296" i="4"/>
  <c r="E296" i="4"/>
  <c r="H280" i="4"/>
  <c r="G280" i="4"/>
  <c r="F280" i="4"/>
  <c r="E280" i="4"/>
  <c r="H264" i="4"/>
  <c r="G264" i="4"/>
  <c r="F264" i="4"/>
  <c r="E264" i="4"/>
  <c r="H248" i="4"/>
  <c r="G248" i="4"/>
  <c r="F248" i="4"/>
  <c r="E248" i="4"/>
  <c r="H238" i="4"/>
  <c r="G238" i="4"/>
  <c r="F238" i="4"/>
  <c r="E238" i="4"/>
  <c r="H230" i="4"/>
  <c r="G230" i="4"/>
  <c r="F230" i="4"/>
  <c r="E230" i="4"/>
  <c r="H222" i="4"/>
  <c r="G222" i="4"/>
  <c r="F222" i="4"/>
  <c r="E222" i="4"/>
  <c r="H214" i="4"/>
  <c r="G214" i="4"/>
  <c r="F214" i="4"/>
  <c r="E214" i="4"/>
  <c r="H206" i="4"/>
  <c r="G206" i="4"/>
  <c r="F206" i="4"/>
  <c r="E206" i="4"/>
  <c r="H198" i="4"/>
  <c r="G198" i="4"/>
  <c r="F198" i="4"/>
  <c r="E198" i="4"/>
  <c r="H190" i="4"/>
  <c r="G190" i="4"/>
  <c r="F190" i="4"/>
  <c r="E190" i="4"/>
  <c r="H182" i="4"/>
  <c r="G182" i="4"/>
  <c r="F182" i="4"/>
  <c r="E182" i="4"/>
  <c r="H174" i="4"/>
  <c r="G174" i="4"/>
  <c r="F174" i="4"/>
  <c r="E174" i="4"/>
  <c r="H166" i="4"/>
  <c r="G166" i="4"/>
  <c r="F166" i="4"/>
  <c r="E166" i="4"/>
  <c r="H158" i="4"/>
  <c r="G158" i="4"/>
  <c r="F158" i="4"/>
  <c r="E158" i="4"/>
  <c r="H150" i="4"/>
  <c r="G150" i="4"/>
  <c r="F150" i="4"/>
  <c r="E150" i="4"/>
  <c r="H142" i="4"/>
  <c r="G142" i="4"/>
  <c r="F142" i="4"/>
  <c r="E142" i="4"/>
  <c r="H134" i="4"/>
  <c r="G134" i="4"/>
  <c r="F134" i="4"/>
  <c r="E134" i="4"/>
  <c r="H126" i="4"/>
  <c r="G126" i="4"/>
  <c r="F126" i="4"/>
  <c r="E126" i="4"/>
  <c r="H118" i="4"/>
  <c r="G118" i="4"/>
  <c r="F118" i="4"/>
  <c r="E118" i="4"/>
  <c r="H7" i="4"/>
  <c r="G7" i="4"/>
  <c r="E7" i="4"/>
  <c r="F7" i="4"/>
  <c r="H15" i="4"/>
  <c r="G15" i="4"/>
  <c r="E15" i="4"/>
  <c r="F15" i="4"/>
  <c r="H23" i="4"/>
  <c r="G23" i="4"/>
  <c r="E23" i="4"/>
  <c r="F23" i="4"/>
  <c r="H31" i="4"/>
  <c r="G31" i="4"/>
  <c r="E31" i="4"/>
  <c r="F31" i="4"/>
  <c r="H39" i="4"/>
  <c r="G39" i="4"/>
  <c r="E39" i="4"/>
  <c r="F39" i="4"/>
  <c r="H47" i="4"/>
  <c r="G47" i="4"/>
  <c r="E47" i="4"/>
  <c r="F47" i="4"/>
  <c r="H55" i="4"/>
  <c r="G55" i="4"/>
  <c r="E55" i="4"/>
  <c r="F55" i="4"/>
  <c r="H63" i="4"/>
  <c r="G63" i="4"/>
  <c r="E63" i="4"/>
  <c r="F63" i="4"/>
  <c r="H71" i="4"/>
  <c r="G71" i="4"/>
  <c r="E71" i="4"/>
  <c r="F71" i="4"/>
  <c r="H79" i="4"/>
  <c r="G79" i="4"/>
  <c r="E79" i="4"/>
  <c r="F79" i="4"/>
  <c r="H87" i="4"/>
  <c r="G87" i="4"/>
  <c r="E87" i="4"/>
  <c r="F87" i="4"/>
  <c r="H95" i="4"/>
  <c r="G95" i="4"/>
  <c r="E95" i="4"/>
  <c r="F95" i="4"/>
  <c r="H103" i="4"/>
  <c r="G103" i="4"/>
  <c r="E103" i="4"/>
  <c r="F103" i="4"/>
  <c r="H111" i="4"/>
  <c r="G111" i="4"/>
  <c r="E111" i="4"/>
  <c r="F111" i="4"/>
  <c r="H257" i="4"/>
  <c r="G257" i="4"/>
  <c r="F257" i="4"/>
  <c r="E257" i="4"/>
  <c r="H289" i="4"/>
  <c r="G289" i="4"/>
  <c r="F289" i="4"/>
  <c r="E289" i="4"/>
  <c r="H321" i="4"/>
  <c r="G321" i="4"/>
  <c r="F321" i="4"/>
  <c r="E321" i="4"/>
  <c r="H353" i="4"/>
  <c r="G353" i="4"/>
  <c r="F353" i="4"/>
  <c r="E353" i="4"/>
  <c r="H385" i="4"/>
  <c r="G385" i="4"/>
  <c r="F385" i="4"/>
  <c r="E385" i="4"/>
  <c r="H417" i="4"/>
  <c r="G417" i="4"/>
  <c r="F417" i="4"/>
  <c r="E417" i="4"/>
  <c r="H449" i="4"/>
  <c r="G449" i="4"/>
  <c r="F449" i="4"/>
  <c r="E449" i="4"/>
  <c r="H481" i="4"/>
  <c r="G481" i="4"/>
  <c r="F481" i="4"/>
  <c r="E481" i="4"/>
  <c r="H251" i="4"/>
  <c r="G251" i="4"/>
  <c r="F251" i="4"/>
  <c r="E251" i="4"/>
  <c r="H315" i="4"/>
  <c r="G315" i="4"/>
  <c r="F315" i="4"/>
  <c r="E315" i="4"/>
  <c r="H379" i="4"/>
  <c r="G379" i="4"/>
  <c r="F379" i="4"/>
  <c r="E379" i="4"/>
  <c r="H443" i="4"/>
  <c r="G443" i="4"/>
  <c r="F443" i="4"/>
  <c r="E443" i="4"/>
  <c r="H255" i="4"/>
  <c r="G255" i="4"/>
  <c r="F255" i="4"/>
  <c r="E255" i="4"/>
  <c r="H319" i="4"/>
  <c r="G319" i="4"/>
  <c r="F319" i="4"/>
  <c r="E319" i="4"/>
  <c r="H383" i="4"/>
  <c r="G383" i="4"/>
  <c r="F383" i="4"/>
  <c r="E383" i="4"/>
  <c r="H447" i="4"/>
  <c r="G447" i="4"/>
  <c r="F447" i="4"/>
  <c r="E447" i="4"/>
  <c r="H494" i="4"/>
  <c r="G494" i="4"/>
  <c r="F494" i="4"/>
  <c r="E494" i="4"/>
  <c r="H478" i="4"/>
  <c r="G478" i="4"/>
  <c r="F478" i="4"/>
  <c r="E478" i="4"/>
  <c r="H462" i="4"/>
  <c r="F462" i="4"/>
  <c r="G462" i="4"/>
  <c r="E462" i="4"/>
  <c r="H446" i="4"/>
  <c r="F446" i="4"/>
  <c r="G446" i="4"/>
  <c r="E446" i="4"/>
  <c r="H430" i="4"/>
  <c r="F430" i="4"/>
  <c r="G430" i="4"/>
  <c r="E430" i="4"/>
  <c r="H414" i="4"/>
  <c r="G414" i="4"/>
  <c r="F414" i="4"/>
  <c r="E414" i="4"/>
  <c r="H398" i="4"/>
  <c r="G398" i="4"/>
  <c r="F398" i="4"/>
  <c r="E398" i="4"/>
  <c r="H382" i="4"/>
  <c r="G382" i="4"/>
  <c r="F382" i="4"/>
  <c r="E382" i="4"/>
  <c r="H366" i="4"/>
  <c r="G366" i="4"/>
  <c r="F366" i="4"/>
  <c r="E366" i="4"/>
  <c r="H350" i="4"/>
  <c r="G350" i="4"/>
  <c r="F350" i="4"/>
  <c r="E350" i="4"/>
  <c r="H334" i="4"/>
  <c r="G334" i="4"/>
  <c r="F334" i="4"/>
  <c r="E334" i="4"/>
  <c r="H318" i="4"/>
  <c r="G318" i="4"/>
  <c r="F318" i="4"/>
  <c r="E318" i="4"/>
  <c r="H302" i="4"/>
  <c r="G302" i="4"/>
  <c r="F302" i="4"/>
  <c r="E302" i="4"/>
  <c r="H286" i="4"/>
  <c r="G286" i="4"/>
  <c r="F286" i="4"/>
  <c r="E286" i="4"/>
  <c r="H270" i="4"/>
  <c r="G270" i="4"/>
  <c r="F270" i="4"/>
  <c r="E270" i="4"/>
  <c r="H254" i="4"/>
  <c r="G254" i="4"/>
  <c r="F254" i="4"/>
  <c r="E254" i="4"/>
  <c r="H241" i="4"/>
  <c r="G241" i="4"/>
  <c r="F241" i="4"/>
  <c r="E241" i="4"/>
  <c r="H233" i="4"/>
  <c r="G233" i="4"/>
  <c r="F233" i="4"/>
  <c r="E233" i="4"/>
  <c r="H225" i="4"/>
  <c r="G225" i="4"/>
  <c r="F225" i="4"/>
  <c r="E225" i="4"/>
  <c r="H217" i="4"/>
  <c r="G217" i="4"/>
  <c r="F217" i="4"/>
  <c r="E217" i="4"/>
  <c r="H209" i="4"/>
  <c r="G209" i="4"/>
  <c r="F209" i="4"/>
  <c r="E209" i="4"/>
  <c r="H201" i="4"/>
  <c r="G201" i="4"/>
  <c r="F201" i="4"/>
  <c r="E201" i="4"/>
  <c r="H193" i="4"/>
  <c r="G193" i="4"/>
  <c r="F193" i="4"/>
  <c r="E193" i="4"/>
  <c r="H185" i="4"/>
  <c r="G185" i="4"/>
  <c r="F185" i="4"/>
  <c r="E185" i="4"/>
  <c r="H177" i="4"/>
  <c r="G177" i="4"/>
  <c r="F177" i="4"/>
  <c r="E177" i="4"/>
  <c r="H169" i="4"/>
  <c r="G169" i="4"/>
  <c r="F169" i="4"/>
  <c r="E169" i="4"/>
  <c r="H161" i="4"/>
  <c r="G161" i="4"/>
  <c r="F161" i="4"/>
  <c r="E161" i="4"/>
  <c r="H153" i="4"/>
  <c r="G153" i="4"/>
  <c r="F153" i="4"/>
  <c r="E153" i="4"/>
  <c r="H145" i="4"/>
  <c r="G145" i="4"/>
  <c r="F145" i="4"/>
  <c r="E145" i="4"/>
  <c r="H137" i="4"/>
  <c r="G137" i="4"/>
  <c r="F137" i="4"/>
  <c r="E137" i="4"/>
  <c r="H129" i="4"/>
  <c r="G129" i="4"/>
  <c r="F129" i="4"/>
  <c r="E129" i="4"/>
  <c r="H121" i="4"/>
  <c r="G121" i="4"/>
  <c r="F121" i="4"/>
  <c r="E121" i="4"/>
  <c r="H4" i="4"/>
  <c r="G4" i="4"/>
  <c r="F4" i="4"/>
  <c r="E4" i="4"/>
  <c r="H12" i="4"/>
  <c r="G12" i="4"/>
  <c r="F12" i="4"/>
  <c r="E12" i="4"/>
  <c r="H20" i="4"/>
  <c r="G20" i="4"/>
  <c r="F20" i="4"/>
  <c r="E20" i="4"/>
  <c r="H28" i="4"/>
  <c r="G28" i="4"/>
  <c r="F28" i="4"/>
  <c r="E28" i="4"/>
  <c r="H36" i="4"/>
  <c r="G36" i="4"/>
  <c r="F36" i="4"/>
  <c r="E36" i="4"/>
  <c r="H44" i="4"/>
  <c r="G44" i="4"/>
  <c r="F44" i="4"/>
  <c r="E44" i="4"/>
  <c r="H52" i="4"/>
  <c r="G52" i="4"/>
  <c r="F52" i="4"/>
  <c r="E52" i="4"/>
  <c r="H60" i="4"/>
  <c r="G60" i="4"/>
  <c r="F60" i="4"/>
  <c r="E60" i="4"/>
  <c r="H68" i="4"/>
  <c r="G68" i="4"/>
  <c r="F68" i="4"/>
  <c r="E68" i="4"/>
  <c r="H76" i="4"/>
  <c r="G76" i="4"/>
  <c r="F76" i="4"/>
  <c r="E76" i="4"/>
  <c r="H84" i="4"/>
  <c r="G84" i="4"/>
  <c r="F84" i="4"/>
  <c r="E84" i="4"/>
  <c r="H92" i="4"/>
  <c r="G92" i="4"/>
  <c r="F92" i="4"/>
  <c r="E92" i="4"/>
  <c r="H100" i="4"/>
  <c r="G100" i="4"/>
  <c r="F100" i="4"/>
  <c r="E100" i="4"/>
  <c r="H108" i="4"/>
  <c r="G108" i="4"/>
  <c r="F108" i="4"/>
  <c r="E108" i="4"/>
  <c r="H245" i="4"/>
  <c r="G245" i="4"/>
  <c r="F245" i="4"/>
  <c r="E245" i="4"/>
  <c r="H277" i="4"/>
  <c r="G277" i="4"/>
  <c r="F277" i="4"/>
  <c r="E277" i="4"/>
  <c r="H309" i="4"/>
  <c r="G309" i="4"/>
  <c r="F309" i="4"/>
  <c r="E309" i="4"/>
  <c r="H341" i="4"/>
  <c r="G341" i="4"/>
  <c r="F341" i="4"/>
  <c r="E341" i="4"/>
  <c r="H373" i="4"/>
  <c r="G373" i="4"/>
  <c r="F373" i="4"/>
  <c r="E373" i="4"/>
  <c r="H405" i="4"/>
  <c r="G405" i="4"/>
  <c r="F405" i="4"/>
  <c r="E405" i="4"/>
  <c r="H437" i="4"/>
  <c r="G437" i="4"/>
  <c r="F437" i="4"/>
  <c r="E437" i="4"/>
  <c r="H469" i="4"/>
  <c r="G469" i="4"/>
  <c r="F469" i="4"/>
  <c r="E469" i="4"/>
  <c r="H501" i="4"/>
  <c r="G501" i="4"/>
  <c r="F501" i="4"/>
  <c r="E501" i="4"/>
  <c r="G495" i="6"/>
  <c r="H291" i="4"/>
  <c r="G291" i="4"/>
  <c r="F291" i="4"/>
  <c r="E291" i="4"/>
  <c r="H355" i="4"/>
  <c r="G355" i="4"/>
  <c r="F355" i="4"/>
  <c r="E355" i="4"/>
  <c r="H419" i="4"/>
  <c r="G419" i="4"/>
  <c r="F419" i="4"/>
  <c r="E419" i="4"/>
  <c r="H483" i="4"/>
  <c r="G483" i="4"/>
  <c r="F483" i="4"/>
  <c r="E483" i="4"/>
  <c r="H295" i="4"/>
  <c r="G295" i="4"/>
  <c r="F295" i="4"/>
  <c r="E295" i="4"/>
  <c r="H359" i="4"/>
  <c r="G359" i="4"/>
  <c r="F359" i="4"/>
  <c r="E359" i="4"/>
  <c r="H423" i="4"/>
  <c r="G423" i="4"/>
  <c r="F423" i="4"/>
  <c r="E423" i="4"/>
  <c r="H487" i="4"/>
  <c r="G487" i="4"/>
  <c r="F487" i="4"/>
  <c r="E487" i="4"/>
  <c r="H484" i="4"/>
  <c r="G484" i="4"/>
  <c r="F484" i="4"/>
  <c r="E484" i="4"/>
  <c r="H468" i="4"/>
  <c r="G468" i="4"/>
  <c r="F468" i="4"/>
  <c r="E468" i="4"/>
  <c r="H452" i="4"/>
  <c r="G452" i="4"/>
  <c r="F452" i="4"/>
  <c r="E452" i="4"/>
  <c r="H436" i="4"/>
  <c r="G436" i="4"/>
  <c r="F436" i="4"/>
  <c r="E436" i="4"/>
  <c r="H420" i="4"/>
  <c r="G420" i="4"/>
  <c r="F420" i="4"/>
  <c r="E420" i="4"/>
  <c r="H404" i="4"/>
  <c r="G404" i="4"/>
  <c r="F404" i="4"/>
  <c r="E404" i="4"/>
  <c r="H388" i="4"/>
  <c r="G388" i="4"/>
  <c r="F388" i="4"/>
  <c r="E388" i="4"/>
  <c r="H372" i="4"/>
  <c r="G372" i="4"/>
  <c r="F372" i="4"/>
  <c r="E372" i="4"/>
  <c r="H356" i="4"/>
  <c r="G356" i="4"/>
  <c r="F356" i="4"/>
  <c r="E356" i="4"/>
  <c r="H340" i="4"/>
  <c r="G340" i="4"/>
  <c r="F340" i="4"/>
  <c r="E340" i="4"/>
  <c r="H324" i="4"/>
  <c r="G324" i="4"/>
  <c r="F324" i="4"/>
  <c r="E324" i="4"/>
  <c r="H308" i="4"/>
  <c r="G308" i="4"/>
  <c r="F308" i="4"/>
  <c r="E308" i="4"/>
  <c r="H292" i="4"/>
  <c r="G292" i="4"/>
  <c r="F292" i="4"/>
  <c r="E292" i="4"/>
  <c r="H276" i="4"/>
  <c r="G276" i="4"/>
  <c r="F276" i="4"/>
  <c r="E276" i="4"/>
  <c r="H260" i="4"/>
  <c r="G260" i="4"/>
  <c r="F260" i="4"/>
  <c r="E260" i="4"/>
  <c r="H244" i="4"/>
  <c r="G244" i="4"/>
  <c r="F244" i="4"/>
  <c r="E244" i="4"/>
  <c r="H236" i="4"/>
  <c r="G236" i="4"/>
  <c r="F236" i="4"/>
  <c r="E236" i="4"/>
  <c r="H228" i="4"/>
  <c r="G228" i="4"/>
  <c r="F228" i="4"/>
  <c r="E228" i="4"/>
  <c r="H220" i="4"/>
  <c r="G220" i="4"/>
  <c r="F220" i="4"/>
  <c r="E220" i="4"/>
  <c r="H212" i="4"/>
  <c r="G212" i="4"/>
  <c r="F212" i="4"/>
  <c r="E212" i="4"/>
  <c r="H204" i="4"/>
  <c r="G204" i="4"/>
  <c r="F204" i="4"/>
  <c r="E204" i="4"/>
  <c r="H196" i="4"/>
  <c r="G196" i="4"/>
  <c r="F196" i="4"/>
  <c r="E196" i="4"/>
  <c r="H188" i="4"/>
  <c r="G188" i="4"/>
  <c r="F188" i="4"/>
  <c r="E188" i="4"/>
  <c r="H180" i="4"/>
  <c r="G180" i="4"/>
  <c r="F180" i="4"/>
  <c r="E180" i="4"/>
  <c r="H172" i="4"/>
  <c r="G172" i="4"/>
  <c r="F172" i="4"/>
  <c r="E172" i="4"/>
  <c r="H164" i="4"/>
  <c r="G164" i="4"/>
  <c r="F164" i="4"/>
  <c r="E164" i="4"/>
  <c r="H156" i="4"/>
  <c r="G156" i="4"/>
  <c r="F156" i="4"/>
  <c r="E156" i="4"/>
  <c r="H148" i="4"/>
  <c r="G148" i="4"/>
  <c r="F148" i="4"/>
  <c r="E148" i="4"/>
  <c r="H140" i="4"/>
  <c r="G140" i="4"/>
  <c r="F140" i="4"/>
  <c r="E140" i="4"/>
  <c r="H132" i="4"/>
  <c r="G132" i="4"/>
  <c r="F132" i="4"/>
  <c r="E132" i="4"/>
  <c r="H124" i="4"/>
  <c r="G124" i="4"/>
  <c r="F124" i="4"/>
  <c r="E124" i="4"/>
  <c r="H116" i="4"/>
  <c r="G116" i="4"/>
  <c r="F116" i="4"/>
  <c r="E116" i="4"/>
  <c r="H9" i="4"/>
  <c r="G9" i="4"/>
  <c r="F9" i="4"/>
  <c r="E9" i="4"/>
  <c r="H17" i="4"/>
  <c r="G17" i="4"/>
  <c r="F17" i="4"/>
  <c r="E17" i="4"/>
  <c r="H25" i="4"/>
  <c r="G25" i="4"/>
  <c r="F25" i="4"/>
  <c r="E25" i="4"/>
  <c r="H33" i="4"/>
  <c r="G33" i="4"/>
  <c r="F33" i="4"/>
  <c r="E33" i="4"/>
  <c r="H41" i="4"/>
  <c r="G41" i="4"/>
  <c r="F41" i="4"/>
  <c r="E41" i="4"/>
  <c r="H49" i="4"/>
  <c r="G49" i="4"/>
  <c r="F49" i="4"/>
  <c r="E49" i="4"/>
  <c r="H57" i="4"/>
  <c r="G57" i="4"/>
  <c r="F57" i="4"/>
  <c r="E57" i="4"/>
  <c r="H65" i="4"/>
  <c r="G65" i="4"/>
  <c r="F65" i="4"/>
  <c r="E65" i="4"/>
  <c r="H73" i="4"/>
  <c r="G73" i="4"/>
  <c r="F73" i="4"/>
  <c r="E73" i="4"/>
  <c r="H81" i="4"/>
  <c r="G81" i="4"/>
  <c r="F81" i="4"/>
  <c r="E81" i="4"/>
  <c r="H89" i="4"/>
  <c r="G89" i="4"/>
  <c r="F89" i="4"/>
  <c r="E89" i="4"/>
  <c r="H97" i="4"/>
  <c r="G97" i="4"/>
  <c r="F97" i="4"/>
  <c r="E97" i="4"/>
  <c r="H105" i="4"/>
  <c r="G105" i="4"/>
  <c r="F105" i="4"/>
  <c r="E105" i="4"/>
  <c r="H113" i="4"/>
  <c r="G113" i="4"/>
  <c r="F113" i="4"/>
  <c r="E113" i="4"/>
  <c r="H265" i="4"/>
  <c r="G265" i="4"/>
  <c r="F265" i="4"/>
  <c r="E265" i="4"/>
  <c r="H297" i="4"/>
  <c r="G297" i="4"/>
  <c r="F297" i="4"/>
  <c r="E297" i="4"/>
  <c r="H329" i="4"/>
  <c r="G329" i="4"/>
  <c r="F329" i="4"/>
  <c r="E329" i="4"/>
  <c r="H361" i="4"/>
  <c r="G361" i="4"/>
  <c r="F361" i="4"/>
  <c r="E361" i="4"/>
  <c r="H393" i="4"/>
  <c r="G393" i="4"/>
  <c r="F393" i="4"/>
  <c r="E393" i="4"/>
  <c r="H425" i="4"/>
  <c r="G425" i="4"/>
  <c r="F425" i="4"/>
  <c r="E425" i="4"/>
  <c r="H457" i="4"/>
  <c r="G457" i="4"/>
  <c r="F457" i="4"/>
  <c r="E457" i="4"/>
  <c r="H489" i="4"/>
  <c r="G489" i="4"/>
  <c r="F489" i="4"/>
  <c r="E489" i="4"/>
  <c r="H267" i="4"/>
  <c r="G267" i="4"/>
  <c r="F267" i="4"/>
  <c r="E267" i="4"/>
  <c r="H331" i="4"/>
  <c r="G331" i="4"/>
  <c r="F331" i="4"/>
  <c r="E331" i="4"/>
  <c r="H395" i="4"/>
  <c r="G395" i="4"/>
  <c r="F395" i="4"/>
  <c r="E395" i="4"/>
  <c r="H459" i="4"/>
  <c r="G459" i="4"/>
  <c r="F459" i="4"/>
  <c r="E459" i="4"/>
  <c r="H271" i="4"/>
  <c r="G271" i="4"/>
  <c r="F271" i="4"/>
  <c r="E271" i="4"/>
  <c r="H335" i="4"/>
  <c r="G335" i="4"/>
  <c r="F335" i="4"/>
  <c r="E335" i="4"/>
  <c r="H399" i="4"/>
  <c r="G399" i="4"/>
  <c r="F399" i="4"/>
  <c r="E399" i="4"/>
  <c r="H463" i="4"/>
  <c r="G463" i="4"/>
  <c r="F463" i="4"/>
  <c r="E463" i="4"/>
  <c r="H490" i="4"/>
  <c r="G490" i="4"/>
  <c r="F490" i="4"/>
  <c r="E490" i="4"/>
  <c r="H474" i="4"/>
  <c r="G474" i="4"/>
  <c r="F474" i="4"/>
  <c r="E474" i="4"/>
  <c r="H458" i="4"/>
  <c r="F458" i="4"/>
  <c r="G458" i="4"/>
  <c r="E458" i="4"/>
  <c r="H442" i="4"/>
  <c r="F442" i="4"/>
  <c r="G442" i="4"/>
  <c r="E442" i="4"/>
  <c r="H426" i="4"/>
  <c r="F426" i="4"/>
  <c r="G426" i="4"/>
  <c r="E426" i="4"/>
  <c r="H410" i="4"/>
  <c r="G410" i="4"/>
  <c r="F410" i="4"/>
  <c r="E410" i="4"/>
  <c r="H394" i="4"/>
  <c r="G394" i="4"/>
  <c r="F394" i="4"/>
  <c r="E394" i="4"/>
  <c r="H378" i="4"/>
  <c r="G378" i="4"/>
  <c r="F378" i="4"/>
  <c r="E378" i="4"/>
  <c r="H362" i="4"/>
  <c r="G362" i="4"/>
  <c r="F362" i="4"/>
  <c r="E362" i="4"/>
  <c r="H346" i="4"/>
  <c r="G346" i="4"/>
  <c r="F346" i="4"/>
  <c r="E346" i="4"/>
  <c r="H330" i="4"/>
  <c r="G330" i="4"/>
  <c r="F330" i="4"/>
  <c r="E330" i="4"/>
  <c r="H314" i="4"/>
  <c r="G314" i="4"/>
  <c r="F314" i="4"/>
  <c r="E314" i="4"/>
  <c r="H298" i="4"/>
  <c r="G298" i="4"/>
  <c r="F298" i="4"/>
  <c r="E298" i="4"/>
  <c r="H282" i="4"/>
  <c r="G282" i="4"/>
  <c r="F282" i="4"/>
  <c r="E282" i="4"/>
  <c r="H266" i="4"/>
  <c r="G266" i="4"/>
  <c r="F266" i="4"/>
  <c r="E266" i="4"/>
  <c r="H250" i="4"/>
  <c r="G250" i="4"/>
  <c r="F250" i="4"/>
  <c r="E250" i="4"/>
  <c r="H239" i="4"/>
  <c r="G239" i="4"/>
  <c r="F239" i="4"/>
  <c r="E239" i="4"/>
  <c r="H231" i="4"/>
  <c r="G231" i="4"/>
  <c r="F231" i="4"/>
  <c r="E231" i="4"/>
  <c r="H223" i="4"/>
  <c r="G223" i="4"/>
  <c r="F223" i="4"/>
  <c r="E223" i="4"/>
  <c r="H215" i="4"/>
  <c r="G215" i="4"/>
  <c r="F215" i="4"/>
  <c r="E215" i="4"/>
  <c r="H207" i="4"/>
  <c r="G207" i="4"/>
  <c r="F207" i="4"/>
  <c r="E207" i="4"/>
  <c r="H199" i="4"/>
  <c r="G199" i="4"/>
  <c r="F199" i="4"/>
  <c r="E199" i="4"/>
  <c r="H191" i="4"/>
  <c r="G191" i="4"/>
  <c r="F191" i="4"/>
  <c r="E191" i="4"/>
  <c r="H183" i="4"/>
  <c r="G183" i="4"/>
  <c r="E183" i="4"/>
  <c r="F183" i="4"/>
  <c r="H175" i="4"/>
  <c r="G175" i="4"/>
  <c r="E175" i="4"/>
  <c r="F175" i="4"/>
  <c r="H167" i="4"/>
  <c r="G167" i="4"/>
  <c r="E167" i="4"/>
  <c r="F167" i="4"/>
  <c r="H159" i="4"/>
  <c r="G159" i="4"/>
  <c r="E159" i="4"/>
  <c r="F159" i="4"/>
  <c r="H151" i="4"/>
  <c r="G151" i="4"/>
  <c r="E151" i="4"/>
  <c r="F151" i="4"/>
  <c r="H143" i="4"/>
  <c r="G143" i="4"/>
  <c r="E143" i="4"/>
  <c r="F143" i="4"/>
  <c r="H135" i="4"/>
  <c r="G135" i="4"/>
  <c r="E135" i="4"/>
  <c r="F135" i="4"/>
  <c r="H127" i="4"/>
  <c r="G127" i="4"/>
  <c r="E127" i="4"/>
  <c r="F127" i="4"/>
  <c r="H119" i="4"/>
  <c r="G119" i="4"/>
  <c r="E119" i="4"/>
  <c r="F119" i="4"/>
  <c r="H6" i="4"/>
  <c r="G6" i="4"/>
  <c r="F6" i="4"/>
  <c r="E6" i="4"/>
  <c r="H14" i="4"/>
  <c r="G14" i="4"/>
  <c r="F14" i="4"/>
  <c r="E14" i="4"/>
  <c r="H22" i="4"/>
  <c r="G22" i="4"/>
  <c r="F22" i="4"/>
  <c r="E22" i="4"/>
  <c r="H30" i="4"/>
  <c r="G30" i="4"/>
  <c r="F30" i="4"/>
  <c r="E30" i="4"/>
  <c r="H38" i="4"/>
  <c r="G38" i="4"/>
  <c r="F38" i="4"/>
  <c r="E38" i="4"/>
  <c r="H46" i="4"/>
  <c r="G46" i="4"/>
  <c r="F46" i="4"/>
  <c r="E46" i="4"/>
  <c r="H54" i="4"/>
  <c r="G54" i="4"/>
  <c r="F54" i="4"/>
  <c r="E54" i="4"/>
  <c r="H62" i="4"/>
  <c r="G62" i="4"/>
  <c r="F62" i="4"/>
  <c r="E62" i="4"/>
  <c r="H70" i="4"/>
  <c r="G70" i="4"/>
  <c r="F70" i="4"/>
  <c r="E70" i="4"/>
  <c r="H78" i="4"/>
  <c r="G78" i="4"/>
  <c r="F78" i="4"/>
  <c r="E78" i="4"/>
  <c r="H86" i="4"/>
  <c r="G86" i="4"/>
  <c r="F86" i="4"/>
  <c r="E86" i="4"/>
  <c r="H94" i="4"/>
  <c r="G94" i="4"/>
  <c r="F94" i="4"/>
  <c r="E94" i="4"/>
  <c r="H102" i="4"/>
  <c r="G102" i="4"/>
  <c r="F102" i="4"/>
  <c r="E102" i="4"/>
  <c r="H110" i="4"/>
  <c r="G110" i="4"/>
  <c r="F110" i="4"/>
  <c r="E110" i="4"/>
  <c r="H253" i="4"/>
  <c r="G253" i="4"/>
  <c r="F253" i="4"/>
  <c r="E253" i="4"/>
  <c r="H285" i="4"/>
  <c r="G285" i="4"/>
  <c r="F285" i="4"/>
  <c r="E285" i="4"/>
  <c r="H317" i="4"/>
  <c r="G317" i="4"/>
  <c r="F317" i="4"/>
  <c r="E317" i="4"/>
  <c r="H349" i="4"/>
  <c r="G349" i="4"/>
  <c r="F349" i="4"/>
  <c r="E349" i="4"/>
  <c r="H381" i="4"/>
  <c r="G381" i="4"/>
  <c r="F381" i="4"/>
  <c r="E381" i="4"/>
  <c r="H413" i="4"/>
  <c r="G413" i="4"/>
  <c r="F413" i="4"/>
  <c r="E413" i="4"/>
  <c r="H445" i="4"/>
  <c r="G445" i="4"/>
  <c r="F445" i="4"/>
  <c r="E445" i="4"/>
  <c r="H477" i="4"/>
  <c r="G477" i="4"/>
  <c r="F477" i="4"/>
  <c r="E477" i="4"/>
  <c r="H499" i="4"/>
  <c r="G499" i="4"/>
  <c r="F499" i="4"/>
  <c r="E499" i="4"/>
  <c r="H307" i="4"/>
  <c r="G307" i="4"/>
  <c r="F307" i="4"/>
  <c r="E307" i="4"/>
  <c r="H371" i="4"/>
  <c r="G371" i="4"/>
  <c r="F371" i="4"/>
  <c r="E371" i="4"/>
  <c r="H435" i="4"/>
  <c r="G435" i="4"/>
  <c r="F435" i="4"/>
  <c r="E435" i="4"/>
  <c r="H247" i="4"/>
  <c r="G247" i="4"/>
  <c r="F247" i="4"/>
  <c r="E247" i="4"/>
  <c r="H311" i="4"/>
  <c r="G311" i="4"/>
  <c r="F311" i="4"/>
  <c r="E311" i="4"/>
  <c r="H375" i="4"/>
  <c r="G375" i="4"/>
  <c r="F375" i="4"/>
  <c r="E375" i="4"/>
  <c r="H439" i="4"/>
  <c r="G439" i="4"/>
  <c r="F439" i="4"/>
  <c r="E439" i="4"/>
  <c r="H496" i="4"/>
  <c r="G496" i="4"/>
  <c r="F496" i="4"/>
  <c r="E496" i="4"/>
  <c r="H480" i="4"/>
  <c r="G480" i="4"/>
  <c r="F480" i="4"/>
  <c r="E480" i="4"/>
  <c r="H464" i="4"/>
  <c r="G464" i="4"/>
  <c r="F464" i="4"/>
  <c r="E464" i="4"/>
  <c r="H448" i="4"/>
  <c r="G448" i="4"/>
  <c r="F448" i="4"/>
  <c r="E448" i="4"/>
  <c r="H432" i="4"/>
  <c r="G432" i="4"/>
  <c r="F432" i="4"/>
  <c r="E432" i="4"/>
  <c r="H416" i="4"/>
  <c r="G416" i="4"/>
  <c r="F416" i="4"/>
  <c r="E416" i="4"/>
  <c r="H400" i="4"/>
  <c r="G400" i="4"/>
  <c r="F400" i="4"/>
  <c r="E400" i="4"/>
  <c r="H384" i="4"/>
  <c r="G384" i="4"/>
  <c r="F384" i="4"/>
  <c r="E384" i="4"/>
  <c r="H368" i="4"/>
  <c r="G368" i="4"/>
  <c r="F368" i="4"/>
  <c r="E368" i="4"/>
  <c r="H352" i="4"/>
  <c r="G352" i="4"/>
  <c r="F352" i="4"/>
  <c r="E352" i="4"/>
  <c r="H336" i="4"/>
  <c r="G336" i="4"/>
  <c r="F336" i="4"/>
  <c r="E336" i="4"/>
  <c r="H320" i="4"/>
  <c r="G320" i="4"/>
  <c r="F320" i="4"/>
  <c r="E320" i="4"/>
  <c r="H304" i="4"/>
  <c r="G304" i="4"/>
  <c r="F304" i="4"/>
  <c r="E304" i="4"/>
  <c r="H288" i="4"/>
  <c r="G288" i="4"/>
  <c r="F288" i="4"/>
  <c r="E288" i="4"/>
  <c r="H272" i="4"/>
  <c r="G272" i="4"/>
  <c r="F272" i="4"/>
  <c r="E272" i="4"/>
  <c r="H256" i="4"/>
  <c r="G256" i="4"/>
  <c r="F256" i="4"/>
  <c r="E256" i="4"/>
  <c r="H242" i="4"/>
  <c r="G242" i="4"/>
  <c r="F242" i="4"/>
  <c r="E242" i="4"/>
  <c r="H234" i="4"/>
  <c r="G234" i="4"/>
  <c r="F234" i="4"/>
  <c r="E234" i="4"/>
  <c r="H226" i="4"/>
  <c r="G226" i="4"/>
  <c r="F226" i="4"/>
  <c r="E226" i="4"/>
  <c r="H218" i="4"/>
  <c r="G218" i="4"/>
  <c r="F218" i="4"/>
  <c r="E218" i="4"/>
  <c r="H210" i="4"/>
  <c r="G210" i="4"/>
  <c r="F210" i="4"/>
  <c r="E210" i="4"/>
  <c r="H202" i="4"/>
  <c r="G202" i="4"/>
  <c r="F202" i="4"/>
  <c r="E202" i="4"/>
  <c r="H194" i="4"/>
  <c r="G194" i="4"/>
  <c r="F194" i="4"/>
  <c r="E194" i="4"/>
  <c r="H186" i="4"/>
  <c r="G186" i="4"/>
  <c r="F186" i="4"/>
  <c r="E186" i="4"/>
  <c r="H178" i="4"/>
  <c r="G178" i="4"/>
  <c r="F178" i="4"/>
  <c r="E178" i="4"/>
  <c r="H170" i="4"/>
  <c r="G170" i="4"/>
  <c r="F170" i="4"/>
  <c r="E170" i="4"/>
  <c r="H162" i="4"/>
  <c r="G162" i="4"/>
  <c r="F162" i="4"/>
  <c r="E162" i="4"/>
  <c r="H154" i="4"/>
  <c r="G154" i="4"/>
  <c r="F154" i="4"/>
  <c r="E154" i="4"/>
  <c r="H146" i="4"/>
  <c r="G146" i="4"/>
  <c r="F146" i="4"/>
  <c r="E146" i="4"/>
  <c r="H138" i="4"/>
  <c r="G138" i="4"/>
  <c r="F138" i="4"/>
  <c r="E138" i="4"/>
  <c r="H130" i="4"/>
  <c r="G130" i="4"/>
  <c r="F130" i="4"/>
  <c r="E130" i="4"/>
  <c r="H122" i="4"/>
  <c r="G122" i="4"/>
  <c r="F122" i="4"/>
  <c r="E122" i="4"/>
  <c r="H3" i="4"/>
  <c r="G3" i="4"/>
  <c r="E3" i="4"/>
  <c r="F3" i="4"/>
  <c r="H11" i="4"/>
  <c r="G11" i="4"/>
  <c r="E11" i="4"/>
  <c r="F11" i="4"/>
  <c r="H19" i="4"/>
  <c r="G19" i="4"/>
  <c r="E19" i="4"/>
  <c r="F19" i="4"/>
  <c r="H27" i="4"/>
  <c r="G27" i="4"/>
  <c r="E27" i="4"/>
  <c r="F27" i="4"/>
  <c r="H35" i="4"/>
  <c r="G35" i="4"/>
  <c r="E35" i="4"/>
  <c r="F35" i="4"/>
  <c r="H43" i="4"/>
  <c r="G43" i="4"/>
  <c r="E43" i="4"/>
  <c r="F43" i="4"/>
  <c r="H51" i="4"/>
  <c r="G51" i="4"/>
  <c r="E51" i="4"/>
  <c r="F51" i="4"/>
  <c r="H59" i="4"/>
  <c r="G59" i="4"/>
  <c r="E59" i="4"/>
  <c r="F59" i="4"/>
  <c r="H67" i="4"/>
  <c r="G67" i="4"/>
  <c r="E67" i="4"/>
  <c r="F67" i="4"/>
  <c r="H75" i="4"/>
  <c r="G75" i="4"/>
  <c r="E75" i="4"/>
  <c r="F75" i="4"/>
  <c r="H83" i="4"/>
  <c r="G83" i="4"/>
  <c r="E83" i="4"/>
  <c r="F83" i="4"/>
  <c r="H91" i="4"/>
  <c r="G91" i="4"/>
  <c r="E91" i="4"/>
  <c r="F91" i="4"/>
  <c r="H99" i="4"/>
  <c r="G99" i="4"/>
  <c r="E99" i="4"/>
  <c r="F99" i="4"/>
  <c r="H107" i="4"/>
  <c r="G107" i="4"/>
  <c r="E107" i="4"/>
  <c r="F107" i="4"/>
  <c r="H115" i="4"/>
  <c r="G115" i="4"/>
  <c r="E115" i="4"/>
  <c r="F115" i="4"/>
  <c r="H273" i="4"/>
  <c r="G273" i="4"/>
  <c r="F273" i="4"/>
  <c r="E273" i="4"/>
  <c r="H305" i="4"/>
  <c r="G305" i="4"/>
  <c r="F305" i="4"/>
  <c r="E305" i="4"/>
  <c r="H337" i="4"/>
  <c r="G337" i="4"/>
  <c r="F337" i="4"/>
  <c r="E337" i="4"/>
  <c r="H369" i="4"/>
  <c r="G369" i="4"/>
  <c r="F369" i="4"/>
  <c r="E369" i="4"/>
  <c r="H401" i="4"/>
  <c r="G401" i="4"/>
  <c r="F401" i="4"/>
  <c r="E401" i="4"/>
  <c r="H433" i="4"/>
  <c r="G433" i="4"/>
  <c r="F433" i="4"/>
  <c r="E433" i="4"/>
  <c r="H465" i="4"/>
  <c r="G465" i="4"/>
  <c r="F465" i="4"/>
  <c r="E465" i="4"/>
  <c r="H497" i="4"/>
  <c r="G497" i="4"/>
  <c r="F497" i="4"/>
  <c r="E497" i="4"/>
  <c r="H283" i="4"/>
  <c r="G283" i="4"/>
  <c r="F283" i="4"/>
  <c r="E283" i="4"/>
  <c r="H347" i="4"/>
  <c r="G347" i="4"/>
  <c r="F347" i="4"/>
  <c r="E347" i="4"/>
  <c r="H411" i="4"/>
  <c r="G411" i="4"/>
  <c r="F411" i="4"/>
  <c r="E411" i="4"/>
  <c r="H475" i="4"/>
  <c r="G475" i="4"/>
  <c r="F475" i="4"/>
  <c r="E475" i="4"/>
  <c r="H287" i="4"/>
  <c r="G287" i="4"/>
  <c r="F287" i="4"/>
  <c r="E287" i="4"/>
  <c r="H351" i="4"/>
  <c r="G351" i="4"/>
  <c r="F351" i="4"/>
  <c r="E351" i="4"/>
  <c r="H415" i="4"/>
  <c r="G415" i="4"/>
  <c r="F415" i="4"/>
  <c r="E415" i="4"/>
  <c r="H479" i="4"/>
  <c r="G479" i="4"/>
  <c r="F479" i="4"/>
  <c r="E479" i="4"/>
  <c r="H486" i="4"/>
  <c r="G486" i="4"/>
  <c r="F486" i="4"/>
  <c r="E486" i="4"/>
  <c r="H470" i="4"/>
  <c r="F470" i="4"/>
  <c r="G470" i="4"/>
  <c r="E470" i="4"/>
  <c r="H454" i="4"/>
  <c r="F454" i="4"/>
  <c r="G454" i="4"/>
  <c r="E454" i="4"/>
  <c r="H438" i="4"/>
  <c r="F438" i="4"/>
  <c r="G438" i="4"/>
  <c r="E438" i="4"/>
  <c r="H422" i="4"/>
  <c r="F422" i="4"/>
  <c r="G422" i="4"/>
  <c r="E422" i="4"/>
  <c r="H406" i="4"/>
  <c r="G406" i="4"/>
  <c r="F406" i="4"/>
  <c r="E406" i="4"/>
  <c r="H390" i="4"/>
  <c r="G390" i="4"/>
  <c r="F390" i="4"/>
  <c r="E390" i="4"/>
  <c r="H374" i="4"/>
  <c r="G374" i="4"/>
  <c r="F374" i="4"/>
  <c r="E374" i="4"/>
  <c r="H358" i="4"/>
  <c r="G358" i="4"/>
  <c r="F358" i="4"/>
  <c r="E358" i="4"/>
  <c r="H342" i="4"/>
  <c r="G342" i="4"/>
  <c r="F342" i="4"/>
  <c r="E342" i="4"/>
  <c r="H326" i="4"/>
  <c r="G326" i="4"/>
  <c r="F326" i="4"/>
  <c r="E326" i="4"/>
  <c r="H310" i="4"/>
  <c r="G310" i="4"/>
  <c r="F310" i="4"/>
  <c r="E310" i="4"/>
  <c r="H294" i="4"/>
  <c r="G294" i="4"/>
  <c r="F294" i="4"/>
  <c r="E294" i="4"/>
  <c r="H278" i="4"/>
  <c r="G278" i="4"/>
  <c r="F278" i="4"/>
  <c r="E278" i="4"/>
  <c r="H262" i="4"/>
  <c r="G262" i="4"/>
  <c r="F262" i="4"/>
  <c r="E262" i="4"/>
  <c r="H246" i="4"/>
  <c r="G246" i="4"/>
  <c r="F246" i="4"/>
  <c r="E246" i="4"/>
  <c r="H237" i="4"/>
  <c r="G237" i="4"/>
  <c r="F237" i="4"/>
  <c r="E237" i="4"/>
  <c r="H229" i="4"/>
  <c r="G229" i="4"/>
  <c r="F229" i="4"/>
  <c r="E229" i="4"/>
  <c r="H221" i="4"/>
  <c r="G221" i="4"/>
  <c r="F221" i="4"/>
  <c r="E221" i="4"/>
  <c r="H213" i="4"/>
  <c r="G213" i="4"/>
  <c r="F213" i="4"/>
  <c r="E213" i="4"/>
  <c r="H205" i="4"/>
  <c r="G205" i="4"/>
  <c r="F205" i="4"/>
  <c r="E205" i="4"/>
  <c r="H197" i="4"/>
  <c r="G197" i="4"/>
  <c r="F197" i="4"/>
  <c r="E197" i="4"/>
  <c r="H189" i="4"/>
  <c r="G189" i="4"/>
  <c r="F189" i="4"/>
  <c r="E189" i="4"/>
  <c r="H181" i="4"/>
  <c r="G181" i="4"/>
  <c r="F181" i="4"/>
  <c r="E181" i="4"/>
  <c r="H173" i="4"/>
  <c r="G173" i="4"/>
  <c r="F173" i="4"/>
  <c r="E173" i="4"/>
  <c r="H165" i="4"/>
  <c r="G165" i="4"/>
  <c r="F165" i="4"/>
  <c r="E165" i="4"/>
  <c r="H157" i="4"/>
  <c r="G157" i="4"/>
  <c r="F157" i="4"/>
  <c r="E157" i="4"/>
  <c r="H149" i="4"/>
  <c r="G149" i="4"/>
  <c r="F149" i="4"/>
  <c r="E149" i="4"/>
  <c r="H141" i="4"/>
  <c r="G141" i="4"/>
  <c r="F141" i="4"/>
  <c r="E141" i="4"/>
  <c r="H133" i="4"/>
  <c r="G133" i="4"/>
  <c r="F133" i="4"/>
  <c r="E133" i="4"/>
  <c r="H125" i="4"/>
  <c r="G125" i="4"/>
  <c r="F125" i="4"/>
  <c r="E125" i="4"/>
  <c r="H117" i="4"/>
  <c r="G117" i="4"/>
  <c r="F117" i="4"/>
  <c r="E117" i="4"/>
  <c r="H8" i="4"/>
  <c r="G8" i="4"/>
  <c r="F8" i="4"/>
  <c r="E8" i="4"/>
  <c r="H16" i="4"/>
  <c r="G16" i="4"/>
  <c r="F16" i="4"/>
  <c r="E16" i="4"/>
  <c r="H24" i="4"/>
  <c r="G24" i="4"/>
  <c r="F24" i="4"/>
  <c r="E24" i="4"/>
  <c r="H32" i="4"/>
  <c r="G32" i="4"/>
  <c r="F32" i="4"/>
  <c r="E32" i="4"/>
  <c r="H40" i="4"/>
  <c r="G40" i="4"/>
  <c r="F40" i="4"/>
  <c r="E40" i="4"/>
  <c r="H48" i="4"/>
  <c r="G48" i="4"/>
  <c r="F48" i="4"/>
  <c r="E48" i="4"/>
  <c r="H56" i="4"/>
  <c r="G56" i="4"/>
  <c r="F56" i="4"/>
  <c r="E56" i="4"/>
  <c r="H64" i="4"/>
  <c r="G64" i="4"/>
  <c r="F64" i="4"/>
  <c r="E64" i="4"/>
  <c r="H72" i="4"/>
  <c r="G72" i="4"/>
  <c r="F72" i="4"/>
  <c r="E72" i="4"/>
  <c r="H80" i="4"/>
  <c r="G80" i="4"/>
  <c r="F80" i="4"/>
  <c r="E80" i="4"/>
  <c r="H88" i="4"/>
  <c r="G88" i="4"/>
  <c r="F88" i="4"/>
  <c r="E88" i="4"/>
  <c r="H96" i="4"/>
  <c r="G96" i="4"/>
  <c r="F96" i="4"/>
  <c r="E96" i="4"/>
  <c r="H104" i="4"/>
  <c r="G104" i="4"/>
  <c r="F104" i="4"/>
  <c r="E104" i="4"/>
  <c r="H112" i="4"/>
  <c r="G112" i="4"/>
  <c r="F112" i="4"/>
  <c r="E112" i="4"/>
  <c r="H261" i="4"/>
  <c r="G261" i="4"/>
  <c r="F261" i="4"/>
  <c r="E261" i="4"/>
  <c r="H293" i="4"/>
  <c r="G293" i="4"/>
  <c r="F293" i="4"/>
  <c r="E293" i="4"/>
  <c r="H325" i="4"/>
  <c r="G325" i="4"/>
  <c r="F325" i="4"/>
  <c r="E325" i="4"/>
  <c r="H357" i="4"/>
  <c r="G357" i="4"/>
  <c r="F357" i="4"/>
  <c r="E357" i="4"/>
  <c r="H389" i="4"/>
  <c r="G389" i="4"/>
  <c r="F389" i="4"/>
  <c r="E389" i="4"/>
  <c r="H421" i="4"/>
  <c r="G421" i="4"/>
  <c r="F421" i="4"/>
  <c r="E421" i="4"/>
  <c r="H453" i="4"/>
  <c r="G453" i="4"/>
  <c r="F453" i="4"/>
  <c r="E453" i="4"/>
  <c r="H485" i="4"/>
  <c r="G485" i="4"/>
  <c r="F485" i="4"/>
  <c r="E485" i="4"/>
  <c r="G596" i="6"/>
  <c r="G505" i="6"/>
  <c r="G513" i="6"/>
  <c r="G521" i="6"/>
  <c r="G529" i="6"/>
  <c r="G537" i="6"/>
  <c r="G545" i="6"/>
  <c r="G553" i="6"/>
  <c r="G561" i="6"/>
  <c r="G569" i="6"/>
  <c r="G577" i="6"/>
  <c r="G585" i="6"/>
  <c r="G593" i="6"/>
  <c r="G502" i="6"/>
  <c r="G510" i="6"/>
  <c r="G518" i="6"/>
  <c r="G526" i="6"/>
  <c r="G534" i="6"/>
  <c r="G542" i="6"/>
  <c r="G550" i="6"/>
  <c r="G558" i="6"/>
  <c r="G566" i="6"/>
  <c r="G574" i="6"/>
  <c r="G582" i="6"/>
  <c r="G590" i="6"/>
  <c r="G598" i="6"/>
  <c r="G507" i="6"/>
  <c r="G515" i="6"/>
  <c r="G523" i="6"/>
  <c r="G531" i="6"/>
  <c r="G539" i="6"/>
  <c r="G547" i="6"/>
  <c r="G555" i="6"/>
  <c r="G563" i="6"/>
  <c r="G571" i="6"/>
  <c r="G579" i="6"/>
  <c r="G587" i="6"/>
  <c r="G595" i="6"/>
  <c r="G504" i="6"/>
  <c r="G512" i="6"/>
  <c r="G520" i="6"/>
  <c r="G528" i="6"/>
  <c r="G536" i="6"/>
  <c r="G544" i="6"/>
  <c r="G552" i="6"/>
  <c r="G560" i="6"/>
  <c r="G568" i="6"/>
  <c r="G576" i="6"/>
  <c r="G584" i="6"/>
  <c r="G592" i="6"/>
  <c r="G600" i="6"/>
  <c r="F495" i="6"/>
  <c r="H495" i="6"/>
  <c r="F509" i="6"/>
  <c r="H509" i="6"/>
  <c r="F529" i="6"/>
  <c r="H529" i="6"/>
  <c r="F545" i="6"/>
  <c r="H545" i="6"/>
  <c r="F561" i="6"/>
  <c r="H561" i="6"/>
  <c r="F577" i="6"/>
  <c r="H577" i="6"/>
  <c r="F593" i="6"/>
  <c r="H593" i="6"/>
  <c r="F506" i="6"/>
  <c r="H506" i="6"/>
  <c r="F522" i="6"/>
  <c r="H522" i="6"/>
  <c r="F538" i="6"/>
  <c r="H538" i="6"/>
  <c r="F554" i="6"/>
  <c r="H554" i="6"/>
  <c r="F570" i="6"/>
  <c r="H570" i="6"/>
  <c r="F586" i="6"/>
  <c r="H586" i="6"/>
  <c r="F507" i="6"/>
  <c r="H507" i="6"/>
  <c r="F527" i="6"/>
  <c r="H527" i="6"/>
  <c r="F543" i="6"/>
  <c r="H543" i="6"/>
  <c r="F559" i="6"/>
  <c r="H559" i="6"/>
  <c r="F575" i="6"/>
  <c r="H575" i="6"/>
  <c r="F591" i="6"/>
  <c r="H591" i="6"/>
  <c r="F504" i="6"/>
  <c r="H504" i="6"/>
  <c r="F520" i="6"/>
  <c r="H520" i="6"/>
  <c r="F536" i="6"/>
  <c r="H536" i="6"/>
  <c r="F552" i="6"/>
  <c r="H552" i="6"/>
  <c r="F568" i="6"/>
  <c r="H568" i="6"/>
  <c r="F584" i="6"/>
  <c r="H584" i="6"/>
  <c r="F600" i="6"/>
  <c r="H600" i="6"/>
  <c r="F505" i="6"/>
  <c r="H505" i="6"/>
  <c r="F525" i="6"/>
  <c r="H525" i="6"/>
  <c r="F541" i="6"/>
  <c r="H541" i="6"/>
  <c r="F557" i="6"/>
  <c r="H557" i="6"/>
  <c r="F573" i="6"/>
  <c r="H573" i="6"/>
  <c r="F589" i="6"/>
  <c r="H589" i="6"/>
  <c r="F518" i="6"/>
  <c r="H518" i="6"/>
  <c r="F534" i="6"/>
  <c r="H534" i="6"/>
  <c r="F550" i="6"/>
  <c r="H550" i="6"/>
  <c r="F566" i="6"/>
  <c r="H566" i="6"/>
  <c r="F582" i="6"/>
  <c r="H582" i="6"/>
  <c r="F598" i="6"/>
  <c r="H598" i="6"/>
  <c r="F503" i="6"/>
  <c r="H503" i="6"/>
  <c r="F523" i="6"/>
  <c r="H523" i="6"/>
  <c r="F539" i="6"/>
  <c r="H539" i="6"/>
  <c r="F555" i="6"/>
  <c r="H555" i="6"/>
  <c r="F571" i="6"/>
  <c r="H571" i="6"/>
  <c r="F587" i="6"/>
  <c r="H587" i="6"/>
  <c r="F516" i="6"/>
  <c r="H516" i="6"/>
  <c r="F532" i="6"/>
  <c r="H532" i="6"/>
  <c r="F548" i="6"/>
  <c r="H548" i="6"/>
  <c r="F564" i="6"/>
  <c r="H564" i="6"/>
  <c r="F580" i="6"/>
  <c r="H580" i="6"/>
  <c r="F596" i="6"/>
  <c r="H596" i="6"/>
  <c r="F521" i="6"/>
  <c r="H521" i="6"/>
  <c r="F537" i="6"/>
  <c r="H537" i="6"/>
  <c r="F553" i="6"/>
  <c r="H553" i="6"/>
  <c r="F569" i="6"/>
  <c r="H569" i="6"/>
  <c r="F585" i="6"/>
  <c r="H585" i="6"/>
  <c r="F514" i="6"/>
  <c r="H514" i="6"/>
  <c r="F530" i="6"/>
  <c r="H530" i="6"/>
  <c r="F546" i="6"/>
  <c r="H546" i="6"/>
  <c r="F562" i="6"/>
  <c r="H562" i="6"/>
  <c r="F578" i="6"/>
  <c r="H578" i="6"/>
  <c r="F594" i="6"/>
  <c r="H594" i="6"/>
  <c r="F519" i="6"/>
  <c r="H519" i="6"/>
  <c r="F535" i="6"/>
  <c r="H535" i="6"/>
  <c r="F551" i="6"/>
  <c r="H551" i="6"/>
  <c r="F567" i="6"/>
  <c r="H567" i="6"/>
  <c r="F583" i="6"/>
  <c r="H583" i="6"/>
  <c r="F599" i="6"/>
  <c r="H599" i="6"/>
  <c r="F512" i="6"/>
  <c r="H512" i="6"/>
  <c r="F528" i="6"/>
  <c r="H528" i="6"/>
  <c r="F544" i="6"/>
  <c r="H544" i="6"/>
  <c r="F560" i="6"/>
  <c r="H560" i="6"/>
  <c r="F576" i="6"/>
  <c r="H576" i="6"/>
  <c r="F592" i="6"/>
  <c r="H592" i="6"/>
  <c r="F513" i="6"/>
  <c r="H513" i="6"/>
  <c r="F517" i="6"/>
  <c r="H517" i="6"/>
  <c r="F533" i="6"/>
  <c r="H533" i="6"/>
  <c r="F549" i="6"/>
  <c r="H549" i="6"/>
  <c r="F565" i="6"/>
  <c r="H565" i="6"/>
  <c r="F581" i="6"/>
  <c r="H581" i="6"/>
  <c r="F597" i="6"/>
  <c r="H597" i="6"/>
  <c r="F510" i="6"/>
  <c r="H510" i="6"/>
  <c r="F526" i="6"/>
  <c r="H526" i="6"/>
  <c r="F542" i="6"/>
  <c r="H542" i="6"/>
  <c r="F558" i="6"/>
  <c r="H558" i="6"/>
  <c r="F574" i="6"/>
  <c r="H574" i="6"/>
  <c r="F590" i="6"/>
  <c r="H590" i="6"/>
  <c r="F511" i="6"/>
  <c r="H511" i="6"/>
  <c r="F515" i="6"/>
  <c r="H515" i="6"/>
  <c r="F531" i="6"/>
  <c r="H531" i="6"/>
  <c r="F547" i="6"/>
  <c r="H547" i="6"/>
  <c r="F563" i="6"/>
  <c r="H563" i="6"/>
  <c r="F579" i="6"/>
  <c r="H579" i="6"/>
  <c r="F595" i="6"/>
  <c r="H595" i="6"/>
  <c r="F508" i="6"/>
  <c r="H508" i="6"/>
  <c r="F524" i="6"/>
  <c r="H524" i="6"/>
  <c r="F540" i="6"/>
  <c r="H540" i="6"/>
  <c r="F556" i="6"/>
  <c r="H556" i="6"/>
  <c r="F572" i="6"/>
  <c r="H572" i="6"/>
  <c r="F588" i="6"/>
  <c r="H588" i="6"/>
  <c r="H502" i="6"/>
  <c r="F502" i="6"/>
  <c r="N355" i="4"/>
  <c r="N359" i="4"/>
  <c r="N452" i="4"/>
  <c r="N412" i="4"/>
  <c r="N252" i="4"/>
  <c r="N240" i="4"/>
  <c r="N236" i="4"/>
  <c r="N208" i="4"/>
  <c r="N196" i="4"/>
  <c r="N172" i="4"/>
  <c r="N156" i="4"/>
  <c r="N144" i="4"/>
  <c r="N140" i="4"/>
  <c r="N9" i="4"/>
  <c r="N17" i="4"/>
  <c r="N21" i="4"/>
  <c r="N25" i="4"/>
  <c r="N33" i="4"/>
  <c r="N37" i="4"/>
  <c r="N45" i="4"/>
  <c r="N61" i="4"/>
  <c r="N65" i="4"/>
  <c r="N69" i="4"/>
  <c r="N73" i="4"/>
  <c r="N81" i="4"/>
  <c r="N85" i="4"/>
  <c r="N89" i="4"/>
  <c r="N101" i="4"/>
  <c r="N249" i="4"/>
  <c r="N265" i="4"/>
  <c r="N281" i="4"/>
  <c r="N313" i="4"/>
  <c r="N329" i="4"/>
  <c r="N345" i="4"/>
  <c r="N361" i="4"/>
  <c r="N377" i="4"/>
  <c r="N393" i="4"/>
  <c r="N409" i="4"/>
  <c r="N457" i="4"/>
  <c r="N473" i="4"/>
  <c r="N489" i="4"/>
  <c r="N267" i="4"/>
  <c r="N299" i="4"/>
  <c r="N331" i="4"/>
  <c r="N363" i="4"/>
  <c r="N395" i="4"/>
  <c r="N427" i="4"/>
  <c r="N459" i="4"/>
  <c r="N491" i="4"/>
  <c r="N367" i="4"/>
  <c r="N399" i="4"/>
  <c r="N431" i="4"/>
  <c r="N498" i="4"/>
  <c r="N490" i="4"/>
  <c r="N482" i="4"/>
  <c r="N474" i="4"/>
  <c r="N466" i="4"/>
  <c r="N458" i="4"/>
  <c r="N450" i="4"/>
  <c r="N442" i="4"/>
  <c r="N434" i="4"/>
  <c r="N426" i="4"/>
  <c r="N418" i="4"/>
  <c r="N402" i="4"/>
  <c r="N386" i="4"/>
  <c r="N370" i="4"/>
  <c r="N362" i="4"/>
  <c r="N346" i="4"/>
  <c r="N298" i="4"/>
  <c r="N290" i="4"/>
  <c r="N258" i="4"/>
  <c r="N250" i="4"/>
  <c r="N243" i="4"/>
  <c r="N239" i="4"/>
  <c r="N231" i="4"/>
  <c r="N227" i="4"/>
  <c r="N223" i="4"/>
  <c r="N207" i="4"/>
  <c r="N203" i="4"/>
  <c r="N195" i="4"/>
  <c r="N191" i="4"/>
  <c r="N187" i="4"/>
  <c r="N183" i="4"/>
  <c r="N179" i="4"/>
  <c r="N167" i="4"/>
  <c r="N163" i="4"/>
  <c r="N159" i="4"/>
  <c r="N155" i="4"/>
  <c r="N151" i="4"/>
  <c r="N147" i="4"/>
  <c r="N143" i="4"/>
  <c r="N139" i="4"/>
  <c r="N135" i="4"/>
  <c r="N131" i="4"/>
  <c r="N127" i="4"/>
  <c r="N123" i="4"/>
  <c r="N119" i="4"/>
  <c r="K2" i="4"/>
  <c r="M2" i="4"/>
  <c r="N2" i="4"/>
  <c r="N6" i="4"/>
  <c r="N10" i="4"/>
  <c r="N14" i="4"/>
  <c r="N18" i="4"/>
  <c r="N22" i="4"/>
  <c r="N26" i="4"/>
  <c r="N30" i="4"/>
  <c r="N34" i="4"/>
  <c r="N38" i="4"/>
  <c r="N42" i="4"/>
  <c r="N46" i="4"/>
  <c r="N50" i="4"/>
  <c r="N54" i="4"/>
  <c r="N58" i="4"/>
  <c r="N62" i="4"/>
  <c r="N66" i="4"/>
  <c r="N70" i="4"/>
  <c r="N74" i="4"/>
  <c r="N78" i="4"/>
  <c r="N82" i="4"/>
  <c r="N90" i="4"/>
  <c r="N98" i="4"/>
  <c r="N102" i="4"/>
  <c r="N106" i="4"/>
  <c r="N110" i="4"/>
  <c r="N114" i="4"/>
  <c r="N253" i="4"/>
  <c r="N269" i="4"/>
  <c r="N285" i="4"/>
  <c r="N301" i="4"/>
  <c r="N317" i="4"/>
  <c r="N333" i="4"/>
  <c r="N349" i="4"/>
  <c r="N365" i="4"/>
  <c r="N381" i="4"/>
  <c r="N397" i="4"/>
  <c r="N413" i="4"/>
  <c r="N429" i="4"/>
  <c r="N445" i="4"/>
  <c r="N461" i="4"/>
  <c r="N477" i="4"/>
  <c r="N493" i="4"/>
  <c r="N499" i="4"/>
  <c r="N242" i="4"/>
  <c r="N238" i="4"/>
  <c r="N234" i="4"/>
  <c r="N222" i="4"/>
  <c r="N218" i="4"/>
  <c r="N206" i="4"/>
  <c r="N186" i="4"/>
  <c r="N158" i="4"/>
  <c r="N146" i="4"/>
  <c r="N7" i="4"/>
  <c r="N15" i="4"/>
  <c r="N23" i="4"/>
  <c r="N27" i="4"/>
  <c r="N35" i="4"/>
  <c r="N39" i="4"/>
  <c r="N47" i="4"/>
  <c r="N55" i="4"/>
  <c r="N75" i="4"/>
  <c r="N79" i="4"/>
  <c r="N83" i="4"/>
  <c r="N95" i="4"/>
  <c r="N99" i="4"/>
  <c r="N257" i="4"/>
  <c r="N273" i="4"/>
  <c r="N305" i="4"/>
  <c r="N321" i="4"/>
  <c r="N337" i="4"/>
  <c r="N353" i="4"/>
  <c r="N369" i="4"/>
  <c r="N401" i="4"/>
  <c r="N417" i="4"/>
  <c r="N433" i="4"/>
  <c r="N449" i="4"/>
  <c r="N465" i="4"/>
  <c r="N481" i="4"/>
  <c r="N497" i="4"/>
  <c r="N315" i="4"/>
  <c r="N347" i="4"/>
  <c r="N443" i="4"/>
  <c r="N475" i="4"/>
  <c r="N255" i="4"/>
  <c r="N351" i="4"/>
  <c r="N383" i="4"/>
  <c r="N494" i="4"/>
  <c r="N486" i="4"/>
  <c r="N478" i="4"/>
  <c r="N470" i="4"/>
  <c r="N462" i="4"/>
  <c r="N454" i="4"/>
  <c r="N446" i="4"/>
  <c r="N438" i="4"/>
  <c r="N430" i="4"/>
  <c r="N422" i="4"/>
  <c r="N390" i="4"/>
  <c r="N374" i="4"/>
  <c r="N350" i="4"/>
  <c r="N342" i="4"/>
  <c r="N334" i="4"/>
  <c r="N326" i="4"/>
  <c r="N318" i="4"/>
  <c r="N310" i="4"/>
  <c r="N302" i="4"/>
  <c r="N286" i="4"/>
  <c r="N278" i="4"/>
  <c r="N270" i="4"/>
  <c r="N254" i="4"/>
  <c r="N246" i="4"/>
  <c r="N241" i="4"/>
  <c r="N237" i="4"/>
  <c r="N233" i="4"/>
  <c r="N225" i="4"/>
  <c r="N221" i="4"/>
  <c r="N213" i="4"/>
  <c r="N201" i="4"/>
  <c r="N193" i="4"/>
  <c r="N185" i="4"/>
  <c r="N181" i="4"/>
  <c r="N177" i="4"/>
  <c r="N165" i="4"/>
  <c r="N161" i="4"/>
  <c r="N157" i="4"/>
  <c r="N137" i="4"/>
  <c r="N133" i="4"/>
  <c r="N125" i="4"/>
  <c r="N117" i="4"/>
  <c r="N8" i="4"/>
  <c r="N12" i="4"/>
  <c r="N16" i="4"/>
  <c r="N20" i="4"/>
  <c r="N24" i="4"/>
  <c r="N28" i="4"/>
  <c r="N32" i="4"/>
  <c r="N36" i="4"/>
  <c r="N44" i="4"/>
  <c r="N48" i="4"/>
  <c r="N52" i="4"/>
  <c r="N56" i="4"/>
  <c r="N60" i="4"/>
  <c r="N72" i="4"/>
  <c r="N76" i="4"/>
  <c r="N80" i="4"/>
  <c r="N84" i="4"/>
  <c r="N88" i="4"/>
  <c r="N92" i="4"/>
  <c r="N96" i="4"/>
  <c r="N100" i="4"/>
  <c r="N104" i="4"/>
  <c r="N108" i="4"/>
  <c r="N112" i="4"/>
  <c r="N245" i="4"/>
  <c r="N261" i="4"/>
  <c r="N277" i="4"/>
  <c r="N293" i="4"/>
  <c r="N325" i="4"/>
  <c r="N341" i="4"/>
  <c r="N357" i="4"/>
  <c r="N373" i="4"/>
  <c r="N389" i="4"/>
  <c r="N405" i="4"/>
  <c r="N421" i="4"/>
  <c r="N437" i="4"/>
  <c r="N453" i="4"/>
  <c r="N469" i="4"/>
  <c r="N485" i="4"/>
  <c r="N501" i="4"/>
  <c r="K355" i="4"/>
  <c r="K359" i="4"/>
  <c r="K345" i="4"/>
  <c r="K363" i="4"/>
  <c r="K287" i="4"/>
  <c r="K415" i="4"/>
  <c r="K463" i="4"/>
  <c r="K406" i="4"/>
  <c r="K394" i="4"/>
  <c r="K358" i="4"/>
  <c r="K282" i="4"/>
  <c r="K266" i="4"/>
  <c r="K219" i="4"/>
  <c r="K189" i="4"/>
  <c r="K169" i="4"/>
  <c r="K149" i="4"/>
  <c r="K141" i="4"/>
  <c r="K121" i="4"/>
  <c r="K40" i="4"/>
  <c r="K68" i="4"/>
  <c r="K275" i="4"/>
  <c r="K419" i="4"/>
  <c r="K483" i="4"/>
  <c r="K295" i="4"/>
  <c r="K423" i="4"/>
  <c r="K487" i="4"/>
  <c r="K484" i="4"/>
  <c r="K468" i="4"/>
  <c r="K440" i="4"/>
  <c r="K424" i="4"/>
  <c r="K404" i="4"/>
  <c r="K388" i="4"/>
  <c r="K372" i="4"/>
  <c r="K356" i="4"/>
  <c r="K340" i="4"/>
  <c r="K324" i="4"/>
  <c r="K308" i="4"/>
  <c r="K292" i="4"/>
  <c r="K276" i="4"/>
  <c r="K260" i="4"/>
  <c r="K248" i="4"/>
  <c r="K232" i="4"/>
  <c r="K224" i="4"/>
  <c r="K216" i="4"/>
  <c r="K204" i="4"/>
  <c r="K190" i="4"/>
  <c r="K184" i="4"/>
  <c r="K176" i="4"/>
  <c r="K170" i="4"/>
  <c r="K162" i="4"/>
  <c r="K150" i="4"/>
  <c r="K136" i="4"/>
  <c r="K128" i="4"/>
  <c r="K120" i="4"/>
  <c r="K5" i="4"/>
  <c r="K29" i="4"/>
  <c r="K49" i="4"/>
  <c r="K59" i="4"/>
  <c r="K67" i="4"/>
  <c r="K105" i="4"/>
  <c r="K113" i="4"/>
  <c r="K289" i="4"/>
  <c r="K441" i="4"/>
  <c r="L505" i="6"/>
  <c r="O505" i="6" s="1"/>
  <c r="L513" i="6"/>
  <c r="O513" i="6" s="1"/>
  <c r="L517" i="6"/>
  <c r="O517" i="6" s="1"/>
  <c r="L525" i="6"/>
  <c r="O525" i="6" s="1"/>
  <c r="L533" i="6"/>
  <c r="O533" i="6" s="1"/>
  <c r="L541" i="6"/>
  <c r="O541" i="6" s="1"/>
  <c r="L549" i="6"/>
  <c r="O549" i="6" s="1"/>
  <c r="L557" i="6"/>
  <c r="O557" i="6" s="1"/>
  <c r="L565" i="6"/>
  <c r="O565" i="6" s="1"/>
  <c r="L573" i="6"/>
  <c r="O573" i="6" s="1"/>
  <c r="L581" i="6"/>
  <c r="O581" i="6" s="1"/>
  <c r="L589" i="6"/>
  <c r="O589" i="6" s="1"/>
  <c r="L597" i="6"/>
  <c r="O597" i="6" s="1"/>
  <c r="L502" i="6"/>
  <c r="L510" i="6"/>
  <c r="O510" i="6" s="1"/>
  <c r="L518" i="6"/>
  <c r="O518" i="6" s="1"/>
  <c r="L526" i="6"/>
  <c r="O526" i="6" s="1"/>
  <c r="L534" i="6"/>
  <c r="O534" i="6" s="1"/>
  <c r="L542" i="6"/>
  <c r="O542" i="6" s="1"/>
  <c r="L550" i="6"/>
  <c r="O550" i="6" s="1"/>
  <c r="L558" i="6"/>
  <c r="O558" i="6" s="1"/>
  <c r="L566" i="6"/>
  <c r="O566" i="6" s="1"/>
  <c r="L574" i="6"/>
  <c r="O574" i="6" s="1"/>
  <c r="L582" i="6"/>
  <c r="O582" i="6" s="1"/>
  <c r="L590" i="6"/>
  <c r="O590" i="6" s="1"/>
  <c r="L598" i="6"/>
  <c r="O598" i="6" s="1"/>
  <c r="L495" i="6"/>
  <c r="O495" i="6" s="1"/>
  <c r="L503" i="6"/>
  <c r="O503" i="6" s="1"/>
  <c r="L511" i="6"/>
  <c r="O511" i="6" s="1"/>
  <c r="L515" i="6"/>
  <c r="O515" i="6" s="1"/>
  <c r="L523" i="6"/>
  <c r="O523" i="6" s="1"/>
  <c r="L531" i="6"/>
  <c r="O531" i="6" s="1"/>
  <c r="L539" i="6"/>
  <c r="O539" i="6" s="1"/>
  <c r="L547" i="6"/>
  <c r="O547" i="6" s="1"/>
  <c r="L555" i="6"/>
  <c r="O555" i="6" s="1"/>
  <c r="L563" i="6"/>
  <c r="O563" i="6" s="1"/>
  <c r="L571" i="6"/>
  <c r="O571" i="6" s="1"/>
  <c r="L579" i="6"/>
  <c r="O579" i="6" s="1"/>
  <c r="L587" i="6"/>
  <c r="O587" i="6" s="1"/>
  <c r="L595" i="6"/>
  <c r="O595" i="6" s="1"/>
  <c r="L508" i="6"/>
  <c r="O508" i="6" s="1"/>
  <c r="L516" i="6"/>
  <c r="O516" i="6" s="1"/>
  <c r="L524" i="6"/>
  <c r="O524" i="6" s="1"/>
  <c r="L532" i="6"/>
  <c r="O532" i="6" s="1"/>
  <c r="L540" i="6"/>
  <c r="O540" i="6" s="1"/>
  <c r="L548" i="6"/>
  <c r="O548" i="6" s="1"/>
  <c r="L556" i="6"/>
  <c r="O556" i="6" s="1"/>
  <c r="L564" i="6"/>
  <c r="O564" i="6" s="1"/>
  <c r="L572" i="6"/>
  <c r="O572" i="6" s="1"/>
  <c r="L580" i="6"/>
  <c r="O580" i="6" s="1"/>
  <c r="L588" i="6"/>
  <c r="O588" i="6" s="1"/>
  <c r="L596" i="6"/>
  <c r="O596" i="6" s="1"/>
  <c r="L509" i="6"/>
  <c r="O509" i="6" s="1"/>
  <c r="L521" i="6"/>
  <c r="O521" i="6" s="1"/>
  <c r="L529" i="6"/>
  <c r="O529" i="6" s="1"/>
  <c r="L537" i="6"/>
  <c r="O537" i="6" s="1"/>
  <c r="L545" i="6"/>
  <c r="O545" i="6" s="1"/>
  <c r="L553" i="6"/>
  <c r="O553" i="6" s="1"/>
  <c r="L561" i="6"/>
  <c r="O561" i="6" s="1"/>
  <c r="L569" i="6"/>
  <c r="O569" i="6" s="1"/>
  <c r="L577" i="6"/>
  <c r="O577" i="6" s="1"/>
  <c r="L585" i="6"/>
  <c r="O585" i="6" s="1"/>
  <c r="L593" i="6"/>
  <c r="O593" i="6" s="1"/>
  <c r="L506" i="6"/>
  <c r="O506" i="6" s="1"/>
  <c r="L514" i="6"/>
  <c r="O514" i="6" s="1"/>
  <c r="L522" i="6"/>
  <c r="O522" i="6" s="1"/>
  <c r="L530" i="6"/>
  <c r="O530" i="6" s="1"/>
  <c r="L538" i="6"/>
  <c r="O538" i="6" s="1"/>
  <c r="L546" i="6"/>
  <c r="O546" i="6" s="1"/>
  <c r="L554" i="6"/>
  <c r="O554" i="6" s="1"/>
  <c r="L562" i="6"/>
  <c r="O562" i="6" s="1"/>
  <c r="L570" i="6"/>
  <c r="O570" i="6" s="1"/>
  <c r="L578" i="6"/>
  <c r="O578" i="6" s="1"/>
  <c r="L586" i="6"/>
  <c r="O586" i="6" s="1"/>
  <c r="L594" i="6"/>
  <c r="O594" i="6" s="1"/>
  <c r="L507" i="6"/>
  <c r="O507" i="6" s="1"/>
  <c r="L519" i="6"/>
  <c r="O519" i="6" s="1"/>
  <c r="L527" i="6"/>
  <c r="O527" i="6" s="1"/>
  <c r="L535" i="6"/>
  <c r="O535" i="6" s="1"/>
  <c r="L543" i="6"/>
  <c r="O543" i="6" s="1"/>
  <c r="L551" i="6"/>
  <c r="O551" i="6" s="1"/>
  <c r="L559" i="6"/>
  <c r="O559" i="6" s="1"/>
  <c r="L567" i="6"/>
  <c r="O567" i="6" s="1"/>
  <c r="L575" i="6"/>
  <c r="O575" i="6" s="1"/>
  <c r="L583" i="6"/>
  <c r="O583" i="6" s="1"/>
  <c r="L591" i="6"/>
  <c r="O591" i="6" s="1"/>
  <c r="L599" i="6"/>
  <c r="O599" i="6" s="1"/>
  <c r="L504" i="6"/>
  <c r="O504" i="6" s="1"/>
  <c r="L512" i="6"/>
  <c r="O512" i="6" s="1"/>
  <c r="L520" i="6"/>
  <c r="O520" i="6" s="1"/>
  <c r="L528" i="6"/>
  <c r="O528" i="6" s="1"/>
  <c r="L536" i="6"/>
  <c r="O536" i="6" s="1"/>
  <c r="L544" i="6"/>
  <c r="O544" i="6" s="1"/>
  <c r="L552" i="6"/>
  <c r="O552" i="6" s="1"/>
  <c r="L560" i="6"/>
  <c r="O560" i="6" s="1"/>
  <c r="L568" i="6"/>
  <c r="O568" i="6" s="1"/>
  <c r="L576" i="6"/>
  <c r="O576" i="6" s="1"/>
  <c r="L584" i="6"/>
  <c r="O584" i="6" s="1"/>
  <c r="L592" i="6"/>
  <c r="O592" i="6" s="1"/>
  <c r="L600" i="6"/>
  <c r="O600" i="6" s="1"/>
  <c r="K412" i="4"/>
  <c r="K25" i="4"/>
  <c r="K69" i="4"/>
  <c r="K249" i="4"/>
  <c r="K329" i="4"/>
  <c r="K331" i="4"/>
  <c r="K450" i="4"/>
  <c r="K442" i="4"/>
  <c r="K434" i="4"/>
  <c r="K426" i="4"/>
  <c r="K402" i="4"/>
  <c r="K386" i="4"/>
  <c r="K370" i="4"/>
  <c r="K362" i="4"/>
  <c r="K346" i="4"/>
  <c r="K298" i="4"/>
  <c r="K183" i="4"/>
  <c r="K159" i="4"/>
  <c r="K143" i="4"/>
  <c r="K135" i="4"/>
  <c r="K127" i="4"/>
  <c r="K123" i="4"/>
  <c r="K10" i="4"/>
  <c r="K30" i="4"/>
  <c r="K34" i="4"/>
  <c r="K38" i="4"/>
  <c r="K46" i="4"/>
  <c r="K58" i="4"/>
  <c r="K62" i="4"/>
  <c r="K82" i="4"/>
  <c r="K102" i="4"/>
  <c r="K114" i="4"/>
  <c r="K269" i="4"/>
  <c r="K301" i="4"/>
  <c r="K317" i="4"/>
  <c r="K365" i="4"/>
  <c r="K397" i="4"/>
  <c r="K429" i="4"/>
  <c r="K7" i="4"/>
  <c r="K23" i="4"/>
  <c r="K47" i="4"/>
  <c r="K55" i="4"/>
  <c r="K79" i="4"/>
  <c r="K273" i="4"/>
  <c r="K305" i="4"/>
  <c r="K321" i="4"/>
  <c r="K337" i="4"/>
  <c r="K353" i="4"/>
  <c r="K417" i="4"/>
  <c r="K481" i="4"/>
  <c r="K315" i="4"/>
  <c r="K443" i="4"/>
  <c r="K351" i="4"/>
  <c r="K454" i="4"/>
  <c r="K430" i="4"/>
  <c r="K390" i="4"/>
  <c r="K342" i="4"/>
  <c r="K326" i="4"/>
  <c r="K310" i="4"/>
  <c r="K286" i="4"/>
  <c r="K241" i="4"/>
  <c r="K233" i="4"/>
  <c r="K221" i="4"/>
  <c r="K213" i="4"/>
  <c r="K181" i="4"/>
  <c r="K60" i="4"/>
  <c r="K100" i="4"/>
  <c r="K325" i="4"/>
  <c r="K389" i="4"/>
  <c r="K421" i="4"/>
  <c r="K437" i="4"/>
  <c r="K89" i="4"/>
  <c r="K101" i="4"/>
  <c r="K242" i="4"/>
  <c r="K238" i="4"/>
  <c r="K234" i="4"/>
  <c r="K222" i="4"/>
  <c r="K218" i="4"/>
  <c r="K206" i="4"/>
  <c r="K186" i="4"/>
  <c r="K158" i="4"/>
  <c r="K146" i="4"/>
  <c r="K15" i="4"/>
  <c r="K27" i="4"/>
  <c r="K35" i="4"/>
  <c r="K39" i="4"/>
  <c r="K75" i="4"/>
  <c r="K99" i="4"/>
  <c r="K257" i="4"/>
  <c r="K255" i="4"/>
  <c r="K254" i="4"/>
  <c r="K246" i="4"/>
  <c r="K237" i="4"/>
  <c r="K177" i="4"/>
  <c r="K165" i="4"/>
  <c r="K161" i="4"/>
  <c r="K157" i="4"/>
  <c r="K137" i="4"/>
  <c r="K133" i="4"/>
  <c r="K117" i="4"/>
  <c r="K24" i="4"/>
  <c r="K36" i="4"/>
  <c r="K52" i="4"/>
  <c r="K96" i="4"/>
  <c r="K83" i="4"/>
  <c r="K95" i="4"/>
  <c r="K369" i="4"/>
  <c r="K401" i="4"/>
  <c r="K433" i="4"/>
  <c r="K449" i="4"/>
  <c r="K465" i="4"/>
  <c r="K497" i="4"/>
  <c r="K347" i="4"/>
  <c r="K475" i="4"/>
  <c r="K383" i="4"/>
  <c r="K494" i="4"/>
  <c r="K486" i="4"/>
  <c r="K478" i="4"/>
  <c r="K470" i="4"/>
  <c r="K462" i="4"/>
  <c r="K446" i="4"/>
  <c r="K438" i="4"/>
  <c r="K422" i="4"/>
  <c r="K374" i="4"/>
  <c r="K350" i="4"/>
  <c r="K334" i="4"/>
  <c r="K318" i="4"/>
  <c r="K302" i="4"/>
  <c r="K278" i="4"/>
  <c r="K270" i="4"/>
  <c r="K225" i="4"/>
  <c r="K201" i="4"/>
  <c r="K193" i="4"/>
  <c r="K185" i="4"/>
  <c r="K125" i="4"/>
  <c r="K8" i="4"/>
  <c r="K12" i="4"/>
  <c r="K16" i="4"/>
  <c r="K20" i="4"/>
  <c r="K28" i="4"/>
  <c r="K32" i="4"/>
  <c r="K44" i="4"/>
  <c r="K48" i="4"/>
  <c r="K56" i="4"/>
  <c r="K72" i="4"/>
  <c r="K76" i="4"/>
  <c r="K80" i="4"/>
  <c r="K84" i="4"/>
  <c r="K88" i="4"/>
  <c r="K92" i="4"/>
  <c r="K104" i="4"/>
  <c r="K108" i="4"/>
  <c r="K112" i="4"/>
  <c r="K245" i="4"/>
  <c r="K261" i="4"/>
  <c r="K277" i="4"/>
  <c r="K293" i="4"/>
  <c r="K341" i="4"/>
  <c r="K357" i="4"/>
  <c r="K373" i="4"/>
  <c r="K405" i="4"/>
  <c r="K453" i="4"/>
  <c r="K469" i="4"/>
  <c r="K485" i="4"/>
  <c r="K501" i="4"/>
  <c r="K600" i="4"/>
  <c r="K598" i="4"/>
  <c r="K596" i="4"/>
  <c r="K594" i="4"/>
  <c r="K592" i="4"/>
  <c r="K590" i="4"/>
  <c r="K588" i="4"/>
  <c r="K586" i="4"/>
  <c r="K584" i="4"/>
  <c r="K582" i="4"/>
  <c r="K580" i="4"/>
  <c r="K578" i="4"/>
  <c r="K576" i="4"/>
  <c r="K574" i="4"/>
  <c r="K572" i="4"/>
  <c r="K570" i="4"/>
  <c r="K568" i="4"/>
  <c r="K566" i="4"/>
  <c r="K564" i="4"/>
  <c r="K562" i="4"/>
  <c r="K560" i="4"/>
  <c r="K558" i="4"/>
  <c r="K556" i="4"/>
  <c r="K554" i="4"/>
  <c r="K552" i="4"/>
  <c r="K550" i="4"/>
  <c r="K548" i="4"/>
  <c r="K546" i="4"/>
  <c r="K544" i="4"/>
  <c r="K542" i="4"/>
  <c r="K540" i="4"/>
  <c r="K538" i="4"/>
  <c r="K536" i="4"/>
  <c r="K534" i="4"/>
  <c r="K532" i="4"/>
  <c r="K530" i="4"/>
  <c r="K528" i="4"/>
  <c r="K526" i="4"/>
  <c r="K524" i="4"/>
  <c r="K522" i="4"/>
  <c r="K520" i="4"/>
  <c r="K518" i="4"/>
  <c r="K516" i="4"/>
  <c r="K514" i="4"/>
  <c r="K512" i="4"/>
  <c r="K510" i="4"/>
  <c r="K508" i="4"/>
  <c r="K506" i="4"/>
  <c r="K504" i="4"/>
  <c r="K495" i="4"/>
  <c r="K252" i="4"/>
  <c r="K240" i="4"/>
  <c r="K236" i="4"/>
  <c r="K208" i="4"/>
  <c r="K196" i="4"/>
  <c r="K172" i="4"/>
  <c r="K156" i="4"/>
  <c r="K144" i="4"/>
  <c r="K140" i="4"/>
  <c r="K9" i="4"/>
  <c r="K21" i="4"/>
  <c r="K33" i="4"/>
  <c r="K45" i="4"/>
  <c r="K61" i="4"/>
  <c r="K65" i="4"/>
  <c r="K81" i="4"/>
  <c r="K258" i="4"/>
  <c r="K243" i="4"/>
  <c r="K239" i="4"/>
  <c r="K223" i="4"/>
  <c r="K207" i="4"/>
  <c r="K195" i="4"/>
  <c r="K191" i="4"/>
  <c r="K187" i="4"/>
  <c r="K167" i="4"/>
  <c r="K147" i="4"/>
  <c r="K139" i="4"/>
  <c r="K131" i="4"/>
  <c r="K26" i="4"/>
  <c r="K70" i="4"/>
  <c r="K78" i="4"/>
  <c r="K90" i="4"/>
  <c r="K110" i="4"/>
  <c r="K452" i="4"/>
  <c r="K17" i="4"/>
  <c r="K37" i="4"/>
  <c r="K73" i="4"/>
  <c r="K85" i="4"/>
  <c r="K265" i="4"/>
  <c r="K281" i="4"/>
  <c r="K313" i="4"/>
  <c r="K361" i="4"/>
  <c r="K377" i="4"/>
  <c r="K393" i="4"/>
  <c r="K409" i="4"/>
  <c r="K457" i="4"/>
  <c r="K473" i="4"/>
  <c r="K489" i="4"/>
  <c r="K267" i="4"/>
  <c r="K299" i="4"/>
  <c r="K395" i="4"/>
  <c r="K427" i="4"/>
  <c r="K459" i="4"/>
  <c r="K491" i="4"/>
  <c r="K367" i="4"/>
  <c r="K399" i="4"/>
  <c r="K431" i="4"/>
  <c r="K498" i="4"/>
  <c r="K490" i="4"/>
  <c r="K482" i="4"/>
  <c r="K474" i="4"/>
  <c r="K466" i="4"/>
  <c r="K458" i="4"/>
  <c r="K418" i="4"/>
  <c r="K290" i="4"/>
  <c r="K250" i="4"/>
  <c r="K231" i="4"/>
  <c r="K227" i="4"/>
  <c r="K203" i="4"/>
  <c r="K179" i="4"/>
  <c r="K163" i="4"/>
  <c r="K155" i="4"/>
  <c r="K151" i="4"/>
  <c r="K119" i="4"/>
  <c r="K6" i="4"/>
  <c r="K14" i="4"/>
  <c r="K18" i="4"/>
  <c r="K22" i="4"/>
  <c r="K42" i="4"/>
  <c r="K50" i="4"/>
  <c r="K54" i="4"/>
  <c r="K66" i="4"/>
  <c r="K74" i="4"/>
  <c r="K98" i="4"/>
  <c r="K106" i="4"/>
  <c r="K253" i="4"/>
  <c r="K285" i="4"/>
  <c r="K333" i="4"/>
  <c r="K349" i="4"/>
  <c r="K381" i="4"/>
  <c r="K413" i="4"/>
  <c r="K445" i="4"/>
  <c r="K461" i="4"/>
  <c r="K477" i="4"/>
  <c r="K493" i="4"/>
  <c r="K499" i="4"/>
  <c r="K502" i="4"/>
  <c r="K599" i="4"/>
  <c r="K597" i="4"/>
  <c r="K595" i="4"/>
  <c r="K593" i="4"/>
  <c r="K591" i="4"/>
  <c r="K589" i="4"/>
  <c r="K587" i="4"/>
  <c r="K585" i="4"/>
  <c r="K583" i="4"/>
  <c r="K581" i="4"/>
  <c r="K579" i="4"/>
  <c r="K577" i="4"/>
  <c r="K575" i="4"/>
  <c r="K573" i="4"/>
  <c r="K571" i="4"/>
  <c r="K569" i="4"/>
  <c r="K567" i="4"/>
  <c r="K565" i="4"/>
  <c r="K563" i="4"/>
  <c r="K561" i="4"/>
  <c r="K559" i="4"/>
  <c r="K557" i="4"/>
  <c r="K555" i="4"/>
  <c r="K553" i="4"/>
  <c r="K551" i="4"/>
  <c r="K549" i="4"/>
  <c r="K547" i="4"/>
  <c r="K545" i="4"/>
  <c r="K543" i="4"/>
  <c r="K541" i="4"/>
  <c r="K539" i="4"/>
  <c r="K537" i="4"/>
  <c r="K535" i="4"/>
  <c r="K533" i="4"/>
  <c r="I533" i="6" s="1"/>
  <c r="N533" i="6" s="1"/>
  <c r="K531" i="4"/>
  <c r="K529" i="4"/>
  <c r="I529" i="6" s="1"/>
  <c r="N529" i="6" s="1"/>
  <c r="K527" i="4"/>
  <c r="K525" i="4"/>
  <c r="I525" i="6" s="1"/>
  <c r="N525" i="6" s="1"/>
  <c r="K523" i="4"/>
  <c r="K521" i="4"/>
  <c r="I521" i="6" s="1"/>
  <c r="N521" i="6" s="1"/>
  <c r="K519" i="4"/>
  <c r="K517" i="4"/>
  <c r="K515" i="4"/>
  <c r="K513" i="4"/>
  <c r="I513" i="6" s="1"/>
  <c r="N513" i="6" s="1"/>
  <c r="K511" i="4"/>
  <c r="K509" i="4"/>
  <c r="I509" i="6" s="1"/>
  <c r="N509" i="6" s="1"/>
  <c r="K507" i="4"/>
  <c r="K505" i="4"/>
  <c r="K503" i="4"/>
  <c r="E509" i="6"/>
  <c r="C509" i="6"/>
  <c r="A509" i="6"/>
  <c r="D509" i="6"/>
  <c r="M509" i="6" s="1"/>
  <c r="B509" i="6"/>
  <c r="E513" i="6"/>
  <c r="C513" i="6"/>
  <c r="A513" i="6"/>
  <c r="D513" i="6"/>
  <c r="M513" i="6" s="1"/>
  <c r="B513" i="6"/>
  <c r="E517" i="6"/>
  <c r="C517" i="6"/>
  <c r="A517" i="6"/>
  <c r="I517" i="6"/>
  <c r="N517" i="6" s="1"/>
  <c r="D517" i="6"/>
  <c r="M517" i="6" s="1"/>
  <c r="B517" i="6"/>
  <c r="E521" i="6"/>
  <c r="C521" i="6"/>
  <c r="A521" i="6"/>
  <c r="D521" i="6"/>
  <c r="M521" i="6" s="1"/>
  <c r="B521" i="6"/>
  <c r="E525" i="6"/>
  <c r="C525" i="6"/>
  <c r="A525" i="6"/>
  <c r="D525" i="6"/>
  <c r="M525" i="6" s="1"/>
  <c r="B525" i="6"/>
  <c r="E529" i="6"/>
  <c r="C529" i="6"/>
  <c r="A529" i="6"/>
  <c r="D529" i="6"/>
  <c r="M529" i="6" s="1"/>
  <c r="B529" i="6"/>
  <c r="E533" i="6"/>
  <c r="C533" i="6"/>
  <c r="A533" i="6"/>
  <c r="D533" i="6"/>
  <c r="M533" i="6" s="1"/>
  <c r="B533" i="6"/>
  <c r="I537" i="6"/>
  <c r="N537" i="6" s="1"/>
  <c r="D537" i="6"/>
  <c r="M537" i="6" s="1"/>
  <c r="B537" i="6"/>
  <c r="E537" i="6"/>
  <c r="A537" i="6"/>
  <c r="C537" i="6"/>
  <c r="I541" i="6"/>
  <c r="N541" i="6" s="1"/>
  <c r="D541" i="6"/>
  <c r="M541" i="6" s="1"/>
  <c r="B541" i="6"/>
  <c r="E541" i="6"/>
  <c r="A541" i="6"/>
  <c r="C541" i="6"/>
  <c r="I545" i="6"/>
  <c r="N545" i="6" s="1"/>
  <c r="D545" i="6"/>
  <c r="M545" i="6" s="1"/>
  <c r="B545" i="6"/>
  <c r="E545" i="6"/>
  <c r="A545" i="6"/>
  <c r="C545" i="6"/>
  <c r="I549" i="6"/>
  <c r="N549" i="6" s="1"/>
  <c r="D549" i="6"/>
  <c r="M549" i="6" s="1"/>
  <c r="B549" i="6"/>
  <c r="E549" i="6"/>
  <c r="A549" i="6"/>
  <c r="C549" i="6"/>
  <c r="I553" i="6"/>
  <c r="N553" i="6" s="1"/>
  <c r="D553" i="6"/>
  <c r="M553" i="6" s="1"/>
  <c r="B553" i="6"/>
  <c r="E553" i="6"/>
  <c r="A553" i="6"/>
  <c r="C553" i="6"/>
  <c r="I557" i="6"/>
  <c r="N557" i="6" s="1"/>
  <c r="D557" i="6"/>
  <c r="M557" i="6" s="1"/>
  <c r="B557" i="6"/>
  <c r="E557" i="6"/>
  <c r="A557" i="6"/>
  <c r="C557" i="6"/>
  <c r="I561" i="6"/>
  <c r="N561" i="6" s="1"/>
  <c r="D561" i="6"/>
  <c r="M561" i="6" s="1"/>
  <c r="B561" i="6"/>
  <c r="E561" i="6"/>
  <c r="A561" i="6"/>
  <c r="C561" i="6"/>
  <c r="I565" i="6"/>
  <c r="N565" i="6" s="1"/>
  <c r="D565" i="6"/>
  <c r="M565" i="6" s="1"/>
  <c r="B565" i="6"/>
  <c r="E565" i="6"/>
  <c r="A565" i="6"/>
  <c r="C565" i="6"/>
  <c r="I569" i="6"/>
  <c r="N569" i="6" s="1"/>
  <c r="D569" i="6"/>
  <c r="M569" i="6" s="1"/>
  <c r="B569" i="6"/>
  <c r="E569" i="6"/>
  <c r="A569" i="6"/>
  <c r="C569" i="6"/>
  <c r="I573" i="6"/>
  <c r="N573" i="6" s="1"/>
  <c r="D573" i="6"/>
  <c r="M573" i="6" s="1"/>
  <c r="B573" i="6"/>
  <c r="E573" i="6"/>
  <c r="A573" i="6"/>
  <c r="C573" i="6"/>
  <c r="I577" i="6"/>
  <c r="N577" i="6" s="1"/>
  <c r="D577" i="6"/>
  <c r="M577" i="6" s="1"/>
  <c r="B577" i="6"/>
  <c r="E577" i="6"/>
  <c r="A577" i="6"/>
  <c r="C577" i="6"/>
  <c r="I581" i="6"/>
  <c r="N581" i="6" s="1"/>
  <c r="D581" i="6"/>
  <c r="M581" i="6" s="1"/>
  <c r="B581" i="6"/>
  <c r="E581" i="6"/>
  <c r="A581" i="6"/>
  <c r="C581" i="6"/>
  <c r="I585" i="6"/>
  <c r="N585" i="6" s="1"/>
  <c r="D585" i="6"/>
  <c r="M585" i="6" s="1"/>
  <c r="B585" i="6"/>
  <c r="E585" i="6"/>
  <c r="A585" i="6"/>
  <c r="C585" i="6"/>
  <c r="I589" i="6"/>
  <c r="N589" i="6" s="1"/>
  <c r="D589" i="6"/>
  <c r="M589" i="6" s="1"/>
  <c r="B589" i="6"/>
  <c r="E589" i="6"/>
  <c r="A589" i="6"/>
  <c r="C589" i="6"/>
  <c r="I593" i="6"/>
  <c r="N593" i="6" s="1"/>
  <c r="D593" i="6"/>
  <c r="M593" i="6" s="1"/>
  <c r="B593" i="6"/>
  <c r="E593" i="6"/>
  <c r="A593" i="6"/>
  <c r="C593" i="6"/>
  <c r="I597" i="6"/>
  <c r="N597" i="6" s="1"/>
  <c r="D597" i="6"/>
  <c r="M597" i="6" s="1"/>
  <c r="B597" i="6"/>
  <c r="E597" i="6"/>
  <c r="A597" i="6"/>
  <c r="C597" i="6"/>
  <c r="I502" i="6"/>
  <c r="D502" i="6"/>
  <c r="B502" i="6"/>
  <c r="E502" i="6"/>
  <c r="A502" i="6"/>
  <c r="C502" i="6"/>
  <c r="E506" i="6"/>
  <c r="C506" i="6"/>
  <c r="A506" i="6"/>
  <c r="I506" i="6"/>
  <c r="N506" i="6" s="1"/>
  <c r="D506" i="6"/>
  <c r="M506" i="6" s="1"/>
  <c r="B506" i="6"/>
  <c r="E514" i="6"/>
  <c r="C514" i="6"/>
  <c r="A514" i="6"/>
  <c r="I514" i="6"/>
  <c r="N514" i="6" s="1"/>
  <c r="D514" i="6"/>
  <c r="M514" i="6" s="1"/>
  <c r="B514" i="6"/>
  <c r="E522" i="6"/>
  <c r="C522" i="6"/>
  <c r="A522" i="6"/>
  <c r="I522" i="6"/>
  <c r="N522" i="6" s="1"/>
  <c r="D522" i="6"/>
  <c r="M522" i="6" s="1"/>
  <c r="B522" i="6"/>
  <c r="E530" i="6"/>
  <c r="C530" i="6"/>
  <c r="A530" i="6"/>
  <c r="I530" i="6"/>
  <c r="N530" i="6" s="1"/>
  <c r="D530" i="6"/>
  <c r="M530" i="6" s="1"/>
  <c r="B530" i="6"/>
  <c r="I538" i="6"/>
  <c r="N538" i="6" s="1"/>
  <c r="D538" i="6"/>
  <c r="M538" i="6" s="1"/>
  <c r="B538" i="6"/>
  <c r="E538" i="6"/>
  <c r="A538" i="6"/>
  <c r="C538" i="6"/>
  <c r="I546" i="6"/>
  <c r="N546" i="6" s="1"/>
  <c r="D546" i="6"/>
  <c r="M546" i="6" s="1"/>
  <c r="B546" i="6"/>
  <c r="E546" i="6"/>
  <c r="A546" i="6"/>
  <c r="C546" i="6"/>
  <c r="I554" i="6"/>
  <c r="N554" i="6" s="1"/>
  <c r="D554" i="6"/>
  <c r="M554" i="6" s="1"/>
  <c r="B554" i="6"/>
  <c r="E554" i="6"/>
  <c r="A554" i="6"/>
  <c r="C554" i="6"/>
  <c r="I562" i="6"/>
  <c r="N562" i="6" s="1"/>
  <c r="D562" i="6"/>
  <c r="M562" i="6" s="1"/>
  <c r="B562" i="6"/>
  <c r="E562" i="6"/>
  <c r="A562" i="6"/>
  <c r="C562" i="6"/>
  <c r="I570" i="6"/>
  <c r="N570" i="6" s="1"/>
  <c r="D570" i="6"/>
  <c r="M570" i="6" s="1"/>
  <c r="B570" i="6"/>
  <c r="E570" i="6"/>
  <c r="A570" i="6"/>
  <c r="C570" i="6"/>
  <c r="I578" i="6"/>
  <c r="N578" i="6" s="1"/>
  <c r="D578" i="6"/>
  <c r="M578" i="6" s="1"/>
  <c r="B578" i="6"/>
  <c r="E578" i="6"/>
  <c r="A578" i="6"/>
  <c r="C578" i="6"/>
  <c r="I586" i="6"/>
  <c r="N586" i="6" s="1"/>
  <c r="D586" i="6"/>
  <c r="M586" i="6" s="1"/>
  <c r="B586" i="6"/>
  <c r="E586" i="6"/>
  <c r="A586" i="6"/>
  <c r="C586" i="6"/>
  <c r="I594" i="6"/>
  <c r="N594" i="6" s="1"/>
  <c r="D594" i="6"/>
  <c r="M594" i="6" s="1"/>
  <c r="B594" i="6"/>
  <c r="E594" i="6"/>
  <c r="A594" i="6"/>
  <c r="C594" i="6"/>
  <c r="E507" i="6"/>
  <c r="C507" i="6"/>
  <c r="A507" i="6"/>
  <c r="I507" i="6"/>
  <c r="N507" i="6" s="1"/>
  <c r="D507" i="6"/>
  <c r="M507" i="6" s="1"/>
  <c r="B507" i="6"/>
  <c r="E505" i="6"/>
  <c r="C505" i="6"/>
  <c r="A505" i="6"/>
  <c r="I505" i="6"/>
  <c r="N505" i="6" s="1"/>
  <c r="D505" i="6"/>
  <c r="M505" i="6" s="1"/>
  <c r="B505" i="6"/>
  <c r="E510" i="6"/>
  <c r="C510" i="6"/>
  <c r="A510" i="6"/>
  <c r="I510" i="6"/>
  <c r="N510" i="6" s="1"/>
  <c r="D510" i="6"/>
  <c r="M510" i="6" s="1"/>
  <c r="B510" i="6"/>
  <c r="E518" i="6"/>
  <c r="C518" i="6"/>
  <c r="A518" i="6"/>
  <c r="I518" i="6"/>
  <c r="N518" i="6" s="1"/>
  <c r="D518" i="6"/>
  <c r="M518" i="6" s="1"/>
  <c r="B518" i="6"/>
  <c r="E526" i="6"/>
  <c r="C526" i="6"/>
  <c r="A526" i="6"/>
  <c r="I526" i="6"/>
  <c r="N526" i="6" s="1"/>
  <c r="D526" i="6"/>
  <c r="M526" i="6" s="1"/>
  <c r="B526" i="6"/>
  <c r="E534" i="6"/>
  <c r="C534" i="6"/>
  <c r="A534" i="6"/>
  <c r="I534" i="6"/>
  <c r="N534" i="6" s="1"/>
  <c r="D534" i="6"/>
  <c r="M534" i="6" s="1"/>
  <c r="B534" i="6"/>
  <c r="I542" i="6"/>
  <c r="N542" i="6" s="1"/>
  <c r="D542" i="6"/>
  <c r="M542" i="6" s="1"/>
  <c r="B542" i="6"/>
  <c r="E542" i="6"/>
  <c r="A542" i="6"/>
  <c r="C542" i="6"/>
  <c r="I550" i="6"/>
  <c r="N550" i="6" s="1"/>
  <c r="D550" i="6"/>
  <c r="M550" i="6" s="1"/>
  <c r="B550" i="6"/>
  <c r="E550" i="6"/>
  <c r="A550" i="6"/>
  <c r="C550" i="6"/>
  <c r="I558" i="6"/>
  <c r="N558" i="6" s="1"/>
  <c r="D558" i="6"/>
  <c r="M558" i="6" s="1"/>
  <c r="B558" i="6"/>
  <c r="E558" i="6"/>
  <c r="A558" i="6"/>
  <c r="C558" i="6"/>
  <c r="I566" i="6"/>
  <c r="N566" i="6" s="1"/>
  <c r="D566" i="6"/>
  <c r="M566" i="6" s="1"/>
  <c r="B566" i="6"/>
  <c r="E566" i="6"/>
  <c r="A566" i="6"/>
  <c r="C566" i="6"/>
  <c r="I574" i="6"/>
  <c r="N574" i="6" s="1"/>
  <c r="D574" i="6"/>
  <c r="M574" i="6" s="1"/>
  <c r="B574" i="6"/>
  <c r="E574" i="6"/>
  <c r="A574" i="6"/>
  <c r="C574" i="6"/>
  <c r="I582" i="6"/>
  <c r="N582" i="6" s="1"/>
  <c r="D582" i="6"/>
  <c r="M582" i="6" s="1"/>
  <c r="B582" i="6"/>
  <c r="E582" i="6"/>
  <c r="A582" i="6"/>
  <c r="C582" i="6"/>
  <c r="I590" i="6"/>
  <c r="N590" i="6" s="1"/>
  <c r="D590" i="6"/>
  <c r="M590" i="6" s="1"/>
  <c r="B590" i="6"/>
  <c r="E590" i="6"/>
  <c r="A590" i="6"/>
  <c r="C590" i="6"/>
  <c r="I598" i="6"/>
  <c r="N598" i="6" s="1"/>
  <c r="D598" i="6"/>
  <c r="M598" i="6" s="1"/>
  <c r="B598" i="6"/>
  <c r="E598" i="6"/>
  <c r="A598" i="6"/>
  <c r="C598" i="6"/>
  <c r="I503" i="6"/>
  <c r="N503" i="6" s="1"/>
  <c r="D503" i="6"/>
  <c r="M503" i="6" s="1"/>
  <c r="B503" i="6"/>
  <c r="E503" i="6"/>
  <c r="A503" i="6"/>
  <c r="C503" i="6"/>
  <c r="E511" i="6"/>
  <c r="C511" i="6"/>
  <c r="A511" i="6"/>
  <c r="I511" i="6"/>
  <c r="N511" i="6" s="1"/>
  <c r="D511" i="6"/>
  <c r="M511" i="6" s="1"/>
  <c r="B511" i="6"/>
  <c r="E515" i="6"/>
  <c r="C515" i="6"/>
  <c r="A515" i="6"/>
  <c r="I515" i="6"/>
  <c r="N515" i="6" s="1"/>
  <c r="D515" i="6"/>
  <c r="M515" i="6" s="1"/>
  <c r="B515" i="6"/>
  <c r="E519" i="6"/>
  <c r="C519" i="6"/>
  <c r="A519" i="6"/>
  <c r="I519" i="6"/>
  <c r="N519" i="6" s="1"/>
  <c r="D519" i="6"/>
  <c r="M519" i="6" s="1"/>
  <c r="B519" i="6"/>
  <c r="E523" i="6"/>
  <c r="C523" i="6"/>
  <c r="A523" i="6"/>
  <c r="I523" i="6"/>
  <c r="N523" i="6" s="1"/>
  <c r="D523" i="6"/>
  <c r="M523" i="6" s="1"/>
  <c r="B523" i="6"/>
  <c r="E527" i="6"/>
  <c r="C527" i="6"/>
  <c r="A527" i="6"/>
  <c r="I527" i="6"/>
  <c r="N527" i="6" s="1"/>
  <c r="D527" i="6"/>
  <c r="M527" i="6" s="1"/>
  <c r="B527" i="6"/>
  <c r="E531" i="6"/>
  <c r="C531" i="6"/>
  <c r="A531" i="6"/>
  <c r="I531" i="6"/>
  <c r="N531" i="6" s="1"/>
  <c r="D531" i="6"/>
  <c r="M531" i="6" s="1"/>
  <c r="B531" i="6"/>
  <c r="E535" i="6"/>
  <c r="C535" i="6"/>
  <c r="A535" i="6"/>
  <c r="I535" i="6"/>
  <c r="N535" i="6" s="1"/>
  <c r="D535" i="6"/>
  <c r="M535" i="6" s="1"/>
  <c r="B535" i="6"/>
  <c r="I539" i="6"/>
  <c r="N539" i="6" s="1"/>
  <c r="D539" i="6"/>
  <c r="M539" i="6" s="1"/>
  <c r="B539" i="6"/>
  <c r="E539" i="6"/>
  <c r="A539" i="6"/>
  <c r="C539" i="6"/>
  <c r="I543" i="6"/>
  <c r="N543" i="6" s="1"/>
  <c r="D543" i="6"/>
  <c r="M543" i="6" s="1"/>
  <c r="B543" i="6"/>
  <c r="E543" i="6"/>
  <c r="A543" i="6"/>
  <c r="C543" i="6"/>
  <c r="I547" i="6"/>
  <c r="N547" i="6" s="1"/>
  <c r="D547" i="6"/>
  <c r="M547" i="6" s="1"/>
  <c r="B547" i="6"/>
  <c r="E547" i="6"/>
  <c r="A547" i="6"/>
  <c r="C547" i="6"/>
  <c r="I551" i="6"/>
  <c r="N551" i="6" s="1"/>
  <c r="D551" i="6"/>
  <c r="M551" i="6" s="1"/>
  <c r="B551" i="6"/>
  <c r="E551" i="6"/>
  <c r="A551" i="6"/>
  <c r="C551" i="6"/>
  <c r="I555" i="6"/>
  <c r="N555" i="6" s="1"/>
  <c r="D555" i="6"/>
  <c r="M555" i="6" s="1"/>
  <c r="B555" i="6"/>
  <c r="E555" i="6"/>
  <c r="A555" i="6"/>
  <c r="C555" i="6"/>
  <c r="I559" i="6"/>
  <c r="N559" i="6" s="1"/>
  <c r="D559" i="6"/>
  <c r="M559" i="6" s="1"/>
  <c r="B559" i="6"/>
  <c r="E559" i="6"/>
  <c r="A559" i="6"/>
  <c r="C559" i="6"/>
  <c r="I563" i="6"/>
  <c r="N563" i="6" s="1"/>
  <c r="D563" i="6"/>
  <c r="M563" i="6" s="1"/>
  <c r="B563" i="6"/>
  <c r="E563" i="6"/>
  <c r="A563" i="6"/>
  <c r="C563" i="6"/>
  <c r="I567" i="6"/>
  <c r="N567" i="6" s="1"/>
  <c r="D567" i="6"/>
  <c r="M567" i="6" s="1"/>
  <c r="B567" i="6"/>
  <c r="E567" i="6"/>
  <c r="A567" i="6"/>
  <c r="C567" i="6"/>
  <c r="I571" i="6"/>
  <c r="N571" i="6" s="1"/>
  <c r="D571" i="6"/>
  <c r="M571" i="6" s="1"/>
  <c r="B571" i="6"/>
  <c r="E571" i="6"/>
  <c r="A571" i="6"/>
  <c r="C571" i="6"/>
  <c r="I575" i="6"/>
  <c r="N575" i="6" s="1"/>
  <c r="D575" i="6"/>
  <c r="M575" i="6" s="1"/>
  <c r="B575" i="6"/>
  <c r="E575" i="6"/>
  <c r="A575" i="6"/>
  <c r="C575" i="6"/>
  <c r="I579" i="6"/>
  <c r="N579" i="6" s="1"/>
  <c r="D579" i="6"/>
  <c r="M579" i="6" s="1"/>
  <c r="B579" i="6"/>
  <c r="E579" i="6"/>
  <c r="A579" i="6"/>
  <c r="C579" i="6"/>
  <c r="I583" i="6"/>
  <c r="N583" i="6" s="1"/>
  <c r="D583" i="6"/>
  <c r="M583" i="6" s="1"/>
  <c r="B583" i="6"/>
  <c r="E583" i="6"/>
  <c r="A583" i="6"/>
  <c r="C583" i="6"/>
  <c r="I587" i="6"/>
  <c r="N587" i="6" s="1"/>
  <c r="D587" i="6"/>
  <c r="M587" i="6" s="1"/>
  <c r="B587" i="6"/>
  <c r="E587" i="6"/>
  <c r="A587" i="6"/>
  <c r="C587" i="6"/>
  <c r="I591" i="6"/>
  <c r="N591" i="6" s="1"/>
  <c r="D591" i="6"/>
  <c r="M591" i="6" s="1"/>
  <c r="B591" i="6"/>
  <c r="E591" i="6"/>
  <c r="A591" i="6"/>
  <c r="C591" i="6"/>
  <c r="I595" i="6"/>
  <c r="N595" i="6" s="1"/>
  <c r="D595" i="6"/>
  <c r="M595" i="6" s="1"/>
  <c r="B595" i="6"/>
  <c r="E595" i="6"/>
  <c r="A595" i="6"/>
  <c r="C595" i="6"/>
  <c r="I599" i="6"/>
  <c r="N599" i="6" s="1"/>
  <c r="D599" i="6"/>
  <c r="M599" i="6" s="1"/>
  <c r="B599" i="6"/>
  <c r="E599" i="6"/>
  <c r="A599" i="6"/>
  <c r="C599" i="6"/>
  <c r="I504" i="6"/>
  <c r="N504" i="6" s="1"/>
  <c r="D504" i="6"/>
  <c r="M504" i="6" s="1"/>
  <c r="B504" i="6"/>
  <c r="E504" i="6"/>
  <c r="A504" i="6"/>
  <c r="C504" i="6"/>
  <c r="E508" i="6"/>
  <c r="C508" i="6"/>
  <c r="A508" i="6"/>
  <c r="I508" i="6"/>
  <c r="N508" i="6" s="1"/>
  <c r="D508" i="6"/>
  <c r="M508" i="6" s="1"/>
  <c r="B508" i="6"/>
  <c r="E512" i="6"/>
  <c r="C512" i="6"/>
  <c r="A512" i="6"/>
  <c r="I512" i="6"/>
  <c r="N512" i="6" s="1"/>
  <c r="D512" i="6"/>
  <c r="M512" i="6" s="1"/>
  <c r="B512" i="6"/>
  <c r="E516" i="6"/>
  <c r="C516" i="6"/>
  <c r="A516" i="6"/>
  <c r="I516" i="6"/>
  <c r="N516" i="6" s="1"/>
  <c r="D516" i="6"/>
  <c r="M516" i="6" s="1"/>
  <c r="B516" i="6"/>
  <c r="E520" i="6"/>
  <c r="C520" i="6"/>
  <c r="A520" i="6"/>
  <c r="I520" i="6"/>
  <c r="N520" i="6" s="1"/>
  <c r="D520" i="6"/>
  <c r="M520" i="6" s="1"/>
  <c r="B520" i="6"/>
  <c r="E524" i="6"/>
  <c r="C524" i="6"/>
  <c r="A524" i="6"/>
  <c r="I524" i="6"/>
  <c r="N524" i="6" s="1"/>
  <c r="D524" i="6"/>
  <c r="M524" i="6" s="1"/>
  <c r="B524" i="6"/>
  <c r="E528" i="6"/>
  <c r="C528" i="6"/>
  <c r="A528" i="6"/>
  <c r="I528" i="6"/>
  <c r="N528" i="6" s="1"/>
  <c r="D528" i="6"/>
  <c r="M528" i="6" s="1"/>
  <c r="B528" i="6"/>
  <c r="E532" i="6"/>
  <c r="C532" i="6"/>
  <c r="A532" i="6"/>
  <c r="I532" i="6"/>
  <c r="N532" i="6" s="1"/>
  <c r="D532" i="6"/>
  <c r="M532" i="6" s="1"/>
  <c r="B532" i="6"/>
  <c r="E536" i="6"/>
  <c r="C536" i="6"/>
  <c r="A536" i="6"/>
  <c r="I536" i="6"/>
  <c r="N536" i="6" s="1"/>
  <c r="D536" i="6"/>
  <c r="M536" i="6" s="1"/>
  <c r="B536" i="6"/>
  <c r="I540" i="6"/>
  <c r="N540" i="6" s="1"/>
  <c r="D540" i="6"/>
  <c r="M540" i="6" s="1"/>
  <c r="B540" i="6"/>
  <c r="E540" i="6"/>
  <c r="A540" i="6"/>
  <c r="C540" i="6"/>
  <c r="I544" i="6"/>
  <c r="N544" i="6" s="1"/>
  <c r="D544" i="6"/>
  <c r="M544" i="6" s="1"/>
  <c r="B544" i="6"/>
  <c r="E544" i="6"/>
  <c r="A544" i="6"/>
  <c r="C544" i="6"/>
  <c r="I548" i="6"/>
  <c r="N548" i="6" s="1"/>
  <c r="D548" i="6"/>
  <c r="M548" i="6" s="1"/>
  <c r="B548" i="6"/>
  <c r="E548" i="6"/>
  <c r="A548" i="6"/>
  <c r="C548" i="6"/>
  <c r="I552" i="6"/>
  <c r="N552" i="6" s="1"/>
  <c r="D552" i="6"/>
  <c r="M552" i="6" s="1"/>
  <c r="B552" i="6"/>
  <c r="E552" i="6"/>
  <c r="A552" i="6"/>
  <c r="C552" i="6"/>
  <c r="I556" i="6"/>
  <c r="N556" i="6" s="1"/>
  <c r="D556" i="6"/>
  <c r="M556" i="6" s="1"/>
  <c r="B556" i="6"/>
  <c r="E556" i="6"/>
  <c r="A556" i="6"/>
  <c r="C556" i="6"/>
  <c r="I560" i="6"/>
  <c r="N560" i="6" s="1"/>
  <c r="D560" i="6"/>
  <c r="M560" i="6" s="1"/>
  <c r="B560" i="6"/>
  <c r="E560" i="6"/>
  <c r="A560" i="6"/>
  <c r="C560" i="6"/>
  <c r="I564" i="6"/>
  <c r="N564" i="6" s="1"/>
  <c r="D564" i="6"/>
  <c r="M564" i="6" s="1"/>
  <c r="B564" i="6"/>
  <c r="E564" i="6"/>
  <c r="A564" i="6"/>
  <c r="C564" i="6"/>
  <c r="I568" i="6"/>
  <c r="N568" i="6" s="1"/>
  <c r="D568" i="6"/>
  <c r="M568" i="6" s="1"/>
  <c r="B568" i="6"/>
  <c r="E568" i="6"/>
  <c r="A568" i="6"/>
  <c r="C568" i="6"/>
  <c r="I572" i="6"/>
  <c r="N572" i="6" s="1"/>
  <c r="D572" i="6"/>
  <c r="M572" i="6" s="1"/>
  <c r="B572" i="6"/>
  <c r="E572" i="6"/>
  <c r="A572" i="6"/>
  <c r="C572" i="6"/>
  <c r="I576" i="6"/>
  <c r="N576" i="6" s="1"/>
  <c r="D576" i="6"/>
  <c r="M576" i="6" s="1"/>
  <c r="B576" i="6"/>
  <c r="E576" i="6"/>
  <c r="A576" i="6"/>
  <c r="C576" i="6"/>
  <c r="I580" i="6"/>
  <c r="N580" i="6" s="1"/>
  <c r="D580" i="6"/>
  <c r="M580" i="6" s="1"/>
  <c r="B580" i="6"/>
  <c r="E580" i="6"/>
  <c r="A580" i="6"/>
  <c r="C580" i="6"/>
  <c r="I584" i="6"/>
  <c r="N584" i="6" s="1"/>
  <c r="D584" i="6"/>
  <c r="M584" i="6" s="1"/>
  <c r="B584" i="6"/>
  <c r="E584" i="6"/>
  <c r="A584" i="6"/>
  <c r="C584" i="6"/>
  <c r="I588" i="6"/>
  <c r="N588" i="6" s="1"/>
  <c r="D588" i="6"/>
  <c r="M588" i="6" s="1"/>
  <c r="B588" i="6"/>
  <c r="E588" i="6"/>
  <c r="A588" i="6"/>
  <c r="C588" i="6"/>
  <c r="I592" i="6"/>
  <c r="N592" i="6" s="1"/>
  <c r="D592" i="6"/>
  <c r="M592" i="6" s="1"/>
  <c r="B592" i="6"/>
  <c r="E592" i="6"/>
  <c r="A592" i="6"/>
  <c r="C592" i="6"/>
  <c r="I596" i="6"/>
  <c r="N596" i="6" s="1"/>
  <c r="D596" i="6"/>
  <c r="M596" i="6" s="1"/>
  <c r="B596" i="6"/>
  <c r="E596" i="6"/>
  <c r="A596" i="6"/>
  <c r="C596" i="6"/>
  <c r="I600" i="6"/>
  <c r="N600" i="6" s="1"/>
  <c r="D600" i="6"/>
  <c r="M600" i="6" s="1"/>
  <c r="B600" i="6"/>
  <c r="E600" i="6"/>
  <c r="A600" i="6"/>
  <c r="C600" i="6"/>
  <c r="J495" i="6"/>
  <c r="E495" i="6"/>
  <c r="C495" i="6"/>
  <c r="A495" i="6"/>
  <c r="K495" i="6"/>
  <c r="I495" i="6"/>
  <c r="N495" i="6" s="1"/>
  <c r="D495" i="6"/>
  <c r="M495" i="6" s="1"/>
  <c r="B495" i="6"/>
  <c r="I259" i="4"/>
  <c r="C259" i="4"/>
  <c r="A259" i="4"/>
  <c r="J259" i="4"/>
  <c r="D259" i="4"/>
  <c r="B259" i="4"/>
  <c r="I291" i="4"/>
  <c r="C291" i="4"/>
  <c r="A291" i="4"/>
  <c r="J291" i="4"/>
  <c r="D291" i="4"/>
  <c r="B291" i="4"/>
  <c r="I323" i="4"/>
  <c r="C323" i="4"/>
  <c r="A323" i="4"/>
  <c r="J323" i="4"/>
  <c r="D323" i="4"/>
  <c r="B323" i="4"/>
  <c r="L355" i="4"/>
  <c r="I355" i="4"/>
  <c r="C355" i="4"/>
  <c r="A355" i="4"/>
  <c r="M355" i="4"/>
  <c r="J355" i="4"/>
  <c r="D355" i="4"/>
  <c r="B355" i="4"/>
  <c r="I387" i="4"/>
  <c r="C387" i="4"/>
  <c r="A387" i="4"/>
  <c r="J387" i="4"/>
  <c r="D387" i="4"/>
  <c r="B387" i="4"/>
  <c r="I419" i="4"/>
  <c r="C419" i="4"/>
  <c r="A419" i="4"/>
  <c r="J419" i="4"/>
  <c r="D419" i="4"/>
  <c r="B419" i="4"/>
  <c r="L451" i="4"/>
  <c r="I451" i="4"/>
  <c r="C451" i="4"/>
  <c r="A451" i="4"/>
  <c r="M451" i="4"/>
  <c r="J451" i="4"/>
  <c r="D451" i="4"/>
  <c r="B451" i="4"/>
  <c r="L483" i="4"/>
  <c r="M483" i="4"/>
  <c r="I483" i="4"/>
  <c r="C483" i="4"/>
  <c r="A483" i="4"/>
  <c r="J483" i="4"/>
  <c r="D483" i="4"/>
  <c r="B483" i="4"/>
  <c r="I263" i="4"/>
  <c r="C263" i="4"/>
  <c r="A263" i="4"/>
  <c r="J263" i="4"/>
  <c r="D263" i="4"/>
  <c r="B263" i="4"/>
  <c r="I295" i="4"/>
  <c r="C295" i="4"/>
  <c r="A295" i="4"/>
  <c r="J295" i="4"/>
  <c r="D295" i="4"/>
  <c r="B295" i="4"/>
  <c r="I327" i="4"/>
  <c r="C327" i="4"/>
  <c r="A327" i="4"/>
  <c r="J327" i="4"/>
  <c r="D327" i="4"/>
  <c r="B327" i="4"/>
  <c r="I359" i="4"/>
  <c r="C359" i="4"/>
  <c r="A359" i="4"/>
  <c r="J359" i="4"/>
  <c r="D359" i="4"/>
  <c r="B359" i="4"/>
  <c r="I391" i="4"/>
  <c r="C391" i="4"/>
  <c r="A391" i="4"/>
  <c r="J391" i="4"/>
  <c r="D391" i="4"/>
  <c r="B391" i="4"/>
  <c r="I423" i="4"/>
  <c r="C423" i="4"/>
  <c r="A423" i="4"/>
  <c r="J423" i="4"/>
  <c r="D423" i="4"/>
  <c r="B423" i="4"/>
  <c r="I455" i="4"/>
  <c r="C455" i="4"/>
  <c r="A455" i="4"/>
  <c r="J455" i="4"/>
  <c r="D455" i="4"/>
  <c r="B455" i="4"/>
  <c r="L487" i="4"/>
  <c r="I487" i="4"/>
  <c r="C487" i="4"/>
  <c r="A487" i="4"/>
  <c r="M487" i="4"/>
  <c r="J487" i="4"/>
  <c r="D487" i="4"/>
  <c r="B487" i="4"/>
  <c r="L492" i="4"/>
  <c r="I492" i="4"/>
  <c r="C492" i="4"/>
  <c r="A492" i="4"/>
  <c r="M492" i="4"/>
  <c r="J492" i="4"/>
  <c r="D492" i="4"/>
  <c r="B492" i="4"/>
  <c r="L484" i="4"/>
  <c r="I484" i="4"/>
  <c r="C484" i="4"/>
  <c r="A484" i="4"/>
  <c r="M484" i="4"/>
  <c r="J484" i="4"/>
  <c r="D484" i="4"/>
  <c r="B484" i="4"/>
  <c r="L476" i="4"/>
  <c r="I476" i="4"/>
  <c r="C476" i="4"/>
  <c r="A476" i="4"/>
  <c r="M476" i="4"/>
  <c r="J476" i="4"/>
  <c r="D476" i="4"/>
  <c r="B476" i="4"/>
  <c r="L468" i="4"/>
  <c r="I468" i="4"/>
  <c r="C468" i="4"/>
  <c r="A468" i="4"/>
  <c r="M468" i="4"/>
  <c r="J468" i="4"/>
  <c r="D468" i="4"/>
  <c r="B468" i="4"/>
  <c r="L460" i="4"/>
  <c r="I460" i="4"/>
  <c r="C460" i="4"/>
  <c r="A460" i="4"/>
  <c r="M460" i="4"/>
  <c r="J460" i="4"/>
  <c r="D460" i="4"/>
  <c r="B460" i="4"/>
  <c r="L452" i="4"/>
  <c r="I452" i="4"/>
  <c r="C452" i="4"/>
  <c r="A452" i="4"/>
  <c r="M452" i="4"/>
  <c r="J452" i="4"/>
  <c r="D452" i="4"/>
  <c r="B452" i="4"/>
  <c r="I444" i="4"/>
  <c r="C444" i="4"/>
  <c r="A444" i="4"/>
  <c r="J444" i="4"/>
  <c r="D444" i="4"/>
  <c r="B444" i="4"/>
  <c r="L436" i="4"/>
  <c r="I436" i="4"/>
  <c r="C436" i="4"/>
  <c r="A436" i="4"/>
  <c r="M436" i="4"/>
  <c r="J436" i="4"/>
  <c r="D436" i="4"/>
  <c r="B436" i="4"/>
  <c r="I428" i="4"/>
  <c r="C428" i="4"/>
  <c r="A428" i="4"/>
  <c r="J428" i="4"/>
  <c r="D428" i="4"/>
  <c r="B428" i="4"/>
  <c r="L420" i="4"/>
  <c r="I420" i="4"/>
  <c r="C420" i="4"/>
  <c r="A420" i="4"/>
  <c r="M420" i="4"/>
  <c r="J420" i="4"/>
  <c r="D420" i="4"/>
  <c r="B420" i="4"/>
  <c r="I412" i="4"/>
  <c r="C412" i="4"/>
  <c r="A412" i="4"/>
  <c r="J412" i="4"/>
  <c r="D412" i="4"/>
  <c r="B412" i="4"/>
  <c r="I404" i="4"/>
  <c r="C404" i="4"/>
  <c r="A404" i="4"/>
  <c r="J404" i="4"/>
  <c r="D404" i="4"/>
  <c r="B404" i="4"/>
  <c r="I396" i="4"/>
  <c r="C396" i="4"/>
  <c r="A396" i="4"/>
  <c r="J396" i="4"/>
  <c r="D396" i="4"/>
  <c r="B396" i="4"/>
  <c r="I388" i="4"/>
  <c r="C388" i="4"/>
  <c r="A388" i="4"/>
  <c r="J388" i="4"/>
  <c r="D388" i="4"/>
  <c r="B388" i="4"/>
  <c r="I380" i="4"/>
  <c r="C380" i="4"/>
  <c r="A380" i="4"/>
  <c r="J380" i="4"/>
  <c r="D380" i="4"/>
  <c r="B380" i="4"/>
  <c r="L372" i="4"/>
  <c r="I372" i="4"/>
  <c r="C372" i="4"/>
  <c r="A372" i="4"/>
  <c r="M372" i="4"/>
  <c r="J372" i="4"/>
  <c r="D372" i="4"/>
  <c r="B372" i="4"/>
  <c r="I364" i="4"/>
  <c r="C364" i="4"/>
  <c r="A364" i="4"/>
  <c r="J364" i="4"/>
  <c r="D364" i="4"/>
  <c r="B364" i="4"/>
  <c r="I356" i="4"/>
  <c r="C356" i="4"/>
  <c r="A356" i="4"/>
  <c r="J356" i="4"/>
  <c r="D356" i="4"/>
  <c r="B356" i="4"/>
  <c r="I348" i="4"/>
  <c r="C348" i="4"/>
  <c r="A348" i="4"/>
  <c r="J348" i="4"/>
  <c r="D348" i="4"/>
  <c r="B348" i="4"/>
  <c r="I340" i="4"/>
  <c r="C340" i="4"/>
  <c r="A340" i="4"/>
  <c r="J340" i="4"/>
  <c r="D340" i="4"/>
  <c r="B340" i="4"/>
  <c r="I332" i="4"/>
  <c r="C332" i="4"/>
  <c r="A332" i="4"/>
  <c r="J332" i="4"/>
  <c r="D332" i="4"/>
  <c r="B332" i="4"/>
  <c r="L324" i="4"/>
  <c r="I324" i="4"/>
  <c r="C324" i="4"/>
  <c r="A324" i="4"/>
  <c r="M324" i="4"/>
  <c r="J324" i="4"/>
  <c r="D324" i="4"/>
  <c r="B324" i="4"/>
  <c r="I316" i="4"/>
  <c r="C316" i="4"/>
  <c r="A316" i="4"/>
  <c r="J316" i="4"/>
  <c r="D316" i="4"/>
  <c r="B316" i="4"/>
  <c r="L308" i="4"/>
  <c r="I308" i="4"/>
  <c r="C308" i="4"/>
  <c r="A308" i="4"/>
  <c r="M308" i="4"/>
  <c r="J308" i="4"/>
  <c r="D308" i="4"/>
  <c r="B308" i="4"/>
  <c r="I300" i="4"/>
  <c r="C300" i="4"/>
  <c r="A300" i="4"/>
  <c r="J300" i="4"/>
  <c r="D300" i="4"/>
  <c r="B300" i="4"/>
  <c r="I292" i="4"/>
  <c r="C292" i="4"/>
  <c r="A292" i="4"/>
  <c r="J292" i="4"/>
  <c r="D292" i="4"/>
  <c r="B292" i="4"/>
  <c r="I284" i="4"/>
  <c r="C284" i="4"/>
  <c r="A284" i="4"/>
  <c r="J284" i="4"/>
  <c r="D284" i="4"/>
  <c r="B284" i="4"/>
  <c r="I276" i="4"/>
  <c r="C276" i="4"/>
  <c r="A276" i="4"/>
  <c r="J276" i="4"/>
  <c r="D276" i="4"/>
  <c r="B276" i="4"/>
  <c r="I268" i="4"/>
  <c r="C268" i="4"/>
  <c r="A268" i="4"/>
  <c r="J268" i="4"/>
  <c r="D268" i="4"/>
  <c r="B268" i="4"/>
  <c r="I260" i="4"/>
  <c r="C260" i="4"/>
  <c r="A260" i="4"/>
  <c r="J260" i="4"/>
  <c r="D260" i="4"/>
  <c r="B260" i="4"/>
  <c r="I252" i="4"/>
  <c r="C252" i="4"/>
  <c r="A252" i="4"/>
  <c r="J252" i="4"/>
  <c r="D252" i="4"/>
  <c r="B252" i="4"/>
  <c r="I244" i="4"/>
  <c r="C244" i="4"/>
  <c r="A244" i="4"/>
  <c r="J244" i="4"/>
  <c r="D244" i="4"/>
  <c r="B244" i="4"/>
  <c r="L240" i="4"/>
  <c r="I240" i="4"/>
  <c r="C240" i="4"/>
  <c r="A240" i="4"/>
  <c r="M240" i="4"/>
  <c r="J240" i="4"/>
  <c r="D240" i="4"/>
  <c r="B240" i="4"/>
  <c r="I236" i="4"/>
  <c r="C236" i="4"/>
  <c r="A236" i="4"/>
  <c r="J236" i="4"/>
  <c r="D236" i="4"/>
  <c r="B236" i="4"/>
  <c r="I232" i="4"/>
  <c r="C232" i="4"/>
  <c r="A232" i="4"/>
  <c r="J232" i="4"/>
  <c r="D232" i="4"/>
  <c r="B232" i="4"/>
  <c r="I228" i="4"/>
  <c r="C228" i="4"/>
  <c r="A228" i="4"/>
  <c r="J228" i="4"/>
  <c r="D228" i="4"/>
  <c r="B228" i="4"/>
  <c r="I224" i="4"/>
  <c r="C224" i="4"/>
  <c r="A224" i="4"/>
  <c r="J224" i="4"/>
  <c r="D224" i="4"/>
  <c r="B224" i="4"/>
  <c r="I220" i="4"/>
  <c r="C220" i="4"/>
  <c r="A220" i="4"/>
  <c r="J220" i="4"/>
  <c r="D220" i="4"/>
  <c r="B220" i="4"/>
  <c r="I216" i="4"/>
  <c r="C216" i="4"/>
  <c r="A216" i="4"/>
  <c r="J216" i="4"/>
  <c r="D216" i="4"/>
  <c r="B216" i="4"/>
  <c r="I212" i="4"/>
  <c r="C212" i="4"/>
  <c r="A212" i="4"/>
  <c r="J212" i="4"/>
  <c r="D212" i="4"/>
  <c r="B212" i="4"/>
  <c r="I208" i="4"/>
  <c r="C208" i="4"/>
  <c r="A208" i="4"/>
  <c r="J208" i="4"/>
  <c r="D208" i="4"/>
  <c r="B208" i="4"/>
  <c r="I204" i="4"/>
  <c r="C204" i="4"/>
  <c r="A204" i="4"/>
  <c r="J204" i="4"/>
  <c r="D204" i="4"/>
  <c r="B204" i="4"/>
  <c r="I200" i="4"/>
  <c r="C200" i="4"/>
  <c r="A200" i="4"/>
  <c r="J200" i="4"/>
  <c r="D200" i="4"/>
  <c r="B200" i="4"/>
  <c r="I196" i="4"/>
  <c r="C196" i="4"/>
  <c r="A196" i="4"/>
  <c r="J196" i="4"/>
  <c r="D196" i="4"/>
  <c r="B196" i="4"/>
  <c r="I192" i="4"/>
  <c r="C192" i="4"/>
  <c r="A192" i="4"/>
  <c r="J192" i="4"/>
  <c r="D192" i="4"/>
  <c r="B192" i="4"/>
  <c r="I188" i="4"/>
  <c r="C188" i="4"/>
  <c r="A188" i="4"/>
  <c r="J188" i="4"/>
  <c r="D188" i="4"/>
  <c r="B188" i="4"/>
  <c r="I184" i="4"/>
  <c r="C184" i="4"/>
  <c r="A184" i="4"/>
  <c r="J184" i="4"/>
  <c r="D184" i="4"/>
  <c r="B184" i="4"/>
  <c r="L180" i="4"/>
  <c r="I180" i="4"/>
  <c r="C180" i="4"/>
  <c r="A180" i="4"/>
  <c r="M180" i="4"/>
  <c r="J180" i="4"/>
  <c r="D180" i="4"/>
  <c r="B180" i="4"/>
  <c r="I176" i="4"/>
  <c r="C176" i="4"/>
  <c r="A176" i="4"/>
  <c r="J176" i="4"/>
  <c r="D176" i="4"/>
  <c r="B176" i="4"/>
  <c r="L172" i="4"/>
  <c r="I172" i="4"/>
  <c r="C172" i="4"/>
  <c r="A172" i="4"/>
  <c r="M172" i="4"/>
  <c r="J172" i="4"/>
  <c r="D172" i="4"/>
  <c r="B172" i="4"/>
  <c r="I168" i="4"/>
  <c r="C168" i="4"/>
  <c r="A168" i="4"/>
  <c r="J168" i="4"/>
  <c r="D168" i="4"/>
  <c r="B168" i="4"/>
  <c r="I164" i="4"/>
  <c r="C164" i="4"/>
  <c r="A164" i="4"/>
  <c r="J164" i="4"/>
  <c r="D164" i="4"/>
  <c r="B164" i="4"/>
  <c r="I160" i="4"/>
  <c r="C160" i="4"/>
  <c r="A160" i="4"/>
  <c r="J160" i="4"/>
  <c r="D160" i="4"/>
  <c r="B160" i="4"/>
  <c r="I156" i="4"/>
  <c r="C156" i="4"/>
  <c r="A156" i="4"/>
  <c r="J156" i="4"/>
  <c r="D156" i="4"/>
  <c r="B156" i="4"/>
  <c r="I152" i="4"/>
  <c r="C152" i="4"/>
  <c r="A152" i="4"/>
  <c r="J152" i="4"/>
  <c r="D152" i="4"/>
  <c r="B152" i="4"/>
  <c r="I148" i="4"/>
  <c r="C148" i="4"/>
  <c r="A148" i="4"/>
  <c r="J148" i="4"/>
  <c r="D148" i="4"/>
  <c r="B148" i="4"/>
  <c r="I144" i="4"/>
  <c r="C144" i="4"/>
  <c r="A144" i="4"/>
  <c r="J144" i="4"/>
  <c r="D144" i="4"/>
  <c r="B144" i="4"/>
  <c r="I140" i="4"/>
  <c r="C140" i="4"/>
  <c r="A140" i="4"/>
  <c r="J140" i="4"/>
  <c r="D140" i="4"/>
  <c r="B140" i="4"/>
  <c r="I136" i="4"/>
  <c r="C136" i="4"/>
  <c r="A136" i="4"/>
  <c r="J136" i="4"/>
  <c r="D136" i="4"/>
  <c r="B136" i="4"/>
  <c r="I132" i="4"/>
  <c r="C132" i="4"/>
  <c r="A132" i="4"/>
  <c r="J132" i="4"/>
  <c r="D132" i="4"/>
  <c r="B132" i="4"/>
  <c r="I128" i="4"/>
  <c r="C128" i="4"/>
  <c r="A128" i="4"/>
  <c r="J128" i="4"/>
  <c r="D128" i="4"/>
  <c r="B128" i="4"/>
  <c r="I124" i="4"/>
  <c r="C124" i="4"/>
  <c r="A124" i="4"/>
  <c r="J124" i="4"/>
  <c r="D124" i="4"/>
  <c r="B124" i="4"/>
  <c r="I120" i="4"/>
  <c r="C120" i="4"/>
  <c r="A120" i="4"/>
  <c r="J120" i="4"/>
  <c r="D120" i="4"/>
  <c r="B120" i="4"/>
  <c r="I116" i="4"/>
  <c r="C116" i="4"/>
  <c r="A116" i="4"/>
  <c r="J116" i="4"/>
  <c r="D116" i="4"/>
  <c r="B116" i="4"/>
  <c r="I5" i="4"/>
  <c r="C5" i="4"/>
  <c r="A5" i="4"/>
  <c r="J5" i="4"/>
  <c r="D5" i="4"/>
  <c r="B5" i="4"/>
  <c r="I9" i="4"/>
  <c r="C9" i="4"/>
  <c r="A9" i="4"/>
  <c r="J9" i="4"/>
  <c r="D9" i="4"/>
  <c r="B9" i="4"/>
  <c r="I13" i="4"/>
  <c r="C13" i="4"/>
  <c r="A13" i="4"/>
  <c r="J13" i="4"/>
  <c r="D13" i="4"/>
  <c r="B13" i="4"/>
  <c r="I17" i="4"/>
  <c r="C17" i="4"/>
  <c r="A17" i="4"/>
  <c r="J17" i="4"/>
  <c r="D17" i="4"/>
  <c r="B17" i="4"/>
  <c r="I21" i="4"/>
  <c r="C21" i="4"/>
  <c r="A21" i="4"/>
  <c r="J21" i="4"/>
  <c r="D21" i="4"/>
  <c r="B21" i="4"/>
  <c r="I25" i="4"/>
  <c r="C25" i="4"/>
  <c r="A25" i="4"/>
  <c r="J25" i="4"/>
  <c r="D25" i="4"/>
  <c r="B25" i="4"/>
  <c r="I29" i="4"/>
  <c r="C29" i="4"/>
  <c r="A29" i="4"/>
  <c r="J29" i="4"/>
  <c r="D29" i="4"/>
  <c r="B29" i="4"/>
  <c r="I33" i="4"/>
  <c r="C33" i="4"/>
  <c r="A33" i="4"/>
  <c r="J33" i="4"/>
  <c r="D33" i="4"/>
  <c r="B33" i="4"/>
  <c r="L37" i="4"/>
  <c r="I37" i="4"/>
  <c r="C37" i="4"/>
  <c r="A37" i="4"/>
  <c r="M37" i="4"/>
  <c r="J37" i="4"/>
  <c r="D37" i="4"/>
  <c r="B37" i="4"/>
  <c r="I41" i="4"/>
  <c r="C41" i="4"/>
  <c r="A41" i="4"/>
  <c r="J41" i="4"/>
  <c r="D41" i="4"/>
  <c r="B41" i="4"/>
  <c r="I45" i="4"/>
  <c r="C45" i="4"/>
  <c r="A45" i="4"/>
  <c r="J45" i="4"/>
  <c r="D45" i="4"/>
  <c r="B45" i="4"/>
  <c r="I49" i="4"/>
  <c r="C49" i="4"/>
  <c r="A49" i="4"/>
  <c r="J49" i="4"/>
  <c r="D49" i="4"/>
  <c r="B49" i="4"/>
  <c r="I53" i="4"/>
  <c r="C53" i="4"/>
  <c r="A53" i="4"/>
  <c r="J53" i="4"/>
  <c r="D53" i="4"/>
  <c r="B53" i="4"/>
  <c r="I57" i="4"/>
  <c r="C57" i="4"/>
  <c r="A57" i="4"/>
  <c r="J57" i="4"/>
  <c r="D57" i="4"/>
  <c r="B57" i="4"/>
  <c r="I61" i="4"/>
  <c r="C61" i="4"/>
  <c r="A61" i="4"/>
  <c r="J61" i="4"/>
  <c r="D61" i="4"/>
  <c r="B61" i="4"/>
  <c r="I65" i="4"/>
  <c r="C65" i="4"/>
  <c r="A65" i="4"/>
  <c r="J65" i="4"/>
  <c r="D65" i="4"/>
  <c r="B65" i="4"/>
  <c r="I69" i="4"/>
  <c r="C69" i="4"/>
  <c r="A69" i="4"/>
  <c r="J69" i="4"/>
  <c r="D69" i="4"/>
  <c r="B69" i="4"/>
  <c r="I73" i="4"/>
  <c r="C73" i="4"/>
  <c r="A73" i="4"/>
  <c r="J73" i="4"/>
  <c r="D73" i="4"/>
  <c r="B73" i="4"/>
  <c r="I77" i="4"/>
  <c r="C77" i="4"/>
  <c r="A77" i="4"/>
  <c r="J77" i="4"/>
  <c r="D77" i="4"/>
  <c r="B77" i="4"/>
  <c r="L81" i="4"/>
  <c r="I81" i="4"/>
  <c r="C81" i="4"/>
  <c r="A81" i="4"/>
  <c r="M81" i="4"/>
  <c r="J81" i="4"/>
  <c r="D81" i="4"/>
  <c r="B81" i="4"/>
  <c r="I85" i="4"/>
  <c r="C85" i="4"/>
  <c r="A85" i="4"/>
  <c r="J85" i="4"/>
  <c r="D85" i="4"/>
  <c r="B85" i="4"/>
  <c r="I89" i="4"/>
  <c r="C89" i="4"/>
  <c r="A89" i="4"/>
  <c r="J89" i="4"/>
  <c r="D89" i="4"/>
  <c r="B89" i="4"/>
  <c r="I93" i="4"/>
  <c r="C93" i="4"/>
  <c r="A93" i="4"/>
  <c r="J93" i="4"/>
  <c r="D93" i="4"/>
  <c r="B93" i="4"/>
  <c r="I97" i="4"/>
  <c r="C97" i="4"/>
  <c r="A97" i="4"/>
  <c r="J97" i="4"/>
  <c r="D97" i="4"/>
  <c r="B97" i="4"/>
  <c r="L101" i="4"/>
  <c r="I101" i="4"/>
  <c r="C101" i="4"/>
  <c r="A101" i="4"/>
  <c r="M101" i="4"/>
  <c r="J101" i="4"/>
  <c r="D101" i="4"/>
  <c r="B101" i="4"/>
  <c r="I105" i="4"/>
  <c r="C105" i="4"/>
  <c r="A105" i="4"/>
  <c r="J105" i="4"/>
  <c r="D105" i="4"/>
  <c r="B105" i="4"/>
  <c r="I109" i="4"/>
  <c r="C109" i="4"/>
  <c r="A109" i="4"/>
  <c r="J109" i="4"/>
  <c r="D109" i="4"/>
  <c r="B109" i="4"/>
  <c r="L113" i="4"/>
  <c r="I113" i="4"/>
  <c r="C113" i="4"/>
  <c r="A113" i="4"/>
  <c r="M113" i="4"/>
  <c r="J113" i="4"/>
  <c r="D113" i="4"/>
  <c r="B113" i="4"/>
  <c r="I249" i="4"/>
  <c r="C249" i="4"/>
  <c r="A249" i="4"/>
  <c r="J249" i="4"/>
  <c r="D249" i="4"/>
  <c r="B249" i="4"/>
  <c r="I265" i="4"/>
  <c r="C265" i="4"/>
  <c r="A265" i="4"/>
  <c r="J265" i="4"/>
  <c r="D265" i="4"/>
  <c r="B265" i="4"/>
  <c r="I281" i="4"/>
  <c r="C281" i="4"/>
  <c r="A281" i="4"/>
  <c r="J281" i="4"/>
  <c r="D281" i="4"/>
  <c r="B281" i="4"/>
  <c r="I297" i="4"/>
  <c r="C297" i="4"/>
  <c r="A297" i="4"/>
  <c r="J297" i="4"/>
  <c r="D297" i="4"/>
  <c r="B297" i="4"/>
  <c r="I313" i="4"/>
  <c r="C313" i="4"/>
  <c r="A313" i="4"/>
  <c r="J313" i="4"/>
  <c r="D313" i="4"/>
  <c r="B313" i="4"/>
  <c r="I329" i="4"/>
  <c r="C329" i="4"/>
  <c r="A329" i="4"/>
  <c r="J329" i="4"/>
  <c r="D329" i="4"/>
  <c r="B329" i="4"/>
  <c r="I345" i="4"/>
  <c r="C345" i="4"/>
  <c r="A345" i="4"/>
  <c r="J345" i="4"/>
  <c r="D345" i="4"/>
  <c r="B345" i="4"/>
  <c r="I361" i="4"/>
  <c r="C361" i="4"/>
  <c r="A361" i="4"/>
  <c r="J361" i="4"/>
  <c r="D361" i="4"/>
  <c r="B361" i="4"/>
  <c r="I377" i="4"/>
  <c r="C377" i="4"/>
  <c r="A377" i="4"/>
  <c r="J377" i="4"/>
  <c r="D377" i="4"/>
  <c r="B377" i="4"/>
  <c r="L393" i="4"/>
  <c r="I393" i="4"/>
  <c r="C393" i="4"/>
  <c r="A393" i="4"/>
  <c r="M393" i="4"/>
  <c r="J393" i="4"/>
  <c r="D393" i="4"/>
  <c r="B393" i="4"/>
  <c r="I409" i="4"/>
  <c r="C409" i="4"/>
  <c r="A409" i="4"/>
  <c r="J409" i="4"/>
  <c r="D409" i="4"/>
  <c r="B409" i="4"/>
  <c r="I425" i="4"/>
  <c r="C425" i="4"/>
  <c r="A425" i="4"/>
  <c r="J425" i="4"/>
  <c r="D425" i="4"/>
  <c r="B425" i="4"/>
  <c r="L441" i="4"/>
  <c r="I441" i="4"/>
  <c r="C441" i="4"/>
  <c r="A441" i="4"/>
  <c r="M441" i="4"/>
  <c r="J441" i="4"/>
  <c r="D441" i="4"/>
  <c r="B441" i="4"/>
  <c r="I457" i="4"/>
  <c r="C457" i="4"/>
  <c r="A457" i="4"/>
  <c r="J457" i="4"/>
  <c r="D457" i="4"/>
  <c r="B457" i="4"/>
  <c r="L473" i="4"/>
  <c r="I473" i="4"/>
  <c r="C473" i="4"/>
  <c r="A473" i="4"/>
  <c r="M473" i="4"/>
  <c r="J473" i="4"/>
  <c r="D473" i="4"/>
  <c r="B473" i="4"/>
  <c r="L489" i="4"/>
  <c r="I489" i="4"/>
  <c r="C489" i="4"/>
  <c r="A489" i="4"/>
  <c r="M489" i="4"/>
  <c r="J489" i="4"/>
  <c r="D489" i="4"/>
  <c r="B489" i="4"/>
  <c r="L500" i="4"/>
  <c r="I500" i="4"/>
  <c r="C500" i="4"/>
  <c r="A500" i="4"/>
  <c r="M500" i="4"/>
  <c r="J500" i="4"/>
  <c r="D500" i="4"/>
  <c r="B500" i="4"/>
  <c r="I267" i="4"/>
  <c r="C267" i="4"/>
  <c r="A267" i="4"/>
  <c r="J267" i="4"/>
  <c r="D267" i="4"/>
  <c r="B267" i="4"/>
  <c r="I299" i="4"/>
  <c r="C299" i="4"/>
  <c r="A299" i="4"/>
  <c r="J299" i="4"/>
  <c r="D299" i="4"/>
  <c r="B299" i="4"/>
  <c r="I331" i="4"/>
  <c r="C331" i="4"/>
  <c r="A331" i="4"/>
  <c r="J331" i="4"/>
  <c r="D331" i="4"/>
  <c r="B331" i="4"/>
  <c r="I363" i="4"/>
  <c r="C363" i="4"/>
  <c r="A363" i="4"/>
  <c r="J363" i="4"/>
  <c r="D363" i="4"/>
  <c r="B363" i="4"/>
  <c r="L395" i="4"/>
  <c r="I395" i="4"/>
  <c r="C395" i="4"/>
  <c r="A395" i="4"/>
  <c r="M395" i="4"/>
  <c r="J395" i="4"/>
  <c r="D395" i="4"/>
  <c r="B395" i="4"/>
  <c r="I427" i="4"/>
  <c r="C427" i="4"/>
  <c r="A427" i="4"/>
  <c r="J427" i="4"/>
  <c r="D427" i="4"/>
  <c r="B427" i="4"/>
  <c r="L459" i="4"/>
  <c r="I459" i="4"/>
  <c r="C459" i="4"/>
  <c r="A459" i="4"/>
  <c r="M459" i="4"/>
  <c r="J459" i="4"/>
  <c r="D459" i="4"/>
  <c r="B459" i="4"/>
  <c r="L491" i="4"/>
  <c r="I491" i="4"/>
  <c r="C491" i="4"/>
  <c r="A491" i="4"/>
  <c r="M491" i="4"/>
  <c r="J491" i="4"/>
  <c r="D491" i="4"/>
  <c r="B491" i="4"/>
  <c r="I271" i="4"/>
  <c r="C271" i="4"/>
  <c r="A271" i="4"/>
  <c r="J271" i="4"/>
  <c r="D271" i="4"/>
  <c r="B271" i="4"/>
  <c r="I303" i="4"/>
  <c r="C303" i="4"/>
  <c r="A303" i="4"/>
  <c r="J303" i="4"/>
  <c r="D303" i="4"/>
  <c r="B303" i="4"/>
  <c r="I335" i="4"/>
  <c r="C335" i="4"/>
  <c r="A335" i="4"/>
  <c r="J335" i="4"/>
  <c r="D335" i="4"/>
  <c r="B335" i="4"/>
  <c r="I367" i="4"/>
  <c r="C367" i="4"/>
  <c r="A367" i="4"/>
  <c r="J367" i="4"/>
  <c r="D367" i="4"/>
  <c r="B367" i="4"/>
  <c r="I399" i="4"/>
  <c r="C399" i="4"/>
  <c r="A399" i="4"/>
  <c r="J399" i="4"/>
  <c r="D399" i="4"/>
  <c r="B399" i="4"/>
  <c r="I431" i="4"/>
  <c r="C431" i="4"/>
  <c r="A431" i="4"/>
  <c r="J431" i="4"/>
  <c r="D431" i="4"/>
  <c r="B431" i="4"/>
  <c r="L463" i="4"/>
  <c r="I463" i="4"/>
  <c r="C463" i="4"/>
  <c r="A463" i="4"/>
  <c r="M463" i="4"/>
  <c r="J463" i="4"/>
  <c r="D463" i="4"/>
  <c r="B463" i="4"/>
  <c r="L498" i="4"/>
  <c r="I498" i="4"/>
  <c r="C498" i="4"/>
  <c r="A498" i="4"/>
  <c r="M498" i="4"/>
  <c r="J498" i="4"/>
  <c r="D498" i="4"/>
  <c r="B498" i="4"/>
  <c r="L490" i="4"/>
  <c r="I490" i="4"/>
  <c r="C490" i="4"/>
  <c r="A490" i="4"/>
  <c r="M490" i="4"/>
  <c r="J490" i="4"/>
  <c r="D490" i="4"/>
  <c r="B490" i="4"/>
  <c r="L482" i="4"/>
  <c r="I482" i="4"/>
  <c r="C482" i="4"/>
  <c r="A482" i="4"/>
  <c r="M482" i="4"/>
  <c r="J482" i="4"/>
  <c r="D482" i="4"/>
  <c r="B482" i="4"/>
  <c r="L474" i="4"/>
  <c r="I474" i="4"/>
  <c r="C474" i="4"/>
  <c r="A474" i="4"/>
  <c r="M474" i="4"/>
  <c r="J474" i="4"/>
  <c r="D474" i="4"/>
  <c r="B474" i="4"/>
  <c r="L466" i="4"/>
  <c r="I466" i="4"/>
  <c r="C466" i="4"/>
  <c r="A466" i="4"/>
  <c r="M466" i="4"/>
  <c r="J466" i="4"/>
  <c r="D466" i="4"/>
  <c r="B466" i="4"/>
  <c r="L458" i="4"/>
  <c r="I458" i="4"/>
  <c r="C458" i="4"/>
  <c r="A458" i="4"/>
  <c r="M458" i="4"/>
  <c r="J458" i="4"/>
  <c r="D458" i="4"/>
  <c r="B458" i="4"/>
  <c r="I450" i="4"/>
  <c r="C450" i="4"/>
  <c r="A450" i="4"/>
  <c r="J450" i="4"/>
  <c r="D450" i="4"/>
  <c r="B450" i="4"/>
  <c r="I442" i="4"/>
  <c r="C442" i="4"/>
  <c r="A442" i="4"/>
  <c r="J442" i="4"/>
  <c r="D442" i="4"/>
  <c r="B442" i="4"/>
  <c r="I434" i="4"/>
  <c r="C434" i="4"/>
  <c r="A434" i="4"/>
  <c r="J434" i="4"/>
  <c r="D434" i="4"/>
  <c r="B434" i="4"/>
  <c r="I426" i="4"/>
  <c r="C426" i="4"/>
  <c r="A426" i="4"/>
  <c r="J426" i="4"/>
  <c r="D426" i="4"/>
  <c r="B426" i="4"/>
  <c r="I418" i="4"/>
  <c r="C418" i="4"/>
  <c r="A418" i="4"/>
  <c r="J418" i="4"/>
  <c r="D418" i="4"/>
  <c r="B418" i="4"/>
  <c r="I410" i="4"/>
  <c r="C410" i="4"/>
  <c r="A410" i="4"/>
  <c r="J410" i="4"/>
  <c r="D410" i="4"/>
  <c r="B410" i="4"/>
  <c r="I402" i="4"/>
  <c r="C402" i="4"/>
  <c r="A402" i="4"/>
  <c r="J402" i="4"/>
  <c r="D402" i="4"/>
  <c r="B402" i="4"/>
  <c r="I394" i="4"/>
  <c r="C394" i="4"/>
  <c r="A394" i="4"/>
  <c r="J394" i="4"/>
  <c r="D394" i="4"/>
  <c r="B394" i="4"/>
  <c r="L386" i="4"/>
  <c r="I386" i="4"/>
  <c r="C386" i="4"/>
  <c r="A386" i="4"/>
  <c r="M386" i="4"/>
  <c r="J386" i="4"/>
  <c r="D386" i="4"/>
  <c r="B386" i="4"/>
  <c r="I378" i="4"/>
  <c r="C378" i="4"/>
  <c r="A378" i="4"/>
  <c r="J378" i="4"/>
  <c r="D378" i="4"/>
  <c r="B378" i="4"/>
  <c r="I370" i="4"/>
  <c r="C370" i="4"/>
  <c r="A370" i="4"/>
  <c r="J370" i="4"/>
  <c r="D370" i="4"/>
  <c r="B370" i="4"/>
  <c r="L362" i="4"/>
  <c r="I362" i="4"/>
  <c r="C362" i="4"/>
  <c r="A362" i="4"/>
  <c r="M362" i="4"/>
  <c r="J362" i="4"/>
  <c r="D362" i="4"/>
  <c r="B362" i="4"/>
  <c r="I354" i="4"/>
  <c r="C354" i="4"/>
  <c r="A354" i="4"/>
  <c r="J354" i="4"/>
  <c r="D354" i="4"/>
  <c r="B354" i="4"/>
  <c r="I346" i="4"/>
  <c r="C346" i="4"/>
  <c r="A346" i="4"/>
  <c r="J346" i="4"/>
  <c r="D346" i="4"/>
  <c r="B346" i="4"/>
  <c r="I338" i="4"/>
  <c r="C338" i="4"/>
  <c r="A338" i="4"/>
  <c r="J338" i="4"/>
  <c r="D338" i="4"/>
  <c r="B338" i="4"/>
  <c r="I330" i="4"/>
  <c r="C330" i="4"/>
  <c r="A330" i="4"/>
  <c r="J330" i="4"/>
  <c r="D330" i="4"/>
  <c r="B330" i="4"/>
  <c r="I322" i="4"/>
  <c r="C322" i="4"/>
  <c r="A322" i="4"/>
  <c r="J322" i="4"/>
  <c r="D322" i="4"/>
  <c r="B322" i="4"/>
  <c r="L314" i="4"/>
  <c r="I314" i="4"/>
  <c r="C314" i="4"/>
  <c r="A314" i="4"/>
  <c r="M314" i="4"/>
  <c r="J314" i="4"/>
  <c r="D314" i="4"/>
  <c r="B314" i="4"/>
  <c r="I306" i="4"/>
  <c r="C306" i="4"/>
  <c r="A306" i="4"/>
  <c r="J306" i="4"/>
  <c r="D306" i="4"/>
  <c r="B306" i="4"/>
  <c r="L298" i="4"/>
  <c r="I298" i="4"/>
  <c r="C298" i="4"/>
  <c r="A298" i="4"/>
  <c r="M298" i="4"/>
  <c r="J298" i="4"/>
  <c r="D298" i="4"/>
  <c r="B298" i="4"/>
  <c r="L290" i="4"/>
  <c r="I290" i="4"/>
  <c r="C290" i="4"/>
  <c r="A290" i="4"/>
  <c r="M290" i="4"/>
  <c r="J290" i="4"/>
  <c r="D290" i="4"/>
  <c r="B290" i="4"/>
  <c r="I282" i="4"/>
  <c r="C282" i="4"/>
  <c r="A282" i="4"/>
  <c r="J282" i="4"/>
  <c r="D282" i="4"/>
  <c r="B282" i="4"/>
  <c r="L274" i="4"/>
  <c r="I274" i="4"/>
  <c r="C274" i="4"/>
  <c r="A274" i="4"/>
  <c r="M274" i="4"/>
  <c r="J274" i="4"/>
  <c r="D274" i="4"/>
  <c r="B274" i="4"/>
  <c r="I266" i="4"/>
  <c r="C266" i="4"/>
  <c r="A266" i="4"/>
  <c r="J266" i="4"/>
  <c r="D266" i="4"/>
  <c r="B266" i="4"/>
  <c r="I258" i="4"/>
  <c r="C258" i="4"/>
  <c r="A258" i="4"/>
  <c r="J258" i="4"/>
  <c r="D258" i="4"/>
  <c r="B258" i="4"/>
  <c r="I250" i="4"/>
  <c r="C250" i="4"/>
  <c r="A250" i="4"/>
  <c r="J250" i="4"/>
  <c r="D250" i="4"/>
  <c r="B250" i="4"/>
  <c r="I243" i="4"/>
  <c r="C243" i="4"/>
  <c r="A243" i="4"/>
  <c r="J243" i="4"/>
  <c r="D243" i="4"/>
  <c r="B243" i="4"/>
  <c r="I239" i="4"/>
  <c r="C239" i="4"/>
  <c r="A239" i="4"/>
  <c r="J239" i="4"/>
  <c r="D239" i="4"/>
  <c r="B239" i="4"/>
  <c r="I235" i="4"/>
  <c r="C235" i="4"/>
  <c r="A235" i="4"/>
  <c r="J235" i="4"/>
  <c r="D235" i="4"/>
  <c r="B235" i="4"/>
  <c r="I231" i="4"/>
  <c r="C231" i="4"/>
  <c r="A231" i="4"/>
  <c r="J231" i="4"/>
  <c r="D231" i="4"/>
  <c r="B231" i="4"/>
  <c r="I227" i="4"/>
  <c r="C227" i="4"/>
  <c r="A227" i="4"/>
  <c r="J227" i="4"/>
  <c r="D227" i="4"/>
  <c r="B227" i="4"/>
  <c r="I223" i="4"/>
  <c r="C223" i="4"/>
  <c r="A223" i="4"/>
  <c r="J223" i="4"/>
  <c r="D223" i="4"/>
  <c r="B223" i="4"/>
  <c r="I219" i="4"/>
  <c r="C219" i="4"/>
  <c r="A219" i="4"/>
  <c r="J219" i="4"/>
  <c r="D219" i="4"/>
  <c r="B219" i="4"/>
  <c r="I215" i="4"/>
  <c r="C215" i="4"/>
  <c r="A215" i="4"/>
  <c r="J215" i="4"/>
  <c r="D215" i="4"/>
  <c r="B215" i="4"/>
  <c r="I211" i="4"/>
  <c r="C211" i="4"/>
  <c r="A211" i="4"/>
  <c r="J211" i="4"/>
  <c r="D211" i="4"/>
  <c r="B211" i="4"/>
  <c r="I207" i="4"/>
  <c r="C207" i="4"/>
  <c r="A207" i="4"/>
  <c r="J207" i="4"/>
  <c r="D207" i="4"/>
  <c r="B207" i="4"/>
  <c r="L203" i="4"/>
  <c r="I203" i="4"/>
  <c r="C203" i="4"/>
  <c r="A203" i="4"/>
  <c r="M203" i="4"/>
  <c r="J203" i="4"/>
  <c r="D203" i="4"/>
  <c r="B203" i="4"/>
  <c r="I199" i="4"/>
  <c r="C199" i="4"/>
  <c r="A199" i="4"/>
  <c r="J199" i="4"/>
  <c r="D199" i="4"/>
  <c r="B199" i="4"/>
  <c r="I195" i="4"/>
  <c r="C195" i="4"/>
  <c r="A195" i="4"/>
  <c r="J195" i="4"/>
  <c r="D195" i="4"/>
  <c r="B195" i="4"/>
  <c r="I191" i="4"/>
  <c r="C191" i="4"/>
  <c r="A191" i="4"/>
  <c r="J191" i="4"/>
  <c r="D191" i="4"/>
  <c r="B191" i="4"/>
  <c r="I187" i="4"/>
  <c r="C187" i="4"/>
  <c r="A187" i="4"/>
  <c r="J187" i="4"/>
  <c r="D187" i="4"/>
  <c r="B187" i="4"/>
  <c r="I183" i="4"/>
  <c r="C183" i="4"/>
  <c r="A183" i="4"/>
  <c r="J183" i="4"/>
  <c r="D183" i="4"/>
  <c r="B183" i="4"/>
  <c r="I179" i="4"/>
  <c r="C179" i="4"/>
  <c r="A179" i="4"/>
  <c r="J179" i="4"/>
  <c r="D179" i="4"/>
  <c r="B179" i="4"/>
  <c r="I175" i="4"/>
  <c r="C175" i="4"/>
  <c r="A175" i="4"/>
  <c r="J175" i="4"/>
  <c r="D175" i="4"/>
  <c r="B175" i="4"/>
  <c r="I171" i="4"/>
  <c r="C171" i="4"/>
  <c r="A171" i="4"/>
  <c r="J171" i="4"/>
  <c r="D171" i="4"/>
  <c r="B171" i="4"/>
  <c r="L167" i="4"/>
  <c r="I167" i="4"/>
  <c r="C167" i="4"/>
  <c r="A167" i="4"/>
  <c r="M167" i="4"/>
  <c r="J167" i="4"/>
  <c r="D167" i="4"/>
  <c r="B167" i="4"/>
  <c r="L163" i="4"/>
  <c r="I163" i="4"/>
  <c r="C163" i="4"/>
  <c r="A163" i="4"/>
  <c r="M163" i="4"/>
  <c r="J163" i="4"/>
  <c r="D163" i="4"/>
  <c r="B163" i="4"/>
  <c r="I159" i="4"/>
  <c r="C159" i="4"/>
  <c r="A159" i="4"/>
  <c r="J159" i="4"/>
  <c r="D159" i="4"/>
  <c r="B159" i="4"/>
  <c r="I155" i="4"/>
  <c r="C155" i="4"/>
  <c r="A155" i="4"/>
  <c r="J155" i="4"/>
  <c r="D155" i="4"/>
  <c r="B155" i="4"/>
  <c r="I151" i="4"/>
  <c r="C151" i="4"/>
  <c r="A151" i="4"/>
  <c r="J151" i="4"/>
  <c r="D151" i="4"/>
  <c r="B151" i="4"/>
  <c r="I147" i="4"/>
  <c r="C147" i="4"/>
  <c r="A147" i="4"/>
  <c r="J147" i="4"/>
  <c r="D147" i="4"/>
  <c r="B147" i="4"/>
  <c r="I143" i="4"/>
  <c r="C143" i="4"/>
  <c r="A143" i="4"/>
  <c r="J143" i="4"/>
  <c r="D143" i="4"/>
  <c r="B143" i="4"/>
  <c r="I139" i="4"/>
  <c r="C139" i="4"/>
  <c r="A139" i="4"/>
  <c r="J139" i="4"/>
  <c r="D139" i="4"/>
  <c r="B139" i="4"/>
  <c r="I135" i="4"/>
  <c r="C135" i="4"/>
  <c r="A135" i="4"/>
  <c r="J135" i="4"/>
  <c r="D135" i="4"/>
  <c r="B135" i="4"/>
  <c r="L131" i="4"/>
  <c r="I131" i="4"/>
  <c r="C131" i="4"/>
  <c r="A131" i="4"/>
  <c r="M131" i="4"/>
  <c r="J131" i="4"/>
  <c r="D131" i="4"/>
  <c r="B131" i="4"/>
  <c r="I127" i="4"/>
  <c r="C127" i="4"/>
  <c r="A127" i="4"/>
  <c r="J127" i="4"/>
  <c r="D127" i="4"/>
  <c r="B127" i="4"/>
  <c r="I123" i="4"/>
  <c r="C123" i="4"/>
  <c r="A123" i="4"/>
  <c r="J123" i="4"/>
  <c r="D123" i="4"/>
  <c r="B123" i="4"/>
  <c r="I119" i="4"/>
  <c r="C119" i="4"/>
  <c r="A119" i="4"/>
  <c r="J119" i="4"/>
  <c r="D119" i="4"/>
  <c r="B119" i="4"/>
  <c r="I6" i="4"/>
  <c r="C6" i="4"/>
  <c r="A6" i="4"/>
  <c r="J6" i="4"/>
  <c r="D6" i="4"/>
  <c r="B6" i="4"/>
  <c r="I10" i="4"/>
  <c r="C10" i="4"/>
  <c r="A10" i="4"/>
  <c r="J10" i="4"/>
  <c r="D10" i="4"/>
  <c r="B10" i="4"/>
  <c r="I14" i="4"/>
  <c r="C14" i="4"/>
  <c r="A14" i="4"/>
  <c r="J14" i="4"/>
  <c r="D14" i="4"/>
  <c r="B14" i="4"/>
  <c r="I18" i="4"/>
  <c r="C18" i="4"/>
  <c r="A18" i="4"/>
  <c r="J18" i="4"/>
  <c r="D18" i="4"/>
  <c r="B18" i="4"/>
  <c r="I22" i="4"/>
  <c r="C22" i="4"/>
  <c r="A22" i="4"/>
  <c r="J22" i="4"/>
  <c r="D22" i="4"/>
  <c r="B22" i="4"/>
  <c r="L26" i="4"/>
  <c r="I26" i="4"/>
  <c r="C26" i="4"/>
  <c r="A26" i="4"/>
  <c r="M26" i="4"/>
  <c r="J26" i="4"/>
  <c r="D26" i="4"/>
  <c r="B26" i="4"/>
  <c r="I30" i="4"/>
  <c r="C30" i="4"/>
  <c r="A30" i="4"/>
  <c r="J30" i="4"/>
  <c r="D30" i="4"/>
  <c r="B30" i="4"/>
  <c r="I34" i="4"/>
  <c r="C34" i="4"/>
  <c r="A34" i="4"/>
  <c r="J34" i="4"/>
  <c r="D34" i="4"/>
  <c r="B34" i="4"/>
  <c r="I38" i="4"/>
  <c r="C38" i="4"/>
  <c r="A38" i="4"/>
  <c r="J38" i="4"/>
  <c r="D38" i="4"/>
  <c r="B38" i="4"/>
  <c r="I42" i="4"/>
  <c r="C42" i="4"/>
  <c r="A42" i="4"/>
  <c r="J42" i="4"/>
  <c r="D42" i="4"/>
  <c r="B42" i="4"/>
  <c r="I46" i="4"/>
  <c r="C46" i="4"/>
  <c r="A46" i="4"/>
  <c r="J46" i="4"/>
  <c r="D46" i="4"/>
  <c r="B46" i="4"/>
  <c r="L50" i="4"/>
  <c r="I50" i="4"/>
  <c r="C50" i="4"/>
  <c r="A50" i="4"/>
  <c r="M50" i="4"/>
  <c r="J50" i="4"/>
  <c r="D50" i="4"/>
  <c r="B50" i="4"/>
  <c r="I54" i="4"/>
  <c r="C54" i="4"/>
  <c r="A54" i="4"/>
  <c r="J54" i="4"/>
  <c r="D54" i="4"/>
  <c r="B54" i="4"/>
  <c r="I58" i="4"/>
  <c r="C58" i="4"/>
  <c r="A58" i="4"/>
  <c r="J58" i="4"/>
  <c r="D58" i="4"/>
  <c r="B58" i="4"/>
  <c r="I62" i="4"/>
  <c r="C62" i="4"/>
  <c r="A62" i="4"/>
  <c r="J62" i="4"/>
  <c r="D62" i="4"/>
  <c r="B62" i="4"/>
  <c r="I66" i="4"/>
  <c r="C66" i="4"/>
  <c r="A66" i="4"/>
  <c r="J66" i="4"/>
  <c r="D66" i="4"/>
  <c r="B66" i="4"/>
  <c r="I70" i="4"/>
  <c r="C70" i="4"/>
  <c r="A70" i="4"/>
  <c r="J70" i="4"/>
  <c r="D70" i="4"/>
  <c r="B70" i="4"/>
  <c r="I74" i="4"/>
  <c r="C74" i="4"/>
  <c r="A74" i="4"/>
  <c r="J74" i="4"/>
  <c r="D74" i="4"/>
  <c r="B74" i="4"/>
  <c r="I78" i="4"/>
  <c r="C78" i="4"/>
  <c r="A78" i="4"/>
  <c r="J78" i="4"/>
  <c r="D78" i="4"/>
  <c r="B78" i="4"/>
  <c r="I82" i="4"/>
  <c r="C82" i="4"/>
  <c r="A82" i="4"/>
  <c r="J82" i="4"/>
  <c r="D82" i="4"/>
  <c r="B82" i="4"/>
  <c r="I86" i="4"/>
  <c r="C86" i="4"/>
  <c r="A86" i="4"/>
  <c r="J86" i="4"/>
  <c r="D86" i="4"/>
  <c r="B86" i="4"/>
  <c r="I90" i="4"/>
  <c r="G90" i="6" s="1"/>
  <c r="C90" i="4"/>
  <c r="A90" i="4"/>
  <c r="J90" i="4"/>
  <c r="D90" i="4"/>
  <c r="B90" i="4"/>
  <c r="I94" i="4"/>
  <c r="C94" i="4"/>
  <c r="A94" i="4"/>
  <c r="J94" i="4"/>
  <c r="D94" i="4"/>
  <c r="B94" i="4"/>
  <c r="I98" i="4"/>
  <c r="C98" i="4"/>
  <c r="A98" i="4"/>
  <c r="J98" i="4"/>
  <c r="D98" i="4"/>
  <c r="B98" i="4"/>
  <c r="I102" i="4"/>
  <c r="G102" i="6" s="1"/>
  <c r="C102" i="4"/>
  <c r="A102" i="4"/>
  <c r="J102" i="4"/>
  <c r="D102" i="4"/>
  <c r="B102" i="4"/>
  <c r="L106" i="4"/>
  <c r="I106" i="4"/>
  <c r="C106" i="4"/>
  <c r="A106" i="4"/>
  <c r="M106" i="4"/>
  <c r="J106" i="4"/>
  <c r="D106" i="4"/>
  <c r="B106" i="4"/>
  <c r="L110" i="4"/>
  <c r="I110" i="4"/>
  <c r="C110" i="4"/>
  <c r="A110" i="4"/>
  <c r="M110" i="4"/>
  <c r="J110" i="4"/>
  <c r="D110" i="4"/>
  <c r="B110" i="4"/>
  <c r="I114" i="4"/>
  <c r="C114" i="4"/>
  <c r="A114" i="4"/>
  <c r="J114" i="4"/>
  <c r="D114" i="4"/>
  <c r="B114" i="4"/>
  <c r="I253" i="4"/>
  <c r="G253" i="6" s="1"/>
  <c r="C253" i="4"/>
  <c r="A253" i="4"/>
  <c r="J253" i="4"/>
  <c r="D253" i="4"/>
  <c r="B253" i="4"/>
  <c r="I269" i="4"/>
  <c r="C269" i="4"/>
  <c r="A269" i="4"/>
  <c r="J269" i="4"/>
  <c r="D269" i="4"/>
  <c r="B269" i="4"/>
  <c r="I285" i="4"/>
  <c r="G285" i="6" s="1"/>
  <c r="C285" i="4"/>
  <c r="A285" i="4"/>
  <c r="J285" i="4"/>
  <c r="D285" i="4"/>
  <c r="B285" i="4"/>
  <c r="I301" i="4"/>
  <c r="C301" i="4"/>
  <c r="A301" i="4"/>
  <c r="J301" i="4"/>
  <c r="D301" i="4"/>
  <c r="B301" i="4"/>
  <c r="I317" i="4"/>
  <c r="G317" i="6" s="1"/>
  <c r="C317" i="4"/>
  <c r="A317" i="4"/>
  <c r="J317" i="4"/>
  <c r="D317" i="4"/>
  <c r="B317" i="4"/>
  <c r="I333" i="4"/>
  <c r="C333" i="4"/>
  <c r="A333" i="4"/>
  <c r="J333" i="4"/>
  <c r="D333" i="4"/>
  <c r="B333" i="4"/>
  <c r="I349" i="4"/>
  <c r="C349" i="4"/>
  <c r="A349" i="4"/>
  <c r="J349" i="4"/>
  <c r="D349" i="4"/>
  <c r="B349" i="4"/>
  <c r="I365" i="4"/>
  <c r="C365" i="4"/>
  <c r="A365" i="4"/>
  <c r="J365" i="4"/>
  <c r="D365" i="4"/>
  <c r="B365" i="4"/>
  <c r="I381" i="4"/>
  <c r="G381" i="6" s="1"/>
  <c r="C381" i="4"/>
  <c r="A381" i="4"/>
  <c r="J381" i="4"/>
  <c r="D381" i="4"/>
  <c r="B381" i="4"/>
  <c r="I397" i="4"/>
  <c r="C397" i="4"/>
  <c r="A397" i="4"/>
  <c r="J397" i="4"/>
  <c r="D397" i="4"/>
  <c r="B397" i="4"/>
  <c r="L413" i="4"/>
  <c r="I413" i="4"/>
  <c r="C413" i="4"/>
  <c r="A413" i="4"/>
  <c r="M413" i="4"/>
  <c r="J413" i="4"/>
  <c r="D413" i="4"/>
  <c r="B413" i="4"/>
  <c r="I429" i="4"/>
  <c r="G429" i="6" s="1"/>
  <c r="C429" i="4"/>
  <c r="A429" i="4"/>
  <c r="J429" i="4"/>
  <c r="D429" i="4"/>
  <c r="B429" i="4"/>
  <c r="L445" i="4"/>
  <c r="I445" i="4"/>
  <c r="C445" i="4"/>
  <c r="A445" i="4"/>
  <c r="M445" i="4"/>
  <c r="J445" i="4"/>
  <c r="D445" i="4"/>
  <c r="B445" i="4"/>
  <c r="L461" i="4"/>
  <c r="I461" i="4"/>
  <c r="C461" i="4"/>
  <c r="A461" i="4"/>
  <c r="M461" i="4"/>
  <c r="J461" i="4"/>
  <c r="D461" i="4"/>
  <c r="B461" i="4"/>
  <c r="L477" i="4"/>
  <c r="I477" i="4"/>
  <c r="C477" i="4"/>
  <c r="A477" i="4"/>
  <c r="M477" i="4"/>
  <c r="J477" i="4"/>
  <c r="D477" i="4"/>
  <c r="B477" i="4"/>
  <c r="L493" i="4"/>
  <c r="I493" i="4"/>
  <c r="C493" i="4"/>
  <c r="A493" i="4"/>
  <c r="M493" i="4"/>
  <c r="J493" i="4"/>
  <c r="D493" i="4"/>
  <c r="B493" i="4"/>
  <c r="L499" i="4"/>
  <c r="I499" i="4"/>
  <c r="C499" i="4"/>
  <c r="A499" i="4"/>
  <c r="M499" i="4"/>
  <c r="J499" i="4"/>
  <c r="D499" i="4"/>
  <c r="B499" i="4"/>
  <c r="I275" i="4"/>
  <c r="C275" i="4"/>
  <c r="A275" i="4"/>
  <c r="J275" i="4"/>
  <c r="D275" i="4"/>
  <c r="B275" i="4"/>
  <c r="I307" i="4"/>
  <c r="C307" i="4"/>
  <c r="A307" i="4"/>
  <c r="J307" i="4"/>
  <c r="D307" i="4"/>
  <c r="B307" i="4"/>
  <c r="L339" i="4"/>
  <c r="I339" i="4"/>
  <c r="C339" i="4"/>
  <c r="A339" i="4"/>
  <c r="M339" i="4"/>
  <c r="J339" i="4"/>
  <c r="D339" i="4"/>
  <c r="B339" i="4"/>
  <c r="I371" i="4"/>
  <c r="C371" i="4"/>
  <c r="A371" i="4"/>
  <c r="J371" i="4"/>
  <c r="D371" i="4"/>
  <c r="B371" i="4"/>
  <c r="I403" i="4"/>
  <c r="C403" i="4"/>
  <c r="A403" i="4"/>
  <c r="J403" i="4"/>
  <c r="D403" i="4"/>
  <c r="B403" i="4"/>
  <c r="I435" i="4"/>
  <c r="C435" i="4"/>
  <c r="A435" i="4"/>
  <c r="J435" i="4"/>
  <c r="D435" i="4"/>
  <c r="B435" i="4"/>
  <c r="L467" i="4"/>
  <c r="I467" i="4"/>
  <c r="C467" i="4"/>
  <c r="A467" i="4"/>
  <c r="M467" i="4"/>
  <c r="J467" i="4"/>
  <c r="D467" i="4"/>
  <c r="B467" i="4"/>
  <c r="I247" i="4"/>
  <c r="C247" i="4"/>
  <c r="A247" i="4"/>
  <c r="J247" i="4"/>
  <c r="D247" i="4"/>
  <c r="B247" i="4"/>
  <c r="I279" i="4"/>
  <c r="C279" i="4"/>
  <c r="A279" i="4"/>
  <c r="J279" i="4"/>
  <c r="D279" i="4"/>
  <c r="B279" i="4"/>
  <c r="I311" i="4"/>
  <c r="C311" i="4"/>
  <c r="A311" i="4"/>
  <c r="J311" i="4"/>
  <c r="D311" i="4"/>
  <c r="B311" i="4"/>
  <c r="I343" i="4"/>
  <c r="C343" i="4"/>
  <c r="A343" i="4"/>
  <c r="J343" i="4"/>
  <c r="D343" i="4"/>
  <c r="B343" i="4"/>
  <c r="I375" i="4"/>
  <c r="C375" i="4"/>
  <c r="A375" i="4"/>
  <c r="J375" i="4"/>
  <c r="D375" i="4"/>
  <c r="B375" i="4"/>
  <c r="L407" i="4"/>
  <c r="I407" i="4"/>
  <c r="C407" i="4"/>
  <c r="A407" i="4"/>
  <c r="M407" i="4"/>
  <c r="J407" i="4"/>
  <c r="D407" i="4"/>
  <c r="B407" i="4"/>
  <c r="I439" i="4"/>
  <c r="C439" i="4"/>
  <c r="A439" i="4"/>
  <c r="J439" i="4"/>
  <c r="D439" i="4"/>
  <c r="B439" i="4"/>
  <c r="L471" i="4"/>
  <c r="I471" i="4"/>
  <c r="C471" i="4"/>
  <c r="A471" i="4"/>
  <c r="M471" i="4"/>
  <c r="J471" i="4"/>
  <c r="D471" i="4"/>
  <c r="B471" i="4"/>
  <c r="L496" i="4"/>
  <c r="I496" i="4"/>
  <c r="C496" i="4"/>
  <c r="A496" i="4"/>
  <c r="M496" i="4"/>
  <c r="J496" i="4"/>
  <c r="D496" i="4"/>
  <c r="B496" i="4"/>
  <c r="L488" i="4"/>
  <c r="I488" i="4"/>
  <c r="C488" i="4"/>
  <c r="A488" i="4"/>
  <c r="M488" i="4"/>
  <c r="J488" i="4"/>
  <c r="D488" i="4"/>
  <c r="B488" i="4"/>
  <c r="L480" i="4"/>
  <c r="I480" i="4"/>
  <c r="C480" i="4"/>
  <c r="A480" i="4"/>
  <c r="M480" i="4"/>
  <c r="J480" i="4"/>
  <c r="D480" i="4"/>
  <c r="B480" i="4"/>
  <c r="L472" i="4"/>
  <c r="I472" i="4"/>
  <c r="C472" i="4"/>
  <c r="A472" i="4"/>
  <c r="M472" i="4"/>
  <c r="J472" i="4"/>
  <c r="D472" i="4"/>
  <c r="B472" i="4"/>
  <c r="L464" i="4"/>
  <c r="I464" i="4"/>
  <c r="C464" i="4"/>
  <c r="A464" i="4"/>
  <c r="M464" i="4"/>
  <c r="J464" i="4"/>
  <c r="D464" i="4"/>
  <c r="B464" i="4"/>
  <c r="L456" i="4"/>
  <c r="I456" i="4"/>
  <c r="C456" i="4"/>
  <c r="A456" i="4"/>
  <c r="M456" i="4"/>
  <c r="J456" i="4"/>
  <c r="D456" i="4"/>
  <c r="B456" i="4"/>
  <c r="I448" i="4"/>
  <c r="C448" i="4"/>
  <c r="A448" i="4"/>
  <c r="J448" i="4"/>
  <c r="D448" i="4"/>
  <c r="B448" i="4"/>
  <c r="L440" i="4"/>
  <c r="I440" i="4"/>
  <c r="C440" i="4"/>
  <c r="A440" i="4"/>
  <c r="M440" i="4"/>
  <c r="J440" i="4"/>
  <c r="D440" i="4"/>
  <c r="B440" i="4"/>
  <c r="I432" i="4"/>
  <c r="C432" i="4"/>
  <c r="A432" i="4"/>
  <c r="J432" i="4"/>
  <c r="D432" i="4"/>
  <c r="B432" i="4"/>
  <c r="I424" i="4"/>
  <c r="C424" i="4"/>
  <c r="A424" i="4"/>
  <c r="J424" i="4"/>
  <c r="D424" i="4"/>
  <c r="B424" i="4"/>
  <c r="I416" i="4"/>
  <c r="C416" i="4"/>
  <c r="A416" i="4"/>
  <c r="J416" i="4"/>
  <c r="D416" i="4"/>
  <c r="B416" i="4"/>
  <c r="I408" i="4"/>
  <c r="C408" i="4"/>
  <c r="A408" i="4"/>
  <c r="J408" i="4"/>
  <c r="D408" i="4"/>
  <c r="B408" i="4"/>
  <c r="L400" i="4"/>
  <c r="I400" i="4"/>
  <c r="C400" i="4"/>
  <c r="A400" i="4"/>
  <c r="M400" i="4"/>
  <c r="J400" i="4"/>
  <c r="D400" i="4"/>
  <c r="B400" i="4"/>
  <c r="I392" i="4"/>
  <c r="C392" i="4"/>
  <c r="A392" i="4"/>
  <c r="J392" i="4"/>
  <c r="D392" i="4"/>
  <c r="B392" i="4"/>
  <c r="I384" i="4"/>
  <c r="C384" i="4"/>
  <c r="A384" i="4"/>
  <c r="J384" i="4"/>
  <c r="D384" i="4"/>
  <c r="B384" i="4"/>
  <c r="I376" i="4"/>
  <c r="C376" i="4"/>
  <c r="A376" i="4"/>
  <c r="J376" i="4"/>
  <c r="D376" i="4"/>
  <c r="B376" i="4"/>
  <c r="I368" i="4"/>
  <c r="C368" i="4"/>
  <c r="A368" i="4"/>
  <c r="J368" i="4"/>
  <c r="D368" i="4"/>
  <c r="B368" i="4"/>
  <c r="I360" i="4"/>
  <c r="C360" i="4"/>
  <c r="A360" i="4"/>
  <c r="J360" i="4"/>
  <c r="D360" i="4"/>
  <c r="B360" i="4"/>
  <c r="L352" i="4"/>
  <c r="I352" i="4"/>
  <c r="C352" i="4"/>
  <c r="A352" i="4"/>
  <c r="M352" i="4"/>
  <c r="J352" i="4"/>
  <c r="D352" i="4"/>
  <c r="B352" i="4"/>
  <c r="I344" i="4"/>
  <c r="C344" i="4"/>
  <c r="A344" i="4"/>
  <c r="J344" i="4"/>
  <c r="D344" i="4"/>
  <c r="B344" i="4"/>
  <c r="L336" i="4"/>
  <c r="I336" i="4"/>
  <c r="C336" i="4"/>
  <c r="A336" i="4"/>
  <c r="M336" i="4"/>
  <c r="J336" i="4"/>
  <c r="D336" i="4"/>
  <c r="B336" i="4"/>
  <c r="I328" i="4"/>
  <c r="C328" i="4"/>
  <c r="A328" i="4"/>
  <c r="J328" i="4"/>
  <c r="D328" i="4"/>
  <c r="B328" i="4"/>
  <c r="L320" i="4"/>
  <c r="I320" i="4"/>
  <c r="C320" i="4"/>
  <c r="A320" i="4"/>
  <c r="M320" i="4"/>
  <c r="J320" i="4"/>
  <c r="D320" i="4"/>
  <c r="B320" i="4"/>
  <c r="I312" i="4"/>
  <c r="C312" i="4"/>
  <c r="A312" i="4"/>
  <c r="J312" i="4"/>
  <c r="D312" i="4"/>
  <c r="B312" i="4"/>
  <c r="L304" i="4"/>
  <c r="I304" i="4"/>
  <c r="C304" i="4"/>
  <c r="A304" i="4"/>
  <c r="M304" i="4"/>
  <c r="J304" i="4"/>
  <c r="D304" i="4"/>
  <c r="B304" i="4"/>
  <c r="I296" i="4"/>
  <c r="C296" i="4"/>
  <c r="A296" i="4"/>
  <c r="J296" i="4"/>
  <c r="D296" i="4"/>
  <c r="B296" i="4"/>
  <c r="I288" i="4"/>
  <c r="C288" i="4"/>
  <c r="A288" i="4"/>
  <c r="J288" i="4"/>
  <c r="D288" i="4"/>
  <c r="B288" i="4"/>
  <c r="I280" i="4"/>
  <c r="C280" i="4"/>
  <c r="A280" i="4"/>
  <c r="J280" i="4"/>
  <c r="D280" i="4"/>
  <c r="B280" i="4"/>
  <c r="I272" i="4"/>
  <c r="C272" i="4"/>
  <c r="A272" i="4"/>
  <c r="J272" i="4"/>
  <c r="D272" i="4"/>
  <c r="B272" i="4"/>
  <c r="I264" i="4"/>
  <c r="C264" i="4"/>
  <c r="A264" i="4"/>
  <c r="J264" i="4"/>
  <c r="D264" i="4"/>
  <c r="B264" i="4"/>
  <c r="I256" i="4"/>
  <c r="C256" i="4"/>
  <c r="A256" i="4"/>
  <c r="J256" i="4"/>
  <c r="D256" i="4"/>
  <c r="B256" i="4"/>
  <c r="I248" i="4"/>
  <c r="C248" i="4"/>
  <c r="A248" i="4"/>
  <c r="J248" i="4"/>
  <c r="D248" i="4"/>
  <c r="B248" i="4"/>
  <c r="I242" i="4"/>
  <c r="C242" i="4"/>
  <c r="A242" i="4"/>
  <c r="J242" i="4"/>
  <c r="D242" i="4"/>
  <c r="B242" i="4"/>
  <c r="I238" i="4"/>
  <c r="C238" i="4"/>
  <c r="A238" i="4"/>
  <c r="J238" i="4"/>
  <c r="D238" i="4"/>
  <c r="B238" i="4"/>
  <c r="I234" i="4"/>
  <c r="C234" i="4"/>
  <c r="A234" i="4"/>
  <c r="J234" i="4"/>
  <c r="D234" i="4"/>
  <c r="B234" i="4"/>
  <c r="I230" i="4"/>
  <c r="C230" i="4"/>
  <c r="A230" i="4"/>
  <c r="J230" i="4"/>
  <c r="D230" i="4"/>
  <c r="B230" i="4"/>
  <c r="I226" i="4"/>
  <c r="C226" i="4"/>
  <c r="A226" i="4"/>
  <c r="J226" i="4"/>
  <c r="D226" i="4"/>
  <c r="B226" i="4"/>
  <c r="I222" i="4"/>
  <c r="C222" i="4"/>
  <c r="A222" i="4"/>
  <c r="J222" i="4"/>
  <c r="D222" i="4"/>
  <c r="B222" i="4"/>
  <c r="I218" i="4"/>
  <c r="C218" i="4"/>
  <c r="A218" i="4"/>
  <c r="J218" i="4"/>
  <c r="D218" i="4"/>
  <c r="B218" i="4"/>
  <c r="I214" i="4"/>
  <c r="C214" i="4"/>
  <c r="A214" i="4"/>
  <c r="J214" i="4"/>
  <c r="D214" i="4"/>
  <c r="B214" i="4"/>
  <c r="I210" i="4"/>
  <c r="C210" i="4"/>
  <c r="A210" i="4"/>
  <c r="J210" i="4"/>
  <c r="D210" i="4"/>
  <c r="B210" i="4"/>
  <c r="I206" i="4"/>
  <c r="C206" i="4"/>
  <c r="A206" i="4"/>
  <c r="J206" i="4"/>
  <c r="D206" i="4"/>
  <c r="B206" i="4"/>
  <c r="I202" i="4"/>
  <c r="C202" i="4"/>
  <c r="A202" i="4"/>
  <c r="J202" i="4"/>
  <c r="D202" i="4"/>
  <c r="B202" i="4"/>
  <c r="L198" i="4"/>
  <c r="I198" i="4"/>
  <c r="C198" i="4"/>
  <c r="A198" i="4"/>
  <c r="M198" i="4"/>
  <c r="J198" i="4"/>
  <c r="D198" i="4"/>
  <c r="B198" i="4"/>
  <c r="I194" i="4"/>
  <c r="C194" i="4"/>
  <c r="A194" i="4"/>
  <c r="J194" i="4"/>
  <c r="D194" i="4"/>
  <c r="B194" i="4"/>
  <c r="I190" i="4"/>
  <c r="C190" i="4"/>
  <c r="A190" i="4"/>
  <c r="J190" i="4"/>
  <c r="D190" i="4"/>
  <c r="B190" i="4"/>
  <c r="L186" i="4"/>
  <c r="I186" i="4"/>
  <c r="C186" i="4"/>
  <c r="A186" i="4"/>
  <c r="M186" i="4"/>
  <c r="J186" i="4"/>
  <c r="D186" i="4"/>
  <c r="B186" i="4"/>
  <c r="I182" i="4"/>
  <c r="C182" i="4"/>
  <c r="A182" i="4"/>
  <c r="J182" i="4"/>
  <c r="D182" i="4"/>
  <c r="B182" i="4"/>
  <c r="I178" i="4"/>
  <c r="C178" i="4"/>
  <c r="A178" i="4"/>
  <c r="J178" i="4"/>
  <c r="D178" i="4"/>
  <c r="B178" i="4"/>
  <c r="I174" i="4"/>
  <c r="C174" i="4"/>
  <c r="A174" i="4"/>
  <c r="J174" i="4"/>
  <c r="D174" i="4"/>
  <c r="B174" i="4"/>
  <c r="I170" i="4"/>
  <c r="C170" i="4"/>
  <c r="A170" i="4"/>
  <c r="J170" i="4"/>
  <c r="D170" i="4"/>
  <c r="B170" i="4"/>
  <c r="I166" i="4"/>
  <c r="C166" i="4"/>
  <c r="A166" i="4"/>
  <c r="J166" i="4"/>
  <c r="D166" i="4"/>
  <c r="B166" i="4"/>
  <c r="I162" i="4"/>
  <c r="C162" i="4"/>
  <c r="A162" i="4"/>
  <c r="J162" i="4"/>
  <c r="D162" i="4"/>
  <c r="B162" i="4"/>
  <c r="L158" i="4"/>
  <c r="I158" i="4"/>
  <c r="C158" i="4"/>
  <c r="A158" i="4"/>
  <c r="M158" i="4"/>
  <c r="J158" i="4"/>
  <c r="D158" i="4"/>
  <c r="B158" i="4"/>
  <c r="L154" i="4"/>
  <c r="I154" i="4"/>
  <c r="C154" i="4"/>
  <c r="A154" i="4"/>
  <c r="M154" i="4"/>
  <c r="J154" i="4"/>
  <c r="D154" i="4"/>
  <c r="B154" i="4"/>
  <c r="L150" i="4"/>
  <c r="I150" i="4"/>
  <c r="C150" i="4"/>
  <c r="A150" i="4"/>
  <c r="M150" i="4"/>
  <c r="J150" i="4"/>
  <c r="D150" i="4"/>
  <c r="B150" i="4"/>
  <c r="I146" i="4"/>
  <c r="C146" i="4"/>
  <c r="A146" i="4"/>
  <c r="J146" i="4"/>
  <c r="D146" i="4"/>
  <c r="B146" i="4"/>
  <c r="I142" i="4"/>
  <c r="C142" i="4"/>
  <c r="A142" i="4"/>
  <c r="J142" i="4"/>
  <c r="D142" i="4"/>
  <c r="B142" i="4"/>
  <c r="I138" i="4"/>
  <c r="C138" i="4"/>
  <c r="A138" i="4"/>
  <c r="J138" i="4"/>
  <c r="D138" i="4"/>
  <c r="B138" i="4"/>
  <c r="I134" i="4"/>
  <c r="C134" i="4"/>
  <c r="A134" i="4"/>
  <c r="J134" i="4"/>
  <c r="D134" i="4"/>
  <c r="B134" i="4"/>
  <c r="I130" i="4"/>
  <c r="C130" i="4"/>
  <c r="A130" i="4"/>
  <c r="J130" i="4"/>
  <c r="D130" i="4"/>
  <c r="B130" i="4"/>
  <c r="I126" i="4"/>
  <c r="C126" i="4"/>
  <c r="A126" i="4"/>
  <c r="J126" i="4"/>
  <c r="D126" i="4"/>
  <c r="B126" i="4"/>
  <c r="I122" i="4"/>
  <c r="C122" i="4"/>
  <c r="A122" i="4"/>
  <c r="J122" i="4"/>
  <c r="D122" i="4"/>
  <c r="B122" i="4"/>
  <c r="I118" i="4"/>
  <c r="C118" i="4"/>
  <c r="A118" i="4"/>
  <c r="J118" i="4"/>
  <c r="D118" i="4"/>
  <c r="B118" i="4"/>
  <c r="L3" i="4"/>
  <c r="I3" i="4"/>
  <c r="C3" i="4"/>
  <c r="A3" i="4"/>
  <c r="M3" i="4"/>
  <c r="J3" i="4"/>
  <c r="D3" i="4"/>
  <c r="B3" i="4"/>
  <c r="I7" i="4"/>
  <c r="C7" i="4"/>
  <c r="A7" i="4"/>
  <c r="J7" i="4"/>
  <c r="D7" i="4"/>
  <c r="B7" i="4"/>
  <c r="I11" i="4"/>
  <c r="C11" i="4"/>
  <c r="A11" i="4"/>
  <c r="J11" i="4"/>
  <c r="D11" i="4"/>
  <c r="B11" i="4"/>
  <c r="L15" i="4"/>
  <c r="I15" i="4"/>
  <c r="C15" i="4"/>
  <c r="A15" i="4"/>
  <c r="M15" i="4"/>
  <c r="J15" i="4"/>
  <c r="D15" i="4"/>
  <c r="B15" i="4"/>
  <c r="I19" i="4"/>
  <c r="C19" i="4"/>
  <c r="A19" i="4"/>
  <c r="J19" i="4"/>
  <c r="D19" i="4"/>
  <c r="B19" i="4"/>
  <c r="I23" i="4"/>
  <c r="C23" i="4"/>
  <c r="A23" i="4"/>
  <c r="J23" i="4"/>
  <c r="D23" i="4"/>
  <c r="B23" i="4"/>
  <c r="I27" i="4"/>
  <c r="C27" i="4"/>
  <c r="A27" i="4"/>
  <c r="J27" i="4"/>
  <c r="D27" i="4"/>
  <c r="B27" i="4"/>
  <c r="I31" i="4"/>
  <c r="C31" i="4"/>
  <c r="A31" i="4"/>
  <c r="J31" i="4"/>
  <c r="D31" i="4"/>
  <c r="B31" i="4"/>
  <c r="I35" i="4"/>
  <c r="C35" i="4"/>
  <c r="A35" i="4"/>
  <c r="J35" i="4"/>
  <c r="D35" i="4"/>
  <c r="B35" i="4"/>
  <c r="L39" i="4"/>
  <c r="I39" i="4"/>
  <c r="C39" i="4"/>
  <c r="A39" i="4"/>
  <c r="M39" i="4"/>
  <c r="J39" i="4"/>
  <c r="D39" i="4"/>
  <c r="B39" i="4"/>
  <c r="I43" i="4"/>
  <c r="C43" i="4"/>
  <c r="A43" i="4"/>
  <c r="J43" i="4"/>
  <c r="D43" i="4"/>
  <c r="B43" i="4"/>
  <c r="L47" i="4"/>
  <c r="I47" i="4"/>
  <c r="C47" i="4"/>
  <c r="A47" i="4"/>
  <c r="M47" i="4"/>
  <c r="J47" i="4"/>
  <c r="D47" i="4"/>
  <c r="B47" i="4"/>
  <c r="I51" i="4"/>
  <c r="C51" i="4"/>
  <c r="A51" i="4"/>
  <c r="J51" i="4"/>
  <c r="D51" i="4"/>
  <c r="B51" i="4"/>
  <c r="I55" i="4"/>
  <c r="C55" i="4"/>
  <c r="A55" i="4"/>
  <c r="J55" i="4"/>
  <c r="D55" i="4"/>
  <c r="B55" i="4"/>
  <c r="I59" i="4"/>
  <c r="C59" i="4"/>
  <c r="A59" i="4"/>
  <c r="J59" i="4"/>
  <c r="D59" i="4"/>
  <c r="B59" i="4"/>
  <c r="I63" i="4"/>
  <c r="C63" i="4"/>
  <c r="A63" i="4"/>
  <c r="J63" i="4"/>
  <c r="D63" i="4"/>
  <c r="B63" i="4"/>
  <c r="I67" i="4"/>
  <c r="C67" i="4"/>
  <c r="A67" i="4"/>
  <c r="J67" i="4"/>
  <c r="D67" i="4"/>
  <c r="B67" i="4"/>
  <c r="I71" i="4"/>
  <c r="C71" i="4"/>
  <c r="A71" i="4"/>
  <c r="J71" i="4"/>
  <c r="D71" i="4"/>
  <c r="B71" i="4"/>
  <c r="I75" i="4"/>
  <c r="C75" i="4"/>
  <c r="A75" i="4"/>
  <c r="J75" i="4"/>
  <c r="D75" i="4"/>
  <c r="B75" i="4"/>
  <c r="I79" i="4"/>
  <c r="C79" i="4"/>
  <c r="A79" i="4"/>
  <c r="J79" i="4"/>
  <c r="D79" i="4"/>
  <c r="B79" i="4"/>
  <c r="I83" i="4"/>
  <c r="C83" i="4"/>
  <c r="A83" i="4"/>
  <c r="J83" i="4"/>
  <c r="D83" i="4"/>
  <c r="B83" i="4"/>
  <c r="I87" i="4"/>
  <c r="C87" i="4"/>
  <c r="A87" i="4"/>
  <c r="J87" i="4"/>
  <c r="D87" i="4"/>
  <c r="B87" i="4"/>
  <c r="I91" i="4"/>
  <c r="C91" i="4"/>
  <c r="A91" i="4"/>
  <c r="J91" i="4"/>
  <c r="D91" i="4"/>
  <c r="B91" i="4"/>
  <c r="I95" i="4"/>
  <c r="C95" i="4"/>
  <c r="A95" i="4"/>
  <c r="J95" i="4"/>
  <c r="D95" i="4"/>
  <c r="B95" i="4"/>
  <c r="I99" i="4"/>
  <c r="C99" i="4"/>
  <c r="A99" i="4"/>
  <c r="J99" i="4"/>
  <c r="D99" i="4"/>
  <c r="B99" i="4"/>
  <c r="I103" i="4"/>
  <c r="C103" i="4"/>
  <c r="A103" i="4"/>
  <c r="J103" i="4"/>
  <c r="D103" i="4"/>
  <c r="B103" i="4"/>
  <c r="I107" i="4"/>
  <c r="C107" i="4"/>
  <c r="A107" i="4"/>
  <c r="J107" i="4"/>
  <c r="D107" i="4"/>
  <c r="B107" i="4"/>
  <c r="I111" i="4"/>
  <c r="C111" i="4"/>
  <c r="A111" i="4"/>
  <c r="J111" i="4"/>
  <c r="D111" i="4"/>
  <c r="B111" i="4"/>
  <c r="I115" i="4"/>
  <c r="C115" i="4"/>
  <c r="A115" i="4"/>
  <c r="J115" i="4"/>
  <c r="D115" i="4"/>
  <c r="B115" i="4"/>
  <c r="I257" i="4"/>
  <c r="C257" i="4"/>
  <c r="A257" i="4"/>
  <c r="J257" i="4"/>
  <c r="D257" i="4"/>
  <c r="B257" i="4"/>
  <c r="I273" i="4"/>
  <c r="C273" i="4"/>
  <c r="A273" i="4"/>
  <c r="J273" i="4"/>
  <c r="D273" i="4"/>
  <c r="B273" i="4"/>
  <c r="I289" i="4"/>
  <c r="C289" i="4"/>
  <c r="A289" i="4"/>
  <c r="J289" i="4"/>
  <c r="D289" i="4"/>
  <c r="B289" i="4"/>
  <c r="I305" i="4"/>
  <c r="C305" i="4"/>
  <c r="A305" i="4"/>
  <c r="J305" i="4"/>
  <c r="D305" i="4"/>
  <c r="B305" i="4"/>
  <c r="I321" i="4"/>
  <c r="C321" i="4"/>
  <c r="A321" i="4"/>
  <c r="J321" i="4"/>
  <c r="D321" i="4"/>
  <c r="B321" i="4"/>
  <c r="I337" i="4"/>
  <c r="C337" i="4"/>
  <c r="A337" i="4"/>
  <c r="J337" i="4"/>
  <c r="D337" i="4"/>
  <c r="B337" i="4"/>
  <c r="I353" i="4"/>
  <c r="C353" i="4"/>
  <c r="A353" i="4"/>
  <c r="J353" i="4"/>
  <c r="D353" i="4"/>
  <c r="B353" i="4"/>
  <c r="I369" i="4"/>
  <c r="C369" i="4"/>
  <c r="A369" i="4"/>
  <c r="J369" i="4"/>
  <c r="D369" i="4"/>
  <c r="B369" i="4"/>
  <c r="I385" i="4"/>
  <c r="C385" i="4"/>
  <c r="A385" i="4"/>
  <c r="J385" i="4"/>
  <c r="D385" i="4"/>
  <c r="B385" i="4"/>
  <c r="I401" i="4"/>
  <c r="C401" i="4"/>
  <c r="A401" i="4"/>
  <c r="J401" i="4"/>
  <c r="D401" i="4"/>
  <c r="B401" i="4"/>
  <c r="I417" i="4"/>
  <c r="C417" i="4"/>
  <c r="A417" i="4"/>
  <c r="J417" i="4"/>
  <c r="D417" i="4"/>
  <c r="B417" i="4"/>
  <c r="I433" i="4"/>
  <c r="C433" i="4"/>
  <c r="A433" i="4"/>
  <c r="J433" i="4"/>
  <c r="D433" i="4"/>
  <c r="B433" i="4"/>
  <c r="L449" i="4"/>
  <c r="I449" i="4"/>
  <c r="C449" i="4"/>
  <c r="A449" i="4"/>
  <c r="M449" i="4"/>
  <c r="J449" i="4"/>
  <c r="D449" i="4"/>
  <c r="B449" i="4"/>
  <c r="L465" i="4"/>
  <c r="I465" i="4"/>
  <c r="C465" i="4"/>
  <c r="A465" i="4"/>
  <c r="M465" i="4"/>
  <c r="J465" i="4"/>
  <c r="D465" i="4"/>
  <c r="B465" i="4"/>
  <c r="L481" i="4"/>
  <c r="I481" i="4"/>
  <c r="C481" i="4"/>
  <c r="A481" i="4"/>
  <c r="M481" i="4"/>
  <c r="J481" i="4"/>
  <c r="D481" i="4"/>
  <c r="B481" i="4"/>
  <c r="L497" i="4"/>
  <c r="I497" i="4"/>
  <c r="C497" i="4"/>
  <c r="A497" i="4"/>
  <c r="M497" i="4"/>
  <c r="J497" i="4"/>
  <c r="D497" i="4"/>
  <c r="B497" i="4"/>
  <c r="L251" i="4"/>
  <c r="I251" i="4"/>
  <c r="C251" i="4"/>
  <c r="A251" i="4"/>
  <c r="M251" i="4"/>
  <c r="J251" i="4"/>
  <c r="D251" i="4"/>
  <c r="B251" i="4"/>
  <c r="I283" i="4"/>
  <c r="C283" i="4"/>
  <c r="A283" i="4"/>
  <c r="J283" i="4"/>
  <c r="D283" i="4"/>
  <c r="B283" i="4"/>
  <c r="I315" i="4"/>
  <c r="C315" i="4"/>
  <c r="A315" i="4"/>
  <c r="J315" i="4"/>
  <c r="D315" i="4"/>
  <c r="B315" i="4"/>
  <c r="I347" i="4"/>
  <c r="C347" i="4"/>
  <c r="A347" i="4"/>
  <c r="J347" i="4"/>
  <c r="D347" i="4"/>
  <c r="B347" i="4"/>
  <c r="I379" i="4"/>
  <c r="C379" i="4"/>
  <c r="A379" i="4"/>
  <c r="J379" i="4"/>
  <c r="D379" i="4"/>
  <c r="B379" i="4"/>
  <c r="I411" i="4"/>
  <c r="C411" i="4"/>
  <c r="A411" i="4"/>
  <c r="J411" i="4"/>
  <c r="D411" i="4"/>
  <c r="B411" i="4"/>
  <c r="L443" i="4"/>
  <c r="I443" i="4"/>
  <c r="C443" i="4"/>
  <c r="A443" i="4"/>
  <c r="M443" i="4"/>
  <c r="J443" i="4"/>
  <c r="D443" i="4"/>
  <c r="B443" i="4"/>
  <c r="L475" i="4"/>
  <c r="I475" i="4"/>
  <c r="C475" i="4"/>
  <c r="A475" i="4"/>
  <c r="M475" i="4"/>
  <c r="J475" i="4"/>
  <c r="D475" i="4"/>
  <c r="B475" i="4"/>
  <c r="I255" i="4"/>
  <c r="C255" i="4"/>
  <c r="A255" i="4"/>
  <c r="J255" i="4"/>
  <c r="D255" i="4"/>
  <c r="B255" i="4"/>
  <c r="I287" i="4"/>
  <c r="C287" i="4"/>
  <c r="A287" i="4"/>
  <c r="J287" i="4"/>
  <c r="D287" i="4"/>
  <c r="B287" i="4"/>
  <c r="I319" i="4"/>
  <c r="C319" i="4"/>
  <c r="A319" i="4"/>
  <c r="J319" i="4"/>
  <c r="D319" i="4"/>
  <c r="B319" i="4"/>
  <c r="I351" i="4"/>
  <c r="C351" i="4"/>
  <c r="A351" i="4"/>
  <c r="J351" i="4"/>
  <c r="D351" i="4"/>
  <c r="B351" i="4"/>
  <c r="L383" i="4"/>
  <c r="I383" i="4"/>
  <c r="C383" i="4"/>
  <c r="A383" i="4"/>
  <c r="M383" i="4"/>
  <c r="J383" i="4"/>
  <c r="D383" i="4"/>
  <c r="B383" i="4"/>
  <c r="I415" i="4"/>
  <c r="C415" i="4"/>
  <c r="A415" i="4"/>
  <c r="J415" i="4"/>
  <c r="D415" i="4"/>
  <c r="B415" i="4"/>
  <c r="L447" i="4"/>
  <c r="I447" i="4"/>
  <c r="C447" i="4"/>
  <c r="A447" i="4"/>
  <c r="M447" i="4"/>
  <c r="J447" i="4"/>
  <c r="D447" i="4"/>
  <c r="B447" i="4"/>
  <c r="L479" i="4"/>
  <c r="I479" i="4"/>
  <c r="C479" i="4"/>
  <c r="A479" i="4"/>
  <c r="M479" i="4"/>
  <c r="J479" i="4"/>
  <c r="D479" i="4"/>
  <c r="B479" i="4"/>
  <c r="L494" i="4"/>
  <c r="I494" i="4"/>
  <c r="C494" i="4"/>
  <c r="A494" i="4"/>
  <c r="M494" i="4"/>
  <c r="J494" i="4"/>
  <c r="D494" i="4"/>
  <c r="B494" i="4"/>
  <c r="L486" i="4"/>
  <c r="I486" i="4"/>
  <c r="C486" i="4"/>
  <c r="A486" i="4"/>
  <c r="M486" i="4"/>
  <c r="J486" i="4"/>
  <c r="D486" i="4"/>
  <c r="B486" i="4"/>
  <c r="L478" i="4"/>
  <c r="I478" i="4"/>
  <c r="C478" i="4"/>
  <c r="A478" i="4"/>
  <c r="M478" i="4"/>
  <c r="J478" i="4"/>
  <c r="D478" i="4"/>
  <c r="B478" i="4"/>
  <c r="L470" i="4"/>
  <c r="I470" i="4"/>
  <c r="C470" i="4"/>
  <c r="A470" i="4"/>
  <c r="M470" i="4"/>
  <c r="J470" i="4"/>
  <c r="D470" i="4"/>
  <c r="B470" i="4"/>
  <c r="L462" i="4"/>
  <c r="I462" i="4"/>
  <c r="C462" i="4"/>
  <c r="A462" i="4"/>
  <c r="M462" i="4"/>
  <c r="J462" i="4"/>
  <c r="D462" i="4"/>
  <c r="B462" i="4"/>
  <c r="I454" i="4"/>
  <c r="C454" i="4"/>
  <c r="A454" i="4"/>
  <c r="J454" i="4"/>
  <c r="D454" i="4"/>
  <c r="B454" i="4"/>
  <c r="L446" i="4"/>
  <c r="I446" i="4"/>
  <c r="C446" i="4"/>
  <c r="A446" i="4"/>
  <c r="M446" i="4"/>
  <c r="J446" i="4"/>
  <c r="D446" i="4"/>
  <c r="B446" i="4"/>
  <c r="L438" i="4"/>
  <c r="I438" i="4"/>
  <c r="C438" i="4"/>
  <c r="A438" i="4"/>
  <c r="M438" i="4"/>
  <c r="J438" i="4"/>
  <c r="D438" i="4"/>
  <c r="B438" i="4"/>
  <c r="I430" i="4"/>
  <c r="C430" i="4"/>
  <c r="A430" i="4"/>
  <c r="J430" i="4"/>
  <c r="D430" i="4"/>
  <c r="B430" i="4"/>
  <c r="L422" i="4"/>
  <c r="I422" i="4"/>
  <c r="C422" i="4"/>
  <c r="A422" i="4"/>
  <c r="M422" i="4"/>
  <c r="J422" i="4"/>
  <c r="D422" i="4"/>
  <c r="B422" i="4"/>
  <c r="I414" i="4"/>
  <c r="C414" i="4"/>
  <c r="A414" i="4"/>
  <c r="J414" i="4"/>
  <c r="D414" i="4"/>
  <c r="B414" i="4"/>
  <c r="I406" i="4"/>
  <c r="C406" i="4"/>
  <c r="A406" i="4"/>
  <c r="J406" i="4"/>
  <c r="D406" i="4"/>
  <c r="B406" i="4"/>
  <c r="L398" i="4"/>
  <c r="I398" i="4"/>
  <c r="C398" i="4"/>
  <c r="A398" i="4"/>
  <c r="M398" i="4"/>
  <c r="J398" i="4"/>
  <c r="D398" i="4"/>
  <c r="B398" i="4"/>
  <c r="L390" i="4"/>
  <c r="I390" i="4"/>
  <c r="C390" i="4"/>
  <c r="A390" i="4"/>
  <c r="M390" i="4"/>
  <c r="J390" i="4"/>
  <c r="D390" i="4"/>
  <c r="B390" i="4"/>
  <c r="I382" i="4"/>
  <c r="C382" i="4"/>
  <c r="A382" i="4"/>
  <c r="J382" i="4"/>
  <c r="D382" i="4"/>
  <c r="B382" i="4"/>
  <c r="I374" i="4"/>
  <c r="C374" i="4"/>
  <c r="A374" i="4"/>
  <c r="J374" i="4"/>
  <c r="D374" i="4"/>
  <c r="B374" i="4"/>
  <c r="I366" i="4"/>
  <c r="C366" i="4"/>
  <c r="A366" i="4"/>
  <c r="J366" i="4"/>
  <c r="D366" i="4"/>
  <c r="B366" i="4"/>
  <c r="I358" i="4"/>
  <c r="C358" i="4"/>
  <c r="A358" i="4"/>
  <c r="J358" i="4"/>
  <c r="D358" i="4"/>
  <c r="B358" i="4"/>
  <c r="I350" i="4"/>
  <c r="C350" i="4"/>
  <c r="A350" i="4"/>
  <c r="J350" i="4"/>
  <c r="D350" i="4"/>
  <c r="B350" i="4"/>
  <c r="I342" i="4"/>
  <c r="C342" i="4"/>
  <c r="A342" i="4"/>
  <c r="J342" i="4"/>
  <c r="D342" i="4"/>
  <c r="B342" i="4"/>
  <c r="I334" i="4"/>
  <c r="C334" i="4"/>
  <c r="A334" i="4"/>
  <c r="J334" i="4"/>
  <c r="D334" i="4"/>
  <c r="B334" i="4"/>
  <c r="I326" i="4"/>
  <c r="C326" i="4"/>
  <c r="A326" i="4"/>
  <c r="J326" i="4"/>
  <c r="D326" i="4"/>
  <c r="B326" i="4"/>
  <c r="I318" i="4"/>
  <c r="C318" i="4"/>
  <c r="A318" i="4"/>
  <c r="J318" i="4"/>
  <c r="D318" i="4"/>
  <c r="B318" i="4"/>
  <c r="I310" i="4"/>
  <c r="C310" i="4"/>
  <c r="A310" i="4"/>
  <c r="J310" i="4"/>
  <c r="D310" i="4"/>
  <c r="B310" i="4"/>
  <c r="L302" i="4"/>
  <c r="I302" i="4"/>
  <c r="C302" i="4"/>
  <c r="A302" i="4"/>
  <c r="M302" i="4"/>
  <c r="J302" i="4"/>
  <c r="D302" i="4"/>
  <c r="B302" i="4"/>
  <c r="I294" i="4"/>
  <c r="C294" i="4"/>
  <c r="A294" i="4"/>
  <c r="J294" i="4"/>
  <c r="D294" i="4"/>
  <c r="B294" i="4"/>
  <c r="I286" i="4"/>
  <c r="C286" i="4"/>
  <c r="A286" i="4"/>
  <c r="J286" i="4"/>
  <c r="D286" i="4"/>
  <c r="B286" i="4"/>
  <c r="I278" i="4"/>
  <c r="C278" i="4"/>
  <c r="A278" i="4"/>
  <c r="J278" i="4"/>
  <c r="D278" i="4"/>
  <c r="B278" i="4"/>
  <c r="I270" i="4"/>
  <c r="C270" i="4"/>
  <c r="A270" i="4"/>
  <c r="J270" i="4"/>
  <c r="D270" i="4"/>
  <c r="B270" i="4"/>
  <c r="I262" i="4"/>
  <c r="C262" i="4"/>
  <c r="A262" i="4"/>
  <c r="J262" i="4"/>
  <c r="D262" i="4"/>
  <c r="B262" i="4"/>
  <c r="I254" i="4"/>
  <c r="C254" i="4"/>
  <c r="A254" i="4"/>
  <c r="J254" i="4"/>
  <c r="D254" i="4"/>
  <c r="B254" i="4"/>
  <c r="I246" i="4"/>
  <c r="C246" i="4"/>
  <c r="A246" i="4"/>
  <c r="J246" i="4"/>
  <c r="D246" i="4"/>
  <c r="B246" i="4"/>
  <c r="I241" i="4"/>
  <c r="C241" i="4"/>
  <c r="A241" i="4"/>
  <c r="J241" i="4"/>
  <c r="D241" i="4"/>
  <c r="B241" i="4"/>
  <c r="I237" i="4"/>
  <c r="C237" i="4"/>
  <c r="A237" i="4"/>
  <c r="J237" i="4"/>
  <c r="D237" i="4"/>
  <c r="B237" i="4"/>
  <c r="I233" i="4"/>
  <c r="C233" i="4"/>
  <c r="A233" i="4"/>
  <c r="J233" i="4"/>
  <c r="D233" i="4"/>
  <c r="B233" i="4"/>
  <c r="I229" i="4"/>
  <c r="C229" i="4"/>
  <c r="A229" i="4"/>
  <c r="J229" i="4"/>
  <c r="D229" i="4"/>
  <c r="B229" i="4"/>
  <c r="I225" i="4"/>
  <c r="C225" i="4"/>
  <c r="A225" i="4"/>
  <c r="J225" i="4"/>
  <c r="D225" i="4"/>
  <c r="B225" i="4"/>
  <c r="I221" i="4"/>
  <c r="C221" i="4"/>
  <c r="A221" i="4"/>
  <c r="J221" i="4"/>
  <c r="D221" i="4"/>
  <c r="B221" i="4"/>
  <c r="I217" i="4"/>
  <c r="C217" i="4"/>
  <c r="A217" i="4"/>
  <c r="J217" i="4"/>
  <c r="D217" i="4"/>
  <c r="B217" i="4"/>
  <c r="I213" i="4"/>
  <c r="C213" i="4"/>
  <c r="A213" i="4"/>
  <c r="J213" i="4"/>
  <c r="D213" i="4"/>
  <c r="B213" i="4"/>
  <c r="L209" i="4"/>
  <c r="I209" i="4"/>
  <c r="C209" i="4"/>
  <c r="A209" i="4"/>
  <c r="M209" i="4"/>
  <c r="J209" i="4"/>
  <c r="D209" i="4"/>
  <c r="B209" i="4"/>
  <c r="I205" i="4"/>
  <c r="C205" i="4"/>
  <c r="A205" i="4"/>
  <c r="J205" i="4"/>
  <c r="D205" i="4"/>
  <c r="B205" i="4"/>
  <c r="L201" i="4"/>
  <c r="I201" i="4"/>
  <c r="C201" i="4"/>
  <c r="A201" i="4"/>
  <c r="M201" i="4"/>
  <c r="J201" i="4"/>
  <c r="D201" i="4"/>
  <c r="B201" i="4"/>
  <c r="I197" i="4"/>
  <c r="C197" i="4"/>
  <c r="A197" i="4"/>
  <c r="J197" i="4"/>
  <c r="D197" i="4"/>
  <c r="B197" i="4"/>
  <c r="I193" i="4"/>
  <c r="C193" i="4"/>
  <c r="A193" i="4"/>
  <c r="J193" i="4"/>
  <c r="D193" i="4"/>
  <c r="B193" i="4"/>
  <c r="I189" i="4"/>
  <c r="C189" i="4"/>
  <c r="A189" i="4"/>
  <c r="J189" i="4"/>
  <c r="D189" i="4"/>
  <c r="B189" i="4"/>
  <c r="I185" i="4"/>
  <c r="C185" i="4"/>
  <c r="A185" i="4"/>
  <c r="J185" i="4"/>
  <c r="D185" i="4"/>
  <c r="B185" i="4"/>
  <c r="I181" i="4"/>
  <c r="C181" i="4"/>
  <c r="A181" i="4"/>
  <c r="J181" i="4"/>
  <c r="D181" i="4"/>
  <c r="B181" i="4"/>
  <c r="L177" i="4"/>
  <c r="I177" i="4"/>
  <c r="C177" i="4"/>
  <c r="A177" i="4"/>
  <c r="M177" i="4"/>
  <c r="J177" i="4"/>
  <c r="D177" i="4"/>
  <c r="B177" i="4"/>
  <c r="I173" i="4"/>
  <c r="C173" i="4"/>
  <c r="A173" i="4"/>
  <c r="J173" i="4"/>
  <c r="D173" i="4"/>
  <c r="B173" i="4"/>
  <c r="I169" i="4"/>
  <c r="C169" i="4"/>
  <c r="A169" i="4"/>
  <c r="J169" i="4"/>
  <c r="D169" i="4"/>
  <c r="B169" i="4"/>
  <c r="I165" i="4"/>
  <c r="C165" i="4"/>
  <c r="A165" i="4"/>
  <c r="J165" i="4"/>
  <c r="D165" i="4"/>
  <c r="B165" i="4"/>
  <c r="L161" i="4"/>
  <c r="I161" i="4"/>
  <c r="C161" i="4"/>
  <c r="A161" i="4"/>
  <c r="M161" i="4"/>
  <c r="J161" i="4"/>
  <c r="D161" i="4"/>
  <c r="B161" i="4"/>
  <c r="I157" i="4"/>
  <c r="C157" i="4"/>
  <c r="A157" i="4"/>
  <c r="J157" i="4"/>
  <c r="D157" i="4"/>
  <c r="B157" i="4"/>
  <c r="I153" i="4"/>
  <c r="C153" i="4"/>
  <c r="A153" i="4"/>
  <c r="J153" i="4"/>
  <c r="D153" i="4"/>
  <c r="B153" i="4"/>
  <c r="I149" i="4"/>
  <c r="C149" i="4"/>
  <c r="A149" i="4"/>
  <c r="J149" i="4"/>
  <c r="D149" i="4"/>
  <c r="B149" i="4"/>
  <c r="I145" i="4"/>
  <c r="C145" i="4"/>
  <c r="A145" i="4"/>
  <c r="J145" i="4"/>
  <c r="D145" i="4"/>
  <c r="B145" i="4"/>
  <c r="I141" i="4"/>
  <c r="C141" i="4"/>
  <c r="A141" i="4"/>
  <c r="J141" i="4"/>
  <c r="D141" i="4"/>
  <c r="B141" i="4"/>
  <c r="L137" i="4"/>
  <c r="I137" i="4"/>
  <c r="C137" i="4"/>
  <c r="A137" i="4"/>
  <c r="M137" i="4"/>
  <c r="J137" i="4"/>
  <c r="D137" i="4"/>
  <c r="B137" i="4"/>
  <c r="I133" i="4"/>
  <c r="C133" i="4"/>
  <c r="A133" i="4"/>
  <c r="J133" i="4"/>
  <c r="D133" i="4"/>
  <c r="B133" i="4"/>
  <c r="I129" i="4"/>
  <c r="C129" i="4"/>
  <c r="A129" i="4"/>
  <c r="J129" i="4"/>
  <c r="D129" i="4"/>
  <c r="B129" i="4"/>
  <c r="I125" i="4"/>
  <c r="C125" i="4"/>
  <c r="A125" i="4"/>
  <c r="J125" i="4"/>
  <c r="D125" i="4"/>
  <c r="B125" i="4"/>
  <c r="I121" i="4"/>
  <c r="C121" i="4"/>
  <c r="A121" i="4"/>
  <c r="J121" i="4"/>
  <c r="D121" i="4"/>
  <c r="B121" i="4"/>
  <c r="L117" i="4"/>
  <c r="I117" i="4"/>
  <c r="C117" i="4"/>
  <c r="A117" i="4"/>
  <c r="M117" i="4"/>
  <c r="J117" i="4"/>
  <c r="D117" i="4"/>
  <c r="B117" i="4"/>
  <c r="I4" i="4"/>
  <c r="C4" i="4"/>
  <c r="A4" i="4"/>
  <c r="J4" i="4"/>
  <c r="D4" i="4"/>
  <c r="B4" i="4"/>
  <c r="I8" i="4"/>
  <c r="C8" i="4"/>
  <c r="A8" i="4"/>
  <c r="J8" i="4"/>
  <c r="D8" i="4"/>
  <c r="B8" i="4"/>
  <c r="I12" i="4"/>
  <c r="C12" i="4"/>
  <c r="A12" i="4"/>
  <c r="J12" i="4"/>
  <c r="D12" i="4"/>
  <c r="B12" i="4"/>
  <c r="I16" i="4"/>
  <c r="C16" i="4"/>
  <c r="A16" i="4"/>
  <c r="J16" i="4"/>
  <c r="D16" i="4"/>
  <c r="B16" i="4"/>
  <c r="L20" i="4"/>
  <c r="I20" i="4"/>
  <c r="C20" i="4"/>
  <c r="A20" i="4"/>
  <c r="M20" i="4"/>
  <c r="J20" i="4"/>
  <c r="D20" i="4"/>
  <c r="B20" i="4"/>
  <c r="L24" i="4"/>
  <c r="I24" i="4"/>
  <c r="C24" i="4"/>
  <c r="A24" i="4"/>
  <c r="M24" i="4"/>
  <c r="J24" i="4"/>
  <c r="D24" i="4"/>
  <c r="B24" i="4"/>
  <c r="I28" i="4"/>
  <c r="C28" i="4"/>
  <c r="A28" i="4"/>
  <c r="J28" i="4"/>
  <c r="D28" i="4"/>
  <c r="B28" i="4"/>
  <c r="I32" i="4"/>
  <c r="C32" i="4"/>
  <c r="A32" i="4"/>
  <c r="J32" i="4"/>
  <c r="D32" i="4"/>
  <c r="B32" i="4"/>
  <c r="I36" i="4"/>
  <c r="C36" i="4"/>
  <c r="A36" i="4"/>
  <c r="J36" i="4"/>
  <c r="D36" i="4"/>
  <c r="B36" i="4"/>
  <c r="I40" i="4"/>
  <c r="C40" i="4"/>
  <c r="A40" i="4"/>
  <c r="J40" i="4"/>
  <c r="D40" i="4"/>
  <c r="B40" i="4"/>
  <c r="I44" i="4"/>
  <c r="C44" i="4"/>
  <c r="A44" i="4"/>
  <c r="J44" i="4"/>
  <c r="D44" i="4"/>
  <c r="B44" i="4"/>
  <c r="I48" i="4"/>
  <c r="C48" i="4"/>
  <c r="A48" i="4"/>
  <c r="J48" i="4"/>
  <c r="D48" i="4"/>
  <c r="B48" i="4"/>
  <c r="I52" i="4"/>
  <c r="C52" i="4"/>
  <c r="A52" i="4"/>
  <c r="J52" i="4"/>
  <c r="D52" i="4"/>
  <c r="B52" i="4"/>
  <c r="I56" i="4"/>
  <c r="C56" i="4"/>
  <c r="A56" i="4"/>
  <c r="J56" i="4"/>
  <c r="D56" i="4"/>
  <c r="B56" i="4"/>
  <c r="I60" i="4"/>
  <c r="C60" i="4"/>
  <c r="A60" i="4"/>
  <c r="J60" i="4"/>
  <c r="D60" i="4"/>
  <c r="B60" i="4"/>
  <c r="I64" i="4"/>
  <c r="C64" i="4"/>
  <c r="A64" i="4"/>
  <c r="J64" i="4"/>
  <c r="D64" i="4"/>
  <c r="B64" i="4"/>
  <c r="I68" i="4"/>
  <c r="C68" i="4"/>
  <c r="A68" i="4"/>
  <c r="J68" i="4"/>
  <c r="D68" i="4"/>
  <c r="B68" i="4"/>
  <c r="I72" i="4"/>
  <c r="C72" i="4"/>
  <c r="A72" i="4"/>
  <c r="J72" i="4"/>
  <c r="D72" i="4"/>
  <c r="B72" i="4"/>
  <c r="I76" i="4"/>
  <c r="C76" i="4"/>
  <c r="A76" i="4"/>
  <c r="J76" i="4"/>
  <c r="D76" i="4"/>
  <c r="B76" i="4"/>
  <c r="I80" i="4"/>
  <c r="C80" i="4"/>
  <c r="A80" i="4"/>
  <c r="J80" i="4"/>
  <c r="D80" i="4"/>
  <c r="B80" i="4"/>
  <c r="I84" i="4"/>
  <c r="C84" i="4"/>
  <c r="A84" i="4"/>
  <c r="J84" i="4"/>
  <c r="D84" i="4"/>
  <c r="B84" i="4"/>
  <c r="I88" i="4"/>
  <c r="C88" i="4"/>
  <c r="A88" i="4"/>
  <c r="J88" i="4"/>
  <c r="D88" i="4"/>
  <c r="B88" i="4"/>
  <c r="I92" i="4"/>
  <c r="C92" i="4"/>
  <c r="A92" i="4"/>
  <c r="J92" i="4"/>
  <c r="D92" i="4"/>
  <c r="B92" i="4"/>
  <c r="I96" i="4"/>
  <c r="C96" i="4"/>
  <c r="A96" i="4"/>
  <c r="J96" i="4"/>
  <c r="D96" i="4"/>
  <c r="B96" i="4"/>
  <c r="I100" i="4"/>
  <c r="C100" i="4"/>
  <c r="A100" i="4"/>
  <c r="J100" i="4"/>
  <c r="D100" i="4"/>
  <c r="B100" i="4"/>
  <c r="I104" i="4"/>
  <c r="C104" i="4"/>
  <c r="A104" i="4"/>
  <c r="J104" i="4"/>
  <c r="D104" i="4"/>
  <c r="B104" i="4"/>
  <c r="I108" i="4"/>
  <c r="C108" i="4"/>
  <c r="A108" i="4"/>
  <c r="J108" i="4"/>
  <c r="D108" i="4"/>
  <c r="B108" i="4"/>
  <c r="I112" i="4"/>
  <c r="C112" i="4"/>
  <c r="A112" i="4"/>
  <c r="J112" i="4"/>
  <c r="D112" i="4"/>
  <c r="B112" i="4"/>
  <c r="I245" i="4"/>
  <c r="C245" i="4"/>
  <c r="A245" i="4"/>
  <c r="J245" i="4"/>
  <c r="D245" i="4"/>
  <c r="B245" i="4"/>
  <c r="I261" i="4"/>
  <c r="C261" i="4"/>
  <c r="A261" i="4"/>
  <c r="J261" i="4"/>
  <c r="D261" i="4"/>
  <c r="B261" i="4"/>
  <c r="I277" i="4"/>
  <c r="C277" i="4"/>
  <c r="A277" i="4"/>
  <c r="J277" i="4"/>
  <c r="D277" i="4"/>
  <c r="B277" i="4"/>
  <c r="L293" i="4"/>
  <c r="I293" i="4"/>
  <c r="C293" i="4"/>
  <c r="A293" i="4"/>
  <c r="M293" i="4"/>
  <c r="J293" i="4"/>
  <c r="D293" i="4"/>
  <c r="B293" i="4"/>
  <c r="I309" i="4"/>
  <c r="C309" i="4"/>
  <c r="A309" i="4"/>
  <c r="J309" i="4"/>
  <c r="D309" i="4"/>
  <c r="B309" i="4"/>
  <c r="I325" i="4"/>
  <c r="C325" i="4"/>
  <c r="A325" i="4"/>
  <c r="J325" i="4"/>
  <c r="D325" i="4"/>
  <c r="B325" i="4"/>
  <c r="I341" i="4"/>
  <c r="C341" i="4"/>
  <c r="A341" i="4"/>
  <c r="J341" i="4"/>
  <c r="D341" i="4"/>
  <c r="B341" i="4"/>
  <c r="I357" i="4"/>
  <c r="C357" i="4"/>
  <c r="A357" i="4"/>
  <c r="J357" i="4"/>
  <c r="D357" i="4"/>
  <c r="B357" i="4"/>
  <c r="I373" i="4"/>
  <c r="C373" i="4"/>
  <c r="A373" i="4"/>
  <c r="J373" i="4"/>
  <c r="D373" i="4"/>
  <c r="B373" i="4"/>
  <c r="I389" i="4"/>
  <c r="C389" i="4"/>
  <c r="A389" i="4"/>
  <c r="J389" i="4"/>
  <c r="D389" i="4"/>
  <c r="B389" i="4"/>
  <c r="I405" i="4"/>
  <c r="C405" i="4"/>
  <c r="A405" i="4"/>
  <c r="J405" i="4"/>
  <c r="D405" i="4"/>
  <c r="B405" i="4"/>
  <c r="I421" i="4"/>
  <c r="C421" i="4"/>
  <c r="A421" i="4"/>
  <c r="J421" i="4"/>
  <c r="D421" i="4"/>
  <c r="B421" i="4"/>
  <c r="I437" i="4"/>
  <c r="C437" i="4"/>
  <c r="A437" i="4"/>
  <c r="J437" i="4"/>
  <c r="D437" i="4"/>
  <c r="B437" i="4"/>
  <c r="L453" i="4"/>
  <c r="I453" i="4"/>
  <c r="C453" i="4"/>
  <c r="A453" i="4"/>
  <c r="M453" i="4"/>
  <c r="J453" i="4"/>
  <c r="D453" i="4"/>
  <c r="B453" i="4"/>
  <c r="L469" i="4"/>
  <c r="I469" i="4"/>
  <c r="C469" i="4"/>
  <c r="A469" i="4"/>
  <c r="M469" i="4"/>
  <c r="J469" i="4"/>
  <c r="D469" i="4"/>
  <c r="B469" i="4"/>
  <c r="L485" i="4"/>
  <c r="I485" i="4"/>
  <c r="C485" i="4"/>
  <c r="A485" i="4"/>
  <c r="M485" i="4"/>
  <c r="J485" i="4"/>
  <c r="D485" i="4"/>
  <c r="B485" i="4"/>
  <c r="L501" i="4"/>
  <c r="I501" i="4"/>
  <c r="C501" i="4"/>
  <c r="A501" i="4"/>
  <c r="M501" i="4"/>
  <c r="J501" i="4"/>
  <c r="D501" i="4"/>
  <c r="B501" i="4"/>
  <c r="L2" i="4"/>
  <c r="I2" i="4"/>
  <c r="C2" i="4"/>
  <c r="A2" i="4"/>
  <c r="J2" i="4"/>
  <c r="D2" i="4"/>
  <c r="B2" i="4"/>
  <c r="G104" i="6" l="1"/>
  <c r="G417" i="6"/>
  <c r="G385" i="6"/>
  <c r="G82" i="6"/>
  <c r="G74" i="6"/>
  <c r="G421" i="6"/>
  <c r="G357" i="6"/>
  <c r="G309" i="6"/>
  <c r="G245" i="6"/>
  <c r="G100" i="6"/>
  <c r="G92" i="6"/>
  <c r="G84" i="6"/>
  <c r="G68" i="6"/>
  <c r="G56" i="6"/>
  <c r="G48" i="6"/>
  <c r="G40" i="6"/>
  <c r="G28" i="6"/>
  <c r="G12" i="6"/>
  <c r="G4" i="6"/>
  <c r="G125" i="6"/>
  <c r="G133" i="6"/>
  <c r="G149" i="6"/>
  <c r="G169" i="6"/>
  <c r="G181" i="6"/>
  <c r="G189" i="6"/>
  <c r="G197" i="6"/>
  <c r="G217" i="6"/>
  <c r="G225" i="6"/>
  <c r="G233" i="6"/>
  <c r="G246" i="6"/>
  <c r="G262" i="6"/>
  <c r="G278" i="6"/>
  <c r="G318" i="6"/>
  <c r="G350" i="6"/>
  <c r="G374" i="6"/>
  <c r="G406" i="6"/>
  <c r="G454" i="6"/>
  <c r="G319" i="6"/>
  <c r="G255" i="6"/>
  <c r="G347" i="6"/>
  <c r="G283" i="6"/>
  <c r="G401" i="6"/>
  <c r="G353" i="6"/>
  <c r="G321" i="6"/>
  <c r="G289" i="6"/>
  <c r="G257" i="6"/>
  <c r="G111" i="6"/>
  <c r="G103" i="6"/>
  <c r="G87" i="6"/>
  <c r="G79" i="6"/>
  <c r="G71" i="6"/>
  <c r="G63" i="6"/>
  <c r="G55" i="6"/>
  <c r="G43" i="6"/>
  <c r="G31" i="6"/>
  <c r="G23" i="6"/>
  <c r="G11" i="6"/>
  <c r="G122" i="6"/>
  <c r="G130" i="6"/>
  <c r="G138" i="6"/>
  <c r="G162" i="6"/>
  <c r="G170" i="6"/>
  <c r="G194" i="6"/>
  <c r="G210" i="6"/>
  <c r="G226" i="6"/>
  <c r="G234" i="6"/>
  <c r="G242" i="6"/>
  <c r="G256" i="6"/>
  <c r="G272" i="6"/>
  <c r="G296" i="6"/>
  <c r="G328" i="6"/>
  <c r="G360" i="6"/>
  <c r="G392" i="6"/>
  <c r="G437" i="6"/>
  <c r="G389" i="6"/>
  <c r="G341" i="6"/>
  <c r="G261" i="6"/>
  <c r="G96" i="6"/>
  <c r="G88" i="6"/>
  <c r="G80" i="6"/>
  <c r="G64" i="6"/>
  <c r="G52" i="6"/>
  <c r="G44" i="6"/>
  <c r="G36" i="6"/>
  <c r="G16" i="6"/>
  <c r="G8" i="6"/>
  <c r="G121" i="6"/>
  <c r="G129" i="6"/>
  <c r="G141" i="6"/>
  <c r="G153" i="6"/>
  <c r="G173" i="6"/>
  <c r="G185" i="6"/>
  <c r="G193" i="6"/>
  <c r="G205" i="6"/>
  <c r="G221" i="6"/>
  <c r="G229" i="6"/>
  <c r="G241" i="6"/>
  <c r="G254" i="6"/>
  <c r="G270" i="6"/>
  <c r="G286" i="6"/>
  <c r="G326" i="6"/>
  <c r="G366" i="6"/>
  <c r="G382" i="6"/>
  <c r="G414" i="6"/>
  <c r="G415" i="6"/>
  <c r="G287" i="6"/>
  <c r="G411" i="6"/>
  <c r="G315" i="6"/>
  <c r="G337" i="6"/>
  <c r="G305" i="6"/>
  <c r="G273" i="6"/>
  <c r="G115" i="6"/>
  <c r="G107" i="6"/>
  <c r="G91" i="6"/>
  <c r="G83" i="6"/>
  <c r="G75" i="6"/>
  <c r="G67" i="6"/>
  <c r="G59" i="6"/>
  <c r="G51" i="6"/>
  <c r="G35" i="6"/>
  <c r="G27" i="6"/>
  <c r="G19" i="6"/>
  <c r="G118" i="6"/>
  <c r="G126" i="6"/>
  <c r="G134" i="6"/>
  <c r="G142" i="6"/>
  <c r="G166" i="6"/>
  <c r="G178" i="6"/>
  <c r="G202" i="6"/>
  <c r="G214" i="6"/>
  <c r="G230" i="6"/>
  <c r="G238" i="6"/>
  <c r="G248" i="6"/>
  <c r="G264" i="6"/>
  <c r="G288" i="6"/>
  <c r="G312" i="6"/>
  <c r="G344" i="6"/>
  <c r="G368" i="6"/>
  <c r="G408" i="6"/>
  <c r="G448" i="6"/>
  <c r="G432" i="6"/>
  <c r="G439" i="6"/>
  <c r="G343" i="6"/>
  <c r="G279" i="6"/>
  <c r="G371" i="6"/>
  <c r="G275" i="6"/>
  <c r="G397" i="6"/>
  <c r="G349" i="6"/>
  <c r="G301" i="6"/>
  <c r="G269" i="6"/>
  <c r="G114" i="6"/>
  <c r="G94" i="6"/>
  <c r="G86" i="6"/>
  <c r="G78" i="6"/>
  <c r="G70" i="6"/>
  <c r="G58" i="6"/>
  <c r="G46" i="6"/>
  <c r="G38" i="6"/>
  <c r="G30" i="6"/>
  <c r="G18" i="6"/>
  <c r="G6" i="6"/>
  <c r="G123" i="6"/>
  <c r="G143" i="6"/>
  <c r="G155" i="6"/>
  <c r="G171" i="6"/>
  <c r="G179" i="6"/>
  <c r="G187" i="6"/>
  <c r="G195" i="6"/>
  <c r="G207" i="6"/>
  <c r="G215" i="6"/>
  <c r="G223" i="6"/>
  <c r="G235" i="6"/>
  <c r="G250" i="6"/>
  <c r="G266" i="6"/>
  <c r="G306" i="6"/>
  <c r="G330" i="6"/>
  <c r="G346" i="6"/>
  <c r="G370" i="6"/>
  <c r="G394" i="6"/>
  <c r="G434" i="6"/>
  <c r="G450" i="6"/>
  <c r="G367" i="6"/>
  <c r="G303" i="6"/>
  <c r="G363" i="6"/>
  <c r="G457" i="6"/>
  <c r="G409" i="6"/>
  <c r="G345" i="6"/>
  <c r="G297" i="6"/>
  <c r="G249" i="6"/>
  <c r="G105" i="6"/>
  <c r="G93" i="6"/>
  <c r="G73" i="6"/>
  <c r="G65" i="6"/>
  <c r="G53" i="6"/>
  <c r="G45" i="6"/>
  <c r="G33" i="6"/>
  <c r="G21" i="6"/>
  <c r="G13" i="6"/>
  <c r="G5" i="6"/>
  <c r="G120" i="6"/>
  <c r="G128" i="6"/>
  <c r="G140" i="6"/>
  <c r="G152" i="6"/>
  <c r="G160" i="6"/>
  <c r="G176" i="6"/>
  <c r="G188" i="6"/>
  <c r="G196" i="6"/>
  <c r="G208" i="6"/>
  <c r="G220" i="6"/>
  <c r="G228" i="6"/>
  <c r="G236" i="6"/>
  <c r="G252" i="6"/>
  <c r="G268" i="6"/>
  <c r="G292" i="6"/>
  <c r="G316" i="6"/>
  <c r="G340" i="6"/>
  <c r="G356" i="6"/>
  <c r="G380" i="6"/>
  <c r="G396" i="6"/>
  <c r="G428" i="6"/>
  <c r="G455" i="6"/>
  <c r="G359" i="6"/>
  <c r="G295" i="6"/>
  <c r="G483" i="6"/>
  <c r="G387" i="6"/>
  <c r="G375" i="6"/>
  <c r="G311" i="6"/>
  <c r="G403" i="6"/>
  <c r="G307" i="6"/>
  <c r="G66" i="6"/>
  <c r="G54" i="6"/>
  <c r="G42" i="6"/>
  <c r="G34" i="6"/>
  <c r="G22" i="6"/>
  <c r="G14" i="6"/>
  <c r="G119" i="6"/>
  <c r="G127" i="6"/>
  <c r="G147" i="6"/>
  <c r="G159" i="6"/>
  <c r="G175" i="6"/>
  <c r="G183" i="6"/>
  <c r="G191" i="6"/>
  <c r="G199" i="6"/>
  <c r="G211" i="6"/>
  <c r="G219" i="6"/>
  <c r="G227" i="6"/>
  <c r="G231" i="6"/>
  <c r="G239" i="6"/>
  <c r="G258" i="6"/>
  <c r="G282" i="6"/>
  <c r="G322" i="6"/>
  <c r="G338" i="6"/>
  <c r="G354" i="6"/>
  <c r="G378" i="6"/>
  <c r="G410" i="6"/>
  <c r="G442" i="6"/>
  <c r="G399" i="6"/>
  <c r="G335" i="6"/>
  <c r="G271" i="6"/>
  <c r="G331" i="6"/>
  <c r="G425" i="6"/>
  <c r="G377" i="6"/>
  <c r="G313" i="6"/>
  <c r="G265" i="6"/>
  <c r="G109" i="6"/>
  <c r="G97" i="6"/>
  <c r="G77" i="6"/>
  <c r="G69" i="6"/>
  <c r="G61" i="6"/>
  <c r="G49" i="6"/>
  <c r="G41" i="6"/>
  <c r="G25" i="6"/>
  <c r="G17" i="6"/>
  <c r="G9" i="6"/>
  <c r="G116" i="6"/>
  <c r="G124" i="6"/>
  <c r="G132" i="6"/>
  <c r="G144" i="6"/>
  <c r="G156" i="6"/>
  <c r="G164" i="6"/>
  <c r="G184" i="6"/>
  <c r="G192" i="6"/>
  <c r="G204" i="6"/>
  <c r="G212" i="6"/>
  <c r="G224" i="6"/>
  <c r="G232" i="6"/>
  <c r="G244" i="6"/>
  <c r="G260" i="6"/>
  <c r="G284" i="6"/>
  <c r="G300" i="6"/>
  <c r="G332" i="6"/>
  <c r="G348" i="6"/>
  <c r="G364" i="6"/>
  <c r="G388" i="6"/>
  <c r="G412" i="6"/>
  <c r="G444" i="6"/>
  <c r="G391" i="6"/>
  <c r="G2" i="6"/>
  <c r="G501" i="6"/>
  <c r="G485" i="6"/>
  <c r="G469" i="6"/>
  <c r="G453" i="6"/>
  <c r="G405" i="6"/>
  <c r="G293" i="6"/>
  <c r="G277" i="6"/>
  <c r="G112" i="6"/>
  <c r="G108" i="6"/>
  <c r="G24" i="6"/>
  <c r="G20" i="6"/>
  <c r="G117" i="6"/>
  <c r="G137" i="6"/>
  <c r="G201" i="6"/>
  <c r="G237" i="6"/>
  <c r="G358" i="6"/>
  <c r="G462" i="6"/>
  <c r="G470" i="6"/>
  <c r="G478" i="6"/>
  <c r="G486" i="6"/>
  <c r="G494" i="6"/>
  <c r="G479" i="6"/>
  <c r="G447" i="6"/>
  <c r="G475" i="6"/>
  <c r="G443" i="6"/>
  <c r="G251" i="6"/>
  <c r="G497" i="6"/>
  <c r="G481" i="6"/>
  <c r="G465" i="6"/>
  <c r="G449" i="6"/>
  <c r="G433" i="6"/>
  <c r="G99" i="6"/>
  <c r="G95" i="6"/>
  <c r="G39" i="6"/>
  <c r="G7" i="6"/>
  <c r="G3" i="6"/>
  <c r="G174" i="6"/>
  <c r="G198" i="6"/>
  <c r="G280" i="6"/>
  <c r="G304" i="6"/>
  <c r="G336" i="6"/>
  <c r="G400" i="6"/>
  <c r="G440" i="6"/>
  <c r="G407" i="6"/>
  <c r="G247" i="6"/>
  <c r="G467" i="6"/>
  <c r="G435" i="6"/>
  <c r="G339" i="6"/>
  <c r="G499" i="6"/>
  <c r="G493" i="6"/>
  <c r="G477" i="6"/>
  <c r="G461" i="6"/>
  <c r="G445" i="6"/>
  <c r="G333" i="6"/>
  <c r="G110" i="6"/>
  <c r="G106" i="6"/>
  <c r="G26" i="6"/>
  <c r="G274" i="6"/>
  <c r="G314" i="6"/>
  <c r="G402" i="6"/>
  <c r="G458" i="6"/>
  <c r="G466" i="6"/>
  <c r="G474" i="6"/>
  <c r="G482" i="6"/>
  <c r="G490" i="6"/>
  <c r="G498" i="6"/>
  <c r="G463" i="6"/>
  <c r="G431" i="6"/>
  <c r="G441" i="6"/>
  <c r="G393" i="6"/>
  <c r="G329" i="6"/>
  <c r="G281" i="6"/>
  <c r="G113" i="6"/>
  <c r="G101" i="6"/>
  <c r="G89" i="6"/>
  <c r="G85" i="6"/>
  <c r="G81" i="6"/>
  <c r="G29" i="6"/>
  <c r="G180" i="6"/>
  <c r="G200" i="6"/>
  <c r="G240" i="6"/>
  <c r="G276" i="6"/>
  <c r="G324" i="6"/>
  <c r="G404" i="6"/>
  <c r="G436" i="6"/>
  <c r="G423" i="6"/>
  <c r="G355" i="6"/>
  <c r="G373" i="6"/>
  <c r="G325" i="6"/>
  <c r="G76" i="6"/>
  <c r="G72" i="6"/>
  <c r="G60" i="6"/>
  <c r="G32" i="6"/>
  <c r="G145" i="6"/>
  <c r="G157" i="6"/>
  <c r="G161" i="6"/>
  <c r="G165" i="6"/>
  <c r="G177" i="6"/>
  <c r="G209" i="6"/>
  <c r="G213" i="6"/>
  <c r="G294" i="6"/>
  <c r="G302" i="6"/>
  <c r="G310" i="6"/>
  <c r="G334" i="6"/>
  <c r="G342" i="6"/>
  <c r="G390" i="6"/>
  <c r="G398" i="6"/>
  <c r="G422" i="6"/>
  <c r="G430" i="6"/>
  <c r="G438" i="6"/>
  <c r="G446" i="6"/>
  <c r="G383" i="6"/>
  <c r="G351" i="6"/>
  <c r="G379" i="6"/>
  <c r="G369" i="6"/>
  <c r="G47" i="6"/>
  <c r="G15" i="6"/>
  <c r="G146" i="6"/>
  <c r="G150" i="6"/>
  <c r="G154" i="6"/>
  <c r="G158" i="6"/>
  <c r="G182" i="6"/>
  <c r="G186" i="6"/>
  <c r="G190" i="6"/>
  <c r="G206" i="6"/>
  <c r="G218" i="6"/>
  <c r="G222" i="6"/>
  <c r="G320" i="6"/>
  <c r="G352" i="6"/>
  <c r="G376" i="6"/>
  <c r="G384" i="6"/>
  <c r="G416" i="6"/>
  <c r="G424" i="6"/>
  <c r="G456" i="6"/>
  <c r="G464" i="6"/>
  <c r="G472" i="6"/>
  <c r="G480" i="6"/>
  <c r="G488" i="6"/>
  <c r="G496" i="6"/>
  <c r="G471" i="6"/>
  <c r="G413" i="6"/>
  <c r="G365" i="6"/>
  <c r="G98" i="6"/>
  <c r="G62" i="6"/>
  <c r="G50" i="6"/>
  <c r="G10" i="6"/>
  <c r="G131" i="6"/>
  <c r="G135" i="6"/>
  <c r="G139" i="6"/>
  <c r="G151" i="6"/>
  <c r="G163" i="6"/>
  <c r="G167" i="6"/>
  <c r="G203" i="6"/>
  <c r="G243" i="6"/>
  <c r="G290" i="6"/>
  <c r="G298" i="6"/>
  <c r="G362" i="6"/>
  <c r="G386" i="6"/>
  <c r="G418" i="6"/>
  <c r="G426" i="6"/>
  <c r="G491" i="6"/>
  <c r="G459" i="6"/>
  <c r="G427" i="6"/>
  <c r="G395" i="6"/>
  <c r="G299" i="6"/>
  <c r="G267" i="6"/>
  <c r="G500" i="6"/>
  <c r="G489" i="6"/>
  <c r="G473" i="6"/>
  <c r="G361" i="6"/>
  <c r="G57" i="6"/>
  <c r="G37" i="6"/>
  <c r="G136" i="6"/>
  <c r="G148" i="6"/>
  <c r="G168" i="6"/>
  <c r="G172" i="6"/>
  <c r="G216" i="6"/>
  <c r="G308" i="6"/>
  <c r="G372" i="6"/>
  <c r="G420" i="6"/>
  <c r="G452" i="6"/>
  <c r="G460" i="6"/>
  <c r="G468" i="6"/>
  <c r="G476" i="6"/>
  <c r="G484" i="6"/>
  <c r="G492" i="6"/>
  <c r="G487" i="6"/>
  <c r="G451" i="6"/>
  <c r="G419" i="6"/>
  <c r="G291" i="6"/>
  <c r="G259" i="6"/>
  <c r="G327" i="6"/>
  <c r="G263" i="6"/>
  <c r="G323" i="6"/>
  <c r="N502" i="6"/>
  <c r="M502" i="6"/>
  <c r="O502" i="6"/>
  <c r="F469" i="6"/>
  <c r="H469" i="6"/>
  <c r="F421" i="6"/>
  <c r="H421" i="6"/>
  <c r="F405" i="6"/>
  <c r="H405" i="6"/>
  <c r="F389" i="6"/>
  <c r="H389" i="6"/>
  <c r="F373" i="6"/>
  <c r="H373" i="6"/>
  <c r="F357" i="6"/>
  <c r="H357" i="6"/>
  <c r="F277" i="6"/>
  <c r="H277" i="6"/>
  <c r="F261" i="6"/>
  <c r="H261" i="6"/>
  <c r="F108" i="6"/>
  <c r="H108" i="6"/>
  <c r="F104" i="6"/>
  <c r="H104" i="6"/>
  <c r="F88" i="6"/>
  <c r="H88" i="6"/>
  <c r="F48" i="6"/>
  <c r="H48" i="6"/>
  <c r="F8" i="6"/>
  <c r="H8" i="6"/>
  <c r="F133" i="6"/>
  <c r="H133" i="6"/>
  <c r="F137" i="6"/>
  <c r="H137" i="6"/>
  <c r="F141" i="6"/>
  <c r="H141" i="6"/>
  <c r="F145" i="6"/>
  <c r="H145" i="6"/>
  <c r="F149" i="6"/>
  <c r="H149" i="6"/>
  <c r="F161" i="6"/>
  <c r="H161" i="6"/>
  <c r="F173" i="6"/>
  <c r="H173" i="6"/>
  <c r="F177" i="6"/>
  <c r="H177" i="6"/>
  <c r="F181" i="6"/>
  <c r="H181" i="6"/>
  <c r="F197" i="6"/>
  <c r="H197" i="6"/>
  <c r="F201" i="6"/>
  <c r="H201" i="6"/>
  <c r="F205" i="6"/>
  <c r="H205" i="6"/>
  <c r="F209" i="6"/>
  <c r="H209" i="6"/>
  <c r="F221" i="6"/>
  <c r="H221" i="6"/>
  <c r="F246" i="6"/>
  <c r="H246" i="6"/>
  <c r="F278" i="6"/>
  <c r="H278" i="6"/>
  <c r="F302" i="6"/>
  <c r="H302" i="6"/>
  <c r="F326" i="6"/>
  <c r="H326" i="6"/>
  <c r="F334" i="6"/>
  <c r="H334" i="6"/>
  <c r="F374" i="6"/>
  <c r="H374" i="6"/>
  <c r="F398" i="6"/>
  <c r="H398" i="6"/>
  <c r="F406" i="6"/>
  <c r="H406" i="6"/>
  <c r="F430" i="6"/>
  <c r="H430" i="6"/>
  <c r="F478" i="6"/>
  <c r="H478" i="6"/>
  <c r="F447" i="6"/>
  <c r="H447" i="6"/>
  <c r="F415" i="6"/>
  <c r="H415" i="6"/>
  <c r="F383" i="6"/>
  <c r="H383" i="6"/>
  <c r="F287" i="6"/>
  <c r="H287" i="6"/>
  <c r="F443" i="6"/>
  <c r="H443" i="6"/>
  <c r="F411" i="6"/>
  <c r="H411" i="6"/>
  <c r="F379" i="6"/>
  <c r="H379" i="6"/>
  <c r="F347" i="6"/>
  <c r="H347" i="6"/>
  <c r="F481" i="6"/>
  <c r="H481" i="6"/>
  <c r="F337" i="6"/>
  <c r="H337" i="6"/>
  <c r="F273" i="6"/>
  <c r="H273" i="6"/>
  <c r="F107" i="6"/>
  <c r="H107" i="6"/>
  <c r="F95" i="6"/>
  <c r="H95" i="6"/>
  <c r="F91" i="6"/>
  <c r="H91" i="6"/>
  <c r="F75" i="6"/>
  <c r="H75" i="6"/>
  <c r="F59" i="6"/>
  <c r="H59" i="6"/>
  <c r="F27" i="6"/>
  <c r="H27" i="6"/>
  <c r="F130" i="6"/>
  <c r="H130" i="6"/>
  <c r="F158" i="6"/>
  <c r="H158" i="6"/>
  <c r="F162" i="6"/>
  <c r="H162" i="6"/>
  <c r="F190" i="6"/>
  <c r="H190" i="6"/>
  <c r="F194" i="6"/>
  <c r="H194" i="6"/>
  <c r="F198" i="6"/>
  <c r="H198" i="6"/>
  <c r="F202" i="6"/>
  <c r="H202" i="6"/>
  <c r="F206" i="6"/>
  <c r="H206" i="6"/>
  <c r="F210" i="6"/>
  <c r="H210" i="6"/>
  <c r="F222" i="6"/>
  <c r="H222" i="6"/>
  <c r="F226" i="6"/>
  <c r="H226" i="6"/>
  <c r="F242" i="6"/>
  <c r="H242" i="6"/>
  <c r="F272" i="6"/>
  <c r="H272" i="6"/>
  <c r="F280" i="6"/>
  <c r="H280" i="6"/>
  <c r="F288" i="6"/>
  <c r="H288" i="6"/>
  <c r="F424" i="6"/>
  <c r="H424" i="6"/>
  <c r="F432" i="6"/>
  <c r="H432" i="6"/>
  <c r="F440" i="6"/>
  <c r="H440" i="6"/>
  <c r="F448" i="6"/>
  <c r="H448" i="6"/>
  <c r="F456" i="6"/>
  <c r="H456" i="6"/>
  <c r="F488" i="6"/>
  <c r="H488" i="6"/>
  <c r="F311" i="6"/>
  <c r="H311" i="6"/>
  <c r="F467" i="6"/>
  <c r="H467" i="6"/>
  <c r="F371" i="6"/>
  <c r="H371" i="6"/>
  <c r="F339" i="6"/>
  <c r="H339" i="6"/>
  <c r="F307" i="6"/>
  <c r="H307" i="6"/>
  <c r="F493" i="6"/>
  <c r="H493" i="6"/>
  <c r="F285" i="6"/>
  <c r="H285" i="6"/>
  <c r="F86" i="6"/>
  <c r="H86" i="6"/>
  <c r="F70" i="6"/>
  <c r="H70" i="6"/>
  <c r="F38" i="6"/>
  <c r="H38" i="6"/>
  <c r="F14" i="6"/>
  <c r="H14" i="6"/>
  <c r="F10" i="6"/>
  <c r="H10" i="6"/>
  <c r="F6" i="6"/>
  <c r="H6" i="6"/>
  <c r="F179" i="6"/>
  <c r="H179" i="6"/>
  <c r="F195" i="6"/>
  <c r="H195" i="6"/>
  <c r="F219" i="6"/>
  <c r="H219" i="6"/>
  <c r="F258" i="6"/>
  <c r="H258" i="6"/>
  <c r="F298" i="6"/>
  <c r="H298" i="6"/>
  <c r="F306" i="6"/>
  <c r="H306" i="6"/>
  <c r="F314" i="6"/>
  <c r="H314" i="6"/>
  <c r="F322" i="6"/>
  <c r="H322" i="6"/>
  <c r="F354" i="6"/>
  <c r="H354" i="6"/>
  <c r="F362" i="6"/>
  <c r="H362" i="6"/>
  <c r="F370" i="6"/>
  <c r="H370" i="6"/>
  <c r="F426" i="6"/>
  <c r="H426" i="6"/>
  <c r="F434" i="6"/>
  <c r="H434" i="6"/>
  <c r="F474" i="6"/>
  <c r="H474" i="6"/>
  <c r="F463" i="6"/>
  <c r="H463" i="6"/>
  <c r="F367" i="6"/>
  <c r="H367" i="6"/>
  <c r="F395" i="6"/>
  <c r="H395" i="6"/>
  <c r="F363" i="6"/>
  <c r="H363" i="6"/>
  <c r="F267" i="6"/>
  <c r="H267" i="6"/>
  <c r="F249" i="6"/>
  <c r="H249" i="6"/>
  <c r="F113" i="6"/>
  <c r="H113" i="6"/>
  <c r="F109" i="6"/>
  <c r="H109" i="6"/>
  <c r="F81" i="6"/>
  <c r="H81" i="6"/>
  <c r="F77" i="6"/>
  <c r="H77" i="6"/>
  <c r="F61" i="6"/>
  <c r="H61" i="6"/>
  <c r="F57" i="6"/>
  <c r="H57" i="6"/>
  <c r="F53" i="6"/>
  <c r="H53" i="6"/>
  <c r="F21" i="6"/>
  <c r="H21" i="6"/>
  <c r="F5" i="6"/>
  <c r="H5" i="6"/>
  <c r="F128" i="6"/>
  <c r="H128" i="6"/>
  <c r="F160" i="6"/>
  <c r="H160" i="6"/>
  <c r="F172" i="6"/>
  <c r="H172" i="6"/>
  <c r="F176" i="6"/>
  <c r="H176" i="6"/>
  <c r="F180" i="6"/>
  <c r="H180" i="6"/>
  <c r="F184" i="6"/>
  <c r="H184" i="6"/>
  <c r="F208" i="6"/>
  <c r="H208" i="6"/>
  <c r="F232" i="6"/>
  <c r="H232" i="6"/>
  <c r="F268" i="6"/>
  <c r="H268" i="6"/>
  <c r="F276" i="6"/>
  <c r="H276" i="6"/>
  <c r="F284" i="6"/>
  <c r="H284" i="6"/>
  <c r="F348" i="6"/>
  <c r="H348" i="6"/>
  <c r="F396" i="6"/>
  <c r="H396" i="6"/>
  <c r="F404" i="6"/>
  <c r="H404" i="6"/>
  <c r="F412" i="6"/>
  <c r="H412" i="6"/>
  <c r="F420" i="6"/>
  <c r="H420" i="6"/>
  <c r="F428" i="6"/>
  <c r="H428" i="6"/>
  <c r="F436" i="6"/>
  <c r="H436" i="6"/>
  <c r="F444" i="6"/>
  <c r="H444" i="6"/>
  <c r="F452" i="6"/>
  <c r="H452" i="6"/>
  <c r="F484" i="6"/>
  <c r="H484" i="6"/>
  <c r="F327" i="6"/>
  <c r="H327" i="6"/>
  <c r="F419" i="6"/>
  <c r="H419" i="6"/>
  <c r="F387" i="6"/>
  <c r="H387" i="6"/>
  <c r="F355" i="6"/>
  <c r="H355" i="6"/>
  <c r="F323" i="6"/>
  <c r="H323" i="6"/>
  <c r="F291" i="6"/>
  <c r="H291" i="6"/>
  <c r="H2" i="6"/>
  <c r="F2" i="6"/>
  <c r="F453" i="6"/>
  <c r="H453" i="6"/>
  <c r="F437" i="6"/>
  <c r="H437" i="6"/>
  <c r="F92" i="6"/>
  <c r="H92" i="6"/>
  <c r="F52" i="6"/>
  <c r="H52" i="6"/>
  <c r="F36" i="6"/>
  <c r="H36" i="6"/>
  <c r="F32" i="6"/>
  <c r="H32" i="6"/>
  <c r="F28" i="6"/>
  <c r="H28" i="6"/>
  <c r="F24" i="6"/>
  <c r="H24" i="6"/>
  <c r="F12" i="6"/>
  <c r="H12" i="6"/>
  <c r="F129" i="6"/>
  <c r="H129" i="6"/>
  <c r="F165" i="6"/>
  <c r="H165" i="6"/>
  <c r="F169" i="6"/>
  <c r="H169" i="6"/>
  <c r="F193" i="6"/>
  <c r="H193" i="6"/>
  <c r="F213" i="6"/>
  <c r="H213" i="6"/>
  <c r="F217" i="6"/>
  <c r="H217" i="6"/>
  <c r="F233" i="6"/>
  <c r="H233" i="6"/>
  <c r="F237" i="6"/>
  <c r="H237" i="6"/>
  <c r="F241" i="6"/>
  <c r="H241" i="6"/>
  <c r="F270" i="6"/>
  <c r="H270" i="6"/>
  <c r="F310" i="6"/>
  <c r="H310" i="6"/>
  <c r="F318" i="6"/>
  <c r="H318" i="6"/>
  <c r="F342" i="6"/>
  <c r="H342" i="6"/>
  <c r="F350" i="6"/>
  <c r="H350" i="6"/>
  <c r="F358" i="6"/>
  <c r="H358" i="6"/>
  <c r="F366" i="6"/>
  <c r="H366" i="6"/>
  <c r="F438" i="6"/>
  <c r="H438" i="6"/>
  <c r="F486" i="6"/>
  <c r="H486" i="6"/>
  <c r="F351" i="6"/>
  <c r="H351" i="6"/>
  <c r="F319" i="6"/>
  <c r="H319" i="6"/>
  <c r="F465" i="6"/>
  <c r="H465" i="6"/>
  <c r="F385" i="6"/>
  <c r="H385" i="6"/>
  <c r="F369" i="6"/>
  <c r="H369" i="6"/>
  <c r="F353" i="6"/>
  <c r="H353" i="6"/>
  <c r="F289" i="6"/>
  <c r="H289" i="6"/>
  <c r="F111" i="6"/>
  <c r="H111" i="6"/>
  <c r="F79" i="6"/>
  <c r="H79" i="6"/>
  <c r="F63" i="6"/>
  <c r="H63" i="6"/>
  <c r="F31" i="6"/>
  <c r="H31" i="6"/>
  <c r="F126" i="6"/>
  <c r="H126" i="6"/>
  <c r="F142" i="6"/>
  <c r="H142" i="6"/>
  <c r="F146" i="6"/>
  <c r="H146" i="6"/>
  <c r="F238" i="6"/>
  <c r="H238" i="6"/>
  <c r="F264" i="6"/>
  <c r="H264" i="6"/>
  <c r="F464" i="6"/>
  <c r="H464" i="6"/>
  <c r="F496" i="6"/>
  <c r="H496" i="6"/>
  <c r="F343" i="6"/>
  <c r="H343" i="6"/>
  <c r="F435" i="6"/>
  <c r="H435" i="6"/>
  <c r="F403" i="6"/>
  <c r="H403" i="6"/>
  <c r="F477" i="6"/>
  <c r="H477" i="6"/>
  <c r="F301" i="6"/>
  <c r="H301" i="6"/>
  <c r="F114" i="6"/>
  <c r="H114" i="6"/>
  <c r="F110" i="6"/>
  <c r="H110" i="6"/>
  <c r="F90" i="6"/>
  <c r="H90" i="6"/>
  <c r="F74" i="6"/>
  <c r="H74" i="6"/>
  <c r="F42" i="6"/>
  <c r="H42" i="6"/>
  <c r="F18" i="6"/>
  <c r="H18" i="6"/>
  <c r="F127" i="6"/>
  <c r="H127" i="6"/>
  <c r="F131" i="6"/>
  <c r="H131" i="6"/>
  <c r="F159" i="6"/>
  <c r="H159" i="6"/>
  <c r="F163" i="6"/>
  <c r="H163" i="6"/>
  <c r="F175" i="6"/>
  <c r="H175" i="6"/>
  <c r="F191" i="6"/>
  <c r="H191" i="6"/>
  <c r="F215" i="6"/>
  <c r="H215" i="6"/>
  <c r="F239" i="6"/>
  <c r="H239" i="6"/>
  <c r="F243" i="6"/>
  <c r="H243" i="6"/>
  <c r="F250" i="6"/>
  <c r="H250" i="6"/>
  <c r="F346" i="6"/>
  <c r="H346" i="6"/>
  <c r="F482" i="6"/>
  <c r="H482" i="6"/>
  <c r="F431" i="6"/>
  <c r="H431" i="6"/>
  <c r="F399" i="6"/>
  <c r="H399" i="6"/>
  <c r="F271" i="6"/>
  <c r="H271" i="6"/>
  <c r="F491" i="6"/>
  <c r="H491" i="6"/>
  <c r="F500" i="6"/>
  <c r="H500" i="6"/>
  <c r="F297" i="6"/>
  <c r="H297" i="6"/>
  <c r="F281" i="6"/>
  <c r="H281" i="6"/>
  <c r="F265" i="6"/>
  <c r="H265" i="6"/>
  <c r="F65" i="6"/>
  <c r="H65" i="6"/>
  <c r="F41" i="6"/>
  <c r="H41" i="6"/>
  <c r="F37" i="6"/>
  <c r="H37" i="6"/>
  <c r="F33" i="6"/>
  <c r="H33" i="6"/>
  <c r="F29" i="6"/>
  <c r="H29" i="6"/>
  <c r="F25" i="6"/>
  <c r="H25" i="6"/>
  <c r="F9" i="6"/>
  <c r="H9" i="6"/>
  <c r="F124" i="6"/>
  <c r="H124" i="6"/>
  <c r="F156" i="6"/>
  <c r="H156" i="6"/>
  <c r="F196" i="6"/>
  <c r="H196" i="6"/>
  <c r="F200" i="6"/>
  <c r="H200" i="6"/>
  <c r="F204" i="6"/>
  <c r="H204" i="6"/>
  <c r="F228" i="6"/>
  <c r="H228" i="6"/>
  <c r="F260" i="6"/>
  <c r="H260" i="6"/>
  <c r="F340" i="6"/>
  <c r="H340" i="6"/>
  <c r="F388" i="6"/>
  <c r="H388" i="6"/>
  <c r="F460" i="6"/>
  <c r="H460" i="6"/>
  <c r="F492" i="6"/>
  <c r="H492" i="6"/>
  <c r="F359" i="6"/>
  <c r="H359" i="6"/>
  <c r="F483" i="6"/>
  <c r="H483" i="6"/>
  <c r="F259" i="6"/>
  <c r="H259" i="6"/>
  <c r="F501" i="6"/>
  <c r="H501" i="6"/>
  <c r="F96" i="6"/>
  <c r="H96" i="6"/>
  <c r="F80" i="6"/>
  <c r="H80" i="6"/>
  <c r="F76" i="6"/>
  <c r="H76" i="6"/>
  <c r="F64" i="6"/>
  <c r="H64" i="6"/>
  <c r="F60" i="6"/>
  <c r="H60" i="6"/>
  <c r="F56" i="6"/>
  <c r="H56" i="6"/>
  <c r="F40" i="6"/>
  <c r="H40" i="6"/>
  <c r="F20" i="6"/>
  <c r="H20" i="6"/>
  <c r="F16" i="6"/>
  <c r="H16" i="6"/>
  <c r="F125" i="6"/>
  <c r="H125" i="6"/>
  <c r="F189" i="6"/>
  <c r="H189" i="6"/>
  <c r="F229" i="6"/>
  <c r="H229" i="6"/>
  <c r="F262" i="6"/>
  <c r="H262" i="6"/>
  <c r="F446" i="6"/>
  <c r="H446" i="6"/>
  <c r="F454" i="6"/>
  <c r="H454" i="6"/>
  <c r="F462" i="6"/>
  <c r="H462" i="6"/>
  <c r="F494" i="6"/>
  <c r="H494" i="6"/>
  <c r="F283" i="6"/>
  <c r="H283" i="6"/>
  <c r="F251" i="6"/>
  <c r="H251" i="6"/>
  <c r="F449" i="6"/>
  <c r="H449" i="6"/>
  <c r="F401" i="6"/>
  <c r="H401" i="6"/>
  <c r="F305" i="6"/>
  <c r="H305" i="6"/>
  <c r="F115" i="6"/>
  <c r="H115" i="6"/>
  <c r="F83" i="6"/>
  <c r="H83" i="6"/>
  <c r="F67" i="6"/>
  <c r="H67" i="6"/>
  <c r="F51" i="6"/>
  <c r="H51" i="6"/>
  <c r="F47" i="6"/>
  <c r="H47" i="6"/>
  <c r="F43" i="6"/>
  <c r="H43" i="6"/>
  <c r="F39" i="6"/>
  <c r="H39" i="6"/>
  <c r="F35" i="6"/>
  <c r="H35" i="6"/>
  <c r="F19" i="6"/>
  <c r="H19" i="6"/>
  <c r="F15" i="6"/>
  <c r="H15" i="6"/>
  <c r="F11" i="6"/>
  <c r="H11" i="6"/>
  <c r="F7" i="6"/>
  <c r="H7" i="6"/>
  <c r="F122" i="6"/>
  <c r="H122" i="6"/>
  <c r="F138" i="6"/>
  <c r="H138" i="6"/>
  <c r="F150" i="6"/>
  <c r="H150" i="6"/>
  <c r="F170" i="6"/>
  <c r="H170" i="6"/>
  <c r="F174" i="6"/>
  <c r="H174" i="6"/>
  <c r="F178" i="6"/>
  <c r="H178" i="6"/>
  <c r="F182" i="6"/>
  <c r="H182" i="6"/>
  <c r="F234" i="6"/>
  <c r="H234" i="6"/>
  <c r="F256" i="6"/>
  <c r="H256" i="6"/>
  <c r="F368" i="6"/>
  <c r="H368" i="6"/>
  <c r="F376" i="6"/>
  <c r="H376" i="6"/>
  <c r="F472" i="6"/>
  <c r="H472" i="6"/>
  <c r="F471" i="6"/>
  <c r="H471" i="6"/>
  <c r="F439" i="6"/>
  <c r="H439" i="6"/>
  <c r="F407" i="6"/>
  <c r="H407" i="6"/>
  <c r="F375" i="6"/>
  <c r="H375" i="6"/>
  <c r="F461" i="6"/>
  <c r="H461" i="6"/>
  <c r="F381" i="6"/>
  <c r="H381" i="6"/>
  <c r="F365" i="6"/>
  <c r="H365" i="6"/>
  <c r="F349" i="6"/>
  <c r="H349" i="6"/>
  <c r="F333" i="6"/>
  <c r="H333" i="6"/>
  <c r="F317" i="6"/>
  <c r="H317" i="6"/>
  <c r="F253" i="6"/>
  <c r="H253" i="6"/>
  <c r="F106" i="6"/>
  <c r="H106" i="6"/>
  <c r="F102" i="6"/>
  <c r="H102" i="6"/>
  <c r="F98" i="6"/>
  <c r="H98" i="6"/>
  <c r="F94" i="6"/>
  <c r="H94" i="6"/>
  <c r="F78" i="6"/>
  <c r="H78" i="6"/>
  <c r="F54" i="6"/>
  <c r="H54" i="6"/>
  <c r="F50" i="6"/>
  <c r="H50" i="6"/>
  <c r="F46" i="6"/>
  <c r="H46" i="6"/>
  <c r="F30" i="6"/>
  <c r="H30" i="6"/>
  <c r="F26" i="6"/>
  <c r="H26" i="6"/>
  <c r="F22" i="6"/>
  <c r="H22" i="6"/>
  <c r="F123" i="6"/>
  <c r="H123" i="6"/>
  <c r="F135" i="6"/>
  <c r="H135" i="6"/>
  <c r="F147" i="6"/>
  <c r="H147" i="6"/>
  <c r="F151" i="6"/>
  <c r="H151" i="6"/>
  <c r="F155" i="6"/>
  <c r="H155" i="6"/>
  <c r="F167" i="6"/>
  <c r="H167" i="6"/>
  <c r="F171" i="6"/>
  <c r="H171" i="6"/>
  <c r="F187" i="6"/>
  <c r="H187" i="6"/>
  <c r="F211" i="6"/>
  <c r="H211" i="6"/>
  <c r="F227" i="6"/>
  <c r="H227" i="6"/>
  <c r="F235" i="6"/>
  <c r="H235" i="6"/>
  <c r="F338" i="6"/>
  <c r="H338" i="6"/>
  <c r="F450" i="6"/>
  <c r="H450" i="6"/>
  <c r="F458" i="6"/>
  <c r="H458" i="6"/>
  <c r="F490" i="6"/>
  <c r="H490" i="6"/>
  <c r="F303" i="6"/>
  <c r="H303" i="6"/>
  <c r="F459" i="6"/>
  <c r="H459" i="6"/>
  <c r="F489" i="6"/>
  <c r="H489" i="6"/>
  <c r="F409" i="6"/>
  <c r="H409" i="6"/>
  <c r="F393" i="6"/>
  <c r="H393" i="6"/>
  <c r="F377" i="6"/>
  <c r="H377" i="6"/>
  <c r="F361" i="6"/>
  <c r="H361" i="6"/>
  <c r="F345" i="6"/>
  <c r="H345" i="6"/>
  <c r="F329" i="6"/>
  <c r="H329" i="6"/>
  <c r="F313" i="6"/>
  <c r="H313" i="6"/>
  <c r="F93" i="6"/>
  <c r="H93" i="6"/>
  <c r="F89" i="6"/>
  <c r="H89" i="6"/>
  <c r="F69" i="6"/>
  <c r="H69" i="6"/>
  <c r="F45" i="6"/>
  <c r="H45" i="6"/>
  <c r="F13" i="6"/>
  <c r="H13" i="6"/>
  <c r="F120" i="6"/>
  <c r="H120" i="6"/>
  <c r="F144" i="6"/>
  <c r="H144" i="6"/>
  <c r="F148" i="6"/>
  <c r="H148" i="6"/>
  <c r="F152" i="6"/>
  <c r="H152" i="6"/>
  <c r="F192" i="6"/>
  <c r="H192" i="6"/>
  <c r="F224" i="6"/>
  <c r="H224" i="6"/>
  <c r="F252" i="6"/>
  <c r="H252" i="6"/>
  <c r="F300" i="6"/>
  <c r="H300" i="6"/>
  <c r="F308" i="6"/>
  <c r="H308" i="6"/>
  <c r="F316" i="6"/>
  <c r="H316" i="6"/>
  <c r="F324" i="6"/>
  <c r="H324" i="6"/>
  <c r="F332" i="6"/>
  <c r="H332" i="6"/>
  <c r="F364" i="6"/>
  <c r="H364" i="6"/>
  <c r="F372" i="6"/>
  <c r="H372" i="6"/>
  <c r="F380" i="6"/>
  <c r="H380" i="6"/>
  <c r="F468" i="6"/>
  <c r="H468" i="6"/>
  <c r="F487" i="6"/>
  <c r="H487" i="6"/>
  <c r="F455" i="6"/>
  <c r="H455" i="6"/>
  <c r="F423" i="6"/>
  <c r="H423" i="6"/>
  <c r="F391" i="6"/>
  <c r="H391" i="6"/>
  <c r="F263" i="6"/>
  <c r="H263" i="6"/>
  <c r="F485" i="6"/>
  <c r="H485" i="6"/>
  <c r="F341" i="6"/>
  <c r="H341" i="6"/>
  <c r="F325" i="6"/>
  <c r="H325" i="6"/>
  <c r="F309" i="6"/>
  <c r="H309" i="6"/>
  <c r="F293" i="6"/>
  <c r="H293" i="6"/>
  <c r="F245" i="6"/>
  <c r="H245" i="6"/>
  <c r="F112" i="6"/>
  <c r="H112" i="6"/>
  <c r="F100" i="6"/>
  <c r="H100" i="6"/>
  <c r="F84" i="6"/>
  <c r="H84" i="6"/>
  <c r="F72" i="6"/>
  <c r="H72" i="6"/>
  <c r="F68" i="6"/>
  <c r="H68" i="6"/>
  <c r="F44" i="6"/>
  <c r="H44" i="6"/>
  <c r="F4" i="6"/>
  <c r="H4" i="6"/>
  <c r="F117" i="6"/>
  <c r="H117" i="6"/>
  <c r="F121" i="6"/>
  <c r="H121" i="6"/>
  <c r="F153" i="6"/>
  <c r="H153" i="6"/>
  <c r="F157" i="6"/>
  <c r="H157" i="6"/>
  <c r="F185" i="6"/>
  <c r="H185" i="6"/>
  <c r="F225" i="6"/>
  <c r="H225" i="6"/>
  <c r="F254" i="6"/>
  <c r="H254" i="6"/>
  <c r="F286" i="6"/>
  <c r="H286" i="6"/>
  <c r="F294" i="6"/>
  <c r="H294" i="6"/>
  <c r="F382" i="6"/>
  <c r="H382" i="6"/>
  <c r="F390" i="6"/>
  <c r="H390" i="6"/>
  <c r="F414" i="6"/>
  <c r="H414" i="6"/>
  <c r="F422" i="6"/>
  <c r="H422" i="6"/>
  <c r="F470" i="6"/>
  <c r="H470" i="6"/>
  <c r="F479" i="6"/>
  <c r="H479" i="6"/>
  <c r="F255" i="6"/>
  <c r="H255" i="6"/>
  <c r="F475" i="6"/>
  <c r="H475" i="6"/>
  <c r="F315" i="6"/>
  <c r="H315" i="6"/>
  <c r="F497" i="6"/>
  <c r="H497" i="6"/>
  <c r="F433" i="6"/>
  <c r="H433" i="6"/>
  <c r="F417" i="6"/>
  <c r="H417" i="6"/>
  <c r="F321" i="6"/>
  <c r="H321" i="6"/>
  <c r="F257" i="6"/>
  <c r="H257" i="6"/>
  <c r="F103" i="6"/>
  <c r="H103" i="6"/>
  <c r="F99" i="6"/>
  <c r="H99" i="6"/>
  <c r="F87" i="6"/>
  <c r="H87" i="6"/>
  <c r="F71" i="6"/>
  <c r="H71" i="6"/>
  <c r="F55" i="6"/>
  <c r="H55" i="6"/>
  <c r="F23" i="6"/>
  <c r="H23" i="6"/>
  <c r="F3" i="6"/>
  <c r="H3" i="6"/>
  <c r="F118" i="6"/>
  <c r="H118" i="6"/>
  <c r="F134" i="6"/>
  <c r="H134" i="6"/>
  <c r="F154" i="6"/>
  <c r="H154" i="6"/>
  <c r="F166" i="6"/>
  <c r="H166" i="6"/>
  <c r="F186" i="6"/>
  <c r="H186" i="6"/>
  <c r="F214" i="6"/>
  <c r="H214" i="6"/>
  <c r="F218" i="6"/>
  <c r="H218" i="6"/>
  <c r="F230" i="6"/>
  <c r="H230" i="6"/>
  <c r="F248" i="6"/>
  <c r="H248" i="6"/>
  <c r="F296" i="6"/>
  <c r="H296" i="6"/>
  <c r="F304" i="6"/>
  <c r="H304" i="6"/>
  <c r="F312" i="6"/>
  <c r="H312" i="6"/>
  <c r="F320" i="6"/>
  <c r="H320" i="6"/>
  <c r="F328" i="6"/>
  <c r="H328" i="6"/>
  <c r="F336" i="6"/>
  <c r="H336" i="6"/>
  <c r="F344" i="6"/>
  <c r="H344" i="6"/>
  <c r="F352" i="6"/>
  <c r="H352" i="6"/>
  <c r="F360" i="6"/>
  <c r="H360" i="6"/>
  <c r="F384" i="6"/>
  <c r="H384" i="6"/>
  <c r="F392" i="6"/>
  <c r="H392" i="6"/>
  <c r="F400" i="6"/>
  <c r="H400" i="6"/>
  <c r="F408" i="6"/>
  <c r="H408" i="6"/>
  <c r="F416" i="6"/>
  <c r="H416" i="6"/>
  <c r="F480" i="6"/>
  <c r="H480" i="6"/>
  <c r="F279" i="6"/>
  <c r="H279" i="6"/>
  <c r="F247" i="6"/>
  <c r="H247" i="6"/>
  <c r="F275" i="6"/>
  <c r="H275" i="6"/>
  <c r="F499" i="6"/>
  <c r="H499" i="6"/>
  <c r="F445" i="6"/>
  <c r="H445" i="6"/>
  <c r="F429" i="6"/>
  <c r="H429" i="6"/>
  <c r="F413" i="6"/>
  <c r="H413" i="6"/>
  <c r="F397" i="6"/>
  <c r="H397" i="6"/>
  <c r="F269" i="6"/>
  <c r="H269" i="6"/>
  <c r="F82" i="6"/>
  <c r="H82" i="6"/>
  <c r="F66" i="6"/>
  <c r="H66" i="6"/>
  <c r="F62" i="6"/>
  <c r="H62" i="6"/>
  <c r="F58" i="6"/>
  <c r="H58" i="6"/>
  <c r="F34" i="6"/>
  <c r="H34" i="6"/>
  <c r="F119" i="6"/>
  <c r="H119" i="6"/>
  <c r="F139" i="6"/>
  <c r="H139" i="6"/>
  <c r="F143" i="6"/>
  <c r="H143" i="6"/>
  <c r="F183" i="6"/>
  <c r="H183" i="6"/>
  <c r="F199" i="6"/>
  <c r="H199" i="6"/>
  <c r="F203" i="6"/>
  <c r="H203" i="6"/>
  <c r="F207" i="6"/>
  <c r="H207" i="6"/>
  <c r="F223" i="6"/>
  <c r="H223" i="6"/>
  <c r="F231" i="6"/>
  <c r="H231" i="6"/>
  <c r="F266" i="6"/>
  <c r="H266" i="6"/>
  <c r="F274" i="6"/>
  <c r="H274" i="6"/>
  <c r="F282" i="6"/>
  <c r="H282" i="6"/>
  <c r="F290" i="6"/>
  <c r="H290" i="6"/>
  <c r="F330" i="6"/>
  <c r="H330" i="6"/>
  <c r="F378" i="6"/>
  <c r="H378" i="6"/>
  <c r="F386" i="6"/>
  <c r="H386" i="6"/>
  <c r="F394" i="6"/>
  <c r="H394" i="6"/>
  <c r="F402" i="6"/>
  <c r="H402" i="6"/>
  <c r="F410" i="6"/>
  <c r="H410" i="6"/>
  <c r="F418" i="6"/>
  <c r="H418" i="6"/>
  <c r="F442" i="6"/>
  <c r="H442" i="6"/>
  <c r="F466" i="6"/>
  <c r="H466" i="6"/>
  <c r="F498" i="6"/>
  <c r="H498" i="6"/>
  <c r="F335" i="6"/>
  <c r="H335" i="6"/>
  <c r="F427" i="6"/>
  <c r="H427" i="6"/>
  <c r="F331" i="6"/>
  <c r="H331" i="6"/>
  <c r="F299" i="6"/>
  <c r="H299" i="6"/>
  <c r="F473" i="6"/>
  <c r="H473" i="6"/>
  <c r="F457" i="6"/>
  <c r="H457" i="6"/>
  <c r="F441" i="6"/>
  <c r="H441" i="6"/>
  <c r="F425" i="6"/>
  <c r="H425" i="6"/>
  <c r="F105" i="6"/>
  <c r="H105" i="6"/>
  <c r="F101" i="6"/>
  <c r="H101" i="6"/>
  <c r="F97" i="6"/>
  <c r="H97" i="6"/>
  <c r="F85" i="6"/>
  <c r="H85" i="6"/>
  <c r="F73" i="6"/>
  <c r="H73" i="6"/>
  <c r="F49" i="6"/>
  <c r="H49" i="6"/>
  <c r="F17" i="6"/>
  <c r="H17" i="6"/>
  <c r="F116" i="6"/>
  <c r="H116" i="6"/>
  <c r="F132" i="6"/>
  <c r="H132" i="6"/>
  <c r="F136" i="6"/>
  <c r="H136" i="6"/>
  <c r="F140" i="6"/>
  <c r="H140" i="6"/>
  <c r="F164" i="6"/>
  <c r="H164" i="6"/>
  <c r="F168" i="6"/>
  <c r="H168" i="6"/>
  <c r="F188" i="6"/>
  <c r="H188" i="6"/>
  <c r="F212" i="6"/>
  <c r="H212" i="6"/>
  <c r="F216" i="6"/>
  <c r="H216" i="6"/>
  <c r="F220" i="6"/>
  <c r="H220" i="6"/>
  <c r="F236" i="6"/>
  <c r="H236" i="6"/>
  <c r="F240" i="6"/>
  <c r="H240" i="6"/>
  <c r="F244" i="6"/>
  <c r="H244" i="6"/>
  <c r="F292" i="6"/>
  <c r="H292" i="6"/>
  <c r="F356" i="6"/>
  <c r="H356" i="6"/>
  <c r="F476" i="6"/>
  <c r="H476" i="6"/>
  <c r="F295" i="6"/>
  <c r="H295" i="6"/>
  <c r="F451" i="6"/>
  <c r="H451" i="6"/>
  <c r="D2" i="6"/>
  <c r="M2" i="6" s="1"/>
  <c r="I2" i="6"/>
  <c r="N2" i="6" s="1"/>
  <c r="N500" i="4"/>
  <c r="N425" i="4"/>
  <c r="N297" i="4"/>
  <c r="N115" i="4"/>
  <c r="N111" i="4"/>
  <c r="N107" i="4"/>
  <c r="N103" i="4"/>
  <c r="N93" i="4"/>
  <c r="N87" i="4"/>
  <c r="N71" i="4"/>
  <c r="N63" i="4"/>
  <c r="N57" i="4"/>
  <c r="N51" i="4"/>
  <c r="N43" i="4"/>
  <c r="N31" i="4"/>
  <c r="N19" i="4"/>
  <c r="N11" i="4"/>
  <c r="N3" i="4"/>
  <c r="N118" i="4"/>
  <c r="N122" i="4"/>
  <c r="N126" i="4"/>
  <c r="N130" i="4"/>
  <c r="N134" i="4"/>
  <c r="N138" i="4"/>
  <c r="N148" i="4"/>
  <c r="N152" i="4"/>
  <c r="N160" i="4"/>
  <c r="N164" i="4"/>
  <c r="N168" i="4"/>
  <c r="N174" i="4"/>
  <c r="N178" i="4"/>
  <c r="N182" i="4"/>
  <c r="N188" i="4"/>
  <c r="N192" i="4"/>
  <c r="N198" i="4"/>
  <c r="N202" i="4"/>
  <c r="N210" i="4"/>
  <c r="N214" i="4"/>
  <c r="N220" i="4"/>
  <c r="N226" i="4"/>
  <c r="N230" i="4"/>
  <c r="N244" i="4"/>
  <c r="N256" i="4"/>
  <c r="N264" i="4"/>
  <c r="N272" i="4"/>
  <c r="N280" i="4"/>
  <c r="N288" i="4"/>
  <c r="N296" i="4"/>
  <c r="N304" i="4"/>
  <c r="N312" i="4"/>
  <c r="N320" i="4"/>
  <c r="N328" i="4"/>
  <c r="N336" i="4"/>
  <c r="N344" i="4"/>
  <c r="N352" i="4"/>
  <c r="N360" i="4"/>
  <c r="N368" i="4"/>
  <c r="N376" i="4"/>
  <c r="N384" i="4"/>
  <c r="N392" i="4"/>
  <c r="N400" i="4"/>
  <c r="N408" i="4"/>
  <c r="N420" i="4"/>
  <c r="N428" i="4"/>
  <c r="N436" i="4"/>
  <c r="N444" i="4"/>
  <c r="N456" i="4"/>
  <c r="N464" i="4"/>
  <c r="N472" i="4"/>
  <c r="N480" i="4"/>
  <c r="N488" i="4"/>
  <c r="N496" i="4"/>
  <c r="N471" i="4"/>
  <c r="N439" i="4"/>
  <c r="N407" i="4"/>
  <c r="N375" i="4"/>
  <c r="N311" i="4"/>
  <c r="N279" i="4"/>
  <c r="N247" i="4"/>
  <c r="N467" i="4"/>
  <c r="N435" i="4"/>
  <c r="N403" i="4"/>
  <c r="N323" i="4"/>
  <c r="N291" i="4"/>
  <c r="N259" i="4"/>
  <c r="N86" i="4"/>
  <c r="N64" i="4"/>
  <c r="N4" i="4"/>
  <c r="N129" i="4"/>
  <c r="N145" i="4"/>
  <c r="N153" i="4"/>
  <c r="N171" i="4"/>
  <c r="N175" i="4"/>
  <c r="N197" i="4"/>
  <c r="N205" i="4"/>
  <c r="N211" i="4"/>
  <c r="N217" i="4"/>
  <c r="N229" i="4"/>
  <c r="N262" i="4"/>
  <c r="N274" i="4"/>
  <c r="N294" i="4"/>
  <c r="N314" i="4"/>
  <c r="N330" i="4"/>
  <c r="N354" i="4"/>
  <c r="N366" i="4"/>
  <c r="N382" i="4"/>
  <c r="N398" i="4"/>
  <c r="N410" i="4"/>
  <c r="N479" i="4"/>
  <c r="N447" i="4"/>
  <c r="N335" i="4"/>
  <c r="N303" i="4"/>
  <c r="N271" i="4"/>
  <c r="N379" i="4"/>
  <c r="N251" i="4"/>
  <c r="N343" i="4"/>
  <c r="N339" i="4"/>
  <c r="K86" i="4"/>
  <c r="K175" i="4"/>
  <c r="K211" i="4"/>
  <c r="K314" i="4"/>
  <c r="K330" i="4"/>
  <c r="K354" i="4"/>
  <c r="K303" i="4"/>
  <c r="K93" i="4"/>
  <c r="K57" i="4"/>
  <c r="K152" i="4"/>
  <c r="K164" i="4"/>
  <c r="K192" i="4"/>
  <c r="K428" i="4"/>
  <c r="K444" i="4"/>
  <c r="K291" i="4"/>
  <c r="K205" i="4"/>
  <c r="K217" i="4"/>
  <c r="K262" i="4"/>
  <c r="K382" i="4"/>
  <c r="K479" i="4"/>
  <c r="K379" i="4"/>
  <c r="K251" i="4"/>
  <c r="K111" i="4"/>
  <c r="K103" i="4"/>
  <c r="K87" i="4"/>
  <c r="K43" i="4"/>
  <c r="K19" i="4"/>
  <c r="K3" i="4"/>
  <c r="K122" i="4"/>
  <c r="K130" i="4"/>
  <c r="K138" i="4"/>
  <c r="K178" i="4"/>
  <c r="K198" i="4"/>
  <c r="K210" i="4"/>
  <c r="K226" i="4"/>
  <c r="K264" i="4"/>
  <c r="K280" i="4"/>
  <c r="K296" i="4"/>
  <c r="K312" i="4"/>
  <c r="K328" i="4"/>
  <c r="K344" i="4"/>
  <c r="K360" i="4"/>
  <c r="K376" i="4"/>
  <c r="K392" i="4"/>
  <c r="K408" i="4"/>
  <c r="K456" i="4"/>
  <c r="K472" i="4"/>
  <c r="K488" i="4"/>
  <c r="K471" i="4"/>
  <c r="K407" i="4"/>
  <c r="K343" i="4"/>
  <c r="K279" i="4"/>
  <c r="K467" i="4"/>
  <c r="K403" i="4"/>
  <c r="K339" i="4"/>
  <c r="N309" i="4"/>
  <c r="N441" i="4"/>
  <c r="N385" i="4"/>
  <c r="N289" i="4"/>
  <c r="N113" i="4"/>
  <c r="N109" i="4"/>
  <c r="N105" i="4"/>
  <c r="N97" i="4"/>
  <c r="N91" i="4"/>
  <c r="N77" i="4"/>
  <c r="N67" i="4"/>
  <c r="N59" i="4"/>
  <c r="N53" i="4"/>
  <c r="N49" i="4"/>
  <c r="N41" i="4"/>
  <c r="N29" i="4"/>
  <c r="N13" i="4"/>
  <c r="N5" i="4"/>
  <c r="N116" i="4"/>
  <c r="N120" i="4"/>
  <c r="N124" i="4"/>
  <c r="N128" i="4"/>
  <c r="N132" i="4"/>
  <c r="N136" i="4"/>
  <c r="N142" i="4"/>
  <c r="N150" i="4"/>
  <c r="N154" i="4"/>
  <c r="N162" i="4"/>
  <c r="N166" i="4"/>
  <c r="N170" i="4"/>
  <c r="N176" i="4"/>
  <c r="N180" i="4"/>
  <c r="N184" i="4"/>
  <c r="N190" i="4"/>
  <c r="N194" i="4"/>
  <c r="N200" i="4"/>
  <c r="N204" i="4"/>
  <c r="N212" i="4"/>
  <c r="N216" i="4"/>
  <c r="N224" i="4"/>
  <c r="N228" i="4"/>
  <c r="N232" i="4"/>
  <c r="N248" i="4"/>
  <c r="N260" i="4"/>
  <c r="N268" i="4"/>
  <c r="N276" i="4"/>
  <c r="N284" i="4"/>
  <c r="N292" i="4"/>
  <c r="N300" i="4"/>
  <c r="N308" i="4"/>
  <c r="N316" i="4"/>
  <c r="N324" i="4"/>
  <c r="N332" i="4"/>
  <c r="N340" i="4"/>
  <c r="N348" i="4"/>
  <c r="N356" i="4"/>
  <c r="N364" i="4"/>
  <c r="N372" i="4"/>
  <c r="N380" i="4"/>
  <c r="N388" i="4"/>
  <c r="N396" i="4"/>
  <c r="N404" i="4"/>
  <c r="N416" i="4"/>
  <c r="N424" i="4"/>
  <c r="N432" i="4"/>
  <c r="N440" i="4"/>
  <c r="N448" i="4"/>
  <c r="N460" i="4"/>
  <c r="N468" i="4"/>
  <c r="N476" i="4"/>
  <c r="N484" i="4"/>
  <c r="N492" i="4"/>
  <c r="N487" i="4"/>
  <c r="N455" i="4"/>
  <c r="N423" i="4"/>
  <c r="N391" i="4"/>
  <c r="N327" i="4"/>
  <c r="N295" i="4"/>
  <c r="N263" i="4"/>
  <c r="N483" i="4"/>
  <c r="N451" i="4"/>
  <c r="N419" i="4"/>
  <c r="N387" i="4"/>
  <c r="N307" i="4"/>
  <c r="N275" i="4"/>
  <c r="N94" i="4"/>
  <c r="N68" i="4"/>
  <c r="N40" i="4"/>
  <c r="N121" i="4"/>
  <c r="N141" i="4"/>
  <c r="N149" i="4"/>
  <c r="N169" i="4"/>
  <c r="N173" i="4"/>
  <c r="N189" i="4"/>
  <c r="N199" i="4"/>
  <c r="N209" i="4"/>
  <c r="N215" i="4"/>
  <c r="N219" i="4"/>
  <c r="N235" i="4"/>
  <c r="N266" i="4"/>
  <c r="N282" i="4"/>
  <c r="N306" i="4"/>
  <c r="N322" i="4"/>
  <c r="N338" i="4"/>
  <c r="N358" i="4"/>
  <c r="N378" i="4"/>
  <c r="N394" i="4"/>
  <c r="N406" i="4"/>
  <c r="N414" i="4"/>
  <c r="N463" i="4"/>
  <c r="N415" i="4"/>
  <c r="N319" i="4"/>
  <c r="N287" i="4"/>
  <c r="N411" i="4"/>
  <c r="N283" i="4"/>
  <c r="N371" i="4"/>
  <c r="K94" i="4"/>
  <c r="K171" i="4"/>
  <c r="K199" i="4"/>
  <c r="K215" i="4"/>
  <c r="K235" i="4"/>
  <c r="K274" i="4"/>
  <c r="K306" i="4"/>
  <c r="K322" i="4"/>
  <c r="K338" i="4"/>
  <c r="K378" i="4"/>
  <c r="K410" i="4"/>
  <c r="K335" i="4"/>
  <c r="K271" i="4"/>
  <c r="K500" i="4"/>
  <c r="K425" i="4"/>
  <c r="K297" i="4"/>
  <c r="K109" i="4"/>
  <c r="K97" i="4"/>
  <c r="K77" i="4"/>
  <c r="K53" i="4"/>
  <c r="K41" i="4"/>
  <c r="K13" i="4"/>
  <c r="K116" i="4"/>
  <c r="K124" i="4"/>
  <c r="K132" i="4"/>
  <c r="K148" i="4"/>
  <c r="K160" i="4"/>
  <c r="K168" i="4"/>
  <c r="K180" i="4"/>
  <c r="K188" i="4"/>
  <c r="K200" i="4"/>
  <c r="K212" i="4"/>
  <c r="K220" i="4"/>
  <c r="K228" i="4"/>
  <c r="K244" i="4"/>
  <c r="K268" i="4"/>
  <c r="K284" i="4"/>
  <c r="K300" i="4"/>
  <c r="K316" i="4"/>
  <c r="K332" i="4"/>
  <c r="K348" i="4"/>
  <c r="K364" i="4"/>
  <c r="K380" i="4"/>
  <c r="K396" i="4"/>
  <c r="K420" i="4"/>
  <c r="K436" i="4"/>
  <c r="K460" i="4"/>
  <c r="K476" i="4"/>
  <c r="K492" i="4"/>
  <c r="K455" i="4"/>
  <c r="K391" i="4"/>
  <c r="K327" i="4"/>
  <c r="K263" i="4"/>
  <c r="K451" i="4"/>
  <c r="K387" i="4"/>
  <c r="K323" i="4"/>
  <c r="K259" i="4"/>
  <c r="K309" i="4"/>
  <c r="K64" i="4"/>
  <c r="K4" i="4"/>
  <c r="K129" i="4"/>
  <c r="K145" i="4"/>
  <c r="K153" i="4"/>
  <c r="K173" i="4"/>
  <c r="K197" i="4"/>
  <c r="K209" i="4"/>
  <c r="K229" i="4"/>
  <c r="K294" i="4"/>
  <c r="K366" i="4"/>
  <c r="K398" i="4"/>
  <c r="K414" i="4"/>
  <c r="K447" i="4"/>
  <c r="K319" i="4"/>
  <c r="K411" i="4"/>
  <c r="K283" i="4"/>
  <c r="K385" i="4"/>
  <c r="K115" i="4"/>
  <c r="K107" i="4"/>
  <c r="K91" i="4"/>
  <c r="K71" i="4"/>
  <c r="K63" i="4"/>
  <c r="K51" i="4"/>
  <c r="K31" i="4"/>
  <c r="K11" i="4"/>
  <c r="K118" i="4"/>
  <c r="K126" i="4"/>
  <c r="K134" i="4"/>
  <c r="K142" i="4"/>
  <c r="K154" i="4"/>
  <c r="K166" i="4"/>
  <c r="K174" i="4"/>
  <c r="K182" i="4"/>
  <c r="K194" i="4"/>
  <c r="K202" i="4"/>
  <c r="K214" i="4"/>
  <c r="K230" i="4"/>
  <c r="K256" i="4"/>
  <c r="K272" i="4"/>
  <c r="K288" i="4"/>
  <c r="K304" i="4"/>
  <c r="K320" i="4"/>
  <c r="K336" i="4"/>
  <c r="K352" i="4"/>
  <c r="K368" i="4"/>
  <c r="K384" i="4"/>
  <c r="K400" i="4"/>
  <c r="K416" i="4"/>
  <c r="K432" i="4"/>
  <c r="K448" i="4"/>
  <c r="K464" i="4"/>
  <c r="K480" i="4"/>
  <c r="K496" i="4"/>
  <c r="K439" i="4"/>
  <c r="K375" i="4"/>
  <c r="K311" i="4"/>
  <c r="K247" i="4"/>
  <c r="K435" i="4"/>
  <c r="K371" i="4"/>
  <c r="K307" i="4"/>
  <c r="K2" i="6"/>
  <c r="L2" i="6"/>
  <c r="O2" i="6" s="1"/>
  <c r="J2" i="6"/>
  <c r="L485" i="6"/>
  <c r="O485" i="6" s="1"/>
  <c r="L453" i="6"/>
  <c r="O453" i="6" s="1"/>
  <c r="L437" i="6"/>
  <c r="O437" i="6" s="1"/>
  <c r="L341" i="6"/>
  <c r="O341" i="6" s="1"/>
  <c r="L325" i="6"/>
  <c r="O325" i="6" s="1"/>
  <c r="L309" i="6"/>
  <c r="O309" i="6" s="1"/>
  <c r="L293" i="6"/>
  <c r="O293" i="6" s="1"/>
  <c r="L501" i="6"/>
  <c r="O501" i="6" s="1"/>
  <c r="L469" i="6"/>
  <c r="O469" i="6" s="1"/>
  <c r="L421" i="6"/>
  <c r="O421" i="6" s="1"/>
  <c r="L405" i="6"/>
  <c r="O405" i="6" s="1"/>
  <c r="L389" i="6"/>
  <c r="O389" i="6" s="1"/>
  <c r="L373" i="6"/>
  <c r="O373" i="6" s="1"/>
  <c r="L357" i="6"/>
  <c r="O357" i="6" s="1"/>
  <c r="L277" i="6"/>
  <c r="O277" i="6" s="1"/>
  <c r="L245" i="6"/>
  <c r="O245" i="6" s="1"/>
  <c r="L112" i="6"/>
  <c r="O112" i="6" s="1"/>
  <c r="L100" i="6"/>
  <c r="O100" i="6" s="1"/>
  <c r="L92" i="6"/>
  <c r="O92" i="6" s="1"/>
  <c r="L84" i="6"/>
  <c r="O84" i="6" s="1"/>
  <c r="L72" i="6"/>
  <c r="O72" i="6" s="1"/>
  <c r="L68" i="6"/>
  <c r="O68" i="6" s="1"/>
  <c r="L52" i="6"/>
  <c r="O52" i="6" s="1"/>
  <c r="L44" i="6"/>
  <c r="O44" i="6" s="1"/>
  <c r="L36" i="6"/>
  <c r="O36" i="6" s="1"/>
  <c r="L32" i="6"/>
  <c r="O32" i="6" s="1"/>
  <c r="L28" i="6"/>
  <c r="O28" i="6" s="1"/>
  <c r="L24" i="6"/>
  <c r="O24" i="6" s="1"/>
  <c r="L12" i="6"/>
  <c r="O12" i="6" s="1"/>
  <c r="L4" i="6"/>
  <c r="O4" i="6" s="1"/>
  <c r="L117" i="6"/>
  <c r="O117" i="6" s="1"/>
  <c r="L121" i="6"/>
  <c r="O121" i="6" s="1"/>
  <c r="L129" i="6"/>
  <c r="O129" i="6" s="1"/>
  <c r="L153" i="6"/>
  <c r="O153" i="6" s="1"/>
  <c r="L157" i="6"/>
  <c r="O157" i="6" s="1"/>
  <c r="L165" i="6"/>
  <c r="O165" i="6" s="1"/>
  <c r="L169" i="6"/>
  <c r="O169" i="6" s="1"/>
  <c r="L185" i="6"/>
  <c r="O185" i="6" s="1"/>
  <c r="L193" i="6"/>
  <c r="O193" i="6" s="1"/>
  <c r="L213" i="6"/>
  <c r="O213" i="6" s="1"/>
  <c r="L217" i="6"/>
  <c r="O217" i="6" s="1"/>
  <c r="L225" i="6"/>
  <c r="O225" i="6" s="1"/>
  <c r="L233" i="6"/>
  <c r="O233" i="6" s="1"/>
  <c r="L237" i="6"/>
  <c r="O237" i="6" s="1"/>
  <c r="L241" i="6"/>
  <c r="O241" i="6" s="1"/>
  <c r="L254" i="6"/>
  <c r="O254" i="6" s="1"/>
  <c r="L270" i="6"/>
  <c r="O270" i="6" s="1"/>
  <c r="L286" i="6"/>
  <c r="O286" i="6" s="1"/>
  <c r="L294" i="6"/>
  <c r="O294" i="6" s="1"/>
  <c r="L310" i="6"/>
  <c r="O310" i="6" s="1"/>
  <c r="L318" i="6"/>
  <c r="O318" i="6" s="1"/>
  <c r="L342" i="6"/>
  <c r="O342" i="6" s="1"/>
  <c r="L350" i="6"/>
  <c r="O350" i="6" s="1"/>
  <c r="L358" i="6"/>
  <c r="O358" i="6" s="1"/>
  <c r="L366" i="6"/>
  <c r="O366" i="6" s="1"/>
  <c r="L382" i="6"/>
  <c r="O382" i="6" s="1"/>
  <c r="L390" i="6"/>
  <c r="O390" i="6" s="1"/>
  <c r="L414" i="6"/>
  <c r="O414" i="6" s="1"/>
  <c r="L422" i="6"/>
  <c r="O422" i="6" s="1"/>
  <c r="L438" i="6"/>
  <c r="O438" i="6" s="1"/>
  <c r="L470" i="6"/>
  <c r="O470" i="6" s="1"/>
  <c r="L486" i="6"/>
  <c r="O486" i="6" s="1"/>
  <c r="L479" i="6"/>
  <c r="O479" i="6" s="1"/>
  <c r="L351" i="6"/>
  <c r="O351" i="6" s="1"/>
  <c r="L319" i="6"/>
  <c r="O319" i="6" s="1"/>
  <c r="L255" i="6"/>
  <c r="O255" i="6" s="1"/>
  <c r="L475" i="6"/>
  <c r="O475" i="6" s="1"/>
  <c r="L315" i="6"/>
  <c r="O315" i="6" s="1"/>
  <c r="L497" i="6"/>
  <c r="O497" i="6" s="1"/>
  <c r="L465" i="6"/>
  <c r="O465" i="6" s="1"/>
  <c r="L433" i="6"/>
  <c r="O433" i="6" s="1"/>
  <c r="L417" i="6"/>
  <c r="O417" i="6" s="1"/>
  <c r="L385" i="6"/>
  <c r="O385" i="6" s="1"/>
  <c r="L369" i="6"/>
  <c r="O369" i="6" s="1"/>
  <c r="L353" i="6"/>
  <c r="O353" i="6" s="1"/>
  <c r="L321" i="6"/>
  <c r="O321" i="6" s="1"/>
  <c r="L289" i="6"/>
  <c r="O289" i="6" s="1"/>
  <c r="L257" i="6"/>
  <c r="O257" i="6" s="1"/>
  <c r="L111" i="6"/>
  <c r="O111" i="6" s="1"/>
  <c r="L103" i="6"/>
  <c r="O103" i="6" s="1"/>
  <c r="L99" i="6"/>
  <c r="O99" i="6" s="1"/>
  <c r="L87" i="6"/>
  <c r="O87" i="6" s="1"/>
  <c r="L79" i="6"/>
  <c r="O79" i="6" s="1"/>
  <c r="L71" i="6"/>
  <c r="O71" i="6" s="1"/>
  <c r="L63" i="6"/>
  <c r="O63" i="6" s="1"/>
  <c r="L55" i="6"/>
  <c r="O55" i="6" s="1"/>
  <c r="L31" i="6"/>
  <c r="O31" i="6" s="1"/>
  <c r="L23" i="6"/>
  <c r="O23" i="6" s="1"/>
  <c r="L3" i="6"/>
  <c r="O3" i="6" s="1"/>
  <c r="L118" i="6"/>
  <c r="O118" i="6" s="1"/>
  <c r="L126" i="6"/>
  <c r="O126" i="6" s="1"/>
  <c r="L134" i="6"/>
  <c r="O134" i="6" s="1"/>
  <c r="L142" i="6"/>
  <c r="O142" i="6" s="1"/>
  <c r="L146" i="6"/>
  <c r="O146" i="6" s="1"/>
  <c r="L154" i="6"/>
  <c r="O154" i="6" s="1"/>
  <c r="L166" i="6"/>
  <c r="O166" i="6" s="1"/>
  <c r="L186" i="6"/>
  <c r="O186" i="6" s="1"/>
  <c r="L214" i="6"/>
  <c r="O214" i="6" s="1"/>
  <c r="L218" i="6"/>
  <c r="O218" i="6" s="1"/>
  <c r="L230" i="6"/>
  <c r="O230" i="6" s="1"/>
  <c r="L238" i="6"/>
  <c r="O238" i="6" s="1"/>
  <c r="L248" i="6"/>
  <c r="O248" i="6" s="1"/>
  <c r="L264" i="6"/>
  <c r="O264" i="6" s="1"/>
  <c r="L296" i="6"/>
  <c r="O296" i="6" s="1"/>
  <c r="L304" i="6"/>
  <c r="O304" i="6" s="1"/>
  <c r="L312" i="6"/>
  <c r="O312" i="6" s="1"/>
  <c r="L320" i="6"/>
  <c r="O320" i="6" s="1"/>
  <c r="L328" i="6"/>
  <c r="O328" i="6" s="1"/>
  <c r="L336" i="6"/>
  <c r="O336" i="6" s="1"/>
  <c r="L344" i="6"/>
  <c r="O344" i="6" s="1"/>
  <c r="L352" i="6"/>
  <c r="O352" i="6" s="1"/>
  <c r="L360" i="6"/>
  <c r="O360" i="6" s="1"/>
  <c r="L384" i="6"/>
  <c r="O384" i="6" s="1"/>
  <c r="L392" i="6"/>
  <c r="O392" i="6" s="1"/>
  <c r="L400" i="6"/>
  <c r="O400" i="6" s="1"/>
  <c r="L408" i="6"/>
  <c r="O408" i="6" s="1"/>
  <c r="L416" i="6"/>
  <c r="O416" i="6" s="1"/>
  <c r="L464" i="6"/>
  <c r="O464" i="6" s="1"/>
  <c r="L480" i="6"/>
  <c r="O480" i="6" s="1"/>
  <c r="L496" i="6"/>
  <c r="O496" i="6" s="1"/>
  <c r="L343" i="6"/>
  <c r="O343" i="6" s="1"/>
  <c r="L279" i="6"/>
  <c r="O279" i="6" s="1"/>
  <c r="L247" i="6"/>
  <c r="O247" i="6" s="1"/>
  <c r="L435" i="6"/>
  <c r="O435" i="6" s="1"/>
  <c r="L403" i="6"/>
  <c r="O403" i="6" s="1"/>
  <c r="L275" i="6"/>
  <c r="O275" i="6" s="1"/>
  <c r="L499" i="6"/>
  <c r="O499" i="6" s="1"/>
  <c r="L477" i="6"/>
  <c r="O477" i="6" s="1"/>
  <c r="L445" i="6"/>
  <c r="O445" i="6" s="1"/>
  <c r="L429" i="6"/>
  <c r="O429" i="6" s="1"/>
  <c r="L413" i="6"/>
  <c r="O413" i="6" s="1"/>
  <c r="L397" i="6"/>
  <c r="O397" i="6" s="1"/>
  <c r="L301" i="6"/>
  <c r="O301" i="6" s="1"/>
  <c r="L269" i="6"/>
  <c r="O269" i="6" s="1"/>
  <c r="L114" i="6"/>
  <c r="O114" i="6" s="1"/>
  <c r="L110" i="6"/>
  <c r="O110" i="6" s="1"/>
  <c r="L90" i="6"/>
  <c r="O90" i="6" s="1"/>
  <c r="L82" i="6"/>
  <c r="O82" i="6" s="1"/>
  <c r="L74" i="6"/>
  <c r="O74" i="6" s="1"/>
  <c r="L66" i="6"/>
  <c r="O66" i="6" s="1"/>
  <c r="L62" i="6"/>
  <c r="O62" i="6" s="1"/>
  <c r="L58" i="6"/>
  <c r="O58" i="6" s="1"/>
  <c r="L42" i="6"/>
  <c r="O42" i="6" s="1"/>
  <c r="L34" i="6"/>
  <c r="O34" i="6" s="1"/>
  <c r="L18" i="6"/>
  <c r="O18" i="6" s="1"/>
  <c r="L119" i="6"/>
  <c r="O119" i="6" s="1"/>
  <c r="L127" i="6"/>
  <c r="O127" i="6" s="1"/>
  <c r="L131" i="6"/>
  <c r="O131" i="6" s="1"/>
  <c r="L139" i="6"/>
  <c r="O139" i="6" s="1"/>
  <c r="L143" i="6"/>
  <c r="O143" i="6" s="1"/>
  <c r="L159" i="6"/>
  <c r="O159" i="6" s="1"/>
  <c r="L163" i="6"/>
  <c r="O163" i="6" s="1"/>
  <c r="L175" i="6"/>
  <c r="O175" i="6" s="1"/>
  <c r="L183" i="6"/>
  <c r="O183" i="6" s="1"/>
  <c r="L191" i="6"/>
  <c r="O191" i="6" s="1"/>
  <c r="L199" i="6"/>
  <c r="O199" i="6" s="1"/>
  <c r="L203" i="6"/>
  <c r="O203" i="6" s="1"/>
  <c r="L207" i="6"/>
  <c r="O207" i="6" s="1"/>
  <c r="L215" i="6"/>
  <c r="O215" i="6" s="1"/>
  <c r="L223" i="6"/>
  <c r="O223" i="6" s="1"/>
  <c r="L231" i="6"/>
  <c r="O231" i="6" s="1"/>
  <c r="L239" i="6"/>
  <c r="O239" i="6" s="1"/>
  <c r="L243" i="6"/>
  <c r="O243" i="6" s="1"/>
  <c r="L250" i="6"/>
  <c r="O250" i="6" s="1"/>
  <c r="L266" i="6"/>
  <c r="O266" i="6" s="1"/>
  <c r="L274" i="6"/>
  <c r="O274" i="6" s="1"/>
  <c r="L282" i="6"/>
  <c r="O282" i="6" s="1"/>
  <c r="L290" i="6"/>
  <c r="O290" i="6" s="1"/>
  <c r="L330" i="6"/>
  <c r="O330" i="6" s="1"/>
  <c r="L346" i="6"/>
  <c r="O346" i="6" s="1"/>
  <c r="L378" i="6"/>
  <c r="O378" i="6" s="1"/>
  <c r="L386" i="6"/>
  <c r="O386" i="6" s="1"/>
  <c r="L394" i="6"/>
  <c r="O394" i="6" s="1"/>
  <c r="L402" i="6"/>
  <c r="O402" i="6" s="1"/>
  <c r="L410" i="6"/>
  <c r="O410" i="6" s="1"/>
  <c r="L418" i="6"/>
  <c r="O418" i="6" s="1"/>
  <c r="L442" i="6"/>
  <c r="O442" i="6" s="1"/>
  <c r="L466" i="6"/>
  <c r="O466" i="6" s="1"/>
  <c r="L482" i="6"/>
  <c r="O482" i="6" s="1"/>
  <c r="L498" i="6"/>
  <c r="O498" i="6" s="1"/>
  <c r="L431" i="6"/>
  <c r="O431" i="6" s="1"/>
  <c r="L399" i="6"/>
  <c r="O399" i="6" s="1"/>
  <c r="L335" i="6"/>
  <c r="O335" i="6" s="1"/>
  <c r="L271" i="6"/>
  <c r="O271" i="6" s="1"/>
  <c r="L491" i="6"/>
  <c r="O491" i="6" s="1"/>
  <c r="L427" i="6"/>
  <c r="O427" i="6" s="1"/>
  <c r="L331" i="6"/>
  <c r="O331" i="6" s="1"/>
  <c r="L299" i="6"/>
  <c r="O299" i="6" s="1"/>
  <c r="L500" i="6"/>
  <c r="O500" i="6" s="1"/>
  <c r="L473" i="6"/>
  <c r="O473" i="6" s="1"/>
  <c r="L457" i="6"/>
  <c r="O457" i="6" s="1"/>
  <c r="L441" i="6"/>
  <c r="O441" i="6" s="1"/>
  <c r="L425" i="6"/>
  <c r="O425" i="6" s="1"/>
  <c r="L297" i="6"/>
  <c r="O297" i="6" s="1"/>
  <c r="L281" i="6"/>
  <c r="O281" i="6" s="1"/>
  <c r="L265" i="6"/>
  <c r="O265" i="6" s="1"/>
  <c r="L105" i="6"/>
  <c r="O105" i="6" s="1"/>
  <c r="L101" i="6"/>
  <c r="O101" i="6" s="1"/>
  <c r="L97" i="6"/>
  <c r="O97" i="6" s="1"/>
  <c r="L85" i="6"/>
  <c r="O85" i="6" s="1"/>
  <c r="L73" i="6"/>
  <c r="O73" i="6" s="1"/>
  <c r="L65" i="6"/>
  <c r="O65" i="6" s="1"/>
  <c r="L49" i="6"/>
  <c r="O49" i="6" s="1"/>
  <c r="L41" i="6"/>
  <c r="O41" i="6" s="1"/>
  <c r="L37" i="6"/>
  <c r="O37" i="6" s="1"/>
  <c r="L33" i="6"/>
  <c r="O33" i="6" s="1"/>
  <c r="L29" i="6"/>
  <c r="O29" i="6" s="1"/>
  <c r="L25" i="6"/>
  <c r="O25" i="6" s="1"/>
  <c r="L17" i="6"/>
  <c r="O17" i="6" s="1"/>
  <c r="L9" i="6"/>
  <c r="O9" i="6" s="1"/>
  <c r="L116" i="6"/>
  <c r="O116" i="6" s="1"/>
  <c r="L124" i="6"/>
  <c r="O124" i="6" s="1"/>
  <c r="L132" i="6"/>
  <c r="O132" i="6" s="1"/>
  <c r="L136" i="6"/>
  <c r="O136" i="6" s="1"/>
  <c r="L140" i="6"/>
  <c r="O140" i="6" s="1"/>
  <c r="L156" i="6"/>
  <c r="O156" i="6" s="1"/>
  <c r="L164" i="6"/>
  <c r="O164" i="6" s="1"/>
  <c r="L168" i="6"/>
  <c r="O168" i="6" s="1"/>
  <c r="L188" i="6"/>
  <c r="O188" i="6" s="1"/>
  <c r="L196" i="6"/>
  <c r="O196" i="6" s="1"/>
  <c r="L200" i="6"/>
  <c r="O200" i="6" s="1"/>
  <c r="L204" i="6"/>
  <c r="O204" i="6" s="1"/>
  <c r="L212" i="6"/>
  <c r="O212" i="6" s="1"/>
  <c r="L216" i="6"/>
  <c r="O216" i="6" s="1"/>
  <c r="L220" i="6"/>
  <c r="O220" i="6" s="1"/>
  <c r="L228" i="6"/>
  <c r="O228" i="6" s="1"/>
  <c r="L236" i="6"/>
  <c r="O236" i="6" s="1"/>
  <c r="L240" i="6"/>
  <c r="O240" i="6" s="1"/>
  <c r="L244" i="6"/>
  <c r="O244" i="6" s="1"/>
  <c r="L260" i="6"/>
  <c r="O260" i="6" s="1"/>
  <c r="L292" i="6"/>
  <c r="O292" i="6" s="1"/>
  <c r="L340" i="6"/>
  <c r="O340" i="6" s="1"/>
  <c r="L356" i="6"/>
  <c r="O356" i="6" s="1"/>
  <c r="L388" i="6"/>
  <c r="O388" i="6" s="1"/>
  <c r="L460" i="6"/>
  <c r="O460" i="6" s="1"/>
  <c r="L476" i="6"/>
  <c r="O476" i="6" s="1"/>
  <c r="L492" i="6"/>
  <c r="O492" i="6" s="1"/>
  <c r="L359" i="6"/>
  <c r="O359" i="6" s="1"/>
  <c r="L295" i="6"/>
  <c r="O295" i="6" s="1"/>
  <c r="L483" i="6"/>
  <c r="O483" i="6" s="1"/>
  <c r="L451" i="6"/>
  <c r="O451" i="6" s="1"/>
  <c r="L259" i="6"/>
  <c r="O259" i="6" s="1"/>
  <c r="L261" i="6"/>
  <c r="O261" i="6" s="1"/>
  <c r="L108" i="6"/>
  <c r="O108" i="6" s="1"/>
  <c r="L104" i="6"/>
  <c r="O104" i="6" s="1"/>
  <c r="L96" i="6"/>
  <c r="O96" i="6" s="1"/>
  <c r="L88" i="6"/>
  <c r="O88" i="6" s="1"/>
  <c r="L80" i="6"/>
  <c r="O80" i="6" s="1"/>
  <c r="L76" i="6"/>
  <c r="O76" i="6" s="1"/>
  <c r="L64" i="6"/>
  <c r="O64" i="6" s="1"/>
  <c r="L60" i="6"/>
  <c r="O60" i="6" s="1"/>
  <c r="L56" i="6"/>
  <c r="O56" i="6" s="1"/>
  <c r="L48" i="6"/>
  <c r="O48" i="6" s="1"/>
  <c r="L40" i="6"/>
  <c r="O40" i="6" s="1"/>
  <c r="L20" i="6"/>
  <c r="O20" i="6" s="1"/>
  <c r="L16" i="6"/>
  <c r="O16" i="6" s="1"/>
  <c r="L8" i="6"/>
  <c r="O8" i="6" s="1"/>
  <c r="L125" i="6"/>
  <c r="O125" i="6" s="1"/>
  <c r="L133" i="6"/>
  <c r="O133" i="6" s="1"/>
  <c r="L137" i="6"/>
  <c r="O137" i="6" s="1"/>
  <c r="L141" i="6"/>
  <c r="O141" i="6" s="1"/>
  <c r="L145" i="6"/>
  <c r="O145" i="6" s="1"/>
  <c r="L149" i="6"/>
  <c r="O149" i="6" s="1"/>
  <c r="L161" i="6"/>
  <c r="O161" i="6" s="1"/>
  <c r="L173" i="6"/>
  <c r="O173" i="6" s="1"/>
  <c r="L177" i="6"/>
  <c r="O177" i="6" s="1"/>
  <c r="L181" i="6"/>
  <c r="O181" i="6" s="1"/>
  <c r="L189" i="6"/>
  <c r="O189" i="6" s="1"/>
  <c r="L197" i="6"/>
  <c r="O197" i="6" s="1"/>
  <c r="L201" i="6"/>
  <c r="O201" i="6" s="1"/>
  <c r="L205" i="6"/>
  <c r="O205" i="6" s="1"/>
  <c r="L209" i="6"/>
  <c r="O209" i="6" s="1"/>
  <c r="L221" i="6"/>
  <c r="O221" i="6" s="1"/>
  <c r="L229" i="6"/>
  <c r="O229" i="6" s="1"/>
  <c r="L246" i="6"/>
  <c r="O246" i="6" s="1"/>
  <c r="L262" i="6"/>
  <c r="O262" i="6" s="1"/>
  <c r="L278" i="6"/>
  <c r="O278" i="6" s="1"/>
  <c r="L302" i="6"/>
  <c r="O302" i="6" s="1"/>
  <c r="L326" i="6"/>
  <c r="O326" i="6" s="1"/>
  <c r="L334" i="6"/>
  <c r="O334" i="6" s="1"/>
  <c r="L374" i="6"/>
  <c r="O374" i="6" s="1"/>
  <c r="L398" i="6"/>
  <c r="O398" i="6" s="1"/>
  <c r="L406" i="6"/>
  <c r="O406" i="6" s="1"/>
  <c r="L430" i="6"/>
  <c r="O430" i="6" s="1"/>
  <c r="L446" i="6"/>
  <c r="O446" i="6" s="1"/>
  <c r="L454" i="6"/>
  <c r="O454" i="6" s="1"/>
  <c r="L462" i="6"/>
  <c r="O462" i="6" s="1"/>
  <c r="L478" i="6"/>
  <c r="O478" i="6" s="1"/>
  <c r="L494" i="6"/>
  <c r="O494" i="6" s="1"/>
  <c r="L447" i="6"/>
  <c r="O447" i="6" s="1"/>
  <c r="L415" i="6"/>
  <c r="O415" i="6" s="1"/>
  <c r="L383" i="6"/>
  <c r="O383" i="6" s="1"/>
  <c r="L287" i="6"/>
  <c r="O287" i="6" s="1"/>
  <c r="L443" i="6"/>
  <c r="O443" i="6" s="1"/>
  <c r="L411" i="6"/>
  <c r="O411" i="6" s="1"/>
  <c r="L379" i="6"/>
  <c r="O379" i="6" s="1"/>
  <c r="L347" i="6"/>
  <c r="O347" i="6" s="1"/>
  <c r="L283" i="6"/>
  <c r="O283" i="6" s="1"/>
  <c r="L251" i="6"/>
  <c r="O251" i="6" s="1"/>
  <c r="L481" i="6"/>
  <c r="O481" i="6" s="1"/>
  <c r="L449" i="6"/>
  <c r="O449" i="6" s="1"/>
  <c r="L401" i="6"/>
  <c r="O401" i="6" s="1"/>
  <c r="L337" i="6"/>
  <c r="O337" i="6" s="1"/>
  <c r="L305" i="6"/>
  <c r="O305" i="6" s="1"/>
  <c r="L273" i="6"/>
  <c r="O273" i="6" s="1"/>
  <c r="L115" i="6"/>
  <c r="O115" i="6" s="1"/>
  <c r="L107" i="6"/>
  <c r="O107" i="6" s="1"/>
  <c r="L95" i="6"/>
  <c r="O95" i="6" s="1"/>
  <c r="L91" i="6"/>
  <c r="O91" i="6" s="1"/>
  <c r="L83" i="6"/>
  <c r="O83" i="6" s="1"/>
  <c r="L75" i="6"/>
  <c r="O75" i="6" s="1"/>
  <c r="L67" i="6"/>
  <c r="O67" i="6" s="1"/>
  <c r="L59" i="6"/>
  <c r="O59" i="6" s="1"/>
  <c r="L51" i="6"/>
  <c r="O51" i="6" s="1"/>
  <c r="L47" i="6"/>
  <c r="O47" i="6" s="1"/>
  <c r="L43" i="6"/>
  <c r="O43" i="6" s="1"/>
  <c r="L39" i="6"/>
  <c r="O39" i="6" s="1"/>
  <c r="L35" i="6"/>
  <c r="O35" i="6" s="1"/>
  <c r="L27" i="6"/>
  <c r="O27" i="6" s="1"/>
  <c r="L19" i="6"/>
  <c r="O19" i="6" s="1"/>
  <c r="L15" i="6"/>
  <c r="O15" i="6" s="1"/>
  <c r="L11" i="6"/>
  <c r="O11" i="6" s="1"/>
  <c r="L7" i="6"/>
  <c r="O7" i="6" s="1"/>
  <c r="L122" i="6"/>
  <c r="O122" i="6" s="1"/>
  <c r="L130" i="6"/>
  <c r="O130" i="6" s="1"/>
  <c r="L138" i="6"/>
  <c r="O138" i="6" s="1"/>
  <c r="L150" i="6"/>
  <c r="O150" i="6" s="1"/>
  <c r="L158" i="6"/>
  <c r="O158" i="6" s="1"/>
  <c r="L162" i="6"/>
  <c r="O162" i="6" s="1"/>
  <c r="L170" i="6"/>
  <c r="O170" i="6" s="1"/>
  <c r="L174" i="6"/>
  <c r="O174" i="6" s="1"/>
  <c r="L178" i="6"/>
  <c r="O178" i="6" s="1"/>
  <c r="L182" i="6"/>
  <c r="O182" i="6" s="1"/>
  <c r="L190" i="6"/>
  <c r="O190" i="6" s="1"/>
  <c r="L194" i="6"/>
  <c r="O194" i="6" s="1"/>
  <c r="L198" i="6"/>
  <c r="O198" i="6" s="1"/>
  <c r="L202" i="6"/>
  <c r="O202" i="6" s="1"/>
  <c r="L206" i="6"/>
  <c r="O206" i="6" s="1"/>
  <c r="L210" i="6"/>
  <c r="O210" i="6" s="1"/>
  <c r="L222" i="6"/>
  <c r="O222" i="6" s="1"/>
  <c r="L226" i="6"/>
  <c r="O226" i="6" s="1"/>
  <c r="L234" i="6"/>
  <c r="O234" i="6" s="1"/>
  <c r="L242" i="6"/>
  <c r="O242" i="6" s="1"/>
  <c r="L256" i="6"/>
  <c r="O256" i="6" s="1"/>
  <c r="L272" i="6"/>
  <c r="O272" i="6" s="1"/>
  <c r="L280" i="6"/>
  <c r="O280" i="6" s="1"/>
  <c r="L288" i="6"/>
  <c r="O288" i="6" s="1"/>
  <c r="L368" i="6"/>
  <c r="O368" i="6" s="1"/>
  <c r="L376" i="6"/>
  <c r="O376" i="6" s="1"/>
  <c r="L424" i="6"/>
  <c r="O424" i="6" s="1"/>
  <c r="L432" i="6"/>
  <c r="O432" i="6" s="1"/>
  <c r="L440" i="6"/>
  <c r="O440" i="6" s="1"/>
  <c r="L448" i="6"/>
  <c r="O448" i="6" s="1"/>
  <c r="L456" i="6"/>
  <c r="O456" i="6" s="1"/>
  <c r="L472" i="6"/>
  <c r="O472" i="6" s="1"/>
  <c r="L488" i="6"/>
  <c r="O488" i="6" s="1"/>
  <c r="L471" i="6"/>
  <c r="O471" i="6" s="1"/>
  <c r="L439" i="6"/>
  <c r="O439" i="6" s="1"/>
  <c r="L407" i="6"/>
  <c r="O407" i="6" s="1"/>
  <c r="L375" i="6"/>
  <c r="O375" i="6" s="1"/>
  <c r="L311" i="6"/>
  <c r="O311" i="6" s="1"/>
  <c r="L467" i="6"/>
  <c r="O467" i="6" s="1"/>
  <c r="L371" i="6"/>
  <c r="O371" i="6" s="1"/>
  <c r="L339" i="6"/>
  <c r="O339" i="6" s="1"/>
  <c r="L307" i="6"/>
  <c r="O307" i="6" s="1"/>
  <c r="L493" i="6"/>
  <c r="O493" i="6" s="1"/>
  <c r="L461" i="6"/>
  <c r="O461" i="6" s="1"/>
  <c r="L381" i="6"/>
  <c r="O381" i="6" s="1"/>
  <c r="L365" i="6"/>
  <c r="O365" i="6" s="1"/>
  <c r="L349" i="6"/>
  <c r="O349" i="6" s="1"/>
  <c r="L333" i="6"/>
  <c r="O333" i="6" s="1"/>
  <c r="L317" i="6"/>
  <c r="O317" i="6" s="1"/>
  <c r="L285" i="6"/>
  <c r="O285" i="6" s="1"/>
  <c r="L253" i="6"/>
  <c r="O253" i="6" s="1"/>
  <c r="L106" i="6"/>
  <c r="O106" i="6" s="1"/>
  <c r="L102" i="6"/>
  <c r="O102" i="6" s="1"/>
  <c r="L98" i="6"/>
  <c r="O98" i="6" s="1"/>
  <c r="L94" i="6"/>
  <c r="O94" i="6" s="1"/>
  <c r="L86" i="6"/>
  <c r="O86" i="6" s="1"/>
  <c r="L78" i="6"/>
  <c r="O78" i="6" s="1"/>
  <c r="L70" i="6"/>
  <c r="O70" i="6" s="1"/>
  <c r="L54" i="6"/>
  <c r="O54" i="6" s="1"/>
  <c r="L50" i="6"/>
  <c r="O50" i="6" s="1"/>
  <c r="L46" i="6"/>
  <c r="O46" i="6" s="1"/>
  <c r="L38" i="6"/>
  <c r="O38" i="6" s="1"/>
  <c r="L30" i="6"/>
  <c r="O30" i="6" s="1"/>
  <c r="L26" i="6"/>
  <c r="O26" i="6" s="1"/>
  <c r="L22" i="6"/>
  <c r="O22" i="6" s="1"/>
  <c r="L14" i="6"/>
  <c r="O14" i="6" s="1"/>
  <c r="L10" i="6"/>
  <c r="O10" i="6" s="1"/>
  <c r="L6" i="6"/>
  <c r="O6" i="6" s="1"/>
  <c r="L123" i="6"/>
  <c r="O123" i="6" s="1"/>
  <c r="L135" i="6"/>
  <c r="O135" i="6" s="1"/>
  <c r="L147" i="6"/>
  <c r="O147" i="6" s="1"/>
  <c r="L151" i="6"/>
  <c r="O151" i="6" s="1"/>
  <c r="L155" i="6"/>
  <c r="O155" i="6" s="1"/>
  <c r="L167" i="6"/>
  <c r="O167" i="6" s="1"/>
  <c r="L171" i="6"/>
  <c r="O171" i="6" s="1"/>
  <c r="L179" i="6"/>
  <c r="O179" i="6" s="1"/>
  <c r="L187" i="6"/>
  <c r="O187" i="6" s="1"/>
  <c r="L195" i="6"/>
  <c r="O195" i="6" s="1"/>
  <c r="L211" i="6"/>
  <c r="O211" i="6" s="1"/>
  <c r="L219" i="6"/>
  <c r="O219" i="6" s="1"/>
  <c r="L227" i="6"/>
  <c r="O227" i="6" s="1"/>
  <c r="L235" i="6"/>
  <c r="O235" i="6" s="1"/>
  <c r="L258" i="6"/>
  <c r="O258" i="6" s="1"/>
  <c r="L298" i="6"/>
  <c r="O298" i="6" s="1"/>
  <c r="L306" i="6"/>
  <c r="O306" i="6" s="1"/>
  <c r="L314" i="6"/>
  <c r="O314" i="6" s="1"/>
  <c r="L322" i="6"/>
  <c r="O322" i="6" s="1"/>
  <c r="L338" i="6"/>
  <c r="O338" i="6" s="1"/>
  <c r="L354" i="6"/>
  <c r="O354" i="6" s="1"/>
  <c r="L362" i="6"/>
  <c r="O362" i="6" s="1"/>
  <c r="L370" i="6"/>
  <c r="O370" i="6" s="1"/>
  <c r="L426" i="6"/>
  <c r="O426" i="6" s="1"/>
  <c r="L434" i="6"/>
  <c r="O434" i="6" s="1"/>
  <c r="L450" i="6"/>
  <c r="O450" i="6" s="1"/>
  <c r="L458" i="6"/>
  <c r="O458" i="6" s="1"/>
  <c r="L474" i="6"/>
  <c r="O474" i="6" s="1"/>
  <c r="L490" i="6"/>
  <c r="O490" i="6" s="1"/>
  <c r="L463" i="6"/>
  <c r="O463" i="6" s="1"/>
  <c r="L367" i="6"/>
  <c r="O367" i="6" s="1"/>
  <c r="L303" i="6"/>
  <c r="O303" i="6" s="1"/>
  <c r="L459" i="6"/>
  <c r="O459" i="6" s="1"/>
  <c r="L395" i="6"/>
  <c r="O395" i="6" s="1"/>
  <c r="L363" i="6"/>
  <c r="O363" i="6" s="1"/>
  <c r="L267" i="6"/>
  <c r="O267" i="6" s="1"/>
  <c r="L489" i="6"/>
  <c r="O489" i="6" s="1"/>
  <c r="L409" i="6"/>
  <c r="O409" i="6" s="1"/>
  <c r="L393" i="6"/>
  <c r="O393" i="6" s="1"/>
  <c r="L377" i="6"/>
  <c r="O377" i="6" s="1"/>
  <c r="L361" i="6"/>
  <c r="O361" i="6" s="1"/>
  <c r="L345" i="6"/>
  <c r="O345" i="6" s="1"/>
  <c r="L329" i="6"/>
  <c r="O329" i="6" s="1"/>
  <c r="L313" i="6"/>
  <c r="O313" i="6" s="1"/>
  <c r="L249" i="6"/>
  <c r="O249" i="6" s="1"/>
  <c r="L113" i="6"/>
  <c r="O113" i="6" s="1"/>
  <c r="L109" i="6"/>
  <c r="O109" i="6" s="1"/>
  <c r="L93" i="6"/>
  <c r="O93" i="6" s="1"/>
  <c r="L89" i="6"/>
  <c r="O89" i="6" s="1"/>
  <c r="L81" i="6"/>
  <c r="O81" i="6" s="1"/>
  <c r="L77" i="6"/>
  <c r="O77" i="6" s="1"/>
  <c r="L69" i="6"/>
  <c r="O69" i="6" s="1"/>
  <c r="L61" i="6"/>
  <c r="O61" i="6" s="1"/>
  <c r="L57" i="6"/>
  <c r="O57" i="6" s="1"/>
  <c r="L53" i="6"/>
  <c r="O53" i="6" s="1"/>
  <c r="L45" i="6"/>
  <c r="O45" i="6" s="1"/>
  <c r="L21" i="6"/>
  <c r="O21" i="6" s="1"/>
  <c r="L13" i="6"/>
  <c r="O13" i="6" s="1"/>
  <c r="L5" i="6"/>
  <c r="O5" i="6" s="1"/>
  <c r="L120" i="6"/>
  <c r="O120" i="6" s="1"/>
  <c r="L128" i="6"/>
  <c r="O128" i="6" s="1"/>
  <c r="L144" i="6"/>
  <c r="O144" i="6" s="1"/>
  <c r="L148" i="6"/>
  <c r="O148" i="6" s="1"/>
  <c r="L152" i="6"/>
  <c r="O152" i="6" s="1"/>
  <c r="L160" i="6"/>
  <c r="O160" i="6" s="1"/>
  <c r="L172" i="6"/>
  <c r="O172" i="6" s="1"/>
  <c r="L176" i="6"/>
  <c r="O176" i="6" s="1"/>
  <c r="L180" i="6"/>
  <c r="O180" i="6" s="1"/>
  <c r="L184" i="6"/>
  <c r="O184" i="6" s="1"/>
  <c r="L192" i="6"/>
  <c r="O192" i="6" s="1"/>
  <c r="L208" i="6"/>
  <c r="O208" i="6" s="1"/>
  <c r="L224" i="6"/>
  <c r="O224" i="6" s="1"/>
  <c r="L232" i="6"/>
  <c r="O232" i="6" s="1"/>
  <c r="L252" i="6"/>
  <c r="O252" i="6" s="1"/>
  <c r="L268" i="6"/>
  <c r="O268" i="6" s="1"/>
  <c r="L276" i="6"/>
  <c r="O276" i="6" s="1"/>
  <c r="L284" i="6"/>
  <c r="O284" i="6" s="1"/>
  <c r="L300" i="6"/>
  <c r="O300" i="6" s="1"/>
  <c r="L308" i="6"/>
  <c r="O308" i="6" s="1"/>
  <c r="L316" i="6"/>
  <c r="O316" i="6" s="1"/>
  <c r="L324" i="6"/>
  <c r="O324" i="6" s="1"/>
  <c r="L332" i="6"/>
  <c r="O332" i="6" s="1"/>
  <c r="L348" i="6"/>
  <c r="O348" i="6" s="1"/>
  <c r="L364" i="6"/>
  <c r="O364" i="6" s="1"/>
  <c r="L372" i="6"/>
  <c r="O372" i="6" s="1"/>
  <c r="L380" i="6"/>
  <c r="O380" i="6" s="1"/>
  <c r="L396" i="6"/>
  <c r="O396" i="6" s="1"/>
  <c r="L404" i="6"/>
  <c r="O404" i="6" s="1"/>
  <c r="L412" i="6"/>
  <c r="O412" i="6" s="1"/>
  <c r="L420" i="6"/>
  <c r="O420" i="6" s="1"/>
  <c r="L428" i="6"/>
  <c r="O428" i="6" s="1"/>
  <c r="L436" i="6"/>
  <c r="O436" i="6" s="1"/>
  <c r="L444" i="6"/>
  <c r="O444" i="6" s="1"/>
  <c r="L452" i="6"/>
  <c r="O452" i="6" s="1"/>
  <c r="L468" i="6"/>
  <c r="O468" i="6" s="1"/>
  <c r="L484" i="6"/>
  <c r="O484" i="6" s="1"/>
  <c r="L487" i="6"/>
  <c r="O487" i="6" s="1"/>
  <c r="L455" i="6"/>
  <c r="O455" i="6" s="1"/>
  <c r="L423" i="6"/>
  <c r="O423" i="6" s="1"/>
  <c r="L391" i="6"/>
  <c r="O391" i="6" s="1"/>
  <c r="L327" i="6"/>
  <c r="O327" i="6" s="1"/>
  <c r="L263" i="6"/>
  <c r="O263" i="6" s="1"/>
  <c r="L419" i="6"/>
  <c r="O419" i="6" s="1"/>
  <c r="L387" i="6"/>
  <c r="O387" i="6" s="1"/>
  <c r="L355" i="6"/>
  <c r="O355" i="6" s="1"/>
  <c r="L323" i="6"/>
  <c r="O323" i="6" s="1"/>
  <c r="L291" i="6"/>
  <c r="O291" i="6" s="1"/>
  <c r="L278" i="4"/>
  <c r="M454" i="4"/>
  <c r="L454" i="4"/>
  <c r="L432" i="4"/>
  <c r="L439" i="4"/>
  <c r="L370" i="4"/>
  <c r="L268" i="4"/>
  <c r="L428" i="4"/>
  <c r="O695" i="3"/>
  <c r="M455" i="4" s="1"/>
  <c r="M457" i="4"/>
  <c r="L457" i="4"/>
  <c r="L340" i="4"/>
  <c r="N695" i="3"/>
  <c r="L455" i="4" s="1"/>
  <c r="J485" i="6"/>
  <c r="E485" i="6"/>
  <c r="C485" i="6"/>
  <c r="A485" i="6"/>
  <c r="K485" i="6"/>
  <c r="I485" i="6"/>
  <c r="N485" i="6" s="1"/>
  <c r="D485" i="6"/>
  <c r="M485" i="6" s="1"/>
  <c r="B485" i="6"/>
  <c r="J453" i="6"/>
  <c r="E453" i="6"/>
  <c r="C453" i="6"/>
  <c r="A453" i="6"/>
  <c r="K453" i="6"/>
  <c r="I453" i="6"/>
  <c r="N453" i="6" s="1"/>
  <c r="D453" i="6"/>
  <c r="M453" i="6" s="1"/>
  <c r="B453" i="6"/>
  <c r="E421" i="6"/>
  <c r="C421" i="6"/>
  <c r="A421" i="6"/>
  <c r="I421" i="6"/>
  <c r="N421" i="6" s="1"/>
  <c r="D421" i="6"/>
  <c r="M421" i="6" s="1"/>
  <c r="B421" i="6"/>
  <c r="E389" i="6"/>
  <c r="C389" i="6"/>
  <c r="A389" i="6"/>
  <c r="I389" i="6"/>
  <c r="N389" i="6" s="1"/>
  <c r="D389" i="6"/>
  <c r="M389" i="6" s="1"/>
  <c r="B389" i="6"/>
  <c r="E357" i="6"/>
  <c r="C357" i="6"/>
  <c r="A357" i="6"/>
  <c r="I357" i="6"/>
  <c r="N357" i="6" s="1"/>
  <c r="D357" i="6"/>
  <c r="M357" i="6" s="1"/>
  <c r="B357" i="6"/>
  <c r="E325" i="6"/>
  <c r="C325" i="6"/>
  <c r="A325" i="6"/>
  <c r="I325" i="6"/>
  <c r="N325" i="6" s="1"/>
  <c r="D325" i="6"/>
  <c r="M325" i="6" s="1"/>
  <c r="B325" i="6"/>
  <c r="J293" i="6"/>
  <c r="E293" i="6"/>
  <c r="C293" i="6"/>
  <c r="A293" i="6"/>
  <c r="K293" i="6"/>
  <c r="I293" i="6"/>
  <c r="N293" i="6" s="1"/>
  <c r="D293" i="6"/>
  <c r="M293" i="6" s="1"/>
  <c r="B293" i="6"/>
  <c r="E245" i="6"/>
  <c r="C245" i="6"/>
  <c r="A245" i="6"/>
  <c r="I245" i="6"/>
  <c r="N245" i="6" s="1"/>
  <c r="D245" i="6"/>
  <c r="M245" i="6" s="1"/>
  <c r="B245" i="6"/>
  <c r="E112" i="6"/>
  <c r="C112" i="6"/>
  <c r="A112" i="6"/>
  <c r="I112" i="6"/>
  <c r="N112" i="6" s="1"/>
  <c r="D112" i="6"/>
  <c r="M112" i="6" s="1"/>
  <c r="B112" i="6"/>
  <c r="E104" i="6"/>
  <c r="C104" i="6"/>
  <c r="A104" i="6"/>
  <c r="I104" i="6"/>
  <c r="N104" i="6" s="1"/>
  <c r="D104" i="6"/>
  <c r="M104" i="6" s="1"/>
  <c r="B104" i="6"/>
  <c r="E96" i="6"/>
  <c r="C96" i="6"/>
  <c r="A96" i="6"/>
  <c r="I96" i="6"/>
  <c r="N96" i="6" s="1"/>
  <c r="D96" i="6"/>
  <c r="M96" i="6" s="1"/>
  <c r="B96" i="6"/>
  <c r="E88" i="6"/>
  <c r="C88" i="6"/>
  <c r="A88" i="6"/>
  <c r="I88" i="6"/>
  <c r="N88" i="6" s="1"/>
  <c r="D88" i="6"/>
  <c r="M88" i="6" s="1"/>
  <c r="B88" i="6"/>
  <c r="E84" i="6"/>
  <c r="C84" i="6"/>
  <c r="A84" i="6"/>
  <c r="I84" i="6"/>
  <c r="N84" i="6" s="1"/>
  <c r="D84" i="6"/>
  <c r="M84" i="6" s="1"/>
  <c r="B84" i="6"/>
  <c r="E80" i="6"/>
  <c r="C80" i="6"/>
  <c r="A80" i="6"/>
  <c r="I80" i="6"/>
  <c r="N80" i="6" s="1"/>
  <c r="D80" i="6"/>
  <c r="M80" i="6" s="1"/>
  <c r="B80" i="6"/>
  <c r="J72" i="6"/>
  <c r="E72" i="6"/>
  <c r="C72" i="6"/>
  <c r="A72" i="6"/>
  <c r="K72" i="6"/>
  <c r="I72" i="6"/>
  <c r="N72" i="6" s="1"/>
  <c r="D72" i="6"/>
  <c r="M72" i="6" s="1"/>
  <c r="B72" i="6"/>
  <c r="E56" i="6"/>
  <c r="C56" i="6"/>
  <c r="A56" i="6"/>
  <c r="I56" i="6"/>
  <c r="N56" i="6" s="1"/>
  <c r="D56" i="6"/>
  <c r="M56" i="6" s="1"/>
  <c r="B56" i="6"/>
  <c r="E48" i="6"/>
  <c r="C48" i="6"/>
  <c r="A48" i="6"/>
  <c r="I48" i="6"/>
  <c r="N48" i="6" s="1"/>
  <c r="D48" i="6"/>
  <c r="M48" i="6" s="1"/>
  <c r="B48" i="6"/>
  <c r="E40" i="6"/>
  <c r="C40" i="6"/>
  <c r="A40" i="6"/>
  <c r="I40" i="6"/>
  <c r="N40" i="6" s="1"/>
  <c r="D40" i="6"/>
  <c r="M40" i="6" s="1"/>
  <c r="B40" i="6"/>
  <c r="E32" i="6"/>
  <c r="C32" i="6"/>
  <c r="A32" i="6"/>
  <c r="I32" i="6"/>
  <c r="N32" i="6" s="1"/>
  <c r="D32" i="6"/>
  <c r="M32" i="6" s="1"/>
  <c r="B32" i="6"/>
  <c r="J24" i="6"/>
  <c r="E24" i="6"/>
  <c r="C24" i="6"/>
  <c r="A24" i="6"/>
  <c r="K24" i="6"/>
  <c r="I24" i="6"/>
  <c r="N24" i="6" s="1"/>
  <c r="D24" i="6"/>
  <c r="M24" i="6" s="1"/>
  <c r="B24" i="6"/>
  <c r="E16" i="6"/>
  <c r="C16" i="6"/>
  <c r="A16" i="6"/>
  <c r="I16" i="6"/>
  <c r="N16" i="6" s="1"/>
  <c r="D16" i="6"/>
  <c r="M16" i="6" s="1"/>
  <c r="B16" i="6"/>
  <c r="E12" i="6"/>
  <c r="C12" i="6"/>
  <c r="A12" i="6"/>
  <c r="I12" i="6"/>
  <c r="N12" i="6" s="1"/>
  <c r="D12" i="6"/>
  <c r="M12" i="6" s="1"/>
  <c r="B12" i="6"/>
  <c r="E8" i="6"/>
  <c r="C8" i="6"/>
  <c r="A8" i="6"/>
  <c r="I8" i="6"/>
  <c r="N8" i="6" s="1"/>
  <c r="D8" i="6"/>
  <c r="M8" i="6" s="1"/>
  <c r="B8" i="6"/>
  <c r="J117" i="6"/>
  <c r="E117" i="6"/>
  <c r="C117" i="6"/>
  <c r="A117" i="6"/>
  <c r="K117" i="6"/>
  <c r="I117" i="6"/>
  <c r="N117" i="6" s="1"/>
  <c r="D117" i="6"/>
  <c r="M117" i="6" s="1"/>
  <c r="B117" i="6"/>
  <c r="E125" i="6"/>
  <c r="C125" i="6"/>
  <c r="A125" i="6"/>
  <c r="I125" i="6"/>
  <c r="N125" i="6" s="1"/>
  <c r="D125" i="6"/>
  <c r="M125" i="6" s="1"/>
  <c r="B125" i="6"/>
  <c r="E129" i="6"/>
  <c r="C129" i="6"/>
  <c r="A129" i="6"/>
  <c r="I129" i="6"/>
  <c r="N129" i="6" s="1"/>
  <c r="D129" i="6"/>
  <c r="M129" i="6" s="1"/>
  <c r="B129" i="6"/>
  <c r="E133" i="6"/>
  <c r="C133" i="6"/>
  <c r="A133" i="6"/>
  <c r="I133" i="6"/>
  <c r="N133" i="6" s="1"/>
  <c r="D133" i="6"/>
  <c r="M133" i="6" s="1"/>
  <c r="B133" i="6"/>
  <c r="E141" i="6"/>
  <c r="C141" i="6"/>
  <c r="A141" i="6"/>
  <c r="I141" i="6"/>
  <c r="N141" i="6" s="1"/>
  <c r="D141" i="6"/>
  <c r="M141" i="6" s="1"/>
  <c r="B141" i="6"/>
  <c r="E157" i="6"/>
  <c r="C157" i="6"/>
  <c r="A157" i="6"/>
  <c r="I157" i="6"/>
  <c r="N157" i="6" s="1"/>
  <c r="D157" i="6"/>
  <c r="M157" i="6" s="1"/>
  <c r="B157" i="6"/>
  <c r="E165" i="6"/>
  <c r="C165" i="6"/>
  <c r="A165" i="6"/>
  <c r="I165" i="6"/>
  <c r="N165" i="6" s="1"/>
  <c r="D165" i="6"/>
  <c r="M165" i="6" s="1"/>
  <c r="B165" i="6"/>
  <c r="E173" i="6"/>
  <c r="C173" i="6"/>
  <c r="A173" i="6"/>
  <c r="I173" i="6"/>
  <c r="N173" i="6" s="1"/>
  <c r="D173" i="6"/>
  <c r="M173" i="6" s="1"/>
  <c r="B173" i="6"/>
  <c r="E181" i="6"/>
  <c r="C181" i="6"/>
  <c r="A181" i="6"/>
  <c r="I181" i="6"/>
  <c r="N181" i="6" s="1"/>
  <c r="D181" i="6"/>
  <c r="M181" i="6" s="1"/>
  <c r="B181" i="6"/>
  <c r="E189" i="6"/>
  <c r="C189" i="6"/>
  <c r="A189" i="6"/>
  <c r="I189" i="6"/>
  <c r="N189" i="6" s="1"/>
  <c r="D189" i="6"/>
  <c r="M189" i="6" s="1"/>
  <c r="B189" i="6"/>
  <c r="E193" i="6"/>
  <c r="C193" i="6"/>
  <c r="A193" i="6"/>
  <c r="I193" i="6"/>
  <c r="N193" i="6" s="1"/>
  <c r="D193" i="6"/>
  <c r="M193" i="6" s="1"/>
  <c r="B193" i="6"/>
  <c r="E197" i="6"/>
  <c r="C197" i="6"/>
  <c r="A197" i="6"/>
  <c r="I197" i="6"/>
  <c r="N197" i="6" s="1"/>
  <c r="D197" i="6"/>
  <c r="M197" i="6" s="1"/>
  <c r="B197" i="6"/>
  <c r="E205" i="6"/>
  <c r="C205" i="6"/>
  <c r="A205" i="6"/>
  <c r="I205" i="6"/>
  <c r="N205" i="6" s="1"/>
  <c r="D205" i="6"/>
  <c r="M205" i="6" s="1"/>
  <c r="B205" i="6"/>
  <c r="E213" i="6"/>
  <c r="C213" i="6"/>
  <c r="A213" i="6"/>
  <c r="I213" i="6"/>
  <c r="N213" i="6" s="1"/>
  <c r="D213" i="6"/>
  <c r="M213" i="6" s="1"/>
  <c r="B213" i="6"/>
  <c r="E221" i="6"/>
  <c r="C221" i="6"/>
  <c r="A221" i="6"/>
  <c r="I221" i="6"/>
  <c r="N221" i="6" s="1"/>
  <c r="D221" i="6"/>
  <c r="M221" i="6" s="1"/>
  <c r="B221" i="6"/>
  <c r="J225" i="6"/>
  <c r="E225" i="6"/>
  <c r="C225" i="6"/>
  <c r="A225" i="6"/>
  <c r="K225" i="6"/>
  <c r="I225" i="6"/>
  <c r="N225" i="6" s="1"/>
  <c r="D225" i="6"/>
  <c r="M225" i="6" s="1"/>
  <c r="B225" i="6"/>
  <c r="E229" i="6"/>
  <c r="C229" i="6"/>
  <c r="A229" i="6"/>
  <c r="I229" i="6"/>
  <c r="N229" i="6" s="1"/>
  <c r="D229" i="6"/>
  <c r="M229" i="6" s="1"/>
  <c r="B229" i="6"/>
  <c r="E237" i="6"/>
  <c r="C237" i="6"/>
  <c r="A237" i="6"/>
  <c r="I237" i="6"/>
  <c r="N237" i="6" s="1"/>
  <c r="D237" i="6"/>
  <c r="M237" i="6" s="1"/>
  <c r="B237" i="6"/>
  <c r="E246" i="6"/>
  <c r="C246" i="6"/>
  <c r="A246" i="6"/>
  <c r="I246" i="6"/>
  <c r="N246" i="6" s="1"/>
  <c r="D246" i="6"/>
  <c r="M246" i="6" s="1"/>
  <c r="B246" i="6"/>
  <c r="E262" i="6"/>
  <c r="C262" i="6"/>
  <c r="A262" i="6"/>
  <c r="I262" i="6"/>
  <c r="N262" i="6" s="1"/>
  <c r="D262" i="6"/>
  <c r="M262" i="6" s="1"/>
  <c r="B262" i="6"/>
  <c r="J278" i="6"/>
  <c r="E278" i="6"/>
  <c r="C278" i="6"/>
  <c r="A278" i="6"/>
  <c r="I278" i="6"/>
  <c r="N278" i="6" s="1"/>
  <c r="D278" i="6"/>
  <c r="M278" i="6" s="1"/>
  <c r="B278" i="6"/>
  <c r="J294" i="6"/>
  <c r="E294" i="6"/>
  <c r="C294" i="6"/>
  <c r="A294" i="6"/>
  <c r="K294" i="6"/>
  <c r="I294" i="6"/>
  <c r="N294" i="6" s="1"/>
  <c r="D294" i="6"/>
  <c r="M294" i="6" s="1"/>
  <c r="B294" i="6"/>
  <c r="E310" i="6"/>
  <c r="C310" i="6"/>
  <c r="A310" i="6"/>
  <c r="I310" i="6"/>
  <c r="N310" i="6" s="1"/>
  <c r="D310" i="6"/>
  <c r="M310" i="6" s="1"/>
  <c r="B310" i="6"/>
  <c r="E326" i="6"/>
  <c r="C326" i="6"/>
  <c r="A326" i="6"/>
  <c r="I326" i="6"/>
  <c r="N326" i="6" s="1"/>
  <c r="D326" i="6"/>
  <c r="M326" i="6" s="1"/>
  <c r="B326" i="6"/>
  <c r="E342" i="6"/>
  <c r="C342" i="6"/>
  <c r="A342" i="6"/>
  <c r="I342" i="6"/>
  <c r="N342" i="6" s="1"/>
  <c r="D342" i="6"/>
  <c r="M342" i="6" s="1"/>
  <c r="B342" i="6"/>
  <c r="E358" i="6"/>
  <c r="C358" i="6"/>
  <c r="A358" i="6"/>
  <c r="I358" i="6"/>
  <c r="N358" i="6" s="1"/>
  <c r="D358" i="6"/>
  <c r="M358" i="6" s="1"/>
  <c r="B358" i="6"/>
  <c r="E374" i="6"/>
  <c r="C374" i="6"/>
  <c r="A374" i="6"/>
  <c r="I374" i="6"/>
  <c r="N374" i="6" s="1"/>
  <c r="D374" i="6"/>
  <c r="M374" i="6" s="1"/>
  <c r="B374" i="6"/>
  <c r="J390" i="6"/>
  <c r="E390" i="6"/>
  <c r="C390" i="6"/>
  <c r="A390" i="6"/>
  <c r="K390" i="6"/>
  <c r="I390" i="6"/>
  <c r="N390" i="6" s="1"/>
  <c r="D390" i="6"/>
  <c r="M390" i="6" s="1"/>
  <c r="B390" i="6"/>
  <c r="E406" i="6"/>
  <c r="C406" i="6"/>
  <c r="A406" i="6"/>
  <c r="I406" i="6"/>
  <c r="N406" i="6" s="1"/>
  <c r="D406" i="6"/>
  <c r="M406" i="6" s="1"/>
  <c r="B406" i="6"/>
  <c r="J422" i="6"/>
  <c r="E422" i="6"/>
  <c r="C422" i="6"/>
  <c r="A422" i="6"/>
  <c r="K422" i="6"/>
  <c r="I422" i="6"/>
  <c r="N422" i="6" s="1"/>
  <c r="D422" i="6"/>
  <c r="M422" i="6" s="1"/>
  <c r="B422" i="6"/>
  <c r="J438" i="6"/>
  <c r="E438" i="6"/>
  <c r="C438" i="6"/>
  <c r="A438" i="6"/>
  <c r="K438" i="6"/>
  <c r="I438" i="6"/>
  <c r="N438" i="6" s="1"/>
  <c r="D438" i="6"/>
  <c r="M438" i="6" s="1"/>
  <c r="B438" i="6"/>
  <c r="J454" i="6"/>
  <c r="E454" i="6"/>
  <c r="C454" i="6"/>
  <c r="A454" i="6"/>
  <c r="K454" i="6"/>
  <c r="I454" i="6"/>
  <c r="N454" i="6" s="1"/>
  <c r="D454" i="6"/>
  <c r="M454" i="6" s="1"/>
  <c r="B454" i="6"/>
  <c r="J470" i="6"/>
  <c r="E470" i="6"/>
  <c r="C470" i="6"/>
  <c r="A470" i="6"/>
  <c r="K470" i="6"/>
  <c r="I470" i="6"/>
  <c r="N470" i="6" s="1"/>
  <c r="D470" i="6"/>
  <c r="M470" i="6" s="1"/>
  <c r="B470" i="6"/>
  <c r="J486" i="6"/>
  <c r="E486" i="6"/>
  <c r="C486" i="6"/>
  <c r="A486" i="6"/>
  <c r="K486" i="6"/>
  <c r="I486" i="6"/>
  <c r="N486" i="6" s="1"/>
  <c r="D486" i="6"/>
  <c r="M486" i="6" s="1"/>
  <c r="B486" i="6"/>
  <c r="J479" i="6"/>
  <c r="E479" i="6"/>
  <c r="C479" i="6"/>
  <c r="A479" i="6"/>
  <c r="K479" i="6"/>
  <c r="I479" i="6"/>
  <c r="N479" i="6" s="1"/>
  <c r="D479" i="6"/>
  <c r="M479" i="6" s="1"/>
  <c r="B479" i="6"/>
  <c r="J415" i="6"/>
  <c r="E415" i="6"/>
  <c r="C415" i="6"/>
  <c r="A415" i="6"/>
  <c r="K415" i="6"/>
  <c r="I415" i="6"/>
  <c r="N415" i="6" s="1"/>
  <c r="D415" i="6"/>
  <c r="M415" i="6" s="1"/>
  <c r="B415" i="6"/>
  <c r="E351" i="6"/>
  <c r="C351" i="6"/>
  <c r="A351" i="6"/>
  <c r="I351" i="6"/>
  <c r="N351" i="6" s="1"/>
  <c r="D351" i="6"/>
  <c r="M351" i="6" s="1"/>
  <c r="B351" i="6"/>
  <c r="E287" i="6"/>
  <c r="C287" i="6"/>
  <c r="A287" i="6"/>
  <c r="I287" i="6"/>
  <c r="N287" i="6" s="1"/>
  <c r="D287" i="6"/>
  <c r="M287" i="6" s="1"/>
  <c r="B287" i="6"/>
  <c r="J475" i="6"/>
  <c r="E475" i="6"/>
  <c r="C475" i="6"/>
  <c r="A475" i="6"/>
  <c r="K475" i="6"/>
  <c r="I475" i="6"/>
  <c r="N475" i="6" s="1"/>
  <c r="D475" i="6"/>
  <c r="M475" i="6" s="1"/>
  <c r="B475" i="6"/>
  <c r="E411" i="6"/>
  <c r="C411" i="6"/>
  <c r="A411" i="6"/>
  <c r="I411" i="6"/>
  <c r="N411" i="6" s="1"/>
  <c r="D411" i="6"/>
  <c r="M411" i="6" s="1"/>
  <c r="B411" i="6"/>
  <c r="E347" i="6"/>
  <c r="C347" i="6"/>
  <c r="A347" i="6"/>
  <c r="I347" i="6"/>
  <c r="N347" i="6" s="1"/>
  <c r="D347" i="6"/>
  <c r="M347" i="6" s="1"/>
  <c r="B347" i="6"/>
  <c r="E283" i="6"/>
  <c r="C283" i="6"/>
  <c r="A283" i="6"/>
  <c r="I283" i="6"/>
  <c r="N283" i="6" s="1"/>
  <c r="D283" i="6"/>
  <c r="M283" i="6" s="1"/>
  <c r="B283" i="6"/>
  <c r="J497" i="6"/>
  <c r="E497" i="6"/>
  <c r="C497" i="6"/>
  <c r="A497" i="6"/>
  <c r="K497" i="6"/>
  <c r="I497" i="6"/>
  <c r="N497" i="6" s="1"/>
  <c r="D497" i="6"/>
  <c r="M497" i="6" s="1"/>
  <c r="B497" i="6"/>
  <c r="J465" i="6"/>
  <c r="E465" i="6"/>
  <c r="C465" i="6"/>
  <c r="A465" i="6"/>
  <c r="K465" i="6"/>
  <c r="I465" i="6"/>
  <c r="N465" i="6" s="1"/>
  <c r="D465" i="6"/>
  <c r="M465" i="6" s="1"/>
  <c r="B465" i="6"/>
  <c r="J433" i="6"/>
  <c r="E433" i="6"/>
  <c r="C433" i="6"/>
  <c r="A433" i="6"/>
  <c r="K433" i="6"/>
  <c r="I433" i="6"/>
  <c r="N433" i="6" s="1"/>
  <c r="D433" i="6"/>
  <c r="M433" i="6" s="1"/>
  <c r="B433" i="6"/>
  <c r="E401" i="6"/>
  <c r="C401" i="6"/>
  <c r="A401" i="6"/>
  <c r="I401" i="6"/>
  <c r="N401" i="6" s="1"/>
  <c r="D401" i="6"/>
  <c r="M401" i="6" s="1"/>
  <c r="B401" i="6"/>
  <c r="E369" i="6"/>
  <c r="C369" i="6"/>
  <c r="A369" i="6"/>
  <c r="I369" i="6"/>
  <c r="N369" i="6" s="1"/>
  <c r="D369" i="6"/>
  <c r="M369" i="6" s="1"/>
  <c r="B369" i="6"/>
  <c r="J337" i="6"/>
  <c r="E337" i="6"/>
  <c r="C337" i="6"/>
  <c r="A337" i="6"/>
  <c r="I337" i="6"/>
  <c r="N337" i="6" s="1"/>
  <c r="D337" i="6"/>
  <c r="M337" i="6" s="1"/>
  <c r="B337" i="6"/>
  <c r="E305" i="6"/>
  <c r="C305" i="6"/>
  <c r="A305" i="6"/>
  <c r="I305" i="6"/>
  <c r="N305" i="6" s="1"/>
  <c r="D305" i="6"/>
  <c r="M305" i="6" s="1"/>
  <c r="B305" i="6"/>
  <c r="E273" i="6"/>
  <c r="C273" i="6"/>
  <c r="A273" i="6"/>
  <c r="I273" i="6"/>
  <c r="N273" i="6" s="1"/>
  <c r="D273" i="6"/>
  <c r="M273" i="6" s="1"/>
  <c r="B273" i="6"/>
  <c r="E115" i="6"/>
  <c r="C115" i="6"/>
  <c r="A115" i="6"/>
  <c r="I115" i="6"/>
  <c r="N115" i="6" s="1"/>
  <c r="D115" i="6"/>
  <c r="M115" i="6" s="1"/>
  <c r="B115" i="6"/>
  <c r="E107" i="6"/>
  <c r="C107" i="6"/>
  <c r="A107" i="6"/>
  <c r="I107" i="6"/>
  <c r="N107" i="6" s="1"/>
  <c r="D107" i="6"/>
  <c r="M107" i="6" s="1"/>
  <c r="B107" i="6"/>
  <c r="E99" i="6"/>
  <c r="C99" i="6"/>
  <c r="A99" i="6"/>
  <c r="I99" i="6"/>
  <c r="N99" i="6" s="1"/>
  <c r="D99" i="6"/>
  <c r="M99" i="6" s="1"/>
  <c r="B99" i="6"/>
  <c r="E91" i="6"/>
  <c r="C91" i="6"/>
  <c r="A91" i="6"/>
  <c r="I91" i="6"/>
  <c r="N91" i="6" s="1"/>
  <c r="D91" i="6"/>
  <c r="M91" i="6" s="1"/>
  <c r="B91" i="6"/>
  <c r="E83" i="6"/>
  <c r="C83" i="6"/>
  <c r="A83" i="6"/>
  <c r="I83" i="6"/>
  <c r="N83" i="6" s="1"/>
  <c r="D83" i="6"/>
  <c r="M83" i="6" s="1"/>
  <c r="B83" i="6"/>
  <c r="E75" i="6"/>
  <c r="C75" i="6"/>
  <c r="A75" i="6"/>
  <c r="I75" i="6"/>
  <c r="N75" i="6" s="1"/>
  <c r="D75" i="6"/>
  <c r="M75" i="6" s="1"/>
  <c r="B75" i="6"/>
  <c r="E67" i="6"/>
  <c r="C67" i="6"/>
  <c r="A67" i="6"/>
  <c r="I67" i="6"/>
  <c r="N67" i="6" s="1"/>
  <c r="D67" i="6"/>
  <c r="M67" i="6" s="1"/>
  <c r="B67" i="6"/>
  <c r="E59" i="6"/>
  <c r="C59" i="6"/>
  <c r="A59" i="6"/>
  <c r="I59" i="6"/>
  <c r="N59" i="6" s="1"/>
  <c r="D59" i="6"/>
  <c r="M59" i="6" s="1"/>
  <c r="B59" i="6"/>
  <c r="E51" i="6"/>
  <c r="C51" i="6"/>
  <c r="A51" i="6"/>
  <c r="I51" i="6"/>
  <c r="N51" i="6" s="1"/>
  <c r="D51" i="6"/>
  <c r="M51" i="6" s="1"/>
  <c r="B51" i="6"/>
  <c r="E35" i="6"/>
  <c r="C35" i="6"/>
  <c r="A35" i="6"/>
  <c r="I35" i="6"/>
  <c r="N35" i="6" s="1"/>
  <c r="D35" i="6"/>
  <c r="M35" i="6" s="1"/>
  <c r="B35" i="6"/>
  <c r="E27" i="6"/>
  <c r="C27" i="6"/>
  <c r="A27" i="6"/>
  <c r="I27" i="6"/>
  <c r="N27" i="6" s="1"/>
  <c r="D27" i="6"/>
  <c r="M27" i="6" s="1"/>
  <c r="B27" i="6"/>
  <c r="E11" i="6"/>
  <c r="C11" i="6"/>
  <c r="A11" i="6"/>
  <c r="I11" i="6"/>
  <c r="N11" i="6" s="1"/>
  <c r="D11" i="6"/>
  <c r="M11" i="6" s="1"/>
  <c r="B11" i="6"/>
  <c r="J3" i="6"/>
  <c r="E3" i="6"/>
  <c r="C3" i="6"/>
  <c r="A3" i="6"/>
  <c r="K3" i="6"/>
  <c r="I3" i="6"/>
  <c r="N3" i="6" s="1"/>
  <c r="D3" i="6"/>
  <c r="M3" i="6" s="1"/>
  <c r="B3" i="6"/>
  <c r="E122" i="6"/>
  <c r="C122" i="6"/>
  <c r="A122" i="6"/>
  <c r="I122" i="6"/>
  <c r="N122" i="6" s="1"/>
  <c r="D122" i="6"/>
  <c r="M122" i="6" s="1"/>
  <c r="B122" i="6"/>
  <c r="E126" i="6"/>
  <c r="C126" i="6"/>
  <c r="A126" i="6"/>
  <c r="I126" i="6"/>
  <c r="N126" i="6" s="1"/>
  <c r="D126" i="6"/>
  <c r="M126" i="6" s="1"/>
  <c r="B126" i="6"/>
  <c r="E130" i="6"/>
  <c r="C130" i="6"/>
  <c r="A130" i="6"/>
  <c r="I130" i="6"/>
  <c r="N130" i="6" s="1"/>
  <c r="D130" i="6"/>
  <c r="M130" i="6" s="1"/>
  <c r="B130" i="6"/>
  <c r="E138" i="6"/>
  <c r="C138" i="6"/>
  <c r="A138" i="6"/>
  <c r="I138" i="6"/>
  <c r="N138" i="6" s="1"/>
  <c r="D138" i="6"/>
  <c r="M138" i="6" s="1"/>
  <c r="B138" i="6"/>
  <c r="E146" i="6"/>
  <c r="C146" i="6"/>
  <c r="A146" i="6"/>
  <c r="I146" i="6"/>
  <c r="N146" i="6" s="1"/>
  <c r="D146" i="6"/>
  <c r="M146" i="6" s="1"/>
  <c r="B146" i="6"/>
  <c r="J154" i="6"/>
  <c r="E154" i="6"/>
  <c r="C154" i="6"/>
  <c r="A154" i="6"/>
  <c r="K154" i="6"/>
  <c r="I154" i="6"/>
  <c r="N154" i="6" s="1"/>
  <c r="D154" i="6"/>
  <c r="M154" i="6" s="1"/>
  <c r="B154" i="6"/>
  <c r="E162" i="6"/>
  <c r="C162" i="6"/>
  <c r="A162" i="6"/>
  <c r="I162" i="6"/>
  <c r="N162" i="6" s="1"/>
  <c r="D162" i="6"/>
  <c r="M162" i="6" s="1"/>
  <c r="B162" i="6"/>
  <c r="E170" i="6"/>
  <c r="C170" i="6"/>
  <c r="A170" i="6"/>
  <c r="I170" i="6"/>
  <c r="N170" i="6" s="1"/>
  <c r="D170" i="6"/>
  <c r="M170" i="6" s="1"/>
  <c r="B170" i="6"/>
  <c r="E178" i="6"/>
  <c r="C178" i="6"/>
  <c r="A178" i="6"/>
  <c r="I178" i="6"/>
  <c r="N178" i="6" s="1"/>
  <c r="D178" i="6"/>
  <c r="M178" i="6" s="1"/>
  <c r="B178" i="6"/>
  <c r="J186" i="6"/>
  <c r="E186" i="6"/>
  <c r="C186" i="6"/>
  <c r="A186" i="6"/>
  <c r="K186" i="6"/>
  <c r="I186" i="6"/>
  <c r="N186" i="6" s="1"/>
  <c r="D186" i="6"/>
  <c r="M186" i="6" s="1"/>
  <c r="B186" i="6"/>
  <c r="E194" i="6"/>
  <c r="C194" i="6"/>
  <c r="A194" i="6"/>
  <c r="I194" i="6"/>
  <c r="N194" i="6" s="1"/>
  <c r="D194" i="6"/>
  <c r="M194" i="6" s="1"/>
  <c r="B194" i="6"/>
  <c r="E202" i="6"/>
  <c r="C202" i="6"/>
  <c r="A202" i="6"/>
  <c r="I202" i="6"/>
  <c r="N202" i="6" s="1"/>
  <c r="D202" i="6"/>
  <c r="M202" i="6" s="1"/>
  <c r="B202" i="6"/>
  <c r="E210" i="6"/>
  <c r="C210" i="6"/>
  <c r="A210" i="6"/>
  <c r="I210" i="6"/>
  <c r="N210" i="6" s="1"/>
  <c r="D210" i="6"/>
  <c r="M210" i="6" s="1"/>
  <c r="B210" i="6"/>
  <c r="J214" i="6"/>
  <c r="E214" i="6"/>
  <c r="C214" i="6"/>
  <c r="A214" i="6"/>
  <c r="K214" i="6"/>
  <c r="I214" i="6"/>
  <c r="N214" i="6" s="1"/>
  <c r="D214" i="6"/>
  <c r="M214" i="6" s="1"/>
  <c r="B214" i="6"/>
  <c r="E218" i="6"/>
  <c r="C218" i="6"/>
  <c r="A218" i="6"/>
  <c r="I218" i="6"/>
  <c r="N218" i="6" s="1"/>
  <c r="D218" i="6"/>
  <c r="M218" i="6" s="1"/>
  <c r="B218" i="6"/>
  <c r="J226" i="6"/>
  <c r="E226" i="6"/>
  <c r="C226" i="6"/>
  <c r="A226" i="6"/>
  <c r="K226" i="6"/>
  <c r="I226" i="6"/>
  <c r="N226" i="6" s="1"/>
  <c r="D226" i="6"/>
  <c r="M226" i="6" s="1"/>
  <c r="B226" i="6"/>
  <c r="E234" i="6"/>
  <c r="C234" i="6"/>
  <c r="A234" i="6"/>
  <c r="I234" i="6"/>
  <c r="N234" i="6" s="1"/>
  <c r="D234" i="6"/>
  <c r="M234" i="6" s="1"/>
  <c r="B234" i="6"/>
  <c r="E242" i="6"/>
  <c r="C242" i="6"/>
  <c r="A242" i="6"/>
  <c r="I242" i="6"/>
  <c r="N242" i="6" s="1"/>
  <c r="D242" i="6"/>
  <c r="M242" i="6" s="1"/>
  <c r="B242" i="6"/>
  <c r="E248" i="6"/>
  <c r="C248" i="6"/>
  <c r="A248" i="6"/>
  <c r="I248" i="6"/>
  <c r="N248" i="6" s="1"/>
  <c r="D248" i="6"/>
  <c r="M248" i="6" s="1"/>
  <c r="B248" i="6"/>
  <c r="E256" i="6"/>
  <c r="C256" i="6"/>
  <c r="A256" i="6"/>
  <c r="I256" i="6"/>
  <c r="N256" i="6" s="1"/>
  <c r="D256" i="6"/>
  <c r="M256" i="6" s="1"/>
  <c r="B256" i="6"/>
  <c r="E272" i="6"/>
  <c r="C272" i="6"/>
  <c r="A272" i="6"/>
  <c r="I272" i="6"/>
  <c r="N272" i="6" s="1"/>
  <c r="D272" i="6"/>
  <c r="M272" i="6" s="1"/>
  <c r="B272" i="6"/>
  <c r="E288" i="6"/>
  <c r="C288" i="6"/>
  <c r="A288" i="6"/>
  <c r="I288" i="6"/>
  <c r="N288" i="6" s="1"/>
  <c r="D288" i="6"/>
  <c r="M288" i="6" s="1"/>
  <c r="B288" i="6"/>
  <c r="J304" i="6"/>
  <c r="E304" i="6"/>
  <c r="C304" i="6"/>
  <c r="A304" i="6"/>
  <c r="K304" i="6"/>
  <c r="I304" i="6"/>
  <c r="N304" i="6" s="1"/>
  <c r="D304" i="6"/>
  <c r="M304" i="6" s="1"/>
  <c r="B304" i="6"/>
  <c r="J320" i="6"/>
  <c r="E320" i="6"/>
  <c r="C320" i="6"/>
  <c r="A320" i="6"/>
  <c r="K320" i="6"/>
  <c r="I320" i="6"/>
  <c r="N320" i="6" s="1"/>
  <c r="D320" i="6"/>
  <c r="M320" i="6" s="1"/>
  <c r="B320" i="6"/>
  <c r="J336" i="6"/>
  <c r="E336" i="6"/>
  <c r="C336" i="6"/>
  <c r="A336" i="6"/>
  <c r="K336" i="6"/>
  <c r="I336" i="6"/>
  <c r="N336" i="6" s="1"/>
  <c r="D336" i="6"/>
  <c r="M336" i="6" s="1"/>
  <c r="B336" i="6"/>
  <c r="J352" i="6"/>
  <c r="E352" i="6"/>
  <c r="C352" i="6"/>
  <c r="A352" i="6"/>
  <c r="K352" i="6"/>
  <c r="I352" i="6"/>
  <c r="N352" i="6" s="1"/>
  <c r="D352" i="6"/>
  <c r="M352" i="6" s="1"/>
  <c r="B352" i="6"/>
  <c r="E368" i="6"/>
  <c r="C368" i="6"/>
  <c r="A368" i="6"/>
  <c r="I368" i="6"/>
  <c r="N368" i="6" s="1"/>
  <c r="D368" i="6"/>
  <c r="M368" i="6" s="1"/>
  <c r="B368" i="6"/>
  <c r="E384" i="6"/>
  <c r="C384" i="6"/>
  <c r="A384" i="6"/>
  <c r="I384" i="6"/>
  <c r="N384" i="6" s="1"/>
  <c r="D384" i="6"/>
  <c r="M384" i="6" s="1"/>
  <c r="B384" i="6"/>
  <c r="J400" i="6"/>
  <c r="E400" i="6"/>
  <c r="C400" i="6"/>
  <c r="A400" i="6"/>
  <c r="K400" i="6"/>
  <c r="I400" i="6"/>
  <c r="N400" i="6" s="1"/>
  <c r="D400" i="6"/>
  <c r="M400" i="6" s="1"/>
  <c r="B400" i="6"/>
  <c r="E416" i="6"/>
  <c r="C416" i="6"/>
  <c r="A416" i="6"/>
  <c r="I416" i="6"/>
  <c r="N416" i="6" s="1"/>
  <c r="D416" i="6"/>
  <c r="M416" i="6" s="1"/>
  <c r="B416" i="6"/>
  <c r="J432" i="6"/>
  <c r="E432" i="6"/>
  <c r="C432" i="6"/>
  <c r="A432" i="6"/>
  <c r="I432" i="6"/>
  <c r="N432" i="6" s="1"/>
  <c r="D432" i="6"/>
  <c r="M432" i="6" s="1"/>
  <c r="B432" i="6"/>
  <c r="J448" i="6"/>
  <c r="E448" i="6"/>
  <c r="C448" i="6"/>
  <c r="A448" i="6"/>
  <c r="K448" i="6"/>
  <c r="I448" i="6"/>
  <c r="N448" i="6" s="1"/>
  <c r="D448" i="6"/>
  <c r="M448" i="6" s="1"/>
  <c r="B448" i="6"/>
  <c r="J464" i="6"/>
  <c r="E464" i="6"/>
  <c r="C464" i="6"/>
  <c r="A464" i="6"/>
  <c r="K464" i="6"/>
  <c r="I464" i="6"/>
  <c r="N464" i="6" s="1"/>
  <c r="D464" i="6"/>
  <c r="M464" i="6" s="1"/>
  <c r="B464" i="6"/>
  <c r="J480" i="6"/>
  <c r="E480" i="6"/>
  <c r="C480" i="6"/>
  <c r="A480" i="6"/>
  <c r="K480" i="6"/>
  <c r="I480" i="6"/>
  <c r="N480" i="6" s="1"/>
  <c r="D480" i="6"/>
  <c r="M480" i="6" s="1"/>
  <c r="B480" i="6"/>
  <c r="J496" i="6"/>
  <c r="E496" i="6"/>
  <c r="C496" i="6"/>
  <c r="A496" i="6"/>
  <c r="K496" i="6"/>
  <c r="I496" i="6"/>
  <c r="N496" i="6" s="1"/>
  <c r="D496" i="6"/>
  <c r="M496" i="6" s="1"/>
  <c r="B496" i="6"/>
  <c r="J439" i="6"/>
  <c r="E439" i="6"/>
  <c r="C439" i="6"/>
  <c r="A439" i="6"/>
  <c r="I439" i="6"/>
  <c r="N439" i="6" s="1"/>
  <c r="D439" i="6"/>
  <c r="M439" i="6" s="1"/>
  <c r="B439" i="6"/>
  <c r="J375" i="6"/>
  <c r="E375" i="6"/>
  <c r="C375" i="6"/>
  <c r="A375" i="6"/>
  <c r="K375" i="6"/>
  <c r="I375" i="6"/>
  <c r="N375" i="6" s="1"/>
  <c r="D375" i="6"/>
  <c r="M375" i="6" s="1"/>
  <c r="B375" i="6"/>
  <c r="E311" i="6"/>
  <c r="C311" i="6"/>
  <c r="A311" i="6"/>
  <c r="I311" i="6"/>
  <c r="N311" i="6" s="1"/>
  <c r="D311" i="6"/>
  <c r="M311" i="6" s="1"/>
  <c r="B311" i="6"/>
  <c r="E247" i="6"/>
  <c r="C247" i="6"/>
  <c r="A247" i="6"/>
  <c r="I247" i="6"/>
  <c r="N247" i="6" s="1"/>
  <c r="D247" i="6"/>
  <c r="M247" i="6" s="1"/>
  <c r="B247" i="6"/>
  <c r="J435" i="6"/>
  <c r="E435" i="6"/>
  <c r="C435" i="6"/>
  <c r="A435" i="6"/>
  <c r="K435" i="6"/>
  <c r="I435" i="6"/>
  <c r="N435" i="6" s="1"/>
  <c r="D435" i="6"/>
  <c r="M435" i="6" s="1"/>
  <c r="B435" i="6"/>
  <c r="E371" i="6"/>
  <c r="C371" i="6"/>
  <c r="A371" i="6"/>
  <c r="I371" i="6"/>
  <c r="N371" i="6" s="1"/>
  <c r="D371" i="6"/>
  <c r="M371" i="6" s="1"/>
  <c r="B371" i="6"/>
  <c r="J307" i="6"/>
  <c r="E307" i="6"/>
  <c r="C307" i="6"/>
  <c r="A307" i="6"/>
  <c r="K307" i="6"/>
  <c r="I307" i="6"/>
  <c r="N307" i="6" s="1"/>
  <c r="D307" i="6"/>
  <c r="M307" i="6" s="1"/>
  <c r="B307" i="6"/>
  <c r="J499" i="6"/>
  <c r="E499" i="6"/>
  <c r="C499" i="6"/>
  <c r="A499" i="6"/>
  <c r="K499" i="6"/>
  <c r="I499" i="6"/>
  <c r="N499" i="6" s="1"/>
  <c r="D499" i="6"/>
  <c r="M499" i="6" s="1"/>
  <c r="B499" i="6"/>
  <c r="J477" i="6"/>
  <c r="E477" i="6"/>
  <c r="C477" i="6"/>
  <c r="A477" i="6"/>
  <c r="K477" i="6"/>
  <c r="I477" i="6"/>
  <c r="N477" i="6" s="1"/>
  <c r="D477" i="6"/>
  <c r="M477" i="6" s="1"/>
  <c r="B477" i="6"/>
  <c r="J445" i="6"/>
  <c r="E445" i="6"/>
  <c r="C445" i="6"/>
  <c r="A445" i="6"/>
  <c r="K445" i="6"/>
  <c r="I445" i="6"/>
  <c r="N445" i="6" s="1"/>
  <c r="D445" i="6"/>
  <c r="M445" i="6" s="1"/>
  <c r="B445" i="6"/>
  <c r="J413" i="6"/>
  <c r="E413" i="6"/>
  <c r="C413" i="6"/>
  <c r="A413" i="6"/>
  <c r="K413" i="6"/>
  <c r="I413" i="6"/>
  <c r="N413" i="6" s="1"/>
  <c r="D413" i="6"/>
  <c r="M413" i="6" s="1"/>
  <c r="B413" i="6"/>
  <c r="E381" i="6"/>
  <c r="C381" i="6"/>
  <c r="A381" i="6"/>
  <c r="I381" i="6"/>
  <c r="N381" i="6" s="1"/>
  <c r="D381" i="6"/>
  <c r="M381" i="6" s="1"/>
  <c r="B381" i="6"/>
  <c r="E349" i="6"/>
  <c r="C349" i="6"/>
  <c r="A349" i="6"/>
  <c r="I349" i="6"/>
  <c r="N349" i="6" s="1"/>
  <c r="D349" i="6"/>
  <c r="M349" i="6" s="1"/>
  <c r="B349" i="6"/>
  <c r="E317" i="6"/>
  <c r="C317" i="6"/>
  <c r="A317" i="6"/>
  <c r="I317" i="6"/>
  <c r="N317" i="6" s="1"/>
  <c r="D317" i="6"/>
  <c r="M317" i="6" s="1"/>
  <c r="B317" i="6"/>
  <c r="E285" i="6"/>
  <c r="C285" i="6"/>
  <c r="A285" i="6"/>
  <c r="I285" i="6"/>
  <c r="N285" i="6" s="1"/>
  <c r="D285" i="6"/>
  <c r="M285" i="6" s="1"/>
  <c r="B285" i="6"/>
  <c r="E114" i="6"/>
  <c r="C114" i="6"/>
  <c r="A114" i="6"/>
  <c r="I114" i="6"/>
  <c r="N114" i="6" s="1"/>
  <c r="D114" i="6"/>
  <c r="M114" i="6" s="1"/>
  <c r="B114" i="6"/>
  <c r="J110" i="6"/>
  <c r="E110" i="6"/>
  <c r="C110" i="6"/>
  <c r="A110" i="6"/>
  <c r="K110" i="6"/>
  <c r="I110" i="6"/>
  <c r="N110" i="6" s="1"/>
  <c r="D110" i="6"/>
  <c r="M110" i="6" s="1"/>
  <c r="B110" i="6"/>
  <c r="E94" i="6"/>
  <c r="C94" i="6"/>
  <c r="A94" i="6"/>
  <c r="I94" i="6"/>
  <c r="N94" i="6" s="1"/>
  <c r="D94" i="6"/>
  <c r="M94" i="6" s="1"/>
  <c r="B94" i="6"/>
  <c r="E86" i="6"/>
  <c r="C86" i="6"/>
  <c r="A86" i="6"/>
  <c r="I86" i="6"/>
  <c r="N86" i="6" s="1"/>
  <c r="D86" i="6"/>
  <c r="M86" i="6" s="1"/>
  <c r="B86" i="6"/>
  <c r="E78" i="6"/>
  <c r="C78" i="6"/>
  <c r="A78" i="6"/>
  <c r="I78" i="6"/>
  <c r="N78" i="6" s="1"/>
  <c r="D78" i="6"/>
  <c r="M78" i="6" s="1"/>
  <c r="B78" i="6"/>
  <c r="E70" i="6"/>
  <c r="C70" i="6"/>
  <c r="A70" i="6"/>
  <c r="I70" i="6"/>
  <c r="N70" i="6" s="1"/>
  <c r="D70" i="6"/>
  <c r="M70" i="6" s="1"/>
  <c r="B70" i="6"/>
  <c r="E62" i="6"/>
  <c r="C62" i="6"/>
  <c r="A62" i="6"/>
  <c r="I62" i="6"/>
  <c r="N62" i="6" s="1"/>
  <c r="D62" i="6"/>
  <c r="M62" i="6" s="1"/>
  <c r="B62" i="6"/>
  <c r="E46" i="6"/>
  <c r="C46" i="6"/>
  <c r="A46" i="6"/>
  <c r="I46" i="6"/>
  <c r="N46" i="6" s="1"/>
  <c r="D46" i="6"/>
  <c r="M46" i="6" s="1"/>
  <c r="B46" i="6"/>
  <c r="E38" i="6"/>
  <c r="C38" i="6"/>
  <c r="A38" i="6"/>
  <c r="I38" i="6"/>
  <c r="N38" i="6" s="1"/>
  <c r="D38" i="6"/>
  <c r="M38" i="6" s="1"/>
  <c r="B38" i="6"/>
  <c r="E30" i="6"/>
  <c r="C30" i="6"/>
  <c r="A30" i="6"/>
  <c r="I30" i="6"/>
  <c r="N30" i="6" s="1"/>
  <c r="D30" i="6"/>
  <c r="M30" i="6" s="1"/>
  <c r="B30" i="6"/>
  <c r="E22" i="6"/>
  <c r="C22" i="6"/>
  <c r="A22" i="6"/>
  <c r="I22" i="6"/>
  <c r="N22" i="6" s="1"/>
  <c r="D22" i="6"/>
  <c r="M22" i="6" s="1"/>
  <c r="B22" i="6"/>
  <c r="E6" i="6"/>
  <c r="C6" i="6"/>
  <c r="A6" i="6"/>
  <c r="I6" i="6"/>
  <c r="N6" i="6" s="1"/>
  <c r="D6" i="6"/>
  <c r="M6" i="6" s="1"/>
  <c r="B6" i="6"/>
  <c r="E119" i="6"/>
  <c r="C119" i="6"/>
  <c r="A119" i="6"/>
  <c r="I119" i="6"/>
  <c r="N119" i="6" s="1"/>
  <c r="D119" i="6"/>
  <c r="M119" i="6" s="1"/>
  <c r="B119" i="6"/>
  <c r="J131" i="6"/>
  <c r="E131" i="6"/>
  <c r="C131" i="6"/>
  <c r="A131" i="6"/>
  <c r="K131" i="6"/>
  <c r="I131" i="6"/>
  <c r="N131" i="6" s="1"/>
  <c r="D131" i="6"/>
  <c r="M131" i="6" s="1"/>
  <c r="B131" i="6"/>
  <c r="E139" i="6"/>
  <c r="C139" i="6"/>
  <c r="A139" i="6"/>
  <c r="I139" i="6"/>
  <c r="N139" i="6" s="1"/>
  <c r="D139" i="6"/>
  <c r="M139" i="6" s="1"/>
  <c r="B139" i="6"/>
  <c r="E147" i="6"/>
  <c r="C147" i="6"/>
  <c r="A147" i="6"/>
  <c r="I147" i="6"/>
  <c r="N147" i="6" s="1"/>
  <c r="D147" i="6"/>
  <c r="M147" i="6" s="1"/>
  <c r="B147" i="6"/>
  <c r="J163" i="6"/>
  <c r="E163" i="6"/>
  <c r="C163" i="6"/>
  <c r="A163" i="6"/>
  <c r="K163" i="6"/>
  <c r="I163" i="6"/>
  <c r="N163" i="6" s="1"/>
  <c r="D163" i="6"/>
  <c r="M163" i="6" s="1"/>
  <c r="B163" i="6"/>
  <c r="E175" i="6"/>
  <c r="C175" i="6"/>
  <c r="A175" i="6"/>
  <c r="I175" i="6"/>
  <c r="N175" i="6" s="1"/>
  <c r="D175" i="6"/>
  <c r="M175" i="6" s="1"/>
  <c r="B175" i="6"/>
  <c r="E179" i="6"/>
  <c r="C179" i="6"/>
  <c r="A179" i="6"/>
  <c r="I179" i="6"/>
  <c r="N179" i="6" s="1"/>
  <c r="D179" i="6"/>
  <c r="M179" i="6" s="1"/>
  <c r="B179" i="6"/>
  <c r="E187" i="6"/>
  <c r="C187" i="6"/>
  <c r="A187" i="6"/>
  <c r="I187" i="6"/>
  <c r="N187" i="6" s="1"/>
  <c r="D187" i="6"/>
  <c r="M187" i="6" s="1"/>
  <c r="B187" i="6"/>
  <c r="E195" i="6"/>
  <c r="C195" i="6"/>
  <c r="A195" i="6"/>
  <c r="I195" i="6"/>
  <c r="N195" i="6" s="1"/>
  <c r="D195" i="6"/>
  <c r="M195" i="6" s="1"/>
  <c r="B195" i="6"/>
  <c r="J203" i="6"/>
  <c r="E203" i="6"/>
  <c r="C203" i="6"/>
  <c r="A203" i="6"/>
  <c r="K203" i="6"/>
  <c r="I203" i="6"/>
  <c r="N203" i="6" s="1"/>
  <c r="D203" i="6"/>
  <c r="M203" i="6" s="1"/>
  <c r="B203" i="6"/>
  <c r="E235" i="6"/>
  <c r="C235" i="6"/>
  <c r="A235" i="6"/>
  <c r="I235" i="6"/>
  <c r="N235" i="6" s="1"/>
  <c r="D235" i="6"/>
  <c r="M235" i="6" s="1"/>
  <c r="B235" i="6"/>
  <c r="E243" i="6"/>
  <c r="C243" i="6"/>
  <c r="A243" i="6"/>
  <c r="I243" i="6"/>
  <c r="N243" i="6" s="1"/>
  <c r="D243" i="6"/>
  <c r="M243" i="6" s="1"/>
  <c r="B243" i="6"/>
  <c r="E258" i="6"/>
  <c r="C258" i="6"/>
  <c r="A258" i="6"/>
  <c r="I258" i="6"/>
  <c r="N258" i="6" s="1"/>
  <c r="D258" i="6"/>
  <c r="M258" i="6" s="1"/>
  <c r="B258" i="6"/>
  <c r="J274" i="6"/>
  <c r="E274" i="6"/>
  <c r="C274" i="6"/>
  <c r="A274" i="6"/>
  <c r="K274" i="6"/>
  <c r="I274" i="6"/>
  <c r="N274" i="6" s="1"/>
  <c r="D274" i="6"/>
  <c r="M274" i="6" s="1"/>
  <c r="B274" i="6"/>
  <c r="J290" i="6"/>
  <c r="E290" i="6"/>
  <c r="C290" i="6"/>
  <c r="A290" i="6"/>
  <c r="K290" i="6"/>
  <c r="I290" i="6"/>
  <c r="N290" i="6" s="1"/>
  <c r="D290" i="6"/>
  <c r="M290" i="6" s="1"/>
  <c r="B290" i="6"/>
  <c r="J306" i="6"/>
  <c r="E306" i="6"/>
  <c r="C306" i="6"/>
  <c r="A306" i="6"/>
  <c r="K306" i="6"/>
  <c r="I306" i="6"/>
  <c r="N306" i="6" s="1"/>
  <c r="D306" i="6"/>
  <c r="M306" i="6" s="1"/>
  <c r="B306" i="6"/>
  <c r="E322" i="6"/>
  <c r="C322" i="6"/>
  <c r="A322" i="6"/>
  <c r="I322" i="6"/>
  <c r="N322" i="6" s="1"/>
  <c r="D322" i="6"/>
  <c r="M322" i="6" s="1"/>
  <c r="B322" i="6"/>
  <c r="J338" i="6"/>
  <c r="E338" i="6"/>
  <c r="C338" i="6"/>
  <c r="A338" i="6"/>
  <c r="K338" i="6"/>
  <c r="I338" i="6"/>
  <c r="N338" i="6" s="1"/>
  <c r="D338" i="6"/>
  <c r="M338" i="6" s="1"/>
  <c r="B338" i="6"/>
  <c r="E354" i="6"/>
  <c r="C354" i="6"/>
  <c r="A354" i="6"/>
  <c r="I354" i="6"/>
  <c r="N354" i="6" s="1"/>
  <c r="D354" i="6"/>
  <c r="M354" i="6" s="1"/>
  <c r="B354" i="6"/>
  <c r="J370" i="6"/>
  <c r="E370" i="6"/>
  <c r="C370" i="6"/>
  <c r="A370" i="6"/>
  <c r="K370" i="6"/>
  <c r="I370" i="6"/>
  <c r="N370" i="6" s="1"/>
  <c r="D370" i="6"/>
  <c r="M370" i="6" s="1"/>
  <c r="B370" i="6"/>
  <c r="J386" i="6"/>
  <c r="E386" i="6"/>
  <c r="C386" i="6"/>
  <c r="A386" i="6"/>
  <c r="K386" i="6"/>
  <c r="I386" i="6"/>
  <c r="N386" i="6" s="1"/>
  <c r="D386" i="6"/>
  <c r="M386" i="6" s="1"/>
  <c r="B386" i="6"/>
  <c r="J402" i="6"/>
  <c r="E402" i="6"/>
  <c r="C402" i="6"/>
  <c r="A402" i="6"/>
  <c r="K402" i="6"/>
  <c r="I402" i="6"/>
  <c r="N402" i="6" s="1"/>
  <c r="D402" i="6"/>
  <c r="M402" i="6" s="1"/>
  <c r="B402" i="6"/>
  <c r="E418" i="6"/>
  <c r="C418" i="6"/>
  <c r="A418" i="6"/>
  <c r="I418" i="6"/>
  <c r="N418" i="6" s="1"/>
  <c r="D418" i="6"/>
  <c r="M418" i="6" s="1"/>
  <c r="B418" i="6"/>
  <c r="J434" i="6"/>
  <c r="E434" i="6"/>
  <c r="C434" i="6"/>
  <c r="A434" i="6"/>
  <c r="K434" i="6"/>
  <c r="I434" i="6"/>
  <c r="N434" i="6" s="1"/>
  <c r="D434" i="6"/>
  <c r="M434" i="6" s="1"/>
  <c r="B434" i="6"/>
  <c r="E450" i="6"/>
  <c r="C450" i="6"/>
  <c r="A450" i="6"/>
  <c r="I450" i="6"/>
  <c r="N450" i="6" s="1"/>
  <c r="D450" i="6"/>
  <c r="M450" i="6" s="1"/>
  <c r="B450" i="6"/>
  <c r="J466" i="6"/>
  <c r="E466" i="6"/>
  <c r="C466" i="6"/>
  <c r="A466" i="6"/>
  <c r="K466" i="6"/>
  <c r="I466" i="6"/>
  <c r="N466" i="6" s="1"/>
  <c r="D466" i="6"/>
  <c r="M466" i="6" s="1"/>
  <c r="B466" i="6"/>
  <c r="J482" i="6"/>
  <c r="E482" i="6"/>
  <c r="C482" i="6"/>
  <c r="A482" i="6"/>
  <c r="K482" i="6"/>
  <c r="I482" i="6"/>
  <c r="N482" i="6" s="1"/>
  <c r="D482" i="6"/>
  <c r="M482" i="6" s="1"/>
  <c r="B482" i="6"/>
  <c r="J498" i="6"/>
  <c r="E498" i="6"/>
  <c r="C498" i="6"/>
  <c r="A498" i="6"/>
  <c r="K498" i="6"/>
  <c r="I498" i="6"/>
  <c r="N498" i="6" s="1"/>
  <c r="D498" i="6"/>
  <c r="M498" i="6" s="1"/>
  <c r="B498" i="6"/>
  <c r="J431" i="6"/>
  <c r="E431" i="6"/>
  <c r="C431" i="6"/>
  <c r="A431" i="6"/>
  <c r="K431" i="6"/>
  <c r="I431" i="6"/>
  <c r="N431" i="6" s="1"/>
  <c r="D431" i="6"/>
  <c r="M431" i="6" s="1"/>
  <c r="B431" i="6"/>
  <c r="E367" i="6"/>
  <c r="C367" i="6"/>
  <c r="A367" i="6"/>
  <c r="I367" i="6"/>
  <c r="N367" i="6" s="1"/>
  <c r="D367" i="6"/>
  <c r="M367" i="6" s="1"/>
  <c r="B367" i="6"/>
  <c r="E303" i="6"/>
  <c r="C303" i="6"/>
  <c r="A303" i="6"/>
  <c r="I303" i="6"/>
  <c r="N303" i="6" s="1"/>
  <c r="D303" i="6"/>
  <c r="M303" i="6" s="1"/>
  <c r="B303" i="6"/>
  <c r="J491" i="6"/>
  <c r="E491" i="6"/>
  <c r="C491" i="6"/>
  <c r="A491" i="6"/>
  <c r="K491" i="6"/>
  <c r="I491" i="6"/>
  <c r="N491" i="6" s="1"/>
  <c r="D491" i="6"/>
  <c r="M491" i="6" s="1"/>
  <c r="B491" i="6"/>
  <c r="E427" i="6"/>
  <c r="C427" i="6"/>
  <c r="A427" i="6"/>
  <c r="I427" i="6"/>
  <c r="N427" i="6" s="1"/>
  <c r="D427" i="6"/>
  <c r="M427" i="6" s="1"/>
  <c r="B427" i="6"/>
  <c r="E363" i="6"/>
  <c r="C363" i="6"/>
  <c r="A363" i="6"/>
  <c r="I363" i="6"/>
  <c r="N363" i="6" s="1"/>
  <c r="D363" i="6"/>
  <c r="M363" i="6" s="1"/>
  <c r="B363" i="6"/>
  <c r="E299" i="6"/>
  <c r="C299" i="6"/>
  <c r="A299" i="6"/>
  <c r="I299" i="6"/>
  <c r="N299" i="6" s="1"/>
  <c r="D299" i="6"/>
  <c r="M299" i="6" s="1"/>
  <c r="B299" i="6"/>
  <c r="J500" i="6"/>
  <c r="E500" i="6"/>
  <c r="C500" i="6"/>
  <c r="A500" i="6"/>
  <c r="K500" i="6"/>
  <c r="I500" i="6"/>
  <c r="N500" i="6" s="1"/>
  <c r="D500" i="6"/>
  <c r="M500" i="6" s="1"/>
  <c r="B500" i="6"/>
  <c r="J473" i="6"/>
  <c r="E473" i="6"/>
  <c r="C473" i="6"/>
  <c r="A473" i="6"/>
  <c r="K473" i="6"/>
  <c r="I473" i="6"/>
  <c r="N473" i="6" s="1"/>
  <c r="D473" i="6"/>
  <c r="M473" i="6" s="1"/>
  <c r="B473" i="6"/>
  <c r="J441" i="6"/>
  <c r="E441" i="6"/>
  <c r="C441" i="6"/>
  <c r="A441" i="6"/>
  <c r="K441" i="6"/>
  <c r="I441" i="6"/>
  <c r="N441" i="6" s="1"/>
  <c r="D441" i="6"/>
  <c r="M441" i="6" s="1"/>
  <c r="B441" i="6"/>
  <c r="E409" i="6"/>
  <c r="C409" i="6"/>
  <c r="A409" i="6"/>
  <c r="I409" i="6"/>
  <c r="N409" i="6" s="1"/>
  <c r="D409" i="6"/>
  <c r="M409" i="6" s="1"/>
  <c r="B409" i="6"/>
  <c r="E377" i="6"/>
  <c r="C377" i="6"/>
  <c r="A377" i="6"/>
  <c r="I377" i="6"/>
  <c r="N377" i="6" s="1"/>
  <c r="D377" i="6"/>
  <c r="M377" i="6" s="1"/>
  <c r="B377" i="6"/>
  <c r="E345" i="6"/>
  <c r="C345" i="6"/>
  <c r="A345" i="6"/>
  <c r="I345" i="6"/>
  <c r="N345" i="6" s="1"/>
  <c r="D345" i="6"/>
  <c r="M345" i="6" s="1"/>
  <c r="B345" i="6"/>
  <c r="J313" i="6"/>
  <c r="E313" i="6"/>
  <c r="C313" i="6"/>
  <c r="A313" i="6"/>
  <c r="K313" i="6"/>
  <c r="I313" i="6"/>
  <c r="N313" i="6" s="1"/>
  <c r="D313" i="6"/>
  <c r="M313" i="6" s="1"/>
  <c r="B313" i="6"/>
  <c r="J281" i="6"/>
  <c r="E281" i="6"/>
  <c r="C281" i="6"/>
  <c r="A281" i="6"/>
  <c r="K281" i="6"/>
  <c r="I281" i="6"/>
  <c r="N281" i="6" s="1"/>
  <c r="D281" i="6"/>
  <c r="M281" i="6" s="1"/>
  <c r="B281" i="6"/>
  <c r="E249" i="6"/>
  <c r="C249" i="6"/>
  <c r="A249" i="6"/>
  <c r="I249" i="6"/>
  <c r="N249" i="6" s="1"/>
  <c r="D249" i="6"/>
  <c r="M249" i="6" s="1"/>
  <c r="B249" i="6"/>
  <c r="J101" i="6"/>
  <c r="E101" i="6"/>
  <c r="C101" i="6"/>
  <c r="A101" i="6"/>
  <c r="K101" i="6"/>
  <c r="I101" i="6"/>
  <c r="N101" i="6" s="1"/>
  <c r="D101" i="6"/>
  <c r="M101" i="6" s="1"/>
  <c r="B101" i="6"/>
  <c r="E93" i="6"/>
  <c r="C93" i="6"/>
  <c r="A93" i="6"/>
  <c r="I93" i="6"/>
  <c r="N93" i="6" s="1"/>
  <c r="D93" i="6"/>
  <c r="M93" i="6" s="1"/>
  <c r="B93" i="6"/>
  <c r="E85" i="6"/>
  <c r="C85" i="6"/>
  <c r="A85" i="6"/>
  <c r="I85" i="6"/>
  <c r="N85" i="6" s="1"/>
  <c r="D85" i="6"/>
  <c r="M85" i="6" s="1"/>
  <c r="B85" i="6"/>
  <c r="E77" i="6"/>
  <c r="C77" i="6"/>
  <c r="A77" i="6"/>
  <c r="I77" i="6"/>
  <c r="N77" i="6" s="1"/>
  <c r="D77" i="6"/>
  <c r="M77" i="6" s="1"/>
  <c r="B77" i="6"/>
  <c r="E69" i="6"/>
  <c r="C69" i="6"/>
  <c r="A69" i="6"/>
  <c r="I69" i="6"/>
  <c r="N69" i="6" s="1"/>
  <c r="D69" i="6"/>
  <c r="M69" i="6" s="1"/>
  <c r="B69" i="6"/>
  <c r="E61" i="6"/>
  <c r="C61" i="6"/>
  <c r="A61" i="6"/>
  <c r="I61" i="6"/>
  <c r="N61" i="6" s="1"/>
  <c r="D61" i="6"/>
  <c r="M61" i="6" s="1"/>
  <c r="B61" i="6"/>
  <c r="E53" i="6"/>
  <c r="C53" i="6"/>
  <c r="A53" i="6"/>
  <c r="I53" i="6"/>
  <c r="N53" i="6" s="1"/>
  <c r="D53" i="6"/>
  <c r="M53" i="6" s="1"/>
  <c r="B53" i="6"/>
  <c r="E45" i="6"/>
  <c r="C45" i="6"/>
  <c r="A45" i="6"/>
  <c r="I45" i="6"/>
  <c r="N45" i="6" s="1"/>
  <c r="D45" i="6"/>
  <c r="M45" i="6" s="1"/>
  <c r="B45" i="6"/>
  <c r="J37" i="6"/>
  <c r="E37" i="6"/>
  <c r="C37" i="6"/>
  <c r="A37" i="6"/>
  <c r="K37" i="6"/>
  <c r="I37" i="6"/>
  <c r="N37" i="6" s="1"/>
  <c r="D37" i="6"/>
  <c r="M37" i="6" s="1"/>
  <c r="B37" i="6"/>
  <c r="E29" i="6"/>
  <c r="C29" i="6"/>
  <c r="A29" i="6"/>
  <c r="I29" i="6"/>
  <c r="N29" i="6" s="1"/>
  <c r="D29" i="6"/>
  <c r="M29" i="6" s="1"/>
  <c r="B29" i="6"/>
  <c r="E21" i="6"/>
  <c r="C21" i="6"/>
  <c r="A21" i="6"/>
  <c r="I21" i="6"/>
  <c r="N21" i="6" s="1"/>
  <c r="D21" i="6"/>
  <c r="M21" i="6" s="1"/>
  <c r="B21" i="6"/>
  <c r="E17" i="6"/>
  <c r="C17" i="6"/>
  <c r="A17" i="6"/>
  <c r="I17" i="6"/>
  <c r="N17" i="6" s="1"/>
  <c r="D17" i="6"/>
  <c r="M17" i="6" s="1"/>
  <c r="B17" i="6"/>
  <c r="E13" i="6"/>
  <c r="C13" i="6"/>
  <c r="A13" i="6"/>
  <c r="I13" i="6"/>
  <c r="N13" i="6" s="1"/>
  <c r="D13" i="6"/>
  <c r="M13" i="6" s="1"/>
  <c r="B13" i="6"/>
  <c r="E5" i="6"/>
  <c r="C5" i="6"/>
  <c r="A5" i="6"/>
  <c r="I5" i="6"/>
  <c r="N5" i="6" s="1"/>
  <c r="D5" i="6"/>
  <c r="M5" i="6" s="1"/>
  <c r="B5" i="6"/>
  <c r="E120" i="6"/>
  <c r="C120" i="6"/>
  <c r="A120" i="6"/>
  <c r="I120" i="6"/>
  <c r="N120" i="6" s="1"/>
  <c r="D120" i="6"/>
  <c r="M120" i="6" s="1"/>
  <c r="B120" i="6"/>
  <c r="E128" i="6"/>
  <c r="C128" i="6"/>
  <c r="A128" i="6"/>
  <c r="I128" i="6"/>
  <c r="N128" i="6" s="1"/>
  <c r="D128" i="6"/>
  <c r="M128" i="6" s="1"/>
  <c r="B128" i="6"/>
  <c r="E136" i="6"/>
  <c r="C136" i="6"/>
  <c r="A136" i="6"/>
  <c r="I136" i="6"/>
  <c r="N136" i="6" s="1"/>
  <c r="D136" i="6"/>
  <c r="M136" i="6" s="1"/>
  <c r="B136" i="6"/>
  <c r="E144" i="6"/>
  <c r="C144" i="6"/>
  <c r="A144" i="6"/>
  <c r="I144" i="6"/>
  <c r="N144" i="6" s="1"/>
  <c r="D144" i="6"/>
  <c r="M144" i="6" s="1"/>
  <c r="B144" i="6"/>
  <c r="E168" i="6"/>
  <c r="C168" i="6"/>
  <c r="A168" i="6"/>
  <c r="I168" i="6"/>
  <c r="N168" i="6" s="1"/>
  <c r="D168" i="6"/>
  <c r="M168" i="6" s="1"/>
  <c r="B168" i="6"/>
  <c r="E176" i="6"/>
  <c r="C176" i="6"/>
  <c r="A176" i="6"/>
  <c r="I176" i="6"/>
  <c r="N176" i="6" s="1"/>
  <c r="D176" i="6"/>
  <c r="M176" i="6" s="1"/>
  <c r="B176" i="6"/>
  <c r="E184" i="6"/>
  <c r="C184" i="6"/>
  <c r="A184" i="6"/>
  <c r="I184" i="6"/>
  <c r="N184" i="6" s="1"/>
  <c r="D184" i="6"/>
  <c r="M184" i="6" s="1"/>
  <c r="B184" i="6"/>
  <c r="J192" i="6"/>
  <c r="E192" i="6"/>
  <c r="C192" i="6"/>
  <c r="A192" i="6"/>
  <c r="K192" i="6"/>
  <c r="I192" i="6"/>
  <c r="N192" i="6" s="1"/>
  <c r="D192" i="6"/>
  <c r="M192" i="6" s="1"/>
  <c r="B192" i="6"/>
  <c r="E200" i="6"/>
  <c r="C200" i="6"/>
  <c r="A200" i="6"/>
  <c r="I200" i="6"/>
  <c r="N200" i="6" s="1"/>
  <c r="D200" i="6"/>
  <c r="M200" i="6" s="1"/>
  <c r="B200" i="6"/>
  <c r="E204" i="6"/>
  <c r="C204" i="6"/>
  <c r="A204" i="6"/>
  <c r="I204" i="6"/>
  <c r="N204" i="6" s="1"/>
  <c r="D204" i="6"/>
  <c r="M204" i="6" s="1"/>
  <c r="B204" i="6"/>
  <c r="E208" i="6"/>
  <c r="C208" i="6"/>
  <c r="A208" i="6"/>
  <c r="I208" i="6"/>
  <c r="N208" i="6" s="1"/>
  <c r="D208" i="6"/>
  <c r="M208" i="6" s="1"/>
  <c r="B208" i="6"/>
  <c r="E216" i="6"/>
  <c r="C216" i="6"/>
  <c r="A216" i="6"/>
  <c r="I216" i="6"/>
  <c r="N216" i="6" s="1"/>
  <c r="D216" i="6"/>
  <c r="M216" i="6" s="1"/>
  <c r="B216" i="6"/>
  <c r="J224" i="6"/>
  <c r="E224" i="6"/>
  <c r="C224" i="6"/>
  <c r="A224" i="6"/>
  <c r="K224" i="6"/>
  <c r="I224" i="6"/>
  <c r="N224" i="6" s="1"/>
  <c r="D224" i="6"/>
  <c r="M224" i="6" s="1"/>
  <c r="B224" i="6"/>
  <c r="J240" i="6"/>
  <c r="E240" i="6"/>
  <c r="C240" i="6"/>
  <c r="A240" i="6"/>
  <c r="K240" i="6"/>
  <c r="I240" i="6"/>
  <c r="N240" i="6" s="1"/>
  <c r="D240" i="6"/>
  <c r="M240" i="6" s="1"/>
  <c r="B240" i="6"/>
  <c r="J252" i="6"/>
  <c r="E252" i="6"/>
  <c r="C252" i="6"/>
  <c r="A252" i="6"/>
  <c r="I252" i="6"/>
  <c r="N252" i="6" s="1"/>
  <c r="D252" i="6"/>
  <c r="M252" i="6" s="1"/>
  <c r="B252" i="6"/>
  <c r="J268" i="6"/>
  <c r="E268" i="6"/>
  <c r="C268" i="6"/>
  <c r="A268" i="6"/>
  <c r="I268" i="6"/>
  <c r="N268" i="6" s="1"/>
  <c r="D268" i="6"/>
  <c r="M268" i="6" s="1"/>
  <c r="B268" i="6"/>
  <c r="E284" i="6"/>
  <c r="C284" i="6"/>
  <c r="A284" i="6"/>
  <c r="I284" i="6"/>
  <c r="N284" i="6" s="1"/>
  <c r="D284" i="6"/>
  <c r="M284" i="6" s="1"/>
  <c r="B284" i="6"/>
  <c r="E300" i="6"/>
  <c r="C300" i="6"/>
  <c r="A300" i="6"/>
  <c r="I300" i="6"/>
  <c r="N300" i="6" s="1"/>
  <c r="D300" i="6"/>
  <c r="M300" i="6" s="1"/>
  <c r="B300" i="6"/>
  <c r="J316" i="6"/>
  <c r="E316" i="6"/>
  <c r="C316" i="6"/>
  <c r="A316" i="6"/>
  <c r="K316" i="6"/>
  <c r="I316" i="6"/>
  <c r="N316" i="6" s="1"/>
  <c r="D316" i="6"/>
  <c r="M316" i="6" s="1"/>
  <c r="B316" i="6"/>
  <c r="J332" i="6"/>
  <c r="E332" i="6"/>
  <c r="C332" i="6"/>
  <c r="A332" i="6"/>
  <c r="K332" i="6"/>
  <c r="I332" i="6"/>
  <c r="N332" i="6" s="1"/>
  <c r="D332" i="6"/>
  <c r="M332" i="6" s="1"/>
  <c r="B332" i="6"/>
  <c r="J348" i="6"/>
  <c r="E348" i="6"/>
  <c r="C348" i="6"/>
  <c r="A348" i="6"/>
  <c r="I348" i="6"/>
  <c r="N348" i="6" s="1"/>
  <c r="D348" i="6"/>
  <c r="M348" i="6" s="1"/>
  <c r="B348" i="6"/>
  <c r="E364" i="6"/>
  <c r="C364" i="6"/>
  <c r="A364" i="6"/>
  <c r="I364" i="6"/>
  <c r="N364" i="6" s="1"/>
  <c r="D364" i="6"/>
  <c r="M364" i="6" s="1"/>
  <c r="B364" i="6"/>
  <c r="E380" i="6"/>
  <c r="C380" i="6"/>
  <c r="A380" i="6"/>
  <c r="I380" i="6"/>
  <c r="N380" i="6" s="1"/>
  <c r="D380" i="6"/>
  <c r="M380" i="6" s="1"/>
  <c r="B380" i="6"/>
  <c r="E396" i="6"/>
  <c r="C396" i="6"/>
  <c r="A396" i="6"/>
  <c r="I396" i="6"/>
  <c r="N396" i="6" s="1"/>
  <c r="D396" i="6"/>
  <c r="M396" i="6" s="1"/>
  <c r="B396" i="6"/>
  <c r="E412" i="6"/>
  <c r="C412" i="6"/>
  <c r="A412" i="6"/>
  <c r="I412" i="6"/>
  <c r="N412" i="6" s="1"/>
  <c r="D412" i="6"/>
  <c r="M412" i="6" s="1"/>
  <c r="B412" i="6"/>
  <c r="J428" i="6"/>
  <c r="E428" i="6"/>
  <c r="C428" i="6"/>
  <c r="A428" i="6"/>
  <c r="I428" i="6"/>
  <c r="N428" i="6" s="1"/>
  <c r="D428" i="6"/>
  <c r="M428" i="6" s="1"/>
  <c r="B428" i="6"/>
  <c r="E444" i="6"/>
  <c r="C444" i="6"/>
  <c r="A444" i="6"/>
  <c r="I444" i="6"/>
  <c r="N444" i="6" s="1"/>
  <c r="D444" i="6"/>
  <c r="M444" i="6" s="1"/>
  <c r="B444" i="6"/>
  <c r="J460" i="6"/>
  <c r="E460" i="6"/>
  <c r="C460" i="6"/>
  <c r="A460" i="6"/>
  <c r="K460" i="6"/>
  <c r="I460" i="6"/>
  <c r="N460" i="6" s="1"/>
  <c r="D460" i="6"/>
  <c r="M460" i="6" s="1"/>
  <c r="B460" i="6"/>
  <c r="J476" i="6"/>
  <c r="E476" i="6"/>
  <c r="C476" i="6"/>
  <c r="A476" i="6"/>
  <c r="K476" i="6"/>
  <c r="I476" i="6"/>
  <c r="N476" i="6" s="1"/>
  <c r="D476" i="6"/>
  <c r="M476" i="6" s="1"/>
  <c r="B476" i="6"/>
  <c r="J492" i="6"/>
  <c r="E492" i="6"/>
  <c r="C492" i="6"/>
  <c r="A492" i="6"/>
  <c r="K492" i="6"/>
  <c r="I492" i="6"/>
  <c r="N492" i="6" s="1"/>
  <c r="D492" i="6"/>
  <c r="M492" i="6" s="1"/>
  <c r="B492" i="6"/>
  <c r="J455" i="6"/>
  <c r="E455" i="6"/>
  <c r="C455" i="6"/>
  <c r="A455" i="6"/>
  <c r="K455" i="6"/>
  <c r="I455" i="6"/>
  <c r="N455" i="6" s="1"/>
  <c r="D455" i="6"/>
  <c r="M455" i="6" s="1"/>
  <c r="B455" i="6"/>
  <c r="E391" i="6"/>
  <c r="C391" i="6"/>
  <c r="A391" i="6"/>
  <c r="I391" i="6"/>
  <c r="N391" i="6" s="1"/>
  <c r="D391" i="6"/>
  <c r="M391" i="6" s="1"/>
  <c r="B391" i="6"/>
  <c r="J327" i="6"/>
  <c r="E327" i="6"/>
  <c r="C327" i="6"/>
  <c r="A327" i="6"/>
  <c r="K327" i="6"/>
  <c r="I327" i="6"/>
  <c r="N327" i="6" s="1"/>
  <c r="D327" i="6"/>
  <c r="M327" i="6" s="1"/>
  <c r="B327" i="6"/>
  <c r="J483" i="6"/>
  <c r="E483" i="6"/>
  <c r="C483" i="6"/>
  <c r="A483" i="6"/>
  <c r="K483" i="6"/>
  <c r="I483" i="6"/>
  <c r="N483" i="6" s="1"/>
  <c r="D483" i="6"/>
  <c r="M483" i="6" s="1"/>
  <c r="B483" i="6"/>
  <c r="J451" i="6"/>
  <c r="E451" i="6"/>
  <c r="C451" i="6"/>
  <c r="A451" i="6"/>
  <c r="K451" i="6"/>
  <c r="I451" i="6"/>
  <c r="N451" i="6" s="1"/>
  <c r="D451" i="6"/>
  <c r="M451" i="6" s="1"/>
  <c r="B451" i="6"/>
  <c r="E387" i="6"/>
  <c r="C387" i="6"/>
  <c r="A387" i="6"/>
  <c r="I387" i="6"/>
  <c r="N387" i="6" s="1"/>
  <c r="D387" i="6"/>
  <c r="M387" i="6" s="1"/>
  <c r="B387" i="6"/>
  <c r="E323" i="6"/>
  <c r="C323" i="6"/>
  <c r="A323" i="6"/>
  <c r="I323" i="6"/>
  <c r="N323" i="6" s="1"/>
  <c r="D323" i="6"/>
  <c r="M323" i="6" s="1"/>
  <c r="B323" i="6"/>
  <c r="J259" i="6"/>
  <c r="E259" i="6"/>
  <c r="C259" i="6"/>
  <c r="A259" i="6"/>
  <c r="K259" i="6"/>
  <c r="I259" i="6"/>
  <c r="N259" i="6" s="1"/>
  <c r="D259" i="6"/>
  <c r="M259" i="6" s="1"/>
  <c r="B259" i="6"/>
  <c r="J501" i="6"/>
  <c r="E501" i="6"/>
  <c r="C501" i="6"/>
  <c r="A501" i="6"/>
  <c r="K501" i="6"/>
  <c r="I501" i="6"/>
  <c r="N501" i="6" s="1"/>
  <c r="D501" i="6"/>
  <c r="M501" i="6" s="1"/>
  <c r="B501" i="6"/>
  <c r="J469" i="6"/>
  <c r="E469" i="6"/>
  <c r="C469" i="6"/>
  <c r="A469" i="6"/>
  <c r="K469" i="6"/>
  <c r="I469" i="6"/>
  <c r="N469" i="6" s="1"/>
  <c r="D469" i="6"/>
  <c r="M469" i="6" s="1"/>
  <c r="B469" i="6"/>
  <c r="J437" i="6"/>
  <c r="E437" i="6"/>
  <c r="C437" i="6"/>
  <c r="A437" i="6"/>
  <c r="K437" i="6"/>
  <c r="I437" i="6"/>
  <c r="N437" i="6" s="1"/>
  <c r="D437" i="6"/>
  <c r="M437" i="6" s="1"/>
  <c r="B437" i="6"/>
  <c r="J405" i="6"/>
  <c r="E405" i="6"/>
  <c r="C405" i="6"/>
  <c r="A405" i="6"/>
  <c r="K405" i="6"/>
  <c r="I405" i="6"/>
  <c r="N405" i="6" s="1"/>
  <c r="D405" i="6"/>
  <c r="M405" i="6" s="1"/>
  <c r="B405" i="6"/>
  <c r="E373" i="6"/>
  <c r="C373" i="6"/>
  <c r="A373" i="6"/>
  <c r="I373" i="6"/>
  <c r="N373" i="6" s="1"/>
  <c r="D373" i="6"/>
  <c r="M373" i="6" s="1"/>
  <c r="B373" i="6"/>
  <c r="E341" i="6"/>
  <c r="C341" i="6"/>
  <c r="A341" i="6"/>
  <c r="I341" i="6"/>
  <c r="N341" i="6" s="1"/>
  <c r="D341" i="6"/>
  <c r="M341" i="6" s="1"/>
  <c r="B341" i="6"/>
  <c r="E309" i="6"/>
  <c r="C309" i="6"/>
  <c r="A309" i="6"/>
  <c r="I309" i="6"/>
  <c r="N309" i="6" s="1"/>
  <c r="D309" i="6"/>
  <c r="M309" i="6" s="1"/>
  <c r="B309" i="6"/>
  <c r="E277" i="6"/>
  <c r="C277" i="6"/>
  <c r="A277" i="6"/>
  <c r="I277" i="6"/>
  <c r="N277" i="6" s="1"/>
  <c r="D277" i="6"/>
  <c r="M277" i="6" s="1"/>
  <c r="B277" i="6"/>
  <c r="J261" i="6"/>
  <c r="E261" i="6"/>
  <c r="C261" i="6"/>
  <c r="A261" i="6"/>
  <c r="K261" i="6"/>
  <c r="I261" i="6"/>
  <c r="N261" i="6" s="1"/>
  <c r="D261" i="6"/>
  <c r="M261" i="6" s="1"/>
  <c r="B261" i="6"/>
  <c r="E108" i="6"/>
  <c r="C108" i="6"/>
  <c r="A108" i="6"/>
  <c r="I108" i="6"/>
  <c r="N108" i="6" s="1"/>
  <c r="D108" i="6"/>
  <c r="M108" i="6" s="1"/>
  <c r="B108" i="6"/>
  <c r="E100" i="6"/>
  <c r="C100" i="6"/>
  <c r="A100" i="6"/>
  <c r="I100" i="6"/>
  <c r="N100" i="6" s="1"/>
  <c r="D100" i="6"/>
  <c r="M100" i="6" s="1"/>
  <c r="B100" i="6"/>
  <c r="E92" i="6"/>
  <c r="C92" i="6"/>
  <c r="A92" i="6"/>
  <c r="I92" i="6"/>
  <c r="N92" i="6" s="1"/>
  <c r="D92" i="6"/>
  <c r="M92" i="6" s="1"/>
  <c r="B92" i="6"/>
  <c r="E76" i="6"/>
  <c r="C76" i="6"/>
  <c r="A76" i="6"/>
  <c r="I76" i="6"/>
  <c r="N76" i="6" s="1"/>
  <c r="D76" i="6"/>
  <c r="M76" i="6" s="1"/>
  <c r="B76" i="6"/>
  <c r="E68" i="6"/>
  <c r="C68" i="6"/>
  <c r="A68" i="6"/>
  <c r="I68" i="6"/>
  <c r="N68" i="6" s="1"/>
  <c r="D68" i="6"/>
  <c r="M68" i="6" s="1"/>
  <c r="B68" i="6"/>
  <c r="E64" i="6"/>
  <c r="C64" i="6"/>
  <c r="A64" i="6"/>
  <c r="I64" i="6"/>
  <c r="N64" i="6" s="1"/>
  <c r="D64" i="6"/>
  <c r="M64" i="6" s="1"/>
  <c r="B64" i="6"/>
  <c r="E60" i="6"/>
  <c r="C60" i="6"/>
  <c r="A60" i="6"/>
  <c r="I60" i="6"/>
  <c r="N60" i="6" s="1"/>
  <c r="D60" i="6"/>
  <c r="M60" i="6" s="1"/>
  <c r="B60" i="6"/>
  <c r="E52" i="6"/>
  <c r="C52" i="6"/>
  <c r="A52" i="6"/>
  <c r="I52" i="6"/>
  <c r="N52" i="6" s="1"/>
  <c r="D52" i="6"/>
  <c r="M52" i="6" s="1"/>
  <c r="B52" i="6"/>
  <c r="E44" i="6"/>
  <c r="C44" i="6"/>
  <c r="A44" i="6"/>
  <c r="I44" i="6"/>
  <c r="N44" i="6" s="1"/>
  <c r="D44" i="6"/>
  <c r="M44" i="6" s="1"/>
  <c r="B44" i="6"/>
  <c r="E36" i="6"/>
  <c r="C36" i="6"/>
  <c r="A36" i="6"/>
  <c r="I36" i="6"/>
  <c r="N36" i="6" s="1"/>
  <c r="D36" i="6"/>
  <c r="M36" i="6" s="1"/>
  <c r="B36" i="6"/>
  <c r="E28" i="6"/>
  <c r="C28" i="6"/>
  <c r="A28" i="6"/>
  <c r="I28" i="6"/>
  <c r="N28" i="6" s="1"/>
  <c r="D28" i="6"/>
  <c r="M28" i="6" s="1"/>
  <c r="B28" i="6"/>
  <c r="J20" i="6"/>
  <c r="E20" i="6"/>
  <c r="C20" i="6"/>
  <c r="A20" i="6"/>
  <c r="K20" i="6"/>
  <c r="I20" i="6"/>
  <c r="N20" i="6" s="1"/>
  <c r="D20" i="6"/>
  <c r="M20" i="6" s="1"/>
  <c r="B20" i="6"/>
  <c r="E4" i="6"/>
  <c r="C4" i="6"/>
  <c r="A4" i="6"/>
  <c r="I4" i="6"/>
  <c r="N4" i="6" s="1"/>
  <c r="D4" i="6"/>
  <c r="M4" i="6" s="1"/>
  <c r="B4" i="6"/>
  <c r="E121" i="6"/>
  <c r="C121" i="6"/>
  <c r="A121" i="6"/>
  <c r="I121" i="6"/>
  <c r="N121" i="6" s="1"/>
  <c r="D121" i="6"/>
  <c r="M121" i="6" s="1"/>
  <c r="B121" i="6"/>
  <c r="J137" i="6"/>
  <c r="E137" i="6"/>
  <c r="C137" i="6"/>
  <c r="A137" i="6"/>
  <c r="K137" i="6"/>
  <c r="I137" i="6"/>
  <c r="N137" i="6" s="1"/>
  <c r="D137" i="6"/>
  <c r="M137" i="6" s="1"/>
  <c r="B137" i="6"/>
  <c r="E145" i="6"/>
  <c r="C145" i="6"/>
  <c r="A145" i="6"/>
  <c r="I145" i="6"/>
  <c r="N145" i="6" s="1"/>
  <c r="D145" i="6"/>
  <c r="M145" i="6" s="1"/>
  <c r="B145" i="6"/>
  <c r="E149" i="6"/>
  <c r="C149" i="6"/>
  <c r="A149" i="6"/>
  <c r="I149" i="6"/>
  <c r="N149" i="6" s="1"/>
  <c r="D149" i="6"/>
  <c r="M149" i="6" s="1"/>
  <c r="B149" i="6"/>
  <c r="E153" i="6"/>
  <c r="C153" i="6"/>
  <c r="A153" i="6"/>
  <c r="I153" i="6"/>
  <c r="N153" i="6" s="1"/>
  <c r="D153" i="6"/>
  <c r="M153" i="6" s="1"/>
  <c r="B153" i="6"/>
  <c r="J161" i="6"/>
  <c r="E161" i="6"/>
  <c r="C161" i="6"/>
  <c r="A161" i="6"/>
  <c r="K161" i="6"/>
  <c r="I161" i="6"/>
  <c r="N161" i="6" s="1"/>
  <c r="D161" i="6"/>
  <c r="M161" i="6" s="1"/>
  <c r="B161" i="6"/>
  <c r="E169" i="6"/>
  <c r="C169" i="6"/>
  <c r="A169" i="6"/>
  <c r="I169" i="6"/>
  <c r="N169" i="6" s="1"/>
  <c r="D169" i="6"/>
  <c r="M169" i="6" s="1"/>
  <c r="B169" i="6"/>
  <c r="J177" i="6"/>
  <c r="E177" i="6"/>
  <c r="C177" i="6"/>
  <c r="A177" i="6"/>
  <c r="K177" i="6"/>
  <c r="I177" i="6"/>
  <c r="N177" i="6" s="1"/>
  <c r="D177" i="6"/>
  <c r="M177" i="6" s="1"/>
  <c r="B177" i="6"/>
  <c r="E185" i="6"/>
  <c r="C185" i="6"/>
  <c r="A185" i="6"/>
  <c r="I185" i="6"/>
  <c r="N185" i="6" s="1"/>
  <c r="D185" i="6"/>
  <c r="M185" i="6" s="1"/>
  <c r="B185" i="6"/>
  <c r="J201" i="6"/>
  <c r="E201" i="6"/>
  <c r="C201" i="6"/>
  <c r="A201" i="6"/>
  <c r="K201" i="6"/>
  <c r="I201" i="6"/>
  <c r="N201" i="6" s="1"/>
  <c r="D201" i="6"/>
  <c r="M201" i="6" s="1"/>
  <c r="B201" i="6"/>
  <c r="J209" i="6"/>
  <c r="E209" i="6"/>
  <c r="C209" i="6"/>
  <c r="A209" i="6"/>
  <c r="K209" i="6"/>
  <c r="I209" i="6"/>
  <c r="N209" i="6" s="1"/>
  <c r="D209" i="6"/>
  <c r="M209" i="6" s="1"/>
  <c r="B209" i="6"/>
  <c r="E217" i="6"/>
  <c r="C217" i="6"/>
  <c r="A217" i="6"/>
  <c r="I217" i="6"/>
  <c r="N217" i="6" s="1"/>
  <c r="D217" i="6"/>
  <c r="M217" i="6" s="1"/>
  <c r="B217" i="6"/>
  <c r="J233" i="6"/>
  <c r="E233" i="6"/>
  <c r="C233" i="6"/>
  <c r="A233" i="6"/>
  <c r="K233" i="6"/>
  <c r="I233" i="6"/>
  <c r="N233" i="6" s="1"/>
  <c r="D233" i="6"/>
  <c r="M233" i="6" s="1"/>
  <c r="B233" i="6"/>
  <c r="E241" i="6"/>
  <c r="C241" i="6"/>
  <c r="A241" i="6"/>
  <c r="I241" i="6"/>
  <c r="N241" i="6" s="1"/>
  <c r="D241" i="6"/>
  <c r="M241" i="6" s="1"/>
  <c r="B241" i="6"/>
  <c r="E254" i="6"/>
  <c r="C254" i="6"/>
  <c r="A254" i="6"/>
  <c r="I254" i="6"/>
  <c r="N254" i="6" s="1"/>
  <c r="D254" i="6"/>
  <c r="M254" i="6" s="1"/>
  <c r="B254" i="6"/>
  <c r="E270" i="6"/>
  <c r="C270" i="6"/>
  <c r="A270" i="6"/>
  <c r="I270" i="6"/>
  <c r="N270" i="6" s="1"/>
  <c r="D270" i="6"/>
  <c r="M270" i="6" s="1"/>
  <c r="B270" i="6"/>
  <c r="J286" i="6"/>
  <c r="E286" i="6"/>
  <c r="C286" i="6"/>
  <c r="A286" i="6"/>
  <c r="K286" i="6"/>
  <c r="I286" i="6"/>
  <c r="N286" i="6" s="1"/>
  <c r="D286" i="6"/>
  <c r="M286" i="6" s="1"/>
  <c r="B286" i="6"/>
  <c r="J302" i="6"/>
  <c r="E302" i="6"/>
  <c r="C302" i="6"/>
  <c r="A302" i="6"/>
  <c r="K302" i="6"/>
  <c r="I302" i="6"/>
  <c r="N302" i="6" s="1"/>
  <c r="D302" i="6"/>
  <c r="M302" i="6" s="1"/>
  <c r="B302" i="6"/>
  <c r="E318" i="6"/>
  <c r="C318" i="6"/>
  <c r="A318" i="6"/>
  <c r="I318" i="6"/>
  <c r="N318" i="6" s="1"/>
  <c r="D318" i="6"/>
  <c r="M318" i="6" s="1"/>
  <c r="B318" i="6"/>
  <c r="J334" i="6"/>
  <c r="E334" i="6"/>
  <c r="C334" i="6"/>
  <c r="A334" i="6"/>
  <c r="K334" i="6"/>
  <c r="I334" i="6"/>
  <c r="N334" i="6" s="1"/>
  <c r="D334" i="6"/>
  <c r="M334" i="6" s="1"/>
  <c r="B334" i="6"/>
  <c r="E350" i="6"/>
  <c r="C350" i="6"/>
  <c r="A350" i="6"/>
  <c r="I350" i="6"/>
  <c r="N350" i="6" s="1"/>
  <c r="D350" i="6"/>
  <c r="M350" i="6" s="1"/>
  <c r="B350" i="6"/>
  <c r="E366" i="6"/>
  <c r="C366" i="6"/>
  <c r="A366" i="6"/>
  <c r="I366" i="6"/>
  <c r="N366" i="6" s="1"/>
  <c r="D366" i="6"/>
  <c r="M366" i="6" s="1"/>
  <c r="B366" i="6"/>
  <c r="E382" i="6"/>
  <c r="C382" i="6"/>
  <c r="A382" i="6"/>
  <c r="I382" i="6"/>
  <c r="N382" i="6" s="1"/>
  <c r="D382" i="6"/>
  <c r="M382" i="6" s="1"/>
  <c r="B382" i="6"/>
  <c r="J398" i="6"/>
  <c r="E398" i="6"/>
  <c r="C398" i="6"/>
  <c r="A398" i="6"/>
  <c r="K398" i="6"/>
  <c r="I398" i="6"/>
  <c r="N398" i="6" s="1"/>
  <c r="D398" i="6"/>
  <c r="M398" i="6" s="1"/>
  <c r="B398" i="6"/>
  <c r="J414" i="6"/>
  <c r="E414" i="6"/>
  <c r="C414" i="6"/>
  <c r="A414" i="6"/>
  <c r="I414" i="6"/>
  <c r="N414" i="6" s="1"/>
  <c r="D414" i="6"/>
  <c r="M414" i="6" s="1"/>
  <c r="B414" i="6"/>
  <c r="J430" i="6"/>
  <c r="E430" i="6"/>
  <c r="C430" i="6"/>
  <c r="A430" i="6"/>
  <c r="K430" i="6"/>
  <c r="I430" i="6"/>
  <c r="N430" i="6" s="1"/>
  <c r="D430" i="6"/>
  <c r="M430" i="6" s="1"/>
  <c r="B430" i="6"/>
  <c r="J446" i="6"/>
  <c r="E446" i="6"/>
  <c r="C446" i="6"/>
  <c r="A446" i="6"/>
  <c r="K446" i="6"/>
  <c r="I446" i="6"/>
  <c r="N446" i="6" s="1"/>
  <c r="D446" i="6"/>
  <c r="M446" i="6" s="1"/>
  <c r="B446" i="6"/>
  <c r="J462" i="6"/>
  <c r="E462" i="6"/>
  <c r="C462" i="6"/>
  <c r="A462" i="6"/>
  <c r="K462" i="6"/>
  <c r="I462" i="6"/>
  <c r="N462" i="6" s="1"/>
  <c r="D462" i="6"/>
  <c r="M462" i="6" s="1"/>
  <c r="B462" i="6"/>
  <c r="J478" i="6"/>
  <c r="E478" i="6"/>
  <c r="C478" i="6"/>
  <c r="A478" i="6"/>
  <c r="K478" i="6"/>
  <c r="I478" i="6"/>
  <c r="N478" i="6" s="1"/>
  <c r="D478" i="6"/>
  <c r="M478" i="6" s="1"/>
  <c r="B478" i="6"/>
  <c r="J494" i="6"/>
  <c r="E494" i="6"/>
  <c r="C494" i="6"/>
  <c r="A494" i="6"/>
  <c r="K494" i="6"/>
  <c r="I494" i="6"/>
  <c r="N494" i="6" s="1"/>
  <c r="D494" i="6"/>
  <c r="M494" i="6" s="1"/>
  <c r="B494" i="6"/>
  <c r="J447" i="6"/>
  <c r="E447" i="6"/>
  <c r="C447" i="6"/>
  <c r="A447" i="6"/>
  <c r="K447" i="6"/>
  <c r="I447" i="6"/>
  <c r="N447" i="6" s="1"/>
  <c r="D447" i="6"/>
  <c r="M447" i="6" s="1"/>
  <c r="B447" i="6"/>
  <c r="J383" i="6"/>
  <c r="E383" i="6"/>
  <c r="C383" i="6"/>
  <c r="A383" i="6"/>
  <c r="K383" i="6"/>
  <c r="I383" i="6"/>
  <c r="N383" i="6" s="1"/>
  <c r="D383" i="6"/>
  <c r="M383" i="6" s="1"/>
  <c r="B383" i="6"/>
  <c r="E319" i="6"/>
  <c r="C319" i="6"/>
  <c r="A319" i="6"/>
  <c r="I319" i="6"/>
  <c r="N319" i="6" s="1"/>
  <c r="D319" i="6"/>
  <c r="M319" i="6" s="1"/>
  <c r="B319" i="6"/>
  <c r="J255" i="6"/>
  <c r="E255" i="6"/>
  <c r="C255" i="6"/>
  <c r="A255" i="6"/>
  <c r="I255" i="6"/>
  <c r="N255" i="6" s="1"/>
  <c r="D255" i="6"/>
  <c r="M255" i="6" s="1"/>
  <c r="B255" i="6"/>
  <c r="J443" i="6"/>
  <c r="E443" i="6"/>
  <c r="C443" i="6"/>
  <c r="A443" i="6"/>
  <c r="K443" i="6"/>
  <c r="I443" i="6"/>
  <c r="N443" i="6" s="1"/>
  <c r="D443" i="6"/>
  <c r="M443" i="6" s="1"/>
  <c r="B443" i="6"/>
  <c r="E379" i="6"/>
  <c r="C379" i="6"/>
  <c r="A379" i="6"/>
  <c r="I379" i="6"/>
  <c r="N379" i="6" s="1"/>
  <c r="D379" i="6"/>
  <c r="M379" i="6" s="1"/>
  <c r="B379" i="6"/>
  <c r="E315" i="6"/>
  <c r="C315" i="6"/>
  <c r="A315" i="6"/>
  <c r="I315" i="6"/>
  <c r="N315" i="6" s="1"/>
  <c r="D315" i="6"/>
  <c r="M315" i="6" s="1"/>
  <c r="B315" i="6"/>
  <c r="J251" i="6"/>
  <c r="E251" i="6"/>
  <c r="C251" i="6"/>
  <c r="A251" i="6"/>
  <c r="K251" i="6"/>
  <c r="I251" i="6"/>
  <c r="N251" i="6" s="1"/>
  <c r="D251" i="6"/>
  <c r="M251" i="6" s="1"/>
  <c r="B251" i="6"/>
  <c r="J481" i="6"/>
  <c r="E481" i="6"/>
  <c r="C481" i="6"/>
  <c r="A481" i="6"/>
  <c r="K481" i="6"/>
  <c r="I481" i="6"/>
  <c r="N481" i="6" s="1"/>
  <c r="D481" i="6"/>
  <c r="M481" i="6" s="1"/>
  <c r="B481" i="6"/>
  <c r="J449" i="6"/>
  <c r="E449" i="6"/>
  <c r="C449" i="6"/>
  <c r="A449" i="6"/>
  <c r="K449" i="6"/>
  <c r="I449" i="6"/>
  <c r="N449" i="6" s="1"/>
  <c r="D449" i="6"/>
  <c r="M449" i="6" s="1"/>
  <c r="B449" i="6"/>
  <c r="E417" i="6"/>
  <c r="C417" i="6"/>
  <c r="A417" i="6"/>
  <c r="I417" i="6"/>
  <c r="N417" i="6" s="1"/>
  <c r="D417" i="6"/>
  <c r="M417" i="6" s="1"/>
  <c r="B417" i="6"/>
  <c r="E385" i="6"/>
  <c r="C385" i="6"/>
  <c r="A385" i="6"/>
  <c r="I385" i="6"/>
  <c r="N385" i="6" s="1"/>
  <c r="D385" i="6"/>
  <c r="M385" i="6" s="1"/>
  <c r="B385" i="6"/>
  <c r="E353" i="6"/>
  <c r="C353" i="6"/>
  <c r="A353" i="6"/>
  <c r="I353" i="6"/>
  <c r="N353" i="6" s="1"/>
  <c r="D353" i="6"/>
  <c r="M353" i="6" s="1"/>
  <c r="B353" i="6"/>
  <c r="J321" i="6"/>
  <c r="E321" i="6"/>
  <c r="C321" i="6"/>
  <c r="A321" i="6"/>
  <c r="I321" i="6"/>
  <c r="N321" i="6" s="1"/>
  <c r="D321" i="6"/>
  <c r="M321" i="6" s="1"/>
  <c r="B321" i="6"/>
  <c r="E289" i="6"/>
  <c r="C289" i="6"/>
  <c r="A289" i="6"/>
  <c r="I289" i="6"/>
  <c r="N289" i="6" s="1"/>
  <c r="D289" i="6"/>
  <c r="M289" i="6" s="1"/>
  <c r="B289" i="6"/>
  <c r="J257" i="6"/>
  <c r="E257" i="6"/>
  <c r="C257" i="6"/>
  <c r="A257" i="6"/>
  <c r="I257" i="6"/>
  <c r="N257" i="6" s="1"/>
  <c r="D257" i="6"/>
  <c r="M257" i="6" s="1"/>
  <c r="B257" i="6"/>
  <c r="E111" i="6"/>
  <c r="C111" i="6"/>
  <c r="A111" i="6"/>
  <c r="I111" i="6"/>
  <c r="N111" i="6" s="1"/>
  <c r="D111" i="6"/>
  <c r="M111" i="6" s="1"/>
  <c r="B111" i="6"/>
  <c r="E103" i="6"/>
  <c r="C103" i="6"/>
  <c r="A103" i="6"/>
  <c r="I103" i="6"/>
  <c r="N103" i="6" s="1"/>
  <c r="D103" i="6"/>
  <c r="M103" i="6" s="1"/>
  <c r="B103" i="6"/>
  <c r="E95" i="6"/>
  <c r="C95" i="6"/>
  <c r="A95" i="6"/>
  <c r="I95" i="6"/>
  <c r="N95" i="6" s="1"/>
  <c r="D95" i="6"/>
  <c r="M95" i="6" s="1"/>
  <c r="B95" i="6"/>
  <c r="E87" i="6"/>
  <c r="C87" i="6"/>
  <c r="A87" i="6"/>
  <c r="I87" i="6"/>
  <c r="N87" i="6" s="1"/>
  <c r="D87" i="6"/>
  <c r="M87" i="6" s="1"/>
  <c r="B87" i="6"/>
  <c r="J79" i="6"/>
  <c r="E79" i="6"/>
  <c r="C79" i="6"/>
  <c r="A79" i="6"/>
  <c r="K79" i="6"/>
  <c r="I79" i="6"/>
  <c r="N79" i="6" s="1"/>
  <c r="D79" i="6"/>
  <c r="M79" i="6" s="1"/>
  <c r="B79" i="6"/>
  <c r="E71" i="6"/>
  <c r="C71" i="6"/>
  <c r="A71" i="6"/>
  <c r="I71" i="6"/>
  <c r="N71" i="6" s="1"/>
  <c r="D71" i="6"/>
  <c r="M71" i="6" s="1"/>
  <c r="B71" i="6"/>
  <c r="E63" i="6"/>
  <c r="C63" i="6"/>
  <c r="A63" i="6"/>
  <c r="I63" i="6"/>
  <c r="N63" i="6" s="1"/>
  <c r="D63" i="6"/>
  <c r="M63" i="6" s="1"/>
  <c r="B63" i="6"/>
  <c r="E55" i="6"/>
  <c r="C55" i="6"/>
  <c r="A55" i="6"/>
  <c r="I55" i="6"/>
  <c r="N55" i="6" s="1"/>
  <c r="D55" i="6"/>
  <c r="M55" i="6" s="1"/>
  <c r="B55" i="6"/>
  <c r="J47" i="6"/>
  <c r="E47" i="6"/>
  <c r="C47" i="6"/>
  <c r="A47" i="6"/>
  <c r="K47" i="6"/>
  <c r="I47" i="6"/>
  <c r="N47" i="6" s="1"/>
  <c r="D47" i="6"/>
  <c r="M47" i="6" s="1"/>
  <c r="B47" i="6"/>
  <c r="E43" i="6"/>
  <c r="C43" i="6"/>
  <c r="A43" i="6"/>
  <c r="I43" i="6"/>
  <c r="N43" i="6" s="1"/>
  <c r="D43" i="6"/>
  <c r="M43" i="6" s="1"/>
  <c r="B43" i="6"/>
  <c r="J39" i="6"/>
  <c r="E39" i="6"/>
  <c r="C39" i="6"/>
  <c r="A39" i="6"/>
  <c r="K39" i="6"/>
  <c r="I39" i="6"/>
  <c r="N39" i="6" s="1"/>
  <c r="D39" i="6"/>
  <c r="M39" i="6" s="1"/>
  <c r="B39" i="6"/>
  <c r="E31" i="6"/>
  <c r="C31" i="6"/>
  <c r="A31" i="6"/>
  <c r="I31" i="6"/>
  <c r="N31" i="6" s="1"/>
  <c r="D31" i="6"/>
  <c r="M31" i="6" s="1"/>
  <c r="B31" i="6"/>
  <c r="E23" i="6"/>
  <c r="C23" i="6"/>
  <c r="A23" i="6"/>
  <c r="I23" i="6"/>
  <c r="N23" i="6" s="1"/>
  <c r="D23" i="6"/>
  <c r="M23" i="6" s="1"/>
  <c r="B23" i="6"/>
  <c r="E19" i="6"/>
  <c r="C19" i="6"/>
  <c r="A19" i="6"/>
  <c r="I19" i="6"/>
  <c r="N19" i="6" s="1"/>
  <c r="D19" i="6"/>
  <c r="M19" i="6" s="1"/>
  <c r="B19" i="6"/>
  <c r="J15" i="6"/>
  <c r="E15" i="6"/>
  <c r="C15" i="6"/>
  <c r="A15" i="6"/>
  <c r="K15" i="6"/>
  <c r="I15" i="6"/>
  <c r="N15" i="6" s="1"/>
  <c r="D15" i="6"/>
  <c r="M15" i="6" s="1"/>
  <c r="B15" i="6"/>
  <c r="E7" i="6"/>
  <c r="C7" i="6"/>
  <c r="A7" i="6"/>
  <c r="I7" i="6"/>
  <c r="N7" i="6" s="1"/>
  <c r="D7" i="6"/>
  <c r="M7" i="6" s="1"/>
  <c r="B7" i="6"/>
  <c r="E118" i="6"/>
  <c r="C118" i="6"/>
  <c r="A118" i="6"/>
  <c r="I118" i="6"/>
  <c r="N118" i="6" s="1"/>
  <c r="D118" i="6"/>
  <c r="M118" i="6" s="1"/>
  <c r="B118" i="6"/>
  <c r="E134" i="6"/>
  <c r="C134" i="6"/>
  <c r="A134" i="6"/>
  <c r="I134" i="6"/>
  <c r="N134" i="6" s="1"/>
  <c r="D134" i="6"/>
  <c r="M134" i="6" s="1"/>
  <c r="B134" i="6"/>
  <c r="E142" i="6"/>
  <c r="C142" i="6"/>
  <c r="A142" i="6"/>
  <c r="I142" i="6"/>
  <c r="N142" i="6" s="1"/>
  <c r="D142" i="6"/>
  <c r="M142" i="6" s="1"/>
  <c r="B142" i="6"/>
  <c r="J150" i="6"/>
  <c r="E150" i="6"/>
  <c r="C150" i="6"/>
  <c r="A150" i="6"/>
  <c r="K150" i="6"/>
  <c r="I150" i="6"/>
  <c r="N150" i="6" s="1"/>
  <c r="D150" i="6"/>
  <c r="M150" i="6" s="1"/>
  <c r="B150" i="6"/>
  <c r="J158" i="6"/>
  <c r="E158" i="6"/>
  <c r="C158" i="6"/>
  <c r="A158" i="6"/>
  <c r="K158" i="6"/>
  <c r="I158" i="6"/>
  <c r="N158" i="6" s="1"/>
  <c r="D158" i="6"/>
  <c r="M158" i="6" s="1"/>
  <c r="B158" i="6"/>
  <c r="E166" i="6"/>
  <c r="C166" i="6"/>
  <c r="A166" i="6"/>
  <c r="I166" i="6"/>
  <c r="N166" i="6" s="1"/>
  <c r="D166" i="6"/>
  <c r="M166" i="6" s="1"/>
  <c r="B166" i="6"/>
  <c r="E174" i="6"/>
  <c r="C174" i="6"/>
  <c r="A174" i="6"/>
  <c r="I174" i="6"/>
  <c r="N174" i="6" s="1"/>
  <c r="D174" i="6"/>
  <c r="M174" i="6" s="1"/>
  <c r="B174" i="6"/>
  <c r="E182" i="6"/>
  <c r="C182" i="6"/>
  <c r="A182" i="6"/>
  <c r="I182" i="6"/>
  <c r="N182" i="6" s="1"/>
  <c r="D182" i="6"/>
  <c r="M182" i="6" s="1"/>
  <c r="B182" i="6"/>
  <c r="E190" i="6"/>
  <c r="C190" i="6"/>
  <c r="A190" i="6"/>
  <c r="I190" i="6"/>
  <c r="N190" i="6" s="1"/>
  <c r="D190" i="6"/>
  <c r="M190" i="6" s="1"/>
  <c r="B190" i="6"/>
  <c r="J198" i="6"/>
  <c r="E198" i="6"/>
  <c r="C198" i="6"/>
  <c r="A198" i="6"/>
  <c r="K198" i="6"/>
  <c r="I198" i="6"/>
  <c r="N198" i="6" s="1"/>
  <c r="D198" i="6"/>
  <c r="M198" i="6" s="1"/>
  <c r="B198" i="6"/>
  <c r="E206" i="6"/>
  <c r="C206" i="6"/>
  <c r="A206" i="6"/>
  <c r="I206" i="6"/>
  <c r="N206" i="6" s="1"/>
  <c r="D206" i="6"/>
  <c r="M206" i="6" s="1"/>
  <c r="B206" i="6"/>
  <c r="E222" i="6"/>
  <c r="C222" i="6"/>
  <c r="A222" i="6"/>
  <c r="I222" i="6"/>
  <c r="N222" i="6" s="1"/>
  <c r="D222" i="6"/>
  <c r="M222" i="6" s="1"/>
  <c r="B222" i="6"/>
  <c r="J230" i="6"/>
  <c r="E230" i="6"/>
  <c r="C230" i="6"/>
  <c r="A230" i="6"/>
  <c r="K230" i="6"/>
  <c r="I230" i="6"/>
  <c r="N230" i="6" s="1"/>
  <c r="D230" i="6"/>
  <c r="M230" i="6" s="1"/>
  <c r="B230" i="6"/>
  <c r="E238" i="6"/>
  <c r="C238" i="6"/>
  <c r="A238" i="6"/>
  <c r="I238" i="6"/>
  <c r="N238" i="6" s="1"/>
  <c r="D238" i="6"/>
  <c r="M238" i="6" s="1"/>
  <c r="B238" i="6"/>
  <c r="E264" i="6"/>
  <c r="C264" i="6"/>
  <c r="A264" i="6"/>
  <c r="I264" i="6"/>
  <c r="N264" i="6" s="1"/>
  <c r="D264" i="6"/>
  <c r="M264" i="6" s="1"/>
  <c r="B264" i="6"/>
  <c r="J280" i="6"/>
  <c r="E280" i="6"/>
  <c r="C280" i="6"/>
  <c r="A280" i="6"/>
  <c r="K280" i="6"/>
  <c r="I280" i="6"/>
  <c r="N280" i="6" s="1"/>
  <c r="D280" i="6"/>
  <c r="M280" i="6" s="1"/>
  <c r="B280" i="6"/>
  <c r="E296" i="6"/>
  <c r="C296" i="6"/>
  <c r="A296" i="6"/>
  <c r="I296" i="6"/>
  <c r="N296" i="6" s="1"/>
  <c r="D296" i="6"/>
  <c r="M296" i="6" s="1"/>
  <c r="B296" i="6"/>
  <c r="E312" i="6"/>
  <c r="C312" i="6"/>
  <c r="A312" i="6"/>
  <c r="I312" i="6"/>
  <c r="N312" i="6" s="1"/>
  <c r="D312" i="6"/>
  <c r="M312" i="6" s="1"/>
  <c r="B312" i="6"/>
  <c r="E328" i="6"/>
  <c r="C328" i="6"/>
  <c r="A328" i="6"/>
  <c r="I328" i="6"/>
  <c r="N328" i="6" s="1"/>
  <c r="D328" i="6"/>
  <c r="M328" i="6" s="1"/>
  <c r="B328" i="6"/>
  <c r="E344" i="6"/>
  <c r="C344" i="6"/>
  <c r="A344" i="6"/>
  <c r="I344" i="6"/>
  <c r="N344" i="6" s="1"/>
  <c r="D344" i="6"/>
  <c r="M344" i="6" s="1"/>
  <c r="B344" i="6"/>
  <c r="E360" i="6"/>
  <c r="C360" i="6"/>
  <c r="A360" i="6"/>
  <c r="I360" i="6"/>
  <c r="N360" i="6" s="1"/>
  <c r="D360" i="6"/>
  <c r="M360" i="6" s="1"/>
  <c r="B360" i="6"/>
  <c r="E376" i="6"/>
  <c r="C376" i="6"/>
  <c r="A376" i="6"/>
  <c r="I376" i="6"/>
  <c r="N376" i="6" s="1"/>
  <c r="D376" i="6"/>
  <c r="M376" i="6" s="1"/>
  <c r="B376" i="6"/>
  <c r="E392" i="6"/>
  <c r="C392" i="6"/>
  <c r="A392" i="6"/>
  <c r="I392" i="6"/>
  <c r="N392" i="6" s="1"/>
  <c r="D392" i="6"/>
  <c r="M392" i="6" s="1"/>
  <c r="B392" i="6"/>
  <c r="J408" i="6"/>
  <c r="E408" i="6"/>
  <c r="C408" i="6"/>
  <c r="A408" i="6"/>
  <c r="I408" i="6"/>
  <c r="N408" i="6" s="1"/>
  <c r="D408" i="6"/>
  <c r="M408" i="6" s="1"/>
  <c r="B408" i="6"/>
  <c r="E424" i="6"/>
  <c r="C424" i="6"/>
  <c r="A424" i="6"/>
  <c r="I424" i="6"/>
  <c r="N424" i="6" s="1"/>
  <c r="D424" i="6"/>
  <c r="M424" i="6" s="1"/>
  <c r="B424" i="6"/>
  <c r="J440" i="6"/>
  <c r="E440" i="6"/>
  <c r="C440" i="6"/>
  <c r="A440" i="6"/>
  <c r="K440" i="6"/>
  <c r="I440" i="6"/>
  <c r="N440" i="6" s="1"/>
  <c r="D440" i="6"/>
  <c r="M440" i="6" s="1"/>
  <c r="B440" i="6"/>
  <c r="J456" i="6"/>
  <c r="E456" i="6"/>
  <c r="C456" i="6"/>
  <c r="A456" i="6"/>
  <c r="K456" i="6"/>
  <c r="I456" i="6"/>
  <c r="N456" i="6" s="1"/>
  <c r="D456" i="6"/>
  <c r="M456" i="6" s="1"/>
  <c r="B456" i="6"/>
  <c r="J472" i="6"/>
  <c r="E472" i="6"/>
  <c r="C472" i="6"/>
  <c r="A472" i="6"/>
  <c r="K472" i="6"/>
  <c r="I472" i="6"/>
  <c r="N472" i="6" s="1"/>
  <c r="D472" i="6"/>
  <c r="M472" i="6" s="1"/>
  <c r="B472" i="6"/>
  <c r="J488" i="6"/>
  <c r="E488" i="6"/>
  <c r="C488" i="6"/>
  <c r="A488" i="6"/>
  <c r="K488" i="6"/>
  <c r="I488" i="6"/>
  <c r="N488" i="6" s="1"/>
  <c r="D488" i="6"/>
  <c r="M488" i="6" s="1"/>
  <c r="B488" i="6"/>
  <c r="J471" i="6"/>
  <c r="E471" i="6"/>
  <c r="C471" i="6"/>
  <c r="A471" i="6"/>
  <c r="K471" i="6"/>
  <c r="I471" i="6"/>
  <c r="N471" i="6" s="1"/>
  <c r="D471" i="6"/>
  <c r="M471" i="6" s="1"/>
  <c r="B471" i="6"/>
  <c r="J407" i="6"/>
  <c r="E407" i="6"/>
  <c r="C407" i="6"/>
  <c r="A407" i="6"/>
  <c r="K407" i="6"/>
  <c r="I407" i="6"/>
  <c r="N407" i="6" s="1"/>
  <c r="D407" i="6"/>
  <c r="M407" i="6" s="1"/>
  <c r="B407" i="6"/>
  <c r="J343" i="6"/>
  <c r="E343" i="6"/>
  <c r="C343" i="6"/>
  <c r="A343" i="6"/>
  <c r="K343" i="6"/>
  <c r="I343" i="6"/>
  <c r="N343" i="6" s="1"/>
  <c r="D343" i="6"/>
  <c r="M343" i="6" s="1"/>
  <c r="B343" i="6"/>
  <c r="E279" i="6"/>
  <c r="C279" i="6"/>
  <c r="A279" i="6"/>
  <c r="I279" i="6"/>
  <c r="N279" i="6" s="1"/>
  <c r="D279" i="6"/>
  <c r="M279" i="6" s="1"/>
  <c r="B279" i="6"/>
  <c r="J467" i="6"/>
  <c r="E467" i="6"/>
  <c r="C467" i="6"/>
  <c r="A467" i="6"/>
  <c r="K467" i="6"/>
  <c r="I467" i="6"/>
  <c r="N467" i="6" s="1"/>
  <c r="D467" i="6"/>
  <c r="M467" i="6" s="1"/>
  <c r="B467" i="6"/>
  <c r="E403" i="6"/>
  <c r="C403" i="6"/>
  <c r="A403" i="6"/>
  <c r="I403" i="6"/>
  <c r="N403" i="6" s="1"/>
  <c r="D403" i="6"/>
  <c r="M403" i="6" s="1"/>
  <c r="B403" i="6"/>
  <c r="J339" i="6"/>
  <c r="E339" i="6"/>
  <c r="C339" i="6"/>
  <c r="A339" i="6"/>
  <c r="K339" i="6"/>
  <c r="I339" i="6"/>
  <c r="N339" i="6" s="1"/>
  <c r="D339" i="6"/>
  <c r="M339" i="6" s="1"/>
  <c r="B339" i="6"/>
  <c r="E275" i="6"/>
  <c r="C275" i="6"/>
  <c r="A275" i="6"/>
  <c r="I275" i="6"/>
  <c r="N275" i="6" s="1"/>
  <c r="D275" i="6"/>
  <c r="M275" i="6" s="1"/>
  <c r="B275" i="6"/>
  <c r="J493" i="6"/>
  <c r="E493" i="6"/>
  <c r="C493" i="6"/>
  <c r="A493" i="6"/>
  <c r="K493" i="6"/>
  <c r="I493" i="6"/>
  <c r="N493" i="6" s="1"/>
  <c r="D493" i="6"/>
  <c r="M493" i="6" s="1"/>
  <c r="B493" i="6"/>
  <c r="J461" i="6"/>
  <c r="E461" i="6"/>
  <c r="C461" i="6"/>
  <c r="A461" i="6"/>
  <c r="K461" i="6"/>
  <c r="I461" i="6"/>
  <c r="N461" i="6" s="1"/>
  <c r="D461" i="6"/>
  <c r="M461" i="6" s="1"/>
  <c r="B461" i="6"/>
  <c r="E429" i="6"/>
  <c r="C429" i="6"/>
  <c r="A429" i="6"/>
  <c r="I429" i="6"/>
  <c r="N429" i="6" s="1"/>
  <c r="D429" i="6"/>
  <c r="M429" i="6" s="1"/>
  <c r="B429" i="6"/>
  <c r="E397" i="6"/>
  <c r="C397" i="6"/>
  <c r="A397" i="6"/>
  <c r="I397" i="6"/>
  <c r="N397" i="6" s="1"/>
  <c r="D397" i="6"/>
  <c r="M397" i="6" s="1"/>
  <c r="B397" i="6"/>
  <c r="E365" i="6"/>
  <c r="C365" i="6"/>
  <c r="A365" i="6"/>
  <c r="I365" i="6"/>
  <c r="N365" i="6" s="1"/>
  <c r="D365" i="6"/>
  <c r="M365" i="6" s="1"/>
  <c r="B365" i="6"/>
  <c r="J333" i="6"/>
  <c r="E333" i="6"/>
  <c r="C333" i="6"/>
  <c r="A333" i="6"/>
  <c r="K333" i="6"/>
  <c r="I333" i="6"/>
  <c r="N333" i="6" s="1"/>
  <c r="D333" i="6"/>
  <c r="M333" i="6" s="1"/>
  <c r="B333" i="6"/>
  <c r="E301" i="6"/>
  <c r="C301" i="6"/>
  <c r="A301" i="6"/>
  <c r="I301" i="6"/>
  <c r="N301" i="6" s="1"/>
  <c r="D301" i="6"/>
  <c r="M301" i="6" s="1"/>
  <c r="B301" i="6"/>
  <c r="E269" i="6"/>
  <c r="C269" i="6"/>
  <c r="A269" i="6"/>
  <c r="I269" i="6"/>
  <c r="N269" i="6" s="1"/>
  <c r="D269" i="6"/>
  <c r="M269" i="6" s="1"/>
  <c r="B269" i="6"/>
  <c r="E253" i="6"/>
  <c r="C253" i="6"/>
  <c r="A253" i="6"/>
  <c r="I253" i="6"/>
  <c r="N253" i="6" s="1"/>
  <c r="D253" i="6"/>
  <c r="M253" i="6" s="1"/>
  <c r="B253" i="6"/>
  <c r="J106" i="6"/>
  <c r="E106" i="6"/>
  <c r="C106" i="6"/>
  <c r="A106" i="6"/>
  <c r="K106" i="6"/>
  <c r="I106" i="6"/>
  <c r="N106" i="6" s="1"/>
  <c r="D106" i="6"/>
  <c r="M106" i="6" s="1"/>
  <c r="B106" i="6"/>
  <c r="E102" i="6"/>
  <c r="C102" i="6"/>
  <c r="A102" i="6"/>
  <c r="I102" i="6"/>
  <c r="N102" i="6" s="1"/>
  <c r="D102" i="6"/>
  <c r="M102" i="6" s="1"/>
  <c r="B102" i="6"/>
  <c r="E98" i="6"/>
  <c r="C98" i="6"/>
  <c r="A98" i="6"/>
  <c r="I98" i="6"/>
  <c r="N98" i="6" s="1"/>
  <c r="D98" i="6"/>
  <c r="M98" i="6" s="1"/>
  <c r="B98" i="6"/>
  <c r="E90" i="6"/>
  <c r="C90" i="6"/>
  <c r="A90" i="6"/>
  <c r="I90" i="6"/>
  <c r="N90" i="6" s="1"/>
  <c r="D90" i="6"/>
  <c r="M90" i="6" s="1"/>
  <c r="B90" i="6"/>
  <c r="E82" i="6"/>
  <c r="C82" i="6"/>
  <c r="A82" i="6"/>
  <c r="I82" i="6"/>
  <c r="N82" i="6" s="1"/>
  <c r="D82" i="6"/>
  <c r="M82" i="6" s="1"/>
  <c r="B82" i="6"/>
  <c r="E74" i="6"/>
  <c r="C74" i="6"/>
  <c r="A74" i="6"/>
  <c r="I74" i="6"/>
  <c r="N74" i="6" s="1"/>
  <c r="D74" i="6"/>
  <c r="M74" i="6" s="1"/>
  <c r="B74" i="6"/>
  <c r="E66" i="6"/>
  <c r="C66" i="6"/>
  <c r="A66" i="6"/>
  <c r="I66" i="6"/>
  <c r="N66" i="6" s="1"/>
  <c r="D66" i="6"/>
  <c r="M66" i="6" s="1"/>
  <c r="B66" i="6"/>
  <c r="E58" i="6"/>
  <c r="C58" i="6"/>
  <c r="A58" i="6"/>
  <c r="I58" i="6"/>
  <c r="N58" i="6" s="1"/>
  <c r="D58" i="6"/>
  <c r="M58" i="6" s="1"/>
  <c r="B58" i="6"/>
  <c r="E54" i="6"/>
  <c r="C54" i="6"/>
  <c r="A54" i="6"/>
  <c r="I54" i="6"/>
  <c r="N54" i="6" s="1"/>
  <c r="D54" i="6"/>
  <c r="M54" i="6" s="1"/>
  <c r="B54" i="6"/>
  <c r="J50" i="6"/>
  <c r="E50" i="6"/>
  <c r="C50" i="6"/>
  <c r="A50" i="6"/>
  <c r="K50" i="6"/>
  <c r="I50" i="6"/>
  <c r="N50" i="6" s="1"/>
  <c r="D50" i="6"/>
  <c r="M50" i="6" s="1"/>
  <c r="B50" i="6"/>
  <c r="E42" i="6"/>
  <c r="C42" i="6"/>
  <c r="A42" i="6"/>
  <c r="I42" i="6"/>
  <c r="N42" i="6" s="1"/>
  <c r="D42" i="6"/>
  <c r="M42" i="6" s="1"/>
  <c r="B42" i="6"/>
  <c r="E34" i="6"/>
  <c r="C34" i="6"/>
  <c r="A34" i="6"/>
  <c r="I34" i="6"/>
  <c r="N34" i="6" s="1"/>
  <c r="D34" i="6"/>
  <c r="M34" i="6" s="1"/>
  <c r="B34" i="6"/>
  <c r="J26" i="6"/>
  <c r="E26" i="6"/>
  <c r="C26" i="6"/>
  <c r="A26" i="6"/>
  <c r="K26" i="6"/>
  <c r="I26" i="6"/>
  <c r="N26" i="6" s="1"/>
  <c r="D26" i="6"/>
  <c r="M26" i="6" s="1"/>
  <c r="B26" i="6"/>
  <c r="E18" i="6"/>
  <c r="C18" i="6"/>
  <c r="A18" i="6"/>
  <c r="I18" i="6"/>
  <c r="N18" i="6" s="1"/>
  <c r="D18" i="6"/>
  <c r="M18" i="6" s="1"/>
  <c r="B18" i="6"/>
  <c r="E14" i="6"/>
  <c r="C14" i="6"/>
  <c r="A14" i="6"/>
  <c r="I14" i="6"/>
  <c r="N14" i="6" s="1"/>
  <c r="D14" i="6"/>
  <c r="M14" i="6" s="1"/>
  <c r="B14" i="6"/>
  <c r="E10" i="6"/>
  <c r="C10" i="6"/>
  <c r="A10" i="6"/>
  <c r="I10" i="6"/>
  <c r="N10" i="6" s="1"/>
  <c r="D10" i="6"/>
  <c r="M10" i="6" s="1"/>
  <c r="B10" i="6"/>
  <c r="E123" i="6"/>
  <c r="C123" i="6"/>
  <c r="A123" i="6"/>
  <c r="I123" i="6"/>
  <c r="N123" i="6" s="1"/>
  <c r="D123" i="6"/>
  <c r="M123" i="6" s="1"/>
  <c r="B123" i="6"/>
  <c r="E127" i="6"/>
  <c r="C127" i="6"/>
  <c r="A127" i="6"/>
  <c r="I127" i="6"/>
  <c r="N127" i="6" s="1"/>
  <c r="D127" i="6"/>
  <c r="M127" i="6" s="1"/>
  <c r="B127" i="6"/>
  <c r="E135" i="6"/>
  <c r="C135" i="6"/>
  <c r="A135" i="6"/>
  <c r="I135" i="6"/>
  <c r="N135" i="6" s="1"/>
  <c r="D135" i="6"/>
  <c r="M135" i="6" s="1"/>
  <c r="B135" i="6"/>
  <c r="E143" i="6"/>
  <c r="C143" i="6"/>
  <c r="A143" i="6"/>
  <c r="I143" i="6"/>
  <c r="N143" i="6" s="1"/>
  <c r="D143" i="6"/>
  <c r="M143" i="6" s="1"/>
  <c r="B143" i="6"/>
  <c r="E151" i="6"/>
  <c r="C151" i="6"/>
  <c r="A151" i="6"/>
  <c r="I151" i="6"/>
  <c r="N151" i="6" s="1"/>
  <c r="D151" i="6"/>
  <c r="M151" i="6" s="1"/>
  <c r="B151" i="6"/>
  <c r="E155" i="6"/>
  <c r="C155" i="6"/>
  <c r="A155" i="6"/>
  <c r="I155" i="6"/>
  <c r="N155" i="6" s="1"/>
  <c r="D155" i="6"/>
  <c r="M155" i="6" s="1"/>
  <c r="B155" i="6"/>
  <c r="J159" i="6"/>
  <c r="E159" i="6"/>
  <c r="C159" i="6"/>
  <c r="A159" i="6"/>
  <c r="K159" i="6"/>
  <c r="I159" i="6"/>
  <c r="N159" i="6" s="1"/>
  <c r="D159" i="6"/>
  <c r="M159" i="6" s="1"/>
  <c r="B159" i="6"/>
  <c r="J167" i="6"/>
  <c r="E167" i="6"/>
  <c r="C167" i="6"/>
  <c r="A167" i="6"/>
  <c r="K167" i="6"/>
  <c r="I167" i="6"/>
  <c r="N167" i="6" s="1"/>
  <c r="D167" i="6"/>
  <c r="M167" i="6" s="1"/>
  <c r="B167" i="6"/>
  <c r="E171" i="6"/>
  <c r="C171" i="6"/>
  <c r="A171" i="6"/>
  <c r="I171" i="6"/>
  <c r="N171" i="6" s="1"/>
  <c r="D171" i="6"/>
  <c r="M171" i="6" s="1"/>
  <c r="B171" i="6"/>
  <c r="E183" i="6"/>
  <c r="C183" i="6"/>
  <c r="A183" i="6"/>
  <c r="I183" i="6"/>
  <c r="N183" i="6" s="1"/>
  <c r="D183" i="6"/>
  <c r="M183" i="6" s="1"/>
  <c r="B183" i="6"/>
  <c r="E191" i="6"/>
  <c r="C191" i="6"/>
  <c r="A191" i="6"/>
  <c r="I191" i="6"/>
  <c r="N191" i="6" s="1"/>
  <c r="D191" i="6"/>
  <c r="M191" i="6" s="1"/>
  <c r="B191" i="6"/>
  <c r="E199" i="6"/>
  <c r="C199" i="6"/>
  <c r="A199" i="6"/>
  <c r="I199" i="6"/>
  <c r="N199" i="6" s="1"/>
  <c r="D199" i="6"/>
  <c r="M199" i="6" s="1"/>
  <c r="B199" i="6"/>
  <c r="E207" i="6"/>
  <c r="C207" i="6"/>
  <c r="A207" i="6"/>
  <c r="I207" i="6"/>
  <c r="N207" i="6" s="1"/>
  <c r="D207" i="6"/>
  <c r="M207" i="6" s="1"/>
  <c r="B207" i="6"/>
  <c r="E211" i="6"/>
  <c r="C211" i="6"/>
  <c r="A211" i="6"/>
  <c r="I211" i="6"/>
  <c r="N211" i="6" s="1"/>
  <c r="D211" i="6"/>
  <c r="M211" i="6" s="1"/>
  <c r="B211" i="6"/>
  <c r="E215" i="6"/>
  <c r="C215" i="6"/>
  <c r="A215" i="6"/>
  <c r="I215" i="6"/>
  <c r="N215" i="6" s="1"/>
  <c r="D215" i="6"/>
  <c r="M215" i="6" s="1"/>
  <c r="B215" i="6"/>
  <c r="E219" i="6"/>
  <c r="C219" i="6"/>
  <c r="A219" i="6"/>
  <c r="I219" i="6"/>
  <c r="N219" i="6" s="1"/>
  <c r="D219" i="6"/>
  <c r="M219" i="6" s="1"/>
  <c r="B219" i="6"/>
  <c r="E223" i="6"/>
  <c r="C223" i="6"/>
  <c r="A223" i="6"/>
  <c r="I223" i="6"/>
  <c r="N223" i="6" s="1"/>
  <c r="D223" i="6"/>
  <c r="M223" i="6" s="1"/>
  <c r="B223" i="6"/>
  <c r="J227" i="6"/>
  <c r="E227" i="6"/>
  <c r="C227" i="6"/>
  <c r="A227" i="6"/>
  <c r="K227" i="6"/>
  <c r="I227" i="6"/>
  <c r="N227" i="6" s="1"/>
  <c r="D227" i="6"/>
  <c r="M227" i="6" s="1"/>
  <c r="B227" i="6"/>
  <c r="J231" i="6"/>
  <c r="E231" i="6"/>
  <c r="C231" i="6"/>
  <c r="A231" i="6"/>
  <c r="K231" i="6"/>
  <c r="I231" i="6"/>
  <c r="N231" i="6" s="1"/>
  <c r="D231" i="6"/>
  <c r="M231" i="6" s="1"/>
  <c r="B231" i="6"/>
  <c r="E239" i="6"/>
  <c r="C239" i="6"/>
  <c r="A239" i="6"/>
  <c r="I239" i="6"/>
  <c r="N239" i="6" s="1"/>
  <c r="D239" i="6"/>
  <c r="M239" i="6" s="1"/>
  <c r="B239" i="6"/>
  <c r="E250" i="6"/>
  <c r="C250" i="6"/>
  <c r="A250" i="6"/>
  <c r="I250" i="6"/>
  <c r="N250" i="6" s="1"/>
  <c r="D250" i="6"/>
  <c r="M250" i="6" s="1"/>
  <c r="B250" i="6"/>
  <c r="E266" i="6"/>
  <c r="C266" i="6"/>
  <c r="A266" i="6"/>
  <c r="I266" i="6"/>
  <c r="N266" i="6" s="1"/>
  <c r="D266" i="6"/>
  <c r="M266" i="6" s="1"/>
  <c r="B266" i="6"/>
  <c r="J282" i="6"/>
  <c r="E282" i="6"/>
  <c r="C282" i="6"/>
  <c r="A282" i="6"/>
  <c r="K282" i="6"/>
  <c r="I282" i="6"/>
  <c r="N282" i="6" s="1"/>
  <c r="D282" i="6"/>
  <c r="M282" i="6" s="1"/>
  <c r="B282" i="6"/>
  <c r="J298" i="6"/>
  <c r="E298" i="6"/>
  <c r="C298" i="6"/>
  <c r="A298" i="6"/>
  <c r="K298" i="6"/>
  <c r="I298" i="6"/>
  <c r="N298" i="6" s="1"/>
  <c r="D298" i="6"/>
  <c r="M298" i="6" s="1"/>
  <c r="B298" i="6"/>
  <c r="J314" i="6"/>
  <c r="E314" i="6"/>
  <c r="C314" i="6"/>
  <c r="A314" i="6"/>
  <c r="K314" i="6"/>
  <c r="I314" i="6"/>
  <c r="N314" i="6" s="1"/>
  <c r="D314" i="6"/>
  <c r="M314" i="6" s="1"/>
  <c r="B314" i="6"/>
  <c r="E330" i="6"/>
  <c r="C330" i="6"/>
  <c r="A330" i="6"/>
  <c r="I330" i="6"/>
  <c r="N330" i="6" s="1"/>
  <c r="D330" i="6"/>
  <c r="M330" i="6" s="1"/>
  <c r="B330" i="6"/>
  <c r="E346" i="6"/>
  <c r="C346" i="6"/>
  <c r="A346" i="6"/>
  <c r="I346" i="6"/>
  <c r="N346" i="6" s="1"/>
  <c r="D346" i="6"/>
  <c r="M346" i="6" s="1"/>
  <c r="B346" i="6"/>
  <c r="J362" i="6"/>
  <c r="E362" i="6"/>
  <c r="C362" i="6"/>
  <c r="A362" i="6"/>
  <c r="K362" i="6"/>
  <c r="I362" i="6"/>
  <c r="N362" i="6" s="1"/>
  <c r="D362" i="6"/>
  <c r="M362" i="6" s="1"/>
  <c r="B362" i="6"/>
  <c r="E378" i="6"/>
  <c r="C378" i="6"/>
  <c r="A378" i="6"/>
  <c r="I378" i="6"/>
  <c r="N378" i="6" s="1"/>
  <c r="D378" i="6"/>
  <c r="M378" i="6" s="1"/>
  <c r="B378" i="6"/>
  <c r="E394" i="6"/>
  <c r="C394" i="6"/>
  <c r="A394" i="6"/>
  <c r="I394" i="6"/>
  <c r="N394" i="6" s="1"/>
  <c r="D394" i="6"/>
  <c r="M394" i="6" s="1"/>
  <c r="B394" i="6"/>
  <c r="J410" i="6"/>
  <c r="E410" i="6"/>
  <c r="C410" i="6"/>
  <c r="A410" i="6"/>
  <c r="I410" i="6"/>
  <c r="N410" i="6" s="1"/>
  <c r="D410" i="6"/>
  <c r="M410" i="6" s="1"/>
  <c r="B410" i="6"/>
  <c r="E426" i="6"/>
  <c r="C426" i="6"/>
  <c r="A426" i="6"/>
  <c r="I426" i="6"/>
  <c r="N426" i="6" s="1"/>
  <c r="D426" i="6"/>
  <c r="M426" i="6" s="1"/>
  <c r="B426" i="6"/>
  <c r="J442" i="6"/>
  <c r="E442" i="6"/>
  <c r="C442" i="6"/>
  <c r="A442" i="6"/>
  <c r="I442" i="6"/>
  <c r="N442" i="6" s="1"/>
  <c r="D442" i="6"/>
  <c r="M442" i="6" s="1"/>
  <c r="B442" i="6"/>
  <c r="J458" i="6"/>
  <c r="E458" i="6"/>
  <c r="C458" i="6"/>
  <c r="A458" i="6"/>
  <c r="K458" i="6"/>
  <c r="I458" i="6"/>
  <c r="N458" i="6" s="1"/>
  <c r="D458" i="6"/>
  <c r="M458" i="6" s="1"/>
  <c r="B458" i="6"/>
  <c r="J474" i="6"/>
  <c r="E474" i="6"/>
  <c r="C474" i="6"/>
  <c r="A474" i="6"/>
  <c r="K474" i="6"/>
  <c r="I474" i="6"/>
  <c r="N474" i="6" s="1"/>
  <c r="D474" i="6"/>
  <c r="M474" i="6" s="1"/>
  <c r="B474" i="6"/>
  <c r="J490" i="6"/>
  <c r="E490" i="6"/>
  <c r="C490" i="6"/>
  <c r="A490" i="6"/>
  <c r="K490" i="6"/>
  <c r="I490" i="6"/>
  <c r="N490" i="6" s="1"/>
  <c r="D490" i="6"/>
  <c r="M490" i="6" s="1"/>
  <c r="B490" i="6"/>
  <c r="J463" i="6"/>
  <c r="E463" i="6"/>
  <c r="C463" i="6"/>
  <c r="A463" i="6"/>
  <c r="K463" i="6"/>
  <c r="I463" i="6"/>
  <c r="N463" i="6" s="1"/>
  <c r="D463" i="6"/>
  <c r="M463" i="6" s="1"/>
  <c r="B463" i="6"/>
  <c r="E399" i="6"/>
  <c r="C399" i="6"/>
  <c r="A399" i="6"/>
  <c r="I399" i="6"/>
  <c r="N399" i="6" s="1"/>
  <c r="D399" i="6"/>
  <c r="M399" i="6" s="1"/>
  <c r="B399" i="6"/>
  <c r="J335" i="6"/>
  <c r="E335" i="6"/>
  <c r="C335" i="6"/>
  <c r="A335" i="6"/>
  <c r="K335" i="6"/>
  <c r="I335" i="6"/>
  <c r="N335" i="6" s="1"/>
  <c r="D335" i="6"/>
  <c r="M335" i="6" s="1"/>
  <c r="B335" i="6"/>
  <c r="E271" i="6"/>
  <c r="C271" i="6"/>
  <c r="A271" i="6"/>
  <c r="I271" i="6"/>
  <c r="N271" i="6" s="1"/>
  <c r="D271" i="6"/>
  <c r="M271" i="6" s="1"/>
  <c r="B271" i="6"/>
  <c r="J459" i="6"/>
  <c r="E459" i="6"/>
  <c r="C459" i="6"/>
  <c r="A459" i="6"/>
  <c r="K459" i="6"/>
  <c r="I459" i="6"/>
  <c r="N459" i="6" s="1"/>
  <c r="D459" i="6"/>
  <c r="M459" i="6" s="1"/>
  <c r="B459" i="6"/>
  <c r="J395" i="6"/>
  <c r="E395" i="6"/>
  <c r="C395" i="6"/>
  <c r="A395" i="6"/>
  <c r="K395" i="6"/>
  <c r="I395" i="6"/>
  <c r="N395" i="6" s="1"/>
  <c r="D395" i="6"/>
  <c r="M395" i="6" s="1"/>
  <c r="B395" i="6"/>
  <c r="E331" i="6"/>
  <c r="C331" i="6"/>
  <c r="A331" i="6"/>
  <c r="I331" i="6"/>
  <c r="N331" i="6" s="1"/>
  <c r="D331" i="6"/>
  <c r="M331" i="6" s="1"/>
  <c r="B331" i="6"/>
  <c r="J267" i="6"/>
  <c r="E267" i="6"/>
  <c r="C267" i="6"/>
  <c r="A267" i="6"/>
  <c r="K267" i="6"/>
  <c r="I267" i="6"/>
  <c r="N267" i="6" s="1"/>
  <c r="D267" i="6"/>
  <c r="M267" i="6" s="1"/>
  <c r="B267" i="6"/>
  <c r="J489" i="6"/>
  <c r="E489" i="6"/>
  <c r="C489" i="6"/>
  <c r="A489" i="6"/>
  <c r="K489" i="6"/>
  <c r="I489" i="6"/>
  <c r="N489" i="6" s="1"/>
  <c r="D489" i="6"/>
  <c r="M489" i="6" s="1"/>
  <c r="B489" i="6"/>
  <c r="J457" i="6"/>
  <c r="E457" i="6"/>
  <c r="C457" i="6"/>
  <c r="A457" i="6"/>
  <c r="K457" i="6"/>
  <c r="I457" i="6"/>
  <c r="N457" i="6" s="1"/>
  <c r="D457" i="6"/>
  <c r="M457" i="6" s="1"/>
  <c r="B457" i="6"/>
  <c r="J425" i="6"/>
  <c r="E425" i="6"/>
  <c r="C425" i="6"/>
  <c r="A425" i="6"/>
  <c r="I425" i="6"/>
  <c r="N425" i="6" s="1"/>
  <c r="D425" i="6"/>
  <c r="M425" i="6" s="1"/>
  <c r="B425" i="6"/>
  <c r="J393" i="6"/>
  <c r="E393" i="6"/>
  <c r="C393" i="6"/>
  <c r="A393" i="6"/>
  <c r="K393" i="6"/>
  <c r="I393" i="6"/>
  <c r="N393" i="6" s="1"/>
  <c r="D393" i="6"/>
  <c r="M393" i="6" s="1"/>
  <c r="B393" i="6"/>
  <c r="E361" i="6"/>
  <c r="C361" i="6"/>
  <c r="A361" i="6"/>
  <c r="I361" i="6"/>
  <c r="N361" i="6" s="1"/>
  <c r="D361" i="6"/>
  <c r="M361" i="6" s="1"/>
  <c r="B361" i="6"/>
  <c r="E329" i="6"/>
  <c r="C329" i="6"/>
  <c r="A329" i="6"/>
  <c r="I329" i="6"/>
  <c r="N329" i="6" s="1"/>
  <c r="D329" i="6"/>
  <c r="M329" i="6" s="1"/>
  <c r="B329" i="6"/>
  <c r="E297" i="6"/>
  <c r="C297" i="6"/>
  <c r="A297" i="6"/>
  <c r="I297" i="6"/>
  <c r="N297" i="6" s="1"/>
  <c r="D297" i="6"/>
  <c r="M297" i="6" s="1"/>
  <c r="B297" i="6"/>
  <c r="E265" i="6"/>
  <c r="C265" i="6"/>
  <c r="A265" i="6"/>
  <c r="I265" i="6"/>
  <c r="N265" i="6" s="1"/>
  <c r="D265" i="6"/>
  <c r="M265" i="6" s="1"/>
  <c r="B265" i="6"/>
  <c r="J113" i="6"/>
  <c r="E113" i="6"/>
  <c r="C113" i="6"/>
  <c r="A113" i="6"/>
  <c r="K113" i="6"/>
  <c r="I113" i="6"/>
  <c r="N113" i="6" s="1"/>
  <c r="D113" i="6"/>
  <c r="M113" i="6" s="1"/>
  <c r="B113" i="6"/>
  <c r="E109" i="6"/>
  <c r="C109" i="6"/>
  <c r="A109" i="6"/>
  <c r="I109" i="6"/>
  <c r="N109" i="6" s="1"/>
  <c r="D109" i="6"/>
  <c r="M109" i="6" s="1"/>
  <c r="B109" i="6"/>
  <c r="E105" i="6"/>
  <c r="C105" i="6"/>
  <c r="A105" i="6"/>
  <c r="I105" i="6"/>
  <c r="N105" i="6" s="1"/>
  <c r="D105" i="6"/>
  <c r="M105" i="6" s="1"/>
  <c r="B105" i="6"/>
  <c r="E97" i="6"/>
  <c r="C97" i="6"/>
  <c r="A97" i="6"/>
  <c r="I97" i="6"/>
  <c r="N97" i="6" s="1"/>
  <c r="D97" i="6"/>
  <c r="M97" i="6" s="1"/>
  <c r="B97" i="6"/>
  <c r="E89" i="6"/>
  <c r="C89" i="6"/>
  <c r="A89" i="6"/>
  <c r="I89" i="6"/>
  <c r="N89" i="6" s="1"/>
  <c r="D89" i="6"/>
  <c r="M89" i="6" s="1"/>
  <c r="B89" i="6"/>
  <c r="J81" i="6"/>
  <c r="E81" i="6"/>
  <c r="C81" i="6"/>
  <c r="A81" i="6"/>
  <c r="K81" i="6"/>
  <c r="I81" i="6"/>
  <c r="N81" i="6" s="1"/>
  <c r="D81" i="6"/>
  <c r="M81" i="6" s="1"/>
  <c r="B81" i="6"/>
  <c r="E73" i="6"/>
  <c r="C73" i="6"/>
  <c r="A73" i="6"/>
  <c r="I73" i="6"/>
  <c r="N73" i="6" s="1"/>
  <c r="D73" i="6"/>
  <c r="M73" i="6" s="1"/>
  <c r="B73" i="6"/>
  <c r="E65" i="6"/>
  <c r="C65" i="6"/>
  <c r="A65" i="6"/>
  <c r="I65" i="6"/>
  <c r="N65" i="6" s="1"/>
  <c r="D65" i="6"/>
  <c r="M65" i="6" s="1"/>
  <c r="B65" i="6"/>
  <c r="E57" i="6"/>
  <c r="C57" i="6"/>
  <c r="A57" i="6"/>
  <c r="I57" i="6"/>
  <c r="N57" i="6" s="1"/>
  <c r="D57" i="6"/>
  <c r="M57" i="6" s="1"/>
  <c r="B57" i="6"/>
  <c r="E49" i="6"/>
  <c r="C49" i="6"/>
  <c r="A49" i="6"/>
  <c r="I49" i="6"/>
  <c r="N49" i="6" s="1"/>
  <c r="D49" i="6"/>
  <c r="M49" i="6" s="1"/>
  <c r="B49" i="6"/>
  <c r="E41" i="6"/>
  <c r="C41" i="6"/>
  <c r="A41" i="6"/>
  <c r="I41" i="6"/>
  <c r="N41" i="6" s="1"/>
  <c r="D41" i="6"/>
  <c r="M41" i="6" s="1"/>
  <c r="B41" i="6"/>
  <c r="E33" i="6"/>
  <c r="C33" i="6"/>
  <c r="A33" i="6"/>
  <c r="I33" i="6"/>
  <c r="N33" i="6" s="1"/>
  <c r="D33" i="6"/>
  <c r="M33" i="6" s="1"/>
  <c r="B33" i="6"/>
  <c r="E25" i="6"/>
  <c r="C25" i="6"/>
  <c r="A25" i="6"/>
  <c r="I25" i="6"/>
  <c r="N25" i="6" s="1"/>
  <c r="D25" i="6"/>
  <c r="M25" i="6" s="1"/>
  <c r="B25" i="6"/>
  <c r="E9" i="6"/>
  <c r="C9" i="6"/>
  <c r="A9" i="6"/>
  <c r="I9" i="6"/>
  <c r="N9" i="6" s="1"/>
  <c r="D9" i="6"/>
  <c r="M9" i="6" s="1"/>
  <c r="B9" i="6"/>
  <c r="E116" i="6"/>
  <c r="C116" i="6"/>
  <c r="A116" i="6"/>
  <c r="I116" i="6"/>
  <c r="N116" i="6" s="1"/>
  <c r="D116" i="6"/>
  <c r="M116" i="6" s="1"/>
  <c r="B116" i="6"/>
  <c r="E124" i="6"/>
  <c r="C124" i="6"/>
  <c r="A124" i="6"/>
  <c r="I124" i="6"/>
  <c r="N124" i="6" s="1"/>
  <c r="D124" i="6"/>
  <c r="M124" i="6" s="1"/>
  <c r="B124" i="6"/>
  <c r="E132" i="6"/>
  <c r="C132" i="6"/>
  <c r="A132" i="6"/>
  <c r="I132" i="6"/>
  <c r="N132" i="6" s="1"/>
  <c r="D132" i="6"/>
  <c r="M132" i="6" s="1"/>
  <c r="B132" i="6"/>
  <c r="E140" i="6"/>
  <c r="C140" i="6"/>
  <c r="A140" i="6"/>
  <c r="I140" i="6"/>
  <c r="N140" i="6" s="1"/>
  <c r="D140" i="6"/>
  <c r="M140" i="6" s="1"/>
  <c r="B140" i="6"/>
  <c r="E148" i="6"/>
  <c r="C148" i="6"/>
  <c r="A148" i="6"/>
  <c r="I148" i="6"/>
  <c r="N148" i="6" s="1"/>
  <c r="D148" i="6"/>
  <c r="M148" i="6" s="1"/>
  <c r="B148" i="6"/>
  <c r="E152" i="6"/>
  <c r="C152" i="6"/>
  <c r="A152" i="6"/>
  <c r="I152" i="6"/>
  <c r="N152" i="6" s="1"/>
  <c r="D152" i="6"/>
  <c r="M152" i="6" s="1"/>
  <c r="B152" i="6"/>
  <c r="E156" i="6"/>
  <c r="C156" i="6"/>
  <c r="A156" i="6"/>
  <c r="I156" i="6"/>
  <c r="N156" i="6" s="1"/>
  <c r="D156" i="6"/>
  <c r="M156" i="6" s="1"/>
  <c r="B156" i="6"/>
  <c r="E160" i="6"/>
  <c r="C160" i="6"/>
  <c r="A160" i="6"/>
  <c r="I160" i="6"/>
  <c r="N160" i="6" s="1"/>
  <c r="D160" i="6"/>
  <c r="M160" i="6" s="1"/>
  <c r="B160" i="6"/>
  <c r="E164" i="6"/>
  <c r="C164" i="6"/>
  <c r="A164" i="6"/>
  <c r="I164" i="6"/>
  <c r="N164" i="6" s="1"/>
  <c r="D164" i="6"/>
  <c r="M164" i="6" s="1"/>
  <c r="B164" i="6"/>
  <c r="J172" i="6"/>
  <c r="E172" i="6"/>
  <c r="C172" i="6"/>
  <c r="A172" i="6"/>
  <c r="K172" i="6"/>
  <c r="I172" i="6"/>
  <c r="N172" i="6" s="1"/>
  <c r="D172" i="6"/>
  <c r="M172" i="6" s="1"/>
  <c r="B172" i="6"/>
  <c r="J180" i="6"/>
  <c r="E180" i="6"/>
  <c r="C180" i="6"/>
  <c r="A180" i="6"/>
  <c r="K180" i="6"/>
  <c r="I180" i="6"/>
  <c r="N180" i="6" s="1"/>
  <c r="D180" i="6"/>
  <c r="M180" i="6" s="1"/>
  <c r="B180" i="6"/>
  <c r="E188" i="6"/>
  <c r="C188" i="6"/>
  <c r="A188" i="6"/>
  <c r="I188" i="6"/>
  <c r="N188" i="6" s="1"/>
  <c r="D188" i="6"/>
  <c r="M188" i="6" s="1"/>
  <c r="B188" i="6"/>
  <c r="E196" i="6"/>
  <c r="C196" i="6"/>
  <c r="A196" i="6"/>
  <c r="I196" i="6"/>
  <c r="N196" i="6" s="1"/>
  <c r="D196" i="6"/>
  <c r="M196" i="6" s="1"/>
  <c r="B196" i="6"/>
  <c r="E212" i="6"/>
  <c r="C212" i="6"/>
  <c r="A212" i="6"/>
  <c r="I212" i="6"/>
  <c r="N212" i="6" s="1"/>
  <c r="D212" i="6"/>
  <c r="M212" i="6" s="1"/>
  <c r="B212" i="6"/>
  <c r="J220" i="6"/>
  <c r="E220" i="6"/>
  <c r="C220" i="6"/>
  <c r="A220" i="6"/>
  <c r="K220" i="6"/>
  <c r="I220" i="6"/>
  <c r="N220" i="6" s="1"/>
  <c r="D220" i="6"/>
  <c r="M220" i="6" s="1"/>
  <c r="B220" i="6"/>
  <c r="J228" i="6"/>
  <c r="E228" i="6"/>
  <c r="C228" i="6"/>
  <c r="A228" i="6"/>
  <c r="K228" i="6"/>
  <c r="I228" i="6"/>
  <c r="N228" i="6" s="1"/>
  <c r="D228" i="6"/>
  <c r="M228" i="6" s="1"/>
  <c r="B228" i="6"/>
  <c r="J232" i="6"/>
  <c r="E232" i="6"/>
  <c r="C232" i="6"/>
  <c r="A232" i="6"/>
  <c r="K232" i="6"/>
  <c r="I232" i="6"/>
  <c r="N232" i="6" s="1"/>
  <c r="D232" i="6"/>
  <c r="M232" i="6" s="1"/>
  <c r="B232" i="6"/>
  <c r="E236" i="6"/>
  <c r="C236" i="6"/>
  <c r="A236" i="6"/>
  <c r="I236" i="6"/>
  <c r="N236" i="6" s="1"/>
  <c r="D236" i="6"/>
  <c r="M236" i="6" s="1"/>
  <c r="B236" i="6"/>
  <c r="E244" i="6"/>
  <c r="C244" i="6"/>
  <c r="A244" i="6"/>
  <c r="I244" i="6"/>
  <c r="N244" i="6" s="1"/>
  <c r="D244" i="6"/>
  <c r="M244" i="6" s="1"/>
  <c r="B244" i="6"/>
  <c r="E260" i="6"/>
  <c r="C260" i="6"/>
  <c r="A260" i="6"/>
  <c r="I260" i="6"/>
  <c r="N260" i="6" s="1"/>
  <c r="D260" i="6"/>
  <c r="M260" i="6" s="1"/>
  <c r="B260" i="6"/>
  <c r="E276" i="6"/>
  <c r="C276" i="6"/>
  <c r="A276" i="6"/>
  <c r="I276" i="6"/>
  <c r="N276" i="6" s="1"/>
  <c r="D276" i="6"/>
  <c r="M276" i="6" s="1"/>
  <c r="B276" i="6"/>
  <c r="E292" i="6"/>
  <c r="C292" i="6"/>
  <c r="A292" i="6"/>
  <c r="I292" i="6"/>
  <c r="N292" i="6" s="1"/>
  <c r="D292" i="6"/>
  <c r="M292" i="6" s="1"/>
  <c r="B292" i="6"/>
  <c r="J308" i="6"/>
  <c r="E308" i="6"/>
  <c r="C308" i="6"/>
  <c r="A308" i="6"/>
  <c r="K308" i="6"/>
  <c r="I308" i="6"/>
  <c r="N308" i="6" s="1"/>
  <c r="D308" i="6"/>
  <c r="M308" i="6" s="1"/>
  <c r="B308" i="6"/>
  <c r="J324" i="6"/>
  <c r="E324" i="6"/>
  <c r="C324" i="6"/>
  <c r="A324" i="6"/>
  <c r="K324" i="6"/>
  <c r="I324" i="6"/>
  <c r="N324" i="6" s="1"/>
  <c r="D324" i="6"/>
  <c r="M324" i="6" s="1"/>
  <c r="B324" i="6"/>
  <c r="J340" i="6"/>
  <c r="E340" i="6"/>
  <c r="C340" i="6"/>
  <c r="A340" i="6"/>
  <c r="I340" i="6"/>
  <c r="N340" i="6" s="1"/>
  <c r="D340" i="6"/>
  <c r="M340" i="6" s="1"/>
  <c r="B340" i="6"/>
  <c r="E356" i="6"/>
  <c r="C356" i="6"/>
  <c r="A356" i="6"/>
  <c r="I356" i="6"/>
  <c r="N356" i="6" s="1"/>
  <c r="D356" i="6"/>
  <c r="M356" i="6" s="1"/>
  <c r="B356" i="6"/>
  <c r="J372" i="6"/>
  <c r="E372" i="6"/>
  <c r="C372" i="6"/>
  <c r="A372" i="6"/>
  <c r="K372" i="6"/>
  <c r="I372" i="6"/>
  <c r="N372" i="6" s="1"/>
  <c r="D372" i="6"/>
  <c r="M372" i="6" s="1"/>
  <c r="B372" i="6"/>
  <c r="E388" i="6"/>
  <c r="C388" i="6"/>
  <c r="A388" i="6"/>
  <c r="I388" i="6"/>
  <c r="N388" i="6" s="1"/>
  <c r="D388" i="6"/>
  <c r="M388" i="6" s="1"/>
  <c r="B388" i="6"/>
  <c r="J404" i="6"/>
  <c r="E404" i="6"/>
  <c r="C404" i="6"/>
  <c r="A404" i="6"/>
  <c r="K404" i="6"/>
  <c r="I404" i="6"/>
  <c r="N404" i="6" s="1"/>
  <c r="D404" i="6"/>
  <c r="M404" i="6" s="1"/>
  <c r="B404" i="6"/>
  <c r="J420" i="6"/>
  <c r="E420" i="6"/>
  <c r="C420" i="6"/>
  <c r="A420" i="6"/>
  <c r="K420" i="6"/>
  <c r="I420" i="6"/>
  <c r="N420" i="6" s="1"/>
  <c r="D420" i="6"/>
  <c r="M420" i="6" s="1"/>
  <c r="B420" i="6"/>
  <c r="J436" i="6"/>
  <c r="E436" i="6"/>
  <c r="C436" i="6"/>
  <c r="A436" i="6"/>
  <c r="K436" i="6"/>
  <c r="I436" i="6"/>
  <c r="N436" i="6" s="1"/>
  <c r="D436" i="6"/>
  <c r="M436" i="6" s="1"/>
  <c r="B436" i="6"/>
  <c r="J452" i="6"/>
  <c r="E452" i="6"/>
  <c r="C452" i="6"/>
  <c r="A452" i="6"/>
  <c r="K452" i="6"/>
  <c r="I452" i="6"/>
  <c r="N452" i="6" s="1"/>
  <c r="D452" i="6"/>
  <c r="M452" i="6" s="1"/>
  <c r="B452" i="6"/>
  <c r="J468" i="6"/>
  <c r="E468" i="6"/>
  <c r="C468" i="6"/>
  <c r="A468" i="6"/>
  <c r="K468" i="6"/>
  <c r="I468" i="6"/>
  <c r="N468" i="6" s="1"/>
  <c r="D468" i="6"/>
  <c r="M468" i="6" s="1"/>
  <c r="B468" i="6"/>
  <c r="J484" i="6"/>
  <c r="E484" i="6"/>
  <c r="C484" i="6"/>
  <c r="A484" i="6"/>
  <c r="K484" i="6"/>
  <c r="I484" i="6"/>
  <c r="N484" i="6" s="1"/>
  <c r="D484" i="6"/>
  <c r="M484" i="6" s="1"/>
  <c r="B484" i="6"/>
  <c r="J487" i="6"/>
  <c r="E487" i="6"/>
  <c r="C487" i="6"/>
  <c r="A487" i="6"/>
  <c r="K487" i="6"/>
  <c r="I487" i="6"/>
  <c r="N487" i="6" s="1"/>
  <c r="D487" i="6"/>
  <c r="M487" i="6" s="1"/>
  <c r="B487" i="6"/>
  <c r="E423" i="6"/>
  <c r="C423" i="6"/>
  <c r="A423" i="6"/>
  <c r="I423" i="6"/>
  <c r="N423" i="6" s="1"/>
  <c r="D423" i="6"/>
  <c r="M423" i="6" s="1"/>
  <c r="B423" i="6"/>
  <c r="E359" i="6"/>
  <c r="C359" i="6"/>
  <c r="A359" i="6"/>
  <c r="I359" i="6"/>
  <c r="N359" i="6" s="1"/>
  <c r="D359" i="6"/>
  <c r="M359" i="6" s="1"/>
  <c r="B359" i="6"/>
  <c r="E295" i="6"/>
  <c r="C295" i="6"/>
  <c r="A295" i="6"/>
  <c r="I295" i="6"/>
  <c r="N295" i="6" s="1"/>
  <c r="D295" i="6"/>
  <c r="M295" i="6" s="1"/>
  <c r="B295" i="6"/>
  <c r="E263" i="6"/>
  <c r="C263" i="6"/>
  <c r="A263" i="6"/>
  <c r="I263" i="6"/>
  <c r="N263" i="6" s="1"/>
  <c r="D263" i="6"/>
  <c r="M263" i="6" s="1"/>
  <c r="B263" i="6"/>
  <c r="E419" i="6"/>
  <c r="C419" i="6"/>
  <c r="A419" i="6"/>
  <c r="I419" i="6"/>
  <c r="N419" i="6" s="1"/>
  <c r="D419" i="6"/>
  <c r="M419" i="6" s="1"/>
  <c r="B419" i="6"/>
  <c r="J355" i="6"/>
  <c r="E355" i="6"/>
  <c r="C355" i="6"/>
  <c r="A355" i="6"/>
  <c r="K355" i="6"/>
  <c r="I355" i="6"/>
  <c r="N355" i="6" s="1"/>
  <c r="D355" i="6"/>
  <c r="M355" i="6" s="1"/>
  <c r="B355" i="6"/>
  <c r="J291" i="6"/>
  <c r="E291" i="6"/>
  <c r="C291" i="6"/>
  <c r="A291" i="6"/>
  <c r="K291" i="6"/>
  <c r="I291" i="6"/>
  <c r="N291" i="6" s="1"/>
  <c r="D291" i="6"/>
  <c r="M291" i="6" s="1"/>
  <c r="B291" i="6"/>
  <c r="E2" i="6"/>
  <c r="E31" i="9" s="1"/>
  <c r="C2" i="6"/>
  <c r="A2" i="6"/>
  <c r="B2" i="6"/>
  <c r="M12" i="4"/>
  <c r="K12" i="6" s="1"/>
  <c r="L12" i="4"/>
  <c r="J12" i="6" s="1"/>
  <c r="M129" i="4"/>
  <c r="K129" i="6" s="1"/>
  <c r="L129" i="4"/>
  <c r="J129" i="6" s="1"/>
  <c r="M225" i="4"/>
  <c r="L225" i="4"/>
  <c r="M214" i="4"/>
  <c r="L214" i="4"/>
  <c r="M261" i="4"/>
  <c r="L261" i="4"/>
  <c r="M123" i="4"/>
  <c r="K123" i="6" s="1"/>
  <c r="L123" i="4"/>
  <c r="J123" i="6" s="1"/>
  <c r="J26" i="11" l="1"/>
  <c r="L26" i="12"/>
  <c r="L22" i="12"/>
  <c r="L9" i="12"/>
  <c r="L23" i="12"/>
  <c r="D14" i="12"/>
  <c r="D22" i="12"/>
  <c r="E8" i="12"/>
  <c r="D18" i="12"/>
  <c r="E18" i="12"/>
  <c r="E9" i="12"/>
  <c r="E23" i="12"/>
  <c r="D7" i="12"/>
  <c r="D19" i="12"/>
  <c r="E4" i="10"/>
  <c r="H4" i="10"/>
  <c r="E14" i="10"/>
  <c r="E7" i="10"/>
  <c r="D9" i="10"/>
  <c r="E8" i="10"/>
  <c r="G17" i="10"/>
  <c r="G3" i="10"/>
  <c r="E9" i="10"/>
  <c r="G14" i="10"/>
  <c r="F19" i="10"/>
  <c r="G4" i="10"/>
  <c r="F9" i="10"/>
  <c r="H14" i="10"/>
  <c r="G19" i="10"/>
  <c r="F17" i="12"/>
  <c r="G3" i="12"/>
  <c r="F13" i="12"/>
  <c r="G13" i="12"/>
  <c r="G4" i="12"/>
  <c r="G18" i="12"/>
  <c r="F2" i="12"/>
  <c r="F14" i="12"/>
  <c r="F30" i="12"/>
  <c r="L15" i="7"/>
  <c r="L7" i="7"/>
  <c r="L18" i="7"/>
  <c r="L10" i="7"/>
  <c r="J4" i="12"/>
  <c r="J31" i="12"/>
  <c r="J27" i="11"/>
  <c r="J26" i="12"/>
  <c r="J22" i="11"/>
  <c r="J13" i="12"/>
  <c r="J9" i="11"/>
  <c r="J8" i="12"/>
  <c r="J4" i="11"/>
  <c r="F27" i="11"/>
  <c r="G18" i="11"/>
  <c r="G4" i="11"/>
  <c r="F26" i="11"/>
  <c r="G12" i="11"/>
  <c r="F30" i="11"/>
  <c r="F9" i="11"/>
  <c r="G27" i="11"/>
  <c r="G14" i="11"/>
  <c r="O2" i="7"/>
  <c r="P2" i="7"/>
  <c r="D17" i="11"/>
  <c r="D3" i="11"/>
  <c r="M15" i="7"/>
  <c r="M7" i="7"/>
  <c r="Q17" i="7"/>
  <c r="P12" i="7"/>
  <c r="O7" i="7"/>
  <c r="N4" i="11"/>
  <c r="O17" i="11"/>
  <c r="O31" i="11"/>
  <c r="O12" i="12"/>
  <c r="N23" i="12"/>
  <c r="D23" i="11"/>
  <c r="D8" i="11"/>
  <c r="P17" i="7"/>
  <c r="O12" i="7"/>
  <c r="Q6" i="7"/>
  <c r="O3" i="11"/>
  <c r="N18" i="11"/>
  <c r="N2" i="12"/>
  <c r="O14" i="12"/>
  <c r="N27" i="12"/>
  <c r="D19" i="11"/>
  <c r="D7" i="11"/>
  <c r="M14" i="7"/>
  <c r="M6" i="7"/>
  <c r="O17" i="7"/>
  <c r="Q11" i="7"/>
  <c r="P6" i="7"/>
  <c r="N3" i="11"/>
  <c r="O18" i="11"/>
  <c r="O2" i="12"/>
  <c r="N17" i="12"/>
  <c r="N31" i="12"/>
  <c r="D18" i="11"/>
  <c r="E9" i="11"/>
  <c r="P19" i="7"/>
  <c r="O14" i="7"/>
  <c r="Q8" i="7"/>
  <c r="P3" i="7"/>
  <c r="N13" i="11"/>
  <c r="N27" i="11"/>
  <c r="N12" i="12"/>
  <c r="O26" i="12"/>
  <c r="P9" i="11"/>
  <c r="P3" i="11"/>
  <c r="P7" i="11"/>
  <c r="P2" i="11"/>
  <c r="P30" i="11"/>
  <c r="K18" i="11"/>
  <c r="K17" i="12"/>
  <c r="P13" i="12"/>
  <c r="K13" i="11"/>
  <c r="K12" i="12"/>
  <c r="P8" i="12"/>
  <c r="K2" i="11"/>
  <c r="K30" i="11"/>
  <c r="K27" i="12"/>
  <c r="P23" i="12"/>
  <c r="K23" i="11"/>
  <c r="K14" i="12"/>
  <c r="P12" i="12"/>
  <c r="L17" i="11"/>
  <c r="L23" i="11"/>
  <c r="L22" i="11"/>
  <c r="L31" i="11"/>
  <c r="L4" i="11"/>
  <c r="I9" i="10"/>
  <c r="I14" i="10"/>
  <c r="I19" i="10"/>
  <c r="H26" i="10"/>
  <c r="E22" i="10"/>
  <c r="E4" i="9"/>
  <c r="I8" i="9"/>
  <c r="G13" i="9"/>
  <c r="E18" i="9"/>
  <c r="H22" i="9"/>
  <c r="F27" i="9"/>
  <c r="F30" i="10"/>
  <c r="H27" i="10"/>
  <c r="H22" i="10"/>
  <c r="H3" i="9"/>
  <c r="F8" i="9"/>
  <c r="D13" i="9"/>
  <c r="H17" i="9"/>
  <c r="E22" i="9"/>
  <c r="I26" i="9"/>
  <c r="G31" i="9"/>
  <c r="G27" i="10"/>
  <c r="G22" i="10"/>
  <c r="G4" i="9"/>
  <c r="E9" i="9"/>
  <c r="I13" i="9"/>
  <c r="G18" i="9"/>
  <c r="D23" i="9"/>
  <c r="H27" i="9"/>
  <c r="H31" i="10"/>
  <c r="F27" i="10"/>
  <c r="D23" i="10"/>
  <c r="F3" i="9"/>
  <c r="D8" i="9"/>
  <c r="H12" i="9"/>
  <c r="F17" i="9"/>
  <c r="G22" i="9"/>
  <c r="E27" i="9"/>
  <c r="I31" i="9"/>
  <c r="L18" i="12"/>
  <c r="L2" i="12"/>
  <c r="L30" i="12"/>
  <c r="L13" i="12"/>
  <c r="L27" i="12"/>
  <c r="E2" i="12"/>
  <c r="D2" i="12"/>
  <c r="H2" i="12" s="1"/>
  <c r="E22" i="12"/>
  <c r="D26" i="12"/>
  <c r="E26" i="12"/>
  <c r="E13" i="12"/>
  <c r="I13" i="12" s="1"/>
  <c r="E27" i="12"/>
  <c r="D9" i="12"/>
  <c r="D23" i="12"/>
  <c r="F2" i="10"/>
  <c r="F7" i="10"/>
  <c r="D8" i="10"/>
  <c r="F17" i="10"/>
  <c r="H8" i="10"/>
  <c r="D12" i="10"/>
  <c r="H9" i="10"/>
  <c r="E19" i="10"/>
  <c r="F4" i="10"/>
  <c r="E12" i="10"/>
  <c r="D17" i="10"/>
  <c r="E2" i="10"/>
  <c r="D7" i="10"/>
  <c r="F12" i="10"/>
  <c r="E17" i="10"/>
  <c r="F23" i="12"/>
  <c r="F31" i="12"/>
  <c r="G17" i="12"/>
  <c r="F19" i="12"/>
  <c r="G19" i="12"/>
  <c r="G8" i="12"/>
  <c r="G22" i="12"/>
  <c r="F4" i="12"/>
  <c r="F18" i="12"/>
  <c r="L13" i="7"/>
  <c r="L5" i="7"/>
  <c r="L16" i="7"/>
  <c r="L8" i="7"/>
  <c r="J9" i="12"/>
  <c r="J7" i="11"/>
  <c r="J3" i="12"/>
  <c r="J2" i="11"/>
  <c r="J30" i="11"/>
  <c r="J19" i="12"/>
  <c r="J17" i="11"/>
  <c r="J14" i="12"/>
  <c r="J12" i="11"/>
  <c r="G26" i="11"/>
  <c r="F14" i="11"/>
  <c r="G31" i="11"/>
  <c r="F18" i="11"/>
  <c r="M18" i="11" s="1"/>
  <c r="G9" i="11"/>
  <c r="G23" i="11"/>
  <c r="G8" i="11"/>
  <c r="F23" i="11"/>
  <c r="M23" i="11" s="1"/>
  <c r="F8" i="11"/>
  <c r="M8" i="11" s="1"/>
  <c r="Q20" i="7"/>
  <c r="Q2" i="7"/>
  <c r="D12" i="11"/>
  <c r="E2" i="11"/>
  <c r="M13" i="7"/>
  <c r="M5" i="7"/>
  <c r="P16" i="7"/>
  <c r="O11" i="7"/>
  <c r="Q5" i="7"/>
  <c r="O7" i="11"/>
  <c r="O19" i="11"/>
  <c r="N3" i="12"/>
  <c r="N14" i="12"/>
  <c r="O30" i="12"/>
  <c r="E22" i="11"/>
  <c r="E7" i="11"/>
  <c r="O16" i="7"/>
  <c r="Q10" i="7"/>
  <c r="P5" i="7"/>
  <c r="N8" i="11"/>
  <c r="N22" i="11"/>
  <c r="O3" i="12"/>
  <c r="O18" i="12"/>
  <c r="D27" i="11"/>
  <c r="E18" i="11"/>
  <c r="E4" i="11"/>
  <c r="M12" i="7"/>
  <c r="M4" i="7"/>
  <c r="Q15" i="7"/>
  <c r="P10" i="7"/>
  <c r="O5" i="7"/>
  <c r="O8" i="11"/>
  <c r="O22" i="11"/>
  <c r="N4" i="12"/>
  <c r="O22" i="12"/>
  <c r="D31" i="11"/>
  <c r="E17" i="11"/>
  <c r="D4" i="11"/>
  <c r="O18" i="7"/>
  <c r="Q12" i="7"/>
  <c r="P7" i="7"/>
  <c r="O4" i="11"/>
  <c r="N17" i="11"/>
  <c r="N31" i="11"/>
  <c r="O13" i="12"/>
  <c r="N30" i="12"/>
  <c r="P17" i="11"/>
  <c r="P12" i="11"/>
  <c r="P13" i="11"/>
  <c r="P8" i="11"/>
  <c r="K4" i="11"/>
  <c r="K26" i="11"/>
  <c r="K23" i="12"/>
  <c r="P19" i="12"/>
  <c r="K19" i="11"/>
  <c r="K18" i="12"/>
  <c r="P14" i="12"/>
  <c r="K8" i="11"/>
  <c r="K7" i="12"/>
  <c r="P2" i="12"/>
  <c r="P31" i="12"/>
  <c r="K31" i="11"/>
  <c r="K22" i="12"/>
  <c r="P18" i="12"/>
  <c r="L12" i="11"/>
  <c r="L8" i="11"/>
  <c r="L19" i="11"/>
  <c r="L26" i="11"/>
  <c r="I4" i="10"/>
  <c r="I13" i="10"/>
  <c r="I18" i="10"/>
  <c r="D31" i="10"/>
  <c r="D26" i="10"/>
  <c r="E2" i="9"/>
  <c r="I4" i="9"/>
  <c r="G9" i="9"/>
  <c r="E14" i="9"/>
  <c r="I18" i="9"/>
  <c r="F23" i="9"/>
  <c r="D30" i="9"/>
  <c r="G31" i="10"/>
  <c r="L31" i="10" s="1"/>
  <c r="D27" i="10"/>
  <c r="D22" i="10"/>
  <c r="D24" i="10" s="1"/>
  <c r="F4" i="9"/>
  <c r="D9" i="9"/>
  <c r="H13" i="9"/>
  <c r="F18" i="9"/>
  <c r="I22" i="9"/>
  <c r="G27" i="9"/>
  <c r="F31" i="10"/>
  <c r="F26" i="10"/>
  <c r="F28" i="10" s="1"/>
  <c r="G2" i="9"/>
  <c r="E7" i="9"/>
  <c r="I9" i="9"/>
  <c r="G14" i="9"/>
  <c r="E19" i="9"/>
  <c r="H23" i="9"/>
  <c r="F30" i="9"/>
  <c r="I31" i="10"/>
  <c r="I26" i="10"/>
  <c r="F22" i="10"/>
  <c r="D4" i="9"/>
  <c r="H8" i="9"/>
  <c r="F13" i="9"/>
  <c r="D18" i="9"/>
  <c r="L18" i="9" s="1"/>
  <c r="E23" i="9"/>
  <c r="I27" i="9"/>
  <c r="L4" i="12"/>
  <c r="L8" i="12"/>
  <c r="L3" i="12"/>
  <c r="L17" i="12"/>
  <c r="L31" i="12"/>
  <c r="E30" i="12"/>
  <c r="D30" i="12"/>
  <c r="D4" i="12"/>
  <c r="H4" i="12" s="1"/>
  <c r="E4" i="12"/>
  <c r="I4" i="12" s="1"/>
  <c r="E3" i="12"/>
  <c r="I3" i="12" s="1"/>
  <c r="E17" i="12"/>
  <c r="E31" i="12"/>
  <c r="D13" i="12"/>
  <c r="D27" i="12"/>
  <c r="F13" i="10"/>
  <c r="G13" i="10"/>
  <c r="G9" i="10"/>
  <c r="D19" i="10"/>
  <c r="E18" i="10"/>
  <c r="F18" i="10"/>
  <c r="H12" i="10"/>
  <c r="D2" i="10"/>
  <c r="G7" i="10"/>
  <c r="D13" i="10"/>
  <c r="H17" i="10"/>
  <c r="D3" i="10"/>
  <c r="H7" i="10"/>
  <c r="E13" i="10"/>
  <c r="D18" i="10"/>
  <c r="G9" i="12"/>
  <c r="F9" i="12"/>
  <c r="G31" i="12"/>
  <c r="F27" i="12"/>
  <c r="G27" i="12"/>
  <c r="G12" i="12"/>
  <c r="G26" i="12"/>
  <c r="F8" i="12"/>
  <c r="F22" i="12"/>
  <c r="L19" i="7"/>
  <c r="L11" i="7"/>
  <c r="L3" i="7"/>
  <c r="L14" i="7"/>
  <c r="L6" i="7"/>
  <c r="J17" i="12"/>
  <c r="J13" i="11"/>
  <c r="J12" i="12"/>
  <c r="J8" i="11"/>
  <c r="J2" i="12"/>
  <c r="J27" i="12"/>
  <c r="J23" i="11"/>
  <c r="J22" i="12"/>
  <c r="J18" i="11"/>
  <c r="F22" i="11"/>
  <c r="G13" i="11"/>
  <c r="F31" i="11"/>
  <c r="M31" i="11" s="1"/>
  <c r="G17" i="11"/>
  <c r="F4" i="11"/>
  <c r="F17" i="11"/>
  <c r="F3" i="11"/>
  <c r="G22" i="11"/>
  <c r="G7" i="11"/>
  <c r="P20" i="7"/>
  <c r="E31" i="11"/>
  <c r="D9" i="11"/>
  <c r="M19" i="7"/>
  <c r="M11" i="7"/>
  <c r="M3" i="7"/>
  <c r="O15" i="7"/>
  <c r="Q9" i="7"/>
  <c r="P4" i="7"/>
  <c r="O9" i="11"/>
  <c r="O23" i="11"/>
  <c r="N7" i="12"/>
  <c r="N18" i="12"/>
  <c r="D30" i="11"/>
  <c r="E19" i="11"/>
  <c r="D2" i="11"/>
  <c r="Q14" i="7"/>
  <c r="P9" i="7"/>
  <c r="O4" i="7"/>
  <c r="N12" i="11"/>
  <c r="N26" i="11"/>
  <c r="N28" i="11" s="1"/>
  <c r="O7" i="12"/>
  <c r="N22" i="12"/>
  <c r="E26" i="11"/>
  <c r="D14" i="11"/>
  <c r="M18" i="7"/>
  <c r="M10" i="7"/>
  <c r="Q19" i="7"/>
  <c r="P14" i="7"/>
  <c r="O9" i="7"/>
  <c r="Q3" i="7"/>
  <c r="O12" i="11"/>
  <c r="O26" i="11"/>
  <c r="O9" i="12"/>
  <c r="N26" i="12"/>
  <c r="E30" i="11"/>
  <c r="D13" i="11"/>
  <c r="E3" i="11"/>
  <c r="Q16" i="7"/>
  <c r="P11" i="7"/>
  <c r="O6" i="7"/>
  <c r="N7" i="11"/>
  <c r="N19" i="11"/>
  <c r="O4" i="12"/>
  <c r="O17" i="12"/>
  <c r="O31" i="12"/>
  <c r="P23" i="11"/>
  <c r="P18" i="11"/>
  <c r="P19" i="11"/>
  <c r="P14" i="11"/>
  <c r="K3" i="11"/>
  <c r="K3" i="12"/>
  <c r="K31" i="12"/>
  <c r="P27" i="12"/>
  <c r="K27" i="11"/>
  <c r="K26" i="12"/>
  <c r="K28" i="12" s="1"/>
  <c r="P22" i="12"/>
  <c r="P24" i="12" s="1"/>
  <c r="K14" i="11"/>
  <c r="K13" i="12"/>
  <c r="P9" i="12"/>
  <c r="K9" i="11"/>
  <c r="K2" i="12"/>
  <c r="K5" i="12" s="1"/>
  <c r="K30" i="12"/>
  <c r="P26" i="12"/>
  <c r="L9" i="11"/>
  <c r="L2" i="11"/>
  <c r="L14" i="11"/>
  <c r="L18" i="11"/>
  <c r="I8" i="10"/>
  <c r="I17" i="10"/>
  <c r="I20" i="10" s="1"/>
  <c r="I3" i="10"/>
  <c r="I27" i="10"/>
  <c r="G23" i="10"/>
  <c r="L23" i="10" s="1"/>
  <c r="I2" i="9"/>
  <c r="G7" i="9"/>
  <c r="E12" i="9"/>
  <c r="I14" i="9"/>
  <c r="G19" i="9"/>
  <c r="D26" i="9"/>
  <c r="H30" i="9"/>
  <c r="I30" i="10"/>
  <c r="I32" i="10" s="1"/>
  <c r="G26" i="10"/>
  <c r="L26" i="10" s="1"/>
  <c r="F2" i="9"/>
  <c r="F5" i="9" s="1"/>
  <c r="D7" i="9"/>
  <c r="H9" i="9"/>
  <c r="F14" i="9"/>
  <c r="D19" i="9"/>
  <c r="G23" i="9"/>
  <c r="E30" i="9"/>
  <c r="H30" i="10"/>
  <c r="H32" i="10" s="1"/>
  <c r="I23" i="10"/>
  <c r="E3" i="9"/>
  <c r="I7" i="9"/>
  <c r="I10" i="9" s="1"/>
  <c r="G12" i="9"/>
  <c r="E17" i="9"/>
  <c r="I19" i="9"/>
  <c r="F26" i="9"/>
  <c r="F28" i="9" s="1"/>
  <c r="D31" i="9"/>
  <c r="K31" i="9" s="1"/>
  <c r="E31" i="10"/>
  <c r="K31" i="10" s="1"/>
  <c r="E26" i="10"/>
  <c r="D2" i="9"/>
  <c r="H4" i="9"/>
  <c r="J4" i="9" s="1"/>
  <c r="F9" i="9"/>
  <c r="D14" i="9"/>
  <c r="H18" i="9"/>
  <c r="J18" i="9" s="1"/>
  <c r="I23" i="9"/>
  <c r="G30" i="9"/>
  <c r="L12" i="12"/>
  <c r="L14" i="12"/>
  <c r="L7" i="12"/>
  <c r="L19" i="12"/>
  <c r="D8" i="12"/>
  <c r="H8" i="12" s="1"/>
  <c r="E14" i="12"/>
  <c r="D12" i="12"/>
  <c r="M12" i="12" s="1"/>
  <c r="E12" i="12"/>
  <c r="E7" i="12"/>
  <c r="E19" i="12"/>
  <c r="I19" i="12" s="1"/>
  <c r="D3" i="12"/>
  <c r="H3" i="12" s="1"/>
  <c r="D17" i="12"/>
  <c r="D31" i="12"/>
  <c r="H31" i="12" s="1"/>
  <c r="H19" i="10"/>
  <c r="E3" i="10"/>
  <c r="K3" i="10" s="1"/>
  <c r="G12" i="10"/>
  <c r="L12" i="10" s="1"/>
  <c r="D4" i="10"/>
  <c r="G2" i="10"/>
  <c r="L2" i="10" s="1"/>
  <c r="F3" i="10"/>
  <c r="F14" i="10"/>
  <c r="H2" i="10"/>
  <c r="F8" i="10"/>
  <c r="H13" i="10"/>
  <c r="J13" i="10" s="1"/>
  <c r="G18" i="10"/>
  <c r="L18" i="10" s="1"/>
  <c r="H3" i="10"/>
  <c r="G8" i="10"/>
  <c r="D14" i="10"/>
  <c r="K14" i="10" s="1"/>
  <c r="H18" i="10"/>
  <c r="H20" i="10" s="1"/>
  <c r="F3" i="12"/>
  <c r="M3" i="12" s="1"/>
  <c r="G23" i="12"/>
  <c r="F7" i="12"/>
  <c r="H7" i="12" s="1"/>
  <c r="G7" i="12"/>
  <c r="G2" i="12"/>
  <c r="G5" i="12" s="1"/>
  <c r="G14" i="12"/>
  <c r="G30" i="12"/>
  <c r="I30" i="12" s="1"/>
  <c r="F12" i="12"/>
  <c r="F26" i="12"/>
  <c r="L17" i="7"/>
  <c r="L9" i="7"/>
  <c r="L2" i="7"/>
  <c r="L12" i="7"/>
  <c r="L4" i="7"/>
  <c r="J23" i="12"/>
  <c r="J24" i="12" s="1"/>
  <c r="J19" i="11"/>
  <c r="J18" i="12"/>
  <c r="J14" i="11"/>
  <c r="J7" i="12"/>
  <c r="J3" i="11"/>
  <c r="J31" i="11"/>
  <c r="J30" i="12"/>
  <c r="F19" i="11"/>
  <c r="M19" i="11" s="1"/>
  <c r="F7" i="11"/>
  <c r="G30" i="11"/>
  <c r="F13" i="11"/>
  <c r="M13" i="11" s="1"/>
  <c r="G3" i="11"/>
  <c r="F12" i="11"/>
  <c r="G2" i="11"/>
  <c r="G19" i="11"/>
  <c r="F2" i="11"/>
  <c r="O20" i="7"/>
  <c r="E23" i="11"/>
  <c r="E8" i="11"/>
  <c r="M17" i="7"/>
  <c r="M9" i="7"/>
  <c r="O19" i="7"/>
  <c r="Q13" i="7"/>
  <c r="P8" i="7"/>
  <c r="O3" i="7"/>
  <c r="O13" i="11"/>
  <c r="O27" i="11"/>
  <c r="O8" i="12"/>
  <c r="O10" i="12" s="1"/>
  <c r="O19" i="12"/>
  <c r="E27" i="11"/>
  <c r="E14" i="11"/>
  <c r="Q18" i="7"/>
  <c r="P13" i="7"/>
  <c r="O8" i="7"/>
  <c r="N2" i="11"/>
  <c r="N14" i="11"/>
  <c r="N30" i="11"/>
  <c r="N32" i="11" s="1"/>
  <c r="N9" i="12"/>
  <c r="O23" i="12"/>
  <c r="D22" i="11"/>
  <c r="E13" i="11"/>
  <c r="M16" i="7"/>
  <c r="M8" i="7"/>
  <c r="P18" i="7"/>
  <c r="O13" i="7"/>
  <c r="Q7" i="7"/>
  <c r="O2" i="11"/>
  <c r="O14" i="11"/>
  <c r="O30" i="11"/>
  <c r="O32" i="11" s="1"/>
  <c r="N13" i="12"/>
  <c r="O27" i="12"/>
  <c r="D26" i="11"/>
  <c r="E12" i="11"/>
  <c r="M2" i="7"/>
  <c r="P15" i="7"/>
  <c r="O10" i="7"/>
  <c r="Q4" i="7"/>
  <c r="N9" i="11"/>
  <c r="N23" i="11"/>
  <c r="N8" i="12"/>
  <c r="N19" i="12"/>
  <c r="N20" i="12" s="1"/>
  <c r="P4" i="11"/>
  <c r="P5" i="11" s="1"/>
  <c r="P31" i="11"/>
  <c r="P26" i="11"/>
  <c r="P27" i="11"/>
  <c r="P22" i="11"/>
  <c r="P24" i="11" s="1"/>
  <c r="K12" i="11"/>
  <c r="K15" i="11" s="1"/>
  <c r="K9" i="12"/>
  <c r="K10" i="12" s="1"/>
  <c r="P7" i="12"/>
  <c r="K7" i="11"/>
  <c r="K10" i="11" s="1"/>
  <c r="K4" i="12"/>
  <c r="P3" i="12"/>
  <c r="P5" i="12" s="1"/>
  <c r="P30" i="12"/>
  <c r="P32" i="12" s="1"/>
  <c r="K22" i="11"/>
  <c r="K24" i="11" s="1"/>
  <c r="K19" i="12"/>
  <c r="P17" i="12"/>
  <c r="P20" i="12" s="1"/>
  <c r="K17" i="11"/>
  <c r="K20" i="11" s="1"/>
  <c r="K8" i="12"/>
  <c r="P4" i="12"/>
  <c r="L30" i="11"/>
  <c r="L32" i="11" s="1"/>
  <c r="L3" i="11"/>
  <c r="L5" i="11" s="1"/>
  <c r="L27" i="11"/>
  <c r="L28" i="11" s="1"/>
  <c r="L7" i="11"/>
  <c r="L10" i="11" s="1"/>
  <c r="L13" i="11"/>
  <c r="I12" i="10"/>
  <c r="I15" i="10" s="1"/>
  <c r="I2" i="10"/>
  <c r="I7" i="10"/>
  <c r="E27" i="10"/>
  <c r="K27" i="10" s="1"/>
  <c r="I22" i="10"/>
  <c r="I24" i="10" s="1"/>
  <c r="G3" i="9"/>
  <c r="E8" i="9"/>
  <c r="K8" i="9" s="1"/>
  <c r="I12" i="9"/>
  <c r="I15" i="9" s="1"/>
  <c r="G17" i="9"/>
  <c r="D22" i="9"/>
  <c r="H26" i="9"/>
  <c r="F31" i="9"/>
  <c r="E30" i="10"/>
  <c r="K30" i="10" s="1"/>
  <c r="F23" i="10"/>
  <c r="D3" i="9"/>
  <c r="D5" i="9" s="1"/>
  <c r="H7" i="9"/>
  <c r="F12" i="9"/>
  <c r="F15" i="9" s="1"/>
  <c r="D17" i="9"/>
  <c r="D20" i="9" s="1"/>
  <c r="H19" i="9"/>
  <c r="E26" i="9"/>
  <c r="E28" i="9" s="1"/>
  <c r="I30" i="9"/>
  <c r="I32" i="9" s="1"/>
  <c r="D30" i="10"/>
  <c r="D32" i="10" s="1"/>
  <c r="E23" i="10"/>
  <c r="K23" i="10" s="1"/>
  <c r="I3" i="9"/>
  <c r="G8" i="9"/>
  <c r="L8" i="9" s="1"/>
  <c r="E13" i="9"/>
  <c r="K13" i="9" s="1"/>
  <c r="I17" i="9"/>
  <c r="F22" i="9"/>
  <c r="F24" i="9" s="1"/>
  <c r="D27" i="9"/>
  <c r="L27" i="9" s="1"/>
  <c r="H31" i="9"/>
  <c r="G30" i="10"/>
  <c r="G32" i="10" s="1"/>
  <c r="L32" i="10" s="1"/>
  <c r="H23" i="10"/>
  <c r="H2" i="9"/>
  <c r="J2" i="9" s="1"/>
  <c r="F7" i="9"/>
  <c r="F10" i="9" s="1"/>
  <c r="D12" i="9"/>
  <c r="H14" i="9"/>
  <c r="J14" i="9" s="1"/>
  <c r="F19" i="9"/>
  <c r="J19" i="9" s="1"/>
  <c r="G26" i="9"/>
  <c r="L26" i="9" s="1"/>
  <c r="E5" i="10"/>
  <c r="D5" i="10"/>
  <c r="G24" i="11"/>
  <c r="G10" i="11"/>
  <c r="H5" i="10"/>
  <c r="G32" i="11"/>
  <c r="F5" i="11"/>
  <c r="I23" i="11"/>
  <c r="J24" i="11"/>
  <c r="O20" i="11"/>
  <c r="G5" i="10"/>
  <c r="H28" i="10"/>
  <c r="J26" i="10"/>
  <c r="K22" i="10"/>
  <c r="E5" i="9"/>
  <c r="K5" i="9" s="1"/>
  <c r="K2" i="9"/>
  <c r="L7" i="9"/>
  <c r="E15" i="9"/>
  <c r="K12" i="9"/>
  <c r="L22" i="9"/>
  <c r="D24" i="9"/>
  <c r="H24" i="9"/>
  <c r="H28" i="9"/>
  <c r="J26" i="9"/>
  <c r="G28" i="10"/>
  <c r="J22" i="10"/>
  <c r="J3" i="9"/>
  <c r="H20" i="9"/>
  <c r="J17" i="9"/>
  <c r="E24" i="9"/>
  <c r="K22" i="9"/>
  <c r="G24" i="9"/>
  <c r="L23" i="9"/>
  <c r="J30" i="9"/>
  <c r="K30" i="9"/>
  <c r="E32" i="9"/>
  <c r="G24" i="10"/>
  <c r="L24" i="10" s="1"/>
  <c r="L22" i="10"/>
  <c r="L2" i="9"/>
  <c r="G5" i="9"/>
  <c r="L5" i="9" s="1"/>
  <c r="E10" i="9"/>
  <c r="K7" i="9"/>
  <c r="G15" i="9"/>
  <c r="E20" i="9"/>
  <c r="K20" i="9" s="1"/>
  <c r="K19" i="9"/>
  <c r="K26" i="10"/>
  <c r="G32" i="9"/>
  <c r="L30" i="9"/>
  <c r="E20" i="10"/>
  <c r="J19" i="10"/>
  <c r="G20" i="10"/>
  <c r="K17" i="10"/>
  <c r="D20" i="10"/>
  <c r="F15" i="10"/>
  <c r="G15" i="10"/>
  <c r="E15" i="10"/>
  <c r="D15" i="10"/>
  <c r="D10" i="10"/>
  <c r="H10" i="10"/>
  <c r="I10" i="10"/>
  <c r="K7" i="10"/>
  <c r="E10" i="10"/>
  <c r="K10" i="10" s="1"/>
  <c r="L7" i="10"/>
  <c r="G10" i="10"/>
  <c r="K19" i="10"/>
  <c r="J10" i="11"/>
  <c r="J5" i="11"/>
  <c r="J32" i="11"/>
  <c r="J20" i="11"/>
  <c r="J15" i="11"/>
  <c r="I26" i="11"/>
  <c r="G28" i="11"/>
  <c r="H14" i="11"/>
  <c r="M14" i="11"/>
  <c r="I8" i="11"/>
  <c r="D15" i="11"/>
  <c r="H12" i="11"/>
  <c r="O10" i="11"/>
  <c r="E24" i="11"/>
  <c r="I22" i="11"/>
  <c r="E10" i="11"/>
  <c r="I7" i="11"/>
  <c r="I18" i="11"/>
  <c r="O24" i="11"/>
  <c r="O24" i="12"/>
  <c r="H31" i="11"/>
  <c r="E20" i="11"/>
  <c r="M4" i="11"/>
  <c r="H4" i="11"/>
  <c r="N20" i="11"/>
  <c r="N32" i="12"/>
  <c r="K24" i="12"/>
  <c r="L15" i="11"/>
  <c r="M22" i="11"/>
  <c r="F24" i="11"/>
  <c r="G15" i="11"/>
  <c r="I17" i="11"/>
  <c r="G20" i="11"/>
  <c r="F20" i="11"/>
  <c r="H3" i="11"/>
  <c r="M3" i="11"/>
  <c r="I31" i="11"/>
  <c r="D32" i="11"/>
  <c r="H30" i="11"/>
  <c r="I19" i="11"/>
  <c r="M2" i="11"/>
  <c r="H2" i="11"/>
  <c r="D5" i="11"/>
  <c r="N15" i="11"/>
  <c r="N24" i="12"/>
  <c r="E28" i="11"/>
  <c r="O15" i="11"/>
  <c r="O28" i="11"/>
  <c r="N28" i="12"/>
  <c r="E32" i="11"/>
  <c r="I30" i="11"/>
  <c r="H13" i="11"/>
  <c r="I3" i="11"/>
  <c r="N10" i="11"/>
  <c r="O20" i="12"/>
  <c r="K32" i="12"/>
  <c r="P28" i="12"/>
  <c r="J4" i="10"/>
  <c r="J28" i="11"/>
  <c r="H7" i="11"/>
  <c r="F10" i="11"/>
  <c r="M7" i="11"/>
  <c r="M12" i="11"/>
  <c r="F15" i="11"/>
  <c r="I2" i="11"/>
  <c r="G5" i="11"/>
  <c r="I27" i="11"/>
  <c r="I14" i="11"/>
  <c r="N5" i="11"/>
  <c r="D24" i="11"/>
  <c r="H22" i="11"/>
  <c r="I13" i="11"/>
  <c r="O5" i="11"/>
  <c r="I12" i="11"/>
  <c r="E15" i="11"/>
  <c r="H27" i="11"/>
  <c r="M27" i="11"/>
  <c r="H26" i="11"/>
  <c r="M26" i="11"/>
  <c r="F28" i="11"/>
  <c r="M30" i="11"/>
  <c r="F32" i="11"/>
  <c r="H9" i="11"/>
  <c r="M9" i="11"/>
  <c r="M17" i="11"/>
  <c r="D20" i="11"/>
  <c r="H17" i="11"/>
  <c r="H23" i="11"/>
  <c r="H8" i="11"/>
  <c r="N5" i="12"/>
  <c r="H19" i="11"/>
  <c r="D10" i="11"/>
  <c r="O5" i="12"/>
  <c r="H18" i="11"/>
  <c r="I9" i="11"/>
  <c r="N15" i="12"/>
  <c r="O28" i="12"/>
  <c r="P10" i="11"/>
  <c r="P32" i="11"/>
  <c r="K5" i="11"/>
  <c r="P15" i="12"/>
  <c r="L20" i="11"/>
  <c r="L24" i="12"/>
  <c r="L17" i="10"/>
  <c r="L3" i="10"/>
  <c r="K13" i="10"/>
  <c r="L10" i="12"/>
  <c r="E24" i="12"/>
  <c r="I22" i="12"/>
  <c r="E28" i="12"/>
  <c r="I26" i="12"/>
  <c r="L15" i="12"/>
  <c r="L5" i="12"/>
  <c r="L32" i="12"/>
  <c r="I2" i="12"/>
  <c r="I5" i="12" s="1"/>
  <c r="E5" i="12"/>
  <c r="M8" i="12"/>
  <c r="J5" i="12"/>
  <c r="J32" i="12"/>
  <c r="L20" i="7"/>
  <c r="D10" i="12"/>
  <c r="M13" i="12"/>
  <c r="H13" i="12"/>
  <c r="J3" i="10"/>
  <c r="L9" i="10"/>
  <c r="K12" i="10"/>
  <c r="J12" i="10"/>
  <c r="L4" i="10"/>
  <c r="J7" i="10"/>
  <c r="J14" i="10"/>
  <c r="K18" i="10"/>
  <c r="M31" i="12"/>
  <c r="G20" i="12"/>
  <c r="F10" i="12"/>
  <c r="M10" i="12" s="1"/>
  <c r="G10" i="12"/>
  <c r="G15" i="12"/>
  <c r="G28" i="12"/>
  <c r="F24" i="12"/>
  <c r="M22" i="12"/>
  <c r="I17" i="12"/>
  <c r="E20" i="12"/>
  <c r="J17" i="10"/>
  <c r="K2" i="10"/>
  <c r="L8" i="10"/>
  <c r="M23" i="12"/>
  <c r="G32" i="12"/>
  <c r="F15" i="12"/>
  <c r="F28" i="12"/>
  <c r="M26" i="12"/>
  <c r="J15" i="12"/>
  <c r="I12" i="12"/>
  <c r="E15" i="12"/>
  <c r="D24" i="12"/>
  <c r="H22" i="12"/>
  <c r="I7" i="12"/>
  <c r="E10" i="12"/>
  <c r="D5" i="12"/>
  <c r="H17" i="12"/>
  <c r="D20" i="12"/>
  <c r="J8" i="10"/>
  <c r="J2" i="10"/>
  <c r="J9" i="10"/>
  <c r="K9" i="10"/>
  <c r="L19" i="10"/>
  <c r="M19" i="12"/>
  <c r="F5" i="12"/>
  <c r="M2" i="12"/>
  <c r="M14" i="12"/>
  <c r="F32" i="12"/>
  <c r="M30" i="12"/>
  <c r="E32" i="12"/>
  <c r="J10" i="12"/>
  <c r="L20" i="12"/>
  <c r="M20" i="7"/>
  <c r="J28" i="12"/>
  <c r="D32" i="12"/>
  <c r="H30" i="12"/>
  <c r="H32" i="12" s="1"/>
  <c r="H12" i="12"/>
  <c r="D28" i="12"/>
  <c r="H26" i="12"/>
  <c r="J20" i="12"/>
  <c r="F20" i="12"/>
  <c r="M17" i="12"/>
  <c r="M9" i="12"/>
  <c r="M27" i="12"/>
  <c r="G24" i="12"/>
  <c r="M4" i="12"/>
  <c r="M18" i="12"/>
  <c r="B7" i="7"/>
  <c r="B15" i="7"/>
  <c r="B2" i="7"/>
  <c r="B10" i="7"/>
  <c r="B18" i="7"/>
  <c r="I21" i="7"/>
  <c r="B9" i="7"/>
  <c r="B17" i="7"/>
  <c r="B4" i="7"/>
  <c r="B12" i="7"/>
  <c r="B23" i="7"/>
  <c r="B3" i="7"/>
  <c r="B11" i="7"/>
  <c r="B19" i="7"/>
  <c r="B6" i="7"/>
  <c r="B14" i="7"/>
  <c r="E21" i="7"/>
  <c r="B5" i="7"/>
  <c r="B13" i="7"/>
  <c r="B22" i="7"/>
  <c r="B8" i="7"/>
  <c r="B16" i="7"/>
  <c r="B21" i="7"/>
  <c r="I3" i="7"/>
  <c r="I5" i="7"/>
  <c r="I7" i="7"/>
  <c r="I9" i="7"/>
  <c r="I11" i="7"/>
  <c r="I13" i="7"/>
  <c r="I15" i="7"/>
  <c r="I17" i="7"/>
  <c r="I19" i="7"/>
  <c r="I2" i="7"/>
  <c r="I4" i="7"/>
  <c r="I6" i="7"/>
  <c r="I8" i="7"/>
  <c r="I10" i="7"/>
  <c r="I12" i="7"/>
  <c r="I14" i="7"/>
  <c r="I16" i="7"/>
  <c r="I18" i="7"/>
  <c r="E8" i="7"/>
  <c r="F8" i="7"/>
  <c r="C8" i="7"/>
  <c r="F3" i="7"/>
  <c r="E4" i="7"/>
  <c r="E6" i="7"/>
  <c r="E9" i="7"/>
  <c r="E11" i="7"/>
  <c r="E13" i="7"/>
  <c r="E15" i="7"/>
  <c r="E17" i="7"/>
  <c r="E19" i="7"/>
  <c r="E3" i="7"/>
  <c r="E5" i="7"/>
  <c r="E7" i="7"/>
  <c r="E10" i="7"/>
  <c r="E12" i="7"/>
  <c r="E14" i="7"/>
  <c r="E16" i="7"/>
  <c r="E18" i="7"/>
  <c r="E2" i="7"/>
  <c r="I5" i="10" l="1"/>
  <c r="J18" i="10"/>
  <c r="J23" i="10"/>
  <c r="G28" i="9"/>
  <c r="L17" i="9"/>
  <c r="L13" i="9"/>
  <c r="J7" i="9"/>
  <c r="K17" i="9"/>
  <c r="D15" i="9"/>
  <c r="I20" i="9"/>
  <c r="D15" i="12"/>
  <c r="M15" i="12" s="1"/>
  <c r="M7" i="12"/>
  <c r="P10" i="12"/>
  <c r="M5" i="11"/>
  <c r="H20" i="11"/>
  <c r="M15" i="11"/>
  <c r="M20" i="11"/>
  <c r="M32" i="11"/>
  <c r="I24" i="11"/>
  <c r="L12" i="9"/>
  <c r="L19" i="9"/>
  <c r="J27" i="9"/>
  <c r="L24" i="11"/>
  <c r="L30" i="10"/>
  <c r="K26" i="9"/>
  <c r="K15" i="9"/>
  <c r="I32" i="11"/>
  <c r="P28" i="11"/>
  <c r="H32" i="11"/>
  <c r="D28" i="9"/>
  <c r="K28" i="9" s="1"/>
  <c r="L13" i="10"/>
  <c r="I31" i="12"/>
  <c r="H10" i="9"/>
  <c r="L14" i="9"/>
  <c r="P20" i="11"/>
  <c r="F5" i="10"/>
  <c r="K27" i="9"/>
  <c r="D10" i="9"/>
  <c r="K10" i="9" s="1"/>
  <c r="J31" i="10"/>
  <c r="L27" i="10"/>
  <c r="K4" i="9"/>
  <c r="K32" i="11"/>
  <c r="K4" i="10"/>
  <c r="I9" i="12"/>
  <c r="I5" i="9"/>
  <c r="F32" i="9"/>
  <c r="J13" i="9"/>
  <c r="O32" i="12"/>
  <c r="F20" i="10"/>
  <c r="J20" i="10" s="1"/>
  <c r="H23" i="12"/>
  <c r="K9" i="9"/>
  <c r="L31" i="9"/>
  <c r="J27" i="10"/>
  <c r="K18" i="9"/>
  <c r="I4" i="11"/>
  <c r="I5" i="11" s="1"/>
  <c r="H19" i="12"/>
  <c r="I18" i="12"/>
  <c r="I20" i="12" s="1"/>
  <c r="H14" i="12"/>
  <c r="L28" i="12"/>
  <c r="I14" i="12"/>
  <c r="J9" i="9"/>
  <c r="H27" i="12"/>
  <c r="H28" i="12" s="1"/>
  <c r="F24" i="10"/>
  <c r="J23" i="9"/>
  <c r="K14" i="9"/>
  <c r="D28" i="10"/>
  <c r="L28" i="10" s="1"/>
  <c r="N24" i="11"/>
  <c r="H9" i="12"/>
  <c r="F20" i="9"/>
  <c r="J20" i="9" s="1"/>
  <c r="K23" i="9"/>
  <c r="L4" i="9"/>
  <c r="I28" i="9"/>
  <c r="J8" i="9"/>
  <c r="F32" i="10"/>
  <c r="K20" i="12"/>
  <c r="O15" i="12"/>
  <c r="H18" i="12"/>
  <c r="H20" i="12" s="1"/>
  <c r="J12" i="9"/>
  <c r="H5" i="9"/>
  <c r="J5" i="9" s="1"/>
  <c r="I32" i="12"/>
  <c r="I15" i="12"/>
  <c r="O33" i="12"/>
  <c r="C13" i="13" s="1"/>
  <c r="O33" i="11"/>
  <c r="H5" i="11"/>
  <c r="H15" i="9"/>
  <c r="J15" i="9" s="1"/>
  <c r="E32" i="10"/>
  <c r="K32" i="10" s="1"/>
  <c r="J22" i="9"/>
  <c r="G20" i="9"/>
  <c r="L20" i="9" s="1"/>
  <c r="G10" i="9"/>
  <c r="L5" i="10"/>
  <c r="J5" i="10"/>
  <c r="D8" i="7"/>
  <c r="H24" i="12"/>
  <c r="G33" i="11"/>
  <c r="L10" i="10"/>
  <c r="E28" i="10"/>
  <c r="K28" i="10" s="1"/>
  <c r="L15" i="9"/>
  <c r="J30" i="10"/>
  <c r="L24" i="9"/>
  <c r="H24" i="10"/>
  <c r="E24" i="10"/>
  <c r="K24" i="10" s="1"/>
  <c r="J31" i="9"/>
  <c r="L3" i="9"/>
  <c r="K3" i="9"/>
  <c r="H32" i="9"/>
  <c r="N10" i="12"/>
  <c r="N33" i="12" s="1"/>
  <c r="C12" i="13" s="1"/>
  <c r="H15" i="10"/>
  <c r="J15" i="10" s="1"/>
  <c r="I28" i="10"/>
  <c r="I24" i="9"/>
  <c r="D32" i="9"/>
  <c r="K32" i="9" s="1"/>
  <c r="L9" i="9"/>
  <c r="K28" i="11"/>
  <c r="P15" i="11"/>
  <c r="P33" i="11" s="1"/>
  <c r="D28" i="11"/>
  <c r="M28" i="11" s="1"/>
  <c r="E5" i="11"/>
  <c r="E33" i="11" s="1"/>
  <c r="B3" i="13" s="1"/>
  <c r="F10" i="10"/>
  <c r="J10" i="10" s="1"/>
  <c r="I27" i="12"/>
  <c r="I28" i="12" s="1"/>
  <c r="K15" i="12"/>
  <c r="L14" i="10"/>
  <c r="K8" i="10"/>
  <c r="I23" i="12"/>
  <c r="I24" i="12" s="1"/>
  <c r="I8" i="12"/>
  <c r="I10" i="12" s="1"/>
  <c r="J28" i="9"/>
  <c r="J28" i="10"/>
  <c r="J24" i="9"/>
  <c r="J32" i="9"/>
  <c r="J10" i="9"/>
  <c r="K24" i="9"/>
  <c r="K5" i="10"/>
  <c r="L20" i="10"/>
  <c r="K20" i="10"/>
  <c r="L15" i="10"/>
  <c r="K15" i="10"/>
  <c r="I15" i="11"/>
  <c r="M24" i="11"/>
  <c r="P33" i="12"/>
  <c r="C14" i="13" s="1"/>
  <c r="H15" i="11"/>
  <c r="H24" i="11"/>
  <c r="B6" i="13"/>
  <c r="H28" i="11"/>
  <c r="M10" i="11"/>
  <c r="L33" i="11"/>
  <c r="B10" i="13" s="1"/>
  <c r="N33" i="11"/>
  <c r="I20" i="11"/>
  <c r="I28" i="11"/>
  <c r="F33" i="11"/>
  <c r="B4" i="13" s="1"/>
  <c r="H10" i="11"/>
  <c r="I10" i="11"/>
  <c r="J33" i="11"/>
  <c r="B9" i="13" s="1"/>
  <c r="F33" i="12"/>
  <c r="C4" i="13" s="1"/>
  <c r="J33" i="12"/>
  <c r="C9" i="13" s="1"/>
  <c r="E33" i="12"/>
  <c r="C3" i="13" s="1"/>
  <c r="L33" i="12"/>
  <c r="C10" i="13" s="1"/>
  <c r="D33" i="12"/>
  <c r="C2" i="13" s="1"/>
  <c r="C7" i="13" s="1"/>
  <c r="G33" i="12"/>
  <c r="M5" i="12"/>
  <c r="K16" i="7"/>
  <c r="N16" i="7" s="1"/>
  <c r="K5" i="7"/>
  <c r="N5" i="7" s="1"/>
  <c r="K6" i="7"/>
  <c r="N6" i="7" s="1"/>
  <c r="K9" i="7"/>
  <c r="N9" i="7" s="1"/>
  <c r="K2" i="7"/>
  <c r="N2" i="7" s="1"/>
  <c r="M32" i="12"/>
  <c r="H10" i="12"/>
  <c r="K8" i="7"/>
  <c r="N8" i="7" s="1"/>
  <c r="K19" i="7"/>
  <c r="N19" i="7" s="1"/>
  <c r="K12" i="7"/>
  <c r="N12" i="7" s="1"/>
  <c r="K15" i="7"/>
  <c r="N15" i="7" s="1"/>
  <c r="M24" i="12"/>
  <c r="K11" i="7"/>
  <c r="N11" i="7" s="1"/>
  <c r="K4" i="7"/>
  <c r="N4" i="7" s="1"/>
  <c r="K18" i="7"/>
  <c r="N18" i="7" s="1"/>
  <c r="K7" i="7"/>
  <c r="N7" i="7" s="1"/>
  <c r="H15" i="12"/>
  <c r="K13" i="7"/>
  <c r="N13" i="7" s="1"/>
  <c r="K14" i="7"/>
  <c r="N14" i="7" s="1"/>
  <c r="K3" i="7"/>
  <c r="N3" i="7" s="1"/>
  <c r="K17" i="7"/>
  <c r="N17" i="7" s="1"/>
  <c r="K10" i="7"/>
  <c r="N10" i="7" s="1"/>
  <c r="M20" i="12"/>
  <c r="M28" i="12"/>
  <c r="H5" i="12"/>
  <c r="J18" i="7"/>
  <c r="J14" i="7"/>
  <c r="J10" i="7"/>
  <c r="J6" i="7"/>
  <c r="J2" i="7"/>
  <c r="J17" i="7"/>
  <c r="J13" i="7"/>
  <c r="J9" i="7"/>
  <c r="J5" i="7"/>
  <c r="J21" i="7"/>
  <c r="J16" i="7"/>
  <c r="J12" i="7"/>
  <c r="J8" i="7"/>
  <c r="J4" i="7"/>
  <c r="J19" i="7"/>
  <c r="J15" i="7"/>
  <c r="J11" i="7"/>
  <c r="J7" i="7"/>
  <c r="J3" i="7"/>
  <c r="B20" i="7"/>
  <c r="I20" i="7"/>
  <c r="H16" i="7"/>
  <c r="H18" i="7"/>
  <c r="H14" i="7"/>
  <c r="H10" i="7"/>
  <c r="H5" i="7"/>
  <c r="H12" i="7"/>
  <c r="H7" i="7"/>
  <c r="H3" i="7"/>
  <c r="H17" i="7"/>
  <c r="H13" i="7"/>
  <c r="H9" i="7"/>
  <c r="H4" i="7"/>
  <c r="G8" i="7"/>
  <c r="H8" i="7"/>
  <c r="H19" i="7"/>
  <c r="H15" i="7"/>
  <c r="H11" i="7"/>
  <c r="H6" i="7"/>
  <c r="H21" i="7"/>
  <c r="N694" i="3"/>
  <c r="L450" i="4" s="1"/>
  <c r="J450" i="6" s="1"/>
  <c r="O694" i="3"/>
  <c r="M450" i="4" s="1"/>
  <c r="K450" i="6" s="1"/>
  <c r="H2" i="7"/>
  <c r="E20" i="7"/>
  <c r="G3" i="7"/>
  <c r="L28" i="9" l="1"/>
  <c r="D33" i="11"/>
  <c r="B2" i="13" s="1"/>
  <c r="B7" i="13" s="1"/>
  <c r="K33" i="11"/>
  <c r="L10" i="9"/>
  <c r="C8" i="13"/>
  <c r="J24" i="10"/>
  <c r="I33" i="12"/>
  <c r="I33" i="11"/>
  <c r="L32" i="9"/>
  <c r="J32" i="10"/>
  <c r="B8" i="13"/>
  <c r="H33" i="11"/>
  <c r="B5" i="13"/>
  <c r="H33" i="12"/>
  <c r="C5" i="13"/>
  <c r="K20" i="7"/>
  <c r="N20" i="7" s="1"/>
  <c r="J20" i="7"/>
  <c r="M439" i="4"/>
  <c r="K439" i="6" s="1"/>
  <c r="H20" i="7"/>
  <c r="M448" i="4" l="1"/>
  <c r="N693" i="3"/>
  <c r="L448" i="4" l="1"/>
  <c r="N692" i="3"/>
  <c r="M444" i="4"/>
  <c r="K444" i="6" s="1"/>
  <c r="M442" i="4" l="1"/>
  <c r="K442" i="6" s="1"/>
  <c r="N691" i="3"/>
  <c r="L444" i="4" s="1"/>
  <c r="J444" i="6" s="1"/>
  <c r="M432" i="4"/>
  <c r="K432" i="6" s="1"/>
  <c r="M437" i="4" l="1"/>
  <c r="N690" i="3" l="1"/>
  <c r="M428" i="4"/>
  <c r="K428" i="6" s="1"/>
  <c r="L442" i="4" l="1"/>
  <c r="N689" i="3"/>
  <c r="N688" i="3" s="1"/>
  <c r="M429" i="4"/>
  <c r="K429" i="6" s="1"/>
  <c r="M425" i="4" l="1"/>
  <c r="K425" i="6" s="1"/>
  <c r="N687" i="3"/>
  <c r="L437" i="4" s="1"/>
  <c r="N686" i="3" l="1"/>
  <c r="F2" i="7" l="1"/>
  <c r="N685" i="3" l="1"/>
  <c r="L429" i="4" s="1"/>
  <c r="J429" i="6" s="1"/>
  <c r="G2" i="7"/>
  <c r="M408" i="4" l="1"/>
  <c r="K408" i="6" s="1"/>
  <c r="N684" i="3"/>
  <c r="L184" i="4"/>
  <c r="J184" i="6" s="1"/>
  <c r="L425" i="4" l="1"/>
  <c r="N683" i="3"/>
  <c r="N682" i="3" s="1"/>
  <c r="N681" i="3" l="1"/>
  <c r="N680" i="3" l="1"/>
  <c r="N679" i="3" l="1"/>
  <c r="N678" i="3" l="1"/>
  <c r="N677" i="3" l="1"/>
  <c r="L414" i="4" s="1"/>
  <c r="C14" i="7" l="1"/>
  <c r="D14" i="7" s="1"/>
  <c r="F14" i="7"/>
  <c r="G14" i="7" s="1"/>
  <c r="N676" i="3" l="1"/>
  <c r="L412" i="4" s="1"/>
  <c r="J412" i="6" s="1"/>
  <c r="N675" i="3" l="1"/>
  <c r="L153" i="4"/>
  <c r="J153" i="6" s="1"/>
  <c r="M370" i="4" l="1"/>
  <c r="N674" i="3" l="1"/>
  <c r="L408" i="4" l="1"/>
  <c r="N673" i="3"/>
  <c r="N672" i="3" s="1"/>
  <c r="N671" i="3" l="1"/>
  <c r="L141" i="4"/>
  <c r="J141" i="6" s="1"/>
  <c r="N670" i="3" l="1"/>
  <c r="N669" i="3" l="1"/>
  <c r="N668" i="3" l="1"/>
  <c r="L389" i="4" s="1"/>
  <c r="J389" i="6" s="1"/>
  <c r="N667" i="3" l="1"/>
  <c r="N666" i="3" l="1"/>
  <c r="N665" i="3" s="1"/>
  <c r="M340" i="4"/>
  <c r="K340" i="6" s="1"/>
  <c r="N664" i="3" l="1"/>
  <c r="N663" i="3" l="1"/>
  <c r="M331" i="4" l="1"/>
  <c r="K331" i="6" s="1"/>
  <c r="N662" i="3"/>
  <c r="L375" i="4" s="1"/>
  <c r="N661" i="3" l="1"/>
  <c r="M326" i="4" l="1"/>
  <c r="K326" i="6" s="1"/>
  <c r="N660" i="3" l="1"/>
  <c r="N659" i="3" l="1"/>
  <c r="N658" i="3" l="1"/>
  <c r="M307" i="4" l="1"/>
  <c r="N657" i="3"/>
  <c r="N656" i="3" l="1"/>
  <c r="N655" i="3" l="1"/>
  <c r="N654" i="3" l="1"/>
  <c r="N653" i="3" l="1"/>
  <c r="L348" i="4" s="1"/>
  <c r="N652" i="3" l="1"/>
  <c r="N651" i="3" l="1"/>
  <c r="N650" i="3" l="1"/>
  <c r="N649" i="3" s="1"/>
  <c r="N648" i="3" l="1"/>
  <c r="N647" i="3" l="1"/>
  <c r="N646" i="3" s="1"/>
  <c r="M278" i="4"/>
  <c r="K278" i="6" s="1"/>
  <c r="N645" i="3" l="1"/>
  <c r="L49" i="4"/>
  <c r="J49" i="6" s="1"/>
  <c r="L331" i="4" l="1"/>
  <c r="J331" i="6" s="1"/>
  <c r="N644" i="3"/>
  <c r="N643" i="3" l="1"/>
  <c r="M268" i="4" l="1"/>
  <c r="K268" i="6" s="1"/>
  <c r="N642" i="3" l="1"/>
  <c r="L326" i="4" l="1"/>
  <c r="J326" i="6" s="1"/>
  <c r="N641" i="3"/>
  <c r="N640" i="3" s="1"/>
  <c r="L36" i="4"/>
  <c r="J36" i="6" s="1"/>
  <c r="M252" i="4" l="1"/>
  <c r="K252" i="6" s="1"/>
  <c r="L307" i="4" l="1"/>
  <c r="L16" i="4" l="1"/>
  <c r="J16" i="6" s="1"/>
  <c r="M233" i="4" l="1"/>
  <c r="M223" i="4" l="1"/>
  <c r="K223" i="6" s="1"/>
  <c r="L282" i="4" l="1"/>
  <c r="L366" i="4"/>
  <c r="J366" i="6" s="1"/>
  <c r="M195" i="4" l="1"/>
  <c r="K195" i="6" s="1"/>
  <c r="M184" i="4" l="1"/>
  <c r="K184" i="6" s="1"/>
  <c r="L252" i="4" l="1"/>
  <c r="M162" i="4" l="1"/>
  <c r="K162" i="6" s="1"/>
  <c r="M153" i="4" l="1"/>
  <c r="K153" i="6" s="1"/>
  <c r="M141" i="4" l="1"/>
  <c r="K141" i="6" s="1"/>
  <c r="M138" i="4" l="1"/>
  <c r="K138" i="6" s="1"/>
  <c r="L288" i="4" l="1"/>
  <c r="J288" i="6" s="1"/>
  <c r="L233" i="4" l="1"/>
  <c r="M120" i="4" l="1"/>
  <c r="K120" i="6" s="1"/>
  <c r="L270" i="4" l="1"/>
  <c r="J270" i="6" s="1"/>
  <c r="L223" i="4"/>
  <c r="J223" i="6" s="1"/>
  <c r="M111" i="4" l="1"/>
  <c r="K111" i="6" s="1"/>
  <c r="M97" i="4" l="1"/>
  <c r="K97" i="6" s="1"/>
  <c r="L195" i="4" l="1"/>
  <c r="J195" i="6" s="1"/>
  <c r="M79" i="4" l="1"/>
  <c r="M71" i="4" l="1"/>
  <c r="K71" i="6" s="1"/>
  <c r="L162" i="4" l="1"/>
  <c r="J162" i="6" s="1"/>
  <c r="L156" i="4" l="1"/>
  <c r="J156" i="6" s="1"/>
  <c r="L138" i="4" l="1"/>
  <c r="J138" i="6" s="1"/>
  <c r="L133" i="4" l="1"/>
  <c r="J133" i="6" s="1"/>
  <c r="M58" i="4" l="1"/>
  <c r="K58" i="6" s="1"/>
  <c r="L120" i="4"/>
  <c r="J120" i="6" s="1"/>
  <c r="M49" i="4"/>
  <c r="K49" i="6" s="1"/>
  <c r="L111" i="4" l="1"/>
  <c r="J111" i="6" s="1"/>
  <c r="L97" i="4" l="1"/>
  <c r="J97" i="6" s="1"/>
  <c r="M36" i="4"/>
  <c r="K36" i="6" s="1"/>
  <c r="L79" i="4" l="1"/>
  <c r="L71" i="4" l="1"/>
  <c r="J71" i="6" s="1"/>
  <c r="M16" i="4" l="1"/>
  <c r="K16" i="6" s="1"/>
  <c r="L58" i="4" l="1"/>
  <c r="J58" i="6" s="1"/>
  <c r="L11" i="4" l="1"/>
  <c r="J11" i="6" s="1"/>
  <c r="L5" i="4" l="1"/>
  <c r="J5" i="6" s="1"/>
  <c r="O693" i="3"/>
  <c r="O692" i="3" s="1"/>
  <c r="O691" i="3" s="1"/>
  <c r="O690" i="3" s="1"/>
  <c r="O689" i="3" s="1"/>
  <c r="O688" i="3" s="1"/>
  <c r="O687" i="3" s="1"/>
  <c r="O686" i="3" s="1"/>
  <c r="O685" i="3" s="1"/>
  <c r="O684" i="3" s="1"/>
  <c r="O683" i="3" s="1"/>
  <c r="O682" i="3" s="1"/>
  <c r="O681" i="3" s="1"/>
  <c r="O680" i="3" s="1"/>
  <c r="O679" i="3" s="1"/>
  <c r="O678" i="3" s="1"/>
  <c r="O677" i="3" s="1"/>
  <c r="O676" i="3" s="1"/>
  <c r="O675" i="3" s="1"/>
  <c r="O674" i="3" s="1"/>
  <c r="O673" i="3" s="1"/>
  <c r="O672" i="3" s="1"/>
  <c r="O671" i="3" s="1"/>
  <c r="O670" i="3" s="1"/>
  <c r="O669" i="3" s="1"/>
  <c r="O668" i="3" s="1"/>
  <c r="O667" i="3" s="1"/>
  <c r="O666" i="3" s="1"/>
  <c r="O665" i="3" s="1"/>
  <c r="O664" i="3" s="1"/>
  <c r="O663" i="3" s="1"/>
  <c r="O662" i="3" s="1"/>
  <c r="O661" i="3" s="1"/>
  <c r="O660" i="3" s="1"/>
  <c r="O659" i="3" s="1"/>
  <c r="O658" i="3" s="1"/>
  <c r="O657" i="3" s="1"/>
  <c r="O656" i="3" s="1"/>
  <c r="O655" i="3" s="1"/>
  <c r="O654" i="3" s="1"/>
  <c r="O653" i="3" s="1"/>
  <c r="O652" i="3" s="1"/>
  <c r="O651" i="3" s="1"/>
  <c r="O650" i="3" s="1"/>
  <c r="O649" i="3" s="1"/>
  <c r="O648" i="3" s="1"/>
  <c r="O647" i="3" s="1"/>
  <c r="O646" i="3" s="1"/>
  <c r="O645" i="3" s="1"/>
  <c r="O644" i="3" s="1"/>
  <c r="O643" i="3" s="1"/>
  <c r="O642" i="3" s="1"/>
  <c r="O641" i="3" s="1"/>
  <c r="O640" i="3" s="1"/>
  <c r="M11" i="4"/>
  <c r="K11" i="6"/>
  <c r="M133" i="4"/>
  <c r="K133" i="6"/>
  <c r="M156" i="4"/>
  <c r="K156" i="6"/>
  <c r="M246" i="4"/>
  <c r="K246" i="6"/>
  <c r="M257" i="4"/>
  <c r="K257" i="6"/>
  <c r="M282" i="4"/>
  <c r="M286" i="4"/>
  <c r="M321" i="4"/>
  <c r="K321" i="6"/>
  <c r="M348" i="4"/>
  <c r="K348" i="6"/>
  <c r="M375" i="4"/>
  <c r="M389" i="4"/>
  <c r="K389" i="6"/>
  <c r="K410" i="6"/>
  <c r="M412" i="4"/>
  <c r="K412" i="6"/>
  <c r="M414" i="4"/>
  <c r="K414" i="6"/>
  <c r="M5" i="4"/>
  <c r="K5" i="6"/>
  <c r="C2" i="7" l="1"/>
  <c r="D2" i="7" s="1"/>
  <c r="F10" i="7" l="1"/>
  <c r="G10" i="7" s="1"/>
  <c r="C10" i="7"/>
  <c r="D10" i="7" s="1"/>
  <c r="F6" i="7" l="1"/>
  <c r="C6" i="7"/>
  <c r="D6" i="7" s="1"/>
  <c r="G6" i="7" l="1"/>
  <c r="F17" i="7" l="1"/>
  <c r="C17" i="7"/>
  <c r="D17" i="7" s="1"/>
  <c r="G17" i="7" l="1"/>
  <c r="N639" i="3" l="1"/>
  <c r="N638" i="3" l="1"/>
  <c r="N637" i="3" s="1"/>
  <c r="L406" i="4" s="1"/>
  <c r="J406" i="6" s="1"/>
  <c r="L409" i="4" l="1"/>
  <c r="J409" i="6" s="1"/>
  <c r="L273" i="4"/>
  <c r="J273" i="6" s="1"/>
  <c r="N636" i="3"/>
  <c r="L321" i="4"/>
  <c r="L411" i="4"/>
  <c r="J411" i="6" s="1"/>
  <c r="L262" i="4"/>
  <c r="J262" i="6" s="1"/>
  <c r="N635" i="3" l="1"/>
  <c r="L401" i="4" s="1"/>
  <c r="J401" i="6" s="1"/>
  <c r="L403" i="4"/>
  <c r="J403" i="6" s="1"/>
  <c r="N634" i="3" l="1"/>
  <c r="N633" i="3" s="1"/>
  <c r="L264" i="4"/>
  <c r="J264" i="6" s="1"/>
  <c r="L399" i="4"/>
  <c r="J399" i="6" s="1"/>
  <c r="N632" i="3" l="1"/>
  <c r="L391" i="4" l="1"/>
  <c r="J391" i="6" s="1"/>
  <c r="N631" i="3"/>
  <c r="N630" i="3" s="1"/>
  <c r="N629" i="3" s="1"/>
  <c r="L385" i="4"/>
  <c r="J385" i="6" s="1"/>
  <c r="L382" i="4" l="1"/>
  <c r="J382" i="6" s="1"/>
  <c r="N628" i="3"/>
  <c r="L286" i="4"/>
  <c r="L368" i="4"/>
  <c r="J368" i="6" s="1"/>
  <c r="N627" i="3" l="1"/>
  <c r="L253" i="4"/>
  <c r="J253" i="6" s="1"/>
  <c r="L380" i="4" l="1"/>
  <c r="J380" i="6" s="1"/>
  <c r="N626" i="3"/>
  <c r="L359" i="4"/>
  <c r="J359" i="6" s="1"/>
  <c r="N625" i="3" l="1"/>
  <c r="L257" i="4"/>
  <c r="L212" i="4"/>
  <c r="J212" i="6" s="1"/>
  <c r="L374" i="4" l="1"/>
  <c r="J374" i="6" s="1"/>
  <c r="N624" i="3"/>
  <c r="L229" i="4"/>
  <c r="J229" i="6" s="1"/>
  <c r="L330" i="4"/>
  <c r="J330" i="6" s="1"/>
  <c r="L371" i="4" l="1"/>
  <c r="J371" i="6" s="1"/>
  <c r="N623" i="3"/>
  <c r="N622" i="3" s="1"/>
  <c r="N621" i="3" s="1"/>
  <c r="N620" i="3" s="1"/>
  <c r="O639" i="3"/>
  <c r="L316" i="4"/>
  <c r="M273" i="4"/>
  <c r="K273" i="6" s="1"/>
  <c r="L364" i="4" l="1"/>
  <c r="J364" i="6" s="1"/>
  <c r="N619" i="3"/>
  <c r="N618" i="3" s="1"/>
  <c r="L246" i="4"/>
  <c r="J246" i="6" s="1"/>
  <c r="L313" i="4"/>
  <c r="O638" i="3"/>
  <c r="M264" i="4"/>
  <c r="K264" i="6" s="1"/>
  <c r="L350" i="4" l="1"/>
  <c r="J350" i="6" s="1"/>
  <c r="N617" i="3"/>
  <c r="N616" i="3" s="1"/>
  <c r="O637" i="3"/>
  <c r="M411" i="4"/>
  <c r="K411" i="6" s="1"/>
  <c r="L309" i="4"/>
  <c r="J309" i="6" s="1"/>
  <c r="M262" i="4"/>
  <c r="K262" i="6" s="1"/>
  <c r="L347" i="4" l="1"/>
  <c r="J347" i="6" s="1"/>
  <c r="N615" i="3"/>
  <c r="N614" i="3" s="1"/>
  <c r="L303" i="4"/>
  <c r="J303" i="6" s="1"/>
  <c r="F11" i="7" s="1"/>
  <c r="G11" i="7" s="1"/>
  <c r="O636" i="3"/>
  <c r="M406" i="4"/>
  <c r="K406" i="6" s="1"/>
  <c r="M253" i="4"/>
  <c r="K253" i="6" s="1"/>
  <c r="L343" i="4" l="1"/>
  <c r="N613" i="3"/>
  <c r="O635" i="3"/>
  <c r="M403" i="4"/>
  <c r="K403" i="6" s="1"/>
  <c r="L285" i="4"/>
  <c r="J285" i="6" s="1"/>
  <c r="L338" i="4" l="1"/>
  <c r="N612" i="3"/>
  <c r="N611" i="3" s="1"/>
  <c r="F15" i="7"/>
  <c r="G15" i="7" s="1"/>
  <c r="C15" i="7"/>
  <c r="D15" i="7" s="1"/>
  <c r="L179" i="4"/>
  <c r="J179" i="6" s="1"/>
  <c r="L266" i="4"/>
  <c r="J266" i="6" s="1"/>
  <c r="O634" i="3"/>
  <c r="M401" i="4"/>
  <c r="K401" i="6" s="1"/>
  <c r="N610" i="3" l="1"/>
  <c r="O633" i="3"/>
  <c r="M399" i="4"/>
  <c r="K399" i="6" s="1"/>
  <c r="L327" i="4" l="1"/>
  <c r="N609" i="3"/>
  <c r="L245" i="4"/>
  <c r="J245" i="6" s="1"/>
  <c r="O632" i="3"/>
  <c r="M229" i="4"/>
  <c r="K229" i="6" s="1"/>
  <c r="N608" i="3" l="1"/>
  <c r="L238" i="4"/>
  <c r="J238" i="6" s="1"/>
  <c r="O631" i="3"/>
  <c r="M391" i="4"/>
  <c r="K391" i="6" s="1"/>
  <c r="N607" i="3" l="1"/>
  <c r="N606" i="3" s="1"/>
  <c r="N605" i="3" s="1"/>
  <c r="N604" i="3" s="1"/>
  <c r="L254" i="4"/>
  <c r="J254" i="6" s="1"/>
  <c r="L236" i="4"/>
  <c r="J236" i="6" s="1"/>
  <c r="L215" i="4"/>
  <c r="J215" i="6" s="1"/>
  <c r="O630" i="3"/>
  <c r="L311" i="4" l="1"/>
  <c r="J311" i="6" s="1"/>
  <c r="N603" i="3"/>
  <c r="N602" i="3" s="1"/>
  <c r="N601" i="3" s="1"/>
  <c r="N600" i="3" s="1"/>
  <c r="L211" i="4"/>
  <c r="J211" i="6" s="1"/>
  <c r="L205" i="4"/>
  <c r="J205" i="6" s="1"/>
  <c r="O629" i="3"/>
  <c r="M385" i="4"/>
  <c r="K385" i="6" s="1"/>
  <c r="M212" i="4"/>
  <c r="K212" i="6" s="1"/>
  <c r="N599" i="3" l="1"/>
  <c r="L600" i="4"/>
  <c r="J600" i="6" s="1"/>
  <c r="L599" i="4"/>
  <c r="J599" i="6" s="1"/>
  <c r="N598" i="3"/>
  <c r="L598" i="4" s="1"/>
  <c r="J598" i="6" s="1"/>
  <c r="O628" i="3"/>
  <c r="M382" i="4"/>
  <c r="K382" i="6" s="1"/>
  <c r="N597" i="3" l="1"/>
  <c r="L192" i="4"/>
  <c r="O627" i="3"/>
  <c r="N596" i="3" l="1"/>
  <c r="L597" i="4"/>
  <c r="J597" i="6" s="1"/>
  <c r="L197" i="4"/>
  <c r="J197" i="6" s="1"/>
  <c r="L189" i="4"/>
  <c r="J189" i="6" s="1"/>
  <c r="O626" i="3"/>
  <c r="M380" i="4"/>
  <c r="K380" i="6" s="1"/>
  <c r="L594" i="4" l="1"/>
  <c r="J594" i="6" s="1"/>
  <c r="N595" i="3"/>
  <c r="L596" i="4"/>
  <c r="J596" i="6" s="1"/>
  <c r="L220" i="4"/>
  <c r="L176" i="4"/>
  <c r="J176" i="6" s="1"/>
  <c r="O625" i="3"/>
  <c r="L595" i="4" l="1"/>
  <c r="J595" i="6" s="1"/>
  <c r="N594" i="3"/>
  <c r="N593" i="3" s="1"/>
  <c r="L582" i="4"/>
  <c r="J582" i="6" s="1"/>
  <c r="N592" i="3"/>
  <c r="L593" i="4"/>
  <c r="J593" i="6" s="1"/>
  <c r="L235" i="4"/>
  <c r="J235" i="6" s="1"/>
  <c r="O624" i="3"/>
  <c r="M374" i="4"/>
  <c r="K374" i="6" s="1"/>
  <c r="N591" i="3" l="1"/>
  <c r="L592" i="4"/>
  <c r="J592" i="6" s="1"/>
  <c r="L581" i="4"/>
  <c r="J581" i="6" s="1"/>
  <c r="F4" i="7"/>
  <c r="G4" i="7" s="1"/>
  <c r="F7" i="7"/>
  <c r="G7" i="7" s="1"/>
  <c r="C7" i="7"/>
  <c r="D7" i="7" s="1"/>
  <c r="M285" i="4"/>
  <c r="K285" i="6" s="1"/>
  <c r="L171" i="4"/>
  <c r="J171" i="6" s="1"/>
  <c r="O623" i="3"/>
  <c r="M371" i="4"/>
  <c r="K371" i="6" s="1"/>
  <c r="L578" i="4" l="1"/>
  <c r="J578" i="6" s="1"/>
  <c r="N590" i="3"/>
  <c r="L591" i="4"/>
  <c r="J591" i="6" s="1"/>
  <c r="L231" i="4"/>
  <c r="F18" i="7"/>
  <c r="G18" i="7" s="1"/>
  <c r="C18" i="7"/>
  <c r="D18" i="7" s="1"/>
  <c r="M266" i="4"/>
  <c r="K266" i="6" s="1"/>
  <c r="M179" i="4"/>
  <c r="K179" i="6" s="1"/>
  <c r="O622" i="3"/>
  <c r="M368" i="4"/>
  <c r="K368" i="6" s="1"/>
  <c r="N589" i="3" l="1"/>
  <c r="L590" i="4"/>
  <c r="J590" i="6" s="1"/>
  <c r="L230" i="4"/>
  <c r="L149" i="4"/>
  <c r="J149" i="6" s="1"/>
  <c r="L122" i="4"/>
  <c r="J122" i="6" s="1"/>
  <c r="O621" i="3"/>
  <c r="L575" i="4" l="1"/>
  <c r="J575" i="6" s="1"/>
  <c r="N588" i="3"/>
  <c r="L589" i="4"/>
  <c r="J589" i="6" s="1"/>
  <c r="L104" i="4"/>
  <c r="J104" i="6" s="1"/>
  <c r="L69" i="4"/>
  <c r="J69" i="6" s="1"/>
  <c r="M245" i="4"/>
  <c r="K245" i="6" s="1"/>
  <c r="L144" i="4"/>
  <c r="J144" i="6" s="1"/>
  <c r="O620" i="3"/>
  <c r="M366" i="4"/>
  <c r="K366" i="6" s="1"/>
  <c r="N587" i="3" l="1"/>
  <c r="L588" i="4"/>
  <c r="J588" i="6" s="1"/>
  <c r="L556" i="4"/>
  <c r="J556" i="6" s="1"/>
  <c r="L574" i="4"/>
  <c r="J574" i="6" s="1"/>
  <c r="F16" i="7" s="1"/>
  <c r="G16" i="7" s="1"/>
  <c r="M238" i="4"/>
  <c r="K238" i="6" s="1"/>
  <c r="L142" i="4"/>
  <c r="J142" i="6" s="1"/>
  <c r="L116" i="4"/>
  <c r="J116" i="6" s="1"/>
  <c r="O619" i="3"/>
  <c r="M364" i="4"/>
  <c r="K364" i="6" s="1"/>
  <c r="L555" i="4" l="1"/>
  <c r="J555" i="6" s="1"/>
  <c r="L573" i="4"/>
  <c r="J573" i="6" s="1"/>
  <c r="N586" i="3"/>
  <c r="L587" i="4"/>
  <c r="J587" i="6" s="1"/>
  <c r="L94" i="4"/>
  <c r="J94" i="6" s="1"/>
  <c r="L140" i="4"/>
  <c r="J140" i="6" s="1"/>
  <c r="L550" i="4"/>
  <c r="J550" i="6" s="1"/>
  <c r="M254" i="4"/>
  <c r="K254" i="6" s="1"/>
  <c r="M236" i="4"/>
  <c r="K236" i="6" s="1"/>
  <c r="L74" i="4"/>
  <c r="J74" i="6" s="1"/>
  <c r="M215" i="4"/>
  <c r="K215" i="6" s="1"/>
  <c r="O618" i="3"/>
  <c r="L572" i="4" l="1"/>
  <c r="J572" i="6" s="1"/>
  <c r="N585" i="3"/>
  <c r="L586" i="4"/>
  <c r="J586" i="6" s="1"/>
  <c r="L554" i="4"/>
  <c r="J554" i="6" s="1"/>
  <c r="M211" i="4"/>
  <c r="K211" i="6" s="1"/>
  <c r="L134" i="4"/>
  <c r="J134" i="6" s="1"/>
  <c r="L549" i="4"/>
  <c r="J549" i="6" s="1"/>
  <c r="L59" i="4"/>
  <c r="J59" i="6" s="1"/>
  <c r="M205" i="4"/>
  <c r="K205" i="6" s="1"/>
  <c r="O617" i="3"/>
  <c r="M350" i="4"/>
  <c r="K350" i="6" s="1"/>
  <c r="N584" i="3" l="1"/>
  <c r="L585" i="4"/>
  <c r="J585" i="6" s="1"/>
  <c r="L553" i="4"/>
  <c r="J553" i="6" s="1"/>
  <c r="F12" i="7" s="1"/>
  <c r="G12" i="7" s="1"/>
  <c r="L571" i="4"/>
  <c r="J571" i="6" s="1"/>
  <c r="L61" i="4"/>
  <c r="J61" i="6" s="1"/>
  <c r="L45" i="4"/>
  <c r="J45" i="6" s="1"/>
  <c r="L548" i="4"/>
  <c r="J548" i="6" s="1"/>
  <c r="L68" i="4"/>
  <c r="J68" i="6" s="1"/>
  <c r="O616" i="3"/>
  <c r="L27" i="4"/>
  <c r="J27" i="6" s="1"/>
  <c r="L552" i="4" l="1"/>
  <c r="J552" i="6" s="1"/>
  <c r="L570" i="4"/>
  <c r="J570" i="6" s="1"/>
  <c r="N583" i="3"/>
  <c r="L584" i="4"/>
  <c r="J584" i="6" s="1"/>
  <c r="C19" i="7"/>
  <c r="D19" i="7" s="1"/>
  <c r="F19" i="7"/>
  <c r="G19" i="7" s="1"/>
  <c r="F13" i="7"/>
  <c r="G13" i="7" s="1"/>
  <c r="C13" i="7"/>
  <c r="D13" i="7" s="1"/>
  <c r="M192" i="4"/>
  <c r="L44" i="4"/>
  <c r="J44" i="6" s="1"/>
  <c r="L547" i="4"/>
  <c r="J547" i="6" s="1"/>
  <c r="L54" i="4"/>
  <c r="J54" i="6" s="1"/>
  <c r="O615" i="3"/>
  <c r="M347" i="4"/>
  <c r="K347" i="6" s="1"/>
  <c r="L583" i="4" l="1"/>
  <c r="J583" i="6" s="1"/>
  <c r="N582" i="3"/>
  <c r="N581" i="3" s="1"/>
  <c r="N580" i="3" s="1"/>
  <c r="L569" i="4"/>
  <c r="J569" i="6" s="1"/>
  <c r="L545" i="4"/>
  <c r="J545" i="6" s="1"/>
  <c r="L77" i="4"/>
  <c r="J77" i="6" s="1"/>
  <c r="L127" i="4"/>
  <c r="J127" i="6" s="1"/>
  <c r="M197" i="4"/>
  <c r="K197" i="6" s="1"/>
  <c r="L78" i="4"/>
  <c r="J78" i="6" s="1"/>
  <c r="L546" i="4"/>
  <c r="J546" i="6" s="1"/>
  <c r="M189" i="4"/>
  <c r="K189" i="6" s="1"/>
  <c r="L33" i="4"/>
  <c r="J33" i="6" s="1"/>
  <c r="O614" i="3"/>
  <c r="L580" i="4" l="1"/>
  <c r="J580" i="6" s="1"/>
  <c r="N579" i="3"/>
  <c r="L544" i="4"/>
  <c r="J544" i="6" s="1"/>
  <c r="L541" i="4"/>
  <c r="J541" i="6" s="1"/>
  <c r="L568" i="4"/>
  <c r="J568" i="6" s="1"/>
  <c r="L118" i="4"/>
  <c r="J118" i="6" s="1"/>
  <c r="L25" i="4"/>
  <c r="J25" i="6" s="1"/>
  <c r="L19" i="4"/>
  <c r="J19" i="6" s="1"/>
  <c r="M220" i="4"/>
  <c r="M176" i="4"/>
  <c r="K176" i="6" s="1"/>
  <c r="O613" i="3"/>
  <c r="M343" i="4"/>
  <c r="L579" i="4" l="1"/>
  <c r="J579" i="6" s="1"/>
  <c r="N578" i="3"/>
  <c r="N577" i="3" s="1"/>
  <c r="L539" i="4"/>
  <c r="J539" i="6" s="1"/>
  <c r="L567" i="4"/>
  <c r="J567" i="6" s="1"/>
  <c r="L543" i="4"/>
  <c r="J543" i="6" s="1"/>
  <c r="L91" i="4"/>
  <c r="J91" i="6" s="1"/>
  <c r="L21" i="4"/>
  <c r="J21" i="6" s="1"/>
  <c r="O612" i="3"/>
  <c r="M338" i="4"/>
  <c r="L577" i="4" l="1"/>
  <c r="J577" i="6" s="1"/>
  <c r="N576" i="3"/>
  <c r="L566" i="4"/>
  <c r="J566" i="6" s="1"/>
  <c r="L538" i="4"/>
  <c r="J538" i="6" s="1"/>
  <c r="L90" i="4"/>
  <c r="J90" i="6" s="1"/>
  <c r="M171" i="4"/>
  <c r="K171" i="6" s="1"/>
  <c r="L18" i="4"/>
  <c r="J18" i="6" s="1"/>
  <c r="O611" i="3"/>
  <c r="L576" i="4" l="1"/>
  <c r="J576" i="6" s="1"/>
  <c r="N575" i="3"/>
  <c r="N574" i="3" s="1"/>
  <c r="N573" i="3" s="1"/>
  <c r="N572" i="3" s="1"/>
  <c r="N571" i="3" s="1"/>
  <c r="N570" i="3" s="1"/>
  <c r="N569" i="3" s="1"/>
  <c r="N568" i="3" s="1"/>
  <c r="N567" i="3" s="1"/>
  <c r="N566" i="3" s="1"/>
  <c r="N565" i="3" s="1"/>
  <c r="N564" i="3" s="1"/>
  <c r="L537" i="4"/>
  <c r="J537" i="6" s="1"/>
  <c r="C4" i="7" s="1"/>
  <c r="D4" i="7" s="1"/>
  <c r="L531" i="4"/>
  <c r="J531" i="6" s="1"/>
  <c r="L565" i="4"/>
  <c r="J565" i="6" s="1"/>
  <c r="L13" i="4"/>
  <c r="J13" i="6" s="1"/>
  <c r="O610" i="3"/>
  <c r="N563" i="3" l="1"/>
  <c r="L564" i="4"/>
  <c r="J564" i="6" s="1"/>
  <c r="L536" i="4"/>
  <c r="J536" i="6" s="1"/>
  <c r="L86" i="4"/>
  <c r="J86" i="6" s="1"/>
  <c r="L8" i="4"/>
  <c r="J8" i="6" s="1"/>
  <c r="M149" i="4"/>
  <c r="K149" i="6" s="1"/>
  <c r="M122" i="4"/>
  <c r="K122" i="6" s="1"/>
  <c r="O609" i="3"/>
  <c r="M327" i="4"/>
  <c r="L535" i="4" l="1"/>
  <c r="J535" i="6" s="1"/>
  <c r="L528" i="4"/>
  <c r="J528" i="6" s="1"/>
  <c r="N562" i="3"/>
  <c r="L563" i="4"/>
  <c r="J563" i="6" s="1"/>
  <c r="L73" i="4"/>
  <c r="J73" i="6" s="1"/>
  <c r="F5" i="7"/>
  <c r="C5" i="7"/>
  <c r="D5" i="7" s="1"/>
  <c r="M104" i="4"/>
  <c r="K104" i="6" s="1"/>
  <c r="M69" i="4"/>
  <c r="K69" i="6" s="1"/>
  <c r="M144" i="4"/>
  <c r="K144" i="6" s="1"/>
  <c r="O608" i="3"/>
  <c r="L524" i="4" l="1"/>
  <c r="J524" i="6" s="1"/>
  <c r="L527" i="4"/>
  <c r="J527" i="6" s="1"/>
  <c r="N561" i="3"/>
  <c r="L562" i="4"/>
  <c r="J562" i="6" s="1"/>
  <c r="L534" i="4"/>
  <c r="J534" i="6" s="1"/>
  <c r="C11" i="7" s="1"/>
  <c r="D11" i="7" s="1"/>
  <c r="G5" i="7"/>
  <c r="M142" i="4"/>
  <c r="K142" i="6" s="1"/>
  <c r="M116" i="4"/>
  <c r="K116" i="6" s="1"/>
  <c r="O607" i="3"/>
  <c r="L526" i="4" l="1"/>
  <c r="J526" i="6" s="1"/>
  <c r="N560" i="3"/>
  <c r="L561" i="4"/>
  <c r="J561" i="6" s="1"/>
  <c r="L523" i="4"/>
  <c r="J523" i="6" s="1"/>
  <c r="L66" i="4"/>
  <c r="J66" i="6" s="1"/>
  <c r="M94" i="4"/>
  <c r="K94" i="6" s="1"/>
  <c r="M140" i="4"/>
  <c r="K140" i="6" s="1"/>
  <c r="M74" i="4"/>
  <c r="K74" i="6" s="1"/>
  <c r="O606" i="3"/>
  <c r="M316" i="4"/>
  <c r="L520" i="4" l="1"/>
  <c r="J520" i="6" s="1"/>
  <c r="N559" i="3"/>
  <c r="L560" i="4"/>
  <c r="J560" i="6" s="1"/>
  <c r="L64" i="4"/>
  <c r="J64" i="6" s="1"/>
  <c r="M134" i="4"/>
  <c r="K134" i="6" s="1"/>
  <c r="M59" i="4"/>
  <c r="K59" i="6" s="1"/>
  <c r="O605" i="3"/>
  <c r="M313" i="4"/>
  <c r="N558" i="3" l="1"/>
  <c r="L559" i="4"/>
  <c r="J559" i="6" s="1"/>
  <c r="L63" i="4"/>
  <c r="J63" i="6" s="1"/>
  <c r="M61" i="4"/>
  <c r="K61" i="6" s="1"/>
  <c r="M45" i="4"/>
  <c r="K45" i="6" s="1"/>
  <c r="M68" i="4"/>
  <c r="K68" i="6" s="1"/>
  <c r="O604" i="3"/>
  <c r="M27" i="4"/>
  <c r="K27" i="6" s="1"/>
  <c r="L517" i="4" l="1"/>
  <c r="J517" i="6" s="1"/>
  <c r="N557" i="3"/>
  <c r="L558" i="4"/>
  <c r="J558" i="6" s="1"/>
  <c r="M44" i="4"/>
  <c r="K44" i="6" s="1"/>
  <c r="M54" i="4"/>
  <c r="K54" i="6" s="1"/>
  <c r="O603" i="3"/>
  <c r="M311" i="4"/>
  <c r="K311" i="6" s="1"/>
  <c r="L557" i="4" l="1"/>
  <c r="J557" i="6" s="1"/>
  <c r="N556" i="3"/>
  <c r="N555" i="3" s="1"/>
  <c r="N554" i="3" s="1"/>
  <c r="N553" i="3" s="1"/>
  <c r="N552" i="3" s="1"/>
  <c r="N551" i="3" s="1"/>
  <c r="L516" i="4"/>
  <c r="J516" i="6" s="1"/>
  <c r="L42" i="4"/>
  <c r="J42" i="6" s="1"/>
  <c r="M77" i="4"/>
  <c r="K77" i="6" s="1"/>
  <c r="M127" i="4"/>
  <c r="K127" i="6" s="1"/>
  <c r="M78" i="4"/>
  <c r="K78" i="6" s="1"/>
  <c r="M33" i="4"/>
  <c r="K33" i="6" s="1"/>
  <c r="O602" i="3"/>
  <c r="M309" i="4"/>
  <c r="K309" i="6" s="1"/>
  <c r="L551" i="4" l="1"/>
  <c r="J551" i="6" s="1"/>
  <c r="N550" i="3"/>
  <c r="N549" i="3" s="1"/>
  <c r="N548" i="3" s="1"/>
  <c r="N547" i="3" s="1"/>
  <c r="N546" i="3" s="1"/>
  <c r="N545" i="3" s="1"/>
  <c r="N544" i="3" s="1"/>
  <c r="N543" i="3" s="1"/>
  <c r="N542" i="3" s="1"/>
  <c r="L510" i="4"/>
  <c r="J510" i="6" s="1"/>
  <c r="L515" i="4"/>
  <c r="J515" i="6" s="1"/>
  <c r="L394" i="4"/>
  <c r="J394" i="6" s="1"/>
  <c r="L417" i="4"/>
  <c r="J417" i="6" s="1"/>
  <c r="M25" i="4"/>
  <c r="K25" i="6" s="1"/>
  <c r="M19" i="4"/>
  <c r="K19" i="6" s="1"/>
  <c r="O601" i="3"/>
  <c r="M303" i="4"/>
  <c r="K303" i="6" s="1"/>
  <c r="L542" i="4" l="1"/>
  <c r="J542" i="6" s="1"/>
  <c r="N541" i="3"/>
  <c r="N540" i="3" s="1"/>
  <c r="L514" i="4"/>
  <c r="J514" i="6" s="1"/>
  <c r="C3" i="7" s="1"/>
  <c r="L509" i="4"/>
  <c r="J509" i="6" s="1"/>
  <c r="L356" i="4"/>
  <c r="J356" i="6" s="1"/>
  <c r="M21" i="4"/>
  <c r="K21" i="6" s="1"/>
  <c r="O600" i="3"/>
  <c r="O599" i="3" s="1"/>
  <c r="M599" i="4" s="1"/>
  <c r="K599" i="6" s="1"/>
  <c r="L540" i="4" l="1"/>
  <c r="J540" i="6" s="1"/>
  <c r="N539" i="3"/>
  <c r="N538" i="3" s="1"/>
  <c r="N537" i="3" s="1"/>
  <c r="N536" i="3" s="1"/>
  <c r="N535" i="3" s="1"/>
  <c r="N534" i="3" s="1"/>
  <c r="N533" i="3" s="1"/>
  <c r="L508" i="4"/>
  <c r="J508" i="6" s="1"/>
  <c r="D3" i="7"/>
  <c r="L513" i="4"/>
  <c r="J513" i="6" s="1"/>
  <c r="L353" i="4"/>
  <c r="J353" i="6" s="1"/>
  <c r="M288" i="4"/>
  <c r="K288" i="6" s="1"/>
  <c r="O598" i="3"/>
  <c r="M598" i="4" s="1"/>
  <c r="K598" i="6" s="1"/>
  <c r="M600" i="4"/>
  <c r="K600" i="6" s="1"/>
  <c r="M18" i="4"/>
  <c r="K18" i="6" s="1"/>
  <c r="L533" i="4" l="1"/>
  <c r="J533" i="6" s="1"/>
  <c r="N532" i="3"/>
  <c r="L507" i="4"/>
  <c r="J507" i="6" s="1"/>
  <c r="C16" i="7" s="1"/>
  <c r="D16" i="7" s="1"/>
  <c r="O597" i="3"/>
  <c r="M13" i="4"/>
  <c r="K13" i="6" s="1"/>
  <c r="L532" i="4" l="1"/>
  <c r="J532" i="6" s="1"/>
  <c r="N531" i="3"/>
  <c r="N530" i="3" s="1"/>
  <c r="O596" i="3"/>
  <c r="M596" i="4" s="1"/>
  <c r="K596" i="6" s="1"/>
  <c r="M597" i="4"/>
  <c r="K597" i="6" s="1"/>
  <c r="L506" i="4"/>
  <c r="J506" i="6" s="1"/>
  <c r="F9" i="7" s="1"/>
  <c r="O595" i="3"/>
  <c r="M595" i="4" s="1"/>
  <c r="K595" i="6" s="1"/>
  <c r="M8" i="4"/>
  <c r="K8" i="6" s="1"/>
  <c r="L530" i="4" l="1"/>
  <c r="J530" i="6" s="1"/>
  <c r="N529" i="3"/>
  <c r="G9" i="7"/>
  <c r="F20" i="7"/>
  <c r="G20" i="7" s="1"/>
  <c r="L505" i="4"/>
  <c r="J505" i="6" s="1"/>
  <c r="C9" i="7" s="1"/>
  <c r="L315" i="4"/>
  <c r="J315" i="6" s="1"/>
  <c r="O594" i="3"/>
  <c r="L529" i="4" l="1"/>
  <c r="J529" i="6" s="1"/>
  <c r="N528" i="3"/>
  <c r="N527" i="3" s="1"/>
  <c r="N526" i="3" s="1"/>
  <c r="N525" i="3" s="1"/>
  <c r="D9" i="7"/>
  <c r="L504" i="4"/>
  <c r="J504" i="6" s="1"/>
  <c r="O593" i="3"/>
  <c r="M593" i="4" s="1"/>
  <c r="K593" i="6" s="1"/>
  <c r="M594" i="4"/>
  <c r="K594" i="6" s="1"/>
  <c r="L306" i="4"/>
  <c r="O592" i="3"/>
  <c r="M592" i="4" s="1"/>
  <c r="K592" i="6" s="1"/>
  <c r="L525" i="4" l="1"/>
  <c r="J525" i="6" s="1"/>
  <c r="N524" i="3"/>
  <c r="N523" i="3" s="1"/>
  <c r="N522" i="3" s="1"/>
  <c r="L503" i="4"/>
  <c r="J503" i="6" s="1"/>
  <c r="L297" i="4"/>
  <c r="J297" i="6" s="1"/>
  <c r="M270" i="4"/>
  <c r="K270" i="6" s="1"/>
  <c r="O591" i="3"/>
  <c r="L522" i="4" l="1"/>
  <c r="J522" i="6" s="1"/>
  <c r="N521" i="3"/>
  <c r="O590" i="3"/>
  <c r="M591" i="4"/>
  <c r="K591" i="6" s="1"/>
  <c r="L502" i="4"/>
  <c r="J502" i="6" s="1"/>
  <c r="L292" i="4"/>
  <c r="J292" i="6" s="1"/>
  <c r="L521" i="4" l="1"/>
  <c r="J521" i="6" s="1"/>
  <c r="N520" i="3"/>
  <c r="N519" i="3" s="1"/>
  <c r="L280" i="4"/>
  <c r="M582" i="4"/>
  <c r="K582" i="6" s="1"/>
  <c r="C12" i="7"/>
  <c r="O589" i="3"/>
  <c r="M590" i="4"/>
  <c r="K590" i="6" s="1"/>
  <c r="L265" i="4"/>
  <c r="J265" i="6" s="1"/>
  <c r="M235" i="4"/>
  <c r="K235" i="6" s="1"/>
  <c r="L519" i="4" l="1"/>
  <c r="J519" i="6" s="1"/>
  <c r="N518" i="3"/>
  <c r="L269" i="4"/>
  <c r="J269" i="6" s="1"/>
  <c r="D12" i="7"/>
  <c r="C20" i="7"/>
  <c r="D20" i="7" s="1"/>
  <c r="O588" i="3"/>
  <c r="M589" i="4"/>
  <c r="K589" i="6" s="1"/>
  <c r="M581" i="4"/>
  <c r="K581" i="6" s="1"/>
  <c r="L241" i="4"/>
  <c r="J241" i="6" s="1"/>
  <c r="L518" i="4" l="1"/>
  <c r="J518" i="6" s="1"/>
  <c r="N517" i="3"/>
  <c r="N516" i="3" s="1"/>
  <c r="N515" i="3" s="1"/>
  <c r="N514" i="3" s="1"/>
  <c r="N513" i="3" s="1"/>
  <c r="N512" i="3" s="1"/>
  <c r="L263" i="4"/>
  <c r="J263" i="6" s="1"/>
  <c r="O587" i="3"/>
  <c r="M588" i="4"/>
  <c r="K588" i="6" s="1"/>
  <c r="M578" i="4"/>
  <c r="K578" i="6" s="1"/>
  <c r="L219" i="4"/>
  <c r="J219" i="6" s="1"/>
  <c r="M231" i="4"/>
  <c r="L512" i="4" l="1"/>
  <c r="J512" i="6" s="1"/>
  <c r="N511" i="3"/>
  <c r="N241" i="3"/>
  <c r="N240" i="3" s="1"/>
  <c r="N239" i="3" s="1"/>
  <c r="O586" i="3"/>
  <c r="M587" i="4"/>
  <c r="K587" i="6" s="1"/>
  <c r="L208" i="4"/>
  <c r="J208" i="6" s="1"/>
  <c r="M230" i="4"/>
  <c r="N238" i="3" l="1"/>
  <c r="N237" i="3" s="1"/>
  <c r="L239" i="4"/>
  <c r="J239" i="6" s="1"/>
  <c r="L511" i="4"/>
  <c r="J511" i="6" s="1"/>
  <c r="N510" i="3"/>
  <c r="N509" i="3" s="1"/>
  <c r="N508" i="3" s="1"/>
  <c r="N507" i="3" s="1"/>
  <c r="N506" i="3" s="1"/>
  <c r="N505" i="3" s="1"/>
  <c r="N504" i="3" s="1"/>
  <c r="N503" i="3" s="1"/>
  <c r="N502" i="3" s="1"/>
  <c r="N501" i="3" s="1"/>
  <c r="N500" i="3" s="1"/>
  <c r="N499" i="3" s="1"/>
  <c r="N498" i="3" s="1"/>
  <c r="N497" i="3" s="1"/>
  <c r="N496" i="3" s="1"/>
  <c r="N495" i="3" s="1"/>
  <c r="N494" i="3" s="1"/>
  <c r="N493" i="3" s="1"/>
  <c r="N492" i="3" s="1"/>
  <c r="N491" i="3" s="1"/>
  <c r="N490" i="3" s="1"/>
  <c r="N489" i="3" s="1"/>
  <c r="N488" i="3" s="1"/>
  <c r="N487" i="3" s="1"/>
  <c r="N486" i="3" s="1"/>
  <c r="N485" i="3" s="1"/>
  <c r="N484" i="3" s="1"/>
  <c r="N483" i="3" s="1"/>
  <c r="N482" i="3" s="1"/>
  <c r="N481" i="3" s="1"/>
  <c r="N480" i="3" s="1"/>
  <c r="N479" i="3" s="1"/>
  <c r="N478" i="3" s="1"/>
  <c r="N477" i="3" s="1"/>
  <c r="N476" i="3" s="1"/>
  <c r="N475" i="3" s="1"/>
  <c r="N474" i="3" s="1"/>
  <c r="N473" i="3" s="1"/>
  <c r="N472" i="3" s="1"/>
  <c r="N471" i="3" s="1"/>
  <c r="N470" i="3" s="1"/>
  <c r="N469" i="3" s="1"/>
  <c r="N468" i="3" s="1"/>
  <c r="N467" i="3" s="1"/>
  <c r="N466" i="3" s="1"/>
  <c r="N465" i="3" s="1"/>
  <c r="N464" i="3" s="1"/>
  <c r="N463" i="3" s="1"/>
  <c r="N462" i="3" s="1"/>
  <c r="N461" i="3" s="1"/>
  <c r="N460" i="3" s="1"/>
  <c r="N459" i="3" s="1"/>
  <c r="N458" i="3" s="1"/>
  <c r="N457" i="3" s="1"/>
  <c r="N456" i="3" s="1"/>
  <c r="N455" i="3" s="1"/>
  <c r="N454" i="3" s="1"/>
  <c r="N453" i="3" s="1"/>
  <c r="N452" i="3" s="1"/>
  <c r="N451" i="3" s="1"/>
  <c r="N450" i="3" s="1"/>
  <c r="N449" i="3" s="1"/>
  <c r="N448" i="3" s="1"/>
  <c r="N447" i="3" s="1"/>
  <c r="N446" i="3" s="1"/>
  <c r="N445" i="3" s="1"/>
  <c r="N444" i="3" s="1"/>
  <c r="N443" i="3" s="1"/>
  <c r="N442" i="3" s="1"/>
  <c r="N441" i="3" s="1"/>
  <c r="N440" i="3" s="1"/>
  <c r="N439" i="3" s="1"/>
  <c r="N438" i="3" s="1"/>
  <c r="N437" i="3" s="1"/>
  <c r="N436" i="3" s="1"/>
  <c r="N435" i="3" s="1"/>
  <c r="L224" i="4"/>
  <c r="M575" i="4"/>
  <c r="K575" i="6" s="1"/>
  <c r="O585" i="3"/>
  <c r="M586" i="4"/>
  <c r="K586" i="6" s="1"/>
  <c r="L196" i="4"/>
  <c r="J196" i="6" s="1"/>
  <c r="N131" i="3"/>
  <c r="N130" i="3" s="1"/>
  <c r="N434" i="3" l="1"/>
  <c r="L435" i="4"/>
  <c r="N129" i="3"/>
  <c r="N128" i="3" s="1"/>
  <c r="L130" i="4"/>
  <c r="J130" i="6" s="1"/>
  <c r="N236" i="3"/>
  <c r="N235" i="3" s="1"/>
  <c r="N234" i="3" s="1"/>
  <c r="L237" i="4"/>
  <c r="J237" i="6" s="1"/>
  <c r="N124" i="3"/>
  <c r="N220" i="3"/>
  <c r="N219" i="3" s="1"/>
  <c r="N218" i="3" s="1"/>
  <c r="M556" i="4"/>
  <c r="K556" i="6" s="1"/>
  <c r="O584" i="3"/>
  <c r="M585" i="4"/>
  <c r="K585" i="6" s="1"/>
  <c r="M574" i="4"/>
  <c r="K574" i="6" s="1"/>
  <c r="L181" i="4"/>
  <c r="J181" i="6" s="1"/>
  <c r="N123" i="3" l="1"/>
  <c r="N122" i="3" s="1"/>
  <c r="N121" i="3" s="1"/>
  <c r="L124" i="4"/>
  <c r="J124" i="6" s="1"/>
  <c r="N127" i="3"/>
  <c r="N126" i="3" s="1"/>
  <c r="L128" i="4"/>
  <c r="J128" i="6" s="1"/>
  <c r="N233" i="3"/>
  <c r="N232" i="3" s="1"/>
  <c r="L234" i="4"/>
  <c r="J234" i="6" s="1"/>
  <c r="N433" i="3"/>
  <c r="L434" i="4"/>
  <c r="N217" i="3"/>
  <c r="L218" i="4"/>
  <c r="J218" i="6" s="1"/>
  <c r="O583" i="3"/>
  <c r="M584" i="4"/>
  <c r="K584" i="6" s="1"/>
  <c r="M541" i="4"/>
  <c r="K541" i="6" s="1"/>
  <c r="M573" i="4"/>
  <c r="K573" i="6" s="1"/>
  <c r="M555" i="4"/>
  <c r="K555" i="6" s="1"/>
  <c r="L178" i="4"/>
  <c r="J178" i="6" s="1"/>
  <c r="N118" i="3"/>
  <c r="N117" i="3" s="1"/>
  <c r="N116" i="3" s="1"/>
  <c r="N115" i="3" s="1"/>
  <c r="N114" i="3" s="1"/>
  <c r="M118" i="4"/>
  <c r="K118" i="6" s="1"/>
  <c r="N113" i="3" l="1"/>
  <c r="N112" i="3" s="1"/>
  <c r="L114" i="4"/>
  <c r="J114" i="6" s="1"/>
  <c r="M583" i="4"/>
  <c r="K583" i="6" s="1"/>
  <c r="O582" i="3"/>
  <c r="O581" i="3" s="1"/>
  <c r="O580" i="3" s="1"/>
  <c r="N432" i="3"/>
  <c r="N431" i="3" s="1"/>
  <c r="L433" i="4"/>
  <c r="N125" i="3"/>
  <c r="L125" i="4" s="1"/>
  <c r="J125" i="6" s="1"/>
  <c r="L126" i="4"/>
  <c r="J126" i="6" s="1"/>
  <c r="N216" i="3"/>
  <c r="L217" i="4"/>
  <c r="J217" i="6" s="1"/>
  <c r="N231" i="3"/>
  <c r="N230" i="3" s="1"/>
  <c r="N229" i="3" s="1"/>
  <c r="N228" i="3" s="1"/>
  <c r="L232" i="4"/>
  <c r="N120" i="3"/>
  <c r="N119" i="3" s="1"/>
  <c r="L119" i="4" s="1"/>
  <c r="J119" i="6" s="1"/>
  <c r="L121" i="4"/>
  <c r="J121" i="6" s="1"/>
  <c r="N215" i="3"/>
  <c r="N214" i="3" s="1"/>
  <c r="N213" i="3" s="1"/>
  <c r="L216" i="4"/>
  <c r="J216" i="6" s="1"/>
  <c r="M539" i="4"/>
  <c r="K539" i="6" s="1"/>
  <c r="M554" i="4"/>
  <c r="K554" i="6" s="1"/>
  <c r="M572" i="4"/>
  <c r="K572" i="6" s="1"/>
  <c r="L159" i="4"/>
  <c r="N104" i="3"/>
  <c r="N103" i="3" s="1"/>
  <c r="M91" i="4"/>
  <c r="K91" i="6" s="1"/>
  <c r="N102" i="3" l="1"/>
  <c r="L103" i="4"/>
  <c r="J103" i="6" s="1"/>
  <c r="M580" i="4"/>
  <c r="K580" i="6" s="1"/>
  <c r="O579" i="3"/>
  <c r="N212" i="3"/>
  <c r="N211" i="3" s="1"/>
  <c r="N210" i="3" s="1"/>
  <c r="L213" i="4"/>
  <c r="J213" i="6" s="1"/>
  <c r="N227" i="3"/>
  <c r="L228" i="4"/>
  <c r="N430" i="3"/>
  <c r="L431" i="4"/>
  <c r="N111" i="3"/>
  <c r="N110" i="3" s="1"/>
  <c r="N109" i="3" s="1"/>
  <c r="L112" i="4"/>
  <c r="J112" i="6" s="1"/>
  <c r="L93" i="4"/>
  <c r="J93" i="6" s="1"/>
  <c r="N198" i="3"/>
  <c r="N197" i="3" s="1"/>
  <c r="N196" i="3" s="1"/>
  <c r="N195" i="3" s="1"/>
  <c r="N194" i="3" s="1"/>
  <c r="M553" i="4"/>
  <c r="K553" i="6" s="1"/>
  <c r="M571" i="4"/>
  <c r="K571" i="6" s="1"/>
  <c r="M538" i="4"/>
  <c r="K538" i="6" s="1"/>
  <c r="L115" i="4"/>
  <c r="J115" i="6" s="1"/>
  <c r="M90" i="4"/>
  <c r="K90" i="6" s="1"/>
  <c r="M579" i="4" l="1"/>
  <c r="K579" i="6" s="1"/>
  <c r="O578" i="3"/>
  <c r="O577" i="3" s="1"/>
  <c r="N108" i="3"/>
  <c r="L109" i="4"/>
  <c r="J109" i="6" s="1"/>
  <c r="N226" i="3"/>
  <c r="L227" i="4"/>
  <c r="N429" i="3"/>
  <c r="N428" i="3" s="1"/>
  <c r="N427" i="3" s="1"/>
  <c r="L430" i="4"/>
  <c r="N209" i="3"/>
  <c r="N208" i="3" s="1"/>
  <c r="N207" i="3" s="1"/>
  <c r="L210" i="4"/>
  <c r="J210" i="6" s="1"/>
  <c r="N101" i="3"/>
  <c r="N100" i="3" s="1"/>
  <c r="N99" i="3" s="1"/>
  <c r="L102" i="4"/>
  <c r="J102" i="6" s="1"/>
  <c r="N193" i="3"/>
  <c r="L194" i="4"/>
  <c r="J194" i="6" s="1"/>
  <c r="L87" i="4"/>
  <c r="J87" i="6" s="1"/>
  <c r="M570" i="4"/>
  <c r="K570" i="6" s="1"/>
  <c r="M531" i="4"/>
  <c r="K531" i="6" s="1"/>
  <c r="M537" i="4"/>
  <c r="K537" i="6" s="1"/>
  <c r="M552" i="4"/>
  <c r="K552" i="6" s="1"/>
  <c r="L100" i="4"/>
  <c r="J100" i="6" s="1"/>
  <c r="N98" i="3" l="1"/>
  <c r="L99" i="4"/>
  <c r="J99" i="6" s="1"/>
  <c r="N426" i="3"/>
  <c r="L427" i="4"/>
  <c r="J427" i="6" s="1"/>
  <c r="N107" i="3"/>
  <c r="L108" i="4"/>
  <c r="J108" i="6" s="1"/>
  <c r="M577" i="4"/>
  <c r="K577" i="6" s="1"/>
  <c r="O576" i="3"/>
  <c r="N192" i="3"/>
  <c r="N191" i="3" s="1"/>
  <c r="L193" i="4"/>
  <c r="J193" i="6" s="1"/>
  <c r="N206" i="3"/>
  <c r="L207" i="4"/>
  <c r="J207" i="6" s="1"/>
  <c r="N225" i="3"/>
  <c r="N224" i="3" s="1"/>
  <c r="N223" i="3" s="1"/>
  <c r="N222" i="3" s="1"/>
  <c r="L226" i="4"/>
  <c r="L84" i="4"/>
  <c r="J84" i="6" s="1"/>
  <c r="N190" i="3"/>
  <c r="L191" i="4"/>
  <c r="J191" i="6" s="1"/>
  <c r="M551" i="4"/>
  <c r="K551" i="6" s="1"/>
  <c r="M536" i="4"/>
  <c r="K536" i="6" s="1"/>
  <c r="M569" i="4"/>
  <c r="K569" i="6" s="1"/>
  <c r="M86" i="4"/>
  <c r="K86" i="6" s="1"/>
  <c r="N189" i="3" l="1"/>
  <c r="N188" i="3" s="1"/>
  <c r="L190" i="4"/>
  <c r="J190" i="6" s="1"/>
  <c r="M576" i="4"/>
  <c r="K576" i="6" s="1"/>
  <c r="O575" i="3"/>
  <c r="O574" i="3" s="1"/>
  <c r="O573" i="3" s="1"/>
  <c r="O572" i="3" s="1"/>
  <c r="O571" i="3" s="1"/>
  <c r="O570" i="3" s="1"/>
  <c r="O569" i="3" s="1"/>
  <c r="O568" i="3" s="1"/>
  <c r="N205" i="3"/>
  <c r="N204" i="3" s="1"/>
  <c r="L206" i="4"/>
  <c r="J206" i="6" s="1"/>
  <c r="N425" i="3"/>
  <c r="N424" i="3" s="1"/>
  <c r="L426" i="4"/>
  <c r="J426" i="6" s="1"/>
  <c r="N221" i="3"/>
  <c r="L221" i="4" s="1"/>
  <c r="J221" i="6" s="1"/>
  <c r="L222" i="4"/>
  <c r="J222" i="6" s="1"/>
  <c r="N106" i="3"/>
  <c r="N105" i="3" s="1"/>
  <c r="L105" i="4" s="1"/>
  <c r="J105" i="6" s="1"/>
  <c r="L107" i="4"/>
  <c r="J107" i="6" s="1"/>
  <c r="N97" i="3"/>
  <c r="N96" i="3" s="1"/>
  <c r="L98" i="4"/>
  <c r="J98" i="6" s="1"/>
  <c r="N187" i="3"/>
  <c r="L188" i="4"/>
  <c r="J188" i="6" s="1"/>
  <c r="L32" i="4"/>
  <c r="J32" i="6" s="1"/>
  <c r="N81" i="3"/>
  <c r="N80" i="3" s="1"/>
  <c r="M535" i="4"/>
  <c r="K535" i="6" s="1"/>
  <c r="M528" i="4"/>
  <c r="K528" i="6" s="1"/>
  <c r="O567" i="3"/>
  <c r="M568" i="4"/>
  <c r="K568" i="6" s="1"/>
  <c r="M550" i="4"/>
  <c r="K550" i="6" s="1"/>
  <c r="M73" i="4"/>
  <c r="K73" i="6" s="1"/>
  <c r="N79" i="3" l="1"/>
  <c r="N78" i="3" s="1"/>
  <c r="N77" i="3" s="1"/>
  <c r="N76" i="3" s="1"/>
  <c r="L80" i="4"/>
  <c r="J80" i="6" s="1"/>
  <c r="N186" i="3"/>
  <c r="N185" i="3" s="1"/>
  <c r="L187" i="4"/>
  <c r="J187" i="6" s="1"/>
  <c r="N423" i="3"/>
  <c r="L424" i="4"/>
  <c r="J424" i="6" s="1"/>
  <c r="N95" i="3"/>
  <c r="L96" i="4"/>
  <c r="J96" i="6" s="1"/>
  <c r="N203" i="3"/>
  <c r="N202" i="3" s="1"/>
  <c r="L204" i="4"/>
  <c r="J204" i="6" s="1"/>
  <c r="L30" i="4"/>
  <c r="J30" i="6" s="1"/>
  <c r="L62" i="4"/>
  <c r="J62" i="6" s="1"/>
  <c r="L175" i="4"/>
  <c r="J175" i="6" s="1"/>
  <c r="M524" i="4"/>
  <c r="K524" i="6" s="1"/>
  <c r="M549" i="4"/>
  <c r="K549" i="6" s="1"/>
  <c r="M527" i="4"/>
  <c r="K527" i="6" s="1"/>
  <c r="O566" i="3"/>
  <c r="M567" i="4"/>
  <c r="K567" i="6" s="1"/>
  <c r="M534" i="4"/>
  <c r="K534" i="6" s="1"/>
  <c r="L23" i="4"/>
  <c r="J23" i="6" s="1"/>
  <c r="N16" i="3"/>
  <c r="N15" i="3" s="1"/>
  <c r="N14" i="3" s="1"/>
  <c r="N13" i="3" l="1"/>
  <c r="N12" i="3" s="1"/>
  <c r="N11" i="3" s="1"/>
  <c r="N10" i="3" s="1"/>
  <c r="L14" i="4"/>
  <c r="J14" i="6" s="1"/>
  <c r="N94" i="3"/>
  <c r="N93" i="3" s="1"/>
  <c r="N92" i="3" s="1"/>
  <c r="L95" i="4"/>
  <c r="J95" i="6" s="1"/>
  <c r="N184" i="3"/>
  <c r="N183" i="3" s="1"/>
  <c r="L185" i="4"/>
  <c r="J185" i="6" s="1"/>
  <c r="N201" i="3"/>
  <c r="N200" i="3" s="1"/>
  <c r="L202" i="4"/>
  <c r="J202" i="6" s="1"/>
  <c r="N422" i="3"/>
  <c r="N421" i="3" s="1"/>
  <c r="L423" i="4"/>
  <c r="J423" i="6" s="1"/>
  <c r="N75" i="3"/>
  <c r="L76" i="4"/>
  <c r="J76" i="6" s="1"/>
  <c r="N172" i="3"/>
  <c r="N171" i="3" s="1"/>
  <c r="N170" i="3" s="1"/>
  <c r="L53" i="4"/>
  <c r="J53" i="6" s="1"/>
  <c r="L7" i="4"/>
  <c r="J7" i="6" s="1"/>
  <c r="O565" i="3"/>
  <c r="M566" i="4"/>
  <c r="K566" i="6" s="1"/>
  <c r="M548" i="4"/>
  <c r="K548" i="6" s="1"/>
  <c r="M526" i="4"/>
  <c r="K526" i="6" s="1"/>
  <c r="M523" i="4"/>
  <c r="K523" i="6" s="1"/>
  <c r="M66" i="4"/>
  <c r="K66" i="6" s="1"/>
  <c r="N74" i="3" l="1"/>
  <c r="N73" i="3" s="1"/>
  <c r="N72" i="3" s="1"/>
  <c r="L75" i="4"/>
  <c r="J75" i="6" s="1"/>
  <c r="N199" i="3"/>
  <c r="L199" i="4" s="1"/>
  <c r="J199" i="6" s="1"/>
  <c r="L200" i="4"/>
  <c r="J200" i="6" s="1"/>
  <c r="N91" i="3"/>
  <c r="N90" i="3" s="1"/>
  <c r="N89" i="3" s="1"/>
  <c r="L92" i="4"/>
  <c r="J92" i="6" s="1"/>
  <c r="N169" i="3"/>
  <c r="L170" i="4"/>
  <c r="J170" i="6" s="1"/>
  <c r="N420" i="3"/>
  <c r="N419" i="3" s="1"/>
  <c r="L421" i="4"/>
  <c r="J421" i="6" s="1"/>
  <c r="N182" i="3"/>
  <c r="L183" i="4"/>
  <c r="J183" i="6" s="1"/>
  <c r="N9" i="3"/>
  <c r="L10" i="4"/>
  <c r="J10" i="6" s="1"/>
  <c r="L51" i="4"/>
  <c r="J51" i="6" s="1"/>
  <c r="L168" i="4"/>
  <c r="J168" i="6" s="1"/>
  <c r="M547" i="4"/>
  <c r="K547" i="6" s="1"/>
  <c r="M520" i="4"/>
  <c r="K520" i="6" s="1"/>
  <c r="O564" i="3"/>
  <c r="M565" i="4"/>
  <c r="K565" i="6" s="1"/>
  <c r="M64" i="4"/>
  <c r="K64" i="6" s="1"/>
  <c r="N181" i="3" l="1"/>
  <c r="N180" i="3" s="1"/>
  <c r="N179" i="3" s="1"/>
  <c r="N178" i="3" s="1"/>
  <c r="N177" i="3" s="1"/>
  <c r="N176" i="3" s="1"/>
  <c r="N175" i="3" s="1"/>
  <c r="N174" i="3" s="1"/>
  <c r="L182" i="4"/>
  <c r="J182" i="6" s="1"/>
  <c r="N168" i="3"/>
  <c r="N167" i="3" s="1"/>
  <c r="N166" i="3" s="1"/>
  <c r="L169" i="4"/>
  <c r="J169" i="6" s="1"/>
  <c r="N8" i="3"/>
  <c r="N7" i="3" s="1"/>
  <c r="N6" i="3" s="1"/>
  <c r="L9" i="4"/>
  <c r="J9" i="6" s="1"/>
  <c r="N418" i="3"/>
  <c r="L419" i="4"/>
  <c r="J419" i="6" s="1"/>
  <c r="N88" i="3"/>
  <c r="L89" i="4"/>
  <c r="J89" i="6" s="1"/>
  <c r="N71" i="3"/>
  <c r="N70" i="3" s="1"/>
  <c r="L72" i="4"/>
  <c r="L165" i="4"/>
  <c r="J165" i="6" s="1"/>
  <c r="L46" i="4"/>
  <c r="J46" i="6" s="1"/>
  <c r="O563" i="3"/>
  <c r="M564" i="4"/>
  <c r="K564" i="6" s="1"/>
  <c r="M546" i="4"/>
  <c r="K546" i="6" s="1"/>
  <c r="M63" i="4"/>
  <c r="K63" i="6" s="1"/>
  <c r="N87" i="3" l="1"/>
  <c r="N86" i="3" s="1"/>
  <c r="N85" i="3" s="1"/>
  <c r="L88" i="4"/>
  <c r="J88" i="6" s="1"/>
  <c r="N69" i="3"/>
  <c r="N68" i="3" s="1"/>
  <c r="N67" i="3" s="1"/>
  <c r="L70" i="4"/>
  <c r="J70" i="6" s="1"/>
  <c r="N417" i="3"/>
  <c r="N416" i="3" s="1"/>
  <c r="L418" i="4"/>
  <c r="J418" i="6" s="1"/>
  <c r="N165" i="3"/>
  <c r="N164" i="3" s="1"/>
  <c r="L166" i="4"/>
  <c r="J166" i="6" s="1"/>
  <c r="N5" i="3"/>
  <c r="N4" i="3" s="1"/>
  <c r="L6" i="4"/>
  <c r="J6" i="6" s="1"/>
  <c r="N173" i="3"/>
  <c r="L173" i="4" s="1"/>
  <c r="J173" i="6" s="1"/>
  <c r="L174" i="4"/>
  <c r="J174" i="6" s="1"/>
  <c r="N42" i="3"/>
  <c r="N41" i="3" s="1"/>
  <c r="L155" i="4"/>
  <c r="J155" i="6" s="1"/>
  <c r="M517" i="4"/>
  <c r="K517" i="6" s="1"/>
  <c r="M545" i="4"/>
  <c r="K545" i="6" s="1"/>
  <c r="O562" i="3"/>
  <c r="M563" i="4"/>
  <c r="K563" i="6" s="1"/>
  <c r="N163" i="3" l="1"/>
  <c r="N162" i="3" s="1"/>
  <c r="N161" i="3" s="1"/>
  <c r="N160" i="3" s="1"/>
  <c r="L164" i="4"/>
  <c r="J164" i="6" s="1"/>
  <c r="N66" i="3"/>
  <c r="N65" i="3" s="1"/>
  <c r="L67" i="4"/>
  <c r="J67" i="6" s="1"/>
  <c r="N40" i="3"/>
  <c r="L41" i="4"/>
  <c r="J41" i="6" s="1"/>
  <c r="N3" i="3"/>
  <c r="N2" i="3" s="1"/>
  <c r="L4" i="4"/>
  <c r="J4" i="6" s="1"/>
  <c r="N415" i="3"/>
  <c r="L416" i="4"/>
  <c r="J416" i="6" s="1"/>
  <c r="N84" i="3"/>
  <c r="N83" i="3" s="1"/>
  <c r="L85" i="4"/>
  <c r="J85" i="6" s="1"/>
  <c r="L148" i="4"/>
  <c r="J148" i="6" s="1"/>
  <c r="M544" i="4"/>
  <c r="K544" i="6" s="1"/>
  <c r="O561" i="3"/>
  <c r="M562" i="4"/>
  <c r="K562" i="6" s="1"/>
  <c r="M516" i="4"/>
  <c r="K516" i="6" s="1"/>
  <c r="M42" i="4"/>
  <c r="K42" i="6" s="1"/>
  <c r="N82" i="3" l="1"/>
  <c r="L82" i="4" s="1"/>
  <c r="J82" i="6" s="1"/>
  <c r="L83" i="4"/>
  <c r="J83" i="6" s="1"/>
  <c r="N64" i="3"/>
  <c r="N63" i="3" s="1"/>
  <c r="N62" i="3" s="1"/>
  <c r="N61" i="3" s="1"/>
  <c r="N60" i="3" s="1"/>
  <c r="L65" i="4"/>
  <c r="J65" i="6" s="1"/>
  <c r="N414" i="3"/>
  <c r="N413" i="3" s="1"/>
  <c r="N412" i="3" s="1"/>
  <c r="N411" i="3" s="1"/>
  <c r="N410" i="3" s="1"/>
  <c r="L415" i="4"/>
  <c r="L40" i="4"/>
  <c r="J40" i="6" s="1"/>
  <c r="N39" i="3"/>
  <c r="N38" i="3" s="1"/>
  <c r="N159" i="3"/>
  <c r="N158" i="3" s="1"/>
  <c r="N157" i="3" s="1"/>
  <c r="L160" i="4"/>
  <c r="J160" i="6" s="1"/>
  <c r="L143" i="4"/>
  <c r="J143" i="6" s="1"/>
  <c r="O560" i="3"/>
  <c r="M561" i="4"/>
  <c r="K561" i="6" s="1"/>
  <c r="M510" i="4"/>
  <c r="K510" i="6" s="1"/>
  <c r="M515" i="4"/>
  <c r="K515" i="6" s="1"/>
  <c r="M543" i="4"/>
  <c r="K543" i="6" s="1"/>
  <c r="M409" i="4"/>
  <c r="K409" i="6" s="1"/>
  <c r="M417" i="4"/>
  <c r="K417" i="6" s="1"/>
  <c r="N59" i="3" l="1"/>
  <c r="N58" i="3" s="1"/>
  <c r="N57" i="3" s="1"/>
  <c r="L60" i="4"/>
  <c r="J60" i="6" s="1"/>
  <c r="N156" i="3"/>
  <c r="N155" i="3" s="1"/>
  <c r="N154" i="3" s="1"/>
  <c r="N153" i="3" s="1"/>
  <c r="N152" i="3" s="1"/>
  <c r="L157" i="4"/>
  <c r="J157" i="6" s="1"/>
  <c r="N409" i="3"/>
  <c r="N408" i="3" s="1"/>
  <c r="N407" i="3" s="1"/>
  <c r="N406" i="3" s="1"/>
  <c r="N405" i="3" s="1"/>
  <c r="L410" i="4"/>
  <c r="N37" i="3"/>
  <c r="N36" i="3" s="1"/>
  <c r="N35" i="3" s="1"/>
  <c r="L38" i="4"/>
  <c r="J38" i="6" s="1"/>
  <c r="M509" i="4"/>
  <c r="K509" i="6" s="1"/>
  <c r="M514" i="4"/>
  <c r="K514" i="6" s="1"/>
  <c r="O559" i="3"/>
  <c r="M560" i="4"/>
  <c r="K560" i="6" s="1"/>
  <c r="N34" i="3" l="1"/>
  <c r="L35" i="4"/>
  <c r="J35" i="6" s="1"/>
  <c r="N151" i="3"/>
  <c r="L152" i="4"/>
  <c r="J152" i="6" s="1"/>
  <c r="N404" i="3"/>
  <c r="L405" i="4"/>
  <c r="N56" i="3"/>
  <c r="L57" i="4"/>
  <c r="J57" i="6" s="1"/>
  <c r="M513" i="4"/>
  <c r="K513" i="6" s="1"/>
  <c r="O558" i="3"/>
  <c r="M559" i="4"/>
  <c r="K559" i="6" s="1"/>
  <c r="M508" i="4"/>
  <c r="K508" i="6" s="1"/>
  <c r="M394" i="4"/>
  <c r="K394" i="6" s="1"/>
  <c r="N55" i="3" l="1"/>
  <c r="L56" i="4"/>
  <c r="J56" i="6" s="1"/>
  <c r="N150" i="3"/>
  <c r="N149" i="3" s="1"/>
  <c r="N148" i="3" s="1"/>
  <c r="N147" i="3" s="1"/>
  <c r="L151" i="4"/>
  <c r="J151" i="6" s="1"/>
  <c r="N403" i="3"/>
  <c r="N402" i="3" s="1"/>
  <c r="L404" i="4"/>
  <c r="N33" i="3"/>
  <c r="N32" i="3" s="1"/>
  <c r="N31" i="3" s="1"/>
  <c r="L34" i="4"/>
  <c r="J34" i="6" s="1"/>
  <c r="O557" i="3"/>
  <c r="M558" i="4"/>
  <c r="K558" i="6" s="1"/>
  <c r="M507" i="4"/>
  <c r="K507" i="6" s="1"/>
  <c r="N30" i="3" l="1"/>
  <c r="N29" i="3" s="1"/>
  <c r="L31" i="4"/>
  <c r="J31" i="6" s="1"/>
  <c r="N146" i="3"/>
  <c r="L147" i="4"/>
  <c r="J147" i="6" s="1"/>
  <c r="M557" i="4"/>
  <c r="K557" i="6" s="1"/>
  <c r="O556" i="3"/>
  <c r="O555" i="3" s="1"/>
  <c r="O554" i="3" s="1"/>
  <c r="O553" i="3" s="1"/>
  <c r="O552" i="3" s="1"/>
  <c r="O551" i="3" s="1"/>
  <c r="O550" i="3" s="1"/>
  <c r="O549" i="3" s="1"/>
  <c r="O548" i="3" s="1"/>
  <c r="O547" i="3" s="1"/>
  <c r="O546" i="3" s="1"/>
  <c r="O545" i="3" s="1"/>
  <c r="O544" i="3" s="1"/>
  <c r="O543" i="3" s="1"/>
  <c r="O542" i="3" s="1"/>
  <c r="N401" i="3"/>
  <c r="N400" i="3" s="1"/>
  <c r="N399" i="3" s="1"/>
  <c r="N398" i="3" s="1"/>
  <c r="N397" i="3" s="1"/>
  <c r="L402" i="4"/>
  <c r="N54" i="3"/>
  <c r="N53" i="3" s="1"/>
  <c r="N52" i="3" s="1"/>
  <c r="L55" i="4"/>
  <c r="J55" i="6" s="1"/>
  <c r="M506" i="4"/>
  <c r="K506" i="6" s="1"/>
  <c r="M359" i="4"/>
  <c r="K359" i="6" s="1"/>
  <c r="N396" i="3" l="1"/>
  <c r="L397" i="4"/>
  <c r="J397" i="6" s="1"/>
  <c r="N145" i="3"/>
  <c r="L146" i="4"/>
  <c r="J146" i="6" s="1"/>
  <c r="M542" i="4"/>
  <c r="K542" i="6" s="1"/>
  <c r="O541" i="3"/>
  <c r="O540" i="3" s="1"/>
  <c r="N51" i="3"/>
  <c r="N50" i="3" s="1"/>
  <c r="N49" i="3" s="1"/>
  <c r="N48" i="3" s="1"/>
  <c r="L52" i="4"/>
  <c r="J52" i="6" s="1"/>
  <c r="N28" i="3"/>
  <c r="L29" i="4"/>
  <c r="J29" i="6" s="1"/>
  <c r="M505" i="4"/>
  <c r="K505" i="6" s="1"/>
  <c r="M356" i="4"/>
  <c r="K356" i="6" s="1"/>
  <c r="N47" i="3" l="1"/>
  <c r="N46" i="3" s="1"/>
  <c r="N45" i="3" s="1"/>
  <c r="N44" i="3" s="1"/>
  <c r="N43" i="3" s="1"/>
  <c r="L43" i="4" s="1"/>
  <c r="J43" i="6" s="1"/>
  <c r="L48" i="4"/>
  <c r="J48" i="6" s="1"/>
  <c r="N144" i="3"/>
  <c r="N143" i="3" s="1"/>
  <c r="N142" i="3" s="1"/>
  <c r="N141" i="3" s="1"/>
  <c r="N140" i="3" s="1"/>
  <c r="N139" i="3" s="1"/>
  <c r="L145" i="4"/>
  <c r="J145" i="6" s="1"/>
  <c r="M540" i="4"/>
  <c r="K540" i="6" s="1"/>
  <c r="O539" i="3"/>
  <c r="O538" i="3" s="1"/>
  <c r="O537" i="3" s="1"/>
  <c r="O536" i="3" s="1"/>
  <c r="O535" i="3" s="1"/>
  <c r="O534" i="3" s="1"/>
  <c r="O533" i="3" s="1"/>
  <c r="N27" i="3"/>
  <c r="N26" i="3" s="1"/>
  <c r="N25" i="3" s="1"/>
  <c r="N24" i="3" s="1"/>
  <c r="N23" i="3" s="1"/>
  <c r="N22" i="3" s="1"/>
  <c r="L28" i="4"/>
  <c r="J28" i="6" s="1"/>
  <c r="N395" i="3"/>
  <c r="N394" i="3" s="1"/>
  <c r="N393" i="3" s="1"/>
  <c r="N392" i="3" s="1"/>
  <c r="L396" i="4"/>
  <c r="J396" i="6" s="1"/>
  <c r="M504" i="4"/>
  <c r="K504" i="6" s="1"/>
  <c r="M353" i="4"/>
  <c r="K353" i="6" s="1"/>
  <c r="N391" i="3" l="1"/>
  <c r="N390" i="3" s="1"/>
  <c r="N389" i="3" s="1"/>
  <c r="N388" i="3" s="1"/>
  <c r="L392" i="4"/>
  <c r="J392" i="6" s="1"/>
  <c r="N21" i="3"/>
  <c r="N20" i="3" s="1"/>
  <c r="N19" i="3" s="1"/>
  <c r="N18" i="3" s="1"/>
  <c r="N17" i="3" s="1"/>
  <c r="L17" i="4" s="1"/>
  <c r="J17" i="6" s="1"/>
  <c r="L22" i="4"/>
  <c r="J22" i="6" s="1"/>
  <c r="N138" i="3"/>
  <c r="N137" i="3" s="1"/>
  <c r="N136" i="3" s="1"/>
  <c r="L139" i="4"/>
  <c r="J139" i="6" s="1"/>
  <c r="M533" i="4"/>
  <c r="K533" i="6" s="1"/>
  <c r="O532" i="3"/>
  <c r="M503" i="4"/>
  <c r="K503" i="6" s="1"/>
  <c r="M532" i="4" l="1"/>
  <c r="K532" i="6" s="1"/>
  <c r="O531" i="3"/>
  <c r="O530" i="3" s="1"/>
  <c r="N135" i="3"/>
  <c r="L136" i="4"/>
  <c r="J136" i="6" s="1"/>
  <c r="N387" i="3"/>
  <c r="L388" i="4"/>
  <c r="J388" i="6" s="1"/>
  <c r="M502" i="4"/>
  <c r="K502" i="6" s="1"/>
  <c r="M330" i="4"/>
  <c r="K330" i="6" s="1"/>
  <c r="N134" i="3" l="1"/>
  <c r="N133" i="3" s="1"/>
  <c r="N132" i="3" s="1"/>
  <c r="L132" i="4" s="1"/>
  <c r="J132" i="6" s="1"/>
  <c r="L135" i="4"/>
  <c r="J135" i="6" s="1"/>
  <c r="M530" i="4"/>
  <c r="K530" i="6" s="1"/>
  <c r="O529" i="3"/>
  <c r="N386" i="3"/>
  <c r="N385" i="3" s="1"/>
  <c r="N384" i="3" s="1"/>
  <c r="L387" i="4"/>
  <c r="J387" i="6" s="1"/>
  <c r="M280" i="4"/>
  <c r="N383" i="3" l="1"/>
  <c r="N382" i="3" s="1"/>
  <c r="N381" i="3" s="1"/>
  <c r="L384" i="4"/>
  <c r="J384" i="6" s="1"/>
  <c r="M529" i="4"/>
  <c r="K529" i="6" s="1"/>
  <c r="O528" i="3"/>
  <c r="O527" i="3" s="1"/>
  <c r="O526" i="3" s="1"/>
  <c r="O525" i="3" s="1"/>
  <c r="M269" i="4"/>
  <c r="K269" i="6" s="1"/>
  <c r="M525" i="4" l="1"/>
  <c r="K525" i="6" s="1"/>
  <c r="O524" i="3"/>
  <c r="O523" i="3" s="1"/>
  <c r="O522" i="3" s="1"/>
  <c r="N380" i="3"/>
  <c r="N379" i="3" s="1"/>
  <c r="L381" i="4"/>
  <c r="J381" i="6" s="1"/>
  <c r="M263" i="4"/>
  <c r="K263" i="6" s="1"/>
  <c r="M315" i="4"/>
  <c r="K315" i="6" s="1"/>
  <c r="N378" i="3" l="1"/>
  <c r="L379" i="4"/>
  <c r="J379" i="6" s="1"/>
  <c r="M522" i="4"/>
  <c r="K522" i="6" s="1"/>
  <c r="O521" i="3"/>
  <c r="O241" i="3"/>
  <c r="O240" i="3" s="1"/>
  <c r="O239" i="3" s="1"/>
  <c r="M306" i="4"/>
  <c r="M521" i="4" l="1"/>
  <c r="K521" i="6" s="1"/>
  <c r="O520" i="3"/>
  <c r="O519" i="3" s="1"/>
  <c r="O238" i="3"/>
  <c r="O237" i="3" s="1"/>
  <c r="M239" i="4"/>
  <c r="K239" i="6" s="1"/>
  <c r="N377" i="3"/>
  <c r="L378" i="4"/>
  <c r="J378" i="6" s="1"/>
  <c r="M224" i="4"/>
  <c r="M297" i="4"/>
  <c r="K297" i="6" s="1"/>
  <c r="O236" i="3" l="1"/>
  <c r="O235" i="3" s="1"/>
  <c r="O234" i="3" s="1"/>
  <c r="M237" i="4"/>
  <c r="K237" i="6" s="1"/>
  <c r="M519" i="4"/>
  <c r="K519" i="6" s="1"/>
  <c r="O518" i="3"/>
  <c r="N376" i="3"/>
  <c r="L377" i="4"/>
  <c r="J377" i="6" s="1"/>
  <c r="O220" i="3"/>
  <c r="O219" i="3" s="1"/>
  <c r="O218" i="3" s="1"/>
  <c r="M292" i="4"/>
  <c r="K292" i="6" s="1"/>
  <c r="M518" i="4" l="1"/>
  <c r="K518" i="6" s="1"/>
  <c r="O517" i="3"/>
  <c r="O516" i="3" s="1"/>
  <c r="O515" i="3" s="1"/>
  <c r="O514" i="3" s="1"/>
  <c r="O513" i="3" s="1"/>
  <c r="O512" i="3" s="1"/>
  <c r="N375" i="3"/>
  <c r="N374" i="3" s="1"/>
  <c r="N373" i="3" s="1"/>
  <c r="L376" i="4"/>
  <c r="J376" i="6" s="1"/>
  <c r="O233" i="3"/>
  <c r="O232" i="3" s="1"/>
  <c r="M234" i="4"/>
  <c r="K234" i="6" s="1"/>
  <c r="O217" i="3"/>
  <c r="M218" i="4"/>
  <c r="K218" i="6" s="1"/>
  <c r="M265" i="4"/>
  <c r="K265" i="6" s="1"/>
  <c r="O216" i="3" l="1"/>
  <c r="M217" i="4"/>
  <c r="K217" i="6" s="1"/>
  <c r="N372" i="3"/>
  <c r="N371" i="3" s="1"/>
  <c r="N370" i="3" s="1"/>
  <c r="N369" i="3" s="1"/>
  <c r="L373" i="4"/>
  <c r="J373" i="6" s="1"/>
  <c r="M512" i="4"/>
  <c r="K512" i="6" s="1"/>
  <c r="O511" i="3"/>
  <c r="O231" i="3"/>
  <c r="O230" i="3" s="1"/>
  <c r="O229" i="3" s="1"/>
  <c r="O228" i="3" s="1"/>
  <c r="M232" i="4"/>
  <c r="O215" i="3"/>
  <c r="O214" i="3" s="1"/>
  <c r="O213" i="3" s="1"/>
  <c r="M216" i="4"/>
  <c r="K216" i="6" s="1"/>
  <c r="M241" i="4"/>
  <c r="K241" i="6" s="1"/>
  <c r="O227" i="3" l="1"/>
  <c r="M228" i="4"/>
  <c r="N368" i="3"/>
  <c r="N367" i="3" s="1"/>
  <c r="L369" i="4"/>
  <c r="J369" i="6" s="1"/>
  <c r="M511" i="4"/>
  <c r="K511" i="6" s="1"/>
  <c r="O510" i="3"/>
  <c r="O509" i="3" s="1"/>
  <c r="O508" i="3" s="1"/>
  <c r="O507" i="3" s="1"/>
  <c r="O506" i="3" s="1"/>
  <c r="O505" i="3" s="1"/>
  <c r="O504" i="3" s="1"/>
  <c r="O503" i="3" s="1"/>
  <c r="O502" i="3" s="1"/>
  <c r="O501" i="3" s="1"/>
  <c r="O500" i="3" s="1"/>
  <c r="O499" i="3" s="1"/>
  <c r="O498" i="3" s="1"/>
  <c r="O497" i="3" s="1"/>
  <c r="O496" i="3" s="1"/>
  <c r="O495" i="3" s="1"/>
  <c r="O494" i="3" s="1"/>
  <c r="O493" i="3" s="1"/>
  <c r="O492" i="3" s="1"/>
  <c r="O491" i="3" s="1"/>
  <c r="O490" i="3" s="1"/>
  <c r="O489" i="3" s="1"/>
  <c r="O488" i="3" s="1"/>
  <c r="O487" i="3" s="1"/>
  <c r="O486" i="3" s="1"/>
  <c r="O485" i="3" s="1"/>
  <c r="O484" i="3" s="1"/>
  <c r="O483" i="3" s="1"/>
  <c r="O482" i="3" s="1"/>
  <c r="O481" i="3" s="1"/>
  <c r="O480" i="3" s="1"/>
  <c r="O479" i="3" s="1"/>
  <c r="O478" i="3" s="1"/>
  <c r="O477" i="3" s="1"/>
  <c r="O476" i="3" s="1"/>
  <c r="O475" i="3" s="1"/>
  <c r="O474" i="3" s="1"/>
  <c r="O473" i="3" s="1"/>
  <c r="O472" i="3" s="1"/>
  <c r="O471" i="3" s="1"/>
  <c r="O470" i="3" s="1"/>
  <c r="O469" i="3" s="1"/>
  <c r="O468" i="3" s="1"/>
  <c r="O467" i="3" s="1"/>
  <c r="O466" i="3" s="1"/>
  <c r="O465" i="3" s="1"/>
  <c r="O464" i="3" s="1"/>
  <c r="O463" i="3" s="1"/>
  <c r="O462" i="3" s="1"/>
  <c r="O461" i="3" s="1"/>
  <c r="O460" i="3" s="1"/>
  <c r="O459" i="3" s="1"/>
  <c r="O458" i="3" s="1"/>
  <c r="O457" i="3" s="1"/>
  <c r="O456" i="3" s="1"/>
  <c r="O455" i="3" s="1"/>
  <c r="O454" i="3" s="1"/>
  <c r="O453" i="3" s="1"/>
  <c r="O452" i="3" s="1"/>
  <c r="O451" i="3" s="1"/>
  <c r="O450" i="3" s="1"/>
  <c r="O449" i="3" s="1"/>
  <c r="O448" i="3" s="1"/>
  <c r="O447" i="3" s="1"/>
  <c r="O446" i="3" s="1"/>
  <c r="O445" i="3" s="1"/>
  <c r="O444" i="3" s="1"/>
  <c r="O443" i="3" s="1"/>
  <c r="O442" i="3" s="1"/>
  <c r="O441" i="3" s="1"/>
  <c r="O440" i="3" s="1"/>
  <c r="O439" i="3" s="1"/>
  <c r="O438" i="3" s="1"/>
  <c r="O437" i="3" s="1"/>
  <c r="O436" i="3" s="1"/>
  <c r="O435" i="3" s="1"/>
  <c r="O212" i="3"/>
  <c r="O211" i="3" s="1"/>
  <c r="O210" i="3" s="1"/>
  <c r="M213" i="4"/>
  <c r="K213" i="6" s="1"/>
  <c r="O198" i="3"/>
  <c r="O197" i="3" s="1"/>
  <c r="O196" i="3" s="1"/>
  <c r="O195" i="3" s="1"/>
  <c r="O194" i="3" s="1"/>
  <c r="M219" i="4"/>
  <c r="K219" i="6" s="1"/>
  <c r="O209" i="3" l="1"/>
  <c r="O208" i="3" s="1"/>
  <c r="O207" i="3" s="1"/>
  <c r="M210" i="4"/>
  <c r="K210" i="6" s="1"/>
  <c r="N366" i="3"/>
  <c r="N365" i="3" s="1"/>
  <c r="L367" i="4"/>
  <c r="J367" i="6" s="1"/>
  <c r="O434" i="3"/>
  <c r="M435" i="4"/>
  <c r="O226" i="3"/>
  <c r="M227" i="4"/>
  <c r="O193" i="3"/>
  <c r="M194" i="4"/>
  <c r="K194" i="6" s="1"/>
  <c r="M208" i="4"/>
  <c r="K208" i="6" s="1"/>
  <c r="O225" i="3" l="1"/>
  <c r="O224" i="3" s="1"/>
  <c r="O223" i="3" s="1"/>
  <c r="O222" i="3" s="1"/>
  <c r="M226" i="4"/>
  <c r="N364" i="3"/>
  <c r="N363" i="3" s="1"/>
  <c r="L365" i="4"/>
  <c r="J365" i="6" s="1"/>
  <c r="O192" i="3"/>
  <c r="O191" i="3" s="1"/>
  <c r="M193" i="4"/>
  <c r="K193" i="6" s="1"/>
  <c r="O433" i="3"/>
  <c r="M434" i="4"/>
  <c r="O206" i="3"/>
  <c r="M207" i="4"/>
  <c r="K207" i="6" s="1"/>
  <c r="O190" i="3"/>
  <c r="M191" i="4"/>
  <c r="K191" i="6" s="1"/>
  <c r="M196" i="4"/>
  <c r="K196" i="6" s="1"/>
  <c r="O131" i="3"/>
  <c r="O130" i="3" s="1"/>
  <c r="O189" i="3" l="1"/>
  <c r="O188" i="3" s="1"/>
  <c r="M190" i="4"/>
  <c r="K190" i="6" s="1"/>
  <c r="O432" i="3"/>
  <c r="O431" i="3" s="1"/>
  <c r="M433" i="4"/>
  <c r="N362" i="3"/>
  <c r="N361" i="3" s="1"/>
  <c r="L363" i="4"/>
  <c r="J363" i="6" s="1"/>
  <c r="O129" i="3"/>
  <c r="O128" i="3" s="1"/>
  <c r="M130" i="4"/>
  <c r="K130" i="6" s="1"/>
  <c r="O205" i="3"/>
  <c r="O204" i="3" s="1"/>
  <c r="M206" i="4"/>
  <c r="K206" i="6" s="1"/>
  <c r="O221" i="3"/>
  <c r="M221" i="4" s="1"/>
  <c r="K221" i="6" s="1"/>
  <c r="M222" i="4"/>
  <c r="K222" i="6" s="1"/>
  <c r="O124" i="3"/>
  <c r="O187" i="3"/>
  <c r="M188" i="4"/>
  <c r="K188" i="6" s="1"/>
  <c r="M181" i="4"/>
  <c r="K181" i="6" s="1"/>
  <c r="O186" i="3" l="1"/>
  <c r="O185" i="3" s="1"/>
  <c r="M187" i="4"/>
  <c r="K187" i="6" s="1"/>
  <c r="O127" i="3"/>
  <c r="O126" i="3" s="1"/>
  <c r="M128" i="4"/>
  <c r="K128" i="6" s="1"/>
  <c r="O430" i="3"/>
  <c r="M431" i="4"/>
  <c r="O123" i="3"/>
  <c r="O122" i="3" s="1"/>
  <c r="O121" i="3" s="1"/>
  <c r="M124" i="4"/>
  <c r="K124" i="6" s="1"/>
  <c r="O203" i="3"/>
  <c r="O202" i="3" s="1"/>
  <c r="M204" i="4"/>
  <c r="K204" i="6" s="1"/>
  <c r="N360" i="3"/>
  <c r="L361" i="4"/>
  <c r="J361" i="6" s="1"/>
  <c r="M175" i="4"/>
  <c r="K175" i="6" s="1"/>
  <c r="M178" i="4"/>
  <c r="K178" i="6" s="1"/>
  <c r="O118" i="3"/>
  <c r="O117" i="3" s="1"/>
  <c r="O116" i="3" s="1"/>
  <c r="O115" i="3" s="1"/>
  <c r="O114" i="3" s="1"/>
  <c r="O113" i="3" l="1"/>
  <c r="O112" i="3" s="1"/>
  <c r="M114" i="4"/>
  <c r="K114" i="6" s="1"/>
  <c r="N359" i="3"/>
  <c r="N358" i="3" s="1"/>
  <c r="L360" i="4"/>
  <c r="J360" i="6" s="1"/>
  <c r="O120" i="3"/>
  <c r="O119" i="3" s="1"/>
  <c r="M119" i="4" s="1"/>
  <c r="K119" i="6" s="1"/>
  <c r="M121" i="4"/>
  <c r="K121" i="6" s="1"/>
  <c r="O125" i="3"/>
  <c r="M125" i="4" s="1"/>
  <c r="K125" i="6" s="1"/>
  <c r="M126" i="4"/>
  <c r="K126" i="6" s="1"/>
  <c r="O201" i="3"/>
  <c r="O200" i="3" s="1"/>
  <c r="M202" i="4"/>
  <c r="K202" i="6" s="1"/>
  <c r="O429" i="3"/>
  <c r="O428" i="3" s="1"/>
  <c r="O427" i="3" s="1"/>
  <c r="M430" i="4"/>
  <c r="O184" i="3"/>
  <c r="O183" i="3" s="1"/>
  <c r="M185" i="4"/>
  <c r="K185" i="6" s="1"/>
  <c r="O172" i="3"/>
  <c r="O171" i="3" s="1"/>
  <c r="O170" i="3" s="1"/>
  <c r="M159" i="4"/>
  <c r="O104" i="3"/>
  <c r="O103" i="3" s="1"/>
  <c r="O169" i="3" l="1"/>
  <c r="M170" i="4"/>
  <c r="K170" i="6" s="1"/>
  <c r="O426" i="3"/>
  <c r="M427" i="4"/>
  <c r="K427" i="6" s="1"/>
  <c r="N357" i="3"/>
  <c r="L358" i="4"/>
  <c r="J358" i="6" s="1"/>
  <c r="O102" i="3"/>
  <c r="M103" i="4"/>
  <c r="K103" i="6" s="1"/>
  <c r="O182" i="3"/>
  <c r="M183" i="4"/>
  <c r="K183" i="6" s="1"/>
  <c r="O199" i="3"/>
  <c r="M199" i="4" s="1"/>
  <c r="K199" i="6" s="1"/>
  <c r="M200" i="4"/>
  <c r="K200" i="6" s="1"/>
  <c r="O111" i="3"/>
  <c r="O110" i="3" s="1"/>
  <c r="O109" i="3" s="1"/>
  <c r="M112" i="4"/>
  <c r="K112" i="6" s="1"/>
  <c r="M93" i="4"/>
  <c r="K93" i="6" s="1"/>
  <c r="M168" i="4"/>
  <c r="K168" i="6" s="1"/>
  <c r="M115" i="4"/>
  <c r="K115" i="6" s="1"/>
  <c r="O101" i="3" l="1"/>
  <c r="O100" i="3" s="1"/>
  <c r="O99" i="3" s="1"/>
  <c r="M102" i="4"/>
  <c r="K102" i="6" s="1"/>
  <c r="O425" i="3"/>
  <c r="O424" i="3" s="1"/>
  <c r="M426" i="4"/>
  <c r="K426" i="6" s="1"/>
  <c r="O108" i="3"/>
  <c r="M109" i="4"/>
  <c r="K109" i="6" s="1"/>
  <c r="O181" i="3"/>
  <c r="O180" i="3" s="1"/>
  <c r="O179" i="3" s="1"/>
  <c r="O178" i="3" s="1"/>
  <c r="O177" i="3" s="1"/>
  <c r="O176" i="3" s="1"/>
  <c r="O175" i="3" s="1"/>
  <c r="O174" i="3" s="1"/>
  <c r="M182" i="4"/>
  <c r="K182" i="6" s="1"/>
  <c r="N356" i="3"/>
  <c r="N355" i="3" s="1"/>
  <c r="N354" i="3" s="1"/>
  <c r="L357" i="4"/>
  <c r="J357" i="6" s="1"/>
  <c r="O168" i="3"/>
  <c r="O167" i="3" s="1"/>
  <c r="O166" i="3" s="1"/>
  <c r="M169" i="4"/>
  <c r="K169" i="6" s="1"/>
  <c r="M165" i="4"/>
  <c r="K165" i="6" s="1"/>
  <c r="M87" i="4"/>
  <c r="K87" i="6" s="1"/>
  <c r="M100" i="4"/>
  <c r="K100" i="6" s="1"/>
  <c r="O165" i="3" l="1"/>
  <c r="O164" i="3" s="1"/>
  <c r="M166" i="4"/>
  <c r="K166" i="6" s="1"/>
  <c r="O173" i="3"/>
  <c r="M173" i="4" s="1"/>
  <c r="K173" i="6" s="1"/>
  <c r="M174" i="4"/>
  <c r="K174" i="6" s="1"/>
  <c r="O423" i="3"/>
  <c r="M424" i="4"/>
  <c r="K424" i="6" s="1"/>
  <c r="N353" i="3"/>
  <c r="N352" i="3" s="1"/>
  <c r="N351" i="3" s="1"/>
  <c r="L354" i="4"/>
  <c r="J354" i="6" s="1"/>
  <c r="O107" i="3"/>
  <c r="M108" i="4"/>
  <c r="K108" i="6" s="1"/>
  <c r="O98" i="3"/>
  <c r="M99" i="4"/>
  <c r="K99" i="6" s="1"/>
  <c r="M84" i="4"/>
  <c r="K84" i="6" s="1"/>
  <c r="M155" i="4"/>
  <c r="K155" i="6" s="1"/>
  <c r="N350" i="3" l="1"/>
  <c r="N349" i="3" s="1"/>
  <c r="L351" i="4"/>
  <c r="J351" i="6" s="1"/>
  <c r="O97" i="3"/>
  <c r="O96" i="3" s="1"/>
  <c r="M98" i="4"/>
  <c r="K98" i="6" s="1"/>
  <c r="O106" i="3"/>
  <c r="O105" i="3" s="1"/>
  <c r="M105" i="4" s="1"/>
  <c r="K105" i="6" s="1"/>
  <c r="M107" i="4"/>
  <c r="K107" i="6" s="1"/>
  <c r="O422" i="3"/>
  <c r="O421" i="3" s="1"/>
  <c r="M423" i="4"/>
  <c r="K423" i="6" s="1"/>
  <c r="O163" i="3"/>
  <c r="O162" i="3" s="1"/>
  <c r="O161" i="3" s="1"/>
  <c r="O160" i="3" s="1"/>
  <c r="M164" i="4"/>
  <c r="K164" i="6" s="1"/>
  <c r="M148" i="4"/>
  <c r="K148" i="6" s="1"/>
  <c r="M32" i="4"/>
  <c r="K32" i="6" s="1"/>
  <c r="O81" i="3"/>
  <c r="O80" i="3" s="1"/>
  <c r="O79" i="3" l="1"/>
  <c r="O78" i="3" s="1"/>
  <c r="O77" i="3" s="1"/>
  <c r="O76" i="3" s="1"/>
  <c r="M80" i="4"/>
  <c r="K80" i="6" s="1"/>
  <c r="O420" i="3"/>
  <c r="O419" i="3" s="1"/>
  <c r="M421" i="4"/>
  <c r="K421" i="6" s="1"/>
  <c r="O95" i="3"/>
  <c r="M96" i="4"/>
  <c r="K96" i="6" s="1"/>
  <c r="O159" i="3"/>
  <c r="O158" i="3" s="1"/>
  <c r="O157" i="3" s="1"/>
  <c r="M160" i="4"/>
  <c r="K160" i="6" s="1"/>
  <c r="N348" i="3"/>
  <c r="N347" i="3" s="1"/>
  <c r="N346" i="3" s="1"/>
  <c r="L349" i="4"/>
  <c r="J349" i="6" s="1"/>
  <c r="M30" i="4"/>
  <c r="K30" i="6" s="1"/>
  <c r="M62" i="4"/>
  <c r="K62" i="6" s="1"/>
  <c r="M143" i="4"/>
  <c r="K143" i="6" s="1"/>
  <c r="M23" i="4"/>
  <c r="K23" i="6" s="1"/>
  <c r="O16" i="3"/>
  <c r="O15" i="3" s="1"/>
  <c r="O14" i="3" s="1"/>
  <c r="O156" i="3" l="1"/>
  <c r="O155" i="3" s="1"/>
  <c r="O154" i="3" s="1"/>
  <c r="O153" i="3" s="1"/>
  <c r="O152" i="3" s="1"/>
  <c r="M157" i="4"/>
  <c r="K157" i="6" s="1"/>
  <c r="O418" i="3"/>
  <c r="M419" i="4"/>
  <c r="K419" i="6" s="1"/>
  <c r="O13" i="3"/>
  <c r="O12" i="3" s="1"/>
  <c r="O11" i="3" s="1"/>
  <c r="O10" i="3" s="1"/>
  <c r="M14" i="4"/>
  <c r="K14" i="6" s="1"/>
  <c r="N345" i="3"/>
  <c r="L346" i="4"/>
  <c r="J346" i="6" s="1"/>
  <c r="O94" i="3"/>
  <c r="O93" i="3" s="1"/>
  <c r="O92" i="3" s="1"/>
  <c r="M95" i="4"/>
  <c r="K95" i="6" s="1"/>
  <c r="O75" i="3"/>
  <c r="M76" i="4"/>
  <c r="K76" i="6" s="1"/>
  <c r="M7" i="4"/>
  <c r="K7" i="6" s="1"/>
  <c r="M53" i="4"/>
  <c r="K53" i="6" s="1"/>
  <c r="O74" i="3" l="1"/>
  <c r="O73" i="3" s="1"/>
  <c r="O72" i="3" s="1"/>
  <c r="M75" i="4"/>
  <c r="K75" i="6" s="1"/>
  <c r="N344" i="3"/>
  <c r="L345" i="4"/>
  <c r="J345" i="6" s="1"/>
  <c r="O417" i="3"/>
  <c r="O416" i="3" s="1"/>
  <c r="M418" i="4"/>
  <c r="K418" i="6" s="1"/>
  <c r="O91" i="3"/>
  <c r="O90" i="3" s="1"/>
  <c r="O89" i="3" s="1"/>
  <c r="M92" i="4"/>
  <c r="K92" i="6" s="1"/>
  <c r="O9" i="3"/>
  <c r="M10" i="4"/>
  <c r="K10" i="6" s="1"/>
  <c r="O151" i="3"/>
  <c r="M152" i="4"/>
  <c r="K152" i="6" s="1"/>
  <c r="M51" i="4"/>
  <c r="K51" i="6" s="1"/>
  <c r="O150" i="3" l="1"/>
  <c r="O149" i="3" s="1"/>
  <c r="O148" i="3" s="1"/>
  <c r="O147" i="3" s="1"/>
  <c r="M151" i="4"/>
  <c r="K151" i="6" s="1"/>
  <c r="O88" i="3"/>
  <c r="M89" i="4"/>
  <c r="K89" i="6" s="1"/>
  <c r="N343" i="3"/>
  <c r="N342" i="3" s="1"/>
  <c r="L344" i="4"/>
  <c r="J344" i="6" s="1"/>
  <c r="O8" i="3"/>
  <c r="O7" i="3" s="1"/>
  <c r="O6" i="3" s="1"/>
  <c r="M9" i="4"/>
  <c r="K9" i="6" s="1"/>
  <c r="O415" i="3"/>
  <c r="M416" i="4"/>
  <c r="K416" i="6" s="1"/>
  <c r="O71" i="3"/>
  <c r="O70" i="3" s="1"/>
  <c r="M72" i="4"/>
  <c r="M46" i="4"/>
  <c r="K46" i="6" s="1"/>
  <c r="O69" i="3" l="1"/>
  <c r="O68" i="3" s="1"/>
  <c r="O67" i="3" s="1"/>
  <c r="M70" i="4"/>
  <c r="K70" i="6" s="1"/>
  <c r="O5" i="3"/>
  <c r="O4" i="3" s="1"/>
  <c r="M6" i="4"/>
  <c r="K6" i="6" s="1"/>
  <c r="O87" i="3"/>
  <c r="O86" i="3" s="1"/>
  <c r="O85" i="3" s="1"/>
  <c r="M88" i="4"/>
  <c r="K88" i="6" s="1"/>
  <c r="O414" i="3"/>
  <c r="O413" i="3" s="1"/>
  <c r="O412" i="3" s="1"/>
  <c r="O411" i="3" s="1"/>
  <c r="O410" i="3" s="1"/>
  <c r="M415" i="4"/>
  <c r="N341" i="3"/>
  <c r="L342" i="4"/>
  <c r="J342" i="6" s="1"/>
  <c r="O146" i="3"/>
  <c r="M147" i="4"/>
  <c r="K147" i="6" s="1"/>
  <c r="O42" i="3"/>
  <c r="O41" i="3" s="1"/>
  <c r="O145" i="3" l="1"/>
  <c r="M146" i="4"/>
  <c r="K146" i="6" s="1"/>
  <c r="O409" i="3"/>
  <c r="O408" i="3" s="1"/>
  <c r="O407" i="3" s="1"/>
  <c r="O406" i="3" s="1"/>
  <c r="O405" i="3" s="1"/>
  <c r="M410" i="4"/>
  <c r="O3" i="3"/>
  <c r="O2" i="3" s="1"/>
  <c r="M4" i="4"/>
  <c r="K4" i="6" s="1"/>
  <c r="O40" i="3"/>
  <c r="M41" i="4"/>
  <c r="K41" i="6" s="1"/>
  <c r="N340" i="3"/>
  <c r="N339" i="3" s="1"/>
  <c r="N338" i="3" s="1"/>
  <c r="N337" i="3" s="1"/>
  <c r="L341" i="4"/>
  <c r="J341" i="6" s="1"/>
  <c r="O84" i="3"/>
  <c r="O83" i="3" s="1"/>
  <c r="M85" i="4"/>
  <c r="K85" i="6" s="1"/>
  <c r="O66" i="3"/>
  <c r="O65" i="3" s="1"/>
  <c r="M67" i="4"/>
  <c r="K67" i="6" s="1"/>
  <c r="O64" i="3" l="1"/>
  <c r="O63" i="3" s="1"/>
  <c r="O62" i="3" s="1"/>
  <c r="O61" i="3" s="1"/>
  <c r="O60" i="3" s="1"/>
  <c r="M65" i="4"/>
  <c r="K65" i="6" s="1"/>
  <c r="O82" i="3"/>
  <c r="M82" i="4" s="1"/>
  <c r="K82" i="6" s="1"/>
  <c r="M83" i="4"/>
  <c r="K83" i="6" s="1"/>
  <c r="M40" i="4"/>
  <c r="K40" i="6" s="1"/>
  <c r="O39" i="3"/>
  <c r="O38" i="3" s="1"/>
  <c r="O404" i="3"/>
  <c r="M405" i="4"/>
  <c r="N336" i="3"/>
  <c r="N335" i="3" s="1"/>
  <c r="L337" i="4"/>
  <c r="O144" i="3"/>
  <c r="O143" i="3" s="1"/>
  <c r="O142" i="3" s="1"/>
  <c r="O141" i="3" s="1"/>
  <c r="O140" i="3" s="1"/>
  <c r="O139" i="3" s="1"/>
  <c r="M145" i="4"/>
  <c r="K145" i="6" s="1"/>
  <c r="O138" i="3" l="1"/>
  <c r="O137" i="3" s="1"/>
  <c r="O136" i="3" s="1"/>
  <c r="M139" i="4"/>
  <c r="K139" i="6" s="1"/>
  <c r="O403" i="3"/>
  <c r="O402" i="3" s="1"/>
  <c r="M404" i="4"/>
  <c r="N334" i="3"/>
  <c r="L335" i="4"/>
  <c r="O37" i="3"/>
  <c r="O36" i="3" s="1"/>
  <c r="O35" i="3" s="1"/>
  <c r="M38" i="4"/>
  <c r="K38" i="6" s="1"/>
  <c r="O59" i="3"/>
  <c r="O58" i="3" s="1"/>
  <c r="O57" i="3" s="1"/>
  <c r="M60" i="4"/>
  <c r="K60" i="6" s="1"/>
  <c r="O34" i="3" l="1"/>
  <c r="M35" i="4"/>
  <c r="K35" i="6" s="1"/>
  <c r="O401" i="3"/>
  <c r="O400" i="3" s="1"/>
  <c r="O399" i="3" s="1"/>
  <c r="O398" i="3" s="1"/>
  <c r="O397" i="3" s="1"/>
  <c r="M402" i="4"/>
  <c r="O56" i="3"/>
  <c r="M57" i="4"/>
  <c r="K57" i="6" s="1"/>
  <c r="N333" i="3"/>
  <c r="L334" i="4"/>
  <c r="O135" i="3"/>
  <c r="M136" i="4"/>
  <c r="K136" i="6" s="1"/>
  <c r="N332" i="3" l="1"/>
  <c r="L333" i="4"/>
  <c r="O396" i="3"/>
  <c r="M397" i="4"/>
  <c r="K397" i="6" s="1"/>
  <c r="O134" i="3"/>
  <c r="O133" i="3" s="1"/>
  <c r="O132" i="3" s="1"/>
  <c r="M132" i="4" s="1"/>
  <c r="K132" i="6" s="1"/>
  <c r="M135" i="4"/>
  <c r="K135" i="6" s="1"/>
  <c r="O55" i="3"/>
  <c r="M56" i="4"/>
  <c r="K56" i="6" s="1"/>
  <c r="O33" i="3"/>
  <c r="O32" i="3" s="1"/>
  <c r="O31" i="3" s="1"/>
  <c r="M34" i="4"/>
  <c r="K34" i="6" s="1"/>
  <c r="O30" i="3" l="1"/>
  <c r="O29" i="3" s="1"/>
  <c r="M31" i="4"/>
  <c r="K31" i="6" s="1"/>
  <c r="O54" i="3"/>
  <c r="O53" i="3" s="1"/>
  <c r="O52" i="3" s="1"/>
  <c r="M55" i="4"/>
  <c r="K55" i="6" s="1"/>
  <c r="O395" i="3"/>
  <c r="O394" i="3" s="1"/>
  <c r="O393" i="3" s="1"/>
  <c r="O392" i="3" s="1"/>
  <c r="M396" i="4"/>
  <c r="K396" i="6" s="1"/>
  <c r="N331" i="3"/>
  <c r="N330" i="3" s="1"/>
  <c r="N329" i="3" s="1"/>
  <c r="L332" i="4"/>
  <c r="N328" i="3" l="1"/>
  <c r="L329" i="4"/>
  <c r="J329" i="6" s="1"/>
  <c r="O51" i="3"/>
  <c r="O50" i="3" s="1"/>
  <c r="O49" i="3" s="1"/>
  <c r="O48" i="3" s="1"/>
  <c r="M52" i="4"/>
  <c r="K52" i="6" s="1"/>
  <c r="O391" i="3"/>
  <c r="O390" i="3" s="1"/>
  <c r="O389" i="3" s="1"/>
  <c r="O388" i="3" s="1"/>
  <c r="M392" i="4"/>
  <c r="K392" i="6" s="1"/>
  <c r="O28" i="3"/>
  <c r="M29" i="4"/>
  <c r="K29" i="6" s="1"/>
  <c r="O27" i="3" l="1"/>
  <c r="O26" i="3" s="1"/>
  <c r="O25" i="3" s="1"/>
  <c r="O24" i="3" s="1"/>
  <c r="O23" i="3" s="1"/>
  <c r="O22" i="3" s="1"/>
  <c r="M28" i="4"/>
  <c r="K28" i="6" s="1"/>
  <c r="O47" i="3"/>
  <c r="O46" i="3" s="1"/>
  <c r="O45" i="3" s="1"/>
  <c r="O44" i="3" s="1"/>
  <c r="O43" i="3" s="1"/>
  <c r="M43" i="4" s="1"/>
  <c r="K43" i="6" s="1"/>
  <c r="M48" i="4"/>
  <c r="K48" i="6" s="1"/>
  <c r="O387" i="3"/>
  <c r="M388" i="4"/>
  <c r="K388" i="6" s="1"/>
  <c r="N327" i="3"/>
  <c r="N326" i="3" s="1"/>
  <c r="N325" i="3" s="1"/>
  <c r="L328" i="4"/>
  <c r="J328" i="6" s="1"/>
  <c r="O386" i="3" l="1"/>
  <c r="O385" i="3" s="1"/>
  <c r="O384" i="3" s="1"/>
  <c r="M387" i="4"/>
  <c r="K387" i="6" s="1"/>
  <c r="N324" i="3"/>
  <c r="N323" i="3" s="1"/>
  <c r="L325" i="4"/>
  <c r="J325" i="6" s="1"/>
  <c r="O21" i="3"/>
  <c r="O20" i="3" s="1"/>
  <c r="O19" i="3" s="1"/>
  <c r="O18" i="3" s="1"/>
  <c r="O17" i="3" s="1"/>
  <c r="M17" i="4" s="1"/>
  <c r="K17" i="6" s="1"/>
  <c r="M22" i="4"/>
  <c r="K22" i="6" s="1"/>
  <c r="N322" i="3" l="1"/>
  <c r="L323" i="4"/>
  <c r="J323" i="6" s="1"/>
  <c r="O383" i="3"/>
  <c r="O382" i="3" s="1"/>
  <c r="O381" i="3" s="1"/>
  <c r="M384" i="4"/>
  <c r="K384" i="6" s="1"/>
  <c r="O380" i="3" l="1"/>
  <c r="O379" i="3" s="1"/>
  <c r="M381" i="4"/>
  <c r="K381" i="6" s="1"/>
  <c r="N321" i="3"/>
  <c r="N320" i="3" s="1"/>
  <c r="N319" i="3" s="1"/>
  <c r="L322" i="4"/>
  <c r="J322" i="6" s="1"/>
  <c r="N318" i="3" l="1"/>
  <c r="L319" i="4"/>
  <c r="J319" i="6" s="1"/>
  <c r="O378" i="3"/>
  <c r="M379" i="4"/>
  <c r="K379" i="6" s="1"/>
  <c r="O377" i="3" l="1"/>
  <c r="M378" i="4"/>
  <c r="K378" i="6" s="1"/>
  <c r="N317" i="3"/>
  <c r="L318" i="4"/>
  <c r="J318" i="6" s="1"/>
  <c r="N316" i="3" l="1"/>
  <c r="N315" i="3" s="1"/>
  <c r="N314" i="3" s="1"/>
  <c r="N313" i="3" s="1"/>
  <c r="N312" i="3" s="1"/>
  <c r="L317" i="4"/>
  <c r="J317" i="6" s="1"/>
  <c r="O376" i="3"/>
  <c r="M377" i="4"/>
  <c r="K377" i="6" s="1"/>
  <c r="O375" i="3" l="1"/>
  <c r="O374" i="3" s="1"/>
  <c r="O373" i="3" s="1"/>
  <c r="M376" i="4"/>
  <c r="K376" i="6" s="1"/>
  <c r="N311" i="3"/>
  <c r="N310" i="3" s="1"/>
  <c r="L312" i="4"/>
  <c r="J312" i="6" s="1"/>
  <c r="N309" i="3" l="1"/>
  <c r="N308" i="3" s="1"/>
  <c r="N307" i="3" s="1"/>
  <c r="N306" i="3" s="1"/>
  <c r="N305" i="3" s="1"/>
  <c r="L310" i="4"/>
  <c r="J310" i="6" s="1"/>
  <c r="O372" i="3"/>
  <c r="O371" i="3" s="1"/>
  <c r="O370" i="3" s="1"/>
  <c r="O369" i="3" s="1"/>
  <c r="M373" i="4"/>
  <c r="K373" i="6" s="1"/>
  <c r="O368" i="3" l="1"/>
  <c r="O367" i="3" s="1"/>
  <c r="M369" i="4"/>
  <c r="K369" i="6" s="1"/>
  <c r="N304" i="3"/>
  <c r="N303" i="3" s="1"/>
  <c r="N302" i="3" s="1"/>
  <c r="N301" i="3" s="1"/>
  <c r="L305" i="4"/>
  <c r="J305" i="6" s="1"/>
  <c r="N300" i="3" l="1"/>
  <c r="L301" i="4"/>
  <c r="J301" i="6" s="1"/>
  <c r="O366" i="3"/>
  <c r="O365" i="3" s="1"/>
  <c r="M367" i="4"/>
  <c r="K367" i="6" s="1"/>
  <c r="O364" i="3" l="1"/>
  <c r="O363" i="3" s="1"/>
  <c r="M365" i="4"/>
  <c r="K365" i="6" s="1"/>
  <c r="N299" i="3"/>
  <c r="L300" i="4"/>
  <c r="J300" i="6" s="1"/>
  <c r="N298" i="3" l="1"/>
  <c r="N297" i="3" s="1"/>
  <c r="N296" i="3" s="1"/>
  <c r="L299" i="4"/>
  <c r="J299" i="6" s="1"/>
  <c r="O362" i="3"/>
  <c r="O361" i="3" s="1"/>
  <c r="M363" i="4"/>
  <c r="K363" i="6" s="1"/>
  <c r="O360" i="3" l="1"/>
  <c r="M361" i="4"/>
  <c r="K361" i="6" s="1"/>
  <c r="N295" i="3"/>
  <c r="L296" i="4"/>
  <c r="J296" i="6" s="1"/>
  <c r="N294" i="3" l="1"/>
  <c r="L295" i="4"/>
  <c r="J295" i="6" s="1"/>
  <c r="O359" i="3"/>
  <c r="O358" i="3" s="1"/>
  <c r="M360" i="4"/>
  <c r="K360" i="6" s="1"/>
  <c r="O357" i="3" l="1"/>
  <c r="M358" i="4"/>
  <c r="K358" i="6" s="1"/>
  <c r="N293" i="3"/>
  <c r="N292" i="3" s="1"/>
  <c r="N291" i="3" s="1"/>
  <c r="L294" i="4"/>
  <c r="N290" i="3" l="1"/>
  <c r="N289" i="3" s="1"/>
  <c r="L291" i="4"/>
  <c r="O356" i="3"/>
  <c r="O355" i="3" s="1"/>
  <c r="O354" i="3" s="1"/>
  <c r="M357" i="4"/>
  <c r="K357" i="6" s="1"/>
  <c r="O353" i="3" l="1"/>
  <c r="O352" i="3" s="1"/>
  <c r="O351" i="3" s="1"/>
  <c r="M354" i="4"/>
  <c r="K354" i="6" s="1"/>
  <c r="N288" i="3"/>
  <c r="N287" i="3" s="1"/>
  <c r="L289" i="4"/>
  <c r="J289" i="6" s="1"/>
  <c r="N286" i="3" l="1"/>
  <c r="N285" i="3" s="1"/>
  <c r="N284" i="3" s="1"/>
  <c r="L287" i="4"/>
  <c r="J287" i="6" s="1"/>
  <c r="O350" i="3"/>
  <c r="O349" i="3" s="1"/>
  <c r="M351" i="4"/>
  <c r="K351" i="6" s="1"/>
  <c r="O348" i="3" l="1"/>
  <c r="O347" i="3" s="1"/>
  <c r="O346" i="3" s="1"/>
  <c r="M349" i="4"/>
  <c r="K349" i="6" s="1"/>
  <c r="N283" i="3"/>
  <c r="L284" i="4"/>
  <c r="J284" i="6" s="1"/>
  <c r="N282" i="3" l="1"/>
  <c r="N281" i="3" s="1"/>
  <c r="L283" i="4"/>
  <c r="J283" i="6" s="1"/>
  <c r="O345" i="3"/>
  <c r="M346" i="4"/>
  <c r="K346" i="6" s="1"/>
  <c r="O344" i="3" l="1"/>
  <c r="M345" i="4"/>
  <c r="K345" i="6" s="1"/>
  <c r="N280" i="3"/>
  <c r="N279" i="3" s="1"/>
  <c r="L281" i="4"/>
  <c r="N278" i="3" l="1"/>
  <c r="N277" i="3" s="1"/>
  <c r="L279" i="4"/>
  <c r="J279" i="6" s="1"/>
  <c r="O343" i="3"/>
  <c r="O342" i="3" s="1"/>
  <c r="M344" i="4"/>
  <c r="K344" i="6" s="1"/>
  <c r="O341" i="3" l="1"/>
  <c r="M342" i="4"/>
  <c r="K342" i="6" s="1"/>
  <c r="N276" i="3"/>
  <c r="L277" i="4"/>
  <c r="J277" i="6" s="1"/>
  <c r="N275" i="3" l="1"/>
  <c r="L276" i="4"/>
  <c r="J276" i="6" s="1"/>
  <c r="O340" i="3"/>
  <c r="O339" i="3" s="1"/>
  <c r="O338" i="3" s="1"/>
  <c r="O337" i="3" s="1"/>
  <c r="M341" i="4"/>
  <c r="K341" i="6" s="1"/>
  <c r="O336" i="3" l="1"/>
  <c r="O335" i="3" s="1"/>
  <c r="M337" i="4"/>
  <c r="K337" i="6" s="1"/>
  <c r="N274" i="3"/>
  <c r="N273" i="3" s="1"/>
  <c r="N272" i="3" s="1"/>
  <c r="L275" i="4"/>
  <c r="J275" i="6" s="1"/>
  <c r="N271" i="3" l="1"/>
  <c r="L272" i="4"/>
  <c r="J272" i="6" s="1"/>
  <c r="O334" i="3"/>
  <c r="M335" i="4"/>
  <c r="O333" i="3" l="1"/>
  <c r="M334" i="4"/>
  <c r="N270" i="3"/>
  <c r="N269" i="3" s="1"/>
  <c r="N268" i="3" s="1"/>
  <c r="N267" i="3" s="1"/>
  <c r="L271" i="4"/>
  <c r="J271" i="6" s="1"/>
  <c r="N266" i="3" l="1"/>
  <c r="N265" i="3" s="1"/>
  <c r="N264" i="3" s="1"/>
  <c r="N263" i="3" s="1"/>
  <c r="N262" i="3" s="1"/>
  <c r="N261" i="3" s="1"/>
  <c r="N260" i="3" s="1"/>
  <c r="L267" i="4"/>
  <c r="O332" i="3"/>
  <c r="M333" i="4"/>
  <c r="O331" i="3" l="1"/>
  <c r="O330" i="3" s="1"/>
  <c r="O329" i="3" s="1"/>
  <c r="M332" i="4"/>
  <c r="N259" i="3"/>
  <c r="L260" i="4"/>
  <c r="J260" i="6" s="1"/>
  <c r="N258" i="3" l="1"/>
  <c r="L259" i="4"/>
  <c r="O328" i="3"/>
  <c r="M329" i="4"/>
  <c r="K329" i="6" s="1"/>
  <c r="O327" i="3" l="1"/>
  <c r="O326" i="3" s="1"/>
  <c r="O325" i="3" s="1"/>
  <c r="M328" i="4"/>
  <c r="K328" i="6" s="1"/>
  <c r="N257" i="3"/>
  <c r="N256" i="3" s="1"/>
  <c r="L258" i="4"/>
  <c r="J258" i="6" s="1"/>
  <c r="N255" i="3" l="1"/>
  <c r="L256" i="4"/>
  <c r="J256" i="6" s="1"/>
  <c r="O324" i="3"/>
  <c r="O323" i="3" s="1"/>
  <c r="M325" i="4"/>
  <c r="K325" i="6" s="1"/>
  <c r="O322" i="3" l="1"/>
  <c r="M323" i="4"/>
  <c r="K323" i="6" s="1"/>
  <c r="N254" i="3"/>
  <c r="N253" i="3" s="1"/>
  <c r="N252" i="3" s="1"/>
  <c r="N251" i="3" s="1"/>
  <c r="N250" i="3" s="1"/>
  <c r="L255" i="4"/>
  <c r="N249" i="3" l="1"/>
  <c r="L250" i="4"/>
  <c r="J250" i="6" s="1"/>
  <c r="O321" i="3"/>
  <c r="O320" i="3" s="1"/>
  <c r="O319" i="3" s="1"/>
  <c r="M322" i="4"/>
  <c r="K322" i="6" s="1"/>
  <c r="O318" i="3" l="1"/>
  <c r="M319" i="4"/>
  <c r="K319" i="6" s="1"/>
  <c r="N248" i="3"/>
  <c r="L249" i="4"/>
  <c r="J249" i="6" s="1"/>
  <c r="N247" i="3" l="1"/>
  <c r="L248" i="4"/>
  <c r="J248" i="6" s="1"/>
  <c r="F21" i="7" s="1"/>
  <c r="G21" i="7" s="1"/>
  <c r="O317" i="3"/>
  <c r="M318" i="4"/>
  <c r="K318" i="6" s="1"/>
  <c r="O316" i="3" l="1"/>
  <c r="O315" i="3" s="1"/>
  <c r="O314" i="3" s="1"/>
  <c r="O313" i="3" s="1"/>
  <c r="O312" i="3" s="1"/>
  <c r="M317" i="4"/>
  <c r="K317" i="6" s="1"/>
  <c r="N246" i="3"/>
  <c r="N245" i="3" s="1"/>
  <c r="N244" i="3" s="1"/>
  <c r="L247" i="4"/>
  <c r="J247" i="6" s="1"/>
  <c r="C23" i="7" s="1"/>
  <c r="D23" i="7" s="1"/>
  <c r="N243" i="3" l="1"/>
  <c r="L244" i="4"/>
  <c r="J244" i="6" s="1"/>
  <c r="O311" i="3"/>
  <c r="O310" i="3" s="1"/>
  <c r="M312" i="4"/>
  <c r="K312" i="6" s="1"/>
  <c r="O309" i="3" l="1"/>
  <c r="O308" i="3" s="1"/>
  <c r="O307" i="3" s="1"/>
  <c r="O306" i="3" s="1"/>
  <c r="O305" i="3" s="1"/>
  <c r="M310" i="4"/>
  <c r="K310" i="6" s="1"/>
  <c r="N242" i="3"/>
  <c r="L242" i="4" s="1"/>
  <c r="J242" i="6" s="1"/>
  <c r="L243" i="4"/>
  <c r="J243" i="6" s="1"/>
  <c r="C21" i="7" l="1"/>
  <c r="D21" i="7" s="1"/>
  <c r="C22" i="7"/>
  <c r="D22" i="7" s="1"/>
  <c r="O304" i="3"/>
  <c r="O303" i="3" s="1"/>
  <c r="O302" i="3" s="1"/>
  <c r="O301" i="3" s="1"/>
  <c r="M305" i="4"/>
  <c r="K305" i="6" s="1"/>
  <c r="O300" i="3" l="1"/>
  <c r="M301" i="4"/>
  <c r="K301" i="6" s="1"/>
  <c r="O299" i="3" l="1"/>
  <c r="M300" i="4"/>
  <c r="K300" i="6" s="1"/>
  <c r="O298" i="3" l="1"/>
  <c r="O297" i="3" s="1"/>
  <c r="O296" i="3" s="1"/>
  <c r="M299" i="4"/>
  <c r="K299" i="6" s="1"/>
  <c r="O295" i="3" l="1"/>
  <c r="M296" i="4"/>
  <c r="K296" i="6" s="1"/>
  <c r="O294" i="3" l="1"/>
  <c r="M295" i="4"/>
  <c r="K295" i="6" s="1"/>
  <c r="O293" i="3" l="1"/>
  <c r="O292" i="3" s="1"/>
  <c r="O291" i="3" s="1"/>
  <c r="M294" i="4"/>
  <c r="O290" i="3" l="1"/>
  <c r="O289" i="3" s="1"/>
  <c r="M291" i="4"/>
  <c r="O288" i="3" l="1"/>
  <c r="O287" i="3" s="1"/>
  <c r="M289" i="4"/>
  <c r="K289" i="6" s="1"/>
  <c r="O286" i="3" l="1"/>
  <c r="O285" i="3" s="1"/>
  <c r="O284" i="3" s="1"/>
  <c r="M287" i="4"/>
  <c r="K287" i="6" s="1"/>
  <c r="O283" i="3" l="1"/>
  <c r="M284" i="4"/>
  <c r="K284" i="6" s="1"/>
  <c r="O282" i="3" l="1"/>
  <c r="O281" i="3" s="1"/>
  <c r="M283" i="4"/>
  <c r="K283" i="6" s="1"/>
  <c r="O280" i="3" l="1"/>
  <c r="O279" i="3" s="1"/>
  <c r="M281" i="4"/>
  <c r="O278" i="3" l="1"/>
  <c r="O277" i="3" s="1"/>
  <c r="M279" i="4"/>
  <c r="K279" i="6" s="1"/>
  <c r="O276" i="3" l="1"/>
  <c r="M277" i="4"/>
  <c r="K277" i="6" s="1"/>
  <c r="O275" i="3" l="1"/>
  <c r="M276" i="4"/>
  <c r="K276" i="6" s="1"/>
  <c r="O274" i="3" l="1"/>
  <c r="O273" i="3" s="1"/>
  <c r="O272" i="3" s="1"/>
  <c r="M275" i="4"/>
  <c r="K275" i="6" s="1"/>
  <c r="O271" i="3" l="1"/>
  <c r="M272" i="4"/>
  <c r="K272" i="6" s="1"/>
  <c r="O270" i="3" l="1"/>
  <c r="O269" i="3" s="1"/>
  <c r="O268" i="3" s="1"/>
  <c r="O267" i="3" s="1"/>
  <c r="M271" i="4"/>
  <c r="K271" i="6" s="1"/>
  <c r="O266" i="3" l="1"/>
  <c r="O265" i="3" s="1"/>
  <c r="O264" i="3" s="1"/>
  <c r="O263" i="3" s="1"/>
  <c r="O262" i="3" s="1"/>
  <c r="O261" i="3" s="1"/>
  <c r="O260" i="3" s="1"/>
  <c r="M267" i="4"/>
  <c r="O259" i="3" l="1"/>
  <c r="M260" i="4"/>
  <c r="K260" i="6" s="1"/>
  <c r="O258" i="3" l="1"/>
  <c r="M259" i="4"/>
  <c r="O257" i="3" l="1"/>
  <c r="O256" i="3" s="1"/>
  <c r="M258" i="4"/>
  <c r="K258" i="6" s="1"/>
  <c r="O255" i="3" l="1"/>
  <c r="M256" i="4"/>
  <c r="K256" i="6" s="1"/>
  <c r="O254" i="3" l="1"/>
  <c r="O253" i="3" s="1"/>
  <c r="O252" i="3" s="1"/>
  <c r="O251" i="3" s="1"/>
  <c r="O250" i="3" s="1"/>
  <c r="M255" i="4"/>
  <c r="K255" i="6" s="1"/>
  <c r="O249" i="3" l="1"/>
  <c r="M250" i="4"/>
  <c r="K250" i="6" s="1"/>
  <c r="O248" i="3" l="1"/>
  <c r="M249" i="4"/>
  <c r="K249" i="6" s="1"/>
  <c r="O247" i="3" l="1"/>
  <c r="M248" i="4"/>
  <c r="K248" i="6" s="1"/>
  <c r="O246" i="3" l="1"/>
  <c r="O245" i="3" s="1"/>
  <c r="O244" i="3" s="1"/>
  <c r="M247" i="4"/>
  <c r="K247" i="6" s="1"/>
  <c r="O243" i="3" l="1"/>
  <c r="M244" i="4"/>
  <c r="K244" i="6" s="1"/>
  <c r="O242" i="3" l="1"/>
  <c r="M242" i="4" s="1"/>
  <c r="K242" i="6" s="1"/>
  <c r="M243" i="4"/>
  <c r="K243" i="6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www.nhl.com/scores/htmlreports/20162017/PL020064.HTM"/>
  </connection>
</connections>
</file>

<file path=xl/sharedStrings.xml><?xml version="1.0" encoding="utf-8"?>
<sst xmlns="http://schemas.openxmlformats.org/spreadsheetml/2006/main" count="14062" uniqueCount="485">
  <si>
    <t>Period</t>
  </si>
  <si>
    <t>Time</t>
  </si>
  <si>
    <t>Entry type</t>
  </si>
  <si>
    <t>Player</t>
  </si>
  <si>
    <t>Opp strength</t>
  </si>
  <si>
    <t>Opp</t>
  </si>
  <si>
    <t>Team strength</t>
  </si>
  <si>
    <t xml:space="preserve">Game: </t>
  </si>
  <si>
    <t xml:space="preserve">Opp: </t>
  </si>
  <si>
    <t xml:space="preserve">Location: </t>
  </si>
  <si>
    <t>Entry number</t>
  </si>
  <si>
    <t>Entry?</t>
  </si>
  <si>
    <t>Fen total</t>
  </si>
  <si>
    <t>Goal total</t>
  </si>
  <si>
    <t>OZF</t>
  </si>
  <si>
    <t>DZF</t>
  </si>
  <si>
    <t>Controlled?</t>
  </si>
  <si>
    <t>Shots per entry</t>
  </si>
  <si>
    <t>Shots per controlled entry</t>
  </si>
  <si>
    <t>What to look at?</t>
  </si>
  <si>
    <t>3) Where do score effects show up -- when leading, do teams dump/chase more, etc</t>
  </si>
  <si>
    <t>4) Are some teams better than others at getting shots from their entries?</t>
  </si>
  <si>
    <t>1) How many shots does the team generate from offensive faceoffs? (or give up on D?)</t>
  </si>
  <si>
    <t>2) How often does the team tend to carry the puck in (system/style)? (or stop the opp from carrying it in?)</t>
  </si>
  <si>
    <t>5) Is an odd-man rush more dangerous (shots and/or goals) than other carry-ins?</t>
  </si>
  <si>
    <t>And some team-level stuff:</t>
  </si>
  <si>
    <t># of controlled entries</t>
  </si>
  <si>
    <t>2) Percent of entries with control shows who has puck skills to take advantage of gaps in D</t>
  </si>
  <si>
    <t>3) Shots per controlled entry shows who has puck and decision-making skills to set up the play</t>
  </si>
  <si>
    <t>4) Shots per uncontrolled entry may show whose linemates are most effective at puck retrieval?</t>
  </si>
  <si>
    <t>5) Total zone entries (or entries per 60) didn't look compelling for forwards in my first pass, but…</t>
  </si>
  <si>
    <t>5a) It might pull out puck-moving defensemen (something I've often wished a stat could do)</t>
  </si>
  <si>
    <t>5b) It might look more meaningful for forwards as the sample sizes get larger</t>
  </si>
  <si>
    <r>
      <t xml:space="preserve">6) I would </t>
    </r>
    <r>
      <rPr>
        <i/>
        <sz val="11"/>
        <color theme="1"/>
        <rFont val="Calibri"/>
        <family val="2"/>
        <scheme val="minor"/>
      </rPr>
      <t>love</t>
    </r>
    <r>
      <rPr>
        <sz val="11"/>
        <color theme="1"/>
        <rFont val="Calibri"/>
        <family val="2"/>
        <scheme val="minor"/>
      </rPr>
      <t>to merge this with shift charts to know who was on the ice and calculate a zone entry +/- for each player</t>
    </r>
  </si>
  <si>
    <t>1) Shots generated shows who drove play the most. Grab 5v5 TOI from BtN to calculate shots generated per 60 and make it even better.</t>
  </si>
  <si>
    <t>Shots generated from player's entries</t>
  </si>
  <si>
    <t>Shots generated from player's controlled entries</t>
  </si>
  <si>
    <t>% of entries with control</t>
  </si>
  <si>
    <t>Team</t>
  </si>
  <si>
    <t>How to use:</t>
  </si>
  <si>
    <t>3) switch to NHL PBP tab, go to Data -&gt; Get External Data -&gt; From Web, import data from the URL in 2</t>
  </si>
  <si>
    <t>To use: enter your team's players (number or name, however you identified in your list) in column A; the rest should auto-populate when you run the macro</t>
  </si>
  <si>
    <t>"Shots" here means Fenwick shots: SOG plus missed shots. Other stats can be calculated if you're interested.</t>
  </si>
  <si>
    <t>Game</t>
  </si>
  <si>
    <t>Location</t>
  </si>
  <si>
    <t>Minutes</t>
  </si>
  <si>
    <t>Seconds</t>
  </si>
  <si>
    <t>4) Press ctrl-k to run the macro to parse the data, then ctrl-j to prepare it for export</t>
  </si>
  <si>
    <t>&lt;-- must be same 3-char code NHL uses</t>
  </si>
  <si>
    <t xml:space="preserve">       (e.g. S.J or WPG or N.J)</t>
  </si>
  <si>
    <t>Fail</t>
  </si>
  <si>
    <t>Failed entries</t>
  </si>
  <si>
    <t># of successful entries</t>
  </si>
  <si>
    <t>2) go to NHL games list, right-click (option-click) on Play by Play for that game, select Copy Shortcut or Copy Hyperlink. List can be found at http://www.nhl.com/ice/gamestats.htm?season=20132014&amp;gameType=2&amp;team=&amp;viewName=teamRTSSreports</t>
  </si>
  <si>
    <t>Percent of carry-ins that fail</t>
  </si>
  <si>
    <t>1) fill out table below (entry codes: C = carry/pass, D = dump-chase, F = failed carry, X = other)</t>
  </si>
  <si>
    <t>Entry = WSH?</t>
  </si>
  <si>
    <t>Contr = WSH?</t>
  </si>
  <si>
    <t>Fail = WSH?</t>
  </si>
  <si>
    <t>Entry by</t>
  </si>
  <si>
    <t>Defended by</t>
  </si>
  <si>
    <t>Middle driver</t>
  </si>
  <si>
    <t>Dump recovered?</t>
  </si>
  <si>
    <t>Goalie touch?</t>
  </si>
  <si>
    <t>Goalie touch</t>
  </si>
  <si>
    <t>Pos</t>
  </si>
  <si>
    <t>Targets</t>
  </si>
  <si>
    <t>Carry-in</t>
  </si>
  <si>
    <t>Dump-in</t>
  </si>
  <si>
    <t>Break-up</t>
  </si>
  <si>
    <t>Shots off Entries</t>
  </si>
  <si>
    <t>Shots/Entry</t>
  </si>
  <si>
    <t>Carry-in%</t>
  </si>
  <si>
    <t>Break-up%</t>
  </si>
  <si>
    <t>C</t>
  </si>
  <si>
    <t>5v5 Entries</t>
  </si>
  <si>
    <t>Shots</t>
  </si>
  <si>
    <t>5v5 Carries</t>
  </si>
  <si>
    <t>Shots off Carries</t>
  </si>
  <si>
    <t>5v5 Dumps</t>
  </si>
  <si>
    <t>Shots off Dumps</t>
  </si>
  <si>
    <t>Recovered Dumps</t>
  </si>
  <si>
    <t>Failed Entries</t>
  </si>
  <si>
    <t>LW</t>
  </si>
  <si>
    <t>RW</t>
  </si>
  <si>
    <t>Total</t>
  </si>
  <si>
    <t>LD</t>
  </si>
  <si>
    <t>RD</t>
  </si>
  <si>
    <t>Dump-ins</t>
  </si>
  <si>
    <t>Recovered Dump-ins</t>
  </si>
  <si>
    <t>Recovered Dump-in%</t>
  </si>
  <si>
    <t>Support</t>
  </si>
  <si>
    <t>Left</t>
  </si>
  <si>
    <t>Center</t>
  </si>
  <si>
    <t>Right</t>
  </si>
  <si>
    <t>Tampa Bay</t>
  </si>
  <si>
    <t>Detroit</t>
  </si>
  <si>
    <t>Carries</t>
  </si>
  <si>
    <t>Recovered</t>
  </si>
  <si>
    <t>Failed</t>
  </si>
  <si>
    <t>Supported</t>
  </si>
  <si>
    <t>Passes</t>
  </si>
  <si>
    <t>Passes Allowed</t>
  </si>
  <si>
    <t>Pass?</t>
  </si>
  <si>
    <t>71DET</t>
  </si>
  <si>
    <t>4NSH</t>
  </si>
  <si>
    <t>N</t>
  </si>
  <si>
    <t>L</t>
  </si>
  <si>
    <t>D</t>
  </si>
  <si>
    <t>14DET</t>
  </si>
  <si>
    <t>R</t>
  </si>
  <si>
    <t>40DET</t>
  </si>
  <si>
    <t>33NSH</t>
  </si>
  <si>
    <t>48DET</t>
  </si>
  <si>
    <t>38NSH</t>
  </si>
  <si>
    <t>52DET</t>
  </si>
  <si>
    <t>62DET</t>
  </si>
  <si>
    <t>10NSH</t>
  </si>
  <si>
    <t>9NSH</t>
  </si>
  <si>
    <t>51DET</t>
  </si>
  <si>
    <t>59NSH</t>
  </si>
  <si>
    <t>Y</t>
  </si>
  <si>
    <t>2DET</t>
  </si>
  <si>
    <t>15DET</t>
  </si>
  <si>
    <t>14NSH</t>
  </si>
  <si>
    <t>7NSH</t>
  </si>
  <si>
    <t>12NSH</t>
  </si>
  <si>
    <t>53DET</t>
  </si>
  <si>
    <t>41DET</t>
  </si>
  <si>
    <t>16NSH</t>
  </si>
  <si>
    <t>65DET</t>
  </si>
  <si>
    <t>92NSH</t>
  </si>
  <si>
    <t>18NSH</t>
  </si>
  <si>
    <t>21DET</t>
  </si>
  <si>
    <t>X</t>
  </si>
  <si>
    <t>DET</t>
  </si>
  <si>
    <t>25NSH</t>
  </si>
  <si>
    <t>F</t>
  </si>
  <si>
    <t>29DET</t>
  </si>
  <si>
    <t>25DET</t>
  </si>
  <si>
    <t>8DET</t>
  </si>
  <si>
    <t>19NSH</t>
  </si>
  <si>
    <t>63NSH</t>
  </si>
  <si>
    <t>15NSH</t>
  </si>
  <si>
    <t>76NSH</t>
  </si>
  <si>
    <t>56NSH</t>
  </si>
  <si>
    <t>43DET</t>
  </si>
  <si>
    <t>20DET</t>
  </si>
  <si>
    <t>2ON1</t>
  </si>
  <si>
    <t>NSH</t>
  </si>
  <si>
    <t>Home</t>
  </si>
  <si>
    <t>VISITOR</t>
  </si>
  <si>
    <t>NASHVILLE PREDATORS</t>
  </si>
  <si>
    <t>Game 4 Away Game 2</t>
  </si>
  <si>
    <t>Play By Play</t>
  </si>
  <si>
    <t>Friday, October 21, 2016</t>
  </si>
  <si>
    <t>Attendance 20,027 at Joe Louis Arena</t>
  </si>
  <si>
    <t>Start 7:38 EDT; End 10:12 EDT</t>
  </si>
  <si>
    <t>Game 0064</t>
  </si>
  <si>
    <t>Final</t>
  </si>
  <si>
    <t>HOME</t>
  </si>
  <si>
    <t>DETROIT RED WINGS</t>
  </si>
  <si>
    <t>Game 5 Home Game 2</t>
  </si>
  <si>
    <t>#</t>
  </si>
  <si>
    <t>Per</t>
  </si>
  <si>
    <t>Str</t>
  </si>
  <si>
    <t>Time:</t>
  </si>
  <si>
    <t>Elapsed</t>
  </si>
  <si>
    <t>Event</t>
  </si>
  <si>
    <t>Description</t>
  </si>
  <si>
    <t>NSH On Ice</t>
  </si>
  <si>
    <t>DET On Ice</t>
  </si>
  <si>
    <t>PSTR</t>
  </si>
  <si>
    <t>Period Start- Local time: 7:38 EDT</t>
  </si>
  <si>
    <t>G</t>
  </si>
  <si>
    <t>EV</t>
  </si>
  <si>
    <t>FAC</t>
  </si>
  <si>
    <t>NSH won Neu. Zone - NSH #92 JOHANSEN vs DET #51 NIELSEN</t>
  </si>
  <si>
    <t>HIT</t>
  </si>
  <si>
    <t>DET #8 ABDELKADER HIT NSH #4 ELLIS, Off. Zone</t>
  </si>
  <si>
    <t>SHOT</t>
  </si>
  <si>
    <t>DET ONGOAL - #2 SMITH, Slap, Off. Zone, 62 ft.</t>
  </si>
  <si>
    <t>STOP</t>
  </si>
  <si>
    <t>GOALIE STOPPED</t>
  </si>
  <si>
    <t>NSH won Def. Zone - NSH #12 FISHER vs DET #43 HELM</t>
  </si>
  <si>
    <t>NSH ONGOAL - #12 FISHER, Wrist, Off. Zone, 25 ft.</t>
  </si>
  <si>
    <t>GIVE</t>
  </si>
  <si>
    <t>DET GIVEAWAY - #34 MRAZEK, Def. Zone</t>
  </si>
  <si>
    <t>MISS</t>
  </si>
  <si>
    <t>NSH #12 FISHER, Wrist, Wide of Net, Off. Zone, 41 ft.</t>
  </si>
  <si>
    <t>DET ONGOAL - #14 NYQUIST, Wrist, Off. Zone, 35 ft.</t>
  </si>
  <si>
    <t>DET #62 VANEK HIT NSH #59 JOSI, Off. Zone</t>
  </si>
  <si>
    <t>DET ONGOAL - #40 ZETTERBERG, Wrist, Off. Zone, 31 ft.</t>
  </si>
  <si>
    <t>NSH #25 CARLE HIT DET #15 SHEAHAN, Def. Zone</t>
  </si>
  <si>
    <t>DET ONGOAL - #52 ERICSSON, Wrist, Off. Zone, 60 ft.</t>
  </si>
  <si>
    <t>DET won Off. Zone - NSH #10 SISSONS vs DET #29 OTT</t>
  </si>
  <si>
    <t>NSH #7 WEBER HIT DET #41 GLENDENING, Def. Zone</t>
  </si>
  <si>
    <t>NSH #10 SISSONS HIT DET #41 GLENDENING, Def. Zone</t>
  </si>
  <si>
    <t>DET ONGOAL - #41 GLENDENING, Tip-In, Off. Zone, 12 ft.</t>
  </si>
  <si>
    <t>PUCK IN CROWD</t>
  </si>
  <si>
    <t>NSH won Neu. Zone - NSH #10 SISSONS vs DET #43 HELM</t>
  </si>
  <si>
    <t>NSH #16 BASS HIT DET #2 SMITH, Off. Zone</t>
  </si>
  <si>
    <t>DET ONGOAL - #53 MARCHENKO, Slap, Off. Zone, 61 ft.</t>
  </si>
  <si>
    <t>DET ONGOAL - #14 NYQUIST, Wrist, Off. Zone, 13 ft.</t>
  </si>
  <si>
    <t>OFFSIDE</t>
  </si>
  <si>
    <t>NSH won Neu. Zone - NSH #12 FISHER vs DET #41 GLENDENING</t>
  </si>
  <si>
    <t>NSH ONGOAL - #38 ARVIDSSON, Slap, Off. Zone, 47 ft.</t>
  </si>
  <si>
    <t>ICING</t>
  </si>
  <si>
    <t>DET won Def. Zone - NSH #92 JOHANSEN vs DET #41 GLENDENING</t>
  </si>
  <si>
    <t>DET won Def. Zone - NSH #92 JOHANSEN vs DET #29 OTT</t>
  </si>
  <si>
    <t>NSH ONGOAL - #59 JOSI, Snap, Off. Zone, 32 ft.</t>
  </si>
  <si>
    <t>© Copyright 2016, National Hockey League  2016-10-21-22.29.06</t>
  </si>
  <si>
    <t>TAKE</t>
  </si>
  <si>
    <t>DET TAKEAWAY - #20 MILLER, Def. Zone</t>
  </si>
  <si>
    <t>DET won Neu. Zone - NSH #12 FISHER vs DET #40 ZETTERBERG</t>
  </si>
  <si>
    <t>DET #40 ZETTERBERG HIT NSH #12 FISHER, Off. Zone</t>
  </si>
  <si>
    <t>NSH GIVEAWAY - #33 WILSON, Neu. Zone</t>
  </si>
  <si>
    <t>DET won Def. Zone - NSH #63 RIBEIRO vs DET #40 ZETTERBERG</t>
  </si>
  <si>
    <t>NSH ONGOAL - #14 EKHOLM, Slap, Off. Zone, 57 ft.</t>
  </si>
  <si>
    <t>NSH won Off. Zone - NSH #10 SISSONS vs DET #51 NIELSEN</t>
  </si>
  <si>
    <t>DET ONGOAL - #71 LARKIN, Wrist, Off. Zone, 42 ft.</t>
  </si>
  <si>
    <t>GOALIE STOPPED,TV TIMEOUT</t>
  </si>
  <si>
    <t>DET TAKEAWAY - #14 NYQUIST, Off. Zone</t>
  </si>
  <si>
    <t>DET ONGOAL - #43 HELM, Snap, Off. Zone, 17 ft.</t>
  </si>
  <si>
    <t>DET ONGOAL - #48 SPROUL, Slap, Off. Zone, 58 ft.</t>
  </si>
  <si>
    <t>DET won Off. Zone - NSH #12 FISHER vs DET #40 ZETTERBERG</t>
  </si>
  <si>
    <t>PENL</t>
  </si>
  <si>
    <t>NSH #33 WILSON Hooking(2 min), Def. Zone Drawn By: DET #21 TATAR</t>
  </si>
  <si>
    <t>PP</t>
  </si>
  <si>
    <t>DET won Off. Zone - NSH #10 SISSONS vs DET #40 ZETTERBERG</t>
  </si>
  <si>
    <t>SH</t>
  </si>
  <si>
    <t>BLOCK</t>
  </si>
  <si>
    <t>DET #21 TATAR BLOCKED BY NSH #4 ELLIS, Snap, Def. Zone</t>
  </si>
  <si>
    <t>DET #25 GREEN, Wrist, Wide of Net, Off. Zone, 52 ft.</t>
  </si>
  <si>
    <t>DET #48 SPROUL, Slap, Wide of Net, Off. Zone, 50 ft.</t>
  </si>
  <si>
    <t>DET ONGOAL - #53 MARCHENKO, Slap, Off. Zone, 56 ft.</t>
  </si>
  <si>
    <t>DET #20 MILLER HIT NSH #38 ARVIDSSON, Off. Zone</t>
  </si>
  <si>
    <t>NSH ONGOAL - #92 JOHANSEN, Wrist, Off. Zone, 31 ft.</t>
  </si>
  <si>
    <t>NSH ONGOAL - #18 NEAL, Backhand, Off. Zone, 14 ft.</t>
  </si>
  <si>
    <t>DET won Def. Zone - NSH #92 JOHANSEN vs DET #71 LARKIN</t>
  </si>
  <si>
    <t>NSH ONGOAL - #92 JOHANSEN, Snap, Off. Zone, 16 ft.</t>
  </si>
  <si>
    <t>NSH ONGOAL - #18 NEAL, Deflected, Off. Zone, 22 ft.</t>
  </si>
  <si>
    <t>NSH ONGOAL - #18 NEAL, Wrist, Off. Zone, 41 ft.</t>
  </si>
  <si>
    <t>NSH #9 FORSBERG HIT DET #15 SHEAHAN, Off. Zone</t>
  </si>
  <si>
    <t>NSH GIVEAWAY - #25 CARLE, Def. Zone</t>
  </si>
  <si>
    <t>DET #62 VANEK BLOCKED BY NSH #7 WEBER, Wrist, Def. Zone</t>
  </si>
  <si>
    <t>DET #14 NYQUIST, Wrist, Wide of Net, Off. Zone, 23 ft.</t>
  </si>
  <si>
    <t>NSH #25 CARLE HIT DET #41 GLENDENING, Def. Zone</t>
  </si>
  <si>
    <t>DET #20 MILLER HIT NSH #38 ARVIDSSON, Neu. Zone</t>
  </si>
  <si>
    <t>DET #8 ABDELKADER, Snap, Wide of Net, Off. Zone, 28 ft.</t>
  </si>
  <si>
    <t>DET TAKEAWAY - #71 LARKIN, Off. Zone</t>
  </si>
  <si>
    <t>NSH ONGOAL - #15 SMITH, Deflected, Off. Zone, 13 ft.</t>
  </si>
  <si>
    <t>NSH #12 FISHER HIT DET #21 TATAR, Off. Zone</t>
  </si>
  <si>
    <t>NSH ONGOAL - #7 WEBER, Wrist, Off. Zone, 24 ft.</t>
  </si>
  <si>
    <t>DET #21 TATAR HIT NSH #7 WEBER, Off. Zone</t>
  </si>
  <si>
    <t>DET ONGOAL - #62 VANEK, Slap, Off. Zone, 28 ft.</t>
  </si>
  <si>
    <t>DET ONGOAL - #43 HELM, Wrist, Off. Zone, 22 ft.</t>
  </si>
  <si>
    <t>ICE PROBLEM</t>
  </si>
  <si>
    <t>NSH won Def. Zone - NSH #92 JOHANSEN vs DET #41 GLENDENING</t>
  </si>
  <si>
    <t>NSH won Off. Zone - NSH #63 RIBEIRO vs DET #41 GLENDENING</t>
  </si>
  <si>
    <t>NSH #76 SUBBAN BLOCKED BY DET #20 MILLER, Wrist, Def. Zone</t>
  </si>
  <si>
    <t>PUCK FROZEN</t>
  </si>
  <si>
    <t>DET won Def. Zone - NSH #15 SMITH vs DET #51 NIELSEN</t>
  </si>
  <si>
    <t>DET TAKEAWAY - #15 SHEAHAN, Off. Zone</t>
  </si>
  <si>
    <t>DET ONGOAL - #15 SHEAHAN, Wrist, Off. Zone, 12 ft.</t>
  </si>
  <si>
    <t>DET ONGOAL - #21 TATAR, Wrist, Off. Zone, 45 ft.</t>
  </si>
  <si>
    <t>DET won Off. Zone - NSH #10 SISSONS vs DET #43 HELM</t>
  </si>
  <si>
    <t>NSH ONGOAL - #4 ELLIS, Backhand, Off. Zone, 29 ft.</t>
  </si>
  <si>
    <t>NSH GIVEAWAY - #56 FIALA, Off. Zone</t>
  </si>
  <si>
    <t>NSH ONGOAL - #92 JOHANSEN, Wrist, Off. Zone, 25 ft.</t>
  </si>
  <si>
    <t>NSH #92 JOHANSEN, Wrist, Over Net, Off. Zone, 28 ft.</t>
  </si>
  <si>
    <t>DET GIVEAWAY - #65 DEKEYSER, Def. Zone</t>
  </si>
  <si>
    <t>NSH ONGOAL - #19 JARNKROK, Wrist, Off. Zone, 6 ft.</t>
  </si>
  <si>
    <t>NSH ONGOAL - #18 NEAL, Snap, Off. Zone, 20 ft.</t>
  </si>
  <si>
    <t>DET #15 SHEAHAN BLOCKED BY NSH #14 EKHOLM, Wrist, Def. Zone</t>
  </si>
  <si>
    <t>NSH #9 FORSBERG HIT DET #53 MARCHENKO, Def. Zone</t>
  </si>
  <si>
    <t>DET #21 TATAR, Wrist, Wide of Net, Off. Zone, 28 ft.</t>
  </si>
  <si>
    <t>NSH #12 FISHER HIT DET #29 OTT, Neu. Zone</t>
  </si>
  <si>
    <t>PEND</t>
  </si>
  <si>
    <t>Period End- Local time: 8:14 EDT</t>
  </si>
  <si>
    <t>Period Start- Local time: 8:32 EDT</t>
  </si>
  <si>
    <t>DET won Neu. Zone - NSH #19 JARNKROK vs DET #51 NIELSEN</t>
  </si>
  <si>
    <t>NSH #56 FIALA BLOCKED BY DET #25 GREEN, Wrist, Def. Zone</t>
  </si>
  <si>
    <t>DET ONGOAL - #8 ABDELKADER, Wrist, Off. Zone, 22 ft.</t>
  </si>
  <si>
    <t>DET #52 ERICSSON, Slap, Wide of Net, Off. Zone, 62 ft.</t>
  </si>
  <si>
    <t>NSH #4 ELLIS HIT DET #71 LARKIN, Def. Zone</t>
  </si>
  <si>
    <t>NSH ONGOAL - #15 SMITH, Wrist, Off. Zone, 44 ft.</t>
  </si>
  <si>
    <t>NSH #76 SUBBAN HIT DET #15 SHEAHAN, Def. Zone</t>
  </si>
  <si>
    <t>DET #2 SMITH, Slap, Wide of Net, Off. Zone, 55 ft.</t>
  </si>
  <si>
    <t>NSH ONGOAL - #38 ARVIDSSON, Wrist, Off. Zone, 30 ft.</t>
  </si>
  <si>
    <t>DET TAKEAWAY - #62 VANEK, Off. Zone</t>
  </si>
  <si>
    <t>DET #41 GLENDENING HIT NSH #14 EKHOLM, Off. Zone</t>
  </si>
  <si>
    <t>DET #53 MARCHENKO BLOCKED BY NSH #10 SISSONS, Slap, Def. Zone</t>
  </si>
  <si>
    <t>DET ONGOAL - #20 MILLER, Wrist, Off. Zone, 14 ft.</t>
  </si>
  <si>
    <t>DET ONGOAL - #29 OTT, Deflected, Off. Zone, 12 ft.</t>
  </si>
  <si>
    <t>NSH #9 FORSBERG HIT DET #29 OTT, Def. Zone</t>
  </si>
  <si>
    <t>DET ONGOAL - #29 OTT, Deflected, Off. Zone, 13 ft.</t>
  </si>
  <si>
    <t>GOALIE STOPPED,RINK REPAIR</t>
  </si>
  <si>
    <t>NSH won Def. Zone - NSH #19 JARNKROK vs DET #51 NIELSEN</t>
  </si>
  <si>
    <t>DET #71 LARKIN HIT NSH #19 JARNKROK, Def. Zone</t>
  </si>
  <si>
    <t>DET ONGOAL - #71 LARKIN, Wrist, Off. Zone, 59 ft.</t>
  </si>
  <si>
    <t>DET ONGOAL - #71 LARKIN, Wrist, Off. Zone, 22 ft.</t>
  </si>
  <si>
    <t>DET GIVEAWAY - #2 SMITH, Off. Zone</t>
  </si>
  <si>
    <t>DET #21 TATAR, Slap, Goalpost, Off. Zone, 55 ft.</t>
  </si>
  <si>
    <t>NSH #9 FORSBERG Holding(2 min), Def. Zone Drawn By: DET #40 ZETTERBERG</t>
  </si>
  <si>
    <t>DET ONGOAL - #48 SPROUL, Slap, Off. Zone, 56 ft.</t>
  </si>
  <si>
    <t>GOAL</t>
  </si>
  <si>
    <t>DET #8 ABDELKADER(1), Deflected, Off. Zone, 7 ft.</t>
  </si>
  <si>
    <t>Assists: #48 SPROUL(1); #14 NYQUIST(4)</t>
  </si>
  <si>
    <t>CHLG VIS - GOAL INTERFERENCE</t>
  </si>
  <si>
    <t>VISITOR TIMEOUT</t>
  </si>
  <si>
    <t>NSH won Neu. Zone - NSH #63 RIBEIRO vs DET #51 NIELSEN</t>
  </si>
  <si>
    <t>NSH #9 FORSBERG HIT DET #53 MARCHENKO, Off. Zone</t>
  </si>
  <si>
    <t>NSH #12 FISHER HIT DET #52 ERICSSON, Off. Zone</t>
  </si>
  <si>
    <t>DET #48 SPROUL HIT NSH #38 ARVIDSSON, Neu. Zone</t>
  </si>
  <si>
    <t>NSH #56 FIALA BLOCKED BY DET #48 SPROUL, Wrist, Def. Zone</t>
  </si>
  <si>
    <t>PUCK IN NETTING,TV TIMEOUT</t>
  </si>
  <si>
    <t>DET won Def. Zone - NSH #19 JARNKROK vs DET #40 ZETTERBERG</t>
  </si>
  <si>
    <t>NSH #56 FIALA HIT DET #25 GREEN, Off. Zone</t>
  </si>
  <si>
    <t>DET #25 GREEN HIT NSH #18 NEAL, Def. Zone</t>
  </si>
  <si>
    <t>DET #65 DEKEYSER, Wrist, Wide of Net, Off. Zone, 53 ft.</t>
  </si>
  <si>
    <t>DET won Off. Zone - NSH #10 SISSONS vs DET #41 GLENDENING</t>
  </si>
  <si>
    <t>DET ONGOAL - #41 GLENDENING, Snap, Off. Zone, 23 ft.</t>
  </si>
  <si>
    <t>DET #41 GLENDENING HIT NSH #9 FORSBERG, Off. Zone</t>
  </si>
  <si>
    <t>DET #20 MILLER BLOCKED BY NSH #25 CARLE, Wrist, Def. Zone</t>
  </si>
  <si>
    <t>DET ONGOAL - #41 GLENDENING, Wrist, Off. Zone, 40 ft.</t>
  </si>
  <si>
    <t>NSH #14 EKHOLM HIT DET #41 GLENDENING, Def. Zone</t>
  </si>
  <si>
    <t>NSH #38 ARVIDSSON Delaying Game-Puck over glass(2 min)</t>
  </si>
  <si>
    <t>NSH won Def. Zone - NSH #19 JARNKROK vs DET #71 LARKIN</t>
  </si>
  <si>
    <t>DET won Neu. Zone - NSH #16 BASS vs DET #51 NIELSEN</t>
  </si>
  <si>
    <t>DET ONGOAL - #62 VANEK, Slap, Off. Zone, 27 ft.</t>
  </si>
  <si>
    <t>DET GIVEAWAY - #43 HELM, Def. Zone</t>
  </si>
  <si>
    <t>DET ONGOAL - #41 GLENDENING, Wrist, Off. Zone, 29 ft.</t>
  </si>
  <si>
    <t>NSH won Def. Zone - NSH #12 FISHER vs DET #51 NIELSEN</t>
  </si>
  <si>
    <t>NSH ONGOAL - #12 FISHER, Backhand, Off. Zone, 11 ft.</t>
  </si>
  <si>
    <t>DET won Def. Zone - NSH #10 SISSONS vs DET #40 ZETTERBERG</t>
  </si>
  <si>
    <t>NSH ONGOAL - #10 SISSONS, Wrist, Off. Zone, 27 ft.</t>
  </si>
  <si>
    <t>DET ONGOAL - #14 NYQUIST, Slap, Off. Zone, 57 ft.</t>
  </si>
  <si>
    <t>DET #21 TATAR Interference(2 min), Off. Zone Drawn By: NSH #63 RIBEIRO</t>
  </si>
  <si>
    <t>DET won Def. Zone - NSH #12 FISHER vs DET #41 GLENDENING</t>
  </si>
  <si>
    <t>DET ONGOAL - #41 GLENDENING, Wrist, Off. Zone, 8 ft.</t>
  </si>
  <si>
    <t>NSH won Off. Zone - NSH #12 FISHER vs DET #51 NIELSEN</t>
  </si>
  <si>
    <t>DET #65 DEKEYSER Delaying Game-Puck over glass(2 min), Neu. Zone</t>
  </si>
  <si>
    <t>NSH #59 JOSI BLOCKED BY DET #53 MARCHENKO, Slap, Def. Zone</t>
  </si>
  <si>
    <t>NSH ONGOAL - #76 SUBBAN, Slap, Off. Zone, 34 ft.</t>
  </si>
  <si>
    <t>NSH ONGOAL - #59 JOSI, Slap, Off. Zone, 39 ft.</t>
  </si>
  <si>
    <t>NSH #76 SUBBAN(2), Slap, Off. Zone, 45 ft.</t>
  </si>
  <si>
    <t>Assist: #59 JOSI(2)</t>
  </si>
  <si>
    <t>NSH won Neu. Zone - NSH #63 RIBEIRO vs DET #41 GLENDENING</t>
  </si>
  <si>
    <t>NSH ONGOAL - #4 ELLIS, Wrist, Off. Zone, 60 ft.</t>
  </si>
  <si>
    <t>NSH #63 RIBEIRO(1), Wrist, Off. Zone, 10 ft.</t>
  </si>
  <si>
    <t>Assists: #4 ELLIS(1); #38 ARVIDSSON(1)</t>
  </si>
  <si>
    <t>DET won Neu. Zone - NSH #10 SISSONS vs DET #43 HELM</t>
  </si>
  <si>
    <t>NSH #14 EKHOLM, Wrist, Wide of Net, Off. Zone, 24 ft.</t>
  </si>
  <si>
    <t>NSH #16 BASS HIT DET #48 SPROUL, Off. Zone</t>
  </si>
  <si>
    <t>PUCK FROZEN,TV TIMEOUT</t>
  </si>
  <si>
    <t>DET won Off. Zone - NSH #19 JARNKROK vs DET #40 ZETTERBERG</t>
  </si>
  <si>
    <t>DET #40 ZETTERBERG HIT NSH #76 SUBBAN, Off. Zone</t>
  </si>
  <si>
    <t>NSH #9 FORSBERG Tripping(2 min), Neu. Zone Drawn By: DET #25 GREEN</t>
  </si>
  <si>
    <t>NSH won Def. Zone - NSH #12 FISHER vs DET #40 ZETTERBERG</t>
  </si>
  <si>
    <t>DET ONGOAL - #62 VANEK, Wrist, Off. Zone, 10 ft.</t>
  </si>
  <si>
    <t>DET won Off. Zone - NSH #19 JARNKROK vs DET #71 LARKIN</t>
  </si>
  <si>
    <t>DET #71 LARKIN BLOCKED BY NSH #76 SUBBAN, Slap, Def. Zone</t>
  </si>
  <si>
    <t>NSH TAKEAWAY - #76 SUBBAN, Def. Zone</t>
  </si>
  <si>
    <t>DET ONGOAL - #14 NYQUIST, Wrist, Off. Zone, 55 ft.</t>
  </si>
  <si>
    <t>HIGH STICK</t>
  </si>
  <si>
    <t>DET won Neu. Zone - NSH #63 RIBEIRO vs DET #41 GLENDENING</t>
  </si>
  <si>
    <t>DET ONGOAL - #41 GLENDENING, Backhand, Off. Zone, 11 ft.</t>
  </si>
  <si>
    <t>DET #25 GREEN BLOCKED BY NSH #76 SUBBAN, Slap, Def. Zone</t>
  </si>
  <si>
    <t>© Copyright 2016, National Hockey League  2016-10-21-22.29.07</t>
  </si>
  <si>
    <t>DET #20 MILLER(2), Slap, Off. Zone, 22 ft.</t>
  </si>
  <si>
    <t>Assist: #25 GREEN(4)</t>
  </si>
  <si>
    <t>DET ONGOAL - #65 DEKEYSER, Slap, Off. Zone, 56 ft.</t>
  </si>
  <si>
    <t>Period End- Local time: 9:16 EDT</t>
  </si>
  <si>
    <t>Period Start- Local time: 9:34 EDT</t>
  </si>
  <si>
    <t>NSH won Neu. Zone - NSH #19 JARNKROK vs DET #51 NIELSEN</t>
  </si>
  <si>
    <t>DET ONGOAL - #71 LARKIN, Tip-In, Off. Zone, 8 ft.</t>
  </si>
  <si>
    <t>DET #53 MARCHENKO, Slap, Wide of Net, Off. Zone, 46 ft.</t>
  </si>
  <si>
    <t>DET #52 ERICSSON, Wrist, Wide of Net, Off. Zone, 52 ft.</t>
  </si>
  <si>
    <t>DET #21 TATAR(1), Snap, Off. Zone, 23 ft.</t>
  </si>
  <si>
    <t>Assists: #53 MARCHENKO(1); #52 ERICSSON(1)</t>
  </si>
  <si>
    <t>NSH won Neu. Zone - NSH #63 RIBEIRO vs DET #43 HELM</t>
  </si>
  <si>
    <t>NSH ONGOAL - #9 FORSBERG, Wrist, Off. Zone, 9 ft.</t>
  </si>
  <si>
    <t>DET won Def. Zone - NSH #19 JARNKROK vs DET #41 GLENDENING</t>
  </si>
  <si>
    <t>DET won Off. Zone - NSH #19 JARNKROK vs DET #51 NIELSEN</t>
  </si>
  <si>
    <t>NSH #7 WEBER Fighting (maj)(5 min), Def. Zone Drawn By: DET #71 LARKIN</t>
  </si>
  <si>
    <t>DET #71 LARKIN Fighting (maj)(5 min), Off. Zone Drawn By: NSH #7 WEBER</t>
  </si>
  <si>
    <t>NSH GIVEAWAY - #38 ARVIDSSON, Neu. Zone</t>
  </si>
  <si>
    <t>DET #52 ERICSSON Interference(2 min), Def. Zone Drawn By: NSH #12 FISHER</t>
  </si>
  <si>
    <t>DET won Def. Zone - NSH #12 FISHER vs DET #51 NIELSEN</t>
  </si>
  <si>
    <t>DET #41 GLENDENING, Wrist, Wide of Net, Off. Zone, 32 ft.</t>
  </si>
  <si>
    <t>DET #65 DEKEYSER HIT NSH #33 WILSON, Def. Zone</t>
  </si>
  <si>
    <t>NSH #63 RIBEIRO BLOCKED BY DET #65 DEKEYSER, Slap, Def. Zone</t>
  </si>
  <si>
    <t>DET TAKEAWAY - #40 ZETTERBERG, Off. Zone</t>
  </si>
  <si>
    <t>NSH TAKEAWAY - #19 JARNKROK, Def. Zone</t>
  </si>
  <si>
    <t>NSH ONGOAL - #12 FISHER, Wrap-around, Off. Zone, 5 ft.</t>
  </si>
  <si>
    <t>NSH #59 JOSI HIT DET #8 ABDELKADER, Def. Zone</t>
  </si>
  <si>
    <t>NSH TAKEAWAY - #76 SUBBAN, Neu. Zone</t>
  </si>
  <si>
    <t>NSH ONGOAL - #38 ARVIDSSON, Wrist, Off. Zone, 12 ft.</t>
  </si>
  <si>
    <t>NSH #14 EKHOLM BLOCKED BY DET #2 SMITH, Wrist, Def. Zone</t>
  </si>
  <si>
    <t>DET ONGOAL - #29 OTT, Wrist, Off. Zone, 41 ft.</t>
  </si>
  <si>
    <t>DET #41 GLENDENING HIT NSH #4 ELLIS, Off. Zone</t>
  </si>
  <si>
    <t>NSH #10 SISSONS HIT DET #40 ZETTERBERG, Def. Zone</t>
  </si>
  <si>
    <t>DET #53 MARCHENKO, Wrist, Wide of Net, Off. Zone, 11 ft.</t>
  </si>
  <si>
    <t>DET ONGOAL - #14 NYQUIST, Wrist, Off. Zone, 27 ft.</t>
  </si>
  <si>
    <t>DET ONGOAL - #2 SMITH, Wrist, Off. Zone, 66 ft.</t>
  </si>
  <si>
    <t>NSH #9 FORSBERG HIT DET #25 GREEN, Off. Zone</t>
  </si>
  <si>
    <t>NSH won Neu. Zone - NSH #18 NEAL vs DET #40 ZETTERBERG</t>
  </si>
  <si>
    <t>NSH ONGOAL - #76 SUBBAN, Wrist, Neu. Zone, 78 ft.</t>
  </si>
  <si>
    <t>DET TAKEAWAY - #62 VANEK, Def. Zone</t>
  </si>
  <si>
    <t>DET #14 NYQUIST(1), Snap, Off. Zone, 20 ft.</t>
  </si>
  <si>
    <t>NSH #12 FISHER HIT DET #41 GLENDENING, Off. Zone</t>
  </si>
  <si>
    <t>DET #65 DEKEYSER HIT NSH #76 SUBBAN, Def. Zone</t>
  </si>
  <si>
    <t>NSH ONGOAL - #38 ARVIDSSON, Slap, Off. Zone, 41 ft.</t>
  </si>
  <si>
    <t>HIGH STICK,TV TIMEOUT</t>
  </si>
  <si>
    <t>NSH won Neu. Zone - NSH #19 JARNKROK vs DET #15 SHEAHAN</t>
  </si>
  <si>
    <t>DET GIVEAWAY - #53 MARCHENKO, Def. Zone</t>
  </si>
  <si>
    <t>NSH ONGOAL - #18 NEAL, Wrist, Off. Zone, 5 ft.</t>
  </si>
  <si>
    <t>NSH #14 EKHOLM BLOCKED BY DET #21 TATAR, Wrist, Def. Zone</t>
  </si>
  <si>
    <t>DET ONGOAL - #51 NIELSEN, Backhand, Off. Zone, 22 ft.</t>
  </si>
  <si>
    <t>DET ONGOAL - #71 LARKIN, Wrist, Off. Zone, 14 ft.</t>
  </si>
  <si>
    <t>NSH #76 SUBBAN Roughing(2 min), Def. Zone Drawn By: DET #8 ABDELKADER</t>
  </si>
  <si>
    <t>DET #8 ABDELKADER Roughing(2 min), Off. Zone Drawn By: NSH #76 SUBBAN</t>
  </si>
  <si>
    <t>NSH won Off. Zone - NSH #12 FISHER vs DET #41 GLENDENING</t>
  </si>
  <si>
    <t>NSH #14 EKHOLM BLOCKED BY DET #20 MILLER, Slap, Def. Zone</t>
  </si>
  <si>
    <t>NSH ONGOAL - #4 ELLIS, Slap, Off. Zone, 45 ft.</t>
  </si>
  <si>
    <t>NSH #4 ELLIS BLOCKED BY DET #41 GLENDENING, Wrist, Def. Zone</t>
  </si>
  <si>
    <t>DET #2 SMITH Holding(2 min), Def. Zone Drawn By: NSH #18 NEAL</t>
  </si>
  <si>
    <t>TV TIMEOUT</t>
  </si>
  <si>
    <t>NSH #18 NEAL BLOCKED BY DET #65 DEKEYSER, Slap, Def. Zone</t>
  </si>
  <si>
    <t>NSH ONGOAL - #18 NEAL, Slap, Off. Zone, 20 ft.</t>
  </si>
  <si>
    <t>NSH #12 FISHER(3), Tip-In, Off. Zone, 8 ft.</t>
  </si>
  <si>
    <t>Assists: #59 JOSI(3); #9 FORSBERG(3)</t>
  </si>
  <si>
    <t>DET won Neu. Zone - NSH #19 JARNKROK vs DET #40 ZETTERBERG</t>
  </si>
  <si>
    <t>NSH #33 WILSON HIT DET #40 ZETTERBERG, Def. Zone</t>
  </si>
  <si>
    <t>DET #65 DEKEYSER HIT NSH #9 FORSBERG, Def. Zone</t>
  </si>
  <si>
    <t>DET #51 NIELSEN HIT NSH #63 RIBEIRO, Off. Zone</t>
  </si>
  <si>
    <t>DET #41 GLENDENING, Snap, Wide of Net, Off. Zone, 20 ft.</t>
  </si>
  <si>
    <t>NSH #19 JARNKROK Hi-sticking(2 min), Off. Zone Drawn By: DET #43 HELM</t>
  </si>
  <si>
    <t>NSH #18 NEAL Cross checking(2 min), Off. Zone Drawn By: DET #53 MARCHENKO</t>
  </si>
  <si>
    <t>NSH #4 ELLIS BLOCKED BY DET #25 GREEN, Wrist, Def. Zone</t>
  </si>
  <si>
    <t>DET #43 HELM(4), Snap, Off. Zone, 21 ft.</t>
  </si>
  <si>
    <t>Assists: #41 GLENDENING(3); #40 ZETTERBERG(3)</t>
  </si>
  <si>
    <t>NSH #63 RIBEIRO Unsportsmanlike conduct(2 min), Neu. Zone</t>
  </si>
  <si>
    <t>NSH won Neu. Zone - NSH #10 SISSONS vs DET #51 NIELSEN</t>
  </si>
  <si>
    <t>Period End- Local time: 10:12 EDT</t>
  </si>
  <si>
    <t>GEND</t>
  </si>
  <si>
    <t>Game End- Local time: 10:13 EDT</t>
  </si>
  <si>
    <t/>
  </si>
  <si>
    <t>Justin Abdelkader</t>
  </si>
  <si>
    <t>Frans Nielsen</t>
  </si>
  <si>
    <t>Dylan Larkin</t>
  </si>
  <si>
    <t>Tomas Tatar</t>
  </si>
  <si>
    <t>Henrik Zetterberg</t>
  </si>
  <si>
    <t>Riley Sheahan</t>
  </si>
  <si>
    <t>Gustav Nyquist</t>
  </si>
  <si>
    <t>Darren Helm</t>
  </si>
  <si>
    <t>Thomas Vanek</t>
  </si>
  <si>
    <t>Steve Ott</t>
  </si>
  <si>
    <t>Luke Glendening</t>
  </si>
  <si>
    <t>Drew Miller</t>
  </si>
  <si>
    <t>Danny Dekeyser</t>
  </si>
  <si>
    <t>Mike Green</t>
  </si>
  <si>
    <t>Jonathan Ericsson</t>
  </si>
  <si>
    <t>Alexey Marchenko</t>
  </si>
  <si>
    <t>Brendan Smith</t>
  </si>
  <si>
    <t>Ryan Sproul</t>
  </si>
  <si>
    <t>Calle Jarnkrok</t>
  </si>
  <si>
    <t>Ryan Johansen</t>
  </si>
  <si>
    <t>James Neal</t>
  </si>
  <si>
    <t>Craig Smith</t>
  </si>
  <si>
    <t>Mike Ribeiro</t>
  </si>
  <si>
    <t>Filip Forsberg</t>
  </si>
  <si>
    <t>Colin Wilson</t>
  </si>
  <si>
    <t>Mike Fisher</t>
  </si>
  <si>
    <t>Viktor Arvidsson</t>
  </si>
  <si>
    <t>Kevin Fiala</t>
  </si>
  <si>
    <t>Colton Sissons</t>
  </si>
  <si>
    <t>Cody Bass</t>
  </si>
  <si>
    <t>Roman Josi</t>
  </si>
  <si>
    <t>PK Subban</t>
  </si>
  <si>
    <t>Mattias Ekholm</t>
  </si>
  <si>
    <t>Ryan Ellis</t>
  </si>
  <si>
    <t>Matt Carle</t>
  </si>
  <si>
    <t>Yannick Weber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</si>
</sst>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0.0%"/>
  </numFmts>
  <fonts count="1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40"/>
      <color indexed="8"/>
      <name val="Calibri"/>
      <family val="2"/>
    </font>
    <font>
      <b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164" fontId="0" fillId="0" borderId="0" xfId="0" applyNumberFormat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20" fontId="3" fillId="0" borderId="0" xfId="0" applyNumberFormat="1" applyFont="1" applyAlignment="1">
      <alignment horizontal="center"/>
    </xf>
    <xf numFmtId="0" fontId="3" fillId="0" borderId="0" xfId="0" applyFont="1" applyAlignme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vertical="top"/>
    </xf>
    <xf numFmtId="165" fontId="0" fillId="0" borderId="0" xfId="0" applyNumberFormat="1"/>
    <xf numFmtId="0" fontId="0" fillId="2" borderId="0" xfId="0" applyFill="1" applyAlignment="1">
      <alignment horizontal="center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" xfId="0" applyFont="1" applyFill="1" applyBorder="1"/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" xfId="0" applyFont="1" applyFill="1" applyBorder="1"/>
    <xf numFmtId="0" fontId="0" fillId="0" borderId="1" xfId="0" applyBorder="1" applyProtection="1">
      <protection hidden="1"/>
    </xf>
    <xf numFmtId="9" fontId="0" fillId="0" borderId="1" xfId="1" applyNumberFormat="1" applyFont="1" applyBorder="1" applyProtection="1">
      <protection hidden="1"/>
    </xf>
    <xf numFmtId="0" fontId="0" fillId="0" borderId="0" xfId="0"/>
    <xf numFmtId="0" fontId="0" fillId="0" borderId="0" xfId="0" applyAlignment="1">
      <alignment horizontal="center"/>
    </xf>
    <xf numFmtId="0" fontId="9" fillId="0" borderId="1" xfId="0" applyFont="1" applyBorder="1"/>
    <xf numFmtId="0" fontId="0" fillId="0" borderId="1" xfId="0" applyBorder="1"/>
    <xf numFmtId="0" fontId="9" fillId="0" borderId="1" xfId="0" applyFont="1" applyBorder="1"/>
    <xf numFmtId="0" fontId="9" fillId="0" borderId="1" xfId="0" applyFont="1" applyFill="1" applyBorder="1"/>
    <xf numFmtId="0" fontId="0" fillId="0" borderId="1" xfId="0" applyBorder="1"/>
    <xf numFmtId="0" fontId="0" fillId="0" borderId="1" xfId="0" applyFill="1" applyBorder="1"/>
    <xf numFmtId="0" fontId="0" fillId="0" borderId="0" xfId="0"/>
    <xf numFmtId="0" fontId="9" fillId="0" borderId="1" xfId="0" applyFont="1" applyFill="1" applyBorder="1"/>
    <xf numFmtId="0" fontId="0" fillId="0" borderId="1" xfId="0" applyBorder="1"/>
    <xf numFmtId="0" fontId="0" fillId="0" borderId="1" xfId="0" applyBorder="1"/>
    <xf numFmtId="0" fontId="0" fillId="0" borderId="0" xfId="0"/>
    <xf numFmtId="0" fontId="9" fillId="0" borderId="1" xfId="0" applyFont="1" applyBorder="1"/>
    <xf numFmtId="0" fontId="0" fillId="0" borderId="1" xfId="0" applyBorder="1" applyProtection="1">
      <protection hidden="1"/>
    </xf>
    <xf numFmtId="0" fontId="0" fillId="0" borderId="1" xfId="0" applyBorder="1"/>
    <xf numFmtId="0" fontId="9" fillId="0" borderId="1" xfId="0" applyFont="1" applyBorder="1" applyProtection="1">
      <protection hidden="1"/>
    </xf>
    <xf numFmtId="9" fontId="9" fillId="0" borderId="1" xfId="1" applyNumberFormat="1" applyFont="1" applyBorder="1" applyProtection="1">
      <protection hidden="1"/>
    </xf>
    <xf numFmtId="0" fontId="9" fillId="0" borderId="0" xfId="0" applyFont="1"/>
    <xf numFmtId="20" fontId="0" fillId="0" borderId="0" xfId="0" applyNumberFormat="1" applyAlignment="1"/>
    <xf numFmtId="20" fontId="3" fillId="0" borderId="0" xfId="0" applyNumberFormat="1" applyFont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PL02006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5"/>
  <sheetViews>
    <sheetView zoomScaleNormal="100" workbookViewId="0">
      <selection activeCell="C4" sqref="C4"/>
    </sheetView>
  </sheetViews>
  <sheetFormatPr defaultRowHeight="15" x14ac:dyDescent="0.25"/>
  <cols>
    <col min="1" max="1" width="5.5703125" style="6" customWidth="1"/>
    <col min="2" max="2" width="9.42578125" style="1" bestFit="1" customWidth="1"/>
    <col min="3" max="3" width="6" style="1" bestFit="1" customWidth="1"/>
    <col min="4" max="4" width="10" style="1" customWidth="1"/>
    <col min="5" max="5" width="8.140625" style="1" bestFit="1" customWidth="1"/>
    <col min="6" max="6" width="12.42578125" style="1" bestFit="1" customWidth="1"/>
    <col min="7" max="7" width="8" style="1" bestFit="1" customWidth="1"/>
    <col min="8" max="8" width="8.42578125" style="1" bestFit="1" customWidth="1"/>
    <col min="9" max="9" width="16.85546875" style="1" bestFit="1" customWidth="1"/>
    <col min="10" max="10" width="13.85546875" style="1" bestFit="1" customWidth="1"/>
    <col min="11" max="11" width="12.42578125" customWidth="1"/>
  </cols>
  <sheetData>
    <row r="1" spans="1:11" x14ac:dyDescent="0.25">
      <c r="B1" s="1" t="s">
        <v>7</v>
      </c>
      <c r="C1" s="21">
        <v>20064</v>
      </c>
      <c r="J1" s="1" t="s">
        <v>39</v>
      </c>
      <c r="K1" t="s">
        <v>55</v>
      </c>
    </row>
    <row r="2" spans="1:11" x14ac:dyDescent="0.25">
      <c r="B2" s="1" t="s">
        <v>8</v>
      </c>
      <c r="C2" s="21" t="s">
        <v>149</v>
      </c>
      <c r="D2" s="3" t="s">
        <v>48</v>
      </c>
      <c r="K2" t="s">
        <v>53</v>
      </c>
    </row>
    <row r="3" spans="1:11" x14ac:dyDescent="0.25">
      <c r="B3" s="1" t="s">
        <v>9</v>
      </c>
      <c r="C3" s="21" t="s">
        <v>150</v>
      </c>
      <c r="D3" s="3" t="s">
        <v>49</v>
      </c>
      <c r="K3" t="s">
        <v>40</v>
      </c>
    </row>
    <row r="4" spans="1:11" x14ac:dyDescent="0.25">
      <c r="K4" t="s">
        <v>47</v>
      </c>
    </row>
    <row r="5" spans="1:11" x14ac:dyDescent="0.25">
      <c r="A5" s="6" t="s">
        <v>10</v>
      </c>
      <c r="B5" s="1" t="s">
        <v>0</v>
      </c>
      <c r="C5" s="1" t="s">
        <v>1</v>
      </c>
      <c r="D5" s="1" t="s">
        <v>2</v>
      </c>
      <c r="E5" s="1" t="s">
        <v>59</v>
      </c>
      <c r="F5" s="1" t="s">
        <v>60</v>
      </c>
      <c r="G5" s="1" t="s">
        <v>103</v>
      </c>
      <c r="H5" s="1" t="s">
        <v>44</v>
      </c>
      <c r="I5" s="1" t="s">
        <v>62</v>
      </c>
      <c r="J5" s="1" t="s">
        <v>6</v>
      </c>
      <c r="K5" s="3" t="s">
        <v>4</v>
      </c>
    </row>
    <row r="6" spans="1:11" x14ac:dyDescent="0.25">
      <c r="A6" s="6">
        <v>1</v>
      </c>
      <c r="B6" s="1">
        <v>1</v>
      </c>
      <c r="C6" s="2">
        <v>0.82777777777777783</v>
      </c>
      <c r="D6" s="1" t="s">
        <v>74</v>
      </c>
      <c r="E6" s="1" t="s">
        <v>104</v>
      </c>
      <c r="F6" s="1" t="s">
        <v>105</v>
      </c>
      <c r="G6" s="1" t="s">
        <v>106</v>
      </c>
      <c r="H6" s="1" t="s">
        <v>107</v>
      </c>
      <c r="I6" s="1" t="s">
        <v>106</v>
      </c>
      <c r="J6" s="1">
        <v>5</v>
      </c>
      <c r="K6" s="1">
        <v>5</v>
      </c>
    </row>
    <row r="7" spans="1:11" x14ac:dyDescent="0.25">
      <c r="A7" s="6">
        <v>2</v>
      </c>
      <c r="B7" s="1">
        <v>1</v>
      </c>
      <c r="C7" s="2">
        <v>0.79722222222222217</v>
      </c>
      <c r="D7" s="1" t="s">
        <v>108</v>
      </c>
      <c r="E7" s="1" t="s">
        <v>109</v>
      </c>
      <c r="F7" s="1" t="s">
        <v>106</v>
      </c>
      <c r="H7" s="1" t="s">
        <v>110</v>
      </c>
      <c r="I7" s="1" t="s">
        <v>111</v>
      </c>
      <c r="J7" s="1">
        <v>5</v>
      </c>
      <c r="K7" s="1">
        <v>5</v>
      </c>
    </row>
    <row r="8" spans="1:11" x14ac:dyDescent="0.25">
      <c r="A8" s="6">
        <v>3</v>
      </c>
      <c r="B8" s="1">
        <v>1</v>
      </c>
      <c r="C8" s="2">
        <v>0.78749999999999998</v>
      </c>
      <c r="D8" s="1" t="s">
        <v>108</v>
      </c>
      <c r="E8" s="1" t="s">
        <v>112</v>
      </c>
      <c r="F8" s="1" t="s">
        <v>113</v>
      </c>
      <c r="H8" s="1" t="s">
        <v>107</v>
      </c>
      <c r="I8" s="1" t="s">
        <v>106</v>
      </c>
      <c r="J8" s="1">
        <v>5</v>
      </c>
      <c r="K8" s="1">
        <v>5</v>
      </c>
    </row>
    <row r="9" spans="1:11" x14ac:dyDescent="0.25">
      <c r="A9" s="6">
        <v>4</v>
      </c>
      <c r="B9" s="1">
        <v>1</v>
      </c>
      <c r="C9" s="2">
        <v>0.76666666666666661</v>
      </c>
      <c r="D9" s="1" t="s">
        <v>74</v>
      </c>
      <c r="E9" s="1" t="s">
        <v>109</v>
      </c>
      <c r="F9" s="1" t="s">
        <v>114</v>
      </c>
      <c r="G9" s="1" t="s">
        <v>106</v>
      </c>
      <c r="H9" s="1" t="s">
        <v>74</v>
      </c>
      <c r="I9" s="1" t="s">
        <v>106</v>
      </c>
      <c r="J9" s="1">
        <v>5</v>
      </c>
      <c r="K9" s="1">
        <v>5</v>
      </c>
    </row>
    <row r="10" spans="1:11" x14ac:dyDescent="0.25">
      <c r="A10" s="6">
        <v>5</v>
      </c>
      <c r="B10" s="1">
        <v>1</v>
      </c>
      <c r="C10" s="2">
        <v>0.75902777777777775</v>
      </c>
      <c r="D10" s="1" t="s">
        <v>108</v>
      </c>
      <c r="E10" s="1" t="s">
        <v>115</v>
      </c>
      <c r="F10" s="1" t="s">
        <v>106</v>
      </c>
      <c r="H10" s="1" t="s">
        <v>107</v>
      </c>
      <c r="I10" s="1" t="s">
        <v>106</v>
      </c>
      <c r="J10" s="1">
        <v>5</v>
      </c>
      <c r="K10" s="1">
        <v>5</v>
      </c>
    </row>
    <row r="11" spans="1:11" x14ac:dyDescent="0.25">
      <c r="A11" s="6">
        <v>6</v>
      </c>
      <c r="B11" s="1">
        <v>1</v>
      </c>
      <c r="C11" s="2">
        <v>0.71458333333333324</v>
      </c>
      <c r="D11" s="1" t="s">
        <v>108</v>
      </c>
      <c r="E11" s="1" t="s">
        <v>116</v>
      </c>
      <c r="F11" s="1" t="s">
        <v>105</v>
      </c>
      <c r="H11" s="1" t="s">
        <v>74</v>
      </c>
      <c r="I11" s="1" t="s">
        <v>106</v>
      </c>
      <c r="J11" s="1">
        <v>5</v>
      </c>
      <c r="K11" s="1">
        <v>5</v>
      </c>
    </row>
    <row r="12" spans="1:11" x14ac:dyDescent="0.25">
      <c r="A12" s="6">
        <v>7</v>
      </c>
      <c r="B12" s="1">
        <v>1</v>
      </c>
      <c r="C12" s="2">
        <v>0.70763888888888893</v>
      </c>
      <c r="D12" s="1" t="s">
        <v>108</v>
      </c>
      <c r="E12" s="1" t="s">
        <v>117</v>
      </c>
      <c r="F12" s="1" t="s">
        <v>106</v>
      </c>
      <c r="H12" s="1" t="s">
        <v>107</v>
      </c>
      <c r="I12" s="1" t="s">
        <v>106</v>
      </c>
      <c r="J12" s="1">
        <v>5</v>
      </c>
      <c r="K12" s="1">
        <v>5</v>
      </c>
    </row>
    <row r="13" spans="1:11" x14ac:dyDescent="0.25">
      <c r="A13" s="6">
        <v>8</v>
      </c>
      <c r="B13" s="1">
        <v>1</v>
      </c>
      <c r="C13" s="2">
        <v>0.69652777777777775</v>
      </c>
      <c r="D13" s="1" t="s">
        <v>108</v>
      </c>
      <c r="E13" s="1" t="s">
        <v>116</v>
      </c>
      <c r="F13" s="1" t="s">
        <v>105</v>
      </c>
      <c r="H13" s="1" t="s">
        <v>107</v>
      </c>
      <c r="I13" s="1" t="s">
        <v>106</v>
      </c>
      <c r="J13" s="1">
        <v>5</v>
      </c>
      <c r="K13" s="1">
        <v>5</v>
      </c>
    </row>
    <row r="14" spans="1:11" x14ac:dyDescent="0.25">
      <c r="A14" s="6">
        <v>9</v>
      </c>
      <c r="B14" s="1">
        <v>1</v>
      </c>
      <c r="C14" s="2">
        <v>0.68472222222222223</v>
      </c>
      <c r="D14" s="1" t="s">
        <v>108</v>
      </c>
      <c r="E14" s="1" t="s">
        <v>118</v>
      </c>
      <c r="F14" s="1" t="s">
        <v>115</v>
      </c>
      <c r="H14" s="1" t="s">
        <v>110</v>
      </c>
      <c r="I14" s="1" t="s">
        <v>106</v>
      </c>
      <c r="J14" s="1">
        <v>5</v>
      </c>
      <c r="K14" s="1">
        <v>5</v>
      </c>
    </row>
    <row r="15" spans="1:11" x14ac:dyDescent="0.25">
      <c r="A15" s="6">
        <v>10</v>
      </c>
      <c r="B15" s="1">
        <v>1</v>
      </c>
      <c r="C15" s="2">
        <v>0.67708333333333337</v>
      </c>
      <c r="D15" s="1" t="s">
        <v>74</v>
      </c>
      <c r="E15" s="1" t="s">
        <v>119</v>
      </c>
      <c r="F15" s="1" t="s">
        <v>120</v>
      </c>
      <c r="G15" s="1" t="s">
        <v>121</v>
      </c>
      <c r="H15" s="1" t="s">
        <v>74</v>
      </c>
      <c r="I15" s="1" t="s">
        <v>106</v>
      </c>
      <c r="J15" s="1">
        <v>5</v>
      </c>
      <c r="K15" s="1">
        <v>5</v>
      </c>
    </row>
    <row r="16" spans="1:11" x14ac:dyDescent="0.25">
      <c r="A16" s="6">
        <v>11</v>
      </c>
      <c r="B16" s="1">
        <v>1</v>
      </c>
      <c r="C16" s="2">
        <v>0.66527777777777775</v>
      </c>
      <c r="D16" s="1" t="s">
        <v>74</v>
      </c>
      <c r="E16" s="1" t="s">
        <v>114</v>
      </c>
      <c r="F16" s="1" t="s">
        <v>122</v>
      </c>
      <c r="G16" s="1" t="s">
        <v>106</v>
      </c>
      <c r="H16" s="1" t="s">
        <v>110</v>
      </c>
      <c r="I16" s="1" t="s">
        <v>106</v>
      </c>
      <c r="J16" s="1">
        <v>5</v>
      </c>
      <c r="K16" s="1">
        <v>5</v>
      </c>
    </row>
    <row r="17" spans="1:11" x14ac:dyDescent="0.25">
      <c r="A17" s="6">
        <v>12</v>
      </c>
      <c r="B17" s="1">
        <v>1</v>
      </c>
      <c r="C17" s="2">
        <v>0.62708333333333333</v>
      </c>
      <c r="D17" s="1" t="s">
        <v>108</v>
      </c>
      <c r="E17" s="1" t="s">
        <v>123</v>
      </c>
      <c r="F17" s="1" t="s">
        <v>105</v>
      </c>
      <c r="H17" s="1" t="s">
        <v>107</v>
      </c>
      <c r="I17" s="1" t="s">
        <v>106</v>
      </c>
      <c r="J17" s="1">
        <v>5</v>
      </c>
      <c r="K17" s="1">
        <v>5</v>
      </c>
    </row>
    <row r="18" spans="1:11" x14ac:dyDescent="0.25">
      <c r="A18" s="6">
        <v>13</v>
      </c>
      <c r="B18" s="1">
        <v>1</v>
      </c>
      <c r="C18" s="2">
        <v>0.5805555555555556</v>
      </c>
      <c r="D18" s="1" t="s">
        <v>108</v>
      </c>
      <c r="E18" s="1" t="s">
        <v>124</v>
      </c>
      <c r="F18" s="1" t="s">
        <v>106</v>
      </c>
      <c r="H18" s="1" t="s">
        <v>107</v>
      </c>
      <c r="I18" s="1" t="s">
        <v>106</v>
      </c>
      <c r="J18" s="1">
        <v>5</v>
      </c>
      <c r="K18" s="1">
        <v>5</v>
      </c>
    </row>
    <row r="19" spans="1:11" x14ac:dyDescent="0.25">
      <c r="A19" s="6">
        <v>14</v>
      </c>
      <c r="B19" s="1">
        <v>1</v>
      </c>
      <c r="C19" s="2">
        <v>0.5708333333333333</v>
      </c>
      <c r="D19" s="1" t="s">
        <v>74</v>
      </c>
      <c r="E19" s="1" t="s">
        <v>119</v>
      </c>
      <c r="F19" s="1" t="s">
        <v>125</v>
      </c>
      <c r="G19" s="1" t="s">
        <v>121</v>
      </c>
      <c r="H19" s="1" t="s">
        <v>74</v>
      </c>
      <c r="I19" s="1" t="s">
        <v>106</v>
      </c>
      <c r="J19" s="1">
        <v>5</v>
      </c>
      <c r="K19" s="1">
        <v>5</v>
      </c>
    </row>
    <row r="20" spans="1:11" x14ac:dyDescent="0.25">
      <c r="A20" s="6">
        <v>15</v>
      </c>
      <c r="B20" s="1">
        <v>1</v>
      </c>
      <c r="C20" s="2">
        <v>0.50138888888888888</v>
      </c>
      <c r="D20" s="1" t="s">
        <v>74</v>
      </c>
      <c r="E20" s="1" t="s">
        <v>109</v>
      </c>
      <c r="F20" s="1" t="s">
        <v>126</v>
      </c>
      <c r="G20" s="1" t="s">
        <v>121</v>
      </c>
      <c r="H20" s="1" t="s">
        <v>110</v>
      </c>
      <c r="I20" s="1" t="s">
        <v>106</v>
      </c>
      <c r="J20" s="1">
        <v>4</v>
      </c>
      <c r="K20" s="1">
        <v>5</v>
      </c>
    </row>
    <row r="21" spans="1:11" x14ac:dyDescent="0.25">
      <c r="A21" s="6">
        <v>16</v>
      </c>
      <c r="B21" s="1">
        <v>1</v>
      </c>
      <c r="C21" s="2">
        <v>0.46666666666666662</v>
      </c>
      <c r="D21" s="1" t="s">
        <v>108</v>
      </c>
      <c r="E21" s="1" t="s">
        <v>127</v>
      </c>
      <c r="F21" s="1" t="s">
        <v>106</v>
      </c>
      <c r="H21" s="1" t="s">
        <v>74</v>
      </c>
      <c r="I21" s="1" t="s">
        <v>128</v>
      </c>
      <c r="J21" s="1">
        <v>4</v>
      </c>
      <c r="K21" s="1">
        <v>5</v>
      </c>
    </row>
    <row r="22" spans="1:11" x14ac:dyDescent="0.25">
      <c r="A22" s="6">
        <v>17</v>
      </c>
      <c r="B22" s="1">
        <v>1</v>
      </c>
      <c r="C22" s="2">
        <v>0.45416666666666666</v>
      </c>
      <c r="D22" s="1" t="s">
        <v>108</v>
      </c>
      <c r="E22" s="1" t="s">
        <v>129</v>
      </c>
      <c r="F22" s="1" t="s">
        <v>130</v>
      </c>
      <c r="H22" s="1" t="s">
        <v>110</v>
      </c>
      <c r="I22" s="1" t="s">
        <v>112</v>
      </c>
      <c r="J22" s="1">
        <v>5</v>
      </c>
      <c r="K22" s="1">
        <v>5</v>
      </c>
    </row>
    <row r="23" spans="1:11" x14ac:dyDescent="0.25">
      <c r="A23" s="6">
        <v>18</v>
      </c>
      <c r="B23" s="1">
        <v>1</v>
      </c>
      <c r="C23" s="2">
        <v>0.4458333333333333</v>
      </c>
      <c r="D23" s="1" t="s">
        <v>74</v>
      </c>
      <c r="E23" s="1" t="s">
        <v>131</v>
      </c>
      <c r="F23" s="1" t="s">
        <v>130</v>
      </c>
      <c r="G23" s="1" t="s">
        <v>106</v>
      </c>
      <c r="H23" s="1" t="s">
        <v>110</v>
      </c>
      <c r="I23" s="1" t="s">
        <v>106</v>
      </c>
      <c r="J23" s="1">
        <v>5</v>
      </c>
      <c r="K23" s="1">
        <v>5</v>
      </c>
    </row>
    <row r="24" spans="1:11" x14ac:dyDescent="0.25">
      <c r="A24" s="6">
        <v>19</v>
      </c>
      <c r="B24" s="1">
        <v>1</v>
      </c>
      <c r="C24" s="2">
        <v>0.43124999999999997</v>
      </c>
      <c r="D24" s="1" t="s">
        <v>74</v>
      </c>
      <c r="E24" s="1" t="s">
        <v>119</v>
      </c>
      <c r="F24" s="1" t="s">
        <v>105</v>
      </c>
      <c r="G24" s="1" t="s">
        <v>121</v>
      </c>
      <c r="H24" s="1" t="s">
        <v>74</v>
      </c>
      <c r="I24" s="1" t="s">
        <v>106</v>
      </c>
      <c r="J24" s="1">
        <v>5</v>
      </c>
      <c r="K24" s="1">
        <v>5</v>
      </c>
    </row>
    <row r="25" spans="1:11" x14ac:dyDescent="0.25">
      <c r="A25" s="6">
        <v>20</v>
      </c>
      <c r="B25" s="1">
        <v>1</v>
      </c>
      <c r="C25" s="2">
        <v>0.41388888888888892</v>
      </c>
      <c r="D25" s="1" t="s">
        <v>108</v>
      </c>
      <c r="E25" s="1" t="s">
        <v>118</v>
      </c>
      <c r="F25" s="1" t="s">
        <v>106</v>
      </c>
      <c r="H25" s="1" t="s">
        <v>107</v>
      </c>
      <c r="I25" s="1" t="s">
        <v>118</v>
      </c>
      <c r="J25" s="1">
        <v>5</v>
      </c>
      <c r="K25" s="1">
        <v>5</v>
      </c>
    </row>
    <row r="26" spans="1:11" x14ac:dyDescent="0.25">
      <c r="A26" s="6">
        <v>21</v>
      </c>
      <c r="B26" s="1">
        <v>1</v>
      </c>
      <c r="C26" s="2">
        <v>0.4055555555555555</v>
      </c>
      <c r="D26" s="1" t="s">
        <v>74</v>
      </c>
      <c r="E26" s="1" t="s">
        <v>132</v>
      </c>
      <c r="F26" s="1" t="s">
        <v>127</v>
      </c>
      <c r="G26" s="1" t="s">
        <v>106</v>
      </c>
      <c r="H26" s="1" t="s">
        <v>107</v>
      </c>
      <c r="I26" s="1" t="s">
        <v>106</v>
      </c>
      <c r="J26" s="1">
        <v>5</v>
      </c>
      <c r="K26" s="1">
        <v>5</v>
      </c>
    </row>
    <row r="27" spans="1:11" x14ac:dyDescent="0.25">
      <c r="A27" s="6">
        <v>22</v>
      </c>
      <c r="B27" s="1">
        <v>1</v>
      </c>
      <c r="C27" s="2">
        <v>0.39305555555555555</v>
      </c>
      <c r="D27" s="1" t="s">
        <v>108</v>
      </c>
      <c r="E27" s="1" t="s">
        <v>133</v>
      </c>
      <c r="F27" s="1" t="s">
        <v>106</v>
      </c>
      <c r="H27" s="1" t="s">
        <v>74</v>
      </c>
      <c r="I27" s="1" t="s">
        <v>106</v>
      </c>
      <c r="J27" s="1">
        <v>5</v>
      </c>
      <c r="K27" s="1">
        <v>5</v>
      </c>
    </row>
    <row r="28" spans="1:11" x14ac:dyDescent="0.25">
      <c r="A28" s="6">
        <v>23</v>
      </c>
      <c r="B28" s="1">
        <v>1</v>
      </c>
      <c r="C28" s="2">
        <v>0.36527777777777781</v>
      </c>
      <c r="D28" s="1" t="s">
        <v>134</v>
      </c>
      <c r="E28" s="1" t="s">
        <v>135</v>
      </c>
      <c r="I28" s="1" t="s">
        <v>106</v>
      </c>
      <c r="J28" s="1">
        <v>5</v>
      </c>
      <c r="K28" s="1">
        <v>5</v>
      </c>
    </row>
    <row r="29" spans="1:11" x14ac:dyDescent="0.25">
      <c r="A29" s="6">
        <v>24</v>
      </c>
      <c r="B29" s="1">
        <v>1</v>
      </c>
      <c r="C29" s="2">
        <v>0.35069444444444442</v>
      </c>
      <c r="D29" s="1" t="s">
        <v>134</v>
      </c>
      <c r="E29" s="1" t="s">
        <v>128</v>
      </c>
      <c r="F29" s="1" t="s">
        <v>136</v>
      </c>
      <c r="G29" s="1" t="s">
        <v>121</v>
      </c>
      <c r="H29" s="1" t="s">
        <v>74</v>
      </c>
      <c r="I29" s="1" t="s">
        <v>106</v>
      </c>
      <c r="J29" s="1">
        <v>5</v>
      </c>
      <c r="K29" s="1">
        <v>5</v>
      </c>
    </row>
    <row r="30" spans="1:11" x14ac:dyDescent="0.25">
      <c r="A30" s="6">
        <v>25</v>
      </c>
      <c r="B30" s="1">
        <v>1</v>
      </c>
      <c r="C30" s="2">
        <v>0.33958333333333335</v>
      </c>
      <c r="D30" s="1" t="s">
        <v>74</v>
      </c>
      <c r="E30" s="1" t="s">
        <v>112</v>
      </c>
      <c r="F30" s="1" t="s">
        <v>130</v>
      </c>
      <c r="G30" s="1" t="s">
        <v>106</v>
      </c>
      <c r="H30" s="1" t="s">
        <v>110</v>
      </c>
      <c r="I30" s="1" t="s">
        <v>106</v>
      </c>
      <c r="J30" s="1">
        <v>5</v>
      </c>
      <c r="K30" s="1">
        <v>5</v>
      </c>
    </row>
    <row r="31" spans="1:11" x14ac:dyDescent="0.25">
      <c r="A31" s="6">
        <v>26</v>
      </c>
      <c r="B31" s="1">
        <v>1</v>
      </c>
      <c r="C31" s="2">
        <v>0.33333333333333331</v>
      </c>
      <c r="D31" s="1" t="s">
        <v>137</v>
      </c>
      <c r="E31" s="1" t="s">
        <v>138</v>
      </c>
      <c r="F31" s="1" t="s">
        <v>105</v>
      </c>
      <c r="H31" s="1" t="s">
        <v>107</v>
      </c>
      <c r="I31" s="1" t="s">
        <v>106</v>
      </c>
      <c r="J31" s="1">
        <v>5</v>
      </c>
      <c r="K31" s="1">
        <v>5</v>
      </c>
    </row>
    <row r="32" spans="1:11" x14ac:dyDescent="0.25">
      <c r="A32" s="6">
        <v>27</v>
      </c>
      <c r="B32" s="1">
        <v>1</v>
      </c>
      <c r="C32" s="2">
        <v>0.32430555555555557</v>
      </c>
      <c r="D32" s="1" t="s">
        <v>108</v>
      </c>
      <c r="E32" s="1" t="s">
        <v>139</v>
      </c>
      <c r="F32" s="1" t="s">
        <v>106</v>
      </c>
      <c r="H32" s="1" t="s">
        <v>110</v>
      </c>
      <c r="I32" s="1" t="s">
        <v>106</v>
      </c>
      <c r="J32" s="1">
        <v>5</v>
      </c>
      <c r="K32" s="1">
        <v>5</v>
      </c>
    </row>
    <row r="33" spans="1:11" x14ac:dyDescent="0.25">
      <c r="A33" s="6">
        <v>28</v>
      </c>
      <c r="B33" s="1">
        <v>1</v>
      </c>
      <c r="C33" s="2">
        <v>0.31805555555555554</v>
      </c>
      <c r="D33" s="1" t="s">
        <v>137</v>
      </c>
      <c r="E33" s="1" t="s">
        <v>131</v>
      </c>
      <c r="F33" s="1" t="s">
        <v>115</v>
      </c>
      <c r="H33" s="1" t="s">
        <v>110</v>
      </c>
      <c r="I33" s="1" t="s">
        <v>106</v>
      </c>
      <c r="J33" s="1">
        <v>5</v>
      </c>
      <c r="K33" s="1">
        <v>5</v>
      </c>
    </row>
    <row r="34" spans="1:11" x14ac:dyDescent="0.25">
      <c r="A34" s="6">
        <v>29</v>
      </c>
      <c r="B34" s="1">
        <v>1</v>
      </c>
      <c r="C34" s="2">
        <v>0.31527777777777777</v>
      </c>
      <c r="D34" s="1" t="s">
        <v>74</v>
      </c>
      <c r="E34" s="1" t="s">
        <v>140</v>
      </c>
      <c r="F34" s="1" t="s">
        <v>124</v>
      </c>
      <c r="G34" s="1" t="s">
        <v>106</v>
      </c>
      <c r="H34" s="1" t="s">
        <v>110</v>
      </c>
      <c r="I34" s="1" t="s">
        <v>106</v>
      </c>
      <c r="J34" s="1">
        <v>5</v>
      </c>
      <c r="K34" s="1">
        <v>5</v>
      </c>
    </row>
    <row r="35" spans="1:11" x14ac:dyDescent="0.25">
      <c r="A35" s="6">
        <v>30</v>
      </c>
      <c r="B35" s="1">
        <v>1</v>
      </c>
      <c r="C35" s="2">
        <v>0.30833333333333335</v>
      </c>
      <c r="D35" s="1" t="s">
        <v>108</v>
      </c>
      <c r="E35" s="1" t="s">
        <v>141</v>
      </c>
      <c r="F35" s="1" t="s">
        <v>115</v>
      </c>
      <c r="H35" s="1" t="s">
        <v>110</v>
      </c>
      <c r="I35" s="1" t="s">
        <v>106</v>
      </c>
      <c r="J35" s="1">
        <v>5</v>
      </c>
      <c r="K35" s="1">
        <v>5</v>
      </c>
    </row>
    <row r="36" spans="1:11" x14ac:dyDescent="0.25">
      <c r="A36" s="6">
        <v>31</v>
      </c>
      <c r="B36" s="1">
        <v>1</v>
      </c>
      <c r="C36" s="2">
        <v>0.29097222222222224</v>
      </c>
      <c r="D36" s="1" t="s">
        <v>74</v>
      </c>
      <c r="E36" s="1" t="s">
        <v>104</v>
      </c>
      <c r="F36" s="1" t="s">
        <v>120</v>
      </c>
      <c r="G36" s="1" t="s">
        <v>106</v>
      </c>
      <c r="H36" s="1" t="s">
        <v>74</v>
      </c>
      <c r="I36" s="1" t="s">
        <v>106</v>
      </c>
      <c r="J36" s="1">
        <v>5</v>
      </c>
      <c r="K36" s="1">
        <v>5</v>
      </c>
    </row>
    <row r="37" spans="1:11" x14ac:dyDescent="0.25">
      <c r="A37" s="6">
        <v>32</v>
      </c>
      <c r="B37" s="1">
        <v>1</v>
      </c>
      <c r="C37" s="2">
        <v>0.28402777777777777</v>
      </c>
      <c r="D37" s="1" t="s">
        <v>74</v>
      </c>
      <c r="E37" s="1" t="s">
        <v>142</v>
      </c>
      <c r="F37" s="1" t="s">
        <v>122</v>
      </c>
      <c r="G37" s="1" t="s">
        <v>121</v>
      </c>
      <c r="H37" s="1" t="s">
        <v>110</v>
      </c>
      <c r="I37" s="1" t="s">
        <v>106</v>
      </c>
      <c r="J37" s="1">
        <v>5</v>
      </c>
      <c r="K37" s="1">
        <v>5</v>
      </c>
    </row>
    <row r="38" spans="1:11" x14ac:dyDescent="0.25">
      <c r="A38" s="6">
        <v>33</v>
      </c>
      <c r="B38" s="1">
        <v>1</v>
      </c>
      <c r="C38" s="2">
        <v>0.27847222222222223</v>
      </c>
      <c r="D38" s="1" t="s">
        <v>74</v>
      </c>
      <c r="E38" s="1" t="s">
        <v>104</v>
      </c>
      <c r="F38" s="1" t="s">
        <v>120</v>
      </c>
      <c r="G38" s="1" t="s">
        <v>106</v>
      </c>
      <c r="H38" s="1" t="s">
        <v>107</v>
      </c>
      <c r="I38" s="1" t="s">
        <v>106</v>
      </c>
      <c r="J38" s="1">
        <v>5</v>
      </c>
      <c r="K38" s="1">
        <v>5</v>
      </c>
    </row>
    <row r="39" spans="1:11" x14ac:dyDescent="0.25">
      <c r="A39" s="6">
        <v>34</v>
      </c>
      <c r="B39" s="1">
        <v>1</v>
      </c>
      <c r="C39" s="2">
        <v>0.27152777777777776</v>
      </c>
      <c r="D39" s="1" t="s">
        <v>108</v>
      </c>
      <c r="E39" s="1" t="s">
        <v>133</v>
      </c>
      <c r="F39" s="1" t="s">
        <v>143</v>
      </c>
      <c r="H39" s="1" t="s">
        <v>74</v>
      </c>
      <c r="I39" s="1" t="s">
        <v>106</v>
      </c>
      <c r="J39" s="1">
        <v>5</v>
      </c>
      <c r="K39" s="1">
        <v>5</v>
      </c>
    </row>
    <row r="40" spans="1:11" x14ac:dyDescent="0.25">
      <c r="A40" s="6">
        <v>35</v>
      </c>
      <c r="B40" s="1">
        <v>1</v>
      </c>
      <c r="C40" s="2">
        <v>0.26666666666666666</v>
      </c>
      <c r="D40" s="1" t="s">
        <v>108</v>
      </c>
      <c r="E40" s="1" t="s">
        <v>143</v>
      </c>
      <c r="F40" s="1" t="s">
        <v>139</v>
      </c>
      <c r="H40" s="1" t="s">
        <v>107</v>
      </c>
      <c r="I40" s="1" t="s">
        <v>106</v>
      </c>
      <c r="J40" s="1">
        <v>5</v>
      </c>
      <c r="K40" s="1">
        <v>5</v>
      </c>
    </row>
    <row r="41" spans="1:11" x14ac:dyDescent="0.25">
      <c r="A41" s="6">
        <v>36</v>
      </c>
      <c r="B41" s="1">
        <v>1</v>
      </c>
      <c r="C41" s="2">
        <v>0.25833333333333336</v>
      </c>
      <c r="D41" s="1" t="s">
        <v>108</v>
      </c>
      <c r="E41" s="1" t="s">
        <v>123</v>
      </c>
      <c r="F41" s="1" t="s">
        <v>106</v>
      </c>
      <c r="H41" s="1" t="s">
        <v>110</v>
      </c>
      <c r="I41" s="1" t="s">
        <v>106</v>
      </c>
      <c r="J41" s="1">
        <v>5</v>
      </c>
      <c r="K41" s="1">
        <v>5</v>
      </c>
    </row>
    <row r="42" spans="1:11" x14ac:dyDescent="0.25">
      <c r="A42" s="6">
        <v>37</v>
      </c>
      <c r="B42" s="1">
        <v>1</v>
      </c>
      <c r="C42" s="2">
        <v>0.23541666666666669</v>
      </c>
      <c r="D42" s="1" t="s">
        <v>74</v>
      </c>
      <c r="E42" s="1" t="s">
        <v>116</v>
      </c>
      <c r="F42" s="1" t="s">
        <v>105</v>
      </c>
      <c r="G42" s="1" t="s">
        <v>106</v>
      </c>
      <c r="H42" s="1" t="s">
        <v>110</v>
      </c>
      <c r="I42" s="1" t="s">
        <v>106</v>
      </c>
      <c r="J42" s="1">
        <v>5</v>
      </c>
      <c r="K42" s="1">
        <v>5</v>
      </c>
    </row>
    <row r="43" spans="1:11" x14ac:dyDescent="0.25">
      <c r="A43" s="6">
        <v>38</v>
      </c>
      <c r="B43" s="1">
        <v>1</v>
      </c>
      <c r="C43" s="2">
        <v>0.18263888888888891</v>
      </c>
      <c r="D43" s="1" t="s">
        <v>74</v>
      </c>
      <c r="E43" s="1" t="s">
        <v>127</v>
      </c>
      <c r="F43" s="1" t="s">
        <v>144</v>
      </c>
      <c r="G43" s="1" t="s">
        <v>106</v>
      </c>
      <c r="H43" s="1" t="s">
        <v>110</v>
      </c>
      <c r="I43" s="1" t="s">
        <v>106</v>
      </c>
      <c r="J43" s="1">
        <v>5</v>
      </c>
      <c r="K43" s="1">
        <v>5</v>
      </c>
    </row>
    <row r="44" spans="1:11" x14ac:dyDescent="0.25">
      <c r="A44" s="6">
        <v>39</v>
      </c>
      <c r="B44" s="1">
        <v>1</v>
      </c>
      <c r="C44" s="2">
        <v>0.16666666666666666</v>
      </c>
      <c r="D44" s="1" t="s">
        <v>108</v>
      </c>
      <c r="E44" s="1" t="s">
        <v>111</v>
      </c>
      <c r="F44" s="1" t="s">
        <v>106</v>
      </c>
      <c r="H44" s="1" t="s">
        <v>107</v>
      </c>
      <c r="I44" s="1" t="s">
        <v>106</v>
      </c>
      <c r="J44" s="1">
        <v>5</v>
      </c>
      <c r="K44" s="1">
        <v>5</v>
      </c>
    </row>
    <row r="45" spans="1:11" x14ac:dyDescent="0.25">
      <c r="A45" s="6">
        <v>40</v>
      </c>
      <c r="B45" s="1">
        <v>1</v>
      </c>
      <c r="C45" s="2">
        <v>0.15277777777777776</v>
      </c>
      <c r="D45" s="1" t="s">
        <v>74</v>
      </c>
      <c r="E45" s="1" t="s">
        <v>114</v>
      </c>
      <c r="F45" s="1" t="s">
        <v>122</v>
      </c>
      <c r="G45" s="1" t="s">
        <v>106</v>
      </c>
      <c r="H45" s="1" t="s">
        <v>110</v>
      </c>
      <c r="I45" s="1" t="s">
        <v>106</v>
      </c>
      <c r="J45" s="1">
        <v>5</v>
      </c>
      <c r="K45" s="1">
        <v>5</v>
      </c>
    </row>
    <row r="46" spans="1:11" x14ac:dyDescent="0.25">
      <c r="A46" s="6">
        <v>41</v>
      </c>
      <c r="B46" s="1">
        <v>1</v>
      </c>
      <c r="C46" s="2">
        <v>0.1423611111111111</v>
      </c>
      <c r="D46" s="1" t="s">
        <v>74</v>
      </c>
      <c r="E46" s="1" t="s">
        <v>133</v>
      </c>
      <c r="F46" s="1" t="s">
        <v>125</v>
      </c>
      <c r="G46" s="1" t="s">
        <v>121</v>
      </c>
      <c r="H46" s="1" t="s">
        <v>74</v>
      </c>
      <c r="I46" s="1" t="s">
        <v>106</v>
      </c>
      <c r="J46" s="1">
        <v>5</v>
      </c>
      <c r="K46" s="1">
        <v>5</v>
      </c>
    </row>
    <row r="47" spans="1:11" x14ac:dyDescent="0.25">
      <c r="A47" s="6">
        <v>42</v>
      </c>
      <c r="B47" s="1">
        <v>1</v>
      </c>
      <c r="C47" s="2">
        <v>0.13333333333333333</v>
      </c>
      <c r="D47" s="1" t="s">
        <v>74</v>
      </c>
      <c r="E47" s="1" t="s">
        <v>133</v>
      </c>
      <c r="F47" s="1" t="s">
        <v>125</v>
      </c>
      <c r="G47" s="1" t="s">
        <v>106</v>
      </c>
      <c r="H47" s="1" t="s">
        <v>107</v>
      </c>
      <c r="I47" s="1" t="s">
        <v>106</v>
      </c>
      <c r="J47" s="1">
        <v>5</v>
      </c>
      <c r="K47" s="1">
        <v>5</v>
      </c>
    </row>
    <row r="48" spans="1:11" x14ac:dyDescent="0.25">
      <c r="A48" s="6">
        <v>43</v>
      </c>
      <c r="B48" s="1">
        <v>1</v>
      </c>
      <c r="C48" s="2">
        <v>0.1111111111111111</v>
      </c>
      <c r="D48" s="1" t="s">
        <v>74</v>
      </c>
      <c r="E48" s="1" t="s">
        <v>145</v>
      </c>
      <c r="F48" s="1" t="s">
        <v>113</v>
      </c>
      <c r="G48" s="1" t="s">
        <v>121</v>
      </c>
      <c r="H48" s="1" t="s">
        <v>74</v>
      </c>
      <c r="I48" s="1" t="s">
        <v>106</v>
      </c>
      <c r="J48" s="1">
        <v>5</v>
      </c>
      <c r="K48" s="1">
        <v>5</v>
      </c>
    </row>
    <row r="49" spans="1:11" x14ac:dyDescent="0.25">
      <c r="A49" s="6">
        <v>44</v>
      </c>
      <c r="B49" s="1">
        <v>1</v>
      </c>
      <c r="C49" s="2">
        <v>9.7222222222222224E-2</v>
      </c>
      <c r="D49" s="1" t="s">
        <v>108</v>
      </c>
      <c r="E49" s="1" t="s">
        <v>131</v>
      </c>
      <c r="F49" s="1" t="s">
        <v>106</v>
      </c>
      <c r="H49" s="1" t="s">
        <v>110</v>
      </c>
      <c r="I49" s="1" t="s">
        <v>106</v>
      </c>
      <c r="J49" s="1">
        <v>5</v>
      </c>
      <c r="K49" s="1">
        <v>5</v>
      </c>
    </row>
    <row r="50" spans="1:11" x14ac:dyDescent="0.25">
      <c r="A50" s="6">
        <v>45</v>
      </c>
      <c r="B50" s="1">
        <v>1</v>
      </c>
      <c r="C50" s="2">
        <v>4.4444444444444446E-2</v>
      </c>
      <c r="D50" s="1" t="s">
        <v>74</v>
      </c>
      <c r="E50" s="1" t="s">
        <v>140</v>
      </c>
      <c r="F50" s="1" t="s">
        <v>105</v>
      </c>
      <c r="G50" s="1" t="s">
        <v>106</v>
      </c>
      <c r="H50" s="1" t="s">
        <v>74</v>
      </c>
      <c r="I50" s="1" t="s">
        <v>106</v>
      </c>
      <c r="J50" s="1">
        <v>5</v>
      </c>
      <c r="K50" s="1">
        <v>5</v>
      </c>
    </row>
    <row r="51" spans="1:11" x14ac:dyDescent="0.25">
      <c r="A51" s="6">
        <v>46</v>
      </c>
      <c r="B51" s="1">
        <v>1</v>
      </c>
      <c r="C51" s="2">
        <v>3.888888888888889E-2</v>
      </c>
      <c r="D51" s="1" t="s">
        <v>137</v>
      </c>
      <c r="E51" s="1" t="s">
        <v>142</v>
      </c>
      <c r="F51" s="1" t="s">
        <v>127</v>
      </c>
      <c r="H51" s="1" t="s">
        <v>107</v>
      </c>
      <c r="I51" s="1" t="s">
        <v>106</v>
      </c>
      <c r="J51" s="1">
        <v>5</v>
      </c>
      <c r="K51" s="1">
        <v>5</v>
      </c>
    </row>
    <row r="52" spans="1:11" x14ac:dyDescent="0.25">
      <c r="A52" s="6">
        <v>47</v>
      </c>
      <c r="B52" s="1">
        <v>1</v>
      </c>
      <c r="C52" s="2">
        <v>3.6805555555555557E-2</v>
      </c>
      <c r="D52" s="1" t="s">
        <v>108</v>
      </c>
      <c r="E52" s="1" t="s">
        <v>111</v>
      </c>
      <c r="F52" s="1" t="s">
        <v>105</v>
      </c>
      <c r="H52" s="1" t="s">
        <v>107</v>
      </c>
      <c r="I52" s="1" t="s">
        <v>106</v>
      </c>
      <c r="J52" s="1">
        <v>5</v>
      </c>
      <c r="K52" s="1">
        <v>5</v>
      </c>
    </row>
    <row r="53" spans="1:11" x14ac:dyDescent="0.25">
      <c r="A53" s="6">
        <v>48</v>
      </c>
      <c r="B53" s="1">
        <v>1</v>
      </c>
      <c r="C53" s="2">
        <v>1.6666666666666666E-2</v>
      </c>
      <c r="D53" s="1" t="s">
        <v>108</v>
      </c>
      <c r="E53" s="1" t="s">
        <v>143</v>
      </c>
      <c r="F53" s="1" t="s">
        <v>104</v>
      </c>
      <c r="H53" s="1" t="s">
        <v>74</v>
      </c>
      <c r="I53" s="1" t="s">
        <v>106</v>
      </c>
      <c r="J53" s="1">
        <v>5</v>
      </c>
      <c r="K53" s="1">
        <v>5</v>
      </c>
    </row>
    <row r="54" spans="1:11" x14ac:dyDescent="0.25">
      <c r="A54" s="6">
        <v>49</v>
      </c>
      <c r="B54" s="1">
        <v>1</v>
      </c>
      <c r="C54" s="2">
        <v>9.0277777777777787E-3</v>
      </c>
      <c r="D54" s="1" t="s">
        <v>108</v>
      </c>
      <c r="E54" s="1" t="s">
        <v>126</v>
      </c>
      <c r="F54" s="1" t="s">
        <v>106</v>
      </c>
      <c r="H54" s="1" t="s">
        <v>110</v>
      </c>
      <c r="I54" s="1" t="s">
        <v>106</v>
      </c>
      <c r="J54" s="1">
        <v>5</v>
      </c>
      <c r="K54" s="1">
        <v>5</v>
      </c>
    </row>
    <row r="55" spans="1:11" x14ac:dyDescent="0.25">
      <c r="A55" s="6">
        <v>50</v>
      </c>
      <c r="B55" s="1">
        <v>2</v>
      </c>
      <c r="C55" s="2">
        <v>0.82847222222222217</v>
      </c>
      <c r="D55" s="1" t="s">
        <v>74</v>
      </c>
      <c r="E55" s="1" t="s">
        <v>145</v>
      </c>
      <c r="F55" s="1" t="s">
        <v>139</v>
      </c>
      <c r="G55" s="1" t="s">
        <v>106</v>
      </c>
      <c r="H55" s="1" t="s">
        <v>74</v>
      </c>
      <c r="I55" s="1" t="s">
        <v>106</v>
      </c>
      <c r="J55" s="1">
        <v>5</v>
      </c>
      <c r="K55" s="1">
        <v>5</v>
      </c>
    </row>
    <row r="56" spans="1:11" x14ac:dyDescent="0.25">
      <c r="A56" s="6">
        <v>51</v>
      </c>
      <c r="B56" s="1">
        <v>2</v>
      </c>
      <c r="C56" s="2">
        <v>0.8125</v>
      </c>
      <c r="D56" s="1" t="s">
        <v>74</v>
      </c>
      <c r="E56" s="1" t="s">
        <v>119</v>
      </c>
      <c r="F56" s="1" t="s">
        <v>105</v>
      </c>
      <c r="G56" s="1" t="s">
        <v>121</v>
      </c>
      <c r="H56" s="1" t="s">
        <v>74</v>
      </c>
      <c r="I56" s="1" t="s">
        <v>106</v>
      </c>
      <c r="J56" s="1">
        <v>5</v>
      </c>
      <c r="K56" s="1">
        <v>5</v>
      </c>
    </row>
    <row r="57" spans="1:11" x14ac:dyDescent="0.25">
      <c r="A57" s="6">
        <v>52</v>
      </c>
      <c r="B57" s="1">
        <v>2</v>
      </c>
      <c r="C57" s="2">
        <v>0.79652777777777783</v>
      </c>
      <c r="D57" s="1" t="s">
        <v>74</v>
      </c>
      <c r="E57" s="1" t="s">
        <v>132</v>
      </c>
      <c r="F57" s="1" t="s">
        <v>115</v>
      </c>
      <c r="G57" s="1" t="s">
        <v>121</v>
      </c>
      <c r="H57" s="1" t="s">
        <v>74</v>
      </c>
      <c r="I57" s="1" t="s">
        <v>106</v>
      </c>
      <c r="J57" s="1">
        <v>5</v>
      </c>
      <c r="K57" s="1">
        <v>5</v>
      </c>
    </row>
    <row r="58" spans="1:11" x14ac:dyDescent="0.25">
      <c r="A58" s="6">
        <v>53</v>
      </c>
      <c r="B58" s="1">
        <v>2</v>
      </c>
      <c r="C58" s="2">
        <v>0.77083333333333337</v>
      </c>
      <c r="D58" s="1" t="s">
        <v>108</v>
      </c>
      <c r="E58" s="1" t="s">
        <v>123</v>
      </c>
      <c r="F58" s="1" t="s">
        <v>143</v>
      </c>
      <c r="H58" s="1" t="s">
        <v>74</v>
      </c>
      <c r="I58" s="1" t="s">
        <v>133</v>
      </c>
      <c r="J58" s="1">
        <v>5</v>
      </c>
      <c r="K58" s="1">
        <v>5</v>
      </c>
    </row>
    <row r="59" spans="1:11" x14ac:dyDescent="0.25">
      <c r="A59" s="6">
        <v>54</v>
      </c>
      <c r="B59" s="1">
        <v>2</v>
      </c>
      <c r="C59" s="2">
        <v>0.7583333333333333</v>
      </c>
      <c r="D59" s="1" t="s">
        <v>108</v>
      </c>
      <c r="E59" s="1" t="s">
        <v>120</v>
      </c>
      <c r="F59" s="1" t="s">
        <v>113</v>
      </c>
      <c r="H59" s="1" t="s">
        <v>107</v>
      </c>
      <c r="I59" s="1" t="s">
        <v>106</v>
      </c>
      <c r="J59" s="1">
        <v>5</v>
      </c>
      <c r="K59" s="1">
        <v>5</v>
      </c>
    </row>
    <row r="60" spans="1:11" x14ac:dyDescent="0.25">
      <c r="A60" s="6">
        <v>55</v>
      </c>
      <c r="B60" s="1">
        <v>2</v>
      </c>
      <c r="C60" s="2">
        <v>0.73541666666666661</v>
      </c>
      <c r="D60" s="1" t="s">
        <v>74</v>
      </c>
      <c r="E60" s="1" t="s">
        <v>114</v>
      </c>
      <c r="F60" s="1" t="s">
        <v>122</v>
      </c>
      <c r="G60" s="1" t="s">
        <v>106</v>
      </c>
      <c r="H60" s="1" t="s">
        <v>74</v>
      </c>
      <c r="I60" s="1" t="s">
        <v>106</v>
      </c>
      <c r="J60" s="1">
        <v>5</v>
      </c>
      <c r="K60" s="1">
        <v>5</v>
      </c>
    </row>
    <row r="61" spans="1:11" x14ac:dyDescent="0.25">
      <c r="A61" s="6">
        <v>56</v>
      </c>
      <c r="B61" s="1">
        <v>2</v>
      </c>
      <c r="C61" s="2">
        <v>0.72083333333333333</v>
      </c>
      <c r="D61" s="1" t="s">
        <v>74</v>
      </c>
      <c r="E61" s="1" t="s">
        <v>117</v>
      </c>
      <c r="F61" s="1" t="s">
        <v>115</v>
      </c>
      <c r="G61" s="1" t="s">
        <v>121</v>
      </c>
      <c r="H61" s="1" t="s">
        <v>110</v>
      </c>
      <c r="I61" s="1" t="s">
        <v>106</v>
      </c>
      <c r="J61" s="1">
        <v>5</v>
      </c>
      <c r="K61" s="1">
        <v>5</v>
      </c>
    </row>
    <row r="62" spans="1:11" x14ac:dyDescent="0.25">
      <c r="A62" s="6">
        <v>57</v>
      </c>
      <c r="B62" s="1">
        <v>2</v>
      </c>
      <c r="C62" s="2">
        <v>0.71180555555555547</v>
      </c>
      <c r="D62" s="1" t="s">
        <v>134</v>
      </c>
      <c r="E62" s="1" t="s">
        <v>135</v>
      </c>
      <c r="I62" s="1" t="s">
        <v>106</v>
      </c>
      <c r="J62" s="1">
        <v>5</v>
      </c>
      <c r="K62" s="1">
        <v>5</v>
      </c>
    </row>
    <row r="63" spans="1:11" x14ac:dyDescent="0.25">
      <c r="A63" s="6">
        <v>58</v>
      </c>
      <c r="B63" s="1">
        <v>2</v>
      </c>
      <c r="C63" s="2">
        <v>0.68333333333333324</v>
      </c>
      <c r="D63" s="1" t="s">
        <v>108</v>
      </c>
      <c r="E63" s="1" t="s">
        <v>145</v>
      </c>
      <c r="F63" s="1" t="s">
        <v>106</v>
      </c>
      <c r="H63" s="1" t="s">
        <v>110</v>
      </c>
      <c r="I63" s="1" t="s">
        <v>141</v>
      </c>
      <c r="J63" s="1">
        <v>5</v>
      </c>
      <c r="K63" s="1">
        <v>5</v>
      </c>
    </row>
    <row r="64" spans="1:11" x14ac:dyDescent="0.25">
      <c r="A64" s="6">
        <v>59</v>
      </c>
      <c r="B64" s="1">
        <v>2</v>
      </c>
      <c r="C64" s="2">
        <v>0.67013888888888884</v>
      </c>
      <c r="D64" s="1" t="s">
        <v>74</v>
      </c>
      <c r="E64" s="1" t="s">
        <v>104</v>
      </c>
      <c r="F64" s="1" t="s">
        <v>144</v>
      </c>
      <c r="G64" s="1" t="s">
        <v>106</v>
      </c>
      <c r="H64" s="1" t="s">
        <v>107</v>
      </c>
      <c r="I64" s="1" t="s">
        <v>106</v>
      </c>
      <c r="J64" s="1">
        <v>5</v>
      </c>
      <c r="K64" s="1">
        <v>5</v>
      </c>
    </row>
    <row r="65" spans="1:11" x14ac:dyDescent="0.25">
      <c r="A65" s="6">
        <v>60</v>
      </c>
      <c r="B65" s="1">
        <v>2</v>
      </c>
      <c r="C65" s="2">
        <v>0.65138888888888891</v>
      </c>
      <c r="D65" s="1" t="s">
        <v>74</v>
      </c>
      <c r="E65" s="1" t="s">
        <v>140</v>
      </c>
      <c r="F65" s="1" t="s">
        <v>120</v>
      </c>
      <c r="G65" s="1" t="s">
        <v>121</v>
      </c>
      <c r="H65" s="1" t="s">
        <v>110</v>
      </c>
      <c r="I65" s="1" t="s">
        <v>106</v>
      </c>
      <c r="J65" s="1">
        <v>5</v>
      </c>
      <c r="K65" s="1">
        <v>5</v>
      </c>
    </row>
    <row r="66" spans="1:11" x14ac:dyDescent="0.25">
      <c r="A66" s="6">
        <v>61</v>
      </c>
      <c r="B66" s="1">
        <v>2</v>
      </c>
      <c r="C66" s="2">
        <v>0.63124999999999998</v>
      </c>
      <c r="D66" s="1" t="s">
        <v>74</v>
      </c>
      <c r="E66" s="1" t="s">
        <v>123</v>
      </c>
      <c r="F66" s="1" t="s">
        <v>120</v>
      </c>
      <c r="G66" s="1" t="s">
        <v>106</v>
      </c>
      <c r="H66" s="1" t="s">
        <v>110</v>
      </c>
      <c r="I66" s="1" t="s">
        <v>106</v>
      </c>
      <c r="J66" s="1">
        <v>5</v>
      </c>
      <c r="K66" s="1">
        <v>5</v>
      </c>
    </row>
    <row r="67" spans="1:11" x14ac:dyDescent="0.25">
      <c r="A67" s="6">
        <v>62</v>
      </c>
      <c r="B67" s="1">
        <v>2</v>
      </c>
      <c r="C67" s="2">
        <v>0.61111111111111105</v>
      </c>
      <c r="D67" s="1" t="s">
        <v>108</v>
      </c>
      <c r="E67" s="1" t="s">
        <v>124</v>
      </c>
      <c r="F67" s="1" t="s">
        <v>106</v>
      </c>
      <c r="H67" s="1" t="s">
        <v>107</v>
      </c>
      <c r="I67" s="1" t="s">
        <v>106</v>
      </c>
      <c r="J67" s="1">
        <v>5</v>
      </c>
      <c r="K67" s="1">
        <v>5</v>
      </c>
    </row>
    <row r="68" spans="1:11" x14ac:dyDescent="0.25">
      <c r="A68" s="6">
        <v>63</v>
      </c>
      <c r="B68" s="1">
        <v>2</v>
      </c>
      <c r="C68" s="2">
        <v>0.60347222222222219</v>
      </c>
      <c r="D68" s="1" t="s">
        <v>74</v>
      </c>
      <c r="E68" s="1" t="s">
        <v>119</v>
      </c>
      <c r="F68" s="1" t="s">
        <v>124</v>
      </c>
      <c r="G68" s="1" t="s">
        <v>106</v>
      </c>
      <c r="H68" s="1" t="s">
        <v>74</v>
      </c>
      <c r="I68" s="1" t="s">
        <v>106</v>
      </c>
      <c r="J68" s="1">
        <v>5</v>
      </c>
      <c r="K68" s="1">
        <v>5</v>
      </c>
    </row>
    <row r="69" spans="1:11" x14ac:dyDescent="0.25">
      <c r="A69" s="6">
        <v>64</v>
      </c>
      <c r="B69" s="1">
        <v>2</v>
      </c>
      <c r="C69" s="2">
        <v>0.58611111111111114</v>
      </c>
      <c r="D69" s="1" t="s">
        <v>108</v>
      </c>
      <c r="E69" s="1" t="s">
        <v>114</v>
      </c>
      <c r="F69" s="1" t="s">
        <v>115</v>
      </c>
      <c r="H69" s="1" t="s">
        <v>74</v>
      </c>
      <c r="I69" s="1" t="s">
        <v>106</v>
      </c>
      <c r="J69" s="1">
        <v>5</v>
      </c>
      <c r="K69" s="1">
        <v>5</v>
      </c>
    </row>
    <row r="70" spans="1:11" x14ac:dyDescent="0.25">
      <c r="A70" s="6">
        <v>65</v>
      </c>
      <c r="B70" s="1">
        <v>2</v>
      </c>
      <c r="C70" s="2">
        <v>0.56944444444444442</v>
      </c>
      <c r="D70" s="1" t="s">
        <v>108</v>
      </c>
      <c r="E70" s="1" t="s">
        <v>146</v>
      </c>
      <c r="F70" s="1" t="s">
        <v>120</v>
      </c>
      <c r="H70" s="1" t="s">
        <v>74</v>
      </c>
      <c r="I70" s="1" t="s">
        <v>106</v>
      </c>
      <c r="J70" s="1">
        <v>5</v>
      </c>
      <c r="K70" s="1">
        <v>5</v>
      </c>
    </row>
    <row r="71" spans="1:11" x14ac:dyDescent="0.25">
      <c r="A71" s="6">
        <v>66</v>
      </c>
      <c r="B71" s="1">
        <v>2</v>
      </c>
      <c r="C71" s="2">
        <v>0.5625</v>
      </c>
      <c r="D71" s="1" t="s">
        <v>108</v>
      </c>
      <c r="E71" s="1" t="s">
        <v>146</v>
      </c>
      <c r="F71" s="1" t="s">
        <v>126</v>
      </c>
      <c r="H71" s="1" t="s">
        <v>74</v>
      </c>
      <c r="I71" s="1" t="s">
        <v>106</v>
      </c>
      <c r="J71" s="1">
        <v>5</v>
      </c>
      <c r="K71" s="1">
        <v>5</v>
      </c>
    </row>
    <row r="72" spans="1:11" x14ac:dyDescent="0.25">
      <c r="A72" s="6">
        <v>67</v>
      </c>
      <c r="B72" s="1">
        <v>2</v>
      </c>
      <c r="C72" s="2">
        <v>0.55347222222222225</v>
      </c>
      <c r="D72" s="1" t="s">
        <v>108</v>
      </c>
      <c r="E72" s="1" t="s">
        <v>126</v>
      </c>
      <c r="F72" s="1" t="s">
        <v>113</v>
      </c>
      <c r="H72" s="1" t="s">
        <v>107</v>
      </c>
      <c r="I72" s="1" t="s">
        <v>145</v>
      </c>
      <c r="J72" s="1">
        <v>5</v>
      </c>
      <c r="K72" s="1">
        <v>5</v>
      </c>
    </row>
    <row r="73" spans="1:11" x14ac:dyDescent="0.25">
      <c r="A73" s="6">
        <v>68</v>
      </c>
      <c r="B73" s="1">
        <v>2</v>
      </c>
      <c r="C73" s="2">
        <v>0.53194444444444444</v>
      </c>
      <c r="D73" s="1" t="s">
        <v>74</v>
      </c>
      <c r="E73" s="1" t="s">
        <v>133</v>
      </c>
      <c r="F73" s="1" t="s">
        <v>141</v>
      </c>
      <c r="G73" s="1" t="s">
        <v>106</v>
      </c>
      <c r="H73" s="1" t="s">
        <v>74</v>
      </c>
      <c r="I73" s="1" t="s">
        <v>106</v>
      </c>
      <c r="J73" s="1">
        <v>5</v>
      </c>
      <c r="K73" s="1">
        <v>5</v>
      </c>
    </row>
    <row r="74" spans="1:11" x14ac:dyDescent="0.25">
      <c r="A74" s="6">
        <v>69</v>
      </c>
      <c r="B74" s="1">
        <v>2</v>
      </c>
      <c r="C74" s="2">
        <v>0.51666666666666672</v>
      </c>
      <c r="D74" s="1" t="s">
        <v>108</v>
      </c>
      <c r="E74" s="1" t="s">
        <v>128</v>
      </c>
      <c r="F74" s="1" t="s">
        <v>136</v>
      </c>
      <c r="H74" s="1" t="s">
        <v>74</v>
      </c>
      <c r="I74" s="1" t="s">
        <v>147</v>
      </c>
      <c r="J74" s="1">
        <v>5</v>
      </c>
      <c r="K74" s="1">
        <v>5</v>
      </c>
    </row>
    <row r="75" spans="1:11" x14ac:dyDescent="0.25">
      <c r="A75" s="6">
        <v>70</v>
      </c>
      <c r="B75" s="1">
        <v>2</v>
      </c>
      <c r="C75" s="2">
        <v>0.49861111111111112</v>
      </c>
      <c r="D75" s="1" t="s">
        <v>108</v>
      </c>
      <c r="E75" s="1" t="s">
        <v>125</v>
      </c>
      <c r="F75" s="1" t="s">
        <v>106</v>
      </c>
      <c r="H75" s="1" t="s">
        <v>110</v>
      </c>
      <c r="I75" s="1" t="s">
        <v>106</v>
      </c>
      <c r="J75" s="1">
        <v>5</v>
      </c>
      <c r="K75" s="1">
        <v>5</v>
      </c>
    </row>
    <row r="76" spans="1:11" x14ac:dyDescent="0.25">
      <c r="A76" s="6">
        <v>71</v>
      </c>
      <c r="B76" s="1">
        <v>2</v>
      </c>
      <c r="C76" s="2">
        <v>0.49236111111111108</v>
      </c>
      <c r="D76" s="1" t="s">
        <v>74</v>
      </c>
      <c r="E76" s="1" t="s">
        <v>128</v>
      </c>
      <c r="F76" s="1" t="s">
        <v>124</v>
      </c>
      <c r="G76" s="1" t="s">
        <v>106</v>
      </c>
      <c r="H76" s="1" t="s">
        <v>110</v>
      </c>
      <c r="I76" s="1" t="s">
        <v>106</v>
      </c>
      <c r="J76" s="1">
        <v>5</v>
      </c>
      <c r="K76" s="1">
        <v>5</v>
      </c>
    </row>
    <row r="77" spans="1:11" x14ac:dyDescent="0.25">
      <c r="A77" s="6">
        <v>72</v>
      </c>
      <c r="B77" s="1">
        <v>2</v>
      </c>
      <c r="C77" s="2">
        <v>0.47916666666666669</v>
      </c>
      <c r="D77" s="1" t="s">
        <v>74</v>
      </c>
      <c r="E77" s="1" t="s">
        <v>113</v>
      </c>
      <c r="F77" s="1" t="s">
        <v>120</v>
      </c>
      <c r="G77" s="1" t="s">
        <v>121</v>
      </c>
      <c r="H77" s="1" t="s">
        <v>74</v>
      </c>
      <c r="I77" s="1" t="s">
        <v>106</v>
      </c>
      <c r="J77" s="1">
        <v>5</v>
      </c>
      <c r="K77" s="1">
        <v>4</v>
      </c>
    </row>
    <row r="78" spans="1:11" x14ac:dyDescent="0.25">
      <c r="A78" s="6">
        <v>73</v>
      </c>
      <c r="B78" s="1">
        <v>2</v>
      </c>
      <c r="C78" s="2">
        <v>0.46111111111111108</v>
      </c>
      <c r="D78" s="1" t="s">
        <v>74</v>
      </c>
      <c r="E78" s="1" t="s">
        <v>109</v>
      </c>
      <c r="F78" s="1" t="s">
        <v>124</v>
      </c>
      <c r="G78" s="1" t="s">
        <v>106</v>
      </c>
      <c r="H78" s="1" t="s">
        <v>74</v>
      </c>
      <c r="I78" s="1" t="s">
        <v>106</v>
      </c>
      <c r="J78" s="1">
        <v>5</v>
      </c>
      <c r="K78" s="1">
        <v>4</v>
      </c>
    </row>
    <row r="79" spans="1:11" x14ac:dyDescent="0.25">
      <c r="A79" s="6">
        <v>74</v>
      </c>
      <c r="B79" s="1">
        <v>2</v>
      </c>
      <c r="C79" s="2">
        <v>0.43541666666666662</v>
      </c>
      <c r="D79" s="1" t="s">
        <v>74</v>
      </c>
      <c r="E79" s="1" t="s">
        <v>111</v>
      </c>
      <c r="F79" s="1" t="s">
        <v>144</v>
      </c>
      <c r="G79" s="1" t="s">
        <v>121</v>
      </c>
      <c r="H79" s="1" t="s">
        <v>107</v>
      </c>
      <c r="I79" s="1" t="s">
        <v>106</v>
      </c>
      <c r="J79" s="1">
        <v>5</v>
      </c>
      <c r="K79" s="1">
        <v>4</v>
      </c>
    </row>
    <row r="80" spans="1:11" x14ac:dyDescent="0.25">
      <c r="A80" s="6">
        <v>75</v>
      </c>
      <c r="B80" s="1">
        <v>2</v>
      </c>
      <c r="C80" s="2">
        <v>0.40902777777777777</v>
      </c>
      <c r="D80" s="1" t="s">
        <v>74</v>
      </c>
      <c r="E80" s="1" t="s">
        <v>132</v>
      </c>
      <c r="F80" s="1" t="s">
        <v>139</v>
      </c>
      <c r="G80" s="1" t="s">
        <v>121</v>
      </c>
      <c r="H80" s="1" t="s">
        <v>107</v>
      </c>
      <c r="I80" s="1" t="s">
        <v>106</v>
      </c>
      <c r="J80" s="1">
        <v>5</v>
      </c>
      <c r="K80" s="1">
        <v>5</v>
      </c>
    </row>
    <row r="81" spans="1:11" x14ac:dyDescent="0.25">
      <c r="A81" s="6">
        <v>76</v>
      </c>
      <c r="B81" s="1">
        <v>2</v>
      </c>
      <c r="C81" s="2">
        <v>0.38541666666666669</v>
      </c>
      <c r="D81" s="1" t="s">
        <v>108</v>
      </c>
      <c r="E81" s="1" t="s">
        <v>132</v>
      </c>
      <c r="F81" s="1" t="s">
        <v>130</v>
      </c>
      <c r="H81" s="1" t="s">
        <v>110</v>
      </c>
      <c r="I81" s="1" t="s">
        <v>132</v>
      </c>
      <c r="J81" s="1">
        <v>5</v>
      </c>
      <c r="K81" s="1">
        <v>5</v>
      </c>
    </row>
    <row r="82" spans="1:11" x14ac:dyDescent="0.25">
      <c r="A82" s="6">
        <v>77</v>
      </c>
      <c r="B82" s="1">
        <v>2</v>
      </c>
      <c r="C82" s="2">
        <v>0.37222222222222223</v>
      </c>
      <c r="D82" s="1" t="s">
        <v>74</v>
      </c>
      <c r="E82" s="1" t="s">
        <v>128</v>
      </c>
      <c r="F82" s="1" t="s">
        <v>125</v>
      </c>
      <c r="G82" s="1" t="s">
        <v>106</v>
      </c>
      <c r="H82" s="1" t="s">
        <v>110</v>
      </c>
      <c r="I82" s="1" t="s">
        <v>106</v>
      </c>
      <c r="J82" s="1">
        <v>5</v>
      </c>
      <c r="K82" s="1">
        <v>5</v>
      </c>
    </row>
    <row r="83" spans="1:11" x14ac:dyDescent="0.25">
      <c r="A83" s="6">
        <v>78</v>
      </c>
      <c r="B83" s="1">
        <v>2</v>
      </c>
      <c r="C83" s="2">
        <v>0.36458333333333331</v>
      </c>
      <c r="D83" s="1" t="s">
        <v>108</v>
      </c>
      <c r="E83" s="1" t="s">
        <v>122</v>
      </c>
      <c r="F83" s="1" t="s">
        <v>105</v>
      </c>
      <c r="H83" s="1" t="s">
        <v>107</v>
      </c>
      <c r="I83" s="1" t="s">
        <v>106</v>
      </c>
      <c r="J83" s="1">
        <v>5</v>
      </c>
      <c r="K83" s="1">
        <v>5</v>
      </c>
    </row>
    <row r="84" spans="1:11" x14ac:dyDescent="0.25">
      <c r="A84" s="6">
        <v>79</v>
      </c>
      <c r="B84" s="1">
        <v>2</v>
      </c>
      <c r="C84" s="2">
        <v>0.35625000000000001</v>
      </c>
      <c r="D84" s="1" t="s">
        <v>108</v>
      </c>
      <c r="E84" s="1" t="s">
        <v>114</v>
      </c>
      <c r="F84" s="1" t="s">
        <v>106</v>
      </c>
      <c r="H84" s="1" t="s">
        <v>110</v>
      </c>
      <c r="I84" s="1" t="s">
        <v>106</v>
      </c>
      <c r="J84" s="1">
        <v>5</v>
      </c>
      <c r="K84" s="1">
        <v>5</v>
      </c>
    </row>
    <row r="85" spans="1:11" x14ac:dyDescent="0.25">
      <c r="A85" s="6">
        <v>80</v>
      </c>
      <c r="B85" s="1">
        <v>2</v>
      </c>
      <c r="C85" s="2">
        <v>0.34791666666666665</v>
      </c>
      <c r="D85" s="1" t="s">
        <v>74</v>
      </c>
      <c r="E85" s="1" t="s">
        <v>142</v>
      </c>
      <c r="F85" s="1" t="s">
        <v>115</v>
      </c>
      <c r="G85" s="1" t="s">
        <v>106</v>
      </c>
      <c r="H85" s="1" t="s">
        <v>74</v>
      </c>
      <c r="I85" s="1" t="s">
        <v>106</v>
      </c>
      <c r="J85" s="1">
        <v>5</v>
      </c>
      <c r="K85" s="1">
        <v>5</v>
      </c>
    </row>
    <row r="86" spans="1:11" x14ac:dyDescent="0.25">
      <c r="A86" s="6">
        <v>81</v>
      </c>
      <c r="B86" s="1">
        <v>2</v>
      </c>
      <c r="C86" s="2">
        <v>0.33749999999999997</v>
      </c>
      <c r="D86" s="1" t="s">
        <v>108</v>
      </c>
      <c r="E86" s="1" t="s">
        <v>133</v>
      </c>
      <c r="F86" s="1" t="s">
        <v>144</v>
      </c>
      <c r="H86" s="1" t="s">
        <v>110</v>
      </c>
      <c r="I86" s="1" t="s">
        <v>106</v>
      </c>
      <c r="J86" s="1">
        <v>5</v>
      </c>
      <c r="K86" s="1">
        <v>5</v>
      </c>
    </row>
    <row r="87" spans="1:11" x14ac:dyDescent="0.25">
      <c r="A87" s="6">
        <v>82</v>
      </c>
      <c r="B87" s="1">
        <v>2</v>
      </c>
      <c r="C87" s="2">
        <v>0.33333333333333331</v>
      </c>
      <c r="D87" s="1" t="s">
        <v>74</v>
      </c>
      <c r="E87" s="1" t="s">
        <v>117</v>
      </c>
      <c r="F87" s="1" t="s">
        <v>106</v>
      </c>
      <c r="G87" s="1" t="s">
        <v>106</v>
      </c>
      <c r="H87" s="1" t="s">
        <v>107</v>
      </c>
      <c r="I87" s="1" t="s">
        <v>106</v>
      </c>
      <c r="J87" s="1">
        <v>5</v>
      </c>
      <c r="K87" s="1">
        <v>5</v>
      </c>
    </row>
    <row r="88" spans="1:11" x14ac:dyDescent="0.25">
      <c r="A88" s="6">
        <v>83</v>
      </c>
      <c r="B88" s="1">
        <v>2</v>
      </c>
      <c r="C88" s="2">
        <v>0.30555555555555552</v>
      </c>
      <c r="D88" s="1" t="s">
        <v>74</v>
      </c>
      <c r="E88" s="1" t="s">
        <v>128</v>
      </c>
      <c r="F88" s="1" t="s">
        <v>106</v>
      </c>
      <c r="G88" s="1" t="s">
        <v>106</v>
      </c>
      <c r="H88" s="1" t="s">
        <v>74</v>
      </c>
      <c r="I88" s="1" t="s">
        <v>106</v>
      </c>
      <c r="J88" s="1">
        <v>4</v>
      </c>
      <c r="K88" s="1">
        <v>5</v>
      </c>
    </row>
    <row r="89" spans="1:11" x14ac:dyDescent="0.25">
      <c r="A89" s="6">
        <v>84</v>
      </c>
      <c r="B89" s="1">
        <v>2</v>
      </c>
      <c r="C89" s="2">
        <v>0.29305555555555557</v>
      </c>
      <c r="D89" s="1" t="s">
        <v>137</v>
      </c>
      <c r="E89" s="1" t="s">
        <v>132</v>
      </c>
      <c r="F89" s="1" t="s">
        <v>127</v>
      </c>
      <c r="H89" s="1" t="s">
        <v>74</v>
      </c>
      <c r="I89" s="1" t="s">
        <v>106</v>
      </c>
      <c r="J89" s="1">
        <v>4</v>
      </c>
      <c r="K89" s="1">
        <v>5</v>
      </c>
    </row>
    <row r="90" spans="1:11" x14ac:dyDescent="0.25">
      <c r="A90" s="6">
        <v>85</v>
      </c>
      <c r="B90" s="1">
        <v>2</v>
      </c>
      <c r="C90" s="2">
        <v>0.28055555555555556</v>
      </c>
      <c r="D90" s="1" t="s">
        <v>108</v>
      </c>
      <c r="E90" s="1" t="s">
        <v>145</v>
      </c>
      <c r="F90" s="1" t="s">
        <v>130</v>
      </c>
      <c r="H90" s="1" t="s">
        <v>110</v>
      </c>
      <c r="I90" s="1" t="s">
        <v>106</v>
      </c>
      <c r="J90" s="1">
        <v>4</v>
      </c>
      <c r="K90" s="1">
        <v>5</v>
      </c>
    </row>
    <row r="91" spans="1:11" x14ac:dyDescent="0.25">
      <c r="A91" s="6">
        <v>86</v>
      </c>
      <c r="B91" s="1">
        <v>2</v>
      </c>
      <c r="C91" s="2">
        <v>0.23263888888888887</v>
      </c>
      <c r="D91" s="1" t="s">
        <v>74</v>
      </c>
      <c r="E91" s="1" t="s">
        <v>114</v>
      </c>
      <c r="F91" s="1" t="s">
        <v>122</v>
      </c>
      <c r="G91" s="1" t="s">
        <v>121</v>
      </c>
      <c r="H91" s="1" t="s">
        <v>110</v>
      </c>
      <c r="I91" s="1" t="s">
        <v>106</v>
      </c>
      <c r="J91" s="1">
        <v>4</v>
      </c>
      <c r="K91" s="1">
        <v>5</v>
      </c>
    </row>
    <row r="92" spans="1:11" x14ac:dyDescent="0.25">
      <c r="A92" s="6">
        <v>87</v>
      </c>
      <c r="B92" s="1">
        <v>2</v>
      </c>
      <c r="C92" s="2">
        <v>0.22500000000000001</v>
      </c>
      <c r="D92" s="1" t="s">
        <v>108</v>
      </c>
      <c r="E92" s="1" t="s">
        <v>109</v>
      </c>
      <c r="F92" s="1" t="s">
        <v>105</v>
      </c>
      <c r="H92" s="1" t="s">
        <v>110</v>
      </c>
      <c r="I92" s="1" t="s">
        <v>106</v>
      </c>
      <c r="J92" s="1">
        <v>5</v>
      </c>
      <c r="K92" s="1">
        <v>5</v>
      </c>
    </row>
    <row r="93" spans="1:11" x14ac:dyDescent="0.25">
      <c r="A93" s="6">
        <v>88</v>
      </c>
      <c r="B93" s="1">
        <v>2</v>
      </c>
      <c r="C93" s="2">
        <v>0.22013888888888888</v>
      </c>
      <c r="D93" s="1" t="s">
        <v>74</v>
      </c>
      <c r="E93" s="1" t="s">
        <v>124</v>
      </c>
      <c r="F93" s="1" t="s">
        <v>113</v>
      </c>
      <c r="G93" s="1" t="s">
        <v>106</v>
      </c>
      <c r="H93" s="1" t="s">
        <v>74</v>
      </c>
      <c r="I93" s="1" t="s">
        <v>106</v>
      </c>
      <c r="J93" s="1">
        <v>5</v>
      </c>
      <c r="K93" s="1">
        <v>5</v>
      </c>
    </row>
    <row r="94" spans="1:11" x14ac:dyDescent="0.25">
      <c r="A94" s="6">
        <v>89</v>
      </c>
      <c r="B94" s="1">
        <v>2</v>
      </c>
      <c r="C94" s="2">
        <v>0.20902777777777778</v>
      </c>
      <c r="D94" s="1" t="s">
        <v>74</v>
      </c>
      <c r="E94" s="1" t="s">
        <v>146</v>
      </c>
      <c r="F94" s="1" t="s">
        <v>124</v>
      </c>
      <c r="G94" s="1" t="s">
        <v>106</v>
      </c>
      <c r="H94" s="1" t="s">
        <v>110</v>
      </c>
      <c r="I94" s="1" t="s">
        <v>106</v>
      </c>
      <c r="J94" s="1">
        <v>5</v>
      </c>
      <c r="K94" s="1">
        <v>5</v>
      </c>
    </row>
    <row r="95" spans="1:11" x14ac:dyDescent="0.25">
      <c r="A95" s="6">
        <v>90</v>
      </c>
      <c r="B95" s="1">
        <v>2</v>
      </c>
      <c r="C95" s="2">
        <v>0.19027777777777777</v>
      </c>
      <c r="D95" s="1" t="s">
        <v>108</v>
      </c>
      <c r="E95" s="1" t="s">
        <v>145</v>
      </c>
      <c r="F95" s="1" t="s">
        <v>139</v>
      </c>
      <c r="H95" s="1" t="s">
        <v>110</v>
      </c>
      <c r="I95" s="1" t="s">
        <v>141</v>
      </c>
      <c r="J95" s="1">
        <v>5</v>
      </c>
      <c r="K95" s="1">
        <v>5</v>
      </c>
    </row>
    <row r="96" spans="1:11" x14ac:dyDescent="0.25">
      <c r="A96" s="6">
        <v>91</v>
      </c>
      <c r="B96" s="1">
        <v>2</v>
      </c>
      <c r="C96" s="2">
        <v>0.18263888888888891</v>
      </c>
      <c r="D96" s="1" t="s">
        <v>74</v>
      </c>
      <c r="E96" s="1" t="s">
        <v>139</v>
      </c>
      <c r="F96" s="1" t="s">
        <v>124</v>
      </c>
      <c r="G96" s="1" t="s">
        <v>121</v>
      </c>
      <c r="H96" s="1" t="s">
        <v>110</v>
      </c>
      <c r="I96" s="1" t="s">
        <v>106</v>
      </c>
      <c r="J96" s="1">
        <v>5</v>
      </c>
      <c r="K96" s="1">
        <v>5</v>
      </c>
    </row>
    <row r="97" spans="1:11" x14ac:dyDescent="0.25">
      <c r="A97" s="6">
        <v>92</v>
      </c>
      <c r="B97" s="1">
        <v>2</v>
      </c>
      <c r="C97" s="2">
        <v>0.16319444444444445</v>
      </c>
      <c r="D97" s="1" t="s">
        <v>74</v>
      </c>
      <c r="E97" s="1" t="s">
        <v>133</v>
      </c>
      <c r="F97" s="1" t="s">
        <v>120</v>
      </c>
      <c r="G97" s="1" t="s">
        <v>121</v>
      </c>
      <c r="H97" s="1" t="s">
        <v>74</v>
      </c>
      <c r="I97" s="1" t="s">
        <v>106</v>
      </c>
      <c r="J97" s="1">
        <v>6</v>
      </c>
      <c r="K97" s="1">
        <v>5</v>
      </c>
    </row>
    <row r="98" spans="1:11" x14ac:dyDescent="0.25">
      <c r="A98" s="6">
        <v>93</v>
      </c>
      <c r="B98" s="1">
        <v>2</v>
      </c>
      <c r="C98" s="2">
        <v>0.13749999999999998</v>
      </c>
      <c r="D98" s="1" t="s">
        <v>74</v>
      </c>
      <c r="E98" s="1" t="s">
        <v>119</v>
      </c>
      <c r="F98" s="1" t="s">
        <v>126</v>
      </c>
      <c r="G98" s="1" t="s">
        <v>121</v>
      </c>
      <c r="H98" s="1" t="s">
        <v>107</v>
      </c>
      <c r="I98" s="1" t="s">
        <v>106</v>
      </c>
      <c r="J98" s="1">
        <v>5</v>
      </c>
      <c r="K98" s="1">
        <v>4</v>
      </c>
    </row>
    <row r="99" spans="1:11" x14ac:dyDescent="0.25">
      <c r="A99" s="6">
        <v>94</v>
      </c>
      <c r="B99" s="1">
        <v>2</v>
      </c>
      <c r="C99" s="2">
        <v>0.1076388888888889</v>
      </c>
      <c r="D99" s="1" t="s">
        <v>74</v>
      </c>
      <c r="E99" s="1" t="s">
        <v>104</v>
      </c>
      <c r="F99" s="1" t="s">
        <v>114</v>
      </c>
      <c r="G99" s="1" t="s">
        <v>106</v>
      </c>
      <c r="H99" s="1" t="s">
        <v>110</v>
      </c>
      <c r="I99" s="1" t="s">
        <v>106</v>
      </c>
      <c r="J99" s="1">
        <v>5</v>
      </c>
      <c r="K99" s="1">
        <v>4</v>
      </c>
    </row>
    <row r="100" spans="1:11" x14ac:dyDescent="0.25">
      <c r="A100" s="6">
        <v>95</v>
      </c>
      <c r="B100" s="1">
        <v>2</v>
      </c>
      <c r="C100" s="2">
        <v>9.4444444444444442E-2</v>
      </c>
      <c r="D100" s="1" t="s">
        <v>74</v>
      </c>
      <c r="E100" s="1" t="s">
        <v>139</v>
      </c>
      <c r="F100" s="1" t="s">
        <v>145</v>
      </c>
      <c r="G100" s="1" t="s">
        <v>121</v>
      </c>
      <c r="H100" s="1" t="s">
        <v>110</v>
      </c>
      <c r="I100" s="1" t="s">
        <v>106</v>
      </c>
      <c r="J100" s="1">
        <v>5</v>
      </c>
      <c r="K100" s="1">
        <v>4</v>
      </c>
    </row>
    <row r="101" spans="1:11" x14ac:dyDescent="0.25">
      <c r="A101" s="6">
        <v>96</v>
      </c>
      <c r="B101" s="1">
        <v>2</v>
      </c>
      <c r="C101" s="2">
        <v>7.9861111111111105E-2</v>
      </c>
      <c r="D101" s="1" t="s">
        <v>108</v>
      </c>
      <c r="E101" s="1" t="s">
        <v>111</v>
      </c>
      <c r="F101" s="1" t="s">
        <v>126</v>
      </c>
      <c r="H101" s="1" t="s">
        <v>74</v>
      </c>
      <c r="I101" s="1" t="s">
        <v>106</v>
      </c>
      <c r="J101" s="1">
        <v>5</v>
      </c>
      <c r="K101" s="1">
        <v>4</v>
      </c>
    </row>
    <row r="102" spans="1:11" x14ac:dyDescent="0.25">
      <c r="A102" s="6">
        <v>97</v>
      </c>
      <c r="B102" s="1">
        <v>2</v>
      </c>
      <c r="C102" s="2">
        <v>7.2222222222222229E-2</v>
      </c>
      <c r="D102" s="1" t="s">
        <v>108</v>
      </c>
      <c r="E102" s="1" t="s">
        <v>119</v>
      </c>
      <c r="F102" s="1" t="s">
        <v>105</v>
      </c>
      <c r="H102" s="1" t="s">
        <v>107</v>
      </c>
      <c r="I102" s="1" t="s">
        <v>106</v>
      </c>
      <c r="J102" s="1">
        <v>5</v>
      </c>
      <c r="K102" s="1">
        <v>5</v>
      </c>
    </row>
    <row r="103" spans="1:11" x14ac:dyDescent="0.25">
      <c r="A103" s="6">
        <v>98</v>
      </c>
      <c r="B103" s="1">
        <v>2</v>
      </c>
      <c r="C103" s="2">
        <v>5.6944444444444443E-2</v>
      </c>
      <c r="D103" s="1" t="s">
        <v>108</v>
      </c>
      <c r="E103" s="1" t="s">
        <v>146</v>
      </c>
      <c r="F103" s="1" t="s">
        <v>144</v>
      </c>
      <c r="H103" s="1" t="s">
        <v>107</v>
      </c>
      <c r="I103" s="1" t="s">
        <v>106</v>
      </c>
      <c r="J103" s="1">
        <v>5</v>
      </c>
      <c r="K103" s="1">
        <v>5</v>
      </c>
    </row>
    <row r="104" spans="1:11" x14ac:dyDescent="0.25">
      <c r="A104" s="6">
        <v>99</v>
      </c>
      <c r="B104" s="1">
        <v>2</v>
      </c>
      <c r="C104" s="2">
        <v>4.2361111111111106E-2</v>
      </c>
      <c r="D104" s="1" t="s">
        <v>108</v>
      </c>
      <c r="E104" s="1" t="s">
        <v>118</v>
      </c>
      <c r="F104" s="1" t="s">
        <v>106</v>
      </c>
      <c r="H104" s="1" t="s">
        <v>74</v>
      </c>
      <c r="I104" s="1" t="s">
        <v>106</v>
      </c>
      <c r="J104" s="1">
        <v>5</v>
      </c>
      <c r="K104" s="1">
        <v>5</v>
      </c>
    </row>
    <row r="105" spans="1:11" x14ac:dyDescent="0.25">
      <c r="A105" s="6">
        <v>100</v>
      </c>
      <c r="B105" s="1">
        <v>2</v>
      </c>
      <c r="C105" s="2">
        <v>3.4722222222222224E-2</v>
      </c>
      <c r="D105" s="1" t="s">
        <v>74</v>
      </c>
      <c r="E105" s="1" t="s">
        <v>128</v>
      </c>
      <c r="F105" s="1" t="s">
        <v>120</v>
      </c>
      <c r="G105" s="1" t="s">
        <v>106</v>
      </c>
      <c r="H105" s="1" t="s">
        <v>74</v>
      </c>
      <c r="I105" s="1" t="s">
        <v>106</v>
      </c>
      <c r="J105" s="1">
        <v>5</v>
      </c>
      <c r="K105" s="1">
        <v>5</v>
      </c>
    </row>
    <row r="106" spans="1:11" x14ac:dyDescent="0.25">
      <c r="A106" s="6">
        <v>101</v>
      </c>
      <c r="B106" s="1">
        <v>2</v>
      </c>
      <c r="C106" s="2">
        <v>1.9444444444444445E-2</v>
      </c>
      <c r="D106" s="1" t="s">
        <v>134</v>
      </c>
      <c r="E106" s="1" t="s">
        <v>135</v>
      </c>
      <c r="I106" s="1" t="s">
        <v>106</v>
      </c>
      <c r="J106" s="1">
        <v>5</v>
      </c>
      <c r="K106" s="1">
        <v>5</v>
      </c>
    </row>
    <row r="107" spans="1:11" x14ac:dyDescent="0.25">
      <c r="A107" s="6">
        <v>102</v>
      </c>
      <c r="B107" s="1">
        <v>3</v>
      </c>
      <c r="C107" s="2">
        <v>0.82430555555555562</v>
      </c>
      <c r="D107" s="1" t="s">
        <v>108</v>
      </c>
      <c r="E107" s="1" t="s">
        <v>104</v>
      </c>
      <c r="F107" s="1" t="s">
        <v>124</v>
      </c>
      <c r="H107" s="1" t="s">
        <v>110</v>
      </c>
      <c r="I107" s="1" t="s">
        <v>104</v>
      </c>
      <c r="J107" s="1">
        <v>5</v>
      </c>
      <c r="K107" s="1">
        <v>5</v>
      </c>
    </row>
    <row r="108" spans="1:11" x14ac:dyDescent="0.25">
      <c r="A108" s="6">
        <v>103</v>
      </c>
      <c r="B108" s="1">
        <v>3</v>
      </c>
      <c r="C108" s="2">
        <v>0.79513888888888884</v>
      </c>
      <c r="D108" s="1" t="s">
        <v>74</v>
      </c>
      <c r="E108" s="1" t="s">
        <v>111</v>
      </c>
      <c r="F108" s="1" t="s">
        <v>148</v>
      </c>
      <c r="G108" s="1" t="s">
        <v>121</v>
      </c>
      <c r="H108" s="1" t="s">
        <v>110</v>
      </c>
      <c r="I108" s="1" t="s">
        <v>106</v>
      </c>
      <c r="J108" s="1">
        <v>5</v>
      </c>
      <c r="K108" s="1">
        <v>5</v>
      </c>
    </row>
    <row r="109" spans="1:11" x14ac:dyDescent="0.25">
      <c r="A109" s="6">
        <v>104</v>
      </c>
      <c r="B109" s="1">
        <v>3</v>
      </c>
      <c r="C109" s="2">
        <v>0.78125</v>
      </c>
      <c r="D109" s="1" t="s">
        <v>108</v>
      </c>
      <c r="E109" s="1" t="s">
        <v>142</v>
      </c>
      <c r="F109" s="1" t="s">
        <v>115</v>
      </c>
      <c r="H109" s="1" t="s">
        <v>110</v>
      </c>
      <c r="I109" s="1" t="s">
        <v>106</v>
      </c>
      <c r="J109" s="1">
        <v>5</v>
      </c>
      <c r="K109" s="1">
        <v>5</v>
      </c>
    </row>
    <row r="110" spans="1:11" x14ac:dyDescent="0.25">
      <c r="A110" s="6">
        <v>105</v>
      </c>
      <c r="B110" s="1">
        <v>3</v>
      </c>
      <c r="C110" s="2">
        <v>0.77569444444444446</v>
      </c>
      <c r="D110" s="1" t="s">
        <v>74</v>
      </c>
      <c r="E110" s="1" t="s">
        <v>116</v>
      </c>
      <c r="F110" s="1" t="s">
        <v>148</v>
      </c>
      <c r="G110" s="1" t="s">
        <v>106</v>
      </c>
      <c r="H110" s="1" t="s">
        <v>110</v>
      </c>
      <c r="I110" s="1" t="s">
        <v>106</v>
      </c>
      <c r="J110" s="1">
        <v>5</v>
      </c>
      <c r="K110" s="1">
        <v>5</v>
      </c>
    </row>
    <row r="111" spans="1:11" x14ac:dyDescent="0.25">
      <c r="A111" s="6">
        <v>106</v>
      </c>
      <c r="B111" s="1">
        <v>3</v>
      </c>
      <c r="C111" s="2">
        <v>0.77013888888888893</v>
      </c>
      <c r="D111" s="1" t="s">
        <v>74</v>
      </c>
      <c r="E111" s="1" t="s">
        <v>118</v>
      </c>
      <c r="F111" s="1" t="s">
        <v>115</v>
      </c>
      <c r="G111" s="1" t="s">
        <v>106</v>
      </c>
      <c r="H111" s="1" t="s">
        <v>107</v>
      </c>
      <c r="I111" s="1" t="s">
        <v>106</v>
      </c>
      <c r="J111" s="1">
        <v>5</v>
      </c>
      <c r="K111" s="1">
        <v>5</v>
      </c>
    </row>
    <row r="112" spans="1:11" x14ac:dyDescent="0.25">
      <c r="A112" s="6">
        <v>107</v>
      </c>
      <c r="B112" s="1">
        <v>3</v>
      </c>
      <c r="C112" s="2">
        <v>0.75624999999999998</v>
      </c>
      <c r="D112" s="1" t="s">
        <v>74</v>
      </c>
      <c r="E112" s="1" t="s">
        <v>138</v>
      </c>
      <c r="F112" s="1" t="s">
        <v>125</v>
      </c>
      <c r="G112" s="1" t="s">
        <v>106</v>
      </c>
      <c r="H112" s="1" t="s">
        <v>74</v>
      </c>
      <c r="I112" s="1" t="s">
        <v>106</v>
      </c>
      <c r="J112" s="1">
        <v>5</v>
      </c>
      <c r="K112" s="1">
        <v>5</v>
      </c>
    </row>
    <row r="113" spans="1:11" x14ac:dyDescent="0.25">
      <c r="A113" s="6">
        <v>108</v>
      </c>
      <c r="B113" s="1">
        <v>3</v>
      </c>
      <c r="C113" s="2">
        <v>0.72222222222222221</v>
      </c>
      <c r="D113" s="1" t="s">
        <v>137</v>
      </c>
      <c r="E113" s="1" t="s">
        <v>114</v>
      </c>
      <c r="F113" s="1" t="s">
        <v>127</v>
      </c>
      <c r="H113" s="1" t="s">
        <v>107</v>
      </c>
      <c r="I113" s="1" t="s">
        <v>106</v>
      </c>
      <c r="J113" s="1">
        <v>5</v>
      </c>
      <c r="K113" s="1">
        <v>5</v>
      </c>
    </row>
    <row r="114" spans="1:11" x14ac:dyDescent="0.25">
      <c r="A114" s="6">
        <v>109</v>
      </c>
      <c r="B114" s="1">
        <v>3</v>
      </c>
      <c r="C114" s="2">
        <v>0.70416666666666661</v>
      </c>
      <c r="D114" s="1" t="s">
        <v>74</v>
      </c>
      <c r="E114" s="1" t="s">
        <v>105</v>
      </c>
      <c r="F114" s="1" t="s">
        <v>119</v>
      </c>
      <c r="G114" s="1" t="s">
        <v>106</v>
      </c>
      <c r="H114" s="1" t="s">
        <v>107</v>
      </c>
      <c r="I114" s="1" t="s">
        <v>106</v>
      </c>
      <c r="J114" s="1">
        <v>5</v>
      </c>
      <c r="K114" s="1">
        <v>4</v>
      </c>
    </row>
    <row r="115" spans="1:11" x14ac:dyDescent="0.25">
      <c r="A115" s="6">
        <v>110</v>
      </c>
      <c r="B115" s="1">
        <v>3</v>
      </c>
      <c r="C115" s="2">
        <v>0.68611111111111101</v>
      </c>
      <c r="D115" s="1" t="s">
        <v>74</v>
      </c>
      <c r="E115" s="1" t="s">
        <v>105</v>
      </c>
      <c r="F115" s="1" t="s">
        <v>128</v>
      </c>
      <c r="G115" s="1" t="s">
        <v>121</v>
      </c>
      <c r="H115" s="1" t="s">
        <v>107</v>
      </c>
      <c r="I115" s="1" t="s">
        <v>106</v>
      </c>
      <c r="J115" s="1">
        <v>5</v>
      </c>
      <c r="K115" s="1">
        <v>4</v>
      </c>
    </row>
    <row r="116" spans="1:11" x14ac:dyDescent="0.25">
      <c r="A116" s="6">
        <v>111</v>
      </c>
      <c r="B116" s="1">
        <v>3</v>
      </c>
      <c r="C116" s="2">
        <v>0.67569444444444438</v>
      </c>
      <c r="D116" s="1" t="s">
        <v>74</v>
      </c>
      <c r="E116" s="1" t="s">
        <v>128</v>
      </c>
      <c r="F116" s="1" t="s">
        <v>120</v>
      </c>
      <c r="G116" s="1" t="s">
        <v>106</v>
      </c>
      <c r="H116" s="1" t="s">
        <v>107</v>
      </c>
      <c r="I116" s="1" t="s">
        <v>106</v>
      </c>
      <c r="J116" s="1">
        <v>5</v>
      </c>
      <c r="K116" s="1">
        <v>4</v>
      </c>
    </row>
    <row r="117" spans="1:11" x14ac:dyDescent="0.25">
      <c r="A117" s="6">
        <v>112</v>
      </c>
      <c r="B117" s="1">
        <v>3</v>
      </c>
      <c r="C117" s="2">
        <v>0.66041666666666665</v>
      </c>
      <c r="D117" s="1" t="s">
        <v>74</v>
      </c>
      <c r="E117" s="1" t="s">
        <v>112</v>
      </c>
      <c r="F117" s="1" t="s">
        <v>130</v>
      </c>
      <c r="G117" s="1" t="s">
        <v>121</v>
      </c>
      <c r="H117" s="1" t="s">
        <v>110</v>
      </c>
      <c r="I117" s="1" t="s">
        <v>106</v>
      </c>
      <c r="J117" s="1">
        <v>5</v>
      </c>
      <c r="K117" s="1">
        <v>4</v>
      </c>
    </row>
    <row r="118" spans="1:11" x14ac:dyDescent="0.25">
      <c r="A118" s="6">
        <v>113</v>
      </c>
      <c r="B118" s="1">
        <v>3</v>
      </c>
      <c r="C118" s="2">
        <v>0.62638888888888888</v>
      </c>
      <c r="D118" s="1" t="s">
        <v>137</v>
      </c>
      <c r="E118" s="1" t="s">
        <v>109</v>
      </c>
      <c r="F118" s="1" t="s">
        <v>144</v>
      </c>
      <c r="H118" s="1" t="s">
        <v>74</v>
      </c>
      <c r="I118" s="1" t="s">
        <v>106</v>
      </c>
      <c r="J118" s="1">
        <v>5</v>
      </c>
      <c r="K118" s="1">
        <v>5</v>
      </c>
    </row>
    <row r="119" spans="1:11" x14ac:dyDescent="0.25">
      <c r="A119" s="6">
        <v>114</v>
      </c>
      <c r="B119" s="1">
        <v>3</v>
      </c>
      <c r="C119" s="2">
        <v>0.62361111111111112</v>
      </c>
      <c r="D119" s="1" t="s">
        <v>74</v>
      </c>
      <c r="E119" s="1" t="s">
        <v>142</v>
      </c>
      <c r="F119" s="1" t="s">
        <v>139</v>
      </c>
      <c r="G119" s="1" t="s">
        <v>106</v>
      </c>
      <c r="H119" s="1" t="s">
        <v>107</v>
      </c>
      <c r="I119" s="1" t="s">
        <v>106</v>
      </c>
      <c r="J119" s="1">
        <v>5</v>
      </c>
      <c r="K119" s="1">
        <v>5</v>
      </c>
    </row>
    <row r="120" spans="1:11" x14ac:dyDescent="0.25">
      <c r="A120" s="6">
        <v>115</v>
      </c>
      <c r="B120" s="1">
        <v>3</v>
      </c>
      <c r="C120" s="2">
        <v>0.61527777777777781</v>
      </c>
      <c r="D120" s="1" t="s">
        <v>108</v>
      </c>
      <c r="E120" s="1" t="s">
        <v>145</v>
      </c>
      <c r="F120" s="1" t="s">
        <v>111</v>
      </c>
      <c r="H120" s="1" t="s">
        <v>107</v>
      </c>
      <c r="I120" s="1" t="s">
        <v>106</v>
      </c>
      <c r="J120" s="1">
        <v>5</v>
      </c>
      <c r="K120" s="1">
        <v>5</v>
      </c>
    </row>
    <row r="121" spans="1:11" x14ac:dyDescent="0.25">
      <c r="A121" s="6">
        <v>116</v>
      </c>
      <c r="B121" s="1">
        <v>3</v>
      </c>
      <c r="C121" s="2">
        <v>0.59305555555555556</v>
      </c>
      <c r="D121" s="1" t="s">
        <v>108</v>
      </c>
      <c r="E121" s="1" t="s">
        <v>118</v>
      </c>
      <c r="F121" s="1" t="s">
        <v>106</v>
      </c>
      <c r="H121" s="1" t="s">
        <v>107</v>
      </c>
      <c r="I121" s="1" t="s">
        <v>106</v>
      </c>
      <c r="J121" s="1">
        <v>5</v>
      </c>
      <c r="K121" s="1">
        <v>5</v>
      </c>
    </row>
    <row r="122" spans="1:11" x14ac:dyDescent="0.25">
      <c r="A122" s="6">
        <v>117</v>
      </c>
      <c r="B122" s="1">
        <v>3</v>
      </c>
      <c r="C122" s="2">
        <v>0.58333333333333337</v>
      </c>
      <c r="D122" s="1" t="s">
        <v>74</v>
      </c>
      <c r="E122" s="1" t="s">
        <v>145</v>
      </c>
      <c r="F122" s="1" t="s">
        <v>113</v>
      </c>
      <c r="G122" s="1" t="s">
        <v>121</v>
      </c>
      <c r="H122" s="1" t="s">
        <v>107</v>
      </c>
      <c r="I122" s="1" t="s">
        <v>106</v>
      </c>
      <c r="J122" s="1">
        <v>5</v>
      </c>
      <c r="K122" s="1">
        <v>5</v>
      </c>
    </row>
    <row r="123" spans="1:11" x14ac:dyDescent="0.25">
      <c r="A123" s="6">
        <v>118</v>
      </c>
      <c r="B123" s="1">
        <v>3</v>
      </c>
      <c r="C123" s="2">
        <v>0.55902777777777779</v>
      </c>
      <c r="D123" s="1" t="s">
        <v>137</v>
      </c>
      <c r="E123" s="1" t="s">
        <v>116</v>
      </c>
      <c r="F123" s="1" t="s">
        <v>144</v>
      </c>
      <c r="H123" s="1" t="s">
        <v>74</v>
      </c>
      <c r="I123" s="1" t="s">
        <v>106</v>
      </c>
      <c r="J123" s="1">
        <v>5</v>
      </c>
      <c r="K123" s="1">
        <v>5</v>
      </c>
    </row>
    <row r="124" spans="1:11" x14ac:dyDescent="0.25">
      <c r="A124" s="6">
        <v>119</v>
      </c>
      <c r="B124" s="1">
        <v>3</v>
      </c>
      <c r="C124" s="2">
        <v>0.55694444444444446</v>
      </c>
      <c r="D124" s="1" t="s">
        <v>108</v>
      </c>
      <c r="E124" s="1" t="s">
        <v>132</v>
      </c>
      <c r="F124" s="1" t="s">
        <v>106</v>
      </c>
      <c r="H124" s="1" t="s">
        <v>110</v>
      </c>
      <c r="I124" s="1" t="s">
        <v>106</v>
      </c>
      <c r="J124" s="1">
        <v>5</v>
      </c>
      <c r="K124" s="1">
        <v>5</v>
      </c>
    </row>
    <row r="125" spans="1:11" x14ac:dyDescent="0.25">
      <c r="A125" s="6">
        <v>120</v>
      </c>
      <c r="B125" s="1">
        <v>3</v>
      </c>
      <c r="C125" s="2">
        <v>0.54236111111111118</v>
      </c>
      <c r="D125" s="1" t="s">
        <v>74</v>
      </c>
      <c r="E125" s="1" t="s">
        <v>128</v>
      </c>
      <c r="F125" s="1" t="s">
        <v>105</v>
      </c>
      <c r="G125" s="1" t="s">
        <v>121</v>
      </c>
      <c r="H125" s="1" t="s">
        <v>107</v>
      </c>
      <c r="I125" s="1" t="s">
        <v>106</v>
      </c>
      <c r="J125" s="1">
        <v>5</v>
      </c>
      <c r="K125" s="1">
        <v>5</v>
      </c>
    </row>
    <row r="126" spans="1:11" x14ac:dyDescent="0.25">
      <c r="A126" s="6">
        <v>121</v>
      </c>
      <c r="B126" s="1">
        <v>3</v>
      </c>
      <c r="C126" s="2">
        <v>0.52847222222222223</v>
      </c>
      <c r="D126" s="1" t="s">
        <v>108</v>
      </c>
      <c r="E126" s="1" t="s">
        <v>138</v>
      </c>
      <c r="F126" s="1" t="s">
        <v>106</v>
      </c>
      <c r="H126" s="1" t="s">
        <v>107</v>
      </c>
      <c r="I126" s="1" t="s">
        <v>106</v>
      </c>
      <c r="J126" s="1">
        <v>5</v>
      </c>
      <c r="K126" s="1">
        <v>5</v>
      </c>
    </row>
    <row r="127" spans="1:11" x14ac:dyDescent="0.25">
      <c r="A127" s="6">
        <v>122</v>
      </c>
      <c r="B127" s="1">
        <v>3</v>
      </c>
      <c r="C127" s="2">
        <v>0.51666666666666672</v>
      </c>
      <c r="D127" s="1" t="s">
        <v>74</v>
      </c>
      <c r="E127" s="1" t="s">
        <v>111</v>
      </c>
      <c r="F127" s="1" t="s">
        <v>117</v>
      </c>
      <c r="G127" s="1" t="s">
        <v>106</v>
      </c>
      <c r="H127" s="1" t="s">
        <v>107</v>
      </c>
      <c r="I127" s="1" t="s">
        <v>106</v>
      </c>
      <c r="J127" s="1">
        <v>5</v>
      </c>
      <c r="K127" s="1">
        <v>5</v>
      </c>
    </row>
    <row r="128" spans="1:11" x14ac:dyDescent="0.25">
      <c r="A128" s="6">
        <v>123</v>
      </c>
      <c r="B128" s="1">
        <v>3</v>
      </c>
      <c r="C128" s="2">
        <v>0.4909722222222222</v>
      </c>
      <c r="D128" s="1" t="s">
        <v>108</v>
      </c>
      <c r="E128" s="1" t="s">
        <v>132</v>
      </c>
      <c r="F128" s="1" t="s">
        <v>106</v>
      </c>
      <c r="H128" s="1" t="s">
        <v>110</v>
      </c>
      <c r="I128" s="1" t="s">
        <v>106</v>
      </c>
      <c r="J128" s="1">
        <v>5</v>
      </c>
      <c r="K128" s="1">
        <v>5</v>
      </c>
    </row>
    <row r="129" spans="1:11" x14ac:dyDescent="0.25">
      <c r="A129" s="6">
        <v>124</v>
      </c>
      <c r="B129" s="1">
        <v>3</v>
      </c>
      <c r="C129" s="2">
        <v>0.48194444444444445</v>
      </c>
      <c r="D129" s="1" t="s">
        <v>74</v>
      </c>
      <c r="E129" s="1" t="s">
        <v>119</v>
      </c>
      <c r="F129" s="1" t="s">
        <v>144</v>
      </c>
      <c r="G129" s="1" t="s">
        <v>121</v>
      </c>
      <c r="H129" s="1" t="s">
        <v>107</v>
      </c>
      <c r="I129" s="1" t="s">
        <v>106</v>
      </c>
      <c r="J129" s="1">
        <v>5</v>
      </c>
      <c r="K129" s="1">
        <v>5</v>
      </c>
    </row>
    <row r="130" spans="1:11" x14ac:dyDescent="0.25">
      <c r="A130" s="6">
        <v>125</v>
      </c>
      <c r="B130" s="1">
        <v>3</v>
      </c>
      <c r="C130" s="2">
        <v>0.47222222222222227</v>
      </c>
      <c r="D130" s="1" t="s">
        <v>74</v>
      </c>
      <c r="E130" s="1" t="s">
        <v>109</v>
      </c>
      <c r="F130" s="1" t="s">
        <v>136</v>
      </c>
      <c r="G130" s="1" t="s">
        <v>106</v>
      </c>
      <c r="H130" s="1" t="s">
        <v>74</v>
      </c>
      <c r="I130" s="1" t="s">
        <v>106</v>
      </c>
      <c r="J130" s="1">
        <v>5</v>
      </c>
      <c r="K130" s="1">
        <v>5</v>
      </c>
    </row>
    <row r="131" spans="1:11" x14ac:dyDescent="0.25">
      <c r="A131" s="6">
        <v>126</v>
      </c>
      <c r="B131" s="1">
        <v>3</v>
      </c>
      <c r="C131" s="2">
        <v>0.46666666666666662</v>
      </c>
      <c r="D131" s="1" t="s">
        <v>74</v>
      </c>
      <c r="E131" s="1" t="s">
        <v>122</v>
      </c>
      <c r="F131" s="1" t="s">
        <v>144</v>
      </c>
      <c r="G131" s="1" t="s">
        <v>106</v>
      </c>
      <c r="H131" s="1" t="s">
        <v>107</v>
      </c>
      <c r="I131" s="1" t="s">
        <v>106</v>
      </c>
      <c r="J131" s="1">
        <v>5</v>
      </c>
      <c r="K131" s="1">
        <v>5</v>
      </c>
    </row>
    <row r="132" spans="1:11" x14ac:dyDescent="0.25">
      <c r="A132" s="6">
        <v>127</v>
      </c>
      <c r="B132" s="1">
        <v>3</v>
      </c>
      <c r="C132" s="2">
        <v>0.45833333333333331</v>
      </c>
      <c r="D132" s="1" t="s">
        <v>74</v>
      </c>
      <c r="E132" s="1" t="s">
        <v>117</v>
      </c>
      <c r="F132" s="1" t="s">
        <v>122</v>
      </c>
      <c r="G132" s="1" t="s">
        <v>106</v>
      </c>
      <c r="H132" s="1" t="s">
        <v>110</v>
      </c>
      <c r="I132" s="1" t="s">
        <v>106</v>
      </c>
      <c r="J132" s="1">
        <v>5</v>
      </c>
      <c r="K132" s="1">
        <v>5</v>
      </c>
    </row>
    <row r="133" spans="1:11" x14ac:dyDescent="0.25">
      <c r="A133" s="6">
        <v>128</v>
      </c>
      <c r="B133" s="1">
        <v>3</v>
      </c>
      <c r="C133" s="2">
        <v>0.44791666666666669</v>
      </c>
      <c r="D133" s="1" t="s">
        <v>108</v>
      </c>
      <c r="E133" s="1" t="s">
        <v>144</v>
      </c>
      <c r="F133" s="1" t="s">
        <v>106</v>
      </c>
      <c r="H133" s="1" t="s">
        <v>110</v>
      </c>
      <c r="I133" s="1" t="s">
        <v>132</v>
      </c>
      <c r="J133" s="1">
        <v>5</v>
      </c>
      <c r="K133" s="1">
        <v>5</v>
      </c>
    </row>
    <row r="134" spans="1:11" x14ac:dyDescent="0.25">
      <c r="A134" s="6">
        <v>129</v>
      </c>
      <c r="B134" s="1">
        <v>3</v>
      </c>
      <c r="C134" s="2">
        <v>0.42291666666666666</v>
      </c>
      <c r="D134" s="1" t="s">
        <v>74</v>
      </c>
      <c r="E134" s="1" t="s">
        <v>114</v>
      </c>
      <c r="F134" s="1" t="s">
        <v>130</v>
      </c>
      <c r="G134" s="1" t="s">
        <v>106</v>
      </c>
      <c r="H134" s="1" t="s">
        <v>110</v>
      </c>
      <c r="I134" s="1" t="s">
        <v>106</v>
      </c>
      <c r="J134" s="1">
        <v>5</v>
      </c>
      <c r="K134" s="1">
        <v>5</v>
      </c>
    </row>
    <row r="135" spans="1:11" x14ac:dyDescent="0.25">
      <c r="A135" s="6">
        <v>130</v>
      </c>
      <c r="B135" s="1">
        <v>3</v>
      </c>
      <c r="C135" s="2">
        <v>0.40902777777777777</v>
      </c>
      <c r="D135" s="1" t="s">
        <v>108</v>
      </c>
      <c r="E135" s="1" t="s">
        <v>104</v>
      </c>
      <c r="F135" s="1" t="s">
        <v>114</v>
      </c>
      <c r="H135" s="1" t="s">
        <v>107</v>
      </c>
      <c r="I135" s="1" t="s">
        <v>106</v>
      </c>
      <c r="J135" s="1">
        <v>5</v>
      </c>
      <c r="K135" s="1">
        <v>5</v>
      </c>
    </row>
    <row r="136" spans="1:11" x14ac:dyDescent="0.25">
      <c r="A136" s="6">
        <v>131</v>
      </c>
      <c r="B136" s="1">
        <v>3</v>
      </c>
      <c r="C136" s="2">
        <v>0.39583333333333331</v>
      </c>
      <c r="D136" s="1" t="s">
        <v>108</v>
      </c>
      <c r="E136" s="1" t="s">
        <v>140</v>
      </c>
      <c r="F136" s="1" t="s">
        <v>145</v>
      </c>
      <c r="H136" s="1" t="s">
        <v>110</v>
      </c>
      <c r="I136" s="1" t="s">
        <v>106</v>
      </c>
      <c r="J136" s="1">
        <v>5</v>
      </c>
      <c r="K136" s="1">
        <v>5</v>
      </c>
    </row>
    <row r="137" spans="1:11" x14ac:dyDescent="0.25">
      <c r="A137" s="6">
        <v>132</v>
      </c>
      <c r="B137" s="1">
        <v>3</v>
      </c>
      <c r="C137" s="2">
        <v>0.37222222222222223</v>
      </c>
      <c r="D137" s="1" t="s">
        <v>74</v>
      </c>
      <c r="E137" s="1" t="s">
        <v>141</v>
      </c>
      <c r="F137" s="1" t="s">
        <v>106</v>
      </c>
      <c r="G137" s="1" t="s">
        <v>106</v>
      </c>
      <c r="H137" s="1" t="s">
        <v>107</v>
      </c>
      <c r="I137" s="1" t="s">
        <v>106</v>
      </c>
      <c r="J137" s="1">
        <v>5</v>
      </c>
      <c r="K137" s="1">
        <v>5</v>
      </c>
    </row>
    <row r="138" spans="1:11" x14ac:dyDescent="0.25">
      <c r="A138" s="6">
        <v>133</v>
      </c>
      <c r="B138" s="1">
        <v>3</v>
      </c>
      <c r="C138" s="2">
        <v>0.36736111111111108</v>
      </c>
      <c r="D138" s="1" t="s">
        <v>74</v>
      </c>
      <c r="E138" s="1" t="s">
        <v>146</v>
      </c>
      <c r="F138" s="1" t="s">
        <v>136</v>
      </c>
      <c r="G138" s="1" t="s">
        <v>106</v>
      </c>
      <c r="H138" s="1" t="s">
        <v>74</v>
      </c>
      <c r="I138" s="1" t="s">
        <v>106</v>
      </c>
      <c r="J138" s="1">
        <v>5</v>
      </c>
      <c r="K138" s="1">
        <v>5</v>
      </c>
    </row>
    <row r="139" spans="1:11" x14ac:dyDescent="0.25">
      <c r="A139" s="6">
        <v>134</v>
      </c>
      <c r="B139" s="1">
        <v>3</v>
      </c>
      <c r="C139" s="2">
        <v>0.35347222222222219</v>
      </c>
      <c r="D139" s="1" t="s">
        <v>108</v>
      </c>
      <c r="E139" s="1" t="s">
        <v>114</v>
      </c>
      <c r="F139" s="1" t="s">
        <v>130</v>
      </c>
      <c r="H139" s="1" t="s">
        <v>110</v>
      </c>
      <c r="I139" s="1" t="s">
        <v>106</v>
      </c>
      <c r="J139" s="1">
        <v>5</v>
      </c>
      <c r="K139" s="1">
        <v>5</v>
      </c>
    </row>
    <row r="140" spans="1:11" x14ac:dyDescent="0.25">
      <c r="A140" s="6">
        <v>135</v>
      </c>
      <c r="B140" s="1">
        <v>3</v>
      </c>
      <c r="C140" s="2">
        <v>0.33819444444444446</v>
      </c>
      <c r="D140" s="1" t="s">
        <v>137</v>
      </c>
      <c r="E140" s="1" t="s">
        <v>144</v>
      </c>
      <c r="F140" s="1" t="s">
        <v>111</v>
      </c>
      <c r="H140" s="1" t="s">
        <v>74</v>
      </c>
      <c r="I140" s="1" t="s">
        <v>106</v>
      </c>
      <c r="J140" s="1">
        <v>5</v>
      </c>
      <c r="K140" s="1">
        <v>5</v>
      </c>
    </row>
    <row r="141" spans="1:11" x14ac:dyDescent="0.25">
      <c r="A141" s="6">
        <v>136</v>
      </c>
      <c r="B141" s="1">
        <v>3</v>
      </c>
      <c r="C141" s="2">
        <v>0.33055555555555555</v>
      </c>
      <c r="D141" s="1" t="s">
        <v>74</v>
      </c>
      <c r="E141" s="1" t="s">
        <v>114</v>
      </c>
      <c r="F141" s="1" t="s">
        <v>106</v>
      </c>
      <c r="G141" s="1" t="s">
        <v>106</v>
      </c>
      <c r="H141" s="1" t="s">
        <v>110</v>
      </c>
      <c r="I141" s="1" t="s">
        <v>106</v>
      </c>
      <c r="J141" s="1">
        <v>5</v>
      </c>
      <c r="K141" s="1">
        <v>5</v>
      </c>
    </row>
    <row r="142" spans="1:11" x14ac:dyDescent="0.25">
      <c r="A142" s="6">
        <v>137</v>
      </c>
      <c r="B142" s="1">
        <v>3</v>
      </c>
      <c r="C142" s="2">
        <v>0.32083333333333336</v>
      </c>
      <c r="D142" s="1" t="s">
        <v>108</v>
      </c>
      <c r="E142" s="1" t="s">
        <v>141</v>
      </c>
      <c r="F142" s="1" t="s">
        <v>123</v>
      </c>
      <c r="H142" s="1" t="s">
        <v>107</v>
      </c>
      <c r="I142" s="1" t="s">
        <v>106</v>
      </c>
      <c r="J142" s="1">
        <v>5</v>
      </c>
      <c r="K142" s="1">
        <v>5</v>
      </c>
    </row>
    <row r="143" spans="1:11" x14ac:dyDescent="0.25">
      <c r="A143" s="6">
        <v>138</v>
      </c>
      <c r="B143" s="1">
        <v>3</v>
      </c>
      <c r="C143" s="2">
        <v>0.29583333333333334</v>
      </c>
      <c r="D143" s="1" t="s">
        <v>108</v>
      </c>
      <c r="E143" s="1" t="s">
        <v>145</v>
      </c>
      <c r="F143" s="1" t="s">
        <v>106</v>
      </c>
      <c r="H143" s="1" t="s">
        <v>110</v>
      </c>
      <c r="I143" s="1" t="s">
        <v>106</v>
      </c>
      <c r="J143" s="1">
        <v>5</v>
      </c>
      <c r="K143" s="1">
        <v>5</v>
      </c>
    </row>
    <row r="144" spans="1:11" x14ac:dyDescent="0.25">
      <c r="A144" s="6">
        <v>139</v>
      </c>
      <c r="B144" s="1">
        <v>3</v>
      </c>
      <c r="C144" s="2">
        <v>0.29097222222222224</v>
      </c>
      <c r="D144" s="1" t="s">
        <v>74</v>
      </c>
      <c r="E144" s="1" t="s">
        <v>104</v>
      </c>
      <c r="F144" s="1" t="s">
        <v>120</v>
      </c>
      <c r="G144" s="1" t="s">
        <v>121</v>
      </c>
      <c r="H144" s="1" t="s">
        <v>110</v>
      </c>
      <c r="I144" s="1" t="s">
        <v>106</v>
      </c>
      <c r="J144" s="1">
        <v>5</v>
      </c>
      <c r="K144" s="1">
        <v>5</v>
      </c>
    </row>
    <row r="145" spans="1:11" x14ac:dyDescent="0.25">
      <c r="A145" s="6">
        <v>140</v>
      </c>
      <c r="B145" s="1">
        <v>3</v>
      </c>
      <c r="C145" s="2">
        <v>0.2638888888888889</v>
      </c>
      <c r="D145" s="1" t="s">
        <v>108</v>
      </c>
      <c r="E145" s="1" t="s">
        <v>128</v>
      </c>
      <c r="F145" s="1" t="s">
        <v>105</v>
      </c>
      <c r="H145" s="1" t="s">
        <v>110</v>
      </c>
      <c r="I145" s="1" t="s">
        <v>106</v>
      </c>
      <c r="J145" s="1">
        <v>4</v>
      </c>
      <c r="K145" s="1">
        <v>4</v>
      </c>
    </row>
    <row r="146" spans="1:11" x14ac:dyDescent="0.25">
      <c r="A146" s="6">
        <v>141</v>
      </c>
      <c r="B146" s="1">
        <v>3</v>
      </c>
      <c r="C146" s="2">
        <v>0.25347222222222221</v>
      </c>
      <c r="D146" s="1" t="s">
        <v>74</v>
      </c>
      <c r="E146" s="1" t="s">
        <v>105</v>
      </c>
      <c r="F146" s="1" t="s">
        <v>147</v>
      </c>
      <c r="G146" s="1" t="s">
        <v>106</v>
      </c>
      <c r="H146" s="1" t="s">
        <v>110</v>
      </c>
      <c r="I146" s="1" t="s">
        <v>106</v>
      </c>
      <c r="J146" s="1">
        <v>4</v>
      </c>
      <c r="K146" s="1">
        <v>4</v>
      </c>
    </row>
    <row r="147" spans="1:11" x14ac:dyDescent="0.25">
      <c r="A147" s="6">
        <v>142</v>
      </c>
      <c r="B147" s="1">
        <v>3</v>
      </c>
      <c r="C147" s="2">
        <v>0.1875</v>
      </c>
      <c r="D147" s="1" t="s">
        <v>108</v>
      </c>
      <c r="E147" s="1" t="s">
        <v>112</v>
      </c>
      <c r="F147" s="1" t="s">
        <v>139</v>
      </c>
      <c r="H147" s="1" t="s">
        <v>107</v>
      </c>
      <c r="I147" s="1" t="s">
        <v>106</v>
      </c>
      <c r="J147" s="1">
        <v>4</v>
      </c>
      <c r="K147" s="1">
        <v>4</v>
      </c>
    </row>
    <row r="148" spans="1:11" x14ac:dyDescent="0.25">
      <c r="A148" s="6">
        <v>143</v>
      </c>
      <c r="B148" s="1">
        <v>3</v>
      </c>
      <c r="C148" s="2">
        <v>0.18124999999999999</v>
      </c>
      <c r="D148" s="1" t="s">
        <v>74</v>
      </c>
      <c r="E148" s="1" t="s">
        <v>139</v>
      </c>
      <c r="F148" s="1" t="s">
        <v>124</v>
      </c>
      <c r="G148" s="1" t="s">
        <v>106</v>
      </c>
      <c r="H148" s="1" t="s">
        <v>110</v>
      </c>
      <c r="I148" s="1" t="s">
        <v>106</v>
      </c>
      <c r="J148" s="1">
        <v>5</v>
      </c>
      <c r="K148" s="1">
        <v>5</v>
      </c>
    </row>
    <row r="149" spans="1:11" x14ac:dyDescent="0.25">
      <c r="A149" s="6">
        <v>144</v>
      </c>
      <c r="B149" s="1">
        <v>3</v>
      </c>
      <c r="C149" s="2">
        <v>0.16597222222222222</v>
      </c>
      <c r="D149" s="1" t="s">
        <v>74</v>
      </c>
      <c r="E149" s="1" t="s">
        <v>111</v>
      </c>
      <c r="F149" s="1" t="s">
        <v>105</v>
      </c>
      <c r="G149" s="1" t="s">
        <v>106</v>
      </c>
      <c r="H149" s="1" t="s">
        <v>107</v>
      </c>
      <c r="I149" s="1" t="s">
        <v>106</v>
      </c>
      <c r="J149" s="1">
        <v>5</v>
      </c>
      <c r="K149" s="1">
        <v>5</v>
      </c>
    </row>
    <row r="150" spans="1:11" x14ac:dyDescent="0.25">
      <c r="A150" s="6">
        <v>145</v>
      </c>
      <c r="B150" s="1">
        <v>3</v>
      </c>
      <c r="C150" s="2">
        <v>0.15972222222222224</v>
      </c>
      <c r="D150" s="1" t="s">
        <v>74</v>
      </c>
      <c r="E150" s="1" t="s">
        <v>114</v>
      </c>
      <c r="F150" s="1" t="s">
        <v>130</v>
      </c>
      <c r="G150" s="1" t="s">
        <v>106</v>
      </c>
      <c r="H150" s="1" t="s">
        <v>110</v>
      </c>
      <c r="I150" s="1" t="s">
        <v>106</v>
      </c>
      <c r="J150" s="1">
        <v>5</v>
      </c>
      <c r="K150" s="1">
        <v>5</v>
      </c>
    </row>
    <row r="151" spans="1:11" x14ac:dyDescent="0.25">
      <c r="A151" s="6">
        <v>146</v>
      </c>
      <c r="B151" s="1">
        <v>3</v>
      </c>
      <c r="C151" s="2">
        <v>0.14652777777777778</v>
      </c>
      <c r="D151" s="1" t="s">
        <v>74</v>
      </c>
      <c r="E151" s="1" t="s">
        <v>123</v>
      </c>
      <c r="F151" s="1" t="s">
        <v>144</v>
      </c>
      <c r="G151" s="1" t="s">
        <v>121</v>
      </c>
      <c r="H151" s="1" t="s">
        <v>107</v>
      </c>
      <c r="I151" s="1" t="s">
        <v>106</v>
      </c>
      <c r="J151" s="1">
        <v>5</v>
      </c>
      <c r="K151" s="1">
        <v>5</v>
      </c>
    </row>
    <row r="152" spans="1:11" x14ac:dyDescent="0.25">
      <c r="A152" s="6">
        <v>147</v>
      </c>
      <c r="B152" s="1">
        <v>3</v>
      </c>
      <c r="C152" s="2">
        <v>0.13680555555555554</v>
      </c>
      <c r="D152" s="1" t="s">
        <v>74</v>
      </c>
      <c r="E152" s="1" t="s">
        <v>120</v>
      </c>
      <c r="F152" s="1" t="s">
        <v>139</v>
      </c>
      <c r="G152" s="1" t="s">
        <v>121</v>
      </c>
      <c r="H152" s="1" t="s">
        <v>107</v>
      </c>
      <c r="I152" s="1" t="s">
        <v>106</v>
      </c>
      <c r="J152" s="1">
        <v>5</v>
      </c>
      <c r="K152" s="1">
        <v>5</v>
      </c>
    </row>
    <row r="153" spans="1:11" x14ac:dyDescent="0.25">
      <c r="A153" s="6">
        <v>148</v>
      </c>
      <c r="B153" s="1">
        <v>3</v>
      </c>
      <c r="C153" s="2">
        <v>0.12847222222222224</v>
      </c>
      <c r="D153" s="1" t="s">
        <v>74</v>
      </c>
      <c r="E153" s="1" t="s">
        <v>128</v>
      </c>
      <c r="F153" s="1" t="s">
        <v>120</v>
      </c>
      <c r="G153" s="1" t="s">
        <v>106</v>
      </c>
      <c r="H153" s="1" t="s">
        <v>110</v>
      </c>
      <c r="I153" s="1" t="s">
        <v>106</v>
      </c>
      <c r="J153" s="1">
        <v>5</v>
      </c>
      <c r="K153" s="1">
        <v>5</v>
      </c>
    </row>
    <row r="154" spans="1:11" x14ac:dyDescent="0.25">
      <c r="A154" s="6">
        <v>149</v>
      </c>
      <c r="B154" s="1">
        <v>3</v>
      </c>
      <c r="C154" s="2">
        <v>0.12152777777777778</v>
      </c>
      <c r="D154" s="1" t="s">
        <v>108</v>
      </c>
      <c r="E154" s="1" t="s">
        <v>142</v>
      </c>
      <c r="F154" s="1" t="s">
        <v>106</v>
      </c>
      <c r="H154" s="1" t="s">
        <v>110</v>
      </c>
      <c r="I154" s="1" t="s">
        <v>106</v>
      </c>
      <c r="J154" s="1">
        <v>5</v>
      </c>
      <c r="K154" s="1">
        <v>5</v>
      </c>
    </row>
    <row r="155" spans="1:11" x14ac:dyDescent="0.25">
      <c r="A155" s="6">
        <v>150</v>
      </c>
      <c r="B155" s="1">
        <v>3</v>
      </c>
      <c r="C155" s="2">
        <v>0.11319444444444444</v>
      </c>
      <c r="D155" s="1" t="s">
        <v>108</v>
      </c>
      <c r="E155" s="1" t="s">
        <v>105</v>
      </c>
      <c r="F155" s="1" t="s">
        <v>106</v>
      </c>
      <c r="H155" s="1" t="s">
        <v>110</v>
      </c>
      <c r="I155" s="1" t="s">
        <v>106</v>
      </c>
      <c r="J155" s="1">
        <v>5</v>
      </c>
      <c r="K155" s="1">
        <v>5</v>
      </c>
    </row>
    <row r="156" spans="1:11" x14ac:dyDescent="0.25">
      <c r="A156" s="6">
        <v>151</v>
      </c>
      <c r="B156" s="1">
        <v>3</v>
      </c>
      <c r="C156" s="2">
        <v>7.1527777777777787E-2</v>
      </c>
      <c r="D156" s="1" t="s">
        <v>74</v>
      </c>
      <c r="E156" s="1" t="s">
        <v>105</v>
      </c>
      <c r="F156" s="1" t="s">
        <v>119</v>
      </c>
      <c r="G156" s="1" t="s">
        <v>106</v>
      </c>
      <c r="H156" s="1" t="s">
        <v>110</v>
      </c>
      <c r="I156" s="1" t="s">
        <v>106</v>
      </c>
      <c r="J156" s="1">
        <v>5</v>
      </c>
      <c r="K156" s="1">
        <v>3</v>
      </c>
    </row>
    <row r="157" spans="1:11" x14ac:dyDescent="0.25">
      <c r="A157" s="6">
        <v>152</v>
      </c>
      <c r="B157" s="1">
        <v>3</v>
      </c>
      <c r="C157" s="2">
        <v>5.9027777777777783E-2</v>
      </c>
      <c r="D157" s="1" t="s">
        <v>74</v>
      </c>
      <c r="E157" s="1" t="s">
        <v>140</v>
      </c>
      <c r="F157" s="1" t="s">
        <v>124</v>
      </c>
      <c r="G157" s="1" t="s">
        <v>121</v>
      </c>
      <c r="H157" s="1" t="s">
        <v>74</v>
      </c>
      <c r="I157" s="1" t="s">
        <v>106</v>
      </c>
      <c r="J157" s="1">
        <v>5</v>
      </c>
      <c r="K157" s="1">
        <v>3</v>
      </c>
    </row>
    <row r="158" spans="1:11" x14ac:dyDescent="0.25">
      <c r="A158" s="6">
        <v>153</v>
      </c>
      <c r="B158" s="1">
        <v>3</v>
      </c>
      <c r="C158" s="2">
        <v>4.7916666666666663E-2</v>
      </c>
      <c r="D158" s="1" t="s">
        <v>108</v>
      </c>
      <c r="E158" s="1" t="s">
        <v>118</v>
      </c>
      <c r="F158" s="1" t="s">
        <v>139</v>
      </c>
      <c r="H158" s="1" t="s">
        <v>110</v>
      </c>
      <c r="I158" s="1" t="s">
        <v>106</v>
      </c>
      <c r="J158" s="1">
        <v>5</v>
      </c>
      <c r="K158" s="1">
        <v>3</v>
      </c>
    </row>
    <row r="159" spans="1:11" x14ac:dyDescent="0.25">
      <c r="A159" s="6">
        <v>154</v>
      </c>
      <c r="B159" s="1">
        <v>3</v>
      </c>
      <c r="C159" s="2">
        <v>3.4722222222222224E-2</v>
      </c>
      <c r="D159" s="1" t="s">
        <v>108</v>
      </c>
      <c r="E159" s="1" t="s">
        <v>146</v>
      </c>
      <c r="F159" s="1" t="s">
        <v>106</v>
      </c>
      <c r="H159" s="1" t="s">
        <v>74</v>
      </c>
      <c r="I159" s="1" t="s">
        <v>106</v>
      </c>
      <c r="J159" s="1">
        <v>5</v>
      </c>
      <c r="K159" s="1">
        <v>3</v>
      </c>
    </row>
    <row r="160" spans="1:11" x14ac:dyDescent="0.25">
      <c r="A160" s="6">
        <v>155</v>
      </c>
      <c r="C160" s="2"/>
      <c r="K160" s="1"/>
    </row>
    <row r="161" spans="1:11" x14ac:dyDescent="0.25">
      <c r="A161" s="6">
        <v>156</v>
      </c>
      <c r="C161" s="2"/>
      <c r="K161" s="1"/>
    </row>
    <row r="162" spans="1:11" x14ac:dyDescent="0.25">
      <c r="A162" s="6">
        <v>157</v>
      </c>
      <c r="C162" s="2"/>
      <c r="K162" s="1"/>
    </row>
    <row r="163" spans="1:11" x14ac:dyDescent="0.25">
      <c r="A163" s="6">
        <v>158</v>
      </c>
      <c r="C163" s="2"/>
      <c r="K163" s="1"/>
    </row>
    <row r="164" spans="1:11" x14ac:dyDescent="0.25">
      <c r="A164" s="6">
        <v>159</v>
      </c>
      <c r="C164" s="2"/>
      <c r="K164" s="1"/>
    </row>
    <row r="165" spans="1:11" x14ac:dyDescent="0.25">
      <c r="A165" s="6">
        <v>160</v>
      </c>
      <c r="C165" s="2"/>
      <c r="K165" s="1"/>
    </row>
    <row r="166" spans="1:11" x14ac:dyDescent="0.25">
      <c r="A166" s="6">
        <v>161</v>
      </c>
      <c r="C166" s="2"/>
      <c r="K166" s="1"/>
    </row>
    <row r="167" spans="1:11" x14ac:dyDescent="0.25">
      <c r="A167" s="6">
        <v>162</v>
      </c>
      <c r="C167" s="2"/>
      <c r="K167" s="1"/>
    </row>
    <row r="168" spans="1:11" x14ac:dyDescent="0.25">
      <c r="A168" s="6">
        <v>163</v>
      </c>
      <c r="C168" s="2"/>
      <c r="K168" s="1"/>
    </row>
    <row r="169" spans="1:11" x14ac:dyDescent="0.25">
      <c r="A169" s="6">
        <v>164</v>
      </c>
      <c r="C169" s="2"/>
      <c r="K169" s="1"/>
    </row>
    <row r="170" spans="1:11" x14ac:dyDescent="0.25">
      <c r="A170" s="6">
        <v>165</v>
      </c>
      <c r="C170" s="2"/>
      <c r="K170" s="1"/>
    </row>
    <row r="171" spans="1:11" x14ac:dyDescent="0.25">
      <c r="A171" s="6">
        <v>166</v>
      </c>
      <c r="C171" s="2"/>
      <c r="K171" s="1"/>
    </row>
    <row r="172" spans="1:11" x14ac:dyDescent="0.25">
      <c r="A172" s="6">
        <v>167</v>
      </c>
      <c r="C172" s="2"/>
      <c r="K172" s="1"/>
    </row>
    <row r="173" spans="1:11" x14ac:dyDescent="0.25">
      <c r="A173" s="6">
        <v>168</v>
      </c>
      <c r="C173" s="2"/>
      <c r="K173" s="1"/>
    </row>
    <row r="174" spans="1:11" x14ac:dyDescent="0.25">
      <c r="A174" s="6">
        <v>169</v>
      </c>
      <c r="C174" s="2"/>
      <c r="K174" s="1"/>
    </row>
    <row r="175" spans="1:11" x14ac:dyDescent="0.25">
      <c r="A175" s="6">
        <v>170</v>
      </c>
      <c r="C175" s="2"/>
      <c r="K175" s="1"/>
    </row>
    <row r="176" spans="1:11" x14ac:dyDescent="0.25">
      <c r="A176" s="6">
        <v>171</v>
      </c>
      <c r="C176" s="2"/>
      <c r="K176" s="1"/>
    </row>
    <row r="177" spans="1:11" x14ac:dyDescent="0.25">
      <c r="A177" s="6">
        <v>172</v>
      </c>
      <c r="C177" s="2"/>
      <c r="K177" s="1"/>
    </row>
    <row r="178" spans="1:11" x14ac:dyDescent="0.25">
      <c r="A178" s="6">
        <v>173</v>
      </c>
      <c r="C178" s="2"/>
      <c r="K178" s="1"/>
    </row>
    <row r="179" spans="1:11" x14ac:dyDescent="0.25">
      <c r="A179" s="6">
        <v>174</v>
      </c>
      <c r="C179" s="2"/>
      <c r="K179" s="1"/>
    </row>
    <row r="180" spans="1:11" x14ac:dyDescent="0.25">
      <c r="A180" s="6">
        <v>175</v>
      </c>
      <c r="C180" s="2"/>
      <c r="K180" s="1"/>
    </row>
    <row r="181" spans="1:11" x14ac:dyDescent="0.25">
      <c r="A181" s="6">
        <v>176</v>
      </c>
      <c r="C181" s="2"/>
      <c r="K181" s="1"/>
    </row>
    <row r="182" spans="1:11" x14ac:dyDescent="0.25">
      <c r="A182" s="6">
        <v>177</v>
      </c>
      <c r="C182" s="2"/>
      <c r="K182" s="1"/>
    </row>
    <row r="183" spans="1:11" x14ac:dyDescent="0.25">
      <c r="A183" s="6">
        <v>178</v>
      </c>
      <c r="C183" s="2"/>
      <c r="K183" s="1"/>
    </row>
    <row r="184" spans="1:11" x14ac:dyDescent="0.25">
      <c r="A184" s="6">
        <v>179</v>
      </c>
      <c r="C184" s="2"/>
      <c r="K184" s="1"/>
    </row>
    <row r="185" spans="1:11" x14ac:dyDescent="0.25">
      <c r="A185" s="6">
        <v>180</v>
      </c>
      <c r="C185" s="2"/>
      <c r="K185" s="1"/>
    </row>
    <row r="186" spans="1:11" x14ac:dyDescent="0.25">
      <c r="A186" s="6">
        <v>181</v>
      </c>
      <c r="C186" s="2"/>
      <c r="K186" s="1"/>
    </row>
    <row r="187" spans="1:11" x14ac:dyDescent="0.25">
      <c r="A187" s="6">
        <v>182</v>
      </c>
      <c r="C187" s="2"/>
      <c r="K187" s="1"/>
    </row>
    <row r="188" spans="1:11" x14ac:dyDescent="0.25">
      <c r="A188" s="6">
        <v>183</v>
      </c>
      <c r="C188" s="2"/>
      <c r="K188" s="1"/>
    </row>
    <row r="189" spans="1:11" x14ac:dyDescent="0.25">
      <c r="A189" s="6">
        <v>184</v>
      </c>
      <c r="C189" s="2"/>
      <c r="K189" s="1"/>
    </row>
    <row r="190" spans="1:11" x14ac:dyDescent="0.25">
      <c r="A190" s="6">
        <v>185</v>
      </c>
      <c r="C190" s="2"/>
      <c r="K190" s="1"/>
    </row>
    <row r="191" spans="1:11" x14ac:dyDescent="0.25">
      <c r="A191" s="6">
        <v>186</v>
      </c>
      <c r="C191" s="2"/>
      <c r="K191" s="1"/>
    </row>
    <row r="192" spans="1:11" x14ac:dyDescent="0.25">
      <c r="A192" s="6">
        <v>187</v>
      </c>
      <c r="C192" s="2"/>
      <c r="K192" s="1"/>
    </row>
    <row r="193" spans="1:11" x14ac:dyDescent="0.25">
      <c r="A193" s="6">
        <v>188</v>
      </c>
      <c r="C193" s="2"/>
      <c r="K193" s="1"/>
    </row>
    <row r="194" spans="1:11" x14ac:dyDescent="0.25">
      <c r="A194" s="6">
        <v>189</v>
      </c>
      <c r="C194" s="2"/>
      <c r="K194" s="1"/>
    </row>
    <row r="195" spans="1:11" x14ac:dyDescent="0.25">
      <c r="A195" s="6">
        <v>190</v>
      </c>
      <c r="C195" s="2"/>
      <c r="K195" s="1"/>
    </row>
    <row r="196" spans="1:11" x14ac:dyDescent="0.25">
      <c r="A196" s="6">
        <v>191</v>
      </c>
      <c r="C196" s="2"/>
      <c r="K196" s="1"/>
    </row>
    <row r="197" spans="1:11" x14ac:dyDescent="0.25">
      <c r="A197" s="6">
        <v>192</v>
      </c>
      <c r="C197" s="2"/>
      <c r="K197" s="1"/>
    </row>
    <row r="198" spans="1:11" x14ac:dyDescent="0.25">
      <c r="A198" s="6">
        <v>193</v>
      </c>
      <c r="C198" s="2"/>
      <c r="K198" s="1"/>
    </row>
    <row r="199" spans="1:11" x14ac:dyDescent="0.25">
      <c r="A199" s="6">
        <v>194</v>
      </c>
      <c r="C199" s="2"/>
      <c r="K199" s="1"/>
    </row>
    <row r="200" spans="1:11" x14ac:dyDescent="0.25">
      <c r="A200" s="6">
        <v>195</v>
      </c>
    </row>
    <row r="201" spans="1:11" x14ac:dyDescent="0.25">
      <c r="A201" s="6">
        <v>196</v>
      </c>
    </row>
    <row r="202" spans="1:11" x14ac:dyDescent="0.25">
      <c r="A202" s="6">
        <v>197</v>
      </c>
    </row>
    <row r="203" spans="1:11" x14ac:dyDescent="0.25">
      <c r="A203" s="6">
        <v>198</v>
      </c>
    </row>
    <row r="204" spans="1:11" x14ac:dyDescent="0.25">
      <c r="A204" s="6">
        <v>199</v>
      </c>
    </row>
    <row r="205" spans="1:11" x14ac:dyDescent="0.25">
      <c r="A205" s="6">
        <v>200</v>
      </c>
    </row>
    <row r="206" spans="1:11" x14ac:dyDescent="0.25">
      <c r="A206" s="6">
        <v>201</v>
      </c>
    </row>
    <row r="207" spans="1:11" x14ac:dyDescent="0.25">
      <c r="A207" s="6">
        <v>202</v>
      </c>
    </row>
    <row r="208" spans="1:11" x14ac:dyDescent="0.25">
      <c r="A208" s="6">
        <v>203</v>
      </c>
    </row>
    <row r="209" spans="1:1" x14ac:dyDescent="0.25">
      <c r="A209" s="6">
        <v>204</v>
      </c>
    </row>
    <row r="210" spans="1:1" x14ac:dyDescent="0.25">
      <c r="A210" s="6">
        <v>205</v>
      </c>
    </row>
    <row r="211" spans="1:1" x14ac:dyDescent="0.25">
      <c r="A211" s="6">
        <v>206</v>
      </c>
    </row>
    <row r="212" spans="1:1" x14ac:dyDescent="0.25">
      <c r="A212" s="6">
        <v>207</v>
      </c>
    </row>
    <row r="213" spans="1:1" x14ac:dyDescent="0.25">
      <c r="A213" s="6">
        <v>208</v>
      </c>
    </row>
    <row r="214" spans="1:1" x14ac:dyDescent="0.25">
      <c r="A214" s="6">
        <v>209</v>
      </c>
    </row>
    <row r="215" spans="1:1" x14ac:dyDescent="0.25">
      <c r="A215" s="6">
        <v>210</v>
      </c>
    </row>
    <row r="216" spans="1:1" x14ac:dyDescent="0.25">
      <c r="A216" s="6">
        <v>211</v>
      </c>
    </row>
    <row r="217" spans="1:1" x14ac:dyDescent="0.25">
      <c r="A217" s="6">
        <v>212</v>
      </c>
    </row>
    <row r="218" spans="1:1" x14ac:dyDescent="0.25">
      <c r="A218" s="6">
        <v>213</v>
      </c>
    </row>
    <row r="219" spans="1:1" x14ac:dyDescent="0.25">
      <c r="A219" s="6">
        <v>214</v>
      </c>
    </row>
    <row r="220" spans="1:1" x14ac:dyDescent="0.25">
      <c r="A220" s="6">
        <v>215</v>
      </c>
    </row>
    <row r="221" spans="1:1" x14ac:dyDescent="0.25">
      <c r="A221" s="6">
        <v>216</v>
      </c>
    </row>
    <row r="222" spans="1:1" x14ac:dyDescent="0.25">
      <c r="A222" s="6">
        <v>217</v>
      </c>
    </row>
    <row r="223" spans="1:1" x14ac:dyDescent="0.25">
      <c r="A223" s="6">
        <v>218</v>
      </c>
    </row>
    <row r="224" spans="1:1" x14ac:dyDescent="0.25">
      <c r="A224" s="6">
        <v>219</v>
      </c>
    </row>
    <row r="225" spans="1:1" x14ac:dyDescent="0.25">
      <c r="A225" s="6">
        <v>220</v>
      </c>
    </row>
    <row r="226" spans="1:1" x14ac:dyDescent="0.25">
      <c r="A226" s="6">
        <v>221</v>
      </c>
    </row>
    <row r="227" spans="1:1" x14ac:dyDescent="0.25">
      <c r="A227" s="6">
        <v>222</v>
      </c>
    </row>
    <row r="228" spans="1:1" x14ac:dyDescent="0.25">
      <c r="A228" s="6">
        <v>223</v>
      </c>
    </row>
    <row r="229" spans="1:1" x14ac:dyDescent="0.25">
      <c r="A229" s="6">
        <v>224</v>
      </c>
    </row>
    <row r="230" spans="1:1" x14ac:dyDescent="0.25">
      <c r="A230" s="6">
        <v>225</v>
      </c>
    </row>
    <row r="231" spans="1:1" x14ac:dyDescent="0.25">
      <c r="A231" s="6">
        <v>226</v>
      </c>
    </row>
    <row r="232" spans="1:1" x14ac:dyDescent="0.25">
      <c r="A232" s="6">
        <v>227</v>
      </c>
    </row>
    <row r="233" spans="1:1" x14ac:dyDescent="0.25">
      <c r="A233" s="6">
        <v>228</v>
      </c>
    </row>
    <row r="234" spans="1:1" x14ac:dyDescent="0.25">
      <c r="A234" s="6">
        <v>229</v>
      </c>
    </row>
    <row r="235" spans="1:1" x14ac:dyDescent="0.25">
      <c r="A235" s="6">
        <v>230</v>
      </c>
    </row>
    <row r="236" spans="1:1" x14ac:dyDescent="0.25">
      <c r="A236" s="6">
        <v>231</v>
      </c>
    </row>
    <row r="237" spans="1:1" x14ac:dyDescent="0.25">
      <c r="A237" s="6">
        <v>232</v>
      </c>
    </row>
    <row r="238" spans="1:1" x14ac:dyDescent="0.25">
      <c r="A238" s="6">
        <v>233</v>
      </c>
    </row>
    <row r="239" spans="1:1" x14ac:dyDescent="0.25">
      <c r="A239" s="6">
        <v>234</v>
      </c>
    </row>
    <row r="240" spans="1:1" x14ac:dyDescent="0.25">
      <c r="A240" s="6">
        <v>235</v>
      </c>
    </row>
    <row r="241" spans="1:1" x14ac:dyDescent="0.25">
      <c r="A241" s="6">
        <v>236</v>
      </c>
    </row>
    <row r="242" spans="1:1" x14ac:dyDescent="0.25">
      <c r="A242" s="6">
        <v>237</v>
      </c>
    </row>
    <row r="243" spans="1:1" x14ac:dyDescent="0.25">
      <c r="A243" s="6">
        <v>238</v>
      </c>
    </row>
    <row r="244" spans="1:1" x14ac:dyDescent="0.25">
      <c r="A244" s="6">
        <v>239</v>
      </c>
    </row>
    <row r="245" spans="1:1" x14ac:dyDescent="0.25">
      <c r="A245" s="6">
        <v>240</v>
      </c>
    </row>
    <row r="246" spans="1:1" x14ac:dyDescent="0.25">
      <c r="A246" s="6">
        <v>241</v>
      </c>
    </row>
    <row r="247" spans="1:1" x14ac:dyDescent="0.25">
      <c r="A247" s="6">
        <v>242</v>
      </c>
    </row>
    <row r="248" spans="1:1" x14ac:dyDescent="0.25">
      <c r="A248" s="6">
        <v>243</v>
      </c>
    </row>
    <row r="249" spans="1:1" x14ac:dyDescent="0.25">
      <c r="A249" s="6">
        <v>244</v>
      </c>
    </row>
    <row r="250" spans="1:1" x14ac:dyDescent="0.25">
      <c r="A250" s="6">
        <v>245</v>
      </c>
    </row>
    <row r="251" spans="1:1" x14ac:dyDescent="0.25">
      <c r="A251" s="6">
        <v>246</v>
      </c>
    </row>
    <row r="252" spans="1:1" x14ac:dyDescent="0.25">
      <c r="A252" s="6">
        <v>247</v>
      </c>
    </row>
    <row r="253" spans="1:1" x14ac:dyDescent="0.25">
      <c r="A253" s="6">
        <v>248</v>
      </c>
    </row>
    <row r="254" spans="1:1" x14ac:dyDescent="0.25">
      <c r="A254" s="6">
        <v>249</v>
      </c>
    </row>
    <row r="255" spans="1:1" x14ac:dyDescent="0.25">
      <c r="A255" s="6">
        <v>250</v>
      </c>
    </row>
    <row r="256" spans="1:1" x14ac:dyDescent="0.25">
      <c r="A256" s="6">
        <v>251</v>
      </c>
    </row>
    <row r="257" spans="1:1" x14ac:dyDescent="0.25">
      <c r="A257" s="6">
        <v>252</v>
      </c>
    </row>
    <row r="258" spans="1:1" x14ac:dyDescent="0.25">
      <c r="A258" s="6">
        <v>253</v>
      </c>
    </row>
    <row r="259" spans="1:1" x14ac:dyDescent="0.25">
      <c r="A259" s="6">
        <v>254</v>
      </c>
    </row>
    <row r="260" spans="1:1" x14ac:dyDescent="0.25">
      <c r="A260" s="6">
        <v>255</v>
      </c>
    </row>
    <row r="261" spans="1:1" x14ac:dyDescent="0.25">
      <c r="A261" s="6">
        <v>256</v>
      </c>
    </row>
    <row r="262" spans="1:1" x14ac:dyDescent="0.25">
      <c r="A262" s="6">
        <v>257</v>
      </c>
    </row>
    <row r="263" spans="1:1" x14ac:dyDescent="0.25">
      <c r="A263" s="6">
        <v>258</v>
      </c>
    </row>
    <row r="264" spans="1:1" x14ac:dyDescent="0.25">
      <c r="A264" s="6">
        <v>259</v>
      </c>
    </row>
    <row r="265" spans="1:1" x14ac:dyDescent="0.25">
      <c r="A265" s="6">
        <v>260</v>
      </c>
    </row>
    <row r="266" spans="1:1" x14ac:dyDescent="0.25">
      <c r="A266" s="6">
        <v>261</v>
      </c>
    </row>
    <row r="267" spans="1:1" x14ac:dyDescent="0.25">
      <c r="A267" s="6">
        <v>262</v>
      </c>
    </row>
    <row r="268" spans="1:1" x14ac:dyDescent="0.25">
      <c r="A268" s="6">
        <v>263</v>
      </c>
    </row>
    <row r="269" spans="1:1" x14ac:dyDescent="0.25">
      <c r="A269" s="6">
        <v>264</v>
      </c>
    </row>
    <row r="270" spans="1:1" x14ac:dyDescent="0.25">
      <c r="A270" s="6">
        <v>265</v>
      </c>
    </row>
    <row r="271" spans="1:1" x14ac:dyDescent="0.25">
      <c r="A271" s="6">
        <v>266</v>
      </c>
    </row>
    <row r="272" spans="1:1" x14ac:dyDescent="0.25">
      <c r="A272" s="6">
        <v>267</v>
      </c>
    </row>
    <row r="273" spans="1:1" x14ac:dyDescent="0.25">
      <c r="A273" s="6">
        <v>268</v>
      </c>
    </row>
    <row r="274" spans="1:1" x14ac:dyDescent="0.25">
      <c r="A274" s="6">
        <v>269</v>
      </c>
    </row>
    <row r="275" spans="1:1" x14ac:dyDescent="0.25">
      <c r="A275" s="6">
        <v>270</v>
      </c>
    </row>
    <row r="276" spans="1:1" x14ac:dyDescent="0.25">
      <c r="A276" s="6">
        <v>271</v>
      </c>
    </row>
    <row r="277" spans="1:1" x14ac:dyDescent="0.25">
      <c r="A277" s="6">
        <v>272</v>
      </c>
    </row>
    <row r="278" spans="1:1" x14ac:dyDescent="0.25">
      <c r="A278" s="6">
        <v>273</v>
      </c>
    </row>
    <row r="279" spans="1:1" x14ac:dyDescent="0.25">
      <c r="A279" s="6">
        <v>274</v>
      </c>
    </row>
    <row r="280" spans="1:1" x14ac:dyDescent="0.25">
      <c r="A280" s="6">
        <v>275</v>
      </c>
    </row>
    <row r="281" spans="1:1" x14ac:dyDescent="0.25">
      <c r="A281" s="6">
        <v>276</v>
      </c>
    </row>
    <row r="282" spans="1:1" x14ac:dyDescent="0.25">
      <c r="A282" s="6">
        <v>277</v>
      </c>
    </row>
    <row r="283" spans="1:1" x14ac:dyDescent="0.25">
      <c r="A283" s="6">
        <v>278</v>
      </c>
    </row>
    <row r="284" spans="1:1" x14ac:dyDescent="0.25">
      <c r="A284" s="6">
        <v>279</v>
      </c>
    </row>
    <row r="285" spans="1:1" x14ac:dyDescent="0.25">
      <c r="A285" s="6">
        <v>280</v>
      </c>
    </row>
    <row r="286" spans="1:1" x14ac:dyDescent="0.25">
      <c r="A286" s="6">
        <v>281</v>
      </c>
    </row>
    <row r="287" spans="1:1" x14ac:dyDescent="0.25">
      <c r="A287" s="6">
        <v>282</v>
      </c>
    </row>
    <row r="288" spans="1:1" x14ac:dyDescent="0.25">
      <c r="A288" s="6">
        <v>283</v>
      </c>
    </row>
    <row r="289" spans="1:1" x14ac:dyDescent="0.25">
      <c r="A289" s="6">
        <v>284</v>
      </c>
    </row>
    <row r="290" spans="1:1" x14ac:dyDescent="0.25">
      <c r="A290" s="6">
        <v>285</v>
      </c>
    </row>
    <row r="291" spans="1:1" x14ac:dyDescent="0.25">
      <c r="A291" s="6">
        <v>286</v>
      </c>
    </row>
    <row r="292" spans="1:1" x14ac:dyDescent="0.25">
      <c r="A292" s="6">
        <v>287</v>
      </c>
    </row>
    <row r="293" spans="1:1" x14ac:dyDescent="0.25">
      <c r="A293" s="6">
        <v>288</v>
      </c>
    </row>
    <row r="294" spans="1:1" x14ac:dyDescent="0.25">
      <c r="A294" s="6">
        <v>289</v>
      </c>
    </row>
    <row r="295" spans="1:1" x14ac:dyDescent="0.25">
      <c r="A295" s="6">
        <v>290</v>
      </c>
    </row>
    <row r="296" spans="1:1" x14ac:dyDescent="0.25">
      <c r="A296" s="6">
        <v>291</v>
      </c>
    </row>
    <row r="297" spans="1:1" x14ac:dyDescent="0.25">
      <c r="A297" s="6">
        <v>292</v>
      </c>
    </row>
    <row r="298" spans="1:1" x14ac:dyDescent="0.25">
      <c r="A298" s="6">
        <v>293</v>
      </c>
    </row>
    <row r="299" spans="1:1" x14ac:dyDescent="0.25">
      <c r="A299" s="6">
        <v>294</v>
      </c>
    </row>
    <row r="300" spans="1:1" x14ac:dyDescent="0.25">
      <c r="A300" s="6">
        <v>295</v>
      </c>
    </row>
    <row r="301" spans="1:1" x14ac:dyDescent="0.25">
      <c r="A301" s="6">
        <v>296</v>
      </c>
    </row>
    <row r="302" spans="1:1" x14ac:dyDescent="0.25">
      <c r="A302" s="6">
        <v>297</v>
      </c>
    </row>
    <row r="303" spans="1:1" x14ac:dyDescent="0.25">
      <c r="A303" s="6">
        <v>298</v>
      </c>
    </row>
    <row r="304" spans="1:1" x14ac:dyDescent="0.25">
      <c r="A304" s="6">
        <v>299</v>
      </c>
    </row>
    <row r="305" spans="1:1" x14ac:dyDescent="0.25">
      <c r="A305" s="6">
        <v>300</v>
      </c>
    </row>
    <row r="306" spans="1:1" x14ac:dyDescent="0.25">
      <c r="A306" s="6">
        <v>301</v>
      </c>
    </row>
    <row r="307" spans="1:1" x14ac:dyDescent="0.25">
      <c r="A307" s="6">
        <v>302</v>
      </c>
    </row>
    <row r="308" spans="1:1" x14ac:dyDescent="0.25">
      <c r="A308" s="6">
        <v>303</v>
      </c>
    </row>
    <row r="309" spans="1:1" x14ac:dyDescent="0.25">
      <c r="A309" s="6">
        <v>304</v>
      </c>
    </row>
    <row r="310" spans="1:1" x14ac:dyDescent="0.25">
      <c r="A310" s="6">
        <v>305</v>
      </c>
    </row>
    <row r="311" spans="1:1" x14ac:dyDescent="0.25">
      <c r="A311" s="6">
        <v>306</v>
      </c>
    </row>
    <row r="312" spans="1:1" x14ac:dyDescent="0.25">
      <c r="A312" s="6">
        <v>307</v>
      </c>
    </row>
    <row r="313" spans="1:1" x14ac:dyDescent="0.25">
      <c r="A313" s="6">
        <v>308</v>
      </c>
    </row>
    <row r="314" spans="1:1" x14ac:dyDescent="0.25">
      <c r="A314" s="6">
        <v>309</v>
      </c>
    </row>
    <row r="315" spans="1:1" x14ac:dyDescent="0.25">
      <c r="A315" s="6">
        <v>310</v>
      </c>
    </row>
    <row r="316" spans="1:1" x14ac:dyDescent="0.25">
      <c r="A316" s="6">
        <v>311</v>
      </c>
    </row>
    <row r="317" spans="1:1" x14ac:dyDescent="0.25">
      <c r="A317" s="6">
        <v>312</v>
      </c>
    </row>
    <row r="318" spans="1:1" x14ac:dyDescent="0.25">
      <c r="A318" s="6">
        <v>313</v>
      </c>
    </row>
    <row r="319" spans="1:1" x14ac:dyDescent="0.25">
      <c r="A319" s="6">
        <v>314</v>
      </c>
    </row>
    <row r="320" spans="1:1" x14ac:dyDescent="0.25">
      <c r="A320" s="6">
        <v>315</v>
      </c>
    </row>
    <row r="321" spans="1:1" x14ac:dyDescent="0.25">
      <c r="A321" s="6">
        <v>316</v>
      </c>
    </row>
    <row r="322" spans="1:1" x14ac:dyDescent="0.25">
      <c r="A322" s="6">
        <v>317</v>
      </c>
    </row>
    <row r="323" spans="1:1" x14ac:dyDescent="0.25">
      <c r="A323" s="6">
        <v>318</v>
      </c>
    </row>
    <row r="324" spans="1:1" x14ac:dyDescent="0.25">
      <c r="A324" s="6">
        <v>319</v>
      </c>
    </row>
    <row r="325" spans="1:1" x14ac:dyDescent="0.25">
      <c r="A325" s="6">
        <v>320</v>
      </c>
    </row>
    <row r="326" spans="1:1" x14ac:dyDescent="0.25">
      <c r="A326" s="6">
        <v>321</v>
      </c>
    </row>
    <row r="327" spans="1:1" x14ac:dyDescent="0.25">
      <c r="A327" s="6">
        <v>322</v>
      </c>
    </row>
    <row r="328" spans="1:1" x14ac:dyDescent="0.25">
      <c r="A328" s="6">
        <v>323</v>
      </c>
    </row>
    <row r="329" spans="1:1" x14ac:dyDescent="0.25">
      <c r="A329" s="6">
        <v>324</v>
      </c>
    </row>
    <row r="330" spans="1:1" x14ac:dyDescent="0.25">
      <c r="A330" s="6">
        <v>325</v>
      </c>
    </row>
    <row r="331" spans="1:1" x14ac:dyDescent="0.25">
      <c r="A331" s="6">
        <v>326</v>
      </c>
    </row>
    <row r="332" spans="1:1" x14ac:dyDescent="0.25">
      <c r="A332" s="6">
        <v>327</v>
      </c>
    </row>
    <row r="333" spans="1:1" x14ac:dyDescent="0.25">
      <c r="A333" s="6">
        <v>328</v>
      </c>
    </row>
    <row r="334" spans="1:1" x14ac:dyDescent="0.25">
      <c r="A334" s="6">
        <v>329</v>
      </c>
    </row>
    <row r="335" spans="1:1" x14ac:dyDescent="0.25">
      <c r="A335" s="6">
        <v>330</v>
      </c>
    </row>
    <row r="336" spans="1:1" x14ac:dyDescent="0.25">
      <c r="A336" s="6">
        <v>331</v>
      </c>
    </row>
    <row r="337" spans="1:1" x14ac:dyDescent="0.25">
      <c r="A337" s="6">
        <v>332</v>
      </c>
    </row>
    <row r="338" spans="1:1" x14ac:dyDescent="0.25">
      <c r="A338" s="6">
        <v>333</v>
      </c>
    </row>
    <row r="339" spans="1:1" x14ac:dyDescent="0.25">
      <c r="A339" s="6">
        <v>334</v>
      </c>
    </row>
    <row r="340" spans="1:1" x14ac:dyDescent="0.25">
      <c r="A340" s="6">
        <v>335</v>
      </c>
    </row>
    <row r="341" spans="1:1" x14ac:dyDescent="0.25">
      <c r="A341" s="6">
        <v>336</v>
      </c>
    </row>
    <row r="342" spans="1:1" x14ac:dyDescent="0.25">
      <c r="A342" s="6">
        <v>337</v>
      </c>
    </row>
    <row r="343" spans="1:1" x14ac:dyDescent="0.25">
      <c r="A343" s="6">
        <v>338</v>
      </c>
    </row>
    <row r="344" spans="1:1" x14ac:dyDescent="0.25">
      <c r="A344" s="6">
        <v>339</v>
      </c>
    </row>
    <row r="345" spans="1:1" x14ac:dyDescent="0.25">
      <c r="A345" s="6">
        <v>340</v>
      </c>
    </row>
    <row r="346" spans="1:1" x14ac:dyDescent="0.25">
      <c r="A346" s="6">
        <v>341</v>
      </c>
    </row>
    <row r="347" spans="1:1" x14ac:dyDescent="0.25">
      <c r="A347" s="6">
        <v>342</v>
      </c>
    </row>
    <row r="348" spans="1:1" x14ac:dyDescent="0.25">
      <c r="A348" s="6">
        <v>343</v>
      </c>
    </row>
    <row r="349" spans="1:1" x14ac:dyDescent="0.25">
      <c r="A349" s="6">
        <v>344</v>
      </c>
    </row>
    <row r="350" spans="1:1" x14ac:dyDescent="0.25">
      <c r="A350" s="6">
        <v>345</v>
      </c>
    </row>
    <row r="351" spans="1:1" x14ac:dyDescent="0.25">
      <c r="A351" s="6">
        <v>346</v>
      </c>
    </row>
    <row r="352" spans="1:1" x14ac:dyDescent="0.25">
      <c r="A352" s="6">
        <v>347</v>
      </c>
    </row>
    <row r="353" spans="1:1" x14ac:dyDescent="0.25">
      <c r="A353" s="6">
        <v>348</v>
      </c>
    </row>
    <row r="354" spans="1:1" x14ac:dyDescent="0.25">
      <c r="A354" s="6">
        <v>349</v>
      </c>
    </row>
    <row r="355" spans="1:1" x14ac:dyDescent="0.25">
      <c r="A355" s="6">
        <v>350</v>
      </c>
    </row>
    <row r="356" spans="1:1" x14ac:dyDescent="0.25">
      <c r="A356" s="6">
        <v>351</v>
      </c>
    </row>
    <row r="357" spans="1:1" x14ac:dyDescent="0.25">
      <c r="A357" s="6">
        <v>352</v>
      </c>
    </row>
    <row r="358" spans="1:1" x14ac:dyDescent="0.25">
      <c r="A358" s="6">
        <v>353</v>
      </c>
    </row>
    <row r="359" spans="1:1" x14ac:dyDescent="0.25">
      <c r="A359" s="6">
        <v>354</v>
      </c>
    </row>
    <row r="360" spans="1:1" x14ac:dyDescent="0.25">
      <c r="A360" s="6">
        <v>355</v>
      </c>
    </row>
    <row r="361" spans="1:1" x14ac:dyDescent="0.25">
      <c r="A361" s="6">
        <v>356</v>
      </c>
    </row>
    <row r="362" spans="1:1" x14ac:dyDescent="0.25">
      <c r="A362" s="6">
        <v>357</v>
      </c>
    </row>
    <row r="363" spans="1:1" x14ac:dyDescent="0.25">
      <c r="A363" s="6">
        <v>358</v>
      </c>
    </row>
    <row r="364" spans="1:1" x14ac:dyDescent="0.25">
      <c r="A364" s="6">
        <v>359</v>
      </c>
    </row>
    <row r="365" spans="1:1" x14ac:dyDescent="0.25">
      <c r="A365" s="6">
        <v>360</v>
      </c>
    </row>
    <row r="366" spans="1:1" x14ac:dyDescent="0.25">
      <c r="A366" s="6">
        <v>361</v>
      </c>
    </row>
    <row r="367" spans="1:1" x14ac:dyDescent="0.25">
      <c r="A367" s="6">
        <v>362</v>
      </c>
    </row>
    <row r="368" spans="1:1" x14ac:dyDescent="0.25">
      <c r="A368" s="6">
        <v>363</v>
      </c>
    </row>
    <row r="369" spans="1:1" x14ac:dyDescent="0.25">
      <c r="A369" s="6">
        <v>364</v>
      </c>
    </row>
    <row r="370" spans="1:1" x14ac:dyDescent="0.25">
      <c r="A370" s="6">
        <v>365</v>
      </c>
    </row>
    <row r="371" spans="1:1" x14ac:dyDescent="0.25">
      <c r="A371" s="6">
        <v>366</v>
      </c>
    </row>
    <row r="372" spans="1:1" x14ac:dyDescent="0.25">
      <c r="A372" s="6">
        <v>367</v>
      </c>
    </row>
    <row r="373" spans="1:1" x14ac:dyDescent="0.25">
      <c r="A373" s="6">
        <v>368</v>
      </c>
    </row>
    <row r="374" spans="1:1" x14ac:dyDescent="0.25">
      <c r="A374" s="6">
        <v>369</v>
      </c>
    </row>
    <row r="375" spans="1:1" x14ac:dyDescent="0.25">
      <c r="A375" s="6">
        <v>370</v>
      </c>
    </row>
    <row r="376" spans="1:1" x14ac:dyDescent="0.25">
      <c r="A376" s="6">
        <v>371</v>
      </c>
    </row>
    <row r="377" spans="1:1" x14ac:dyDescent="0.25">
      <c r="A377" s="6">
        <v>372</v>
      </c>
    </row>
    <row r="378" spans="1:1" x14ac:dyDescent="0.25">
      <c r="A378" s="6">
        <v>373</v>
      </c>
    </row>
    <row r="379" spans="1:1" x14ac:dyDescent="0.25">
      <c r="A379" s="6">
        <v>374</v>
      </c>
    </row>
    <row r="380" spans="1:1" x14ac:dyDescent="0.25">
      <c r="A380" s="6">
        <v>375</v>
      </c>
    </row>
    <row r="381" spans="1:1" x14ac:dyDescent="0.25">
      <c r="A381" s="6">
        <v>376</v>
      </c>
    </row>
    <row r="382" spans="1:1" x14ac:dyDescent="0.25">
      <c r="A382" s="6">
        <v>377</v>
      </c>
    </row>
    <row r="383" spans="1:1" x14ac:dyDescent="0.25">
      <c r="A383" s="6">
        <v>378</v>
      </c>
    </row>
    <row r="384" spans="1:1" x14ac:dyDescent="0.25">
      <c r="A384" s="6">
        <v>379</v>
      </c>
    </row>
    <row r="385" spans="1:1" x14ac:dyDescent="0.25">
      <c r="A385" s="6">
        <v>380</v>
      </c>
    </row>
    <row r="386" spans="1:1" x14ac:dyDescent="0.25">
      <c r="A386" s="6">
        <v>381</v>
      </c>
    </row>
    <row r="387" spans="1:1" x14ac:dyDescent="0.25">
      <c r="A387" s="6">
        <v>382</v>
      </c>
    </row>
    <row r="388" spans="1:1" x14ac:dyDescent="0.25">
      <c r="A388" s="6">
        <v>383</v>
      </c>
    </row>
    <row r="389" spans="1:1" x14ac:dyDescent="0.25">
      <c r="A389" s="6">
        <v>384</v>
      </c>
    </row>
    <row r="390" spans="1:1" x14ac:dyDescent="0.25">
      <c r="A390" s="6">
        <v>385</v>
      </c>
    </row>
    <row r="391" spans="1:1" x14ac:dyDescent="0.25">
      <c r="A391" s="6">
        <v>386</v>
      </c>
    </row>
    <row r="392" spans="1:1" x14ac:dyDescent="0.25">
      <c r="A392" s="6">
        <v>387</v>
      </c>
    </row>
    <row r="393" spans="1:1" x14ac:dyDescent="0.25">
      <c r="A393" s="6">
        <v>388</v>
      </c>
    </row>
    <row r="394" spans="1:1" x14ac:dyDescent="0.25">
      <c r="A394" s="6">
        <v>389</v>
      </c>
    </row>
    <row r="395" spans="1:1" x14ac:dyDescent="0.25">
      <c r="A395" s="6">
        <v>390</v>
      </c>
    </row>
    <row r="396" spans="1:1" x14ac:dyDescent="0.25">
      <c r="A396" s="6">
        <v>391</v>
      </c>
    </row>
    <row r="397" spans="1:1" x14ac:dyDescent="0.25">
      <c r="A397" s="6">
        <v>392</v>
      </c>
    </row>
    <row r="398" spans="1:1" x14ac:dyDescent="0.25">
      <c r="A398" s="6">
        <v>393</v>
      </c>
    </row>
    <row r="399" spans="1:1" x14ac:dyDescent="0.25">
      <c r="A399" s="6">
        <v>394</v>
      </c>
    </row>
    <row r="400" spans="1:1" x14ac:dyDescent="0.25">
      <c r="A400" s="6">
        <v>395</v>
      </c>
    </row>
    <row r="401" spans="1:1" x14ac:dyDescent="0.25">
      <c r="A401" s="6">
        <v>396</v>
      </c>
    </row>
    <row r="402" spans="1:1" x14ac:dyDescent="0.25">
      <c r="A402" s="6">
        <v>397</v>
      </c>
    </row>
    <row r="403" spans="1:1" x14ac:dyDescent="0.25">
      <c r="A403" s="6">
        <v>398</v>
      </c>
    </row>
    <row r="404" spans="1:1" x14ac:dyDescent="0.25">
      <c r="A404" s="6">
        <v>399</v>
      </c>
    </row>
    <row r="405" spans="1:1" x14ac:dyDescent="0.25">
      <c r="A405" s="6">
        <v>400</v>
      </c>
    </row>
    <row r="406" spans="1:1" x14ac:dyDescent="0.25">
      <c r="A406" s="6">
        <v>401</v>
      </c>
    </row>
    <row r="407" spans="1:1" x14ac:dyDescent="0.25">
      <c r="A407" s="6">
        <v>402</v>
      </c>
    </row>
    <row r="408" spans="1:1" x14ac:dyDescent="0.25">
      <c r="A408" s="6">
        <v>403</v>
      </c>
    </row>
    <row r="409" spans="1:1" x14ac:dyDescent="0.25">
      <c r="A409" s="6">
        <v>404</v>
      </c>
    </row>
    <row r="410" spans="1:1" x14ac:dyDescent="0.25">
      <c r="A410" s="6">
        <v>405</v>
      </c>
    </row>
    <row r="411" spans="1:1" x14ac:dyDescent="0.25">
      <c r="A411" s="6">
        <v>406</v>
      </c>
    </row>
    <row r="412" spans="1:1" x14ac:dyDescent="0.25">
      <c r="A412" s="6">
        <v>407</v>
      </c>
    </row>
    <row r="413" spans="1:1" x14ac:dyDescent="0.25">
      <c r="A413" s="6">
        <v>408</v>
      </c>
    </row>
    <row r="414" spans="1:1" x14ac:dyDescent="0.25">
      <c r="A414" s="6">
        <v>409</v>
      </c>
    </row>
    <row r="415" spans="1:1" x14ac:dyDescent="0.25">
      <c r="A415" s="6">
        <v>410</v>
      </c>
    </row>
    <row r="416" spans="1:1" x14ac:dyDescent="0.25">
      <c r="A416" s="6">
        <v>411</v>
      </c>
    </row>
    <row r="417" spans="1:1" x14ac:dyDescent="0.25">
      <c r="A417" s="6">
        <v>412</v>
      </c>
    </row>
    <row r="418" spans="1:1" x14ac:dyDescent="0.25">
      <c r="A418" s="6">
        <v>413</v>
      </c>
    </row>
    <row r="419" spans="1:1" x14ac:dyDescent="0.25">
      <c r="A419" s="6">
        <v>414</v>
      </c>
    </row>
    <row r="420" spans="1:1" x14ac:dyDescent="0.25">
      <c r="A420" s="6">
        <v>415</v>
      </c>
    </row>
    <row r="421" spans="1:1" x14ac:dyDescent="0.25">
      <c r="A421" s="6">
        <v>416</v>
      </c>
    </row>
    <row r="422" spans="1:1" x14ac:dyDescent="0.25">
      <c r="A422" s="6">
        <v>417</v>
      </c>
    </row>
    <row r="423" spans="1:1" x14ac:dyDescent="0.25">
      <c r="A423" s="6">
        <v>418</v>
      </c>
    </row>
    <row r="424" spans="1:1" x14ac:dyDescent="0.25">
      <c r="A424" s="6">
        <v>419</v>
      </c>
    </row>
    <row r="425" spans="1:1" x14ac:dyDescent="0.25">
      <c r="A425" s="6">
        <v>420</v>
      </c>
    </row>
    <row r="426" spans="1:1" x14ac:dyDescent="0.25">
      <c r="A426" s="6">
        <v>421</v>
      </c>
    </row>
    <row r="427" spans="1:1" x14ac:dyDescent="0.25">
      <c r="A427" s="6">
        <v>422</v>
      </c>
    </row>
    <row r="428" spans="1:1" x14ac:dyDescent="0.25">
      <c r="A428" s="6">
        <v>423</v>
      </c>
    </row>
    <row r="429" spans="1:1" x14ac:dyDescent="0.25">
      <c r="A429" s="6">
        <v>424</v>
      </c>
    </row>
    <row r="430" spans="1:1" x14ac:dyDescent="0.25">
      <c r="A430" s="6">
        <v>425</v>
      </c>
    </row>
    <row r="431" spans="1:1" x14ac:dyDescent="0.25">
      <c r="A431" s="6">
        <v>426</v>
      </c>
    </row>
    <row r="432" spans="1:1" x14ac:dyDescent="0.25">
      <c r="A432" s="6">
        <v>427</v>
      </c>
    </row>
    <row r="433" spans="1:1" x14ac:dyDescent="0.25">
      <c r="A433" s="6">
        <v>428</v>
      </c>
    </row>
    <row r="434" spans="1:1" x14ac:dyDescent="0.25">
      <c r="A434" s="6">
        <v>429</v>
      </c>
    </row>
    <row r="435" spans="1:1" x14ac:dyDescent="0.25">
      <c r="A435" s="6">
        <v>430</v>
      </c>
    </row>
    <row r="436" spans="1:1" x14ac:dyDescent="0.25">
      <c r="A436" s="6">
        <v>431</v>
      </c>
    </row>
    <row r="437" spans="1:1" x14ac:dyDescent="0.25">
      <c r="A437" s="6">
        <v>432</v>
      </c>
    </row>
    <row r="438" spans="1:1" x14ac:dyDescent="0.25">
      <c r="A438" s="6">
        <v>433</v>
      </c>
    </row>
    <row r="439" spans="1:1" x14ac:dyDescent="0.25">
      <c r="A439" s="6">
        <v>434</v>
      </c>
    </row>
    <row r="440" spans="1:1" x14ac:dyDescent="0.25">
      <c r="A440" s="6">
        <v>435</v>
      </c>
    </row>
    <row r="441" spans="1:1" x14ac:dyDescent="0.25">
      <c r="A441" s="6">
        <v>436</v>
      </c>
    </row>
    <row r="442" spans="1:1" x14ac:dyDescent="0.25">
      <c r="A442" s="6">
        <v>437</v>
      </c>
    </row>
    <row r="443" spans="1:1" x14ac:dyDescent="0.25">
      <c r="A443" s="6">
        <v>438</v>
      </c>
    </row>
    <row r="444" spans="1:1" x14ac:dyDescent="0.25">
      <c r="A444" s="6">
        <v>439</v>
      </c>
    </row>
    <row r="445" spans="1:1" x14ac:dyDescent="0.25">
      <c r="A445" s="6">
        <v>440</v>
      </c>
    </row>
    <row r="446" spans="1:1" x14ac:dyDescent="0.25">
      <c r="A446" s="6">
        <v>441</v>
      </c>
    </row>
    <row r="447" spans="1:1" x14ac:dyDescent="0.25">
      <c r="A447" s="6">
        <v>442</v>
      </c>
    </row>
    <row r="448" spans="1:1" x14ac:dyDescent="0.25">
      <c r="A448" s="6">
        <v>443</v>
      </c>
    </row>
    <row r="449" spans="1:1" x14ac:dyDescent="0.25">
      <c r="A449" s="6">
        <v>444</v>
      </c>
    </row>
    <row r="450" spans="1:1" x14ac:dyDescent="0.25">
      <c r="A450" s="6">
        <v>445</v>
      </c>
    </row>
    <row r="451" spans="1:1" x14ac:dyDescent="0.25">
      <c r="A451" s="6">
        <v>446</v>
      </c>
    </row>
    <row r="452" spans="1:1" x14ac:dyDescent="0.25">
      <c r="A452" s="6">
        <v>447</v>
      </c>
    </row>
    <row r="453" spans="1:1" x14ac:dyDescent="0.25">
      <c r="A453" s="6">
        <v>448</v>
      </c>
    </row>
    <row r="454" spans="1:1" x14ac:dyDescent="0.25">
      <c r="A454" s="6">
        <v>449</v>
      </c>
    </row>
    <row r="455" spans="1:1" x14ac:dyDescent="0.25">
      <c r="A455" s="6">
        <v>450</v>
      </c>
    </row>
    <row r="456" spans="1:1" x14ac:dyDescent="0.25">
      <c r="A456" s="6">
        <v>451</v>
      </c>
    </row>
    <row r="457" spans="1:1" x14ac:dyDescent="0.25">
      <c r="A457" s="6">
        <v>452</v>
      </c>
    </row>
    <row r="458" spans="1:1" x14ac:dyDescent="0.25">
      <c r="A458" s="6">
        <v>453</v>
      </c>
    </row>
    <row r="459" spans="1:1" x14ac:dyDescent="0.25">
      <c r="A459" s="6">
        <v>454</v>
      </c>
    </row>
    <row r="460" spans="1:1" x14ac:dyDescent="0.25">
      <c r="A460" s="6">
        <v>455</v>
      </c>
    </row>
    <row r="461" spans="1:1" x14ac:dyDescent="0.25">
      <c r="A461" s="6">
        <v>456</v>
      </c>
    </row>
    <row r="462" spans="1:1" x14ac:dyDescent="0.25">
      <c r="A462" s="6">
        <v>457</v>
      </c>
    </row>
    <row r="463" spans="1:1" x14ac:dyDescent="0.25">
      <c r="A463" s="6">
        <v>458</v>
      </c>
    </row>
    <row r="464" spans="1:1" x14ac:dyDescent="0.25">
      <c r="A464" s="6">
        <v>459</v>
      </c>
    </row>
    <row r="465" spans="1:1" x14ac:dyDescent="0.25">
      <c r="A465" s="6">
        <v>460</v>
      </c>
    </row>
    <row r="466" spans="1:1" x14ac:dyDescent="0.25">
      <c r="A466" s="6">
        <v>461</v>
      </c>
    </row>
    <row r="467" spans="1:1" x14ac:dyDescent="0.25">
      <c r="A467" s="6">
        <v>462</v>
      </c>
    </row>
    <row r="468" spans="1:1" x14ac:dyDescent="0.25">
      <c r="A468" s="6">
        <v>463</v>
      </c>
    </row>
    <row r="469" spans="1:1" x14ac:dyDescent="0.25">
      <c r="A469" s="6">
        <v>464</v>
      </c>
    </row>
    <row r="470" spans="1:1" x14ac:dyDescent="0.25">
      <c r="A470" s="6">
        <v>465</v>
      </c>
    </row>
    <row r="471" spans="1:1" x14ac:dyDescent="0.25">
      <c r="A471" s="6">
        <v>466</v>
      </c>
    </row>
    <row r="472" spans="1:1" x14ac:dyDescent="0.25">
      <c r="A472" s="6">
        <v>467</v>
      </c>
    </row>
    <row r="473" spans="1:1" x14ac:dyDescent="0.25">
      <c r="A473" s="6">
        <v>468</v>
      </c>
    </row>
    <row r="474" spans="1:1" x14ac:dyDescent="0.25">
      <c r="A474" s="6">
        <v>469</v>
      </c>
    </row>
    <row r="475" spans="1:1" x14ac:dyDescent="0.25">
      <c r="A475" s="6">
        <v>470</v>
      </c>
    </row>
    <row r="476" spans="1:1" x14ac:dyDescent="0.25">
      <c r="A476" s="6">
        <v>471</v>
      </c>
    </row>
    <row r="477" spans="1:1" x14ac:dyDescent="0.25">
      <c r="A477" s="6">
        <v>472</v>
      </c>
    </row>
    <row r="478" spans="1:1" x14ac:dyDescent="0.25">
      <c r="A478" s="6">
        <v>473</v>
      </c>
    </row>
    <row r="479" spans="1:1" x14ac:dyDescent="0.25">
      <c r="A479" s="6">
        <v>474</v>
      </c>
    </row>
    <row r="480" spans="1:1" x14ac:dyDescent="0.25">
      <c r="A480" s="6">
        <v>475</v>
      </c>
    </row>
    <row r="481" spans="1:1" x14ac:dyDescent="0.25">
      <c r="A481" s="6">
        <v>476</v>
      </c>
    </row>
    <row r="482" spans="1:1" x14ac:dyDescent="0.25">
      <c r="A482" s="6">
        <v>477</v>
      </c>
    </row>
    <row r="483" spans="1:1" x14ac:dyDescent="0.25">
      <c r="A483" s="6">
        <v>478</v>
      </c>
    </row>
    <row r="484" spans="1:1" x14ac:dyDescent="0.25">
      <c r="A484" s="6">
        <v>479</v>
      </c>
    </row>
    <row r="485" spans="1:1" x14ac:dyDescent="0.25">
      <c r="A485" s="6">
        <v>480</v>
      </c>
    </row>
    <row r="486" spans="1:1" x14ac:dyDescent="0.25">
      <c r="A486" s="6">
        <v>481</v>
      </c>
    </row>
    <row r="487" spans="1:1" x14ac:dyDescent="0.25">
      <c r="A487" s="6">
        <v>482</v>
      </c>
    </row>
    <row r="488" spans="1:1" x14ac:dyDescent="0.25">
      <c r="A488" s="6">
        <v>483</v>
      </c>
    </row>
    <row r="489" spans="1:1" x14ac:dyDescent="0.25">
      <c r="A489" s="6">
        <v>484</v>
      </c>
    </row>
    <row r="490" spans="1:1" x14ac:dyDescent="0.25">
      <c r="A490" s="6">
        <v>485</v>
      </c>
    </row>
    <row r="491" spans="1:1" x14ac:dyDescent="0.25">
      <c r="A491" s="6">
        <v>486</v>
      </c>
    </row>
    <row r="492" spans="1:1" x14ac:dyDescent="0.25">
      <c r="A492" s="6">
        <v>487</v>
      </c>
    </row>
    <row r="493" spans="1:1" x14ac:dyDescent="0.25">
      <c r="A493" s="6">
        <v>488</v>
      </c>
    </row>
    <row r="494" spans="1:1" x14ac:dyDescent="0.25">
      <c r="A494" s="6">
        <v>489</v>
      </c>
    </row>
    <row r="495" spans="1:1" x14ac:dyDescent="0.25">
      <c r="A495" s="6">
        <v>490</v>
      </c>
    </row>
    <row r="496" spans="1:1" x14ac:dyDescent="0.25">
      <c r="A496" s="6">
        <v>491</v>
      </c>
    </row>
    <row r="497" spans="1:1" x14ac:dyDescent="0.25">
      <c r="A497" s="6">
        <v>492</v>
      </c>
    </row>
    <row r="498" spans="1:1" x14ac:dyDescent="0.25">
      <c r="A498" s="6">
        <v>493</v>
      </c>
    </row>
    <row r="499" spans="1:1" x14ac:dyDescent="0.25">
      <c r="A499" s="6">
        <v>494</v>
      </c>
    </row>
    <row r="500" spans="1:1" x14ac:dyDescent="0.25">
      <c r="A500" s="6">
        <v>495</v>
      </c>
    </row>
    <row r="501" spans="1:1" x14ac:dyDescent="0.25">
      <c r="A501" s="6">
        <v>496</v>
      </c>
    </row>
    <row r="502" spans="1:1" x14ac:dyDescent="0.25">
      <c r="A502" s="6">
        <v>497</v>
      </c>
    </row>
    <row r="503" spans="1:1" x14ac:dyDescent="0.25">
      <c r="A503" s="6">
        <v>498</v>
      </c>
    </row>
    <row r="504" spans="1:1" x14ac:dyDescent="0.25">
      <c r="A504" s="6">
        <v>499</v>
      </c>
    </row>
    <row r="505" spans="1:1" x14ac:dyDescent="0.25">
      <c r="A505" s="6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13"/>
  <sheetViews>
    <sheetView workbookViewId="0"/>
  </sheetViews>
  <sheetFormatPr defaultColWidth="8.85546875" defaultRowHeight="15" x14ac:dyDescent="0.25"/>
  <cols>
    <col min="1" max="1" width="58.140625" style="4" bestFit="1" customWidth="1"/>
    <col min="2" max="2" width="2" style="4" customWidth="1"/>
    <col min="3" max="3" width="8.85546875" style="4"/>
    <col min="4" max="4" width="45.140625" style="4" bestFit="1" customWidth="1"/>
    <col min="5" max="5" width="20.5703125" style="4" bestFit="1" customWidth="1"/>
    <col min="6" max="6" width="2" style="4" customWidth="1"/>
    <col min="7" max="7" width="19.140625" style="4" bestFit="1" customWidth="1"/>
    <col min="8" max="8" width="4" style="4" customWidth="1"/>
    <col min="9" max="9" width="3.42578125" style="4" customWidth="1"/>
    <col min="10" max="10" width="7.85546875" style="4" customWidth="1"/>
    <col min="11" max="11" width="6.7109375" style="4" customWidth="1"/>
    <col min="12" max="12" width="72.5703125" style="4" customWidth="1"/>
    <col min="13" max="13" width="10.7109375" style="4" bestFit="1" customWidth="1"/>
    <col min="14" max="14" width="8.85546875" style="4"/>
    <col min="15" max="15" width="3" style="4" customWidth="1"/>
    <col min="16" max="16" width="8.85546875" style="4"/>
    <col min="17" max="17" width="3" style="4" customWidth="1"/>
    <col min="18" max="18" width="8.85546875" style="4"/>
    <col min="19" max="19" width="3" style="4" customWidth="1"/>
    <col min="20" max="20" width="8.85546875" style="4"/>
    <col min="21" max="21" width="3" style="4" customWidth="1"/>
    <col min="22" max="22" width="8.85546875" style="4"/>
    <col min="23" max="23" width="3" style="4" customWidth="1"/>
    <col min="24" max="24" width="10.28515625" style="4" customWidth="1"/>
    <col min="25" max="25" width="8.85546875" style="4"/>
    <col min="26" max="26" width="3" style="4" customWidth="1"/>
    <col min="27" max="27" width="8.85546875" style="4"/>
    <col min="28" max="28" width="3" style="4" customWidth="1"/>
    <col min="29" max="29" width="8.85546875" style="4"/>
    <col min="30" max="30" width="3" style="4" customWidth="1"/>
    <col min="31" max="31" width="8.85546875" style="4"/>
    <col min="32" max="32" width="3" style="4" customWidth="1"/>
    <col min="33" max="33" width="8.85546875" style="4"/>
    <col min="34" max="34" width="3" style="4" customWidth="1"/>
    <col min="35" max="16384" width="8.85546875" style="4"/>
  </cols>
  <sheetData>
    <row r="1" spans="1:34" x14ac:dyDescent="0.25">
      <c r="A1" s="11" t="s">
        <v>151</v>
      </c>
      <c r="B1" s="11"/>
      <c r="C1" s="11"/>
      <c r="D1" s="11" t="s">
        <v>154</v>
      </c>
      <c r="E1" s="11" t="s">
        <v>160</v>
      </c>
      <c r="F1" s="11"/>
      <c r="G1" s="11"/>
      <c r="H1" s="11"/>
      <c r="I1" s="11"/>
      <c r="J1" s="11"/>
      <c r="K1" s="11"/>
      <c r="L1" s="12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</row>
    <row r="2" spans="1:34" x14ac:dyDescent="0.25">
      <c r="A2" s="11" t="s">
        <v>152</v>
      </c>
      <c r="B2" s="11">
        <v>3</v>
      </c>
      <c r="C2" s="11"/>
      <c r="D2" s="11"/>
      <c r="E2" s="11"/>
      <c r="F2" s="11">
        <v>5</v>
      </c>
      <c r="G2" s="11" t="s">
        <v>161</v>
      </c>
      <c r="H2" s="11"/>
      <c r="I2" s="11"/>
      <c r="J2" s="11"/>
      <c r="K2" s="11"/>
      <c r="L2" s="12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</row>
    <row r="3" spans="1:34" x14ac:dyDescent="0.25">
      <c r="A3" s="11" t="s">
        <v>152</v>
      </c>
      <c r="B3" s="11"/>
      <c r="C3" s="11"/>
      <c r="D3" s="11"/>
      <c r="E3" s="11" t="s">
        <v>161</v>
      </c>
      <c r="F3" s="11"/>
      <c r="G3" s="11"/>
      <c r="H3" s="11"/>
      <c r="I3" s="11"/>
      <c r="J3" s="11"/>
      <c r="K3" s="11"/>
      <c r="L3" s="12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</row>
    <row r="4" spans="1:34" x14ac:dyDescent="0.25">
      <c r="A4" s="11" t="s">
        <v>153</v>
      </c>
      <c r="B4" s="11"/>
      <c r="C4" s="11"/>
      <c r="D4" s="11" t="s">
        <v>155</v>
      </c>
      <c r="E4" s="11" t="s">
        <v>162</v>
      </c>
      <c r="F4" s="11"/>
      <c r="G4" s="11"/>
      <c r="H4" s="11"/>
      <c r="I4" s="11"/>
      <c r="J4" s="13"/>
      <c r="K4" s="11"/>
      <c r="L4" s="14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</row>
    <row r="5" spans="1:34" x14ac:dyDescent="0.25">
      <c r="A5" s="11"/>
      <c r="B5" s="11"/>
      <c r="C5" s="11"/>
      <c r="D5" s="11" t="s">
        <v>156</v>
      </c>
      <c r="E5" s="11"/>
      <c r="F5" s="11"/>
      <c r="G5" s="11"/>
      <c r="H5" s="11"/>
      <c r="I5" s="11"/>
      <c r="J5" s="13"/>
      <c r="K5" s="11"/>
      <c r="L5" s="14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</row>
    <row r="6" spans="1:34" x14ac:dyDescent="0.25">
      <c r="A6" s="11"/>
      <c r="B6" s="11"/>
      <c r="C6" s="11"/>
      <c r="D6" s="11" t="s">
        <v>157</v>
      </c>
      <c r="E6" s="11"/>
      <c r="F6" s="11"/>
      <c r="G6" s="11"/>
      <c r="H6" s="11"/>
      <c r="I6" s="11"/>
      <c r="J6" s="13"/>
      <c r="K6" s="11"/>
      <c r="L6" s="14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</row>
    <row r="7" spans="1:34" x14ac:dyDescent="0.25">
      <c r="A7" s="11"/>
      <c r="B7" s="11"/>
      <c r="C7" s="11"/>
      <c r="D7" s="11" t="s">
        <v>158</v>
      </c>
      <c r="E7" s="11"/>
      <c r="F7" s="11"/>
      <c r="G7" s="11"/>
      <c r="H7" s="11"/>
      <c r="I7" s="11"/>
      <c r="J7" s="13"/>
      <c r="K7" s="11"/>
      <c r="L7" s="14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</row>
    <row r="8" spans="1:34" x14ac:dyDescent="0.25">
      <c r="A8" s="11"/>
      <c r="B8" s="11"/>
      <c r="C8" s="11"/>
      <c r="D8" s="11" t="s">
        <v>159</v>
      </c>
      <c r="E8" s="11"/>
      <c r="F8" s="11"/>
      <c r="G8" s="11"/>
      <c r="H8" s="11"/>
      <c r="I8" s="11"/>
      <c r="J8" s="13"/>
      <c r="K8" s="11"/>
      <c r="L8" s="14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</row>
    <row r="9" spans="1:34" x14ac:dyDescent="0.25">
      <c r="A9" s="11"/>
      <c r="B9" s="11"/>
      <c r="C9" s="11"/>
      <c r="D9" s="11"/>
      <c r="E9" s="11"/>
      <c r="F9" s="11"/>
      <c r="G9" s="11"/>
      <c r="H9" s="11"/>
      <c r="I9" s="11"/>
      <c r="J9" s="13"/>
      <c r="K9" s="11"/>
      <c r="L9" s="14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</row>
    <row r="10" spans="1:34" x14ac:dyDescent="0.25">
      <c r="A10" s="11" t="s">
        <v>163</v>
      </c>
      <c r="B10" s="11"/>
      <c r="C10" s="11"/>
      <c r="D10" s="11"/>
      <c r="E10" s="11"/>
      <c r="F10" s="11"/>
      <c r="G10" s="11"/>
      <c r="H10" s="11" t="s">
        <v>164</v>
      </c>
      <c r="I10" s="11" t="s">
        <v>165</v>
      </c>
      <c r="J10" s="13" t="s">
        <v>166</v>
      </c>
      <c r="K10" s="11" t="s">
        <v>168</v>
      </c>
      <c r="L10" s="14" t="s">
        <v>169</v>
      </c>
      <c r="M10" s="11" t="s">
        <v>170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 t="s">
        <v>171</v>
      </c>
      <c r="Y10" s="11"/>
      <c r="Z10" s="11"/>
      <c r="AA10" s="11"/>
      <c r="AB10" s="11"/>
      <c r="AC10" s="11"/>
      <c r="AD10" s="11"/>
      <c r="AE10" s="11"/>
      <c r="AF10" s="11"/>
      <c r="AG10" s="11"/>
      <c r="AH10" s="11"/>
    </row>
    <row r="11" spans="1:34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3" t="s">
        <v>167</v>
      </c>
      <c r="K11" s="11"/>
      <c r="L11" s="14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</row>
    <row r="12" spans="1:34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3" t="s">
        <v>43</v>
      </c>
      <c r="K12" s="11"/>
      <c r="L12" s="14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</row>
    <row r="13" spans="1:34" x14ac:dyDescent="0.25">
      <c r="A13" s="11">
        <v>1</v>
      </c>
      <c r="B13" s="11"/>
      <c r="C13" s="11"/>
      <c r="D13" s="11"/>
      <c r="E13" s="11"/>
      <c r="F13" s="11"/>
      <c r="G13" s="11"/>
      <c r="H13" s="11">
        <v>1</v>
      </c>
      <c r="I13" s="11"/>
      <c r="J13" s="13">
        <v>0</v>
      </c>
      <c r="K13" s="11" t="s">
        <v>172</v>
      </c>
      <c r="L13" s="14" t="s">
        <v>173</v>
      </c>
      <c r="M13" s="11">
        <v>19</v>
      </c>
      <c r="N13" s="11"/>
      <c r="O13" s="11">
        <v>92</v>
      </c>
      <c r="P13" s="11"/>
      <c r="Q13" s="11">
        <v>18</v>
      </c>
      <c r="R13" s="11"/>
      <c r="S13" s="11">
        <v>4</v>
      </c>
      <c r="T13" s="11"/>
      <c r="U13" s="11">
        <v>14</v>
      </c>
      <c r="V13" s="11"/>
      <c r="W13" s="11">
        <v>35</v>
      </c>
      <c r="X13" s="11">
        <v>51</v>
      </c>
      <c r="Y13" s="11"/>
      <c r="Z13" s="11">
        <v>71</v>
      </c>
      <c r="AA13" s="11"/>
      <c r="AB13" s="11">
        <v>8</v>
      </c>
      <c r="AC13" s="11"/>
      <c r="AD13" s="11">
        <v>25</v>
      </c>
      <c r="AE13" s="11"/>
      <c r="AF13" s="11">
        <v>65</v>
      </c>
      <c r="AG13" s="11"/>
      <c r="AH13" s="11">
        <v>34</v>
      </c>
    </row>
    <row r="14" spans="1:3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3">
        <v>0.83333333333333337</v>
      </c>
      <c r="K14" s="11"/>
      <c r="L14" s="14"/>
      <c r="M14" s="11" t="s">
        <v>74</v>
      </c>
      <c r="N14" s="11"/>
      <c r="O14" s="11" t="s">
        <v>74</v>
      </c>
      <c r="P14" s="11"/>
      <c r="Q14" s="11" t="s">
        <v>107</v>
      </c>
      <c r="R14" s="11"/>
      <c r="S14" s="11" t="s">
        <v>108</v>
      </c>
      <c r="T14" s="11"/>
      <c r="U14" s="11" t="s">
        <v>108</v>
      </c>
      <c r="V14" s="11"/>
      <c r="W14" s="11" t="s">
        <v>174</v>
      </c>
      <c r="X14" s="11" t="s">
        <v>74</v>
      </c>
      <c r="Y14" s="11"/>
      <c r="Z14" s="11" t="s">
        <v>74</v>
      </c>
      <c r="AA14" s="11"/>
      <c r="AB14" s="11" t="s">
        <v>107</v>
      </c>
      <c r="AC14" s="11"/>
      <c r="AD14" s="11" t="s">
        <v>108</v>
      </c>
      <c r="AE14" s="11"/>
      <c r="AF14" s="11" t="s">
        <v>108</v>
      </c>
      <c r="AG14" s="11"/>
      <c r="AH14" s="11" t="s">
        <v>174</v>
      </c>
    </row>
    <row r="15" spans="1:34" x14ac:dyDescent="0.25">
      <c r="A15" s="11">
        <v>2</v>
      </c>
      <c r="B15" s="11"/>
      <c r="C15" s="11"/>
      <c r="D15" s="11"/>
      <c r="E15" s="11"/>
      <c r="F15" s="11"/>
      <c r="G15" s="11"/>
      <c r="H15" s="11">
        <v>1</v>
      </c>
      <c r="I15" s="11" t="s">
        <v>175</v>
      </c>
      <c r="J15" s="13">
        <v>0</v>
      </c>
      <c r="K15" s="11" t="s">
        <v>176</v>
      </c>
      <c r="L15" s="14" t="s">
        <v>177</v>
      </c>
      <c r="M15" s="11">
        <v>19</v>
      </c>
      <c r="N15" s="11"/>
      <c r="O15" s="11">
        <v>92</v>
      </c>
      <c r="P15" s="11"/>
      <c r="Q15" s="11">
        <v>18</v>
      </c>
      <c r="R15" s="11"/>
      <c r="S15" s="11">
        <v>4</v>
      </c>
      <c r="T15" s="11"/>
      <c r="U15" s="11">
        <v>14</v>
      </c>
      <c r="V15" s="11"/>
      <c r="W15" s="11">
        <v>35</v>
      </c>
      <c r="X15" s="11">
        <v>51</v>
      </c>
      <c r="Y15" s="11"/>
      <c r="Z15" s="11">
        <v>71</v>
      </c>
      <c r="AA15" s="11"/>
      <c r="AB15" s="11">
        <v>8</v>
      </c>
      <c r="AC15" s="11"/>
      <c r="AD15" s="11">
        <v>25</v>
      </c>
      <c r="AE15" s="11"/>
      <c r="AF15" s="11">
        <v>65</v>
      </c>
      <c r="AG15" s="11"/>
      <c r="AH15" s="11">
        <v>34</v>
      </c>
    </row>
    <row r="16" spans="1:34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3">
        <v>0.83333333333333337</v>
      </c>
      <c r="K16" s="11"/>
      <c r="L16" s="14"/>
      <c r="M16" s="11" t="s">
        <v>74</v>
      </c>
      <c r="N16" s="11"/>
      <c r="O16" s="11" t="s">
        <v>74</v>
      </c>
      <c r="P16" s="11"/>
      <c r="Q16" s="11" t="s">
        <v>107</v>
      </c>
      <c r="R16" s="11"/>
      <c r="S16" s="11" t="s">
        <v>108</v>
      </c>
      <c r="T16" s="11"/>
      <c r="U16" s="11" t="s">
        <v>108</v>
      </c>
      <c r="V16" s="11"/>
      <c r="W16" s="11" t="s">
        <v>174</v>
      </c>
      <c r="X16" s="11" t="s">
        <v>74</v>
      </c>
      <c r="Y16" s="11"/>
      <c r="Z16" s="11" t="s">
        <v>74</v>
      </c>
      <c r="AA16" s="11"/>
      <c r="AB16" s="11" t="s">
        <v>107</v>
      </c>
      <c r="AC16" s="11"/>
      <c r="AD16" s="11" t="s">
        <v>108</v>
      </c>
      <c r="AE16" s="11"/>
      <c r="AF16" s="11" t="s">
        <v>108</v>
      </c>
      <c r="AG16" s="11"/>
      <c r="AH16" s="11" t="s">
        <v>174</v>
      </c>
    </row>
    <row r="17" spans="1:34" x14ac:dyDescent="0.25">
      <c r="A17" s="11">
        <v>3</v>
      </c>
      <c r="B17" s="11"/>
      <c r="C17" s="11"/>
      <c r="D17" s="11"/>
      <c r="E17" s="11"/>
      <c r="F17" s="11"/>
      <c r="G17" s="11"/>
      <c r="H17" s="11">
        <v>1</v>
      </c>
      <c r="I17" s="11" t="s">
        <v>175</v>
      </c>
      <c r="J17" s="13">
        <v>2.4999999999999998E-2</v>
      </c>
      <c r="K17" s="11" t="s">
        <v>178</v>
      </c>
      <c r="L17" s="14" t="s">
        <v>179</v>
      </c>
      <c r="M17" s="11">
        <v>19</v>
      </c>
      <c r="N17" s="11"/>
      <c r="O17" s="11">
        <v>92</v>
      </c>
      <c r="P17" s="11"/>
      <c r="Q17" s="11">
        <v>18</v>
      </c>
      <c r="R17" s="11"/>
      <c r="S17" s="11">
        <v>4</v>
      </c>
      <c r="T17" s="11"/>
      <c r="U17" s="11">
        <v>14</v>
      </c>
      <c r="V17" s="11"/>
      <c r="W17" s="11">
        <v>35</v>
      </c>
      <c r="X17" s="11">
        <v>51</v>
      </c>
      <c r="Y17" s="11"/>
      <c r="Z17" s="11">
        <v>71</v>
      </c>
      <c r="AA17" s="11"/>
      <c r="AB17" s="11">
        <v>8</v>
      </c>
      <c r="AC17" s="11"/>
      <c r="AD17" s="11">
        <v>25</v>
      </c>
      <c r="AE17" s="11"/>
      <c r="AF17" s="11">
        <v>65</v>
      </c>
      <c r="AG17" s="11"/>
      <c r="AH17" s="11">
        <v>34</v>
      </c>
    </row>
    <row r="18" spans="1:34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3">
        <v>0.80833333333333324</v>
      </c>
      <c r="K18" s="11"/>
      <c r="L18" s="14"/>
      <c r="M18" s="11" t="s">
        <v>74</v>
      </c>
      <c r="N18" s="11"/>
      <c r="O18" s="11" t="s">
        <v>74</v>
      </c>
      <c r="P18" s="11"/>
      <c r="Q18" s="11" t="s">
        <v>107</v>
      </c>
      <c r="R18" s="11"/>
      <c r="S18" s="11" t="s">
        <v>108</v>
      </c>
      <c r="T18" s="11"/>
      <c r="U18" s="11" t="s">
        <v>108</v>
      </c>
      <c r="V18" s="11"/>
      <c r="W18" s="11" t="s">
        <v>174</v>
      </c>
      <c r="X18" s="11" t="s">
        <v>74</v>
      </c>
      <c r="Y18" s="11"/>
      <c r="Z18" s="11" t="s">
        <v>74</v>
      </c>
      <c r="AA18" s="11"/>
      <c r="AB18" s="11" t="s">
        <v>107</v>
      </c>
      <c r="AC18" s="11"/>
      <c r="AD18" s="11" t="s">
        <v>108</v>
      </c>
      <c r="AE18" s="11"/>
      <c r="AF18" s="11" t="s">
        <v>108</v>
      </c>
      <c r="AG18" s="11"/>
      <c r="AH18" s="11" t="s">
        <v>174</v>
      </c>
    </row>
    <row r="19" spans="1:34" x14ac:dyDescent="0.25">
      <c r="A19" s="11">
        <v>4</v>
      </c>
      <c r="B19" s="11"/>
      <c r="C19" s="11"/>
      <c r="D19" s="11"/>
      <c r="E19" s="11"/>
      <c r="F19" s="11"/>
      <c r="G19" s="11"/>
      <c r="H19" s="11">
        <v>1</v>
      </c>
      <c r="I19" s="11" t="s">
        <v>175</v>
      </c>
      <c r="J19" s="13">
        <v>4.1666666666666664E-2</v>
      </c>
      <c r="K19" s="11" t="s">
        <v>180</v>
      </c>
      <c r="L19" s="14" t="s">
        <v>181</v>
      </c>
      <c r="M19" s="11">
        <v>12</v>
      </c>
      <c r="N19" s="11"/>
      <c r="O19" s="11">
        <v>33</v>
      </c>
      <c r="P19" s="11"/>
      <c r="Q19" s="11">
        <v>38</v>
      </c>
      <c r="R19" s="11"/>
      <c r="S19" s="11">
        <v>59</v>
      </c>
      <c r="T19" s="11"/>
      <c r="U19" s="11">
        <v>76</v>
      </c>
      <c r="V19" s="11"/>
      <c r="W19" s="11">
        <v>35</v>
      </c>
      <c r="X19" s="11">
        <v>14</v>
      </c>
      <c r="Y19" s="11"/>
      <c r="Z19" s="11">
        <v>43</v>
      </c>
      <c r="AA19" s="11"/>
      <c r="AB19" s="11">
        <v>62</v>
      </c>
      <c r="AC19" s="11"/>
      <c r="AD19" s="11">
        <v>2</v>
      </c>
      <c r="AE19" s="11"/>
      <c r="AF19" s="11">
        <v>48</v>
      </c>
      <c r="AG19" s="11"/>
      <c r="AH19" s="11">
        <v>34</v>
      </c>
    </row>
    <row r="20" spans="1:34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3">
        <v>0.79166666666666663</v>
      </c>
      <c r="K20" s="11"/>
      <c r="L20" s="14"/>
      <c r="M20" s="11" t="s">
        <v>74</v>
      </c>
      <c r="N20" s="11"/>
      <c r="O20" s="11" t="s">
        <v>74</v>
      </c>
      <c r="P20" s="11"/>
      <c r="Q20" s="11" t="s">
        <v>107</v>
      </c>
      <c r="R20" s="11"/>
      <c r="S20" s="11" t="s">
        <v>108</v>
      </c>
      <c r="T20" s="11"/>
      <c r="U20" s="11" t="s">
        <v>108</v>
      </c>
      <c r="V20" s="11"/>
      <c r="W20" s="11" t="s">
        <v>174</v>
      </c>
      <c r="X20" s="11" t="s">
        <v>74</v>
      </c>
      <c r="Y20" s="11"/>
      <c r="Z20" s="11" t="s">
        <v>74</v>
      </c>
      <c r="AA20" s="11"/>
      <c r="AB20" s="11" t="s">
        <v>107</v>
      </c>
      <c r="AC20" s="11"/>
      <c r="AD20" s="11" t="s">
        <v>108</v>
      </c>
      <c r="AE20" s="11"/>
      <c r="AF20" s="11" t="s">
        <v>108</v>
      </c>
      <c r="AG20" s="11"/>
      <c r="AH20" s="11" t="s">
        <v>174</v>
      </c>
    </row>
    <row r="21" spans="1:34" x14ac:dyDescent="0.25">
      <c r="A21" s="11">
        <v>5</v>
      </c>
      <c r="B21" s="11"/>
      <c r="C21" s="11"/>
      <c r="D21" s="11"/>
      <c r="E21" s="11"/>
      <c r="F21" s="11"/>
      <c r="G21" s="11"/>
      <c r="H21" s="11">
        <v>1</v>
      </c>
      <c r="I21" s="11"/>
      <c r="J21" s="13">
        <v>4.1666666666666664E-2</v>
      </c>
      <c r="K21" s="11" t="s">
        <v>182</v>
      </c>
      <c r="L21" s="14" t="s">
        <v>183</v>
      </c>
      <c r="M21" s="11">
        <v>12</v>
      </c>
      <c r="N21" s="11"/>
      <c r="O21" s="11">
        <v>33</v>
      </c>
      <c r="P21" s="11"/>
      <c r="Q21" s="11">
        <v>38</v>
      </c>
      <c r="R21" s="11"/>
      <c r="S21" s="11">
        <v>59</v>
      </c>
      <c r="T21" s="11"/>
      <c r="U21" s="11">
        <v>76</v>
      </c>
      <c r="V21" s="11"/>
      <c r="W21" s="11">
        <v>35</v>
      </c>
      <c r="X21" s="11">
        <v>14</v>
      </c>
      <c r="Y21" s="11"/>
      <c r="Z21" s="11">
        <v>43</v>
      </c>
      <c r="AA21" s="11"/>
      <c r="AB21" s="11">
        <v>62</v>
      </c>
      <c r="AC21" s="11"/>
      <c r="AD21" s="11">
        <v>2</v>
      </c>
      <c r="AE21" s="11"/>
      <c r="AF21" s="11">
        <v>48</v>
      </c>
      <c r="AG21" s="11"/>
      <c r="AH21" s="11">
        <v>34</v>
      </c>
    </row>
    <row r="22" spans="1:3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3">
        <v>0.79166666666666663</v>
      </c>
      <c r="K22" s="11"/>
      <c r="L22" s="14"/>
      <c r="M22" s="11" t="s">
        <v>74</v>
      </c>
      <c r="N22" s="11"/>
      <c r="O22" s="11" t="s">
        <v>74</v>
      </c>
      <c r="P22" s="11"/>
      <c r="Q22" s="11" t="s">
        <v>107</v>
      </c>
      <c r="R22" s="11"/>
      <c r="S22" s="11" t="s">
        <v>108</v>
      </c>
      <c r="T22" s="11"/>
      <c r="U22" s="11" t="s">
        <v>108</v>
      </c>
      <c r="V22" s="11"/>
      <c r="W22" s="11" t="s">
        <v>174</v>
      </c>
      <c r="X22" s="11" t="s">
        <v>74</v>
      </c>
      <c r="Y22" s="11"/>
      <c r="Z22" s="11" t="s">
        <v>74</v>
      </c>
      <c r="AA22" s="11"/>
      <c r="AB22" s="11" t="s">
        <v>107</v>
      </c>
      <c r="AC22" s="11"/>
      <c r="AD22" s="11" t="s">
        <v>108</v>
      </c>
      <c r="AE22" s="11"/>
      <c r="AF22" s="11" t="s">
        <v>108</v>
      </c>
      <c r="AG22" s="11"/>
      <c r="AH22" s="11" t="s">
        <v>174</v>
      </c>
    </row>
    <row r="23" spans="1:34" x14ac:dyDescent="0.25">
      <c r="A23" s="11">
        <v>6</v>
      </c>
      <c r="B23" s="11"/>
      <c r="C23" s="11"/>
      <c r="D23" s="11"/>
      <c r="E23" s="11"/>
      <c r="F23" s="11"/>
      <c r="G23" s="11"/>
      <c r="H23" s="11">
        <v>1</v>
      </c>
      <c r="I23" s="11" t="s">
        <v>175</v>
      </c>
      <c r="J23" s="13">
        <v>4.1666666666666664E-2</v>
      </c>
      <c r="K23" s="11" t="s">
        <v>176</v>
      </c>
      <c r="L23" s="14" t="s">
        <v>184</v>
      </c>
      <c r="M23" s="11">
        <v>12</v>
      </c>
      <c r="N23" s="11"/>
      <c r="O23" s="11">
        <v>33</v>
      </c>
      <c r="P23" s="11"/>
      <c r="Q23" s="11">
        <v>38</v>
      </c>
      <c r="R23" s="11"/>
      <c r="S23" s="11">
        <v>59</v>
      </c>
      <c r="T23" s="11"/>
      <c r="U23" s="11">
        <v>76</v>
      </c>
      <c r="V23" s="11"/>
      <c r="W23" s="11">
        <v>35</v>
      </c>
      <c r="X23" s="11">
        <v>14</v>
      </c>
      <c r="Y23" s="11"/>
      <c r="Z23" s="11">
        <v>43</v>
      </c>
      <c r="AA23" s="11"/>
      <c r="AB23" s="11">
        <v>62</v>
      </c>
      <c r="AC23" s="11"/>
      <c r="AD23" s="11">
        <v>2</v>
      </c>
      <c r="AE23" s="11"/>
      <c r="AF23" s="11">
        <v>48</v>
      </c>
      <c r="AG23" s="11"/>
      <c r="AH23" s="11">
        <v>34</v>
      </c>
    </row>
    <row r="24" spans="1:34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3">
        <v>0.79166666666666663</v>
      </c>
      <c r="K24" s="11"/>
      <c r="L24" s="14"/>
      <c r="M24" s="11" t="s">
        <v>74</v>
      </c>
      <c r="N24" s="11"/>
      <c r="O24" s="11" t="s">
        <v>74</v>
      </c>
      <c r="P24" s="11"/>
      <c r="Q24" s="11" t="s">
        <v>107</v>
      </c>
      <c r="R24" s="11"/>
      <c r="S24" s="11" t="s">
        <v>108</v>
      </c>
      <c r="T24" s="11"/>
      <c r="U24" s="11" t="s">
        <v>108</v>
      </c>
      <c r="V24" s="11"/>
      <c r="W24" s="11" t="s">
        <v>174</v>
      </c>
      <c r="X24" s="11" t="s">
        <v>74</v>
      </c>
      <c r="Y24" s="11"/>
      <c r="Z24" s="11" t="s">
        <v>74</v>
      </c>
      <c r="AA24" s="11"/>
      <c r="AB24" s="11" t="s">
        <v>107</v>
      </c>
      <c r="AC24" s="11"/>
      <c r="AD24" s="11" t="s">
        <v>108</v>
      </c>
      <c r="AE24" s="11"/>
      <c r="AF24" s="11" t="s">
        <v>108</v>
      </c>
      <c r="AG24" s="11"/>
      <c r="AH24" s="11" t="s">
        <v>174</v>
      </c>
    </row>
    <row r="25" spans="1:34" x14ac:dyDescent="0.25">
      <c r="A25" s="11">
        <v>7</v>
      </c>
      <c r="B25" s="11"/>
      <c r="C25" s="11"/>
      <c r="D25" s="11"/>
      <c r="E25" s="11"/>
      <c r="F25" s="11"/>
      <c r="G25" s="11"/>
      <c r="H25" s="11">
        <v>1</v>
      </c>
      <c r="I25" s="11" t="s">
        <v>175</v>
      </c>
      <c r="J25" s="13">
        <v>5.486111111111111E-2</v>
      </c>
      <c r="K25" s="11" t="s">
        <v>180</v>
      </c>
      <c r="L25" s="14" t="s">
        <v>185</v>
      </c>
      <c r="M25" s="11">
        <v>12</v>
      </c>
      <c r="N25" s="11"/>
      <c r="O25" s="11">
        <v>33</v>
      </c>
      <c r="P25" s="11"/>
      <c r="Q25" s="11">
        <v>38</v>
      </c>
      <c r="R25" s="11"/>
      <c r="S25" s="11">
        <v>59</v>
      </c>
      <c r="T25" s="11"/>
      <c r="U25" s="11">
        <v>76</v>
      </c>
      <c r="V25" s="11"/>
      <c r="W25" s="11">
        <v>35</v>
      </c>
      <c r="X25" s="11">
        <v>14</v>
      </c>
      <c r="Y25" s="11"/>
      <c r="Z25" s="11">
        <v>43</v>
      </c>
      <c r="AA25" s="11"/>
      <c r="AB25" s="11">
        <v>62</v>
      </c>
      <c r="AC25" s="11"/>
      <c r="AD25" s="11">
        <v>2</v>
      </c>
      <c r="AE25" s="11"/>
      <c r="AF25" s="11">
        <v>48</v>
      </c>
      <c r="AG25" s="11"/>
      <c r="AH25" s="11">
        <v>34</v>
      </c>
    </row>
    <row r="26" spans="1:3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3">
        <v>0.77847222222222223</v>
      </c>
      <c r="K26" s="11"/>
      <c r="L26" s="14"/>
      <c r="M26" s="11" t="s">
        <v>74</v>
      </c>
      <c r="N26" s="11"/>
      <c r="O26" s="11" t="s">
        <v>74</v>
      </c>
      <c r="P26" s="11"/>
      <c r="Q26" s="11" t="s">
        <v>107</v>
      </c>
      <c r="R26" s="11"/>
      <c r="S26" s="11" t="s">
        <v>108</v>
      </c>
      <c r="T26" s="11"/>
      <c r="U26" s="11" t="s">
        <v>108</v>
      </c>
      <c r="V26" s="11"/>
      <c r="W26" s="11" t="s">
        <v>174</v>
      </c>
      <c r="X26" s="11" t="s">
        <v>74</v>
      </c>
      <c r="Y26" s="11"/>
      <c r="Z26" s="11" t="s">
        <v>74</v>
      </c>
      <c r="AA26" s="11"/>
      <c r="AB26" s="11" t="s">
        <v>107</v>
      </c>
      <c r="AC26" s="11"/>
      <c r="AD26" s="11" t="s">
        <v>108</v>
      </c>
      <c r="AE26" s="11"/>
      <c r="AF26" s="11" t="s">
        <v>108</v>
      </c>
      <c r="AG26" s="11"/>
      <c r="AH26" s="11" t="s">
        <v>174</v>
      </c>
    </row>
    <row r="27" spans="1:34" x14ac:dyDescent="0.25">
      <c r="A27" s="11">
        <v>8</v>
      </c>
      <c r="B27" s="11"/>
      <c r="C27" s="11"/>
      <c r="D27" s="11"/>
      <c r="E27" s="11"/>
      <c r="F27" s="11"/>
      <c r="G27" s="11"/>
      <c r="H27" s="11">
        <v>1</v>
      </c>
      <c r="I27" s="11" t="s">
        <v>175</v>
      </c>
      <c r="J27" s="13">
        <v>6.1805555555555558E-2</v>
      </c>
      <c r="K27" s="11" t="s">
        <v>186</v>
      </c>
      <c r="L27" s="14" t="s">
        <v>187</v>
      </c>
      <c r="M27" s="11">
        <v>12</v>
      </c>
      <c r="N27" s="11"/>
      <c r="O27" s="11">
        <v>33</v>
      </c>
      <c r="P27" s="11"/>
      <c r="Q27" s="11">
        <v>38</v>
      </c>
      <c r="R27" s="11"/>
      <c r="S27" s="11">
        <v>59</v>
      </c>
      <c r="T27" s="11"/>
      <c r="U27" s="11">
        <v>76</v>
      </c>
      <c r="V27" s="11"/>
      <c r="W27" s="11">
        <v>35</v>
      </c>
      <c r="X27" s="11">
        <v>14</v>
      </c>
      <c r="Y27" s="11"/>
      <c r="Z27" s="11">
        <v>43</v>
      </c>
      <c r="AA27" s="11"/>
      <c r="AB27" s="11">
        <v>62</v>
      </c>
      <c r="AC27" s="11"/>
      <c r="AD27" s="11">
        <v>2</v>
      </c>
      <c r="AE27" s="11"/>
      <c r="AF27" s="11">
        <v>48</v>
      </c>
      <c r="AG27" s="11"/>
      <c r="AH27" s="11">
        <v>34</v>
      </c>
    </row>
    <row r="28" spans="1:34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3">
        <v>0.7715277777777777</v>
      </c>
      <c r="K28" s="11"/>
      <c r="L28" s="14"/>
      <c r="M28" s="11" t="s">
        <v>74</v>
      </c>
      <c r="N28" s="11"/>
      <c r="O28" s="11" t="s">
        <v>74</v>
      </c>
      <c r="P28" s="11"/>
      <c r="Q28" s="11" t="s">
        <v>107</v>
      </c>
      <c r="R28" s="11"/>
      <c r="S28" s="11" t="s">
        <v>108</v>
      </c>
      <c r="T28" s="11"/>
      <c r="U28" s="11" t="s">
        <v>108</v>
      </c>
      <c r="V28" s="11"/>
      <c r="W28" s="11" t="s">
        <v>174</v>
      </c>
      <c r="X28" s="11" t="s">
        <v>74</v>
      </c>
      <c r="Y28" s="11"/>
      <c r="Z28" s="11" t="s">
        <v>74</v>
      </c>
      <c r="AA28" s="11"/>
      <c r="AB28" s="11" t="s">
        <v>107</v>
      </c>
      <c r="AC28" s="11"/>
      <c r="AD28" s="11" t="s">
        <v>108</v>
      </c>
      <c r="AE28" s="11"/>
      <c r="AF28" s="11" t="s">
        <v>108</v>
      </c>
      <c r="AG28" s="11"/>
      <c r="AH28" s="11" t="s">
        <v>174</v>
      </c>
    </row>
    <row r="29" spans="1:34" x14ac:dyDescent="0.25">
      <c r="A29" s="11">
        <v>9</v>
      </c>
      <c r="B29" s="11"/>
      <c r="C29" s="11"/>
      <c r="D29" s="11"/>
      <c r="E29" s="11"/>
      <c r="F29" s="11"/>
      <c r="G29" s="11"/>
      <c r="H29" s="11">
        <v>1</v>
      </c>
      <c r="I29" s="11" t="s">
        <v>175</v>
      </c>
      <c r="J29" s="13">
        <v>6.3194444444444442E-2</v>
      </c>
      <c r="K29" s="11" t="s">
        <v>188</v>
      </c>
      <c r="L29" s="14" t="s">
        <v>189</v>
      </c>
      <c r="M29" s="11">
        <v>12</v>
      </c>
      <c r="N29" s="11"/>
      <c r="O29" s="11">
        <v>33</v>
      </c>
      <c r="P29" s="11"/>
      <c r="Q29" s="11">
        <v>38</v>
      </c>
      <c r="R29" s="11"/>
      <c r="S29" s="11">
        <v>59</v>
      </c>
      <c r="T29" s="11"/>
      <c r="U29" s="11">
        <v>76</v>
      </c>
      <c r="V29" s="11"/>
      <c r="W29" s="11">
        <v>35</v>
      </c>
      <c r="X29" s="11">
        <v>14</v>
      </c>
      <c r="Y29" s="11"/>
      <c r="Z29" s="11">
        <v>43</v>
      </c>
      <c r="AA29" s="11"/>
      <c r="AB29" s="11">
        <v>62</v>
      </c>
      <c r="AC29" s="11"/>
      <c r="AD29" s="11">
        <v>2</v>
      </c>
      <c r="AE29" s="11"/>
      <c r="AF29" s="11">
        <v>48</v>
      </c>
      <c r="AG29" s="11"/>
      <c r="AH29" s="11">
        <v>34</v>
      </c>
    </row>
    <row r="30" spans="1:34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3">
        <v>0.77013888888888893</v>
      </c>
      <c r="K30" s="11"/>
      <c r="L30" s="14"/>
      <c r="M30" s="11" t="s">
        <v>74</v>
      </c>
      <c r="N30" s="11"/>
      <c r="O30" s="11" t="s">
        <v>74</v>
      </c>
      <c r="P30" s="11"/>
      <c r="Q30" s="11" t="s">
        <v>107</v>
      </c>
      <c r="R30" s="11"/>
      <c r="S30" s="11" t="s">
        <v>108</v>
      </c>
      <c r="T30" s="11"/>
      <c r="U30" s="11" t="s">
        <v>108</v>
      </c>
      <c r="V30" s="11"/>
      <c r="W30" s="11" t="s">
        <v>174</v>
      </c>
      <c r="X30" s="11" t="s">
        <v>74</v>
      </c>
      <c r="Y30" s="11"/>
      <c r="Z30" s="11" t="s">
        <v>74</v>
      </c>
      <c r="AA30" s="11"/>
      <c r="AB30" s="11" t="s">
        <v>107</v>
      </c>
      <c r="AC30" s="11"/>
      <c r="AD30" s="11" t="s">
        <v>108</v>
      </c>
      <c r="AE30" s="11"/>
      <c r="AF30" s="11" t="s">
        <v>108</v>
      </c>
      <c r="AG30" s="11"/>
      <c r="AH30" s="11" t="s">
        <v>174</v>
      </c>
    </row>
    <row r="31" spans="1:34" x14ac:dyDescent="0.25">
      <c r="A31" s="11">
        <v>10</v>
      </c>
      <c r="B31" s="11"/>
      <c r="C31" s="11"/>
      <c r="D31" s="11"/>
      <c r="E31" s="11"/>
      <c r="F31" s="11"/>
      <c r="G31" s="11"/>
      <c r="H31" s="11">
        <v>1</v>
      </c>
      <c r="I31" s="11" t="s">
        <v>175</v>
      </c>
      <c r="J31" s="13">
        <v>6.9444444444444434E-2</v>
      </c>
      <c r="K31" s="11" t="s">
        <v>180</v>
      </c>
      <c r="L31" s="14" t="s">
        <v>190</v>
      </c>
      <c r="M31" s="11">
        <v>12</v>
      </c>
      <c r="N31" s="11"/>
      <c r="O31" s="11">
        <v>33</v>
      </c>
      <c r="P31" s="11"/>
      <c r="Q31" s="11">
        <v>38</v>
      </c>
      <c r="R31" s="11"/>
      <c r="S31" s="11">
        <v>59</v>
      </c>
      <c r="T31" s="11"/>
      <c r="U31" s="11">
        <v>76</v>
      </c>
      <c r="V31" s="11"/>
      <c r="W31" s="11">
        <v>35</v>
      </c>
      <c r="X31" s="11">
        <v>14</v>
      </c>
      <c r="Y31" s="11"/>
      <c r="Z31" s="11">
        <v>40</v>
      </c>
      <c r="AA31" s="11"/>
      <c r="AB31" s="11">
        <v>62</v>
      </c>
      <c r="AC31" s="11"/>
      <c r="AD31" s="11">
        <v>52</v>
      </c>
      <c r="AE31" s="11"/>
      <c r="AF31" s="11">
        <v>53</v>
      </c>
      <c r="AG31" s="11"/>
      <c r="AH31" s="11">
        <v>34</v>
      </c>
    </row>
    <row r="32" spans="1:34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3">
        <v>0.76388888888888884</v>
      </c>
      <c r="K32" s="11"/>
      <c r="L32" s="14"/>
      <c r="M32" s="11" t="s">
        <v>74</v>
      </c>
      <c r="N32" s="11"/>
      <c r="O32" s="11" t="s">
        <v>74</v>
      </c>
      <c r="P32" s="11"/>
      <c r="Q32" s="11" t="s">
        <v>107</v>
      </c>
      <c r="R32" s="11"/>
      <c r="S32" s="11" t="s">
        <v>108</v>
      </c>
      <c r="T32" s="11"/>
      <c r="U32" s="11" t="s">
        <v>108</v>
      </c>
      <c r="V32" s="11"/>
      <c r="W32" s="11" t="s">
        <v>174</v>
      </c>
      <c r="X32" s="11" t="s">
        <v>74</v>
      </c>
      <c r="Y32" s="11"/>
      <c r="Z32" s="11" t="s">
        <v>107</v>
      </c>
      <c r="AA32" s="11"/>
      <c r="AB32" s="11" t="s">
        <v>107</v>
      </c>
      <c r="AC32" s="11"/>
      <c r="AD32" s="11" t="s">
        <v>108</v>
      </c>
      <c r="AE32" s="11"/>
      <c r="AF32" s="11" t="s">
        <v>108</v>
      </c>
      <c r="AG32" s="11"/>
      <c r="AH32" s="11" t="s">
        <v>174</v>
      </c>
    </row>
    <row r="33" spans="1:34" x14ac:dyDescent="0.25">
      <c r="A33" s="11">
        <v>11</v>
      </c>
      <c r="B33" s="11"/>
      <c r="C33" s="11"/>
      <c r="D33" s="11"/>
      <c r="E33" s="11"/>
      <c r="F33" s="11"/>
      <c r="G33" s="11"/>
      <c r="H33" s="11">
        <v>1</v>
      </c>
      <c r="I33" s="11" t="s">
        <v>175</v>
      </c>
      <c r="J33" s="13">
        <v>7.3611111111111113E-2</v>
      </c>
      <c r="K33" s="11" t="s">
        <v>178</v>
      </c>
      <c r="L33" s="14" t="s">
        <v>191</v>
      </c>
      <c r="M33" s="11">
        <v>92</v>
      </c>
      <c r="N33" s="11"/>
      <c r="O33" s="11">
        <v>18</v>
      </c>
      <c r="P33" s="11"/>
      <c r="Q33" s="11">
        <v>38</v>
      </c>
      <c r="R33" s="11"/>
      <c r="S33" s="11">
        <v>59</v>
      </c>
      <c r="T33" s="11"/>
      <c r="U33" s="11">
        <v>76</v>
      </c>
      <c r="V33" s="11"/>
      <c r="W33" s="11">
        <v>35</v>
      </c>
      <c r="X33" s="11">
        <v>14</v>
      </c>
      <c r="Y33" s="11"/>
      <c r="Z33" s="11">
        <v>40</v>
      </c>
      <c r="AA33" s="11"/>
      <c r="AB33" s="11">
        <v>62</v>
      </c>
      <c r="AC33" s="11"/>
      <c r="AD33" s="11">
        <v>52</v>
      </c>
      <c r="AE33" s="11"/>
      <c r="AF33" s="11">
        <v>53</v>
      </c>
      <c r="AG33" s="11"/>
      <c r="AH33" s="11">
        <v>34</v>
      </c>
    </row>
    <row r="34" spans="1:34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3">
        <v>0.7597222222222223</v>
      </c>
      <c r="K34" s="11"/>
      <c r="L34" s="14"/>
      <c r="M34" s="11" t="s">
        <v>74</v>
      </c>
      <c r="N34" s="11"/>
      <c r="O34" s="11" t="s">
        <v>107</v>
      </c>
      <c r="P34" s="11"/>
      <c r="Q34" s="11" t="s">
        <v>107</v>
      </c>
      <c r="R34" s="11"/>
      <c r="S34" s="11" t="s">
        <v>108</v>
      </c>
      <c r="T34" s="11"/>
      <c r="U34" s="11" t="s">
        <v>108</v>
      </c>
      <c r="V34" s="11"/>
      <c r="W34" s="11" t="s">
        <v>174</v>
      </c>
      <c r="X34" s="11" t="s">
        <v>74</v>
      </c>
      <c r="Y34" s="11"/>
      <c r="Z34" s="11" t="s">
        <v>107</v>
      </c>
      <c r="AA34" s="11"/>
      <c r="AB34" s="11" t="s">
        <v>107</v>
      </c>
      <c r="AC34" s="11"/>
      <c r="AD34" s="11" t="s">
        <v>108</v>
      </c>
      <c r="AE34" s="11"/>
      <c r="AF34" s="11" t="s">
        <v>108</v>
      </c>
      <c r="AG34" s="11"/>
      <c r="AH34" s="11" t="s">
        <v>174</v>
      </c>
    </row>
    <row r="35" spans="1:34" x14ac:dyDescent="0.25">
      <c r="A35" s="11">
        <v>12</v>
      </c>
      <c r="B35" s="11"/>
      <c r="C35" s="11"/>
      <c r="D35" s="11"/>
      <c r="E35" s="11"/>
      <c r="F35" s="11"/>
      <c r="G35" s="11"/>
      <c r="H35" s="11">
        <v>1</v>
      </c>
      <c r="I35" s="11" t="s">
        <v>175</v>
      </c>
      <c r="J35" s="13">
        <v>8.3333333333333329E-2</v>
      </c>
      <c r="K35" s="11" t="s">
        <v>180</v>
      </c>
      <c r="L35" s="14" t="s">
        <v>192</v>
      </c>
      <c r="M35" s="11">
        <v>19</v>
      </c>
      <c r="N35" s="11"/>
      <c r="O35" s="11">
        <v>92</v>
      </c>
      <c r="P35" s="11"/>
      <c r="Q35" s="11">
        <v>18</v>
      </c>
      <c r="R35" s="11"/>
      <c r="S35" s="11">
        <v>25</v>
      </c>
      <c r="T35" s="11"/>
      <c r="U35" s="11">
        <v>76</v>
      </c>
      <c r="V35" s="11"/>
      <c r="W35" s="11">
        <v>35</v>
      </c>
      <c r="X35" s="11">
        <v>15</v>
      </c>
      <c r="Y35" s="11"/>
      <c r="Z35" s="11">
        <v>21</v>
      </c>
      <c r="AA35" s="11"/>
      <c r="AB35" s="11">
        <v>40</v>
      </c>
      <c r="AC35" s="11"/>
      <c r="AD35" s="11">
        <v>52</v>
      </c>
      <c r="AE35" s="11"/>
      <c r="AF35" s="11">
        <v>53</v>
      </c>
      <c r="AG35" s="11"/>
      <c r="AH35" s="11">
        <v>34</v>
      </c>
    </row>
    <row r="36" spans="1:34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3">
        <v>0.75</v>
      </c>
      <c r="K36" s="11"/>
      <c r="L36" s="14"/>
      <c r="M36" s="11" t="s">
        <v>74</v>
      </c>
      <c r="N36" s="11"/>
      <c r="O36" s="11" t="s">
        <v>74</v>
      </c>
      <c r="P36" s="11"/>
      <c r="Q36" s="11" t="s">
        <v>107</v>
      </c>
      <c r="R36" s="11"/>
      <c r="S36" s="11" t="s">
        <v>108</v>
      </c>
      <c r="T36" s="11"/>
      <c r="U36" s="11" t="s">
        <v>108</v>
      </c>
      <c r="V36" s="11"/>
      <c r="W36" s="11" t="s">
        <v>174</v>
      </c>
      <c r="X36" s="11" t="s">
        <v>74</v>
      </c>
      <c r="Y36" s="11"/>
      <c r="Z36" s="11" t="s">
        <v>74</v>
      </c>
      <c r="AA36" s="11"/>
      <c r="AB36" s="11" t="s">
        <v>107</v>
      </c>
      <c r="AC36" s="11"/>
      <c r="AD36" s="11" t="s">
        <v>108</v>
      </c>
      <c r="AE36" s="11"/>
      <c r="AF36" s="11" t="s">
        <v>108</v>
      </c>
      <c r="AG36" s="11"/>
      <c r="AH36" s="11" t="s">
        <v>174</v>
      </c>
    </row>
    <row r="37" spans="1:34" x14ac:dyDescent="0.25">
      <c r="A37" s="11">
        <v>13</v>
      </c>
      <c r="B37" s="11"/>
      <c r="C37" s="11"/>
      <c r="D37" s="11"/>
      <c r="E37" s="11"/>
      <c r="F37" s="11"/>
      <c r="G37" s="11"/>
      <c r="H37" s="11">
        <v>1</v>
      </c>
      <c r="I37" s="11" t="s">
        <v>175</v>
      </c>
      <c r="J37" s="13">
        <v>9.2361111111111116E-2</v>
      </c>
      <c r="K37" s="11" t="s">
        <v>178</v>
      </c>
      <c r="L37" s="14" t="s">
        <v>193</v>
      </c>
      <c r="M37" s="11">
        <v>19</v>
      </c>
      <c r="N37" s="11"/>
      <c r="O37" s="11">
        <v>92</v>
      </c>
      <c r="P37" s="11"/>
      <c r="Q37" s="11">
        <v>18</v>
      </c>
      <c r="R37" s="11"/>
      <c r="S37" s="11">
        <v>25</v>
      </c>
      <c r="T37" s="11"/>
      <c r="U37" s="11">
        <v>76</v>
      </c>
      <c r="V37" s="11"/>
      <c r="W37" s="11">
        <v>35</v>
      </c>
      <c r="X37" s="11">
        <v>15</v>
      </c>
      <c r="Y37" s="11"/>
      <c r="Z37" s="11">
        <v>21</v>
      </c>
      <c r="AA37" s="11"/>
      <c r="AB37" s="11">
        <v>40</v>
      </c>
      <c r="AC37" s="11"/>
      <c r="AD37" s="11">
        <v>52</v>
      </c>
      <c r="AE37" s="11"/>
      <c r="AF37" s="11">
        <v>53</v>
      </c>
      <c r="AG37" s="11"/>
      <c r="AH37" s="11">
        <v>34</v>
      </c>
    </row>
    <row r="38" spans="1:34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3">
        <v>0.74097222222222225</v>
      </c>
      <c r="K38" s="11"/>
      <c r="L38" s="14"/>
      <c r="M38" s="11" t="s">
        <v>74</v>
      </c>
      <c r="N38" s="11"/>
      <c r="O38" s="11" t="s">
        <v>74</v>
      </c>
      <c r="P38" s="11"/>
      <c r="Q38" s="11" t="s">
        <v>107</v>
      </c>
      <c r="R38" s="11"/>
      <c r="S38" s="11" t="s">
        <v>108</v>
      </c>
      <c r="T38" s="11"/>
      <c r="U38" s="11" t="s">
        <v>108</v>
      </c>
      <c r="V38" s="11"/>
      <c r="W38" s="11" t="s">
        <v>174</v>
      </c>
      <c r="X38" s="11" t="s">
        <v>74</v>
      </c>
      <c r="Y38" s="11"/>
      <c r="Z38" s="11" t="s">
        <v>74</v>
      </c>
      <c r="AA38" s="11"/>
      <c r="AB38" s="11" t="s">
        <v>107</v>
      </c>
      <c r="AC38" s="11"/>
      <c r="AD38" s="11" t="s">
        <v>108</v>
      </c>
      <c r="AE38" s="11"/>
      <c r="AF38" s="11" t="s">
        <v>108</v>
      </c>
      <c r="AG38" s="11"/>
      <c r="AH38" s="11" t="s">
        <v>174</v>
      </c>
    </row>
    <row r="39" spans="1:34" x14ac:dyDescent="0.25">
      <c r="A39" s="11">
        <v>14</v>
      </c>
      <c r="B39" s="11"/>
      <c r="C39" s="11"/>
      <c r="D39" s="11"/>
      <c r="E39" s="11"/>
      <c r="F39" s="11"/>
      <c r="G39" s="11"/>
      <c r="H39" s="11">
        <v>1</v>
      </c>
      <c r="I39" s="11" t="s">
        <v>175</v>
      </c>
      <c r="J39" s="13">
        <v>9.5138888888888884E-2</v>
      </c>
      <c r="K39" s="11" t="s">
        <v>180</v>
      </c>
      <c r="L39" s="14" t="s">
        <v>194</v>
      </c>
      <c r="M39" s="11">
        <v>19</v>
      </c>
      <c r="N39" s="11"/>
      <c r="O39" s="11">
        <v>92</v>
      </c>
      <c r="P39" s="11"/>
      <c r="Q39" s="11">
        <v>18</v>
      </c>
      <c r="R39" s="11"/>
      <c r="S39" s="11">
        <v>25</v>
      </c>
      <c r="T39" s="11"/>
      <c r="U39" s="11">
        <v>76</v>
      </c>
      <c r="V39" s="11"/>
      <c r="W39" s="11">
        <v>35</v>
      </c>
      <c r="X39" s="11">
        <v>15</v>
      </c>
      <c r="Y39" s="11"/>
      <c r="Z39" s="11">
        <v>21</v>
      </c>
      <c r="AA39" s="11"/>
      <c r="AB39" s="11">
        <v>40</v>
      </c>
      <c r="AC39" s="11"/>
      <c r="AD39" s="11">
        <v>52</v>
      </c>
      <c r="AE39" s="11"/>
      <c r="AF39" s="11">
        <v>53</v>
      </c>
      <c r="AG39" s="11"/>
      <c r="AH39" s="11">
        <v>34</v>
      </c>
    </row>
    <row r="40" spans="1:34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3">
        <v>0.73819444444444438</v>
      </c>
      <c r="K40" s="11"/>
      <c r="L40" s="14"/>
      <c r="M40" s="11" t="s">
        <v>74</v>
      </c>
      <c r="N40" s="11"/>
      <c r="O40" s="11" t="s">
        <v>74</v>
      </c>
      <c r="P40" s="11"/>
      <c r="Q40" s="11" t="s">
        <v>107</v>
      </c>
      <c r="R40" s="11"/>
      <c r="S40" s="11" t="s">
        <v>108</v>
      </c>
      <c r="T40" s="11"/>
      <c r="U40" s="11" t="s">
        <v>108</v>
      </c>
      <c r="V40" s="11"/>
      <c r="W40" s="11" t="s">
        <v>174</v>
      </c>
      <c r="X40" s="11" t="s">
        <v>74</v>
      </c>
      <c r="Y40" s="11"/>
      <c r="Z40" s="11" t="s">
        <v>74</v>
      </c>
      <c r="AA40" s="11"/>
      <c r="AB40" s="11" t="s">
        <v>107</v>
      </c>
      <c r="AC40" s="11"/>
      <c r="AD40" s="11" t="s">
        <v>108</v>
      </c>
      <c r="AE40" s="11"/>
      <c r="AF40" s="11" t="s">
        <v>108</v>
      </c>
      <c r="AG40" s="11"/>
      <c r="AH40" s="11" t="s">
        <v>174</v>
      </c>
    </row>
    <row r="41" spans="1:34" x14ac:dyDescent="0.25">
      <c r="A41" s="11">
        <v>15</v>
      </c>
      <c r="B41" s="11"/>
      <c r="C41" s="11"/>
      <c r="D41" s="11"/>
      <c r="E41" s="11"/>
      <c r="F41" s="11"/>
      <c r="G41" s="11"/>
      <c r="H41" s="11">
        <v>1</v>
      </c>
      <c r="I41" s="11"/>
      <c r="J41" s="13">
        <v>9.5138888888888884E-2</v>
      </c>
      <c r="K41" s="11" t="s">
        <v>182</v>
      </c>
      <c r="L41" s="14" t="s">
        <v>183</v>
      </c>
      <c r="M41" s="11">
        <v>19</v>
      </c>
      <c r="N41" s="11"/>
      <c r="O41" s="11">
        <v>92</v>
      </c>
      <c r="P41" s="11"/>
      <c r="Q41" s="11">
        <v>18</v>
      </c>
      <c r="R41" s="11"/>
      <c r="S41" s="11">
        <v>25</v>
      </c>
      <c r="T41" s="11"/>
      <c r="U41" s="11">
        <v>76</v>
      </c>
      <c r="V41" s="11"/>
      <c r="W41" s="11">
        <v>35</v>
      </c>
      <c r="X41" s="11">
        <v>15</v>
      </c>
      <c r="Y41" s="11"/>
      <c r="Z41" s="11">
        <v>21</v>
      </c>
      <c r="AA41" s="11"/>
      <c r="AB41" s="11">
        <v>40</v>
      </c>
      <c r="AC41" s="11"/>
      <c r="AD41" s="11">
        <v>52</v>
      </c>
      <c r="AE41" s="11"/>
      <c r="AF41" s="11">
        <v>53</v>
      </c>
      <c r="AG41" s="11"/>
      <c r="AH41" s="11">
        <v>34</v>
      </c>
    </row>
    <row r="42" spans="1:34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3">
        <v>0.73819444444444438</v>
      </c>
      <c r="K42" s="11"/>
      <c r="L42" s="14"/>
      <c r="M42" s="11" t="s">
        <v>74</v>
      </c>
      <c r="N42" s="11"/>
      <c r="O42" s="11" t="s">
        <v>74</v>
      </c>
      <c r="P42" s="11"/>
      <c r="Q42" s="11" t="s">
        <v>107</v>
      </c>
      <c r="R42" s="11"/>
      <c r="S42" s="11" t="s">
        <v>108</v>
      </c>
      <c r="T42" s="11"/>
      <c r="U42" s="11" t="s">
        <v>108</v>
      </c>
      <c r="V42" s="11"/>
      <c r="W42" s="11" t="s">
        <v>174</v>
      </c>
      <c r="X42" s="11" t="s">
        <v>74</v>
      </c>
      <c r="Y42" s="11"/>
      <c r="Z42" s="11" t="s">
        <v>74</v>
      </c>
      <c r="AA42" s="11"/>
      <c r="AB42" s="11" t="s">
        <v>107</v>
      </c>
      <c r="AC42" s="11"/>
      <c r="AD42" s="11" t="s">
        <v>108</v>
      </c>
      <c r="AE42" s="11"/>
      <c r="AF42" s="11" t="s">
        <v>108</v>
      </c>
      <c r="AG42" s="11"/>
      <c r="AH42" s="11" t="s">
        <v>174</v>
      </c>
    </row>
    <row r="43" spans="1:34" x14ac:dyDescent="0.25">
      <c r="A43" s="11">
        <v>16</v>
      </c>
      <c r="B43" s="11"/>
      <c r="C43" s="11"/>
      <c r="D43" s="11"/>
      <c r="E43" s="11"/>
      <c r="F43" s="11"/>
      <c r="G43" s="11"/>
      <c r="H43" s="11">
        <v>1</v>
      </c>
      <c r="I43" s="11" t="s">
        <v>175</v>
      </c>
      <c r="J43" s="13">
        <v>9.5138888888888884E-2</v>
      </c>
      <c r="K43" s="11" t="s">
        <v>176</v>
      </c>
      <c r="L43" s="14" t="s">
        <v>195</v>
      </c>
      <c r="M43" s="11">
        <v>10</v>
      </c>
      <c r="N43" s="11"/>
      <c r="O43" s="11">
        <v>63</v>
      </c>
      <c r="P43" s="11"/>
      <c r="Q43" s="11">
        <v>9</v>
      </c>
      <c r="R43" s="11"/>
      <c r="S43" s="11">
        <v>7</v>
      </c>
      <c r="T43" s="11"/>
      <c r="U43" s="11">
        <v>25</v>
      </c>
      <c r="V43" s="11"/>
      <c r="W43" s="11">
        <v>35</v>
      </c>
      <c r="X43" s="11">
        <v>29</v>
      </c>
      <c r="Y43" s="11"/>
      <c r="Z43" s="11">
        <v>41</v>
      </c>
      <c r="AA43" s="11"/>
      <c r="AB43" s="11">
        <v>20</v>
      </c>
      <c r="AC43" s="11"/>
      <c r="AD43" s="11">
        <v>25</v>
      </c>
      <c r="AE43" s="11"/>
      <c r="AF43" s="11">
        <v>65</v>
      </c>
      <c r="AG43" s="11"/>
      <c r="AH43" s="11">
        <v>34</v>
      </c>
    </row>
    <row r="44" spans="1:34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3">
        <v>0.73819444444444438</v>
      </c>
      <c r="K44" s="11"/>
      <c r="L44" s="14"/>
      <c r="M44" s="11" t="s">
        <v>74</v>
      </c>
      <c r="N44" s="11"/>
      <c r="O44" s="11" t="s">
        <v>74</v>
      </c>
      <c r="P44" s="11"/>
      <c r="Q44" s="11" t="s">
        <v>107</v>
      </c>
      <c r="R44" s="11"/>
      <c r="S44" s="11" t="s">
        <v>108</v>
      </c>
      <c r="T44" s="11"/>
      <c r="U44" s="11" t="s">
        <v>108</v>
      </c>
      <c r="V44" s="11"/>
      <c r="W44" s="11" t="s">
        <v>174</v>
      </c>
      <c r="X44" s="11" t="s">
        <v>74</v>
      </c>
      <c r="Y44" s="11"/>
      <c r="Z44" s="11" t="s">
        <v>74</v>
      </c>
      <c r="AA44" s="11"/>
      <c r="AB44" s="11" t="s">
        <v>107</v>
      </c>
      <c r="AC44" s="11"/>
      <c r="AD44" s="11" t="s">
        <v>108</v>
      </c>
      <c r="AE44" s="11"/>
      <c r="AF44" s="11" t="s">
        <v>108</v>
      </c>
      <c r="AG44" s="11"/>
      <c r="AH44" s="11" t="s">
        <v>174</v>
      </c>
    </row>
    <row r="45" spans="1:34" x14ac:dyDescent="0.25">
      <c r="A45" s="11">
        <v>17</v>
      </c>
      <c r="B45" s="11"/>
      <c r="C45" s="11"/>
      <c r="D45" s="11"/>
      <c r="E45" s="11"/>
      <c r="F45" s="11"/>
      <c r="G45" s="11"/>
      <c r="H45" s="11">
        <v>1</v>
      </c>
      <c r="I45" s="11" t="s">
        <v>175</v>
      </c>
      <c r="J45" s="13">
        <v>0.1013888888888889</v>
      </c>
      <c r="K45" s="11" t="s">
        <v>178</v>
      </c>
      <c r="L45" s="14" t="s">
        <v>196</v>
      </c>
      <c r="M45" s="11">
        <v>10</v>
      </c>
      <c r="N45" s="11"/>
      <c r="O45" s="11">
        <v>63</v>
      </c>
      <c r="P45" s="11"/>
      <c r="Q45" s="11">
        <v>9</v>
      </c>
      <c r="R45" s="11"/>
      <c r="S45" s="11">
        <v>7</v>
      </c>
      <c r="T45" s="11"/>
      <c r="U45" s="11">
        <v>25</v>
      </c>
      <c r="V45" s="11"/>
      <c r="W45" s="11">
        <v>35</v>
      </c>
      <c r="X45" s="11">
        <v>29</v>
      </c>
      <c r="Y45" s="11"/>
      <c r="Z45" s="11">
        <v>41</v>
      </c>
      <c r="AA45" s="11"/>
      <c r="AB45" s="11">
        <v>20</v>
      </c>
      <c r="AC45" s="11"/>
      <c r="AD45" s="11">
        <v>25</v>
      </c>
      <c r="AE45" s="11"/>
      <c r="AF45" s="11">
        <v>65</v>
      </c>
      <c r="AG45" s="11"/>
      <c r="AH45" s="11">
        <v>34</v>
      </c>
    </row>
    <row r="46" spans="1:34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3">
        <v>0.7319444444444444</v>
      </c>
      <c r="K46" s="11"/>
      <c r="L46" s="14"/>
      <c r="M46" s="11" t="s">
        <v>74</v>
      </c>
      <c r="N46" s="11"/>
      <c r="O46" s="11" t="s">
        <v>74</v>
      </c>
      <c r="P46" s="11"/>
      <c r="Q46" s="11" t="s">
        <v>107</v>
      </c>
      <c r="R46" s="11"/>
      <c r="S46" s="11" t="s">
        <v>108</v>
      </c>
      <c r="T46" s="11"/>
      <c r="U46" s="11" t="s">
        <v>108</v>
      </c>
      <c r="V46" s="11"/>
      <c r="W46" s="11" t="s">
        <v>174</v>
      </c>
      <c r="X46" s="11" t="s">
        <v>74</v>
      </c>
      <c r="Y46" s="11"/>
      <c r="Z46" s="11" t="s">
        <v>74</v>
      </c>
      <c r="AA46" s="11"/>
      <c r="AB46" s="11" t="s">
        <v>107</v>
      </c>
      <c r="AC46" s="11"/>
      <c r="AD46" s="11" t="s">
        <v>108</v>
      </c>
      <c r="AE46" s="11"/>
      <c r="AF46" s="11" t="s">
        <v>108</v>
      </c>
      <c r="AG46" s="11"/>
      <c r="AH46" s="11" t="s">
        <v>174</v>
      </c>
    </row>
    <row r="47" spans="1:34" x14ac:dyDescent="0.25">
      <c r="A47" s="11">
        <v>18</v>
      </c>
      <c r="B47" s="11"/>
      <c r="C47" s="11"/>
      <c r="D47" s="11"/>
      <c r="E47" s="11"/>
      <c r="F47" s="11"/>
      <c r="G47" s="11"/>
      <c r="H47" s="11">
        <v>1</v>
      </c>
      <c r="I47" s="11" t="s">
        <v>175</v>
      </c>
      <c r="J47" s="13">
        <v>0.10625</v>
      </c>
      <c r="K47" s="11" t="s">
        <v>178</v>
      </c>
      <c r="L47" s="14" t="s">
        <v>197</v>
      </c>
      <c r="M47" s="11">
        <v>10</v>
      </c>
      <c r="N47" s="11"/>
      <c r="O47" s="11">
        <v>63</v>
      </c>
      <c r="P47" s="11"/>
      <c r="Q47" s="11">
        <v>9</v>
      </c>
      <c r="R47" s="11"/>
      <c r="S47" s="11">
        <v>7</v>
      </c>
      <c r="T47" s="11"/>
      <c r="U47" s="11">
        <v>25</v>
      </c>
      <c r="V47" s="11"/>
      <c r="W47" s="11">
        <v>35</v>
      </c>
      <c r="X47" s="11">
        <v>29</v>
      </c>
      <c r="Y47" s="11"/>
      <c r="Z47" s="11">
        <v>41</v>
      </c>
      <c r="AA47" s="11"/>
      <c r="AB47" s="11">
        <v>20</v>
      </c>
      <c r="AC47" s="11"/>
      <c r="AD47" s="11">
        <v>25</v>
      </c>
      <c r="AE47" s="11"/>
      <c r="AF47" s="11">
        <v>65</v>
      </c>
      <c r="AG47" s="11"/>
      <c r="AH47" s="11">
        <v>34</v>
      </c>
    </row>
    <row r="48" spans="1:34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3">
        <v>0.7270833333333333</v>
      </c>
      <c r="K48" s="11"/>
      <c r="L48" s="14"/>
      <c r="M48" s="11" t="s">
        <v>74</v>
      </c>
      <c r="N48" s="11"/>
      <c r="O48" s="11" t="s">
        <v>74</v>
      </c>
      <c r="P48" s="11"/>
      <c r="Q48" s="11" t="s">
        <v>107</v>
      </c>
      <c r="R48" s="11"/>
      <c r="S48" s="11" t="s">
        <v>108</v>
      </c>
      <c r="T48" s="11"/>
      <c r="U48" s="11" t="s">
        <v>108</v>
      </c>
      <c r="V48" s="11"/>
      <c r="W48" s="11" t="s">
        <v>174</v>
      </c>
      <c r="X48" s="11" t="s">
        <v>74</v>
      </c>
      <c r="Y48" s="11"/>
      <c r="Z48" s="11" t="s">
        <v>74</v>
      </c>
      <c r="AA48" s="11"/>
      <c r="AB48" s="11" t="s">
        <v>107</v>
      </c>
      <c r="AC48" s="11"/>
      <c r="AD48" s="11" t="s">
        <v>108</v>
      </c>
      <c r="AE48" s="11"/>
      <c r="AF48" s="11" t="s">
        <v>108</v>
      </c>
      <c r="AG48" s="11"/>
      <c r="AH48" s="11" t="s">
        <v>174</v>
      </c>
    </row>
    <row r="49" spans="1:34" x14ac:dyDescent="0.25">
      <c r="A49" s="11">
        <v>19</v>
      </c>
      <c r="B49" s="11"/>
      <c r="C49" s="11"/>
      <c r="D49" s="11"/>
      <c r="E49" s="11"/>
      <c r="F49" s="11"/>
      <c r="G49" s="11"/>
      <c r="H49" s="11">
        <v>1</v>
      </c>
      <c r="I49" s="11" t="s">
        <v>175</v>
      </c>
      <c r="J49" s="13">
        <v>0.11041666666666666</v>
      </c>
      <c r="K49" s="11" t="s">
        <v>180</v>
      </c>
      <c r="L49" s="14" t="s">
        <v>198</v>
      </c>
      <c r="M49" s="11">
        <v>10</v>
      </c>
      <c r="N49" s="11"/>
      <c r="O49" s="11">
        <v>63</v>
      </c>
      <c r="P49" s="11"/>
      <c r="Q49" s="11">
        <v>9</v>
      </c>
      <c r="R49" s="11"/>
      <c r="S49" s="11">
        <v>7</v>
      </c>
      <c r="T49" s="11"/>
      <c r="U49" s="11">
        <v>25</v>
      </c>
      <c r="V49" s="11"/>
      <c r="W49" s="11">
        <v>35</v>
      </c>
      <c r="X49" s="11">
        <v>29</v>
      </c>
      <c r="Y49" s="11"/>
      <c r="Z49" s="11">
        <v>41</v>
      </c>
      <c r="AA49" s="11"/>
      <c r="AB49" s="11">
        <v>20</v>
      </c>
      <c r="AC49" s="11"/>
      <c r="AD49" s="11">
        <v>25</v>
      </c>
      <c r="AE49" s="11"/>
      <c r="AF49" s="11">
        <v>65</v>
      </c>
      <c r="AG49" s="11"/>
      <c r="AH49" s="11">
        <v>34</v>
      </c>
    </row>
    <row r="50" spans="1:34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3">
        <v>0.72291666666666676</v>
      </c>
      <c r="K50" s="11"/>
      <c r="L50" s="14"/>
      <c r="M50" s="11" t="s">
        <v>74</v>
      </c>
      <c r="N50" s="11"/>
      <c r="O50" s="11" t="s">
        <v>74</v>
      </c>
      <c r="P50" s="11"/>
      <c r="Q50" s="11" t="s">
        <v>107</v>
      </c>
      <c r="R50" s="11"/>
      <c r="S50" s="11" t="s">
        <v>108</v>
      </c>
      <c r="T50" s="11"/>
      <c r="U50" s="11" t="s">
        <v>108</v>
      </c>
      <c r="V50" s="11"/>
      <c r="W50" s="11" t="s">
        <v>174</v>
      </c>
      <c r="X50" s="11" t="s">
        <v>74</v>
      </c>
      <c r="Y50" s="11"/>
      <c r="Z50" s="11" t="s">
        <v>74</v>
      </c>
      <c r="AA50" s="11"/>
      <c r="AB50" s="11" t="s">
        <v>107</v>
      </c>
      <c r="AC50" s="11"/>
      <c r="AD50" s="11" t="s">
        <v>108</v>
      </c>
      <c r="AE50" s="11"/>
      <c r="AF50" s="11" t="s">
        <v>108</v>
      </c>
      <c r="AG50" s="11"/>
      <c r="AH50" s="11" t="s">
        <v>174</v>
      </c>
    </row>
    <row r="51" spans="1:34" x14ac:dyDescent="0.25">
      <c r="A51" s="11">
        <v>20</v>
      </c>
      <c r="B51" s="11"/>
      <c r="C51" s="11"/>
      <c r="D51" s="11"/>
      <c r="E51" s="11"/>
      <c r="F51" s="11"/>
      <c r="G51" s="11"/>
      <c r="H51" s="11">
        <v>1</v>
      </c>
      <c r="I51" s="11"/>
      <c r="J51" s="13">
        <v>0.11180555555555556</v>
      </c>
      <c r="K51" s="11" t="s">
        <v>182</v>
      </c>
      <c r="L51" s="14" t="s">
        <v>199</v>
      </c>
      <c r="M51" s="11">
        <v>10</v>
      </c>
      <c r="N51" s="11"/>
      <c r="O51" s="11">
        <v>63</v>
      </c>
      <c r="P51" s="11"/>
      <c r="Q51" s="11">
        <v>9</v>
      </c>
      <c r="R51" s="11"/>
      <c r="S51" s="11">
        <v>7</v>
      </c>
      <c r="T51" s="11"/>
      <c r="U51" s="11">
        <v>25</v>
      </c>
      <c r="V51" s="11"/>
      <c r="W51" s="11">
        <v>35</v>
      </c>
      <c r="X51" s="11">
        <v>29</v>
      </c>
      <c r="Y51" s="11"/>
      <c r="Z51" s="11">
        <v>41</v>
      </c>
      <c r="AA51" s="11"/>
      <c r="AB51" s="11">
        <v>20</v>
      </c>
      <c r="AC51" s="11"/>
      <c r="AD51" s="11">
        <v>25</v>
      </c>
      <c r="AE51" s="11"/>
      <c r="AF51" s="11">
        <v>65</v>
      </c>
      <c r="AG51" s="11"/>
      <c r="AH51" s="11">
        <v>34</v>
      </c>
    </row>
    <row r="52" spans="1:34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3">
        <v>0.72152777777777777</v>
      </c>
      <c r="K52" s="11"/>
      <c r="L52" s="14"/>
      <c r="M52" s="11" t="s">
        <v>74</v>
      </c>
      <c r="N52" s="11"/>
      <c r="O52" s="11" t="s">
        <v>74</v>
      </c>
      <c r="P52" s="11"/>
      <c r="Q52" s="11" t="s">
        <v>107</v>
      </c>
      <c r="R52" s="11"/>
      <c r="S52" s="11" t="s">
        <v>108</v>
      </c>
      <c r="T52" s="11"/>
      <c r="U52" s="11" t="s">
        <v>108</v>
      </c>
      <c r="V52" s="11"/>
      <c r="W52" s="11" t="s">
        <v>174</v>
      </c>
      <c r="X52" s="11" t="s">
        <v>74</v>
      </c>
      <c r="Y52" s="11"/>
      <c r="Z52" s="11" t="s">
        <v>74</v>
      </c>
      <c r="AA52" s="11"/>
      <c r="AB52" s="11" t="s">
        <v>107</v>
      </c>
      <c r="AC52" s="11"/>
      <c r="AD52" s="11" t="s">
        <v>108</v>
      </c>
      <c r="AE52" s="11"/>
      <c r="AF52" s="11" t="s">
        <v>108</v>
      </c>
      <c r="AG52" s="11"/>
      <c r="AH52" s="11" t="s">
        <v>174</v>
      </c>
    </row>
    <row r="53" spans="1:34" x14ac:dyDescent="0.25">
      <c r="A53" s="11">
        <v>21</v>
      </c>
      <c r="B53" s="11"/>
      <c r="C53" s="11"/>
      <c r="D53" s="11"/>
      <c r="E53" s="11"/>
      <c r="F53" s="11"/>
      <c r="G53" s="11"/>
      <c r="H53" s="11">
        <v>1</v>
      </c>
      <c r="I53" s="11" t="s">
        <v>175</v>
      </c>
      <c r="J53" s="13">
        <v>0.11180555555555556</v>
      </c>
      <c r="K53" s="11" t="s">
        <v>176</v>
      </c>
      <c r="L53" s="14" t="s">
        <v>200</v>
      </c>
      <c r="M53" s="11">
        <v>10</v>
      </c>
      <c r="N53" s="11"/>
      <c r="O53" s="11">
        <v>16</v>
      </c>
      <c r="P53" s="11"/>
      <c r="Q53" s="11">
        <v>56</v>
      </c>
      <c r="R53" s="11"/>
      <c r="S53" s="11">
        <v>4</v>
      </c>
      <c r="T53" s="11"/>
      <c r="U53" s="11">
        <v>14</v>
      </c>
      <c r="V53" s="11"/>
      <c r="W53" s="11">
        <v>35</v>
      </c>
      <c r="X53" s="11">
        <v>14</v>
      </c>
      <c r="Y53" s="11"/>
      <c r="Z53" s="11">
        <v>43</v>
      </c>
      <c r="AA53" s="11"/>
      <c r="AB53" s="11">
        <v>62</v>
      </c>
      <c r="AC53" s="11"/>
      <c r="AD53" s="11">
        <v>2</v>
      </c>
      <c r="AE53" s="11"/>
      <c r="AF53" s="11">
        <v>48</v>
      </c>
      <c r="AG53" s="11"/>
      <c r="AH53" s="11">
        <v>34</v>
      </c>
    </row>
    <row r="54" spans="1:34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3">
        <v>0.72152777777777777</v>
      </c>
      <c r="K54" s="11"/>
      <c r="L54" s="14"/>
      <c r="M54" s="11" t="s">
        <v>74</v>
      </c>
      <c r="N54" s="11"/>
      <c r="O54" s="11" t="s">
        <v>74</v>
      </c>
      <c r="P54" s="11"/>
      <c r="Q54" s="11" t="s">
        <v>107</v>
      </c>
      <c r="R54" s="11"/>
      <c r="S54" s="11" t="s">
        <v>108</v>
      </c>
      <c r="T54" s="11"/>
      <c r="U54" s="11" t="s">
        <v>108</v>
      </c>
      <c r="V54" s="11"/>
      <c r="W54" s="11" t="s">
        <v>174</v>
      </c>
      <c r="X54" s="11" t="s">
        <v>74</v>
      </c>
      <c r="Y54" s="11"/>
      <c r="Z54" s="11" t="s">
        <v>74</v>
      </c>
      <c r="AA54" s="11"/>
      <c r="AB54" s="11" t="s">
        <v>107</v>
      </c>
      <c r="AC54" s="11"/>
      <c r="AD54" s="11" t="s">
        <v>108</v>
      </c>
      <c r="AE54" s="11"/>
      <c r="AF54" s="11" t="s">
        <v>108</v>
      </c>
      <c r="AG54" s="11"/>
      <c r="AH54" s="11" t="s">
        <v>174</v>
      </c>
    </row>
    <row r="55" spans="1:34" x14ac:dyDescent="0.25">
      <c r="A55" s="11">
        <v>22</v>
      </c>
      <c r="B55" s="11"/>
      <c r="C55" s="11"/>
      <c r="D55" s="11"/>
      <c r="E55" s="11"/>
      <c r="F55" s="11"/>
      <c r="G55" s="11"/>
      <c r="H55" s="11">
        <v>1</v>
      </c>
      <c r="I55" s="11" t="s">
        <v>175</v>
      </c>
      <c r="J55" s="13">
        <v>0.13125000000000001</v>
      </c>
      <c r="K55" s="11" t="s">
        <v>178</v>
      </c>
      <c r="L55" s="14" t="s">
        <v>201</v>
      </c>
      <c r="M55" s="11">
        <v>16</v>
      </c>
      <c r="N55" s="11"/>
      <c r="O55" s="11">
        <v>63</v>
      </c>
      <c r="P55" s="11"/>
      <c r="Q55" s="11">
        <v>56</v>
      </c>
      <c r="R55" s="11"/>
      <c r="S55" s="11">
        <v>4</v>
      </c>
      <c r="T55" s="11"/>
      <c r="U55" s="11">
        <v>14</v>
      </c>
      <c r="V55" s="11"/>
      <c r="W55" s="11">
        <v>35</v>
      </c>
      <c r="X55" s="11">
        <v>14</v>
      </c>
      <c r="Y55" s="11"/>
      <c r="Z55" s="11">
        <v>43</v>
      </c>
      <c r="AA55" s="11"/>
      <c r="AB55" s="11">
        <v>62</v>
      </c>
      <c r="AC55" s="11"/>
      <c r="AD55" s="11">
        <v>2</v>
      </c>
      <c r="AE55" s="11"/>
      <c r="AF55" s="11">
        <v>48</v>
      </c>
      <c r="AG55" s="11"/>
      <c r="AH55" s="11">
        <v>34</v>
      </c>
    </row>
    <row r="56" spans="1:34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3">
        <v>0.70208333333333339</v>
      </c>
      <c r="K56" s="11"/>
      <c r="L56" s="14"/>
      <c r="M56" s="11" t="s">
        <v>74</v>
      </c>
      <c r="N56" s="11"/>
      <c r="O56" s="11" t="s">
        <v>74</v>
      </c>
      <c r="P56" s="11"/>
      <c r="Q56" s="11" t="s">
        <v>107</v>
      </c>
      <c r="R56" s="11"/>
      <c r="S56" s="11" t="s">
        <v>108</v>
      </c>
      <c r="T56" s="11"/>
      <c r="U56" s="11" t="s">
        <v>108</v>
      </c>
      <c r="V56" s="11"/>
      <c r="W56" s="11" t="s">
        <v>174</v>
      </c>
      <c r="X56" s="11" t="s">
        <v>74</v>
      </c>
      <c r="Y56" s="11"/>
      <c r="Z56" s="11" t="s">
        <v>74</v>
      </c>
      <c r="AA56" s="11"/>
      <c r="AB56" s="11" t="s">
        <v>107</v>
      </c>
      <c r="AC56" s="11"/>
      <c r="AD56" s="11" t="s">
        <v>108</v>
      </c>
      <c r="AE56" s="11"/>
      <c r="AF56" s="11" t="s">
        <v>108</v>
      </c>
      <c r="AG56" s="11"/>
      <c r="AH56" s="11" t="s">
        <v>174</v>
      </c>
    </row>
    <row r="57" spans="1:34" x14ac:dyDescent="0.25">
      <c r="A57" s="11">
        <v>23</v>
      </c>
      <c r="B57" s="11"/>
      <c r="C57" s="11"/>
      <c r="D57" s="11"/>
      <c r="E57" s="11"/>
      <c r="F57" s="11"/>
      <c r="G57" s="11"/>
      <c r="H57" s="11">
        <v>1</v>
      </c>
      <c r="I57" s="11" t="s">
        <v>175</v>
      </c>
      <c r="J57" s="13">
        <v>0.14305555555555557</v>
      </c>
      <c r="K57" s="11" t="s">
        <v>180</v>
      </c>
      <c r="L57" s="14" t="s">
        <v>202</v>
      </c>
      <c r="M57" s="11">
        <v>15</v>
      </c>
      <c r="N57" s="11"/>
      <c r="O57" s="11">
        <v>63</v>
      </c>
      <c r="P57" s="11"/>
      <c r="Q57" s="11">
        <v>9</v>
      </c>
      <c r="R57" s="11"/>
      <c r="S57" s="11">
        <v>4</v>
      </c>
      <c r="T57" s="11"/>
      <c r="U57" s="11">
        <v>14</v>
      </c>
      <c r="V57" s="11"/>
      <c r="W57" s="11">
        <v>35</v>
      </c>
      <c r="X57" s="11">
        <v>14</v>
      </c>
      <c r="Y57" s="11"/>
      <c r="Z57" s="11">
        <v>51</v>
      </c>
      <c r="AA57" s="11"/>
      <c r="AB57" s="11">
        <v>71</v>
      </c>
      <c r="AC57" s="11"/>
      <c r="AD57" s="11">
        <v>52</v>
      </c>
      <c r="AE57" s="11"/>
      <c r="AF57" s="11">
        <v>53</v>
      </c>
      <c r="AG57" s="11"/>
      <c r="AH57" s="11">
        <v>34</v>
      </c>
    </row>
    <row r="58" spans="1:34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3">
        <v>0.69027777777777777</v>
      </c>
      <c r="K58" s="11"/>
      <c r="L58" s="14"/>
      <c r="M58" s="11" t="s">
        <v>74</v>
      </c>
      <c r="N58" s="11"/>
      <c r="O58" s="11" t="s">
        <v>74</v>
      </c>
      <c r="P58" s="11"/>
      <c r="Q58" s="11" t="s">
        <v>107</v>
      </c>
      <c r="R58" s="11"/>
      <c r="S58" s="11" t="s">
        <v>108</v>
      </c>
      <c r="T58" s="11"/>
      <c r="U58" s="11" t="s">
        <v>108</v>
      </c>
      <c r="V58" s="11"/>
      <c r="W58" s="11" t="s">
        <v>174</v>
      </c>
      <c r="X58" s="11" t="s">
        <v>74</v>
      </c>
      <c r="Y58" s="11"/>
      <c r="Z58" s="11" t="s">
        <v>74</v>
      </c>
      <c r="AA58" s="11"/>
      <c r="AB58" s="11" t="s">
        <v>74</v>
      </c>
      <c r="AC58" s="11"/>
      <c r="AD58" s="11" t="s">
        <v>108</v>
      </c>
      <c r="AE58" s="11"/>
      <c r="AF58" s="11" t="s">
        <v>108</v>
      </c>
      <c r="AG58" s="11"/>
      <c r="AH58" s="11" t="s">
        <v>174</v>
      </c>
    </row>
    <row r="59" spans="1:34" x14ac:dyDescent="0.25">
      <c r="A59" s="11">
        <v>24</v>
      </c>
      <c r="B59" s="11"/>
      <c r="C59" s="11"/>
      <c r="D59" s="11"/>
      <c r="E59" s="11"/>
      <c r="F59" s="11"/>
      <c r="G59" s="11"/>
      <c r="H59" s="11">
        <v>1</v>
      </c>
      <c r="I59" s="11" t="s">
        <v>175</v>
      </c>
      <c r="J59" s="13">
        <v>0.14444444444444446</v>
      </c>
      <c r="K59" s="11" t="s">
        <v>180</v>
      </c>
      <c r="L59" s="14" t="s">
        <v>203</v>
      </c>
      <c r="M59" s="11">
        <v>15</v>
      </c>
      <c r="N59" s="11"/>
      <c r="O59" s="11">
        <v>63</v>
      </c>
      <c r="P59" s="11"/>
      <c r="Q59" s="11">
        <v>9</v>
      </c>
      <c r="R59" s="11"/>
      <c r="S59" s="11">
        <v>4</v>
      </c>
      <c r="T59" s="11"/>
      <c r="U59" s="11">
        <v>14</v>
      </c>
      <c r="V59" s="11"/>
      <c r="W59" s="11">
        <v>35</v>
      </c>
      <c r="X59" s="11">
        <v>14</v>
      </c>
      <c r="Y59" s="11"/>
      <c r="Z59" s="11">
        <v>51</v>
      </c>
      <c r="AA59" s="11"/>
      <c r="AB59" s="11">
        <v>71</v>
      </c>
      <c r="AC59" s="11"/>
      <c r="AD59" s="11">
        <v>52</v>
      </c>
      <c r="AE59" s="11"/>
      <c r="AF59" s="11">
        <v>53</v>
      </c>
      <c r="AG59" s="11"/>
      <c r="AH59" s="11">
        <v>34</v>
      </c>
    </row>
    <row r="60" spans="1:34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3">
        <v>0.68888888888888899</v>
      </c>
      <c r="K60" s="11"/>
      <c r="L60" s="14"/>
      <c r="M60" s="11" t="s">
        <v>74</v>
      </c>
      <c r="N60" s="11"/>
      <c r="O60" s="11" t="s">
        <v>74</v>
      </c>
      <c r="P60" s="11"/>
      <c r="Q60" s="11" t="s">
        <v>107</v>
      </c>
      <c r="R60" s="11"/>
      <c r="S60" s="11" t="s">
        <v>108</v>
      </c>
      <c r="T60" s="11"/>
      <c r="U60" s="11" t="s">
        <v>108</v>
      </c>
      <c r="V60" s="11"/>
      <c r="W60" s="11" t="s">
        <v>174</v>
      </c>
      <c r="X60" s="11" t="s">
        <v>74</v>
      </c>
      <c r="Y60" s="11"/>
      <c r="Z60" s="11" t="s">
        <v>74</v>
      </c>
      <c r="AA60" s="11"/>
      <c r="AB60" s="11" t="s">
        <v>74</v>
      </c>
      <c r="AC60" s="11"/>
      <c r="AD60" s="11" t="s">
        <v>108</v>
      </c>
      <c r="AE60" s="11"/>
      <c r="AF60" s="11" t="s">
        <v>108</v>
      </c>
      <c r="AG60" s="11"/>
      <c r="AH60" s="11" t="s">
        <v>174</v>
      </c>
    </row>
    <row r="61" spans="1:34" x14ac:dyDescent="0.25">
      <c r="A61" s="11">
        <v>25</v>
      </c>
      <c r="B61" s="11"/>
      <c r="C61" s="11"/>
      <c r="D61" s="11"/>
      <c r="E61" s="11"/>
      <c r="F61" s="11"/>
      <c r="G61" s="11"/>
      <c r="H61" s="11">
        <v>1</v>
      </c>
      <c r="I61" s="11"/>
      <c r="J61" s="13">
        <v>0.16527777777777777</v>
      </c>
      <c r="K61" s="11" t="s">
        <v>182</v>
      </c>
      <c r="L61" s="14" t="s">
        <v>204</v>
      </c>
      <c r="M61" s="11">
        <v>15</v>
      </c>
      <c r="N61" s="11"/>
      <c r="O61" s="11">
        <v>63</v>
      </c>
      <c r="P61" s="11"/>
      <c r="Q61" s="11">
        <v>9</v>
      </c>
      <c r="R61" s="11"/>
      <c r="S61" s="11">
        <v>59</v>
      </c>
      <c r="T61" s="11"/>
      <c r="U61" s="11">
        <v>76</v>
      </c>
      <c r="V61" s="11"/>
      <c r="W61" s="11">
        <v>35</v>
      </c>
      <c r="X61" s="11">
        <v>71</v>
      </c>
      <c r="Y61" s="11"/>
      <c r="Z61" s="11">
        <v>8</v>
      </c>
      <c r="AA61" s="11"/>
      <c r="AB61" s="11">
        <v>40</v>
      </c>
      <c r="AC61" s="11"/>
      <c r="AD61" s="11">
        <v>52</v>
      </c>
      <c r="AE61" s="11"/>
      <c r="AF61" s="11">
        <v>53</v>
      </c>
      <c r="AG61" s="11"/>
      <c r="AH61" s="11">
        <v>34</v>
      </c>
    </row>
    <row r="62" spans="1:34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3">
        <v>0.66805555555555562</v>
      </c>
      <c r="K62" s="11"/>
      <c r="L62" s="14"/>
      <c r="M62" s="11" t="s">
        <v>74</v>
      </c>
      <c r="N62" s="11"/>
      <c r="O62" s="11" t="s">
        <v>74</v>
      </c>
      <c r="P62" s="11"/>
      <c r="Q62" s="11" t="s">
        <v>107</v>
      </c>
      <c r="R62" s="11"/>
      <c r="S62" s="11" t="s">
        <v>108</v>
      </c>
      <c r="T62" s="11"/>
      <c r="U62" s="11" t="s">
        <v>108</v>
      </c>
      <c r="V62" s="11"/>
      <c r="W62" s="11" t="s">
        <v>174</v>
      </c>
      <c r="X62" s="11" t="s">
        <v>74</v>
      </c>
      <c r="Y62" s="11"/>
      <c r="Z62" s="11" t="s">
        <v>107</v>
      </c>
      <c r="AA62" s="11"/>
      <c r="AB62" s="11" t="s">
        <v>107</v>
      </c>
      <c r="AC62" s="11"/>
      <c r="AD62" s="11" t="s">
        <v>108</v>
      </c>
      <c r="AE62" s="11"/>
      <c r="AF62" s="11" t="s">
        <v>108</v>
      </c>
      <c r="AG62" s="11"/>
      <c r="AH62" s="11" t="s">
        <v>174</v>
      </c>
    </row>
    <row r="63" spans="1:34" x14ac:dyDescent="0.25">
      <c r="A63" s="11">
        <v>26</v>
      </c>
      <c r="B63" s="11"/>
      <c r="C63" s="11"/>
      <c r="D63" s="11"/>
      <c r="E63" s="11"/>
      <c r="F63" s="11"/>
      <c r="G63" s="11"/>
      <c r="H63" s="11">
        <v>1</v>
      </c>
      <c r="I63" s="11" t="s">
        <v>175</v>
      </c>
      <c r="J63" s="13">
        <v>0.16527777777777777</v>
      </c>
      <c r="K63" s="11" t="s">
        <v>176</v>
      </c>
      <c r="L63" s="14" t="s">
        <v>205</v>
      </c>
      <c r="M63" s="11">
        <v>12</v>
      </c>
      <c r="N63" s="11"/>
      <c r="O63" s="11">
        <v>33</v>
      </c>
      <c r="P63" s="11"/>
      <c r="Q63" s="11">
        <v>38</v>
      </c>
      <c r="R63" s="11"/>
      <c r="S63" s="11">
        <v>59</v>
      </c>
      <c r="T63" s="11"/>
      <c r="U63" s="11">
        <v>76</v>
      </c>
      <c r="V63" s="11"/>
      <c r="W63" s="11">
        <v>35</v>
      </c>
      <c r="X63" s="11">
        <v>29</v>
      </c>
      <c r="Y63" s="11"/>
      <c r="Z63" s="11">
        <v>41</v>
      </c>
      <c r="AA63" s="11"/>
      <c r="AB63" s="11">
        <v>20</v>
      </c>
      <c r="AC63" s="11"/>
      <c r="AD63" s="11">
        <v>2</v>
      </c>
      <c r="AE63" s="11"/>
      <c r="AF63" s="11">
        <v>48</v>
      </c>
      <c r="AG63" s="11"/>
      <c r="AH63" s="11">
        <v>34</v>
      </c>
    </row>
    <row r="64" spans="1:34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3">
        <v>0.66805555555555562</v>
      </c>
      <c r="K64" s="11"/>
      <c r="L64" s="14"/>
      <c r="M64" s="11" t="s">
        <v>74</v>
      </c>
      <c r="N64" s="11"/>
      <c r="O64" s="11" t="s">
        <v>74</v>
      </c>
      <c r="P64" s="11"/>
      <c r="Q64" s="11" t="s">
        <v>107</v>
      </c>
      <c r="R64" s="11"/>
      <c r="S64" s="11" t="s">
        <v>108</v>
      </c>
      <c r="T64" s="11"/>
      <c r="U64" s="11" t="s">
        <v>108</v>
      </c>
      <c r="V64" s="11"/>
      <c r="W64" s="11" t="s">
        <v>174</v>
      </c>
      <c r="X64" s="11" t="s">
        <v>74</v>
      </c>
      <c r="Y64" s="11"/>
      <c r="Z64" s="11" t="s">
        <v>74</v>
      </c>
      <c r="AA64" s="11"/>
      <c r="AB64" s="11" t="s">
        <v>107</v>
      </c>
      <c r="AC64" s="11"/>
      <c r="AD64" s="11" t="s">
        <v>108</v>
      </c>
      <c r="AE64" s="11"/>
      <c r="AF64" s="11" t="s">
        <v>108</v>
      </c>
      <c r="AG64" s="11"/>
      <c r="AH64" s="11" t="s">
        <v>174</v>
      </c>
    </row>
    <row r="65" spans="1:34" x14ac:dyDescent="0.25">
      <c r="A65" s="11">
        <v>27</v>
      </c>
      <c r="B65" s="11"/>
      <c r="C65" s="11"/>
      <c r="D65" s="11"/>
      <c r="E65" s="11"/>
      <c r="F65" s="11"/>
      <c r="G65" s="11"/>
      <c r="H65" s="11">
        <v>1</v>
      </c>
      <c r="I65" s="11" t="s">
        <v>175</v>
      </c>
      <c r="J65" s="13">
        <v>0.17013888888888887</v>
      </c>
      <c r="K65" s="11" t="s">
        <v>180</v>
      </c>
      <c r="L65" s="14" t="s">
        <v>206</v>
      </c>
      <c r="M65" s="11">
        <v>12</v>
      </c>
      <c r="N65" s="11"/>
      <c r="O65" s="11">
        <v>33</v>
      </c>
      <c r="P65" s="11"/>
      <c r="Q65" s="11">
        <v>38</v>
      </c>
      <c r="R65" s="11"/>
      <c r="S65" s="11">
        <v>7</v>
      </c>
      <c r="T65" s="11"/>
      <c r="U65" s="11">
        <v>25</v>
      </c>
      <c r="V65" s="11"/>
      <c r="W65" s="11">
        <v>35</v>
      </c>
      <c r="X65" s="11">
        <v>29</v>
      </c>
      <c r="Y65" s="11"/>
      <c r="Z65" s="11">
        <v>41</v>
      </c>
      <c r="AA65" s="11"/>
      <c r="AB65" s="11">
        <v>20</v>
      </c>
      <c r="AC65" s="11"/>
      <c r="AD65" s="11">
        <v>2</v>
      </c>
      <c r="AE65" s="11"/>
      <c r="AF65" s="11">
        <v>48</v>
      </c>
      <c r="AG65" s="11"/>
      <c r="AH65" s="11">
        <v>34</v>
      </c>
    </row>
    <row r="66" spans="1:34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3">
        <v>0.66319444444444442</v>
      </c>
      <c r="K66" s="11"/>
      <c r="L66" s="14"/>
      <c r="M66" s="11" t="s">
        <v>74</v>
      </c>
      <c r="N66" s="11"/>
      <c r="O66" s="11" t="s">
        <v>74</v>
      </c>
      <c r="P66" s="11"/>
      <c r="Q66" s="11" t="s">
        <v>107</v>
      </c>
      <c r="R66" s="11"/>
      <c r="S66" s="11" t="s">
        <v>108</v>
      </c>
      <c r="T66" s="11"/>
      <c r="U66" s="11" t="s">
        <v>108</v>
      </c>
      <c r="V66" s="11"/>
      <c r="W66" s="11" t="s">
        <v>174</v>
      </c>
      <c r="X66" s="11" t="s">
        <v>74</v>
      </c>
      <c r="Y66" s="11"/>
      <c r="Z66" s="11" t="s">
        <v>74</v>
      </c>
      <c r="AA66" s="11"/>
      <c r="AB66" s="11" t="s">
        <v>107</v>
      </c>
      <c r="AC66" s="11"/>
      <c r="AD66" s="11" t="s">
        <v>108</v>
      </c>
      <c r="AE66" s="11"/>
      <c r="AF66" s="11" t="s">
        <v>108</v>
      </c>
      <c r="AG66" s="11"/>
      <c r="AH66" s="11" t="s">
        <v>174</v>
      </c>
    </row>
    <row r="67" spans="1:34" x14ac:dyDescent="0.25">
      <c r="A67" s="11">
        <v>28</v>
      </c>
      <c r="B67" s="11"/>
      <c r="C67" s="11"/>
      <c r="D67" s="11"/>
      <c r="E67" s="11"/>
      <c r="F67" s="11"/>
      <c r="G67" s="11"/>
      <c r="H67" s="11">
        <v>1</v>
      </c>
      <c r="I67" s="11"/>
      <c r="J67" s="13">
        <v>0.17708333333333334</v>
      </c>
      <c r="K67" s="11" t="s">
        <v>182</v>
      </c>
      <c r="L67" s="14" t="s">
        <v>207</v>
      </c>
      <c r="M67" s="11">
        <v>12</v>
      </c>
      <c r="N67" s="11"/>
      <c r="O67" s="11">
        <v>33</v>
      </c>
      <c r="P67" s="11"/>
      <c r="Q67" s="11">
        <v>38</v>
      </c>
      <c r="R67" s="11"/>
      <c r="S67" s="11">
        <v>7</v>
      </c>
      <c r="T67" s="11"/>
      <c r="U67" s="11">
        <v>25</v>
      </c>
      <c r="V67" s="11"/>
      <c r="W67" s="11">
        <v>35</v>
      </c>
      <c r="X67" s="11">
        <v>29</v>
      </c>
      <c r="Y67" s="11"/>
      <c r="Z67" s="11">
        <v>41</v>
      </c>
      <c r="AA67" s="11"/>
      <c r="AB67" s="11">
        <v>20</v>
      </c>
      <c r="AC67" s="11"/>
      <c r="AD67" s="11">
        <v>2</v>
      </c>
      <c r="AE67" s="11"/>
      <c r="AF67" s="11">
        <v>48</v>
      </c>
      <c r="AG67" s="11"/>
      <c r="AH67" s="11">
        <v>34</v>
      </c>
    </row>
    <row r="68" spans="1:34" x14ac:dyDescent="0.25">
      <c r="A68" s="14"/>
      <c r="B68" s="14"/>
      <c r="C68" s="14"/>
      <c r="D68" s="14"/>
      <c r="E68" s="14"/>
      <c r="F68" s="14"/>
      <c r="G68" s="14"/>
      <c r="J68" s="53">
        <v>0.65625</v>
      </c>
      <c r="M68" s="4" t="s">
        <v>74</v>
      </c>
      <c r="O68" s="4" t="s">
        <v>74</v>
      </c>
      <c r="Q68" s="4" t="s">
        <v>107</v>
      </c>
      <c r="S68" s="4" t="s">
        <v>108</v>
      </c>
      <c r="U68" s="4" t="s">
        <v>108</v>
      </c>
      <c r="W68" s="4" t="s">
        <v>174</v>
      </c>
      <c r="X68" s="4" t="s">
        <v>74</v>
      </c>
      <c r="Z68" s="4" t="s">
        <v>74</v>
      </c>
      <c r="AB68" s="4" t="s">
        <v>107</v>
      </c>
      <c r="AD68" s="4" t="s">
        <v>108</v>
      </c>
      <c r="AF68" s="4" t="s">
        <v>108</v>
      </c>
      <c r="AH68" s="4" t="s">
        <v>174</v>
      </c>
    </row>
    <row r="69" spans="1:34" ht="18.75" x14ac:dyDescent="0.3">
      <c r="A69" s="15">
        <v>29</v>
      </c>
      <c r="B69" s="15"/>
      <c r="C69" s="15"/>
      <c r="D69" s="16"/>
      <c r="E69" s="15"/>
      <c r="F69" s="15"/>
      <c r="G69" s="15"/>
      <c r="H69" s="4">
        <v>1</v>
      </c>
      <c r="I69" s="4" t="s">
        <v>175</v>
      </c>
      <c r="J69" s="53">
        <v>0.17708333333333334</v>
      </c>
      <c r="K69" s="4" t="s">
        <v>176</v>
      </c>
      <c r="L69" s="4" t="s">
        <v>208</v>
      </c>
      <c r="M69" s="4">
        <v>19</v>
      </c>
      <c r="O69" s="4">
        <v>92</v>
      </c>
      <c r="Q69" s="4">
        <v>18</v>
      </c>
      <c r="S69" s="4">
        <v>7</v>
      </c>
      <c r="U69" s="4">
        <v>25</v>
      </c>
      <c r="W69" s="4">
        <v>35</v>
      </c>
      <c r="X69" s="4">
        <v>29</v>
      </c>
      <c r="Z69" s="4">
        <v>41</v>
      </c>
      <c r="AB69" s="4">
        <v>20</v>
      </c>
      <c r="AD69" s="4">
        <v>2</v>
      </c>
      <c r="AF69" s="4">
        <v>48</v>
      </c>
      <c r="AH69" s="4">
        <v>34</v>
      </c>
    </row>
    <row r="70" spans="1:34" ht="51" x14ac:dyDescent="0.75">
      <c r="A70" s="1"/>
      <c r="B70" s="17"/>
      <c r="C70" s="1"/>
      <c r="D70" s="16"/>
      <c r="E70" s="1"/>
      <c r="F70" s="17"/>
      <c r="G70" s="1"/>
      <c r="J70" s="53">
        <v>0.65625</v>
      </c>
      <c r="M70" s="4" t="s">
        <v>74</v>
      </c>
      <c r="O70" s="4" t="s">
        <v>74</v>
      </c>
      <c r="Q70" s="4" t="s">
        <v>107</v>
      </c>
      <c r="S70" s="4" t="s">
        <v>108</v>
      </c>
      <c r="U70" s="4" t="s">
        <v>108</v>
      </c>
      <c r="W70" s="4" t="s">
        <v>174</v>
      </c>
      <c r="X70" s="4" t="s">
        <v>74</v>
      </c>
      <c r="Z70" s="4" t="s">
        <v>74</v>
      </c>
      <c r="AB70" s="4" t="s">
        <v>107</v>
      </c>
      <c r="AD70" s="4" t="s">
        <v>108</v>
      </c>
      <c r="AF70" s="4" t="s">
        <v>108</v>
      </c>
      <c r="AH70" s="4" t="s">
        <v>174</v>
      </c>
    </row>
    <row r="71" spans="1:34" x14ac:dyDescent="0.25">
      <c r="A71" s="18">
        <v>30</v>
      </c>
      <c r="B71" s="18"/>
      <c r="C71" s="18"/>
      <c r="D71" s="18"/>
      <c r="E71" s="18"/>
      <c r="F71" s="18"/>
      <c r="G71" s="18"/>
      <c r="H71" s="4">
        <v>1</v>
      </c>
      <c r="J71" s="53">
        <v>0.18194444444444444</v>
      </c>
      <c r="K71" s="4" t="s">
        <v>182</v>
      </c>
      <c r="L71" s="4" t="s">
        <v>207</v>
      </c>
      <c r="M71" s="4">
        <v>19</v>
      </c>
      <c r="O71" s="4">
        <v>92</v>
      </c>
      <c r="Q71" s="4">
        <v>18</v>
      </c>
      <c r="S71" s="4">
        <v>7</v>
      </c>
      <c r="U71" s="4">
        <v>25</v>
      </c>
      <c r="W71" s="4">
        <v>35</v>
      </c>
      <c r="X71" s="4">
        <v>29</v>
      </c>
      <c r="Z71" s="4">
        <v>41</v>
      </c>
      <c r="AB71" s="4">
        <v>20</v>
      </c>
      <c r="AD71" s="4">
        <v>2</v>
      </c>
      <c r="AF71" s="4">
        <v>48</v>
      </c>
      <c r="AH71" s="4">
        <v>34</v>
      </c>
    </row>
    <row r="72" spans="1:34" x14ac:dyDescent="0.25">
      <c r="A72" s="18"/>
      <c r="B72" s="18"/>
      <c r="C72" s="18"/>
      <c r="D72" s="18"/>
      <c r="E72" s="18"/>
      <c r="F72" s="18"/>
      <c r="G72" s="18"/>
      <c r="J72" s="53">
        <v>0.65138888888888891</v>
      </c>
      <c r="M72" s="4" t="s">
        <v>74</v>
      </c>
      <c r="O72" s="4" t="s">
        <v>74</v>
      </c>
      <c r="Q72" s="4" t="s">
        <v>107</v>
      </c>
      <c r="S72" s="4" t="s">
        <v>108</v>
      </c>
      <c r="U72" s="4" t="s">
        <v>108</v>
      </c>
      <c r="W72" s="4" t="s">
        <v>174</v>
      </c>
      <c r="X72" s="4" t="s">
        <v>74</v>
      </c>
      <c r="Z72" s="4" t="s">
        <v>74</v>
      </c>
      <c r="AB72" s="4" t="s">
        <v>107</v>
      </c>
      <c r="AD72" s="4" t="s">
        <v>108</v>
      </c>
      <c r="AF72" s="4" t="s">
        <v>108</v>
      </c>
      <c r="AH72" s="4" t="s">
        <v>174</v>
      </c>
    </row>
    <row r="73" spans="1:34" x14ac:dyDescent="0.25">
      <c r="A73" s="19">
        <v>31</v>
      </c>
      <c r="B73" s="19"/>
      <c r="C73" s="19"/>
      <c r="D73" s="18"/>
      <c r="E73" s="19"/>
      <c r="F73" s="19"/>
      <c r="G73" s="19"/>
      <c r="H73" s="4">
        <v>1</v>
      </c>
      <c r="I73" s="4" t="s">
        <v>175</v>
      </c>
      <c r="J73" s="53">
        <v>0.18194444444444444</v>
      </c>
      <c r="K73" s="4" t="s">
        <v>176</v>
      </c>
      <c r="L73" s="4" t="s">
        <v>209</v>
      </c>
      <c r="M73" s="4">
        <v>19</v>
      </c>
      <c r="O73" s="4">
        <v>92</v>
      </c>
      <c r="Q73" s="4">
        <v>18</v>
      </c>
      <c r="S73" s="4">
        <v>59</v>
      </c>
      <c r="U73" s="4">
        <v>76</v>
      </c>
      <c r="W73" s="4">
        <v>35</v>
      </c>
      <c r="X73" s="4">
        <v>29</v>
      </c>
      <c r="Z73" s="4">
        <v>41</v>
      </c>
      <c r="AB73" s="4">
        <v>20</v>
      </c>
      <c r="AD73" s="4">
        <v>2</v>
      </c>
      <c r="AF73" s="4">
        <v>48</v>
      </c>
      <c r="AH73" s="4">
        <v>34</v>
      </c>
    </row>
    <row r="74" spans="1:34" x14ac:dyDescent="0.25">
      <c r="A74" s="19"/>
      <c r="B74" s="19"/>
      <c r="C74" s="19"/>
      <c r="D74" s="18"/>
      <c r="E74" s="19"/>
      <c r="F74" s="19"/>
      <c r="G74" s="19"/>
      <c r="J74" s="53">
        <v>0.65138888888888891</v>
      </c>
      <c r="M74" s="4" t="s">
        <v>74</v>
      </c>
      <c r="O74" s="4" t="s">
        <v>74</v>
      </c>
      <c r="Q74" s="4" t="s">
        <v>107</v>
      </c>
      <c r="S74" s="4" t="s">
        <v>108</v>
      </c>
      <c r="U74" s="4" t="s">
        <v>108</v>
      </c>
      <c r="W74" s="4" t="s">
        <v>174</v>
      </c>
      <c r="X74" s="4" t="s">
        <v>74</v>
      </c>
      <c r="Z74" s="4" t="s">
        <v>74</v>
      </c>
      <c r="AB74" s="4" t="s">
        <v>107</v>
      </c>
      <c r="AD74" s="4" t="s">
        <v>108</v>
      </c>
      <c r="AF74" s="4" t="s">
        <v>108</v>
      </c>
      <c r="AH74" s="4" t="s">
        <v>174</v>
      </c>
    </row>
    <row r="75" spans="1:34" x14ac:dyDescent="0.25">
      <c r="A75" s="19">
        <v>32</v>
      </c>
      <c r="B75" s="19"/>
      <c r="C75" s="19"/>
      <c r="D75" s="18"/>
      <c r="E75" s="19"/>
      <c r="F75" s="19"/>
      <c r="G75" s="19"/>
      <c r="H75" s="4">
        <v>1</v>
      </c>
      <c r="I75" s="4" t="s">
        <v>175</v>
      </c>
      <c r="J75" s="53">
        <v>0.19097222222222221</v>
      </c>
      <c r="K75" s="4" t="s">
        <v>180</v>
      </c>
      <c r="L75" s="4" t="s">
        <v>210</v>
      </c>
      <c r="M75" s="4">
        <v>19</v>
      </c>
      <c r="O75" s="4">
        <v>92</v>
      </c>
      <c r="Q75" s="4">
        <v>18</v>
      </c>
      <c r="S75" s="4">
        <v>59</v>
      </c>
      <c r="U75" s="4">
        <v>76</v>
      </c>
      <c r="W75" s="4">
        <v>35</v>
      </c>
      <c r="X75" s="4">
        <v>29</v>
      </c>
      <c r="Z75" s="4">
        <v>41</v>
      </c>
      <c r="AB75" s="4">
        <v>20</v>
      </c>
      <c r="AD75" s="4">
        <v>2</v>
      </c>
      <c r="AF75" s="4">
        <v>48</v>
      </c>
      <c r="AH75" s="4">
        <v>34</v>
      </c>
    </row>
    <row r="76" spans="1:34" x14ac:dyDescent="0.25">
      <c r="A76" s="19"/>
      <c r="B76" s="19"/>
      <c r="C76" s="19"/>
      <c r="D76" s="18"/>
      <c r="E76" s="19"/>
      <c r="F76" s="19"/>
      <c r="G76" s="19"/>
      <c r="J76" s="53">
        <v>0.64236111111111105</v>
      </c>
      <c r="M76" s="4" t="s">
        <v>74</v>
      </c>
      <c r="O76" s="4" t="s">
        <v>74</v>
      </c>
      <c r="Q76" s="4" t="s">
        <v>107</v>
      </c>
      <c r="S76" s="4" t="s">
        <v>108</v>
      </c>
      <c r="U76" s="4" t="s">
        <v>108</v>
      </c>
      <c r="W76" s="4" t="s">
        <v>174</v>
      </c>
      <c r="X76" s="4" t="s">
        <v>74</v>
      </c>
      <c r="Z76" s="4" t="s">
        <v>74</v>
      </c>
      <c r="AB76" s="4" t="s">
        <v>107</v>
      </c>
      <c r="AD76" s="4" t="s">
        <v>108</v>
      </c>
      <c r="AF76" s="4" t="s">
        <v>108</v>
      </c>
      <c r="AH76" s="4" t="s">
        <v>174</v>
      </c>
    </row>
    <row r="77" spans="1:34" x14ac:dyDescent="0.25">
      <c r="A77" s="14" t="s">
        <v>211</v>
      </c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</row>
    <row r="78" spans="1:34" x14ac:dyDescent="0.25">
      <c r="A78" s="11" t="s">
        <v>151</v>
      </c>
      <c r="B78" s="11"/>
      <c r="C78" s="11"/>
      <c r="D78" s="11" t="s">
        <v>154</v>
      </c>
      <c r="E78" s="11" t="s">
        <v>160</v>
      </c>
      <c r="F78" s="11"/>
      <c r="G78" s="11"/>
      <c r="H78" s="11"/>
      <c r="I78" s="11"/>
      <c r="J78" s="11"/>
      <c r="K78" s="11"/>
      <c r="L78" s="12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</row>
    <row r="79" spans="1:34" x14ac:dyDescent="0.25">
      <c r="A79" s="11" t="s">
        <v>152</v>
      </c>
      <c r="B79" s="11">
        <v>3</v>
      </c>
      <c r="C79" s="11"/>
      <c r="D79" s="11"/>
      <c r="E79" s="11"/>
      <c r="F79" s="11">
        <v>5</v>
      </c>
      <c r="G79" s="11" t="s">
        <v>161</v>
      </c>
      <c r="H79" s="11"/>
      <c r="I79" s="11"/>
      <c r="J79" s="11"/>
      <c r="K79" s="11"/>
      <c r="L79" s="12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</row>
    <row r="80" spans="1:34" x14ac:dyDescent="0.25">
      <c r="A80" s="11" t="s">
        <v>152</v>
      </c>
      <c r="B80" s="11"/>
      <c r="C80" s="11"/>
      <c r="D80" s="11"/>
      <c r="E80" s="11" t="s">
        <v>161</v>
      </c>
      <c r="F80" s="11"/>
      <c r="G80" s="11"/>
      <c r="H80" s="11"/>
      <c r="I80" s="11"/>
      <c r="J80" s="11"/>
      <c r="K80" s="11"/>
      <c r="L80" s="12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</row>
    <row r="81" spans="1:34" x14ac:dyDescent="0.25">
      <c r="A81" s="11" t="s">
        <v>153</v>
      </c>
      <c r="B81" s="11"/>
      <c r="C81" s="11"/>
      <c r="D81" s="11" t="s">
        <v>155</v>
      </c>
      <c r="E81" s="11" t="s">
        <v>162</v>
      </c>
      <c r="F81" s="11"/>
      <c r="G81" s="11"/>
      <c r="H81" s="11"/>
      <c r="I81" s="11"/>
      <c r="J81" s="13"/>
      <c r="K81" s="11"/>
      <c r="L81" s="14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</row>
    <row r="82" spans="1:34" x14ac:dyDescent="0.25">
      <c r="A82" s="11"/>
      <c r="B82" s="11"/>
      <c r="C82" s="11"/>
      <c r="D82" s="11" t="s">
        <v>156</v>
      </c>
      <c r="E82" s="11"/>
      <c r="F82" s="11"/>
      <c r="G82" s="11"/>
      <c r="H82" s="11"/>
      <c r="I82" s="11"/>
      <c r="J82" s="13"/>
      <c r="K82" s="11"/>
      <c r="L82" s="14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</row>
    <row r="83" spans="1:34" x14ac:dyDescent="0.25">
      <c r="A83" s="11"/>
      <c r="B83" s="11"/>
      <c r="C83" s="11"/>
      <c r="D83" s="11" t="s">
        <v>157</v>
      </c>
      <c r="E83" s="11"/>
      <c r="F83" s="11"/>
      <c r="G83" s="11"/>
      <c r="H83" s="11"/>
      <c r="I83" s="11"/>
      <c r="J83" s="13"/>
      <c r="K83" s="11"/>
      <c r="L83" s="14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</row>
    <row r="84" spans="1:34" x14ac:dyDescent="0.25">
      <c r="A84" s="11"/>
      <c r="B84" s="11"/>
      <c r="C84" s="11"/>
      <c r="D84" s="11" t="s">
        <v>158</v>
      </c>
      <c r="E84" s="11"/>
      <c r="F84" s="11"/>
      <c r="G84" s="11"/>
      <c r="H84" s="11"/>
      <c r="I84" s="11"/>
      <c r="J84" s="13"/>
      <c r="K84" s="11"/>
      <c r="L84" s="14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</row>
    <row r="85" spans="1:34" x14ac:dyDescent="0.25">
      <c r="A85" s="11"/>
      <c r="B85" s="11"/>
      <c r="C85" s="11"/>
      <c r="D85" s="11" t="s">
        <v>159</v>
      </c>
      <c r="E85" s="11"/>
      <c r="F85" s="11"/>
      <c r="G85" s="11"/>
      <c r="H85" s="11"/>
      <c r="I85" s="11"/>
      <c r="J85" s="13"/>
      <c r="K85" s="11"/>
      <c r="L85" s="14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</row>
    <row r="86" spans="1:34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3"/>
      <c r="K86" s="11"/>
      <c r="L86" s="14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</row>
    <row r="87" spans="1:34" x14ac:dyDescent="0.25">
      <c r="A87" s="11" t="s">
        <v>163</v>
      </c>
      <c r="B87" s="11"/>
      <c r="C87" s="11"/>
      <c r="D87" s="11"/>
      <c r="E87" s="11"/>
      <c r="F87" s="11"/>
      <c r="G87" s="11"/>
      <c r="H87" s="11" t="s">
        <v>164</v>
      </c>
      <c r="I87" s="11" t="s">
        <v>165</v>
      </c>
      <c r="J87" s="13" t="s">
        <v>166</v>
      </c>
      <c r="K87" s="11" t="s">
        <v>168</v>
      </c>
      <c r="L87" s="14" t="s">
        <v>169</v>
      </c>
      <c r="M87" s="11" t="s">
        <v>170</v>
      </c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 t="s">
        <v>171</v>
      </c>
      <c r="Y87" s="11"/>
      <c r="Z87" s="11"/>
      <c r="AA87" s="11"/>
      <c r="AB87" s="11"/>
      <c r="AC87" s="11"/>
      <c r="AD87" s="11"/>
      <c r="AE87" s="11"/>
      <c r="AF87" s="11"/>
      <c r="AG87" s="11"/>
      <c r="AH87" s="11"/>
    </row>
    <row r="88" spans="1:34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3" t="s">
        <v>167</v>
      </c>
      <c r="K88" s="11"/>
      <c r="L88" s="14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</row>
    <row r="89" spans="1:34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3" t="s">
        <v>43</v>
      </c>
      <c r="K89" s="11"/>
      <c r="L89" s="14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</row>
    <row r="90" spans="1:34" x14ac:dyDescent="0.25">
      <c r="A90" s="11">
        <v>33</v>
      </c>
      <c r="B90" s="11"/>
      <c r="C90" s="11"/>
      <c r="D90" s="11"/>
      <c r="E90" s="11"/>
      <c r="F90" s="11"/>
      <c r="G90" s="11"/>
      <c r="H90" s="11">
        <v>1</v>
      </c>
      <c r="I90" s="11" t="s">
        <v>175</v>
      </c>
      <c r="J90" s="13">
        <v>0.1986111111111111</v>
      </c>
      <c r="K90" s="11" t="s">
        <v>212</v>
      </c>
      <c r="L90" s="14" t="s">
        <v>213</v>
      </c>
      <c r="M90" s="11">
        <v>19</v>
      </c>
      <c r="N90" s="11"/>
      <c r="O90" s="11">
        <v>92</v>
      </c>
      <c r="P90" s="11"/>
      <c r="Q90" s="11">
        <v>18</v>
      </c>
      <c r="R90" s="11"/>
      <c r="S90" s="11">
        <v>59</v>
      </c>
      <c r="T90" s="11"/>
      <c r="U90" s="11">
        <v>76</v>
      </c>
      <c r="V90" s="11"/>
      <c r="W90" s="11">
        <v>35</v>
      </c>
      <c r="X90" s="11">
        <v>29</v>
      </c>
      <c r="Y90" s="11"/>
      <c r="Z90" s="11">
        <v>41</v>
      </c>
      <c r="AA90" s="11"/>
      <c r="AB90" s="11">
        <v>20</v>
      </c>
      <c r="AC90" s="11"/>
      <c r="AD90" s="11">
        <v>2</v>
      </c>
      <c r="AE90" s="11"/>
      <c r="AF90" s="11">
        <v>48</v>
      </c>
      <c r="AG90" s="11"/>
      <c r="AH90" s="11">
        <v>34</v>
      </c>
    </row>
    <row r="91" spans="1:34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3">
        <v>0.63472222222222219</v>
      </c>
      <c r="K91" s="11"/>
      <c r="L91" s="14"/>
      <c r="M91" s="11" t="s">
        <v>74</v>
      </c>
      <c r="N91" s="11"/>
      <c r="O91" s="11" t="s">
        <v>74</v>
      </c>
      <c r="P91" s="11"/>
      <c r="Q91" s="11" t="s">
        <v>107</v>
      </c>
      <c r="R91" s="11"/>
      <c r="S91" s="11" t="s">
        <v>108</v>
      </c>
      <c r="T91" s="11"/>
      <c r="U91" s="11" t="s">
        <v>108</v>
      </c>
      <c r="V91" s="11"/>
      <c r="W91" s="11" t="s">
        <v>174</v>
      </c>
      <c r="X91" s="11" t="s">
        <v>74</v>
      </c>
      <c r="Y91" s="11"/>
      <c r="Z91" s="11" t="s">
        <v>74</v>
      </c>
      <c r="AA91" s="11"/>
      <c r="AB91" s="11" t="s">
        <v>107</v>
      </c>
      <c r="AC91" s="11"/>
      <c r="AD91" s="11" t="s">
        <v>108</v>
      </c>
      <c r="AE91" s="11"/>
      <c r="AF91" s="11" t="s">
        <v>108</v>
      </c>
      <c r="AG91" s="11"/>
      <c r="AH91" s="11" t="s">
        <v>174</v>
      </c>
    </row>
    <row r="92" spans="1:34" x14ac:dyDescent="0.25">
      <c r="A92" s="11">
        <v>34</v>
      </c>
      <c r="B92" s="11"/>
      <c r="C92" s="11"/>
      <c r="D92" s="11"/>
      <c r="E92" s="11"/>
      <c r="F92" s="11"/>
      <c r="G92" s="11"/>
      <c r="H92" s="11">
        <v>1</v>
      </c>
      <c r="I92" s="11"/>
      <c r="J92" s="13">
        <v>0.20277777777777781</v>
      </c>
      <c r="K92" s="11" t="s">
        <v>182</v>
      </c>
      <c r="L92" s="14" t="s">
        <v>204</v>
      </c>
      <c r="M92" s="11">
        <v>19</v>
      </c>
      <c r="N92" s="11"/>
      <c r="O92" s="11">
        <v>92</v>
      </c>
      <c r="P92" s="11"/>
      <c r="Q92" s="11">
        <v>18</v>
      </c>
      <c r="R92" s="11"/>
      <c r="S92" s="11">
        <v>59</v>
      </c>
      <c r="T92" s="11"/>
      <c r="U92" s="11">
        <v>76</v>
      </c>
      <c r="V92" s="11"/>
      <c r="W92" s="11">
        <v>35</v>
      </c>
      <c r="X92" s="11">
        <v>29</v>
      </c>
      <c r="Y92" s="11"/>
      <c r="Z92" s="11">
        <v>20</v>
      </c>
      <c r="AA92" s="11"/>
      <c r="AB92" s="11">
        <v>40</v>
      </c>
      <c r="AC92" s="11"/>
      <c r="AD92" s="11">
        <v>25</v>
      </c>
      <c r="AE92" s="11"/>
      <c r="AF92" s="11">
        <v>65</v>
      </c>
      <c r="AG92" s="11"/>
      <c r="AH92" s="11">
        <v>34</v>
      </c>
    </row>
    <row r="93" spans="1:34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3">
        <v>0.63055555555555554</v>
      </c>
      <c r="K93" s="11"/>
      <c r="L93" s="14"/>
      <c r="M93" s="11" t="s">
        <v>74</v>
      </c>
      <c r="N93" s="11"/>
      <c r="O93" s="11" t="s">
        <v>74</v>
      </c>
      <c r="P93" s="11"/>
      <c r="Q93" s="11" t="s">
        <v>107</v>
      </c>
      <c r="R93" s="11"/>
      <c r="S93" s="11" t="s">
        <v>108</v>
      </c>
      <c r="T93" s="11"/>
      <c r="U93" s="11" t="s">
        <v>108</v>
      </c>
      <c r="V93" s="11"/>
      <c r="W93" s="11" t="s">
        <v>174</v>
      </c>
      <c r="X93" s="11" t="s">
        <v>74</v>
      </c>
      <c r="Y93" s="11"/>
      <c r="Z93" s="11" t="s">
        <v>107</v>
      </c>
      <c r="AA93" s="11"/>
      <c r="AB93" s="11" t="s">
        <v>107</v>
      </c>
      <c r="AC93" s="11"/>
      <c r="AD93" s="11" t="s">
        <v>108</v>
      </c>
      <c r="AE93" s="11"/>
      <c r="AF93" s="11" t="s">
        <v>108</v>
      </c>
      <c r="AG93" s="11"/>
      <c r="AH93" s="11" t="s">
        <v>174</v>
      </c>
    </row>
    <row r="94" spans="1:34" x14ac:dyDescent="0.25">
      <c r="A94" s="11">
        <v>35</v>
      </c>
      <c r="B94" s="11"/>
      <c r="C94" s="11"/>
      <c r="D94" s="11"/>
      <c r="E94" s="11"/>
      <c r="F94" s="11"/>
      <c r="G94" s="11"/>
      <c r="H94" s="11">
        <v>1</v>
      </c>
      <c r="I94" s="11" t="s">
        <v>175</v>
      </c>
      <c r="J94" s="13">
        <v>0.20277777777777781</v>
      </c>
      <c r="K94" s="11" t="s">
        <v>176</v>
      </c>
      <c r="L94" s="14" t="s">
        <v>214</v>
      </c>
      <c r="M94" s="11">
        <v>12</v>
      </c>
      <c r="N94" s="11"/>
      <c r="O94" s="11">
        <v>33</v>
      </c>
      <c r="P94" s="11"/>
      <c r="Q94" s="11">
        <v>38</v>
      </c>
      <c r="R94" s="11"/>
      <c r="S94" s="11">
        <v>4</v>
      </c>
      <c r="T94" s="11"/>
      <c r="U94" s="11">
        <v>14</v>
      </c>
      <c r="V94" s="11"/>
      <c r="W94" s="11">
        <v>35</v>
      </c>
      <c r="X94" s="11">
        <v>15</v>
      </c>
      <c r="Y94" s="11"/>
      <c r="Z94" s="11">
        <v>21</v>
      </c>
      <c r="AA94" s="11"/>
      <c r="AB94" s="11">
        <v>40</v>
      </c>
      <c r="AC94" s="11"/>
      <c r="AD94" s="11">
        <v>25</v>
      </c>
      <c r="AE94" s="11"/>
      <c r="AF94" s="11">
        <v>65</v>
      </c>
      <c r="AG94" s="11"/>
      <c r="AH94" s="11">
        <v>34</v>
      </c>
    </row>
    <row r="95" spans="1:34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3">
        <v>0.63055555555555554</v>
      </c>
      <c r="K95" s="11"/>
      <c r="L95" s="14"/>
      <c r="M95" s="11" t="s">
        <v>74</v>
      </c>
      <c r="N95" s="11"/>
      <c r="O95" s="11" t="s">
        <v>74</v>
      </c>
      <c r="P95" s="11"/>
      <c r="Q95" s="11" t="s">
        <v>107</v>
      </c>
      <c r="R95" s="11"/>
      <c r="S95" s="11" t="s">
        <v>108</v>
      </c>
      <c r="T95" s="11"/>
      <c r="U95" s="11" t="s">
        <v>108</v>
      </c>
      <c r="V95" s="11"/>
      <c r="W95" s="11" t="s">
        <v>174</v>
      </c>
      <c r="X95" s="11" t="s">
        <v>74</v>
      </c>
      <c r="Y95" s="11"/>
      <c r="Z95" s="11" t="s">
        <v>74</v>
      </c>
      <c r="AA95" s="11"/>
      <c r="AB95" s="11" t="s">
        <v>107</v>
      </c>
      <c r="AC95" s="11"/>
      <c r="AD95" s="11" t="s">
        <v>108</v>
      </c>
      <c r="AE95" s="11"/>
      <c r="AF95" s="11" t="s">
        <v>108</v>
      </c>
      <c r="AG95" s="11"/>
      <c r="AH95" s="11" t="s">
        <v>174</v>
      </c>
    </row>
    <row r="96" spans="1:34" x14ac:dyDescent="0.25">
      <c r="A96" s="11">
        <v>36</v>
      </c>
      <c r="B96" s="11"/>
      <c r="C96" s="11"/>
      <c r="D96" s="11"/>
      <c r="E96" s="11"/>
      <c r="F96" s="11"/>
      <c r="G96" s="11"/>
      <c r="H96" s="11">
        <v>1</v>
      </c>
      <c r="I96" s="11" t="s">
        <v>175</v>
      </c>
      <c r="J96" s="13">
        <v>0.21388888888888891</v>
      </c>
      <c r="K96" s="11" t="s">
        <v>178</v>
      </c>
      <c r="L96" s="14" t="s">
        <v>215</v>
      </c>
      <c r="M96" s="11">
        <v>12</v>
      </c>
      <c r="N96" s="11"/>
      <c r="O96" s="11">
        <v>33</v>
      </c>
      <c r="P96" s="11"/>
      <c r="Q96" s="11">
        <v>38</v>
      </c>
      <c r="R96" s="11"/>
      <c r="S96" s="11">
        <v>4</v>
      </c>
      <c r="T96" s="11"/>
      <c r="U96" s="11">
        <v>14</v>
      </c>
      <c r="V96" s="11"/>
      <c r="W96" s="11">
        <v>35</v>
      </c>
      <c r="X96" s="11">
        <v>15</v>
      </c>
      <c r="Y96" s="11"/>
      <c r="Z96" s="11">
        <v>21</v>
      </c>
      <c r="AA96" s="11"/>
      <c r="AB96" s="11">
        <v>40</v>
      </c>
      <c r="AC96" s="11"/>
      <c r="AD96" s="11">
        <v>25</v>
      </c>
      <c r="AE96" s="11"/>
      <c r="AF96" s="11">
        <v>65</v>
      </c>
      <c r="AG96" s="11"/>
      <c r="AH96" s="11">
        <v>34</v>
      </c>
    </row>
    <row r="97" spans="1:34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3">
        <v>0.61944444444444446</v>
      </c>
      <c r="K97" s="11"/>
      <c r="L97" s="14"/>
      <c r="M97" s="11" t="s">
        <v>74</v>
      </c>
      <c r="N97" s="11"/>
      <c r="O97" s="11" t="s">
        <v>74</v>
      </c>
      <c r="P97" s="11"/>
      <c r="Q97" s="11" t="s">
        <v>107</v>
      </c>
      <c r="R97" s="11"/>
      <c r="S97" s="11" t="s">
        <v>108</v>
      </c>
      <c r="T97" s="11"/>
      <c r="U97" s="11" t="s">
        <v>108</v>
      </c>
      <c r="V97" s="11"/>
      <c r="W97" s="11" t="s">
        <v>174</v>
      </c>
      <c r="X97" s="11" t="s">
        <v>74</v>
      </c>
      <c r="Y97" s="11"/>
      <c r="Z97" s="11" t="s">
        <v>74</v>
      </c>
      <c r="AA97" s="11"/>
      <c r="AB97" s="11" t="s">
        <v>107</v>
      </c>
      <c r="AC97" s="11"/>
      <c r="AD97" s="11" t="s">
        <v>108</v>
      </c>
      <c r="AE97" s="11"/>
      <c r="AF97" s="11" t="s">
        <v>108</v>
      </c>
      <c r="AG97" s="11"/>
      <c r="AH97" s="11" t="s">
        <v>174</v>
      </c>
    </row>
    <row r="98" spans="1:34" x14ac:dyDescent="0.25">
      <c r="A98" s="11">
        <v>37</v>
      </c>
      <c r="B98" s="11"/>
      <c r="C98" s="11"/>
      <c r="D98" s="11"/>
      <c r="E98" s="11"/>
      <c r="F98" s="11"/>
      <c r="G98" s="11"/>
      <c r="H98" s="11">
        <v>1</v>
      </c>
      <c r="I98" s="11" t="s">
        <v>175</v>
      </c>
      <c r="J98" s="13">
        <v>0.22291666666666665</v>
      </c>
      <c r="K98" s="11" t="s">
        <v>186</v>
      </c>
      <c r="L98" s="14" t="s">
        <v>216</v>
      </c>
      <c r="M98" s="11">
        <v>12</v>
      </c>
      <c r="N98" s="11"/>
      <c r="O98" s="11">
        <v>33</v>
      </c>
      <c r="P98" s="11"/>
      <c r="Q98" s="11">
        <v>38</v>
      </c>
      <c r="R98" s="11"/>
      <c r="S98" s="11">
        <v>4</v>
      </c>
      <c r="T98" s="11"/>
      <c r="U98" s="11">
        <v>14</v>
      </c>
      <c r="V98" s="11"/>
      <c r="W98" s="11">
        <v>35</v>
      </c>
      <c r="X98" s="11">
        <v>15</v>
      </c>
      <c r="Y98" s="11"/>
      <c r="Z98" s="11">
        <v>21</v>
      </c>
      <c r="AA98" s="11"/>
      <c r="AB98" s="11">
        <v>40</v>
      </c>
      <c r="AC98" s="11"/>
      <c r="AD98" s="11">
        <v>25</v>
      </c>
      <c r="AE98" s="11"/>
      <c r="AF98" s="11">
        <v>65</v>
      </c>
      <c r="AG98" s="11"/>
      <c r="AH98" s="11">
        <v>34</v>
      </c>
    </row>
    <row r="99" spans="1:34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3">
        <v>0.61041666666666672</v>
      </c>
      <c r="K99" s="11"/>
      <c r="L99" s="14"/>
      <c r="M99" s="11" t="s">
        <v>74</v>
      </c>
      <c r="N99" s="11"/>
      <c r="O99" s="11" t="s">
        <v>74</v>
      </c>
      <c r="P99" s="11"/>
      <c r="Q99" s="11" t="s">
        <v>107</v>
      </c>
      <c r="R99" s="11"/>
      <c r="S99" s="11" t="s">
        <v>108</v>
      </c>
      <c r="T99" s="11"/>
      <c r="U99" s="11" t="s">
        <v>108</v>
      </c>
      <c r="V99" s="11"/>
      <c r="W99" s="11" t="s">
        <v>174</v>
      </c>
      <c r="X99" s="11" t="s">
        <v>74</v>
      </c>
      <c r="Y99" s="11"/>
      <c r="Z99" s="11" t="s">
        <v>74</v>
      </c>
      <c r="AA99" s="11"/>
      <c r="AB99" s="11" t="s">
        <v>107</v>
      </c>
      <c r="AC99" s="11"/>
      <c r="AD99" s="11" t="s">
        <v>108</v>
      </c>
      <c r="AE99" s="11"/>
      <c r="AF99" s="11" t="s">
        <v>108</v>
      </c>
      <c r="AG99" s="11"/>
      <c r="AH99" s="11" t="s">
        <v>174</v>
      </c>
    </row>
    <row r="100" spans="1:34" x14ac:dyDescent="0.25">
      <c r="A100" s="11">
        <v>38</v>
      </c>
      <c r="B100" s="11"/>
      <c r="C100" s="11"/>
      <c r="D100" s="11"/>
      <c r="E100" s="11"/>
      <c r="F100" s="11"/>
      <c r="G100" s="11"/>
      <c r="H100" s="11">
        <v>1</v>
      </c>
      <c r="I100" s="11"/>
      <c r="J100" s="13">
        <v>0.22569444444444445</v>
      </c>
      <c r="K100" s="11" t="s">
        <v>182</v>
      </c>
      <c r="L100" s="14" t="s">
        <v>207</v>
      </c>
      <c r="M100" s="11">
        <v>12</v>
      </c>
      <c r="N100" s="11"/>
      <c r="O100" s="11">
        <v>33</v>
      </c>
      <c r="P100" s="11"/>
      <c r="Q100" s="11">
        <v>38</v>
      </c>
      <c r="R100" s="11"/>
      <c r="S100" s="11">
        <v>4</v>
      </c>
      <c r="T100" s="11"/>
      <c r="U100" s="11">
        <v>14</v>
      </c>
      <c r="V100" s="11"/>
      <c r="W100" s="11">
        <v>35</v>
      </c>
      <c r="X100" s="11">
        <v>15</v>
      </c>
      <c r="Y100" s="11"/>
      <c r="Z100" s="11">
        <v>21</v>
      </c>
      <c r="AA100" s="11"/>
      <c r="AB100" s="11">
        <v>40</v>
      </c>
      <c r="AC100" s="11"/>
      <c r="AD100" s="11">
        <v>25</v>
      </c>
      <c r="AE100" s="11"/>
      <c r="AF100" s="11">
        <v>65</v>
      </c>
      <c r="AG100" s="11"/>
      <c r="AH100" s="11">
        <v>34</v>
      </c>
    </row>
    <row r="101" spans="1:34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3">
        <v>0.60763888888888895</v>
      </c>
      <c r="K101" s="11"/>
      <c r="L101" s="14"/>
      <c r="M101" s="11" t="s">
        <v>74</v>
      </c>
      <c r="N101" s="11"/>
      <c r="O101" s="11" t="s">
        <v>74</v>
      </c>
      <c r="P101" s="11"/>
      <c r="Q101" s="11" t="s">
        <v>107</v>
      </c>
      <c r="R101" s="11"/>
      <c r="S101" s="11" t="s">
        <v>108</v>
      </c>
      <c r="T101" s="11"/>
      <c r="U101" s="11" t="s">
        <v>108</v>
      </c>
      <c r="V101" s="11"/>
      <c r="W101" s="11" t="s">
        <v>174</v>
      </c>
      <c r="X101" s="11" t="s">
        <v>74</v>
      </c>
      <c r="Y101" s="11"/>
      <c r="Z101" s="11" t="s">
        <v>74</v>
      </c>
      <c r="AA101" s="11"/>
      <c r="AB101" s="11" t="s">
        <v>107</v>
      </c>
      <c r="AC101" s="11"/>
      <c r="AD101" s="11" t="s">
        <v>108</v>
      </c>
      <c r="AE101" s="11"/>
      <c r="AF101" s="11" t="s">
        <v>108</v>
      </c>
      <c r="AG101" s="11"/>
      <c r="AH101" s="11" t="s">
        <v>174</v>
      </c>
    </row>
    <row r="102" spans="1:34" x14ac:dyDescent="0.25">
      <c r="A102" s="11">
        <v>39</v>
      </c>
      <c r="B102" s="11"/>
      <c r="C102" s="11"/>
      <c r="D102" s="11"/>
      <c r="E102" s="11"/>
      <c r="F102" s="11"/>
      <c r="G102" s="11"/>
      <c r="H102" s="11">
        <v>1</v>
      </c>
      <c r="I102" s="11" t="s">
        <v>175</v>
      </c>
      <c r="J102" s="13">
        <v>0.22569444444444445</v>
      </c>
      <c r="K102" s="11" t="s">
        <v>176</v>
      </c>
      <c r="L102" s="14" t="s">
        <v>217</v>
      </c>
      <c r="M102" s="11">
        <v>15</v>
      </c>
      <c r="N102" s="11"/>
      <c r="O102" s="11">
        <v>63</v>
      </c>
      <c r="P102" s="11"/>
      <c r="Q102" s="11">
        <v>9</v>
      </c>
      <c r="R102" s="11"/>
      <c r="S102" s="11">
        <v>4</v>
      </c>
      <c r="T102" s="11"/>
      <c r="U102" s="11">
        <v>14</v>
      </c>
      <c r="V102" s="11"/>
      <c r="W102" s="11">
        <v>35</v>
      </c>
      <c r="X102" s="11">
        <v>15</v>
      </c>
      <c r="Y102" s="11"/>
      <c r="Z102" s="11">
        <v>21</v>
      </c>
      <c r="AA102" s="11"/>
      <c r="AB102" s="11">
        <v>40</v>
      </c>
      <c r="AC102" s="11"/>
      <c r="AD102" s="11">
        <v>25</v>
      </c>
      <c r="AE102" s="11"/>
      <c r="AF102" s="11">
        <v>65</v>
      </c>
      <c r="AG102" s="11"/>
      <c r="AH102" s="11">
        <v>34</v>
      </c>
    </row>
    <row r="103" spans="1:34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3">
        <v>0.60763888888888895</v>
      </c>
      <c r="K103" s="11"/>
      <c r="L103" s="14"/>
      <c r="M103" s="11" t="s">
        <v>74</v>
      </c>
      <c r="N103" s="11"/>
      <c r="O103" s="11" t="s">
        <v>74</v>
      </c>
      <c r="P103" s="11"/>
      <c r="Q103" s="11" t="s">
        <v>107</v>
      </c>
      <c r="R103" s="11"/>
      <c r="S103" s="11" t="s">
        <v>108</v>
      </c>
      <c r="T103" s="11"/>
      <c r="U103" s="11" t="s">
        <v>108</v>
      </c>
      <c r="V103" s="11"/>
      <c r="W103" s="11" t="s">
        <v>174</v>
      </c>
      <c r="X103" s="11" t="s">
        <v>74</v>
      </c>
      <c r="Y103" s="11"/>
      <c r="Z103" s="11" t="s">
        <v>74</v>
      </c>
      <c r="AA103" s="11"/>
      <c r="AB103" s="11" t="s">
        <v>107</v>
      </c>
      <c r="AC103" s="11"/>
      <c r="AD103" s="11" t="s">
        <v>108</v>
      </c>
      <c r="AE103" s="11"/>
      <c r="AF103" s="11" t="s">
        <v>108</v>
      </c>
      <c r="AG103" s="11"/>
      <c r="AH103" s="11" t="s">
        <v>174</v>
      </c>
    </row>
    <row r="104" spans="1:34" x14ac:dyDescent="0.25">
      <c r="A104" s="11">
        <v>40</v>
      </c>
      <c r="B104" s="11"/>
      <c r="C104" s="11"/>
      <c r="D104" s="11"/>
      <c r="E104" s="11"/>
      <c r="F104" s="11"/>
      <c r="G104" s="11"/>
      <c r="H104" s="11">
        <v>1</v>
      </c>
      <c r="I104" s="11" t="s">
        <v>175</v>
      </c>
      <c r="J104" s="13">
        <v>0.23611111111111113</v>
      </c>
      <c r="K104" s="11" t="s">
        <v>180</v>
      </c>
      <c r="L104" s="14" t="s">
        <v>218</v>
      </c>
      <c r="M104" s="11">
        <v>15</v>
      </c>
      <c r="N104" s="11"/>
      <c r="O104" s="11">
        <v>63</v>
      </c>
      <c r="P104" s="11"/>
      <c r="Q104" s="11">
        <v>9</v>
      </c>
      <c r="R104" s="11"/>
      <c r="S104" s="11">
        <v>4</v>
      </c>
      <c r="T104" s="11"/>
      <c r="U104" s="11">
        <v>14</v>
      </c>
      <c r="V104" s="11"/>
      <c r="W104" s="11">
        <v>35</v>
      </c>
      <c r="X104" s="11">
        <v>15</v>
      </c>
      <c r="Y104" s="11"/>
      <c r="Z104" s="11">
        <v>21</v>
      </c>
      <c r="AA104" s="11"/>
      <c r="AB104" s="11">
        <v>40</v>
      </c>
      <c r="AC104" s="11"/>
      <c r="AD104" s="11">
        <v>25</v>
      </c>
      <c r="AE104" s="11"/>
      <c r="AF104" s="11">
        <v>65</v>
      </c>
      <c r="AG104" s="11"/>
      <c r="AH104" s="11">
        <v>34</v>
      </c>
    </row>
    <row r="105" spans="1:34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3">
        <v>0.59722222222222221</v>
      </c>
      <c r="K105" s="11"/>
      <c r="L105" s="14"/>
      <c r="M105" s="11" t="s">
        <v>74</v>
      </c>
      <c r="N105" s="11"/>
      <c r="O105" s="11" t="s">
        <v>74</v>
      </c>
      <c r="P105" s="11"/>
      <c r="Q105" s="11" t="s">
        <v>107</v>
      </c>
      <c r="R105" s="11"/>
      <c r="S105" s="11" t="s">
        <v>108</v>
      </c>
      <c r="T105" s="11"/>
      <c r="U105" s="11" t="s">
        <v>108</v>
      </c>
      <c r="V105" s="11"/>
      <c r="W105" s="11" t="s">
        <v>174</v>
      </c>
      <c r="X105" s="11" t="s">
        <v>74</v>
      </c>
      <c r="Y105" s="11"/>
      <c r="Z105" s="11" t="s">
        <v>74</v>
      </c>
      <c r="AA105" s="11"/>
      <c r="AB105" s="11" t="s">
        <v>107</v>
      </c>
      <c r="AC105" s="11"/>
      <c r="AD105" s="11" t="s">
        <v>108</v>
      </c>
      <c r="AE105" s="11"/>
      <c r="AF105" s="11" t="s">
        <v>108</v>
      </c>
      <c r="AG105" s="11"/>
      <c r="AH105" s="11" t="s">
        <v>174</v>
      </c>
    </row>
    <row r="106" spans="1:34" x14ac:dyDescent="0.25">
      <c r="A106" s="11">
        <v>41</v>
      </c>
      <c r="B106" s="11"/>
      <c r="C106" s="11"/>
      <c r="D106" s="11"/>
      <c r="E106" s="11"/>
      <c r="F106" s="11"/>
      <c r="G106" s="11"/>
      <c r="H106" s="11">
        <v>1</v>
      </c>
      <c r="I106" s="11"/>
      <c r="J106" s="13">
        <v>0.23611111111111113</v>
      </c>
      <c r="K106" s="11" t="s">
        <v>182</v>
      </c>
      <c r="L106" s="14" t="s">
        <v>183</v>
      </c>
      <c r="M106" s="11">
        <v>15</v>
      </c>
      <c r="N106" s="11"/>
      <c r="O106" s="11">
        <v>63</v>
      </c>
      <c r="P106" s="11"/>
      <c r="Q106" s="11">
        <v>9</v>
      </c>
      <c r="R106" s="11"/>
      <c r="S106" s="11">
        <v>4</v>
      </c>
      <c r="T106" s="11"/>
      <c r="U106" s="11">
        <v>14</v>
      </c>
      <c r="V106" s="11"/>
      <c r="W106" s="11">
        <v>35</v>
      </c>
      <c r="X106" s="11">
        <v>15</v>
      </c>
      <c r="Y106" s="11"/>
      <c r="Z106" s="11">
        <v>21</v>
      </c>
      <c r="AA106" s="11"/>
      <c r="AB106" s="11">
        <v>40</v>
      </c>
      <c r="AC106" s="11"/>
      <c r="AD106" s="11">
        <v>25</v>
      </c>
      <c r="AE106" s="11"/>
      <c r="AF106" s="11">
        <v>65</v>
      </c>
      <c r="AG106" s="11"/>
      <c r="AH106" s="11">
        <v>34</v>
      </c>
    </row>
    <row r="107" spans="1:34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3">
        <v>0.59722222222222221</v>
      </c>
      <c r="K107" s="11"/>
      <c r="L107" s="14"/>
      <c r="M107" s="11" t="s">
        <v>74</v>
      </c>
      <c r="N107" s="11"/>
      <c r="O107" s="11" t="s">
        <v>74</v>
      </c>
      <c r="P107" s="11"/>
      <c r="Q107" s="11" t="s">
        <v>107</v>
      </c>
      <c r="R107" s="11"/>
      <c r="S107" s="11" t="s">
        <v>108</v>
      </c>
      <c r="T107" s="11"/>
      <c r="U107" s="11" t="s">
        <v>108</v>
      </c>
      <c r="V107" s="11"/>
      <c r="W107" s="11" t="s">
        <v>174</v>
      </c>
      <c r="X107" s="11" t="s">
        <v>74</v>
      </c>
      <c r="Y107" s="11"/>
      <c r="Z107" s="11" t="s">
        <v>74</v>
      </c>
      <c r="AA107" s="11"/>
      <c r="AB107" s="11" t="s">
        <v>107</v>
      </c>
      <c r="AC107" s="11"/>
      <c r="AD107" s="11" t="s">
        <v>108</v>
      </c>
      <c r="AE107" s="11"/>
      <c r="AF107" s="11" t="s">
        <v>108</v>
      </c>
      <c r="AG107" s="11"/>
      <c r="AH107" s="11" t="s">
        <v>174</v>
      </c>
    </row>
    <row r="108" spans="1:34" x14ac:dyDescent="0.25">
      <c r="A108" s="11">
        <v>42</v>
      </c>
      <c r="B108" s="11"/>
      <c r="C108" s="11"/>
      <c r="D108" s="11"/>
      <c r="E108" s="11"/>
      <c r="F108" s="11"/>
      <c r="G108" s="11"/>
      <c r="H108" s="11">
        <v>1</v>
      </c>
      <c r="I108" s="11" t="s">
        <v>175</v>
      </c>
      <c r="J108" s="13">
        <v>0.23611111111111113</v>
      </c>
      <c r="K108" s="11" t="s">
        <v>176</v>
      </c>
      <c r="L108" s="14" t="s">
        <v>219</v>
      </c>
      <c r="M108" s="11">
        <v>10</v>
      </c>
      <c r="N108" s="11"/>
      <c r="O108" s="11">
        <v>18</v>
      </c>
      <c r="P108" s="11"/>
      <c r="Q108" s="11">
        <v>56</v>
      </c>
      <c r="R108" s="11"/>
      <c r="S108" s="11">
        <v>7</v>
      </c>
      <c r="T108" s="11"/>
      <c r="U108" s="11">
        <v>25</v>
      </c>
      <c r="V108" s="11"/>
      <c r="W108" s="11">
        <v>35</v>
      </c>
      <c r="X108" s="11">
        <v>51</v>
      </c>
      <c r="Y108" s="11"/>
      <c r="Z108" s="11">
        <v>71</v>
      </c>
      <c r="AA108" s="11"/>
      <c r="AB108" s="11">
        <v>8</v>
      </c>
      <c r="AC108" s="11"/>
      <c r="AD108" s="11">
        <v>52</v>
      </c>
      <c r="AE108" s="11"/>
      <c r="AF108" s="11">
        <v>53</v>
      </c>
      <c r="AG108" s="11"/>
      <c r="AH108" s="11">
        <v>34</v>
      </c>
    </row>
    <row r="109" spans="1:34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3">
        <v>0.59722222222222221</v>
      </c>
      <c r="K109" s="11"/>
      <c r="L109" s="14"/>
      <c r="M109" s="11" t="s">
        <v>74</v>
      </c>
      <c r="N109" s="11"/>
      <c r="O109" s="11" t="s">
        <v>107</v>
      </c>
      <c r="P109" s="11"/>
      <c r="Q109" s="11" t="s">
        <v>107</v>
      </c>
      <c r="R109" s="11"/>
      <c r="S109" s="11" t="s">
        <v>108</v>
      </c>
      <c r="T109" s="11"/>
      <c r="U109" s="11" t="s">
        <v>108</v>
      </c>
      <c r="V109" s="11"/>
      <c r="W109" s="11" t="s">
        <v>174</v>
      </c>
      <c r="X109" s="11" t="s">
        <v>74</v>
      </c>
      <c r="Y109" s="11"/>
      <c r="Z109" s="11" t="s">
        <v>74</v>
      </c>
      <c r="AA109" s="11"/>
      <c r="AB109" s="11" t="s">
        <v>107</v>
      </c>
      <c r="AC109" s="11"/>
      <c r="AD109" s="11" t="s">
        <v>108</v>
      </c>
      <c r="AE109" s="11"/>
      <c r="AF109" s="11" t="s">
        <v>108</v>
      </c>
      <c r="AG109" s="11"/>
      <c r="AH109" s="11" t="s">
        <v>174</v>
      </c>
    </row>
    <row r="110" spans="1:34" x14ac:dyDescent="0.25">
      <c r="A110" s="11">
        <v>43</v>
      </c>
      <c r="B110" s="11"/>
      <c r="C110" s="11"/>
      <c r="D110" s="11"/>
      <c r="E110" s="11"/>
      <c r="F110" s="11"/>
      <c r="G110" s="11"/>
      <c r="H110" s="11">
        <v>1</v>
      </c>
      <c r="I110" s="11" t="s">
        <v>175</v>
      </c>
      <c r="J110" s="13">
        <v>0.26458333333333334</v>
      </c>
      <c r="K110" s="11" t="s">
        <v>180</v>
      </c>
      <c r="L110" s="14" t="s">
        <v>220</v>
      </c>
      <c r="M110" s="11">
        <v>63</v>
      </c>
      <c r="N110" s="11"/>
      <c r="O110" s="11">
        <v>9</v>
      </c>
      <c r="P110" s="11"/>
      <c r="Q110" s="11">
        <v>18</v>
      </c>
      <c r="R110" s="11"/>
      <c r="S110" s="11">
        <v>7</v>
      </c>
      <c r="T110" s="11"/>
      <c r="U110" s="11">
        <v>25</v>
      </c>
      <c r="V110" s="11"/>
      <c r="W110" s="11">
        <v>35</v>
      </c>
      <c r="X110" s="11">
        <v>51</v>
      </c>
      <c r="Y110" s="11"/>
      <c r="Z110" s="11">
        <v>71</v>
      </c>
      <c r="AA110" s="11"/>
      <c r="AB110" s="11">
        <v>8</v>
      </c>
      <c r="AC110" s="11"/>
      <c r="AD110" s="11">
        <v>25</v>
      </c>
      <c r="AE110" s="11"/>
      <c r="AF110" s="11">
        <v>65</v>
      </c>
      <c r="AG110" s="11"/>
      <c r="AH110" s="11">
        <v>34</v>
      </c>
    </row>
    <row r="111" spans="1:34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3">
        <v>0.56874999999999998</v>
      </c>
      <c r="K111" s="11"/>
      <c r="L111" s="14"/>
      <c r="M111" s="11" t="s">
        <v>74</v>
      </c>
      <c r="N111" s="11"/>
      <c r="O111" s="11" t="s">
        <v>107</v>
      </c>
      <c r="P111" s="11"/>
      <c r="Q111" s="11" t="s">
        <v>107</v>
      </c>
      <c r="R111" s="11"/>
      <c r="S111" s="11" t="s">
        <v>108</v>
      </c>
      <c r="T111" s="11"/>
      <c r="U111" s="11" t="s">
        <v>108</v>
      </c>
      <c r="V111" s="11"/>
      <c r="W111" s="11" t="s">
        <v>174</v>
      </c>
      <c r="X111" s="11" t="s">
        <v>74</v>
      </c>
      <c r="Y111" s="11"/>
      <c r="Z111" s="11" t="s">
        <v>74</v>
      </c>
      <c r="AA111" s="11"/>
      <c r="AB111" s="11" t="s">
        <v>107</v>
      </c>
      <c r="AC111" s="11"/>
      <c r="AD111" s="11" t="s">
        <v>108</v>
      </c>
      <c r="AE111" s="11"/>
      <c r="AF111" s="11" t="s">
        <v>108</v>
      </c>
      <c r="AG111" s="11"/>
      <c r="AH111" s="11" t="s">
        <v>174</v>
      </c>
    </row>
    <row r="112" spans="1:34" x14ac:dyDescent="0.25">
      <c r="A112" s="11">
        <v>44</v>
      </c>
      <c r="B112" s="11"/>
      <c r="C112" s="11"/>
      <c r="D112" s="11"/>
      <c r="E112" s="11"/>
      <c r="F112" s="11"/>
      <c r="G112" s="11"/>
      <c r="H112" s="11">
        <v>1</v>
      </c>
      <c r="I112" s="11"/>
      <c r="J112" s="13">
        <v>0.26527777777777778</v>
      </c>
      <c r="K112" s="11" t="s">
        <v>182</v>
      </c>
      <c r="L112" s="14" t="s">
        <v>221</v>
      </c>
      <c r="M112" s="11">
        <v>63</v>
      </c>
      <c r="N112" s="11"/>
      <c r="O112" s="11">
        <v>9</v>
      </c>
      <c r="P112" s="11"/>
      <c r="Q112" s="11">
        <v>18</v>
      </c>
      <c r="R112" s="11"/>
      <c r="S112" s="11">
        <v>7</v>
      </c>
      <c r="T112" s="11"/>
      <c r="U112" s="11">
        <v>25</v>
      </c>
      <c r="V112" s="11"/>
      <c r="W112" s="11">
        <v>35</v>
      </c>
      <c r="X112" s="11">
        <v>51</v>
      </c>
      <c r="Y112" s="11"/>
      <c r="Z112" s="11">
        <v>71</v>
      </c>
      <c r="AA112" s="11"/>
      <c r="AB112" s="11">
        <v>8</v>
      </c>
      <c r="AC112" s="11"/>
      <c r="AD112" s="11">
        <v>25</v>
      </c>
      <c r="AE112" s="11"/>
      <c r="AF112" s="11">
        <v>65</v>
      </c>
      <c r="AG112" s="11"/>
      <c r="AH112" s="11">
        <v>34</v>
      </c>
    </row>
    <row r="113" spans="1:34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3">
        <v>0.56805555555555554</v>
      </c>
      <c r="K113" s="11"/>
      <c r="L113" s="14"/>
      <c r="M113" s="11" t="s">
        <v>74</v>
      </c>
      <c r="N113" s="11"/>
      <c r="O113" s="11" t="s">
        <v>107</v>
      </c>
      <c r="P113" s="11"/>
      <c r="Q113" s="11" t="s">
        <v>107</v>
      </c>
      <c r="R113" s="11"/>
      <c r="S113" s="11" t="s">
        <v>108</v>
      </c>
      <c r="T113" s="11"/>
      <c r="U113" s="11" t="s">
        <v>108</v>
      </c>
      <c r="V113" s="11"/>
      <c r="W113" s="11" t="s">
        <v>174</v>
      </c>
      <c r="X113" s="11" t="s">
        <v>74</v>
      </c>
      <c r="Y113" s="11"/>
      <c r="Z113" s="11" t="s">
        <v>74</v>
      </c>
      <c r="AA113" s="11"/>
      <c r="AB113" s="11" t="s">
        <v>107</v>
      </c>
      <c r="AC113" s="11"/>
      <c r="AD113" s="11" t="s">
        <v>108</v>
      </c>
      <c r="AE113" s="11"/>
      <c r="AF113" s="11" t="s">
        <v>108</v>
      </c>
      <c r="AG113" s="11"/>
      <c r="AH113" s="11" t="s">
        <v>174</v>
      </c>
    </row>
    <row r="114" spans="1:34" x14ac:dyDescent="0.25">
      <c r="A114" s="11">
        <v>45</v>
      </c>
      <c r="B114" s="11"/>
      <c r="C114" s="11"/>
      <c r="D114" s="11"/>
      <c r="E114" s="11"/>
      <c r="F114" s="11"/>
      <c r="G114" s="11"/>
      <c r="H114" s="11">
        <v>1</v>
      </c>
      <c r="I114" s="11" t="s">
        <v>175</v>
      </c>
      <c r="J114" s="13">
        <v>0.26527777777777778</v>
      </c>
      <c r="K114" s="11" t="s">
        <v>176</v>
      </c>
      <c r="L114" s="14" t="s">
        <v>184</v>
      </c>
      <c r="M114" s="11">
        <v>12</v>
      </c>
      <c r="N114" s="11"/>
      <c r="O114" s="11">
        <v>33</v>
      </c>
      <c r="P114" s="11"/>
      <c r="Q114" s="11">
        <v>38</v>
      </c>
      <c r="R114" s="11"/>
      <c r="S114" s="11">
        <v>59</v>
      </c>
      <c r="T114" s="11"/>
      <c r="U114" s="11">
        <v>76</v>
      </c>
      <c r="V114" s="11"/>
      <c r="W114" s="11">
        <v>35</v>
      </c>
      <c r="X114" s="11">
        <v>14</v>
      </c>
      <c r="Y114" s="11"/>
      <c r="Z114" s="11">
        <v>43</v>
      </c>
      <c r="AA114" s="11"/>
      <c r="AB114" s="11">
        <v>62</v>
      </c>
      <c r="AC114" s="11"/>
      <c r="AD114" s="11">
        <v>2</v>
      </c>
      <c r="AE114" s="11"/>
      <c r="AF114" s="11">
        <v>48</v>
      </c>
      <c r="AG114" s="11"/>
      <c r="AH114" s="11">
        <v>34</v>
      </c>
    </row>
    <row r="115" spans="1:34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3">
        <v>0.56805555555555554</v>
      </c>
      <c r="K115" s="11"/>
      <c r="L115" s="14"/>
      <c r="M115" s="11" t="s">
        <v>74</v>
      </c>
      <c r="N115" s="11"/>
      <c r="O115" s="11" t="s">
        <v>74</v>
      </c>
      <c r="P115" s="11"/>
      <c r="Q115" s="11" t="s">
        <v>107</v>
      </c>
      <c r="R115" s="11"/>
      <c r="S115" s="11" t="s">
        <v>108</v>
      </c>
      <c r="T115" s="11"/>
      <c r="U115" s="11" t="s">
        <v>108</v>
      </c>
      <c r="V115" s="11"/>
      <c r="W115" s="11" t="s">
        <v>174</v>
      </c>
      <c r="X115" s="11" t="s">
        <v>74</v>
      </c>
      <c r="Y115" s="11"/>
      <c r="Z115" s="11" t="s">
        <v>74</v>
      </c>
      <c r="AA115" s="11"/>
      <c r="AB115" s="11" t="s">
        <v>107</v>
      </c>
      <c r="AC115" s="11"/>
      <c r="AD115" s="11" t="s">
        <v>108</v>
      </c>
      <c r="AE115" s="11"/>
      <c r="AF115" s="11" t="s">
        <v>108</v>
      </c>
      <c r="AG115" s="11"/>
      <c r="AH115" s="11" t="s">
        <v>174</v>
      </c>
    </row>
    <row r="116" spans="1:34" x14ac:dyDescent="0.25">
      <c r="A116" s="11">
        <v>46</v>
      </c>
      <c r="B116" s="11"/>
      <c r="C116" s="11"/>
      <c r="D116" s="11"/>
      <c r="E116" s="11"/>
      <c r="F116" s="11"/>
      <c r="G116" s="11"/>
      <c r="H116" s="11">
        <v>1</v>
      </c>
      <c r="I116" s="11" t="s">
        <v>175</v>
      </c>
      <c r="J116" s="13">
        <v>0.27569444444444446</v>
      </c>
      <c r="K116" s="11" t="s">
        <v>212</v>
      </c>
      <c r="L116" s="14" t="s">
        <v>222</v>
      </c>
      <c r="M116" s="11">
        <v>12</v>
      </c>
      <c r="N116" s="11"/>
      <c r="O116" s="11">
        <v>33</v>
      </c>
      <c r="P116" s="11"/>
      <c r="Q116" s="11">
        <v>38</v>
      </c>
      <c r="R116" s="11"/>
      <c r="S116" s="11">
        <v>59</v>
      </c>
      <c r="T116" s="11"/>
      <c r="U116" s="11">
        <v>76</v>
      </c>
      <c r="V116" s="11"/>
      <c r="W116" s="11">
        <v>35</v>
      </c>
      <c r="X116" s="11">
        <v>14</v>
      </c>
      <c r="Y116" s="11"/>
      <c r="Z116" s="11">
        <v>43</v>
      </c>
      <c r="AA116" s="11"/>
      <c r="AB116" s="11">
        <v>62</v>
      </c>
      <c r="AC116" s="11"/>
      <c r="AD116" s="11">
        <v>2</v>
      </c>
      <c r="AE116" s="11"/>
      <c r="AF116" s="11">
        <v>48</v>
      </c>
      <c r="AG116" s="11"/>
      <c r="AH116" s="11">
        <v>34</v>
      </c>
    </row>
    <row r="117" spans="1:34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3">
        <v>0.55763888888888891</v>
      </c>
      <c r="K117" s="11"/>
      <c r="L117" s="14"/>
      <c r="M117" s="11" t="s">
        <v>74</v>
      </c>
      <c r="N117" s="11"/>
      <c r="O117" s="11" t="s">
        <v>74</v>
      </c>
      <c r="P117" s="11"/>
      <c r="Q117" s="11" t="s">
        <v>107</v>
      </c>
      <c r="R117" s="11"/>
      <c r="S117" s="11" t="s">
        <v>108</v>
      </c>
      <c r="T117" s="11"/>
      <c r="U117" s="11" t="s">
        <v>108</v>
      </c>
      <c r="V117" s="11"/>
      <c r="W117" s="11" t="s">
        <v>174</v>
      </c>
      <c r="X117" s="11" t="s">
        <v>74</v>
      </c>
      <c r="Y117" s="11"/>
      <c r="Z117" s="11" t="s">
        <v>74</v>
      </c>
      <c r="AA117" s="11"/>
      <c r="AB117" s="11" t="s">
        <v>107</v>
      </c>
      <c r="AC117" s="11"/>
      <c r="AD117" s="11" t="s">
        <v>108</v>
      </c>
      <c r="AE117" s="11"/>
      <c r="AF117" s="11" t="s">
        <v>108</v>
      </c>
      <c r="AG117" s="11"/>
      <c r="AH117" s="11" t="s">
        <v>174</v>
      </c>
    </row>
    <row r="118" spans="1:34" x14ac:dyDescent="0.25">
      <c r="A118" s="11">
        <v>47</v>
      </c>
      <c r="B118" s="11"/>
      <c r="C118" s="11"/>
      <c r="D118" s="11"/>
      <c r="E118" s="11"/>
      <c r="F118" s="11"/>
      <c r="G118" s="11"/>
      <c r="H118" s="11">
        <v>1</v>
      </c>
      <c r="I118" s="11" t="s">
        <v>175</v>
      </c>
      <c r="J118" s="13">
        <v>0.27638888888888885</v>
      </c>
      <c r="K118" s="11" t="s">
        <v>180</v>
      </c>
      <c r="L118" s="14" t="s">
        <v>223</v>
      </c>
      <c r="M118" s="11">
        <v>12</v>
      </c>
      <c r="N118" s="11"/>
      <c r="O118" s="11">
        <v>33</v>
      </c>
      <c r="P118" s="11"/>
      <c r="Q118" s="11">
        <v>38</v>
      </c>
      <c r="R118" s="11"/>
      <c r="S118" s="11">
        <v>59</v>
      </c>
      <c r="T118" s="11"/>
      <c r="U118" s="11">
        <v>76</v>
      </c>
      <c r="V118" s="11"/>
      <c r="W118" s="11">
        <v>35</v>
      </c>
      <c r="X118" s="11">
        <v>14</v>
      </c>
      <c r="Y118" s="11"/>
      <c r="Z118" s="11">
        <v>43</v>
      </c>
      <c r="AA118" s="11"/>
      <c r="AB118" s="11">
        <v>62</v>
      </c>
      <c r="AC118" s="11"/>
      <c r="AD118" s="11">
        <v>2</v>
      </c>
      <c r="AE118" s="11"/>
      <c r="AF118" s="11">
        <v>48</v>
      </c>
      <c r="AG118" s="11"/>
      <c r="AH118" s="11">
        <v>34</v>
      </c>
    </row>
    <row r="119" spans="1:34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3">
        <v>0.55694444444444446</v>
      </c>
      <c r="K119" s="11"/>
      <c r="L119" s="14"/>
      <c r="M119" s="11" t="s">
        <v>74</v>
      </c>
      <c r="N119" s="11"/>
      <c r="O119" s="11" t="s">
        <v>74</v>
      </c>
      <c r="P119" s="11"/>
      <c r="Q119" s="11" t="s">
        <v>107</v>
      </c>
      <c r="R119" s="11"/>
      <c r="S119" s="11" t="s">
        <v>108</v>
      </c>
      <c r="T119" s="11"/>
      <c r="U119" s="11" t="s">
        <v>108</v>
      </c>
      <c r="V119" s="11"/>
      <c r="W119" s="11" t="s">
        <v>174</v>
      </c>
      <c r="X119" s="11" t="s">
        <v>74</v>
      </c>
      <c r="Y119" s="11"/>
      <c r="Z119" s="11" t="s">
        <v>74</v>
      </c>
      <c r="AA119" s="11"/>
      <c r="AB119" s="11" t="s">
        <v>107</v>
      </c>
      <c r="AC119" s="11"/>
      <c r="AD119" s="11" t="s">
        <v>108</v>
      </c>
      <c r="AE119" s="11"/>
      <c r="AF119" s="11" t="s">
        <v>108</v>
      </c>
      <c r="AG119" s="11"/>
      <c r="AH119" s="11" t="s">
        <v>174</v>
      </c>
    </row>
    <row r="120" spans="1:34" x14ac:dyDescent="0.25">
      <c r="A120" s="11">
        <v>48</v>
      </c>
      <c r="B120" s="11"/>
      <c r="C120" s="11"/>
      <c r="D120" s="11"/>
      <c r="E120" s="11"/>
      <c r="F120" s="11"/>
      <c r="G120" s="11"/>
      <c r="H120" s="11">
        <v>1</v>
      </c>
      <c r="I120" s="11" t="s">
        <v>175</v>
      </c>
      <c r="J120" s="13">
        <v>0.27986111111111112</v>
      </c>
      <c r="K120" s="11" t="s">
        <v>180</v>
      </c>
      <c r="L120" s="14" t="s">
        <v>224</v>
      </c>
      <c r="M120" s="11">
        <v>12</v>
      </c>
      <c r="N120" s="11"/>
      <c r="O120" s="11">
        <v>33</v>
      </c>
      <c r="P120" s="11"/>
      <c r="Q120" s="11">
        <v>38</v>
      </c>
      <c r="R120" s="11"/>
      <c r="S120" s="11">
        <v>59</v>
      </c>
      <c r="T120" s="11"/>
      <c r="U120" s="11">
        <v>76</v>
      </c>
      <c r="V120" s="11"/>
      <c r="W120" s="11">
        <v>35</v>
      </c>
      <c r="X120" s="11">
        <v>14</v>
      </c>
      <c r="Y120" s="11"/>
      <c r="Z120" s="11">
        <v>43</v>
      </c>
      <c r="AA120" s="11"/>
      <c r="AB120" s="11">
        <v>62</v>
      </c>
      <c r="AC120" s="11"/>
      <c r="AD120" s="11">
        <v>2</v>
      </c>
      <c r="AE120" s="11"/>
      <c r="AF120" s="11">
        <v>48</v>
      </c>
      <c r="AG120" s="11"/>
      <c r="AH120" s="11">
        <v>34</v>
      </c>
    </row>
    <row r="121" spans="1:34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3">
        <v>0.55347222222222225</v>
      </c>
      <c r="K121" s="11"/>
      <c r="L121" s="14"/>
      <c r="M121" s="11" t="s">
        <v>74</v>
      </c>
      <c r="N121" s="11"/>
      <c r="O121" s="11" t="s">
        <v>74</v>
      </c>
      <c r="P121" s="11"/>
      <c r="Q121" s="11" t="s">
        <v>107</v>
      </c>
      <c r="R121" s="11"/>
      <c r="S121" s="11" t="s">
        <v>108</v>
      </c>
      <c r="T121" s="11"/>
      <c r="U121" s="11" t="s">
        <v>108</v>
      </c>
      <c r="V121" s="11"/>
      <c r="W121" s="11" t="s">
        <v>174</v>
      </c>
      <c r="X121" s="11" t="s">
        <v>74</v>
      </c>
      <c r="Y121" s="11"/>
      <c r="Z121" s="11" t="s">
        <v>74</v>
      </c>
      <c r="AA121" s="11"/>
      <c r="AB121" s="11" t="s">
        <v>107</v>
      </c>
      <c r="AC121" s="11"/>
      <c r="AD121" s="11" t="s">
        <v>108</v>
      </c>
      <c r="AE121" s="11"/>
      <c r="AF121" s="11" t="s">
        <v>108</v>
      </c>
      <c r="AG121" s="11"/>
      <c r="AH121" s="11" t="s">
        <v>174</v>
      </c>
    </row>
    <row r="122" spans="1:34" x14ac:dyDescent="0.25">
      <c r="A122" s="11">
        <v>49</v>
      </c>
      <c r="B122" s="11"/>
      <c r="C122" s="11"/>
      <c r="D122" s="11"/>
      <c r="E122" s="11"/>
      <c r="F122" s="11"/>
      <c r="G122" s="11"/>
      <c r="H122" s="11">
        <v>1</v>
      </c>
      <c r="I122" s="11"/>
      <c r="J122" s="13">
        <v>0.28125</v>
      </c>
      <c r="K122" s="11" t="s">
        <v>182</v>
      </c>
      <c r="L122" s="14" t="s">
        <v>207</v>
      </c>
      <c r="M122" s="11">
        <v>12</v>
      </c>
      <c r="N122" s="11"/>
      <c r="O122" s="11">
        <v>33</v>
      </c>
      <c r="P122" s="11"/>
      <c r="Q122" s="11">
        <v>38</v>
      </c>
      <c r="R122" s="11"/>
      <c r="S122" s="11">
        <v>59</v>
      </c>
      <c r="T122" s="11"/>
      <c r="U122" s="11">
        <v>76</v>
      </c>
      <c r="V122" s="11"/>
      <c r="W122" s="11">
        <v>35</v>
      </c>
      <c r="X122" s="11">
        <v>14</v>
      </c>
      <c r="Y122" s="11"/>
      <c r="Z122" s="11">
        <v>43</v>
      </c>
      <c r="AA122" s="11"/>
      <c r="AB122" s="11">
        <v>62</v>
      </c>
      <c r="AC122" s="11"/>
      <c r="AD122" s="11">
        <v>2</v>
      </c>
      <c r="AE122" s="11"/>
      <c r="AF122" s="11">
        <v>48</v>
      </c>
      <c r="AG122" s="11"/>
      <c r="AH122" s="11">
        <v>34</v>
      </c>
    </row>
    <row r="123" spans="1:34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3">
        <v>0.55208333333333337</v>
      </c>
      <c r="K123" s="11"/>
      <c r="L123" s="14"/>
      <c r="M123" s="11" t="s">
        <v>74</v>
      </c>
      <c r="N123" s="11"/>
      <c r="O123" s="11" t="s">
        <v>74</v>
      </c>
      <c r="P123" s="11"/>
      <c r="Q123" s="11" t="s">
        <v>107</v>
      </c>
      <c r="R123" s="11"/>
      <c r="S123" s="11" t="s">
        <v>108</v>
      </c>
      <c r="T123" s="11"/>
      <c r="U123" s="11" t="s">
        <v>108</v>
      </c>
      <c r="V123" s="11"/>
      <c r="W123" s="11" t="s">
        <v>174</v>
      </c>
      <c r="X123" s="11" t="s">
        <v>74</v>
      </c>
      <c r="Y123" s="11"/>
      <c r="Z123" s="11" t="s">
        <v>74</v>
      </c>
      <c r="AA123" s="11"/>
      <c r="AB123" s="11" t="s">
        <v>107</v>
      </c>
      <c r="AC123" s="11"/>
      <c r="AD123" s="11" t="s">
        <v>108</v>
      </c>
      <c r="AE123" s="11"/>
      <c r="AF123" s="11" t="s">
        <v>108</v>
      </c>
      <c r="AG123" s="11"/>
      <c r="AH123" s="11" t="s">
        <v>174</v>
      </c>
    </row>
    <row r="124" spans="1:34" x14ac:dyDescent="0.25">
      <c r="A124" s="11">
        <v>50</v>
      </c>
      <c r="B124" s="11"/>
      <c r="C124" s="11"/>
      <c r="D124" s="11"/>
      <c r="E124" s="11"/>
      <c r="F124" s="11"/>
      <c r="G124" s="11"/>
      <c r="H124" s="11">
        <v>1</v>
      </c>
      <c r="I124" s="11" t="s">
        <v>175</v>
      </c>
      <c r="J124" s="13">
        <v>0.28125</v>
      </c>
      <c r="K124" s="11" t="s">
        <v>176</v>
      </c>
      <c r="L124" s="14" t="s">
        <v>225</v>
      </c>
      <c r="M124" s="11">
        <v>12</v>
      </c>
      <c r="N124" s="11"/>
      <c r="O124" s="11">
        <v>33</v>
      </c>
      <c r="P124" s="11"/>
      <c r="Q124" s="11">
        <v>38</v>
      </c>
      <c r="R124" s="11"/>
      <c r="S124" s="11">
        <v>59</v>
      </c>
      <c r="T124" s="11"/>
      <c r="U124" s="11">
        <v>76</v>
      </c>
      <c r="V124" s="11"/>
      <c r="W124" s="11">
        <v>35</v>
      </c>
      <c r="X124" s="11">
        <v>15</v>
      </c>
      <c r="Y124" s="11"/>
      <c r="Z124" s="11">
        <v>21</v>
      </c>
      <c r="AA124" s="11"/>
      <c r="AB124" s="11">
        <v>40</v>
      </c>
      <c r="AC124" s="11"/>
      <c r="AD124" s="11">
        <v>25</v>
      </c>
      <c r="AE124" s="11"/>
      <c r="AF124" s="11">
        <v>65</v>
      </c>
      <c r="AG124" s="11"/>
      <c r="AH124" s="11">
        <v>34</v>
      </c>
    </row>
    <row r="125" spans="1:34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3">
        <v>0.55208333333333337</v>
      </c>
      <c r="K125" s="11"/>
      <c r="L125" s="14"/>
      <c r="M125" s="11" t="s">
        <v>74</v>
      </c>
      <c r="N125" s="11"/>
      <c r="O125" s="11" t="s">
        <v>74</v>
      </c>
      <c r="P125" s="11"/>
      <c r="Q125" s="11" t="s">
        <v>107</v>
      </c>
      <c r="R125" s="11"/>
      <c r="S125" s="11" t="s">
        <v>108</v>
      </c>
      <c r="T125" s="11"/>
      <c r="U125" s="11" t="s">
        <v>108</v>
      </c>
      <c r="V125" s="11"/>
      <c r="W125" s="11" t="s">
        <v>174</v>
      </c>
      <c r="X125" s="11" t="s">
        <v>74</v>
      </c>
      <c r="Y125" s="11"/>
      <c r="Z125" s="11" t="s">
        <v>74</v>
      </c>
      <c r="AA125" s="11"/>
      <c r="AB125" s="11" t="s">
        <v>107</v>
      </c>
      <c r="AC125" s="11"/>
      <c r="AD125" s="11" t="s">
        <v>108</v>
      </c>
      <c r="AE125" s="11"/>
      <c r="AF125" s="11" t="s">
        <v>108</v>
      </c>
      <c r="AG125" s="11"/>
      <c r="AH125" s="11" t="s">
        <v>174</v>
      </c>
    </row>
    <row r="126" spans="1:34" x14ac:dyDescent="0.25">
      <c r="A126" s="11">
        <v>51</v>
      </c>
      <c r="B126" s="11"/>
      <c r="C126" s="11"/>
      <c r="D126" s="11"/>
      <c r="E126" s="11"/>
      <c r="F126" s="11"/>
      <c r="G126" s="11"/>
      <c r="H126" s="11">
        <v>1</v>
      </c>
      <c r="I126" s="11" t="s">
        <v>175</v>
      </c>
      <c r="J126" s="13">
        <v>0.28680555555555554</v>
      </c>
      <c r="K126" s="11" t="s">
        <v>226</v>
      </c>
      <c r="L126" s="14" t="s">
        <v>227</v>
      </c>
      <c r="M126" s="11">
        <v>12</v>
      </c>
      <c r="N126" s="11"/>
      <c r="O126" s="11">
        <v>33</v>
      </c>
      <c r="P126" s="11"/>
      <c r="Q126" s="11">
        <v>38</v>
      </c>
      <c r="R126" s="11"/>
      <c r="S126" s="11">
        <v>59</v>
      </c>
      <c r="T126" s="11"/>
      <c r="U126" s="11">
        <v>76</v>
      </c>
      <c r="V126" s="11"/>
      <c r="W126" s="11">
        <v>35</v>
      </c>
      <c r="X126" s="11">
        <v>15</v>
      </c>
      <c r="Y126" s="11"/>
      <c r="Z126" s="11">
        <v>21</v>
      </c>
      <c r="AA126" s="11"/>
      <c r="AB126" s="11">
        <v>40</v>
      </c>
      <c r="AC126" s="11"/>
      <c r="AD126" s="11">
        <v>25</v>
      </c>
      <c r="AE126" s="11"/>
      <c r="AF126" s="11">
        <v>65</v>
      </c>
      <c r="AG126" s="11"/>
      <c r="AH126" s="11">
        <v>34</v>
      </c>
    </row>
    <row r="127" spans="1:34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3">
        <v>0.54652777777777783</v>
      </c>
      <c r="K127" s="11"/>
      <c r="L127" s="14"/>
      <c r="M127" s="11" t="s">
        <v>74</v>
      </c>
      <c r="N127" s="11"/>
      <c r="O127" s="11" t="s">
        <v>74</v>
      </c>
      <c r="P127" s="11"/>
      <c r="Q127" s="11" t="s">
        <v>107</v>
      </c>
      <c r="R127" s="11"/>
      <c r="S127" s="11" t="s">
        <v>108</v>
      </c>
      <c r="T127" s="11"/>
      <c r="U127" s="11" t="s">
        <v>108</v>
      </c>
      <c r="V127" s="11"/>
      <c r="W127" s="11" t="s">
        <v>174</v>
      </c>
      <c r="X127" s="11" t="s">
        <v>74</v>
      </c>
      <c r="Y127" s="11"/>
      <c r="Z127" s="11" t="s">
        <v>74</v>
      </c>
      <c r="AA127" s="11"/>
      <c r="AB127" s="11" t="s">
        <v>107</v>
      </c>
      <c r="AC127" s="11"/>
      <c r="AD127" s="11" t="s">
        <v>108</v>
      </c>
      <c r="AE127" s="11"/>
      <c r="AF127" s="11" t="s">
        <v>108</v>
      </c>
      <c r="AG127" s="11"/>
      <c r="AH127" s="11" t="s">
        <v>174</v>
      </c>
    </row>
    <row r="128" spans="1:34" x14ac:dyDescent="0.25">
      <c r="A128" s="11">
        <v>52</v>
      </c>
      <c r="B128" s="11"/>
      <c r="C128" s="11"/>
      <c r="D128" s="11"/>
      <c r="E128" s="11"/>
      <c r="F128" s="11"/>
      <c r="G128" s="11"/>
      <c r="H128" s="11">
        <v>1</v>
      </c>
      <c r="I128" s="11" t="s">
        <v>228</v>
      </c>
      <c r="J128" s="13">
        <v>0.28680555555555554</v>
      </c>
      <c r="K128" s="11" t="s">
        <v>176</v>
      </c>
      <c r="L128" s="14" t="s">
        <v>229</v>
      </c>
      <c r="M128" s="11">
        <v>10</v>
      </c>
      <c r="N128" s="11"/>
      <c r="O128" s="11">
        <v>19</v>
      </c>
      <c r="P128" s="11"/>
      <c r="Q128" s="11">
        <v>4</v>
      </c>
      <c r="R128" s="11"/>
      <c r="S128" s="11">
        <v>14</v>
      </c>
      <c r="T128" s="11"/>
      <c r="U128" s="11">
        <v>35</v>
      </c>
      <c r="V128" s="11"/>
      <c r="W128" s="11"/>
      <c r="X128" s="11">
        <v>21</v>
      </c>
      <c r="Y128" s="11"/>
      <c r="Z128" s="11">
        <v>51</v>
      </c>
      <c r="AA128" s="11"/>
      <c r="AB128" s="11">
        <v>40</v>
      </c>
      <c r="AC128" s="11"/>
      <c r="AD128" s="11">
        <v>62</v>
      </c>
      <c r="AE128" s="11"/>
      <c r="AF128" s="11">
        <v>25</v>
      </c>
      <c r="AG128" s="11"/>
      <c r="AH128" s="11">
        <v>34</v>
      </c>
    </row>
    <row r="129" spans="1:34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3">
        <v>0.54652777777777783</v>
      </c>
      <c r="K129" s="11"/>
      <c r="L129" s="14"/>
      <c r="M129" s="11" t="s">
        <v>74</v>
      </c>
      <c r="N129" s="11"/>
      <c r="O129" s="11" t="s">
        <v>74</v>
      </c>
      <c r="P129" s="11"/>
      <c r="Q129" s="11" t="s">
        <v>108</v>
      </c>
      <c r="R129" s="11"/>
      <c r="S129" s="11" t="s">
        <v>108</v>
      </c>
      <c r="T129" s="11"/>
      <c r="U129" s="11" t="s">
        <v>174</v>
      </c>
      <c r="V129" s="11"/>
      <c r="W129" s="11"/>
      <c r="X129" s="11" t="s">
        <v>74</v>
      </c>
      <c r="Y129" s="11"/>
      <c r="Z129" s="11" t="s">
        <v>74</v>
      </c>
      <c r="AA129" s="11"/>
      <c r="AB129" s="11" t="s">
        <v>107</v>
      </c>
      <c r="AC129" s="11"/>
      <c r="AD129" s="11" t="s">
        <v>107</v>
      </c>
      <c r="AE129" s="11"/>
      <c r="AF129" s="11" t="s">
        <v>108</v>
      </c>
      <c r="AG129" s="11"/>
      <c r="AH129" s="11" t="s">
        <v>174</v>
      </c>
    </row>
    <row r="130" spans="1:34" x14ac:dyDescent="0.25">
      <c r="A130" s="11">
        <v>53</v>
      </c>
      <c r="B130" s="11"/>
      <c r="C130" s="11"/>
      <c r="D130" s="11"/>
      <c r="E130" s="11"/>
      <c r="F130" s="11"/>
      <c r="G130" s="11"/>
      <c r="H130" s="11">
        <v>1</v>
      </c>
      <c r="I130" s="11" t="s">
        <v>230</v>
      </c>
      <c r="J130" s="13">
        <v>0.2951388888888889</v>
      </c>
      <c r="K130" s="11" t="s">
        <v>231</v>
      </c>
      <c r="L130" s="14" t="s">
        <v>232</v>
      </c>
      <c r="M130" s="11">
        <v>10</v>
      </c>
      <c r="N130" s="11"/>
      <c r="O130" s="11">
        <v>19</v>
      </c>
      <c r="P130" s="11"/>
      <c r="Q130" s="11">
        <v>4</v>
      </c>
      <c r="R130" s="11"/>
      <c r="S130" s="11">
        <v>14</v>
      </c>
      <c r="T130" s="11"/>
      <c r="U130" s="11">
        <v>35</v>
      </c>
      <c r="V130" s="11"/>
      <c r="W130" s="11"/>
      <c r="X130" s="11">
        <v>21</v>
      </c>
      <c r="Y130" s="11"/>
      <c r="Z130" s="11">
        <v>51</v>
      </c>
      <c r="AA130" s="11"/>
      <c r="AB130" s="11">
        <v>40</v>
      </c>
      <c r="AC130" s="11"/>
      <c r="AD130" s="11">
        <v>62</v>
      </c>
      <c r="AE130" s="11"/>
      <c r="AF130" s="11">
        <v>25</v>
      </c>
      <c r="AG130" s="11"/>
      <c r="AH130" s="11">
        <v>34</v>
      </c>
    </row>
    <row r="131" spans="1:34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3">
        <v>0.53819444444444442</v>
      </c>
      <c r="K131" s="11"/>
      <c r="L131" s="14"/>
      <c r="M131" s="11" t="s">
        <v>74</v>
      </c>
      <c r="N131" s="11"/>
      <c r="O131" s="11" t="s">
        <v>74</v>
      </c>
      <c r="P131" s="11"/>
      <c r="Q131" s="11" t="s">
        <v>108</v>
      </c>
      <c r="R131" s="11"/>
      <c r="S131" s="11" t="s">
        <v>108</v>
      </c>
      <c r="T131" s="11"/>
      <c r="U131" s="11" t="s">
        <v>174</v>
      </c>
      <c r="V131" s="11"/>
      <c r="W131" s="11"/>
      <c r="X131" s="11" t="s">
        <v>74</v>
      </c>
      <c r="Y131" s="11"/>
      <c r="Z131" s="11" t="s">
        <v>74</v>
      </c>
      <c r="AA131" s="11"/>
      <c r="AB131" s="11" t="s">
        <v>107</v>
      </c>
      <c r="AC131" s="11"/>
      <c r="AD131" s="11" t="s">
        <v>107</v>
      </c>
      <c r="AE131" s="11"/>
      <c r="AF131" s="11" t="s">
        <v>108</v>
      </c>
      <c r="AG131" s="11"/>
      <c r="AH131" s="11" t="s">
        <v>174</v>
      </c>
    </row>
    <row r="132" spans="1:34" x14ac:dyDescent="0.25">
      <c r="A132" s="11">
        <v>54</v>
      </c>
      <c r="B132" s="11"/>
      <c r="C132" s="11"/>
      <c r="D132" s="11"/>
      <c r="E132" s="11"/>
      <c r="F132" s="11"/>
      <c r="G132" s="11"/>
      <c r="H132" s="11">
        <v>1</v>
      </c>
      <c r="I132" s="11" t="s">
        <v>228</v>
      </c>
      <c r="J132" s="13">
        <v>0.30624999999999997</v>
      </c>
      <c r="K132" s="11" t="s">
        <v>188</v>
      </c>
      <c r="L132" s="14" t="s">
        <v>233</v>
      </c>
      <c r="M132" s="11">
        <v>10</v>
      </c>
      <c r="N132" s="11"/>
      <c r="O132" s="11">
        <v>19</v>
      </c>
      <c r="P132" s="11"/>
      <c r="Q132" s="11">
        <v>4</v>
      </c>
      <c r="R132" s="11"/>
      <c r="S132" s="11">
        <v>14</v>
      </c>
      <c r="T132" s="11"/>
      <c r="U132" s="11">
        <v>35</v>
      </c>
      <c r="V132" s="11"/>
      <c r="W132" s="11"/>
      <c r="X132" s="11">
        <v>21</v>
      </c>
      <c r="Y132" s="11"/>
      <c r="Z132" s="11">
        <v>51</v>
      </c>
      <c r="AA132" s="11"/>
      <c r="AB132" s="11">
        <v>40</v>
      </c>
      <c r="AC132" s="11"/>
      <c r="AD132" s="11">
        <v>62</v>
      </c>
      <c r="AE132" s="11"/>
      <c r="AF132" s="11">
        <v>25</v>
      </c>
      <c r="AG132" s="11"/>
      <c r="AH132" s="11">
        <v>34</v>
      </c>
    </row>
    <row r="133" spans="1:34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3">
        <v>0.52708333333333335</v>
      </c>
      <c r="K133" s="11"/>
      <c r="L133" s="14"/>
      <c r="M133" s="11" t="s">
        <v>74</v>
      </c>
      <c r="N133" s="11"/>
      <c r="O133" s="11" t="s">
        <v>74</v>
      </c>
      <c r="P133" s="11"/>
      <c r="Q133" s="11" t="s">
        <v>108</v>
      </c>
      <c r="R133" s="11"/>
      <c r="S133" s="11" t="s">
        <v>108</v>
      </c>
      <c r="T133" s="11"/>
      <c r="U133" s="11" t="s">
        <v>174</v>
      </c>
      <c r="V133" s="11"/>
      <c r="W133" s="11"/>
      <c r="X133" s="11" t="s">
        <v>74</v>
      </c>
      <c r="Y133" s="11"/>
      <c r="Z133" s="11" t="s">
        <v>74</v>
      </c>
      <c r="AA133" s="11"/>
      <c r="AB133" s="11" t="s">
        <v>107</v>
      </c>
      <c r="AC133" s="11"/>
      <c r="AD133" s="11" t="s">
        <v>107</v>
      </c>
      <c r="AE133" s="11"/>
      <c r="AF133" s="11" t="s">
        <v>108</v>
      </c>
      <c r="AG133" s="11"/>
      <c r="AH133" s="11" t="s">
        <v>174</v>
      </c>
    </row>
    <row r="134" spans="1:34" x14ac:dyDescent="0.25">
      <c r="A134" s="11">
        <v>55</v>
      </c>
      <c r="B134" s="11"/>
      <c r="C134" s="11"/>
      <c r="D134" s="11"/>
      <c r="E134" s="11"/>
      <c r="F134" s="11"/>
      <c r="G134" s="11"/>
      <c r="H134" s="11">
        <v>1</v>
      </c>
      <c r="I134" s="11" t="s">
        <v>228</v>
      </c>
      <c r="J134" s="13">
        <v>0.34861111111111115</v>
      </c>
      <c r="K134" s="11" t="s">
        <v>188</v>
      </c>
      <c r="L134" s="14" t="s">
        <v>234</v>
      </c>
      <c r="M134" s="11">
        <v>12</v>
      </c>
      <c r="N134" s="11"/>
      <c r="O134" s="11">
        <v>9</v>
      </c>
      <c r="P134" s="11"/>
      <c r="Q134" s="11">
        <v>59</v>
      </c>
      <c r="R134" s="11"/>
      <c r="S134" s="11">
        <v>76</v>
      </c>
      <c r="T134" s="11"/>
      <c r="U134" s="11">
        <v>35</v>
      </c>
      <c r="V134" s="11"/>
      <c r="W134" s="11"/>
      <c r="X134" s="11">
        <v>14</v>
      </c>
      <c r="Y134" s="11"/>
      <c r="Z134" s="11">
        <v>15</v>
      </c>
      <c r="AA134" s="11"/>
      <c r="AB134" s="11">
        <v>71</v>
      </c>
      <c r="AC134" s="11"/>
      <c r="AD134" s="11">
        <v>8</v>
      </c>
      <c r="AE134" s="11"/>
      <c r="AF134" s="11">
        <v>48</v>
      </c>
      <c r="AG134" s="11"/>
      <c r="AH134" s="11">
        <v>34</v>
      </c>
    </row>
    <row r="135" spans="1:34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3">
        <v>0.48472222222222222</v>
      </c>
      <c r="K135" s="11"/>
      <c r="L135" s="14"/>
      <c r="M135" s="11" t="s">
        <v>74</v>
      </c>
      <c r="N135" s="11"/>
      <c r="O135" s="11" t="s">
        <v>107</v>
      </c>
      <c r="P135" s="11"/>
      <c r="Q135" s="11" t="s">
        <v>108</v>
      </c>
      <c r="R135" s="11"/>
      <c r="S135" s="11" t="s">
        <v>108</v>
      </c>
      <c r="T135" s="11"/>
      <c r="U135" s="11" t="s">
        <v>174</v>
      </c>
      <c r="V135" s="11"/>
      <c r="W135" s="11"/>
      <c r="X135" s="11" t="s">
        <v>74</v>
      </c>
      <c r="Y135" s="11"/>
      <c r="Z135" s="11" t="s">
        <v>74</v>
      </c>
      <c r="AA135" s="11"/>
      <c r="AB135" s="11" t="s">
        <v>74</v>
      </c>
      <c r="AC135" s="11"/>
      <c r="AD135" s="11" t="s">
        <v>107</v>
      </c>
      <c r="AE135" s="11"/>
      <c r="AF135" s="11" t="s">
        <v>108</v>
      </c>
      <c r="AG135" s="11"/>
      <c r="AH135" s="11" t="s">
        <v>174</v>
      </c>
    </row>
    <row r="136" spans="1:34" x14ac:dyDescent="0.25">
      <c r="A136" s="11">
        <v>56</v>
      </c>
      <c r="B136" s="11"/>
      <c r="C136" s="11"/>
      <c r="D136" s="11"/>
      <c r="E136" s="11"/>
      <c r="F136" s="11"/>
      <c r="G136" s="11"/>
      <c r="H136" s="11">
        <v>1</v>
      </c>
      <c r="I136" s="11" t="s">
        <v>175</v>
      </c>
      <c r="J136" s="13">
        <v>0.3743055555555555</v>
      </c>
      <c r="K136" s="11" t="s">
        <v>180</v>
      </c>
      <c r="L136" s="14" t="s">
        <v>235</v>
      </c>
      <c r="M136" s="11">
        <v>16</v>
      </c>
      <c r="N136" s="11"/>
      <c r="O136" s="11">
        <v>33</v>
      </c>
      <c r="P136" s="11"/>
      <c r="Q136" s="11">
        <v>38</v>
      </c>
      <c r="R136" s="11"/>
      <c r="S136" s="11">
        <v>7</v>
      </c>
      <c r="T136" s="11"/>
      <c r="U136" s="11">
        <v>25</v>
      </c>
      <c r="V136" s="11"/>
      <c r="W136" s="11">
        <v>35</v>
      </c>
      <c r="X136" s="11">
        <v>41</v>
      </c>
      <c r="Y136" s="11"/>
      <c r="Z136" s="11">
        <v>43</v>
      </c>
      <c r="AA136" s="11"/>
      <c r="AB136" s="11">
        <v>20</v>
      </c>
      <c r="AC136" s="11"/>
      <c r="AD136" s="11">
        <v>53</v>
      </c>
      <c r="AE136" s="11"/>
      <c r="AF136" s="11">
        <v>65</v>
      </c>
      <c r="AG136" s="11"/>
      <c r="AH136" s="11">
        <v>34</v>
      </c>
    </row>
    <row r="137" spans="1:34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3">
        <v>0.45902777777777781</v>
      </c>
      <c r="K137" s="11"/>
      <c r="L137" s="14"/>
      <c r="M137" s="11" t="s">
        <v>74</v>
      </c>
      <c r="N137" s="11"/>
      <c r="O137" s="11" t="s">
        <v>74</v>
      </c>
      <c r="P137" s="11"/>
      <c r="Q137" s="11" t="s">
        <v>107</v>
      </c>
      <c r="R137" s="11"/>
      <c r="S137" s="11" t="s">
        <v>108</v>
      </c>
      <c r="T137" s="11"/>
      <c r="U137" s="11" t="s">
        <v>108</v>
      </c>
      <c r="V137" s="11"/>
      <c r="W137" s="11" t="s">
        <v>174</v>
      </c>
      <c r="X137" s="11" t="s">
        <v>74</v>
      </c>
      <c r="Y137" s="11"/>
      <c r="Z137" s="11" t="s">
        <v>74</v>
      </c>
      <c r="AA137" s="11"/>
      <c r="AB137" s="11" t="s">
        <v>107</v>
      </c>
      <c r="AC137" s="11"/>
      <c r="AD137" s="11" t="s">
        <v>108</v>
      </c>
      <c r="AE137" s="11"/>
      <c r="AF137" s="11" t="s">
        <v>108</v>
      </c>
      <c r="AG137" s="11"/>
      <c r="AH137" s="11" t="s">
        <v>174</v>
      </c>
    </row>
    <row r="138" spans="1:34" x14ac:dyDescent="0.25">
      <c r="A138" s="11">
        <v>57</v>
      </c>
      <c r="B138" s="11"/>
      <c r="C138" s="11"/>
      <c r="D138" s="11"/>
      <c r="E138" s="11"/>
      <c r="F138" s="11"/>
      <c r="G138" s="11"/>
      <c r="H138" s="11">
        <v>1</v>
      </c>
      <c r="I138" s="11" t="s">
        <v>175</v>
      </c>
      <c r="J138" s="13">
        <v>0.37777777777777777</v>
      </c>
      <c r="K138" s="11" t="s">
        <v>178</v>
      </c>
      <c r="L138" s="14" t="s">
        <v>236</v>
      </c>
      <c r="M138" s="11">
        <v>16</v>
      </c>
      <c r="N138" s="11"/>
      <c r="O138" s="11">
        <v>33</v>
      </c>
      <c r="P138" s="11"/>
      <c r="Q138" s="11">
        <v>38</v>
      </c>
      <c r="R138" s="11"/>
      <c r="S138" s="11">
        <v>7</v>
      </c>
      <c r="T138" s="11"/>
      <c r="U138" s="11">
        <v>25</v>
      </c>
      <c r="V138" s="11"/>
      <c r="W138" s="11">
        <v>35</v>
      </c>
      <c r="X138" s="11">
        <v>41</v>
      </c>
      <c r="Y138" s="11"/>
      <c r="Z138" s="11">
        <v>43</v>
      </c>
      <c r="AA138" s="11"/>
      <c r="AB138" s="11">
        <v>20</v>
      </c>
      <c r="AC138" s="11"/>
      <c r="AD138" s="11">
        <v>53</v>
      </c>
      <c r="AE138" s="11"/>
      <c r="AF138" s="11">
        <v>65</v>
      </c>
      <c r="AG138" s="11"/>
      <c r="AH138" s="11">
        <v>34</v>
      </c>
    </row>
    <row r="139" spans="1:34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3">
        <v>0.45555555555555555</v>
      </c>
      <c r="K139" s="11"/>
      <c r="L139" s="14"/>
      <c r="M139" s="11" t="s">
        <v>74</v>
      </c>
      <c r="N139" s="11"/>
      <c r="O139" s="11" t="s">
        <v>74</v>
      </c>
      <c r="P139" s="11"/>
      <c r="Q139" s="11" t="s">
        <v>107</v>
      </c>
      <c r="R139" s="11"/>
      <c r="S139" s="11" t="s">
        <v>108</v>
      </c>
      <c r="T139" s="11"/>
      <c r="U139" s="11" t="s">
        <v>108</v>
      </c>
      <c r="V139" s="11"/>
      <c r="W139" s="11" t="s">
        <v>174</v>
      </c>
      <c r="X139" s="11" t="s">
        <v>74</v>
      </c>
      <c r="Y139" s="11"/>
      <c r="Z139" s="11" t="s">
        <v>74</v>
      </c>
      <c r="AA139" s="11"/>
      <c r="AB139" s="11" t="s">
        <v>107</v>
      </c>
      <c r="AC139" s="11"/>
      <c r="AD139" s="11" t="s">
        <v>108</v>
      </c>
      <c r="AE139" s="11"/>
      <c r="AF139" s="11" t="s">
        <v>108</v>
      </c>
      <c r="AG139" s="11"/>
      <c r="AH139" s="11" t="s">
        <v>174</v>
      </c>
    </row>
    <row r="140" spans="1:34" x14ac:dyDescent="0.25">
      <c r="A140" s="11">
        <v>58</v>
      </c>
      <c r="B140" s="11"/>
      <c r="C140" s="11"/>
      <c r="D140" s="11"/>
      <c r="E140" s="11"/>
      <c r="F140" s="11"/>
      <c r="G140" s="11"/>
      <c r="H140" s="11">
        <v>1</v>
      </c>
      <c r="I140" s="11" t="s">
        <v>175</v>
      </c>
      <c r="J140" s="13">
        <v>0.39027777777777778</v>
      </c>
      <c r="K140" s="11" t="s">
        <v>180</v>
      </c>
      <c r="L140" s="14" t="s">
        <v>237</v>
      </c>
      <c r="M140" s="11">
        <v>92</v>
      </c>
      <c r="N140" s="11"/>
      <c r="O140" s="11">
        <v>18</v>
      </c>
      <c r="P140" s="11"/>
      <c r="Q140" s="11">
        <v>56</v>
      </c>
      <c r="R140" s="11"/>
      <c r="S140" s="11">
        <v>4</v>
      </c>
      <c r="T140" s="11"/>
      <c r="U140" s="11">
        <v>14</v>
      </c>
      <c r="V140" s="11"/>
      <c r="W140" s="11">
        <v>35</v>
      </c>
      <c r="X140" s="11">
        <v>41</v>
      </c>
      <c r="Y140" s="11"/>
      <c r="Z140" s="11">
        <v>43</v>
      </c>
      <c r="AA140" s="11"/>
      <c r="AB140" s="11">
        <v>20</v>
      </c>
      <c r="AC140" s="11"/>
      <c r="AD140" s="11">
        <v>53</v>
      </c>
      <c r="AE140" s="11"/>
      <c r="AF140" s="11">
        <v>65</v>
      </c>
      <c r="AG140" s="11"/>
      <c r="AH140" s="11">
        <v>34</v>
      </c>
    </row>
    <row r="141" spans="1:34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3">
        <v>0.44305555555555554</v>
      </c>
      <c r="K141" s="11"/>
      <c r="L141" s="14"/>
      <c r="M141" s="11" t="s">
        <v>74</v>
      </c>
      <c r="N141" s="11"/>
      <c r="O141" s="11" t="s">
        <v>107</v>
      </c>
      <c r="P141" s="11"/>
      <c r="Q141" s="11" t="s">
        <v>107</v>
      </c>
      <c r="R141" s="11"/>
      <c r="S141" s="11" t="s">
        <v>108</v>
      </c>
      <c r="T141" s="11"/>
      <c r="U141" s="11" t="s">
        <v>108</v>
      </c>
      <c r="W141" s="4" t="s">
        <v>174</v>
      </c>
      <c r="X141" s="11" t="s">
        <v>74</v>
      </c>
      <c r="Y141" s="11"/>
      <c r="Z141" s="11" t="s">
        <v>74</v>
      </c>
      <c r="AA141" s="11"/>
      <c r="AB141" s="11" t="s">
        <v>107</v>
      </c>
      <c r="AC141" s="11"/>
      <c r="AD141" s="11" t="s">
        <v>108</v>
      </c>
      <c r="AE141" s="11"/>
      <c r="AF141" s="11" t="s">
        <v>108</v>
      </c>
      <c r="AG141" s="11"/>
      <c r="AH141" s="11" t="s">
        <v>174</v>
      </c>
    </row>
    <row r="142" spans="1:34" x14ac:dyDescent="0.25">
      <c r="A142" s="11">
        <v>59</v>
      </c>
      <c r="B142" s="11"/>
      <c r="C142" s="11"/>
      <c r="D142" s="11"/>
      <c r="E142" s="11"/>
      <c r="F142" s="11"/>
      <c r="G142" s="11"/>
      <c r="H142" s="11">
        <v>1</v>
      </c>
      <c r="I142" s="11"/>
      <c r="J142" s="13">
        <v>0.39166666666666666</v>
      </c>
      <c r="K142" s="11" t="s">
        <v>182</v>
      </c>
      <c r="L142" s="14" t="s">
        <v>183</v>
      </c>
      <c r="M142" s="11">
        <v>33</v>
      </c>
      <c r="N142" s="11"/>
      <c r="O142" s="11">
        <v>92</v>
      </c>
      <c r="P142" s="11"/>
      <c r="Q142" s="11">
        <v>18</v>
      </c>
      <c r="R142" s="11"/>
      <c r="S142" s="11">
        <v>4</v>
      </c>
      <c r="T142" s="11"/>
      <c r="U142" s="11">
        <v>25</v>
      </c>
      <c r="W142" s="4">
        <v>35</v>
      </c>
      <c r="X142" s="11">
        <v>41</v>
      </c>
      <c r="Y142" s="11"/>
      <c r="Z142" s="11">
        <v>43</v>
      </c>
      <c r="AA142" s="11"/>
      <c r="AB142" s="11">
        <v>20</v>
      </c>
      <c r="AC142" s="11"/>
      <c r="AD142" s="11">
        <v>53</v>
      </c>
      <c r="AE142" s="11"/>
      <c r="AF142" s="11">
        <v>65</v>
      </c>
      <c r="AG142" s="11"/>
      <c r="AH142" s="11">
        <v>34</v>
      </c>
    </row>
    <row r="143" spans="1:34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3">
        <v>0.44166666666666665</v>
      </c>
      <c r="K143" s="11"/>
      <c r="L143" s="14"/>
      <c r="M143" s="11" t="s">
        <v>74</v>
      </c>
      <c r="N143" s="11"/>
      <c r="O143" s="11" t="s">
        <v>74</v>
      </c>
      <c r="P143" s="11"/>
      <c r="Q143" s="11" t="s">
        <v>107</v>
      </c>
      <c r="R143" s="11"/>
      <c r="S143" s="11" t="s">
        <v>108</v>
      </c>
      <c r="T143" s="11"/>
      <c r="U143" s="11" t="s">
        <v>108</v>
      </c>
      <c r="W143" s="4" t="s">
        <v>174</v>
      </c>
      <c r="X143" s="11" t="s">
        <v>74</v>
      </c>
      <c r="Y143" s="11"/>
      <c r="Z143" s="11" t="s">
        <v>74</v>
      </c>
      <c r="AA143" s="11"/>
      <c r="AB143" s="11" t="s">
        <v>107</v>
      </c>
      <c r="AC143" s="11"/>
      <c r="AD143" s="11" t="s">
        <v>108</v>
      </c>
      <c r="AE143" s="11"/>
      <c r="AF143" s="11" t="s">
        <v>108</v>
      </c>
      <c r="AG143" s="11"/>
      <c r="AH143" s="11" t="s">
        <v>174</v>
      </c>
    </row>
    <row r="144" spans="1:34" x14ac:dyDescent="0.25">
      <c r="A144" s="11">
        <v>60</v>
      </c>
      <c r="B144" s="11"/>
      <c r="C144" s="11"/>
      <c r="D144" s="11"/>
      <c r="E144" s="11"/>
      <c r="F144" s="11"/>
      <c r="G144" s="11"/>
      <c r="H144" s="11">
        <v>1</v>
      </c>
      <c r="I144" s="11" t="s">
        <v>175</v>
      </c>
      <c r="J144" s="13">
        <v>0.39166666666666666</v>
      </c>
      <c r="K144" s="11" t="s">
        <v>180</v>
      </c>
      <c r="L144" s="14" t="s">
        <v>238</v>
      </c>
      <c r="M144" s="11">
        <v>33</v>
      </c>
      <c r="N144" s="11"/>
      <c r="O144" s="11">
        <v>92</v>
      </c>
      <c r="P144" s="11"/>
      <c r="Q144" s="11">
        <v>18</v>
      </c>
      <c r="R144" s="11"/>
      <c r="S144" s="11">
        <v>4</v>
      </c>
      <c r="T144" s="11"/>
      <c r="U144" s="11">
        <v>25</v>
      </c>
      <c r="W144" s="4">
        <v>35</v>
      </c>
      <c r="X144" s="11">
        <v>41</v>
      </c>
      <c r="Y144" s="11"/>
      <c r="Z144" s="11">
        <v>43</v>
      </c>
      <c r="AA144" s="11"/>
      <c r="AB144" s="11">
        <v>20</v>
      </c>
      <c r="AC144" s="11"/>
      <c r="AD144" s="11">
        <v>53</v>
      </c>
      <c r="AE144" s="11"/>
      <c r="AF144" s="11">
        <v>65</v>
      </c>
      <c r="AG144" s="11"/>
      <c r="AH144" s="11">
        <v>34</v>
      </c>
    </row>
    <row r="145" spans="1:34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3">
        <v>0.44166666666666665</v>
      </c>
      <c r="K145" s="11"/>
      <c r="L145" s="14"/>
      <c r="M145" s="11" t="s">
        <v>74</v>
      </c>
      <c r="N145" s="11"/>
      <c r="O145" s="11" t="s">
        <v>74</v>
      </c>
      <c r="P145" s="11"/>
      <c r="Q145" s="11" t="s">
        <v>107</v>
      </c>
      <c r="R145" s="11"/>
      <c r="S145" s="11" t="s">
        <v>108</v>
      </c>
      <c r="T145" s="11"/>
      <c r="U145" s="11" t="s">
        <v>108</v>
      </c>
      <c r="W145" s="4" t="s">
        <v>174</v>
      </c>
      <c r="X145" s="11" t="s">
        <v>74</v>
      </c>
      <c r="Y145" s="11"/>
      <c r="Z145" s="11" t="s">
        <v>74</v>
      </c>
      <c r="AA145" s="11"/>
      <c r="AB145" s="11" t="s">
        <v>107</v>
      </c>
      <c r="AC145" s="11"/>
      <c r="AD145" s="11" t="s">
        <v>108</v>
      </c>
      <c r="AE145" s="11"/>
      <c r="AF145" s="11" t="s">
        <v>108</v>
      </c>
      <c r="AG145" s="11"/>
      <c r="AH145" s="11" t="s">
        <v>174</v>
      </c>
    </row>
    <row r="146" spans="1:34" x14ac:dyDescent="0.25">
      <c r="A146" s="11">
        <v>61</v>
      </c>
      <c r="B146" s="11"/>
      <c r="C146" s="11"/>
      <c r="D146" s="11"/>
      <c r="E146" s="11"/>
      <c r="F146" s="11"/>
      <c r="G146" s="11"/>
      <c r="H146" s="11">
        <v>1</v>
      </c>
      <c r="I146" s="11" t="s">
        <v>175</v>
      </c>
      <c r="J146" s="13">
        <v>0.39166666666666666</v>
      </c>
      <c r="K146" s="11" t="s">
        <v>176</v>
      </c>
      <c r="L146" s="14" t="s">
        <v>239</v>
      </c>
      <c r="M146" s="11">
        <v>33</v>
      </c>
      <c r="N146" s="11"/>
      <c r="O146" s="11">
        <v>92</v>
      </c>
      <c r="P146" s="11"/>
      <c r="Q146" s="11">
        <v>18</v>
      </c>
      <c r="R146" s="11"/>
      <c r="S146" s="11">
        <v>4</v>
      </c>
      <c r="T146" s="11"/>
      <c r="U146" s="11">
        <v>25</v>
      </c>
      <c r="W146" s="4">
        <v>35</v>
      </c>
      <c r="X146" s="11">
        <v>51</v>
      </c>
      <c r="Y146" s="11"/>
      <c r="Z146" s="11">
        <v>71</v>
      </c>
      <c r="AA146" s="11"/>
      <c r="AB146" s="11">
        <v>8</v>
      </c>
      <c r="AC146" s="11"/>
      <c r="AD146" s="11">
        <v>25</v>
      </c>
      <c r="AE146" s="11"/>
      <c r="AF146" s="11">
        <v>65</v>
      </c>
      <c r="AG146" s="11"/>
      <c r="AH146" s="11">
        <v>34</v>
      </c>
    </row>
    <row r="147" spans="1:34" x14ac:dyDescent="0.25">
      <c r="A147" s="14"/>
      <c r="B147" s="14"/>
      <c r="C147" s="14"/>
      <c r="D147" s="14"/>
      <c r="E147" s="14"/>
      <c r="F147" s="14"/>
      <c r="G147" s="14"/>
      <c r="J147" s="53">
        <v>0.44166666666666665</v>
      </c>
      <c r="M147" s="4" t="s">
        <v>74</v>
      </c>
      <c r="O147" s="4" t="s">
        <v>74</v>
      </c>
      <c r="Q147" s="4" t="s">
        <v>107</v>
      </c>
      <c r="S147" s="4" t="s">
        <v>108</v>
      </c>
      <c r="U147" s="4" t="s">
        <v>108</v>
      </c>
      <c r="W147" s="4" t="s">
        <v>174</v>
      </c>
      <c r="X147" s="4" t="s">
        <v>74</v>
      </c>
      <c r="Z147" s="4" t="s">
        <v>74</v>
      </c>
      <c r="AB147" s="4" t="s">
        <v>107</v>
      </c>
      <c r="AD147" s="4" t="s">
        <v>108</v>
      </c>
      <c r="AF147" s="4" t="s">
        <v>108</v>
      </c>
      <c r="AH147" s="4" t="s">
        <v>174</v>
      </c>
    </row>
    <row r="148" spans="1:34" ht="18.75" x14ac:dyDescent="0.3">
      <c r="A148" s="15">
        <v>62</v>
      </c>
      <c r="B148" s="15"/>
      <c r="C148" s="15"/>
      <c r="D148" s="16"/>
      <c r="E148" s="15"/>
      <c r="F148" s="15"/>
      <c r="G148" s="15"/>
      <c r="H148" s="4">
        <v>1</v>
      </c>
      <c r="I148" s="4" t="s">
        <v>175</v>
      </c>
      <c r="J148" s="53">
        <v>0.39930555555555558</v>
      </c>
      <c r="K148" s="4" t="s">
        <v>180</v>
      </c>
      <c r="L148" s="4" t="s">
        <v>240</v>
      </c>
      <c r="M148" s="4">
        <v>33</v>
      </c>
      <c r="O148" s="4">
        <v>92</v>
      </c>
      <c r="Q148" s="4">
        <v>18</v>
      </c>
      <c r="S148" s="4">
        <v>4</v>
      </c>
      <c r="U148" s="4">
        <v>25</v>
      </c>
      <c r="W148" s="4">
        <v>35</v>
      </c>
      <c r="X148" s="4">
        <v>51</v>
      </c>
      <c r="Z148" s="4">
        <v>71</v>
      </c>
      <c r="AB148" s="4">
        <v>8</v>
      </c>
      <c r="AD148" s="4">
        <v>25</v>
      </c>
      <c r="AF148" s="4">
        <v>65</v>
      </c>
      <c r="AH148" s="4">
        <v>34</v>
      </c>
    </row>
    <row r="149" spans="1:34" ht="51" x14ac:dyDescent="0.75">
      <c r="A149" s="1"/>
      <c r="B149" s="17"/>
      <c r="C149" s="1"/>
      <c r="D149" s="16"/>
      <c r="E149" s="1"/>
      <c r="F149" s="17"/>
      <c r="G149" s="1"/>
      <c r="J149" s="53">
        <v>0.43402777777777773</v>
      </c>
      <c r="M149" s="4" t="s">
        <v>74</v>
      </c>
      <c r="O149" s="4" t="s">
        <v>74</v>
      </c>
      <c r="Q149" s="4" t="s">
        <v>107</v>
      </c>
      <c r="S149" s="4" t="s">
        <v>108</v>
      </c>
      <c r="U149" s="4" t="s">
        <v>108</v>
      </c>
      <c r="W149" s="4" t="s">
        <v>174</v>
      </c>
      <c r="X149" s="4" t="s">
        <v>74</v>
      </c>
      <c r="Z149" s="4" t="s">
        <v>74</v>
      </c>
      <c r="AB149" s="4" t="s">
        <v>107</v>
      </c>
      <c r="AD149" s="4" t="s">
        <v>108</v>
      </c>
      <c r="AF149" s="4" t="s">
        <v>108</v>
      </c>
      <c r="AH149" s="4" t="s">
        <v>174</v>
      </c>
    </row>
    <row r="150" spans="1:34" x14ac:dyDescent="0.25">
      <c r="A150" s="18">
        <v>63</v>
      </c>
      <c r="B150" s="18"/>
      <c r="C150" s="18"/>
      <c r="D150" s="18"/>
      <c r="E150" s="18"/>
      <c r="F150" s="18"/>
      <c r="G150" s="18"/>
      <c r="H150" s="4">
        <v>1</v>
      </c>
      <c r="I150" s="4" t="s">
        <v>175</v>
      </c>
      <c r="J150" s="53">
        <v>0.42152777777777778</v>
      </c>
      <c r="K150" s="4" t="s">
        <v>180</v>
      </c>
      <c r="L150" s="4" t="s">
        <v>241</v>
      </c>
      <c r="M150" s="4">
        <v>63</v>
      </c>
      <c r="O150" s="4">
        <v>9</v>
      </c>
      <c r="Q150" s="4">
        <v>18</v>
      </c>
      <c r="S150" s="4">
        <v>59</v>
      </c>
      <c r="U150" s="4">
        <v>76</v>
      </c>
      <c r="W150" s="4">
        <v>35</v>
      </c>
      <c r="X150" s="4">
        <v>15</v>
      </c>
      <c r="Z150" s="4">
        <v>21</v>
      </c>
      <c r="AB150" s="4">
        <v>40</v>
      </c>
      <c r="AD150" s="4">
        <v>52</v>
      </c>
      <c r="AF150" s="4">
        <v>53</v>
      </c>
      <c r="AH150" s="4">
        <v>34</v>
      </c>
    </row>
    <row r="151" spans="1:34" x14ac:dyDescent="0.25">
      <c r="A151" s="18"/>
      <c r="B151" s="18"/>
      <c r="C151" s="18"/>
      <c r="D151" s="18"/>
      <c r="E151" s="18"/>
      <c r="F151" s="18"/>
      <c r="G151" s="18"/>
      <c r="J151" s="53">
        <v>0.41180555555555554</v>
      </c>
      <c r="M151" s="4" t="s">
        <v>74</v>
      </c>
      <c r="O151" s="4" t="s">
        <v>107</v>
      </c>
      <c r="Q151" s="4" t="s">
        <v>107</v>
      </c>
      <c r="S151" s="4" t="s">
        <v>108</v>
      </c>
      <c r="U151" s="4" t="s">
        <v>108</v>
      </c>
      <c r="W151" s="4" t="s">
        <v>174</v>
      </c>
      <c r="X151" s="4" t="s">
        <v>74</v>
      </c>
      <c r="Z151" s="4" t="s">
        <v>74</v>
      </c>
      <c r="AB151" s="4" t="s">
        <v>107</v>
      </c>
      <c r="AD151" s="4" t="s">
        <v>108</v>
      </c>
      <c r="AF151" s="4" t="s">
        <v>108</v>
      </c>
      <c r="AH151" s="4" t="s">
        <v>174</v>
      </c>
    </row>
    <row r="152" spans="1:34" x14ac:dyDescent="0.25">
      <c r="A152" s="19">
        <v>64</v>
      </c>
      <c r="B152" s="19"/>
      <c r="C152" s="19"/>
      <c r="D152" s="18"/>
      <c r="E152" s="19"/>
      <c r="F152" s="19"/>
      <c r="G152" s="19"/>
      <c r="H152" s="4">
        <v>1</v>
      </c>
      <c r="I152" s="4" t="s">
        <v>175</v>
      </c>
      <c r="J152" s="53">
        <v>0.43055555555555558</v>
      </c>
      <c r="K152" s="4" t="s">
        <v>180</v>
      </c>
      <c r="L152" s="4" t="s">
        <v>242</v>
      </c>
      <c r="M152" s="4">
        <v>63</v>
      </c>
      <c r="O152" s="4">
        <v>9</v>
      </c>
      <c r="Q152" s="4">
        <v>18</v>
      </c>
      <c r="S152" s="4">
        <v>59</v>
      </c>
      <c r="U152" s="4">
        <v>76</v>
      </c>
      <c r="W152" s="4">
        <v>35</v>
      </c>
      <c r="X152" s="4">
        <v>15</v>
      </c>
      <c r="Z152" s="4">
        <v>21</v>
      </c>
      <c r="AB152" s="4">
        <v>40</v>
      </c>
      <c r="AD152" s="4">
        <v>52</v>
      </c>
      <c r="AF152" s="4">
        <v>53</v>
      </c>
      <c r="AH152" s="4">
        <v>34</v>
      </c>
    </row>
    <row r="153" spans="1:34" x14ac:dyDescent="0.25">
      <c r="A153" s="19"/>
      <c r="B153" s="19"/>
      <c r="C153" s="19"/>
      <c r="D153" s="18"/>
      <c r="E153" s="19"/>
      <c r="F153" s="19"/>
      <c r="G153" s="19"/>
      <c r="J153" s="53">
        <v>0.40277777777777773</v>
      </c>
      <c r="M153" s="4" t="s">
        <v>74</v>
      </c>
      <c r="O153" s="4" t="s">
        <v>107</v>
      </c>
      <c r="Q153" s="4" t="s">
        <v>107</v>
      </c>
      <c r="S153" s="4" t="s">
        <v>108</v>
      </c>
      <c r="U153" s="4" t="s">
        <v>108</v>
      </c>
      <c r="W153" s="4" t="s">
        <v>174</v>
      </c>
      <c r="X153" s="4" t="s">
        <v>74</v>
      </c>
      <c r="Z153" s="4" t="s">
        <v>74</v>
      </c>
      <c r="AB153" s="4" t="s">
        <v>107</v>
      </c>
      <c r="AD153" s="4" t="s">
        <v>108</v>
      </c>
      <c r="AF153" s="4" t="s">
        <v>108</v>
      </c>
      <c r="AH153" s="4" t="s">
        <v>174</v>
      </c>
    </row>
    <row r="154" spans="1:34" x14ac:dyDescent="0.25">
      <c r="A154" s="19">
        <v>65</v>
      </c>
      <c r="B154" s="19"/>
      <c r="C154" s="19"/>
      <c r="D154" s="18"/>
      <c r="E154" s="19"/>
      <c r="F154" s="19"/>
      <c r="G154" s="19"/>
      <c r="H154" s="4">
        <v>1</v>
      </c>
      <c r="I154" s="4" t="s">
        <v>175</v>
      </c>
      <c r="J154" s="53">
        <v>0.43541666666666662</v>
      </c>
      <c r="K154" s="4" t="s">
        <v>178</v>
      </c>
      <c r="L154" s="4" t="s">
        <v>243</v>
      </c>
      <c r="M154" s="4">
        <v>63</v>
      </c>
      <c r="O154" s="4">
        <v>9</v>
      </c>
      <c r="Q154" s="4">
        <v>18</v>
      </c>
      <c r="S154" s="4">
        <v>59</v>
      </c>
      <c r="U154" s="4">
        <v>76</v>
      </c>
      <c r="W154" s="4">
        <v>35</v>
      </c>
      <c r="X154" s="4">
        <v>15</v>
      </c>
      <c r="Z154" s="4">
        <v>21</v>
      </c>
      <c r="AB154" s="4">
        <v>40</v>
      </c>
      <c r="AD154" s="4">
        <v>52</v>
      </c>
      <c r="AF154" s="4">
        <v>53</v>
      </c>
      <c r="AH154" s="4">
        <v>34</v>
      </c>
    </row>
    <row r="155" spans="1:34" x14ac:dyDescent="0.25">
      <c r="A155" s="19"/>
      <c r="B155" s="19"/>
      <c r="C155" s="19"/>
      <c r="D155" s="18"/>
      <c r="E155" s="19"/>
      <c r="F155" s="19"/>
      <c r="G155" s="19"/>
      <c r="J155" s="53">
        <v>0.3979166666666667</v>
      </c>
      <c r="M155" s="4" t="s">
        <v>74</v>
      </c>
      <c r="O155" s="4" t="s">
        <v>107</v>
      </c>
      <c r="Q155" s="4" t="s">
        <v>107</v>
      </c>
      <c r="S155" s="4" t="s">
        <v>108</v>
      </c>
      <c r="U155" s="4" t="s">
        <v>108</v>
      </c>
      <c r="W155" s="4" t="s">
        <v>174</v>
      </c>
      <c r="X155" s="4" t="s">
        <v>74</v>
      </c>
      <c r="Z155" s="4" t="s">
        <v>74</v>
      </c>
      <c r="AB155" s="4" t="s">
        <v>107</v>
      </c>
      <c r="AD155" s="4" t="s">
        <v>108</v>
      </c>
      <c r="AF155" s="4" t="s">
        <v>108</v>
      </c>
      <c r="AH155" s="4" t="s">
        <v>174</v>
      </c>
    </row>
    <row r="156" spans="1:34" x14ac:dyDescent="0.25">
      <c r="A156" s="14" t="s">
        <v>211</v>
      </c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</row>
    <row r="157" spans="1:34" x14ac:dyDescent="0.25">
      <c r="A157" s="11" t="s">
        <v>151</v>
      </c>
      <c r="B157" s="11"/>
      <c r="C157" s="11"/>
      <c r="D157" s="11" t="s">
        <v>154</v>
      </c>
      <c r="E157" s="11" t="s">
        <v>160</v>
      </c>
      <c r="F157" s="11"/>
      <c r="G157" s="11"/>
      <c r="H157" s="11"/>
      <c r="I157" s="11"/>
      <c r="J157" s="11"/>
      <c r="K157" s="11"/>
      <c r="L157" s="12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</row>
    <row r="158" spans="1:34" x14ac:dyDescent="0.25">
      <c r="A158" s="11" t="s">
        <v>152</v>
      </c>
      <c r="B158" s="11">
        <v>3</v>
      </c>
      <c r="C158" s="11"/>
      <c r="D158" s="11"/>
      <c r="E158" s="11"/>
      <c r="F158" s="11">
        <v>5</v>
      </c>
      <c r="G158" s="11" t="s">
        <v>161</v>
      </c>
      <c r="H158" s="11"/>
      <c r="I158" s="11"/>
      <c r="J158" s="11"/>
      <c r="K158" s="11"/>
      <c r="L158" s="12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</row>
    <row r="159" spans="1:34" x14ac:dyDescent="0.25">
      <c r="A159" s="11" t="s">
        <v>152</v>
      </c>
      <c r="B159" s="11"/>
      <c r="C159" s="11"/>
      <c r="D159" s="11"/>
      <c r="E159" s="11" t="s">
        <v>161</v>
      </c>
      <c r="F159" s="11"/>
      <c r="G159" s="11"/>
      <c r="H159" s="11"/>
      <c r="I159" s="11"/>
      <c r="J159" s="11"/>
      <c r="K159" s="11"/>
      <c r="L159" s="12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</row>
    <row r="160" spans="1:34" x14ac:dyDescent="0.25">
      <c r="A160" s="11" t="s">
        <v>153</v>
      </c>
      <c r="B160" s="11"/>
      <c r="C160" s="11"/>
      <c r="D160" s="11" t="s">
        <v>155</v>
      </c>
      <c r="E160" s="11" t="s">
        <v>162</v>
      </c>
      <c r="F160" s="11"/>
      <c r="G160" s="11"/>
      <c r="H160" s="11"/>
      <c r="I160" s="11"/>
      <c r="J160" s="13"/>
      <c r="K160" s="11"/>
      <c r="L160" s="14"/>
      <c r="M160" s="11"/>
      <c r="N160" s="11"/>
      <c r="O160" s="11"/>
      <c r="P160" s="11"/>
      <c r="Q160" s="11"/>
      <c r="R160" s="11"/>
      <c r="S160" s="11"/>
      <c r="T160" s="11"/>
      <c r="U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</row>
    <row r="161" spans="1:34" x14ac:dyDescent="0.25">
      <c r="A161" s="11"/>
      <c r="B161" s="11"/>
      <c r="C161" s="11"/>
      <c r="D161" s="11" t="s">
        <v>156</v>
      </c>
      <c r="E161" s="11"/>
      <c r="F161" s="11"/>
      <c r="G161" s="11"/>
      <c r="H161" s="11"/>
      <c r="I161" s="11"/>
      <c r="J161" s="13"/>
      <c r="K161" s="11"/>
      <c r="L161" s="14"/>
      <c r="M161" s="11"/>
      <c r="N161" s="11"/>
      <c r="O161" s="11"/>
      <c r="P161" s="11"/>
      <c r="Q161" s="11"/>
      <c r="R161" s="11"/>
      <c r="S161" s="11"/>
      <c r="T161" s="11"/>
      <c r="U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</row>
    <row r="162" spans="1:34" x14ac:dyDescent="0.25">
      <c r="A162" s="11"/>
      <c r="B162" s="11"/>
      <c r="C162" s="11"/>
      <c r="D162" s="11" t="s">
        <v>157</v>
      </c>
      <c r="E162" s="11"/>
      <c r="F162" s="11"/>
      <c r="G162" s="11"/>
      <c r="H162" s="11"/>
      <c r="I162" s="11"/>
      <c r="J162" s="13"/>
      <c r="K162" s="11"/>
      <c r="L162" s="14"/>
      <c r="M162" s="11"/>
      <c r="N162" s="11"/>
      <c r="O162" s="11"/>
      <c r="P162" s="11"/>
      <c r="Q162" s="11"/>
      <c r="R162" s="11"/>
      <c r="S162" s="11"/>
      <c r="T162" s="11"/>
      <c r="U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</row>
    <row r="163" spans="1:34" x14ac:dyDescent="0.25">
      <c r="A163" s="11"/>
      <c r="B163" s="11"/>
      <c r="C163" s="11"/>
      <c r="D163" s="11" t="s">
        <v>158</v>
      </c>
      <c r="E163" s="11"/>
      <c r="F163" s="11"/>
      <c r="G163" s="11"/>
      <c r="H163" s="11"/>
      <c r="I163" s="11"/>
      <c r="J163" s="13"/>
      <c r="K163" s="11"/>
      <c r="L163" s="14"/>
      <c r="M163" s="11"/>
      <c r="N163" s="11"/>
      <c r="O163" s="11"/>
      <c r="P163" s="11"/>
      <c r="Q163" s="11"/>
      <c r="R163" s="11"/>
      <c r="S163" s="11"/>
      <c r="T163" s="11"/>
      <c r="U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</row>
    <row r="164" spans="1:34" x14ac:dyDescent="0.25">
      <c r="A164" s="11"/>
      <c r="B164" s="11"/>
      <c r="C164" s="11"/>
      <c r="D164" s="11" t="s">
        <v>159</v>
      </c>
      <c r="E164" s="11"/>
      <c r="F164" s="11"/>
      <c r="G164" s="11"/>
      <c r="H164" s="11"/>
      <c r="I164" s="11"/>
      <c r="J164" s="13"/>
      <c r="K164" s="11"/>
      <c r="L164" s="14"/>
      <c r="M164" s="11"/>
      <c r="N164" s="11"/>
      <c r="O164" s="11"/>
      <c r="P164" s="11"/>
      <c r="Q164" s="11"/>
      <c r="R164" s="11"/>
      <c r="S164" s="11"/>
      <c r="T164" s="11"/>
      <c r="U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</row>
    <row r="165" spans="1:34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3"/>
      <c r="K165" s="11"/>
      <c r="L165" s="14"/>
      <c r="M165" s="11"/>
      <c r="N165" s="11"/>
      <c r="O165" s="11"/>
      <c r="P165" s="11"/>
      <c r="Q165" s="11"/>
      <c r="R165" s="11"/>
      <c r="S165" s="11"/>
      <c r="T165" s="11"/>
      <c r="U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</row>
    <row r="166" spans="1:34" x14ac:dyDescent="0.25">
      <c r="A166" s="11" t="s">
        <v>163</v>
      </c>
      <c r="B166" s="11"/>
      <c r="C166" s="11"/>
      <c r="D166" s="11"/>
      <c r="E166" s="11"/>
      <c r="F166" s="11"/>
      <c r="G166" s="11"/>
      <c r="H166" s="11" t="s">
        <v>164</v>
      </c>
      <c r="I166" s="11" t="s">
        <v>165</v>
      </c>
      <c r="J166" s="13" t="s">
        <v>166</v>
      </c>
      <c r="K166" s="11" t="s">
        <v>168</v>
      </c>
      <c r="L166" s="14" t="s">
        <v>169</v>
      </c>
      <c r="M166" s="11" t="s">
        <v>170</v>
      </c>
      <c r="N166" s="11"/>
      <c r="O166" s="11"/>
      <c r="P166" s="11"/>
      <c r="Q166" s="11"/>
      <c r="R166" s="11"/>
      <c r="S166" s="11"/>
      <c r="T166" s="11"/>
      <c r="U166" s="11"/>
      <c r="X166" s="11" t="s">
        <v>171</v>
      </c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</row>
    <row r="167" spans="1:34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3" t="s">
        <v>167</v>
      </c>
      <c r="K167" s="11"/>
      <c r="L167" s="14"/>
      <c r="M167" s="11"/>
      <c r="N167" s="11"/>
      <c r="O167" s="11"/>
      <c r="P167" s="11"/>
      <c r="Q167" s="11"/>
      <c r="R167" s="11"/>
      <c r="S167" s="11"/>
      <c r="T167" s="11"/>
      <c r="U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</row>
    <row r="168" spans="1:34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3" t="s">
        <v>43</v>
      </c>
      <c r="K168" s="11"/>
      <c r="L168" s="14"/>
      <c r="M168" s="11"/>
      <c r="N168" s="11"/>
      <c r="O168" s="11"/>
      <c r="P168" s="11"/>
      <c r="Q168" s="11"/>
      <c r="R168" s="11"/>
      <c r="S168" s="11"/>
      <c r="T168" s="11"/>
      <c r="U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</row>
    <row r="169" spans="1:34" x14ac:dyDescent="0.25">
      <c r="A169" s="11">
        <v>66</v>
      </c>
      <c r="B169" s="11"/>
      <c r="C169" s="11"/>
      <c r="D169" s="11"/>
      <c r="E169" s="11"/>
      <c r="F169" s="11"/>
      <c r="G169" s="11"/>
      <c r="H169" s="11">
        <v>1</v>
      </c>
      <c r="I169" s="11" t="s">
        <v>175</v>
      </c>
      <c r="J169" s="13">
        <v>0.46875</v>
      </c>
      <c r="K169" s="11" t="s">
        <v>186</v>
      </c>
      <c r="L169" s="14" t="s">
        <v>244</v>
      </c>
      <c r="M169" s="11">
        <v>10</v>
      </c>
      <c r="N169" s="11"/>
      <c r="O169" s="11">
        <v>16</v>
      </c>
      <c r="P169" s="11"/>
      <c r="Q169" s="11">
        <v>56</v>
      </c>
      <c r="R169" s="11"/>
      <c r="S169" s="11">
        <v>7</v>
      </c>
      <c r="T169" s="11"/>
      <c r="U169" s="11">
        <v>25</v>
      </c>
      <c r="W169" s="4">
        <v>35</v>
      </c>
      <c r="X169" s="11">
        <v>14</v>
      </c>
      <c r="Y169" s="11"/>
      <c r="Z169" s="11">
        <v>43</v>
      </c>
      <c r="AA169" s="11"/>
      <c r="AB169" s="11">
        <v>62</v>
      </c>
      <c r="AC169" s="11"/>
      <c r="AD169" s="11">
        <v>2</v>
      </c>
      <c r="AE169" s="11"/>
      <c r="AF169" s="11">
        <v>53</v>
      </c>
      <c r="AG169" s="11"/>
      <c r="AH169" s="11">
        <v>34</v>
      </c>
    </row>
    <row r="170" spans="1:34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3">
        <v>0.36458333333333331</v>
      </c>
      <c r="K170" s="11"/>
      <c r="L170" s="14"/>
      <c r="M170" s="11" t="s">
        <v>74</v>
      </c>
      <c r="N170" s="11"/>
      <c r="O170" s="11" t="s">
        <v>74</v>
      </c>
      <c r="P170" s="11"/>
      <c r="Q170" s="11" t="s">
        <v>107</v>
      </c>
      <c r="R170" s="11"/>
      <c r="S170" s="11" t="s">
        <v>108</v>
      </c>
      <c r="T170" s="11"/>
      <c r="U170" s="11" t="s">
        <v>108</v>
      </c>
      <c r="W170" s="4" t="s">
        <v>174</v>
      </c>
      <c r="X170" s="11" t="s">
        <v>74</v>
      </c>
      <c r="Y170" s="11"/>
      <c r="Z170" s="11" t="s">
        <v>74</v>
      </c>
      <c r="AA170" s="11"/>
      <c r="AB170" s="11" t="s">
        <v>107</v>
      </c>
      <c r="AC170" s="11"/>
      <c r="AD170" s="11" t="s">
        <v>108</v>
      </c>
      <c r="AE170" s="11"/>
      <c r="AF170" s="11" t="s">
        <v>108</v>
      </c>
      <c r="AG170" s="11"/>
      <c r="AH170" s="11" t="s">
        <v>174</v>
      </c>
    </row>
    <row r="171" spans="1:34" x14ac:dyDescent="0.25">
      <c r="A171" s="11">
        <v>67</v>
      </c>
      <c r="B171" s="11"/>
      <c r="C171" s="11"/>
      <c r="D171" s="11"/>
      <c r="E171" s="11"/>
      <c r="F171" s="11"/>
      <c r="G171" s="11"/>
      <c r="H171" s="11">
        <v>1</v>
      </c>
      <c r="I171" s="11" t="s">
        <v>175</v>
      </c>
      <c r="J171" s="13">
        <v>0.47361111111111115</v>
      </c>
      <c r="K171" s="11" t="s">
        <v>231</v>
      </c>
      <c r="L171" s="14" t="s">
        <v>245</v>
      </c>
      <c r="M171" s="11">
        <v>10</v>
      </c>
      <c r="N171" s="11"/>
      <c r="O171" s="11">
        <v>16</v>
      </c>
      <c r="P171" s="11"/>
      <c r="Q171" s="11">
        <v>56</v>
      </c>
      <c r="R171" s="11"/>
      <c r="S171" s="11">
        <v>7</v>
      </c>
      <c r="T171" s="11"/>
      <c r="U171" s="11">
        <v>25</v>
      </c>
      <c r="W171" s="4">
        <v>35</v>
      </c>
      <c r="X171" s="11">
        <v>14</v>
      </c>
      <c r="Y171" s="11"/>
      <c r="Z171" s="11">
        <v>43</v>
      </c>
      <c r="AA171" s="11"/>
      <c r="AB171" s="11">
        <v>62</v>
      </c>
      <c r="AC171" s="11"/>
      <c r="AD171" s="11">
        <v>52</v>
      </c>
      <c r="AE171" s="11"/>
      <c r="AF171" s="11">
        <v>53</v>
      </c>
      <c r="AG171" s="11"/>
      <c r="AH171" s="11">
        <v>34</v>
      </c>
    </row>
    <row r="172" spans="1:34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3">
        <v>0.35972222222222222</v>
      </c>
      <c r="K172" s="11"/>
      <c r="L172" s="14"/>
      <c r="M172" s="11" t="s">
        <v>74</v>
      </c>
      <c r="N172" s="11"/>
      <c r="O172" s="11" t="s">
        <v>74</v>
      </c>
      <c r="P172" s="11"/>
      <c r="Q172" s="11" t="s">
        <v>107</v>
      </c>
      <c r="R172" s="11"/>
      <c r="S172" s="11" t="s">
        <v>108</v>
      </c>
      <c r="T172" s="11"/>
      <c r="U172" s="11" t="s">
        <v>108</v>
      </c>
      <c r="W172" s="4" t="s">
        <v>174</v>
      </c>
      <c r="X172" s="11" t="s">
        <v>74</v>
      </c>
      <c r="Y172" s="11"/>
      <c r="Z172" s="11" t="s">
        <v>74</v>
      </c>
      <c r="AA172" s="11"/>
      <c r="AB172" s="11" t="s">
        <v>107</v>
      </c>
      <c r="AC172" s="11"/>
      <c r="AD172" s="11" t="s">
        <v>108</v>
      </c>
      <c r="AE172" s="11"/>
      <c r="AF172" s="11" t="s">
        <v>108</v>
      </c>
      <c r="AG172" s="11"/>
      <c r="AH172" s="11" t="s">
        <v>174</v>
      </c>
    </row>
    <row r="173" spans="1:34" x14ac:dyDescent="0.25">
      <c r="A173" s="11">
        <v>68</v>
      </c>
      <c r="B173" s="11"/>
      <c r="C173" s="11"/>
      <c r="D173" s="11"/>
      <c r="E173" s="11"/>
      <c r="F173" s="11"/>
      <c r="G173" s="11"/>
      <c r="H173" s="11">
        <v>1</v>
      </c>
      <c r="I173" s="11" t="s">
        <v>175</v>
      </c>
      <c r="J173" s="13">
        <v>0.48541666666666666</v>
      </c>
      <c r="K173" s="11" t="s">
        <v>188</v>
      </c>
      <c r="L173" s="14" t="s">
        <v>246</v>
      </c>
      <c r="M173" s="11">
        <v>12</v>
      </c>
      <c r="N173" s="11"/>
      <c r="O173" s="11">
        <v>33</v>
      </c>
      <c r="P173" s="11"/>
      <c r="Q173" s="11">
        <v>38</v>
      </c>
      <c r="R173" s="11"/>
      <c r="S173" s="11">
        <v>7</v>
      </c>
      <c r="T173" s="11"/>
      <c r="U173" s="11">
        <v>25</v>
      </c>
      <c r="W173" s="4">
        <v>35</v>
      </c>
      <c r="X173" s="11">
        <v>14</v>
      </c>
      <c r="Y173" s="11"/>
      <c r="Z173" s="11">
        <v>41</v>
      </c>
      <c r="AA173" s="11"/>
      <c r="AB173" s="11">
        <v>20</v>
      </c>
      <c r="AC173" s="11"/>
      <c r="AD173" s="11">
        <v>25</v>
      </c>
      <c r="AE173" s="11"/>
      <c r="AF173" s="11">
        <v>52</v>
      </c>
      <c r="AG173" s="11"/>
      <c r="AH173" s="11">
        <v>34</v>
      </c>
    </row>
    <row r="174" spans="1:34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3">
        <v>0.34791666666666665</v>
      </c>
      <c r="K174" s="11"/>
      <c r="L174" s="14"/>
      <c r="M174" s="11" t="s">
        <v>74</v>
      </c>
      <c r="N174" s="11"/>
      <c r="O174" s="11" t="s">
        <v>74</v>
      </c>
      <c r="P174" s="11"/>
      <c r="Q174" s="11" t="s">
        <v>107</v>
      </c>
      <c r="R174" s="11"/>
      <c r="S174" s="11" t="s">
        <v>108</v>
      </c>
      <c r="T174" s="11"/>
      <c r="U174" s="11" t="s">
        <v>108</v>
      </c>
      <c r="W174" s="4" t="s">
        <v>174</v>
      </c>
      <c r="X174" s="11" t="s">
        <v>74</v>
      </c>
      <c r="Y174" s="11"/>
      <c r="Z174" s="11" t="s">
        <v>74</v>
      </c>
      <c r="AA174" s="11"/>
      <c r="AB174" s="11" t="s">
        <v>107</v>
      </c>
      <c r="AC174" s="11"/>
      <c r="AD174" s="11" t="s">
        <v>108</v>
      </c>
      <c r="AE174" s="11"/>
      <c r="AF174" s="11" t="s">
        <v>108</v>
      </c>
      <c r="AG174" s="11"/>
      <c r="AH174" s="11" t="s">
        <v>174</v>
      </c>
    </row>
    <row r="175" spans="1:34" x14ac:dyDescent="0.25">
      <c r="A175" s="11">
        <v>69</v>
      </c>
      <c r="B175" s="11"/>
      <c r="C175" s="11"/>
      <c r="D175" s="11"/>
      <c r="E175" s="11"/>
      <c r="F175" s="11"/>
      <c r="G175" s="11"/>
      <c r="H175" s="11">
        <v>1</v>
      </c>
      <c r="I175" s="11" t="s">
        <v>175</v>
      </c>
      <c r="J175" s="13">
        <v>0.4861111111111111</v>
      </c>
      <c r="K175" s="11" t="s">
        <v>178</v>
      </c>
      <c r="L175" s="14" t="s">
        <v>247</v>
      </c>
      <c r="M175" s="11">
        <v>12</v>
      </c>
      <c r="N175" s="11"/>
      <c r="O175" s="11">
        <v>33</v>
      </c>
      <c r="P175" s="11"/>
      <c r="Q175" s="11">
        <v>38</v>
      </c>
      <c r="R175" s="11"/>
      <c r="S175" s="11">
        <v>7</v>
      </c>
      <c r="T175" s="11"/>
      <c r="U175" s="11">
        <v>25</v>
      </c>
      <c r="W175" s="4">
        <v>35</v>
      </c>
      <c r="X175" s="11">
        <v>14</v>
      </c>
      <c r="Y175" s="11"/>
      <c r="Z175" s="11">
        <v>41</v>
      </c>
      <c r="AA175" s="11"/>
      <c r="AB175" s="11">
        <v>20</v>
      </c>
      <c r="AC175" s="11"/>
      <c r="AD175" s="11">
        <v>25</v>
      </c>
      <c r="AE175" s="11"/>
      <c r="AF175" s="11">
        <v>52</v>
      </c>
      <c r="AG175" s="11"/>
      <c r="AH175" s="11">
        <v>34</v>
      </c>
    </row>
    <row r="176" spans="1:34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3">
        <v>0.34722222222222227</v>
      </c>
      <c r="K176" s="11"/>
      <c r="L176" s="14"/>
      <c r="M176" s="11" t="s">
        <v>74</v>
      </c>
      <c r="N176" s="11"/>
      <c r="O176" s="11" t="s">
        <v>74</v>
      </c>
      <c r="P176" s="11"/>
      <c r="Q176" s="11" t="s">
        <v>107</v>
      </c>
      <c r="R176" s="11"/>
      <c r="S176" s="11" t="s">
        <v>108</v>
      </c>
      <c r="T176" s="11"/>
      <c r="U176" s="11" t="s">
        <v>108</v>
      </c>
      <c r="W176" s="4" t="s">
        <v>174</v>
      </c>
      <c r="X176" s="11" t="s">
        <v>74</v>
      </c>
      <c r="Y176" s="11"/>
      <c r="Z176" s="11" t="s">
        <v>74</v>
      </c>
      <c r="AA176" s="11"/>
      <c r="AB176" s="11" t="s">
        <v>107</v>
      </c>
      <c r="AC176" s="11"/>
      <c r="AD176" s="11" t="s">
        <v>108</v>
      </c>
      <c r="AE176" s="11"/>
      <c r="AF176" s="11" t="s">
        <v>108</v>
      </c>
      <c r="AG176" s="11"/>
      <c r="AH176" s="11" t="s">
        <v>174</v>
      </c>
    </row>
    <row r="177" spans="1:34" x14ac:dyDescent="0.25">
      <c r="A177" s="11">
        <v>70</v>
      </c>
      <c r="B177" s="11"/>
      <c r="C177" s="11"/>
      <c r="D177" s="11"/>
      <c r="E177" s="11"/>
      <c r="F177" s="11"/>
      <c r="G177" s="11"/>
      <c r="H177" s="11">
        <v>1</v>
      </c>
      <c r="I177" s="11" t="s">
        <v>175</v>
      </c>
      <c r="J177" s="13">
        <v>0.50624999999999998</v>
      </c>
      <c r="K177" s="11" t="s">
        <v>178</v>
      </c>
      <c r="L177" s="14" t="s">
        <v>248</v>
      </c>
      <c r="M177" s="11">
        <v>19</v>
      </c>
      <c r="N177" s="11"/>
      <c r="O177" s="11">
        <v>92</v>
      </c>
      <c r="P177" s="11"/>
      <c r="Q177" s="11">
        <v>38</v>
      </c>
      <c r="R177" s="11"/>
      <c r="S177" s="11">
        <v>4</v>
      </c>
      <c r="T177" s="11"/>
      <c r="U177" s="11">
        <v>14</v>
      </c>
      <c r="W177" s="4">
        <v>35</v>
      </c>
      <c r="X177" s="11">
        <v>29</v>
      </c>
      <c r="Y177" s="11"/>
      <c r="Z177" s="11">
        <v>41</v>
      </c>
      <c r="AA177" s="11"/>
      <c r="AB177" s="11">
        <v>20</v>
      </c>
      <c r="AC177" s="11"/>
      <c r="AD177" s="11">
        <v>25</v>
      </c>
      <c r="AE177" s="11"/>
      <c r="AF177" s="11">
        <v>65</v>
      </c>
      <c r="AG177" s="11"/>
      <c r="AH177" s="11">
        <v>34</v>
      </c>
    </row>
    <row r="178" spans="1:34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3">
        <v>0.32708333333333334</v>
      </c>
      <c r="K178" s="11"/>
      <c r="L178" s="14"/>
      <c r="M178" s="11" t="s">
        <v>74</v>
      </c>
      <c r="N178" s="11"/>
      <c r="O178" s="11" t="s">
        <v>74</v>
      </c>
      <c r="P178" s="11"/>
      <c r="Q178" s="11" t="s">
        <v>107</v>
      </c>
      <c r="R178" s="11"/>
      <c r="S178" s="11" t="s">
        <v>108</v>
      </c>
      <c r="T178" s="11"/>
      <c r="U178" s="11" t="s">
        <v>108</v>
      </c>
      <c r="W178" s="4" t="s">
        <v>174</v>
      </c>
      <c r="X178" s="11" t="s">
        <v>74</v>
      </c>
      <c r="Y178" s="11"/>
      <c r="Z178" s="11" t="s">
        <v>74</v>
      </c>
      <c r="AA178" s="11"/>
      <c r="AB178" s="11" t="s">
        <v>107</v>
      </c>
      <c r="AC178" s="11"/>
      <c r="AD178" s="11" t="s">
        <v>108</v>
      </c>
      <c r="AE178" s="11"/>
      <c r="AF178" s="11" t="s">
        <v>108</v>
      </c>
      <c r="AG178" s="11"/>
      <c r="AH178" s="11" t="s">
        <v>174</v>
      </c>
    </row>
    <row r="179" spans="1:34" x14ac:dyDescent="0.25">
      <c r="A179" s="11">
        <v>71</v>
      </c>
      <c r="B179" s="11"/>
      <c r="C179" s="11"/>
      <c r="D179" s="11"/>
      <c r="E179" s="11"/>
      <c r="F179" s="11"/>
      <c r="G179" s="11"/>
      <c r="H179" s="11">
        <v>1</v>
      </c>
      <c r="I179" s="11" t="s">
        <v>175</v>
      </c>
      <c r="J179" s="13">
        <v>0.52013888888888882</v>
      </c>
      <c r="K179" s="11" t="s">
        <v>188</v>
      </c>
      <c r="L179" s="14" t="s">
        <v>249</v>
      </c>
      <c r="M179" s="11">
        <v>19</v>
      </c>
      <c r="N179" s="11"/>
      <c r="O179" s="11">
        <v>92</v>
      </c>
      <c r="P179" s="11"/>
      <c r="Q179" s="11">
        <v>18</v>
      </c>
      <c r="R179" s="11"/>
      <c r="S179" s="11">
        <v>4</v>
      </c>
      <c r="T179" s="11"/>
      <c r="U179" s="11">
        <v>14</v>
      </c>
      <c r="W179" s="4">
        <v>35</v>
      </c>
      <c r="X179" s="11">
        <v>29</v>
      </c>
      <c r="Y179" s="11"/>
      <c r="Z179" s="11">
        <v>51</v>
      </c>
      <c r="AA179" s="11"/>
      <c r="AB179" s="11">
        <v>8</v>
      </c>
      <c r="AC179" s="11"/>
      <c r="AD179" s="11">
        <v>25</v>
      </c>
      <c r="AE179" s="11"/>
      <c r="AF179" s="11">
        <v>52</v>
      </c>
      <c r="AG179" s="11"/>
      <c r="AH179" s="11">
        <v>34</v>
      </c>
    </row>
    <row r="180" spans="1:34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3">
        <v>0.31319444444444444</v>
      </c>
      <c r="K180" s="11"/>
      <c r="L180" s="14"/>
      <c r="M180" s="11" t="s">
        <v>74</v>
      </c>
      <c r="N180" s="11"/>
      <c r="O180" s="11" t="s">
        <v>74</v>
      </c>
      <c r="P180" s="11"/>
      <c r="Q180" s="11" t="s">
        <v>107</v>
      </c>
      <c r="R180" s="11"/>
      <c r="S180" s="11" t="s">
        <v>108</v>
      </c>
      <c r="T180" s="11"/>
      <c r="U180" s="11" t="s">
        <v>108</v>
      </c>
      <c r="W180" s="4" t="s">
        <v>174</v>
      </c>
      <c r="X180" s="11" t="s">
        <v>74</v>
      </c>
      <c r="Y180" s="11"/>
      <c r="Z180" s="11" t="s">
        <v>74</v>
      </c>
      <c r="AA180" s="11"/>
      <c r="AB180" s="11" t="s">
        <v>107</v>
      </c>
      <c r="AC180" s="11"/>
      <c r="AD180" s="11" t="s">
        <v>108</v>
      </c>
      <c r="AE180" s="11"/>
      <c r="AF180" s="11" t="s">
        <v>108</v>
      </c>
      <c r="AG180" s="11"/>
      <c r="AH180" s="11" t="s">
        <v>174</v>
      </c>
    </row>
    <row r="181" spans="1:34" x14ac:dyDescent="0.25">
      <c r="A181" s="11">
        <v>72</v>
      </c>
      <c r="B181" s="11"/>
      <c r="C181" s="11"/>
      <c r="D181" s="11"/>
      <c r="E181" s="11"/>
      <c r="F181" s="11"/>
      <c r="G181" s="11"/>
      <c r="H181" s="11">
        <v>1</v>
      </c>
      <c r="I181" s="11" t="s">
        <v>175</v>
      </c>
      <c r="J181" s="13">
        <v>0.54722222222222217</v>
      </c>
      <c r="K181" s="11" t="s">
        <v>212</v>
      </c>
      <c r="L181" s="14" t="s">
        <v>250</v>
      </c>
      <c r="M181" s="11">
        <v>15</v>
      </c>
      <c r="N181" s="11"/>
      <c r="O181" s="11">
        <v>63</v>
      </c>
      <c r="P181" s="11"/>
      <c r="Q181" s="11">
        <v>9</v>
      </c>
      <c r="R181" s="11"/>
      <c r="S181" s="11">
        <v>59</v>
      </c>
      <c r="T181" s="11"/>
      <c r="U181" s="11">
        <v>76</v>
      </c>
      <c r="W181" s="4">
        <v>35</v>
      </c>
      <c r="X181" s="11">
        <v>71</v>
      </c>
      <c r="Y181" s="11"/>
      <c r="Z181" s="11">
        <v>8</v>
      </c>
      <c r="AA181" s="11"/>
      <c r="AB181" s="11">
        <v>40</v>
      </c>
      <c r="AC181" s="11"/>
      <c r="AD181" s="11">
        <v>2</v>
      </c>
      <c r="AE181" s="11"/>
      <c r="AF181" s="11">
        <v>48</v>
      </c>
      <c r="AG181" s="11"/>
      <c r="AH181" s="11">
        <v>34</v>
      </c>
    </row>
    <row r="182" spans="1:34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3">
        <v>0.28611111111111115</v>
      </c>
      <c r="K182" s="11"/>
      <c r="L182" s="14"/>
      <c r="M182" s="11" t="s">
        <v>74</v>
      </c>
      <c r="N182" s="11"/>
      <c r="O182" s="11" t="s">
        <v>74</v>
      </c>
      <c r="P182" s="11"/>
      <c r="Q182" s="11" t="s">
        <v>107</v>
      </c>
      <c r="R182" s="11"/>
      <c r="S182" s="11" t="s">
        <v>108</v>
      </c>
      <c r="T182" s="11"/>
      <c r="U182" s="11" t="s">
        <v>108</v>
      </c>
      <c r="W182" s="4" t="s">
        <v>174</v>
      </c>
      <c r="X182" s="11" t="s">
        <v>74</v>
      </c>
      <c r="Y182" s="11"/>
      <c r="Z182" s="11" t="s">
        <v>107</v>
      </c>
      <c r="AA182" s="11"/>
      <c r="AB182" s="11" t="s">
        <v>107</v>
      </c>
      <c r="AC182" s="11"/>
      <c r="AD182" s="11" t="s">
        <v>108</v>
      </c>
      <c r="AE182" s="11"/>
      <c r="AF182" s="11" t="s">
        <v>108</v>
      </c>
      <c r="AG182" s="11"/>
      <c r="AH182" s="11" t="s">
        <v>174</v>
      </c>
    </row>
    <row r="183" spans="1:34" x14ac:dyDescent="0.25">
      <c r="A183" s="11">
        <v>73</v>
      </c>
      <c r="B183" s="11"/>
      <c r="C183" s="11"/>
      <c r="D183" s="11"/>
      <c r="E183" s="11"/>
      <c r="F183" s="11"/>
      <c r="G183" s="11"/>
      <c r="H183" s="11">
        <v>1</v>
      </c>
      <c r="I183" s="11" t="s">
        <v>175</v>
      </c>
      <c r="J183" s="13">
        <v>0.55208333333333337</v>
      </c>
      <c r="K183" s="11" t="s">
        <v>180</v>
      </c>
      <c r="L183" s="14" t="s">
        <v>251</v>
      </c>
      <c r="M183" s="11">
        <v>15</v>
      </c>
      <c r="N183" s="11"/>
      <c r="O183" s="11">
        <v>63</v>
      </c>
      <c r="P183" s="11"/>
      <c r="Q183" s="11">
        <v>9</v>
      </c>
      <c r="R183" s="11"/>
      <c r="S183" s="11">
        <v>59</v>
      </c>
      <c r="T183" s="11"/>
      <c r="U183" s="11">
        <v>76</v>
      </c>
      <c r="W183" s="4">
        <v>35</v>
      </c>
      <c r="X183" s="11">
        <v>71</v>
      </c>
      <c r="Y183" s="11"/>
      <c r="Z183" s="11">
        <v>8</v>
      </c>
      <c r="AA183" s="11"/>
      <c r="AB183" s="11">
        <v>40</v>
      </c>
      <c r="AC183" s="11"/>
      <c r="AD183" s="11">
        <v>2</v>
      </c>
      <c r="AE183" s="11"/>
      <c r="AF183" s="11">
        <v>48</v>
      </c>
      <c r="AG183" s="11"/>
      <c r="AH183" s="11">
        <v>34</v>
      </c>
    </row>
    <row r="184" spans="1:34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3">
        <v>0.28125</v>
      </c>
      <c r="K184" s="11"/>
      <c r="L184" s="14"/>
      <c r="M184" s="11" t="s">
        <v>74</v>
      </c>
      <c r="N184" s="11"/>
      <c r="O184" s="11" t="s">
        <v>74</v>
      </c>
      <c r="P184" s="11"/>
      <c r="Q184" s="11" t="s">
        <v>107</v>
      </c>
      <c r="R184" s="11"/>
      <c r="S184" s="11" t="s">
        <v>108</v>
      </c>
      <c r="T184" s="11"/>
      <c r="U184" s="11" t="s">
        <v>108</v>
      </c>
      <c r="V184" s="11"/>
      <c r="W184" s="11" t="s">
        <v>174</v>
      </c>
      <c r="X184" s="11" t="s">
        <v>74</v>
      </c>
      <c r="Y184" s="11"/>
      <c r="Z184" s="11" t="s">
        <v>107</v>
      </c>
      <c r="AA184" s="11"/>
      <c r="AB184" s="11" t="s">
        <v>107</v>
      </c>
      <c r="AC184" s="11"/>
      <c r="AD184" s="11" t="s">
        <v>108</v>
      </c>
      <c r="AE184" s="11"/>
      <c r="AF184" s="11" t="s">
        <v>108</v>
      </c>
      <c r="AG184" s="11"/>
      <c r="AH184" s="11" t="s">
        <v>174</v>
      </c>
    </row>
    <row r="185" spans="1:34" x14ac:dyDescent="0.25">
      <c r="A185" s="11">
        <v>74</v>
      </c>
      <c r="B185" s="11"/>
      <c r="C185" s="11"/>
      <c r="D185" s="11"/>
      <c r="E185" s="11"/>
      <c r="F185" s="11"/>
      <c r="G185" s="11"/>
      <c r="H185" s="11">
        <v>1</v>
      </c>
      <c r="I185" s="11" t="s">
        <v>175</v>
      </c>
      <c r="J185" s="13">
        <v>0.57291666666666663</v>
      </c>
      <c r="K185" s="11" t="s">
        <v>178</v>
      </c>
      <c r="L185" s="14" t="s">
        <v>252</v>
      </c>
      <c r="M185" s="11">
        <v>12</v>
      </c>
      <c r="N185" s="11"/>
      <c r="O185" s="11">
        <v>33</v>
      </c>
      <c r="P185" s="11"/>
      <c r="Q185" s="11">
        <v>38</v>
      </c>
      <c r="R185" s="11"/>
      <c r="S185" s="11">
        <v>7</v>
      </c>
      <c r="T185" s="11"/>
      <c r="U185" s="11">
        <v>25</v>
      </c>
      <c r="V185" s="11"/>
      <c r="W185" s="11">
        <v>35</v>
      </c>
      <c r="X185" s="11">
        <v>15</v>
      </c>
      <c r="Y185" s="11"/>
      <c r="Z185" s="11">
        <v>21</v>
      </c>
      <c r="AA185" s="11"/>
      <c r="AB185" s="11">
        <v>40</v>
      </c>
      <c r="AC185" s="11"/>
      <c r="AD185" s="11">
        <v>25</v>
      </c>
      <c r="AE185" s="11"/>
      <c r="AF185" s="11">
        <v>65</v>
      </c>
      <c r="AG185" s="11"/>
      <c r="AH185" s="11">
        <v>34</v>
      </c>
    </row>
    <row r="186" spans="1:34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3">
        <v>0.26041666666666669</v>
      </c>
      <c r="K186" s="11"/>
      <c r="L186" s="14"/>
      <c r="M186" s="11" t="s">
        <v>74</v>
      </c>
      <c r="N186" s="11"/>
      <c r="O186" s="11" t="s">
        <v>74</v>
      </c>
      <c r="P186" s="11"/>
      <c r="Q186" s="11" t="s">
        <v>107</v>
      </c>
      <c r="R186" s="11"/>
      <c r="S186" s="11" t="s">
        <v>108</v>
      </c>
      <c r="T186" s="11"/>
      <c r="U186" s="11" t="s">
        <v>108</v>
      </c>
      <c r="V186" s="11"/>
      <c r="W186" s="11" t="s">
        <v>174</v>
      </c>
      <c r="X186" s="11" t="s">
        <v>74</v>
      </c>
      <c r="Y186" s="11"/>
      <c r="Z186" s="11" t="s">
        <v>74</v>
      </c>
      <c r="AA186" s="11"/>
      <c r="AB186" s="11" t="s">
        <v>107</v>
      </c>
      <c r="AC186" s="11"/>
      <c r="AD186" s="11" t="s">
        <v>108</v>
      </c>
      <c r="AE186" s="11"/>
      <c r="AF186" s="11" t="s">
        <v>108</v>
      </c>
      <c r="AG186" s="11"/>
      <c r="AH186" s="11" t="s">
        <v>174</v>
      </c>
    </row>
    <row r="187" spans="1:34" x14ac:dyDescent="0.25">
      <c r="A187" s="11">
        <v>75</v>
      </c>
      <c r="B187" s="11"/>
      <c r="C187" s="11"/>
      <c r="D187" s="11"/>
      <c r="E187" s="11"/>
      <c r="F187" s="11"/>
      <c r="G187" s="11"/>
      <c r="H187" s="11">
        <v>1</v>
      </c>
      <c r="I187" s="11" t="s">
        <v>175</v>
      </c>
      <c r="J187" s="13">
        <v>0.57291666666666663</v>
      </c>
      <c r="K187" s="11" t="s">
        <v>180</v>
      </c>
      <c r="L187" s="14" t="s">
        <v>253</v>
      </c>
      <c r="M187" s="11">
        <v>12</v>
      </c>
      <c r="N187" s="11"/>
      <c r="O187" s="11">
        <v>33</v>
      </c>
      <c r="P187" s="11"/>
      <c r="Q187" s="11">
        <v>38</v>
      </c>
      <c r="R187" s="11"/>
      <c r="S187" s="11">
        <v>7</v>
      </c>
      <c r="T187" s="11"/>
      <c r="U187" s="11">
        <v>25</v>
      </c>
      <c r="V187" s="11"/>
      <c r="W187" s="11">
        <v>35</v>
      </c>
      <c r="X187" s="11">
        <v>15</v>
      </c>
      <c r="Y187" s="11"/>
      <c r="Z187" s="11">
        <v>21</v>
      </c>
      <c r="AA187" s="11"/>
      <c r="AB187" s="11">
        <v>40</v>
      </c>
      <c r="AC187" s="11"/>
      <c r="AD187" s="11">
        <v>25</v>
      </c>
      <c r="AE187" s="11"/>
      <c r="AF187" s="11">
        <v>65</v>
      </c>
      <c r="AG187" s="11"/>
      <c r="AH187" s="11">
        <v>34</v>
      </c>
    </row>
    <row r="188" spans="1:34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3">
        <v>0.26041666666666669</v>
      </c>
      <c r="K188" s="11"/>
      <c r="L188" s="14"/>
      <c r="M188" s="11" t="s">
        <v>74</v>
      </c>
      <c r="N188" s="11"/>
      <c r="O188" s="11" t="s">
        <v>74</v>
      </c>
      <c r="P188" s="11"/>
      <c r="Q188" s="11" t="s">
        <v>107</v>
      </c>
      <c r="R188" s="11"/>
      <c r="S188" s="11" t="s">
        <v>108</v>
      </c>
      <c r="T188" s="11"/>
      <c r="U188" s="11" t="s">
        <v>108</v>
      </c>
      <c r="V188" s="11"/>
      <c r="W188" s="11" t="s">
        <v>174</v>
      </c>
      <c r="X188" s="11" t="s">
        <v>74</v>
      </c>
      <c r="Y188" s="11"/>
      <c r="Z188" s="11" t="s">
        <v>74</v>
      </c>
      <c r="AA188" s="11"/>
      <c r="AB188" s="11" t="s">
        <v>107</v>
      </c>
      <c r="AC188" s="11"/>
      <c r="AD188" s="11" t="s">
        <v>108</v>
      </c>
      <c r="AE188" s="11"/>
      <c r="AF188" s="11" t="s">
        <v>108</v>
      </c>
      <c r="AG188" s="11"/>
      <c r="AH188" s="11" t="s">
        <v>174</v>
      </c>
    </row>
    <row r="189" spans="1:34" x14ac:dyDescent="0.25">
      <c r="A189" s="11">
        <v>76</v>
      </c>
      <c r="B189" s="11"/>
      <c r="C189" s="11"/>
      <c r="D189" s="11"/>
      <c r="E189" s="11"/>
      <c r="F189" s="11"/>
      <c r="G189" s="11"/>
      <c r="H189" s="11">
        <v>1</v>
      </c>
      <c r="I189" s="11" t="s">
        <v>175</v>
      </c>
      <c r="J189" s="13">
        <v>0.5805555555555556</v>
      </c>
      <c r="K189" s="11" t="s">
        <v>178</v>
      </c>
      <c r="L189" s="14" t="s">
        <v>254</v>
      </c>
      <c r="M189" s="11">
        <v>12</v>
      </c>
      <c r="N189" s="11"/>
      <c r="O189" s="11">
        <v>33</v>
      </c>
      <c r="P189" s="11"/>
      <c r="Q189" s="11">
        <v>38</v>
      </c>
      <c r="R189" s="11"/>
      <c r="S189" s="11">
        <v>7</v>
      </c>
      <c r="T189" s="11"/>
      <c r="U189" s="11">
        <v>25</v>
      </c>
      <c r="V189" s="11"/>
      <c r="W189" s="11">
        <v>35</v>
      </c>
      <c r="X189" s="11">
        <v>15</v>
      </c>
      <c r="Y189" s="11"/>
      <c r="Z189" s="11">
        <v>21</v>
      </c>
      <c r="AA189" s="11"/>
      <c r="AB189" s="11">
        <v>43</v>
      </c>
      <c r="AC189" s="11"/>
      <c r="AD189" s="11">
        <v>25</v>
      </c>
      <c r="AE189" s="11"/>
      <c r="AF189" s="11">
        <v>65</v>
      </c>
      <c r="AG189" s="11"/>
      <c r="AH189" s="11">
        <v>34</v>
      </c>
    </row>
    <row r="190" spans="1:34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3">
        <v>0.25277777777777777</v>
      </c>
      <c r="K190" s="11"/>
      <c r="L190" s="14"/>
      <c r="M190" s="11" t="s">
        <v>74</v>
      </c>
      <c r="N190" s="11"/>
      <c r="O190" s="11" t="s">
        <v>74</v>
      </c>
      <c r="P190" s="11"/>
      <c r="Q190" s="11" t="s">
        <v>107</v>
      </c>
      <c r="R190" s="11"/>
      <c r="S190" s="11" t="s">
        <v>108</v>
      </c>
      <c r="T190" s="11"/>
      <c r="U190" s="11" t="s">
        <v>108</v>
      </c>
      <c r="V190" s="11"/>
      <c r="W190" s="11" t="s">
        <v>174</v>
      </c>
      <c r="X190" s="11" t="s">
        <v>74</v>
      </c>
      <c r="Y190" s="11"/>
      <c r="Z190" s="11" t="s">
        <v>74</v>
      </c>
      <c r="AA190" s="11"/>
      <c r="AB190" s="11" t="s">
        <v>74</v>
      </c>
      <c r="AC190" s="11"/>
      <c r="AD190" s="11" t="s">
        <v>108</v>
      </c>
      <c r="AE190" s="11"/>
      <c r="AF190" s="11" t="s">
        <v>108</v>
      </c>
      <c r="AG190" s="11"/>
      <c r="AH190" s="11" t="s">
        <v>174</v>
      </c>
    </row>
    <row r="191" spans="1:34" x14ac:dyDescent="0.25">
      <c r="A191" s="11">
        <v>77</v>
      </c>
      <c r="B191" s="11"/>
      <c r="C191" s="11"/>
      <c r="D191" s="11"/>
      <c r="E191" s="11"/>
      <c r="F191" s="11"/>
      <c r="G191" s="11"/>
      <c r="H191" s="11">
        <v>1</v>
      </c>
      <c r="I191" s="11" t="s">
        <v>175</v>
      </c>
      <c r="J191" s="13">
        <v>0.60069444444444442</v>
      </c>
      <c r="K191" s="11" t="s">
        <v>180</v>
      </c>
      <c r="L191" s="14" t="s">
        <v>255</v>
      </c>
      <c r="M191" s="11">
        <v>10</v>
      </c>
      <c r="N191" s="11"/>
      <c r="O191" s="11">
        <v>16</v>
      </c>
      <c r="P191" s="11"/>
      <c r="Q191" s="11">
        <v>56</v>
      </c>
      <c r="R191" s="11"/>
      <c r="S191" s="11">
        <v>4</v>
      </c>
      <c r="T191" s="11"/>
      <c r="U191" s="11">
        <v>7</v>
      </c>
      <c r="V191" s="11"/>
      <c r="W191" s="11">
        <v>35</v>
      </c>
      <c r="X191" s="11">
        <v>14</v>
      </c>
      <c r="Y191" s="11"/>
      <c r="Z191" s="11">
        <v>43</v>
      </c>
      <c r="AA191" s="11"/>
      <c r="AB191" s="11">
        <v>62</v>
      </c>
      <c r="AC191" s="11"/>
      <c r="AD191" s="11">
        <v>52</v>
      </c>
      <c r="AE191" s="11"/>
      <c r="AF191" s="11">
        <v>53</v>
      </c>
      <c r="AG191" s="11"/>
      <c r="AH191" s="11">
        <v>34</v>
      </c>
    </row>
    <row r="192" spans="1:34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3">
        <v>0.23263888888888887</v>
      </c>
      <c r="K192" s="11"/>
      <c r="L192" s="14"/>
      <c r="M192" s="11" t="s">
        <v>74</v>
      </c>
      <c r="N192" s="11"/>
      <c r="O192" s="11" t="s">
        <v>74</v>
      </c>
      <c r="P192" s="11"/>
      <c r="Q192" s="11" t="s">
        <v>107</v>
      </c>
      <c r="R192" s="11"/>
      <c r="S192" s="11" t="s">
        <v>108</v>
      </c>
      <c r="T192" s="11"/>
      <c r="U192" s="11" t="s">
        <v>108</v>
      </c>
      <c r="V192" s="11"/>
      <c r="W192" s="11" t="s">
        <v>174</v>
      </c>
      <c r="X192" s="11" t="s">
        <v>74</v>
      </c>
      <c r="Y192" s="11"/>
      <c r="Z192" s="11" t="s">
        <v>74</v>
      </c>
      <c r="AA192" s="11"/>
      <c r="AB192" s="11" t="s">
        <v>107</v>
      </c>
      <c r="AC192" s="11"/>
      <c r="AD192" s="11" t="s">
        <v>108</v>
      </c>
      <c r="AE192" s="11"/>
      <c r="AF192" s="11" t="s">
        <v>108</v>
      </c>
      <c r="AG192" s="11"/>
      <c r="AH192" s="11" t="s">
        <v>174</v>
      </c>
    </row>
    <row r="193" spans="1:34" x14ac:dyDescent="0.25">
      <c r="A193" s="11">
        <v>78</v>
      </c>
      <c r="B193" s="11"/>
      <c r="C193" s="11"/>
      <c r="D193" s="11"/>
      <c r="E193" s="11"/>
      <c r="F193" s="11"/>
      <c r="G193" s="11"/>
      <c r="H193" s="11">
        <v>1</v>
      </c>
      <c r="I193" s="11" t="s">
        <v>175</v>
      </c>
      <c r="J193" s="13">
        <v>0.6069444444444444</v>
      </c>
      <c r="K193" s="11" t="s">
        <v>180</v>
      </c>
      <c r="L193" s="14" t="s">
        <v>256</v>
      </c>
      <c r="M193" s="11">
        <v>10</v>
      </c>
      <c r="N193" s="11"/>
      <c r="O193" s="11">
        <v>16</v>
      </c>
      <c r="P193" s="11"/>
      <c r="Q193" s="11">
        <v>56</v>
      </c>
      <c r="R193" s="11"/>
      <c r="S193" s="11">
        <v>4</v>
      </c>
      <c r="T193" s="11"/>
      <c r="U193" s="11">
        <v>7</v>
      </c>
      <c r="V193" s="11"/>
      <c r="W193" s="11">
        <v>35</v>
      </c>
      <c r="X193" s="11">
        <v>14</v>
      </c>
      <c r="Y193" s="11"/>
      <c r="Z193" s="11">
        <v>43</v>
      </c>
      <c r="AA193" s="11"/>
      <c r="AB193" s="11">
        <v>62</v>
      </c>
      <c r="AC193" s="11"/>
      <c r="AD193" s="11">
        <v>52</v>
      </c>
      <c r="AE193" s="11"/>
      <c r="AF193" s="11">
        <v>53</v>
      </c>
      <c r="AG193" s="11"/>
      <c r="AH193" s="11">
        <v>34</v>
      </c>
    </row>
    <row r="194" spans="1:34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3">
        <v>0.22638888888888889</v>
      </c>
      <c r="K194" s="11"/>
      <c r="L194" s="14"/>
      <c r="M194" s="11" t="s">
        <v>74</v>
      </c>
      <c r="N194" s="11"/>
      <c r="O194" s="11" t="s">
        <v>74</v>
      </c>
      <c r="P194" s="11"/>
      <c r="Q194" s="11" t="s">
        <v>107</v>
      </c>
      <c r="R194" s="11"/>
      <c r="S194" s="11" t="s">
        <v>108</v>
      </c>
      <c r="T194" s="11"/>
      <c r="U194" s="11" t="s">
        <v>108</v>
      </c>
      <c r="V194" s="11"/>
      <c r="W194" s="11" t="s">
        <v>174</v>
      </c>
      <c r="X194" s="11" t="s">
        <v>74</v>
      </c>
      <c r="Y194" s="11"/>
      <c r="Z194" s="11" t="s">
        <v>74</v>
      </c>
      <c r="AA194" s="11"/>
      <c r="AB194" s="11" t="s">
        <v>107</v>
      </c>
      <c r="AC194" s="11"/>
      <c r="AD194" s="11" t="s">
        <v>108</v>
      </c>
      <c r="AE194" s="11"/>
      <c r="AF194" s="11" t="s">
        <v>108</v>
      </c>
      <c r="AG194" s="11"/>
      <c r="AH194" s="11" t="s">
        <v>174</v>
      </c>
    </row>
    <row r="195" spans="1:34" x14ac:dyDescent="0.25">
      <c r="A195" s="11">
        <v>79</v>
      </c>
      <c r="B195" s="11"/>
      <c r="C195" s="11"/>
      <c r="D195" s="11"/>
      <c r="E195" s="11"/>
      <c r="F195" s="11"/>
      <c r="G195" s="11"/>
      <c r="H195" s="11">
        <v>1</v>
      </c>
      <c r="I195" s="11"/>
      <c r="J195" s="13">
        <v>0.6069444444444444</v>
      </c>
      <c r="K195" s="11" t="s">
        <v>182</v>
      </c>
      <c r="L195" s="14" t="s">
        <v>221</v>
      </c>
      <c r="M195" s="11">
        <v>10</v>
      </c>
      <c r="N195" s="11"/>
      <c r="O195" s="11">
        <v>16</v>
      </c>
      <c r="P195" s="11"/>
      <c r="Q195" s="11">
        <v>56</v>
      </c>
      <c r="R195" s="11"/>
      <c r="S195" s="11">
        <v>4</v>
      </c>
      <c r="T195" s="11"/>
      <c r="U195" s="11">
        <v>7</v>
      </c>
      <c r="V195" s="11"/>
      <c r="W195" s="11">
        <v>35</v>
      </c>
      <c r="X195" s="11">
        <v>14</v>
      </c>
      <c r="Y195" s="11"/>
      <c r="Z195" s="11">
        <v>43</v>
      </c>
      <c r="AA195" s="11"/>
      <c r="AB195" s="11">
        <v>62</v>
      </c>
      <c r="AC195" s="11"/>
      <c r="AD195" s="11">
        <v>52</v>
      </c>
      <c r="AE195" s="11"/>
      <c r="AF195" s="11">
        <v>53</v>
      </c>
      <c r="AG195" s="11"/>
      <c r="AH195" s="11">
        <v>34</v>
      </c>
    </row>
    <row r="196" spans="1:34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3">
        <v>0.22638888888888889</v>
      </c>
      <c r="K196" s="11"/>
      <c r="L196" s="14"/>
      <c r="M196" s="11" t="s">
        <v>74</v>
      </c>
      <c r="N196" s="11"/>
      <c r="O196" s="11" t="s">
        <v>74</v>
      </c>
      <c r="P196" s="11"/>
      <c r="Q196" s="11" t="s">
        <v>107</v>
      </c>
      <c r="R196" s="11"/>
      <c r="S196" s="11" t="s">
        <v>108</v>
      </c>
      <c r="T196" s="11"/>
      <c r="U196" s="11" t="s">
        <v>108</v>
      </c>
      <c r="V196" s="11"/>
      <c r="W196" s="11" t="s">
        <v>174</v>
      </c>
      <c r="X196" s="11" t="s">
        <v>74</v>
      </c>
      <c r="Y196" s="11"/>
      <c r="Z196" s="11" t="s">
        <v>74</v>
      </c>
      <c r="AA196" s="11"/>
      <c r="AB196" s="11" t="s">
        <v>107</v>
      </c>
      <c r="AC196" s="11"/>
      <c r="AD196" s="11" t="s">
        <v>108</v>
      </c>
      <c r="AE196" s="11"/>
      <c r="AF196" s="11" t="s">
        <v>108</v>
      </c>
      <c r="AG196" s="11"/>
      <c r="AH196" s="11" t="s">
        <v>174</v>
      </c>
    </row>
    <row r="197" spans="1:34" x14ac:dyDescent="0.25">
      <c r="A197" s="11">
        <v>80</v>
      </c>
      <c r="B197" s="11"/>
      <c r="C197" s="11"/>
      <c r="D197" s="11"/>
      <c r="E197" s="11"/>
      <c r="F197" s="11"/>
      <c r="G197" s="11"/>
      <c r="H197" s="11">
        <v>1</v>
      </c>
      <c r="I197" s="11"/>
      <c r="J197" s="13">
        <v>0.6069444444444444</v>
      </c>
      <c r="K197" s="11" t="s">
        <v>182</v>
      </c>
      <c r="L197" s="14" t="s">
        <v>257</v>
      </c>
      <c r="M197" s="11">
        <v>19</v>
      </c>
      <c r="N197" s="11"/>
      <c r="O197" s="11">
        <v>92</v>
      </c>
      <c r="P197" s="11"/>
      <c r="Q197" s="11">
        <v>18</v>
      </c>
      <c r="R197" s="11"/>
      <c r="S197" s="11">
        <v>4</v>
      </c>
      <c r="T197" s="11"/>
      <c r="U197" s="11">
        <v>14</v>
      </c>
      <c r="V197" s="11"/>
      <c r="W197" s="11">
        <v>35</v>
      </c>
      <c r="X197" s="11">
        <v>29</v>
      </c>
      <c r="Y197" s="11"/>
      <c r="Z197" s="11">
        <v>41</v>
      </c>
      <c r="AA197" s="11"/>
      <c r="AB197" s="11">
        <v>20</v>
      </c>
      <c r="AC197" s="11"/>
      <c r="AD197" s="11">
        <v>25</v>
      </c>
      <c r="AE197" s="11"/>
      <c r="AF197" s="11">
        <v>65</v>
      </c>
      <c r="AG197" s="11"/>
      <c r="AH197" s="11">
        <v>34</v>
      </c>
    </row>
    <row r="198" spans="1:34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3">
        <v>0.22638888888888889</v>
      </c>
      <c r="K198" s="11"/>
      <c r="L198" s="14"/>
      <c r="M198" s="11" t="s">
        <v>74</v>
      </c>
      <c r="N198" s="11"/>
      <c r="O198" s="11" t="s">
        <v>74</v>
      </c>
      <c r="P198" s="11"/>
      <c r="Q198" s="11" t="s">
        <v>107</v>
      </c>
      <c r="R198" s="11"/>
      <c r="S198" s="11" t="s">
        <v>108</v>
      </c>
      <c r="T198" s="11"/>
      <c r="U198" s="11" t="s">
        <v>108</v>
      </c>
      <c r="V198" s="11"/>
      <c r="W198" s="11" t="s">
        <v>174</v>
      </c>
      <c r="X198" s="11" t="s">
        <v>74</v>
      </c>
      <c r="Y198" s="11"/>
      <c r="Z198" s="11" t="s">
        <v>74</v>
      </c>
      <c r="AA198" s="11"/>
      <c r="AB198" s="11" t="s">
        <v>107</v>
      </c>
      <c r="AC198" s="11"/>
      <c r="AD198" s="11" t="s">
        <v>108</v>
      </c>
      <c r="AE198" s="11"/>
      <c r="AF198" s="11" t="s">
        <v>108</v>
      </c>
      <c r="AG198" s="11"/>
      <c r="AH198" s="11" t="s">
        <v>174</v>
      </c>
    </row>
    <row r="199" spans="1:34" x14ac:dyDescent="0.25">
      <c r="A199" s="11">
        <v>81</v>
      </c>
      <c r="B199" s="11"/>
      <c r="C199" s="11"/>
      <c r="D199" s="11"/>
      <c r="E199" s="11"/>
      <c r="F199" s="11"/>
      <c r="G199" s="11"/>
      <c r="H199" s="11">
        <v>1</v>
      </c>
      <c r="I199" s="11" t="s">
        <v>175</v>
      </c>
      <c r="J199" s="13">
        <v>0.6069444444444444</v>
      </c>
      <c r="K199" s="11" t="s">
        <v>176</v>
      </c>
      <c r="L199" s="14" t="s">
        <v>258</v>
      </c>
      <c r="M199" s="11">
        <v>19</v>
      </c>
      <c r="N199" s="11"/>
      <c r="O199" s="11">
        <v>92</v>
      </c>
      <c r="P199" s="11"/>
      <c r="Q199" s="11">
        <v>18</v>
      </c>
      <c r="R199" s="11"/>
      <c r="S199" s="11">
        <v>4</v>
      </c>
      <c r="T199" s="11"/>
      <c r="U199" s="11">
        <v>14</v>
      </c>
      <c r="V199" s="11"/>
      <c r="W199" s="11">
        <v>35</v>
      </c>
      <c r="X199" s="11">
        <v>29</v>
      </c>
      <c r="Y199" s="11"/>
      <c r="Z199" s="11">
        <v>41</v>
      </c>
      <c r="AA199" s="11"/>
      <c r="AB199" s="11">
        <v>20</v>
      </c>
      <c r="AC199" s="11"/>
      <c r="AD199" s="11">
        <v>25</v>
      </c>
      <c r="AE199" s="11"/>
      <c r="AF199" s="11">
        <v>65</v>
      </c>
      <c r="AG199" s="11"/>
      <c r="AH199" s="11">
        <v>34</v>
      </c>
    </row>
    <row r="200" spans="1:34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3">
        <v>0.22638888888888889</v>
      </c>
      <c r="K200" s="11"/>
      <c r="L200" s="14"/>
      <c r="M200" s="11" t="s">
        <v>74</v>
      </c>
      <c r="N200" s="11"/>
      <c r="O200" s="11" t="s">
        <v>74</v>
      </c>
      <c r="P200" s="11"/>
      <c r="Q200" s="11" t="s">
        <v>107</v>
      </c>
      <c r="R200" s="11"/>
      <c r="S200" s="11" t="s">
        <v>108</v>
      </c>
      <c r="T200" s="11"/>
      <c r="U200" s="11" t="s">
        <v>108</v>
      </c>
      <c r="V200" s="11"/>
      <c r="W200" s="11" t="s">
        <v>174</v>
      </c>
      <c r="X200" s="11" t="s">
        <v>74</v>
      </c>
      <c r="Y200" s="11"/>
      <c r="Z200" s="11" t="s">
        <v>74</v>
      </c>
      <c r="AA200" s="11"/>
      <c r="AB200" s="11" t="s">
        <v>107</v>
      </c>
      <c r="AC200" s="11"/>
      <c r="AD200" s="11" t="s">
        <v>108</v>
      </c>
      <c r="AE200" s="11"/>
      <c r="AF200" s="11" t="s">
        <v>108</v>
      </c>
      <c r="AG200" s="11"/>
      <c r="AH200" s="11" t="s">
        <v>174</v>
      </c>
    </row>
    <row r="201" spans="1:34" x14ac:dyDescent="0.25">
      <c r="A201" s="11">
        <v>82</v>
      </c>
      <c r="B201" s="11"/>
      <c r="C201" s="11"/>
      <c r="D201" s="11"/>
      <c r="E201" s="11"/>
      <c r="F201" s="11"/>
      <c r="G201" s="11"/>
      <c r="H201" s="11">
        <v>1</v>
      </c>
      <c r="I201" s="11"/>
      <c r="J201" s="13">
        <v>0.62638888888888888</v>
      </c>
      <c r="K201" s="11" t="s">
        <v>182</v>
      </c>
      <c r="L201" s="14" t="s">
        <v>207</v>
      </c>
      <c r="M201" s="11">
        <v>19</v>
      </c>
      <c r="N201" s="11"/>
      <c r="O201" s="11">
        <v>63</v>
      </c>
      <c r="P201" s="11"/>
      <c r="Q201" s="11">
        <v>18</v>
      </c>
      <c r="R201" s="11"/>
      <c r="S201" s="11">
        <v>4</v>
      </c>
      <c r="T201" s="11"/>
      <c r="U201" s="11">
        <v>14</v>
      </c>
      <c r="V201" s="11"/>
      <c r="W201" s="11">
        <v>35</v>
      </c>
      <c r="X201" s="11">
        <v>29</v>
      </c>
      <c r="Y201" s="11"/>
      <c r="Z201" s="11">
        <v>41</v>
      </c>
      <c r="AA201" s="11"/>
      <c r="AB201" s="11">
        <v>20</v>
      </c>
      <c r="AC201" s="11"/>
      <c r="AD201" s="11">
        <v>25</v>
      </c>
      <c r="AE201" s="11"/>
      <c r="AF201" s="11">
        <v>65</v>
      </c>
      <c r="AG201" s="11"/>
      <c r="AH201" s="11">
        <v>34</v>
      </c>
    </row>
    <row r="202" spans="1:34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3">
        <v>0.20694444444444446</v>
      </c>
      <c r="K202" s="11"/>
      <c r="L202" s="14"/>
      <c r="M202" s="11" t="s">
        <v>74</v>
      </c>
      <c r="N202" s="11"/>
      <c r="O202" s="11" t="s">
        <v>74</v>
      </c>
      <c r="P202" s="11"/>
      <c r="Q202" s="11" t="s">
        <v>107</v>
      </c>
      <c r="R202" s="11"/>
      <c r="S202" s="11" t="s">
        <v>108</v>
      </c>
      <c r="T202" s="11"/>
      <c r="U202" s="11" t="s">
        <v>108</v>
      </c>
      <c r="V202" s="11"/>
      <c r="W202" s="11" t="s">
        <v>174</v>
      </c>
      <c r="X202" s="11" t="s">
        <v>74</v>
      </c>
      <c r="Y202" s="11"/>
      <c r="Z202" s="11" t="s">
        <v>74</v>
      </c>
      <c r="AA202" s="11"/>
      <c r="AB202" s="11" t="s">
        <v>107</v>
      </c>
      <c r="AC202" s="11"/>
      <c r="AD202" s="11" t="s">
        <v>108</v>
      </c>
      <c r="AE202" s="11"/>
      <c r="AF202" s="11" t="s">
        <v>108</v>
      </c>
      <c r="AG202" s="11"/>
      <c r="AH202" s="11" t="s">
        <v>174</v>
      </c>
    </row>
    <row r="203" spans="1:34" x14ac:dyDescent="0.25">
      <c r="A203" s="11">
        <v>83</v>
      </c>
      <c r="B203" s="11"/>
      <c r="C203" s="11"/>
      <c r="D203" s="11"/>
      <c r="E203" s="11"/>
      <c r="F203" s="11"/>
      <c r="G203" s="11"/>
      <c r="H203" s="11">
        <v>1</v>
      </c>
      <c r="I203" s="11" t="s">
        <v>175</v>
      </c>
      <c r="J203" s="13">
        <v>0.62638888888888888</v>
      </c>
      <c r="K203" s="11" t="s">
        <v>176</v>
      </c>
      <c r="L203" s="14" t="s">
        <v>259</v>
      </c>
      <c r="M203" s="11">
        <v>15</v>
      </c>
      <c r="N203" s="11"/>
      <c r="O203" s="11">
        <v>63</v>
      </c>
      <c r="P203" s="11"/>
      <c r="Q203" s="11">
        <v>9</v>
      </c>
      <c r="R203" s="11"/>
      <c r="S203" s="11">
        <v>59</v>
      </c>
      <c r="T203" s="11"/>
      <c r="U203" s="11">
        <v>76</v>
      </c>
      <c r="V203" s="11"/>
      <c r="W203" s="11">
        <v>35</v>
      </c>
      <c r="X203" s="11">
        <v>29</v>
      </c>
      <c r="Y203" s="11"/>
      <c r="Z203" s="11">
        <v>41</v>
      </c>
      <c r="AA203" s="11"/>
      <c r="AB203" s="11">
        <v>20</v>
      </c>
      <c r="AC203" s="11"/>
      <c r="AD203" s="11">
        <v>25</v>
      </c>
      <c r="AE203" s="11"/>
      <c r="AF203" s="11">
        <v>65</v>
      </c>
      <c r="AG203" s="11"/>
      <c r="AH203" s="11">
        <v>34</v>
      </c>
    </row>
    <row r="204" spans="1:34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3">
        <v>0.20694444444444446</v>
      </c>
      <c r="K204" s="11"/>
      <c r="L204" s="14"/>
      <c r="M204" s="11" t="s">
        <v>74</v>
      </c>
      <c r="N204" s="11"/>
      <c r="O204" s="11" t="s">
        <v>74</v>
      </c>
      <c r="P204" s="11"/>
      <c r="Q204" s="11" t="s">
        <v>107</v>
      </c>
      <c r="R204" s="11"/>
      <c r="S204" s="11" t="s">
        <v>108</v>
      </c>
      <c r="T204" s="11"/>
      <c r="U204" s="11" t="s">
        <v>108</v>
      </c>
      <c r="V204" s="11"/>
      <c r="W204" s="11" t="s">
        <v>174</v>
      </c>
      <c r="X204" s="11" t="s">
        <v>74</v>
      </c>
      <c r="Y204" s="11"/>
      <c r="Z204" s="11" t="s">
        <v>74</v>
      </c>
      <c r="AA204" s="11"/>
      <c r="AB204" s="11" t="s">
        <v>107</v>
      </c>
      <c r="AC204" s="11"/>
      <c r="AD204" s="11" t="s">
        <v>108</v>
      </c>
      <c r="AE204" s="11"/>
      <c r="AF204" s="11" t="s">
        <v>108</v>
      </c>
      <c r="AG204" s="11"/>
      <c r="AH204" s="11" t="s">
        <v>174</v>
      </c>
    </row>
    <row r="205" spans="1:34" x14ac:dyDescent="0.25">
      <c r="A205" s="11">
        <v>84</v>
      </c>
      <c r="B205" s="11"/>
      <c r="C205" s="11"/>
      <c r="D205" s="11"/>
      <c r="E205" s="11"/>
      <c r="F205" s="11"/>
      <c r="G205" s="11"/>
      <c r="H205" s="11">
        <v>1</v>
      </c>
      <c r="I205" s="11" t="s">
        <v>175</v>
      </c>
      <c r="J205" s="13">
        <v>0.63402777777777775</v>
      </c>
      <c r="K205" s="11" t="s">
        <v>231</v>
      </c>
      <c r="L205" s="14" t="s">
        <v>260</v>
      </c>
      <c r="M205" s="11">
        <v>15</v>
      </c>
      <c r="N205" s="11"/>
      <c r="O205" s="11">
        <v>63</v>
      </c>
      <c r="P205" s="11"/>
      <c r="Q205" s="11">
        <v>9</v>
      </c>
      <c r="R205" s="11"/>
      <c r="S205" s="11">
        <v>59</v>
      </c>
      <c r="T205" s="11"/>
      <c r="U205" s="11">
        <v>76</v>
      </c>
      <c r="V205" s="11"/>
      <c r="W205" s="11">
        <v>35</v>
      </c>
      <c r="X205" s="11">
        <v>29</v>
      </c>
      <c r="Y205" s="11"/>
      <c r="Z205" s="11">
        <v>41</v>
      </c>
      <c r="AA205" s="11"/>
      <c r="AB205" s="11">
        <v>20</v>
      </c>
      <c r="AC205" s="11"/>
      <c r="AD205" s="11">
        <v>25</v>
      </c>
      <c r="AE205" s="11"/>
      <c r="AF205" s="11">
        <v>65</v>
      </c>
      <c r="AG205" s="11"/>
      <c r="AH205" s="11">
        <v>34</v>
      </c>
    </row>
    <row r="206" spans="1:34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3">
        <v>0.19930555555555554</v>
      </c>
      <c r="K206" s="11"/>
      <c r="L206" s="14"/>
      <c r="M206" s="11" t="s">
        <v>74</v>
      </c>
      <c r="N206" s="11"/>
      <c r="O206" s="11" t="s">
        <v>74</v>
      </c>
      <c r="P206" s="11"/>
      <c r="Q206" s="11" t="s">
        <v>107</v>
      </c>
      <c r="R206" s="11"/>
      <c r="S206" s="11" t="s">
        <v>108</v>
      </c>
      <c r="T206" s="11"/>
      <c r="U206" s="11" t="s">
        <v>108</v>
      </c>
      <c r="V206" s="11"/>
      <c r="W206" s="11" t="s">
        <v>174</v>
      </c>
      <c r="X206" s="11" t="s">
        <v>74</v>
      </c>
      <c r="Y206" s="11"/>
      <c r="Z206" s="11" t="s">
        <v>74</v>
      </c>
      <c r="AA206" s="11"/>
      <c r="AB206" s="11" t="s">
        <v>107</v>
      </c>
      <c r="AC206" s="11"/>
      <c r="AD206" s="11" t="s">
        <v>108</v>
      </c>
      <c r="AE206" s="11"/>
      <c r="AF206" s="11" t="s">
        <v>108</v>
      </c>
      <c r="AG206" s="11"/>
      <c r="AH206" s="11" t="s">
        <v>174</v>
      </c>
    </row>
    <row r="207" spans="1:34" x14ac:dyDescent="0.25">
      <c r="A207" s="11">
        <v>85</v>
      </c>
      <c r="B207" s="11"/>
      <c r="C207" s="11"/>
      <c r="D207" s="11"/>
      <c r="E207" s="11"/>
      <c r="F207" s="11"/>
      <c r="G207" s="11"/>
      <c r="H207" s="11">
        <v>1</v>
      </c>
      <c r="I207" s="11"/>
      <c r="J207" s="13">
        <v>0.6381944444444444</v>
      </c>
      <c r="K207" s="11" t="s">
        <v>182</v>
      </c>
      <c r="L207" s="14" t="s">
        <v>261</v>
      </c>
      <c r="M207" s="11">
        <v>15</v>
      </c>
      <c r="N207" s="11"/>
      <c r="O207" s="11">
        <v>63</v>
      </c>
      <c r="P207" s="11"/>
      <c r="Q207" s="11">
        <v>9</v>
      </c>
      <c r="R207" s="11"/>
      <c r="S207" s="11">
        <v>59</v>
      </c>
      <c r="T207" s="11"/>
      <c r="U207" s="11">
        <v>76</v>
      </c>
      <c r="V207" s="11"/>
      <c r="W207" s="11">
        <v>35</v>
      </c>
      <c r="X207" s="11">
        <v>29</v>
      </c>
      <c r="Y207" s="11"/>
      <c r="Z207" s="11">
        <v>41</v>
      </c>
      <c r="AA207" s="11"/>
      <c r="AB207" s="11">
        <v>20</v>
      </c>
      <c r="AC207" s="11"/>
      <c r="AD207" s="11">
        <v>25</v>
      </c>
      <c r="AE207" s="11"/>
      <c r="AF207" s="11">
        <v>65</v>
      </c>
      <c r="AG207" s="11"/>
      <c r="AH207" s="11">
        <v>34</v>
      </c>
    </row>
    <row r="208" spans="1:34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3">
        <v>0.19513888888888889</v>
      </c>
      <c r="K208" s="11"/>
      <c r="L208" s="14"/>
      <c r="M208" s="11" t="s">
        <v>74</v>
      </c>
      <c r="N208" s="11"/>
      <c r="O208" s="11" t="s">
        <v>74</v>
      </c>
      <c r="P208" s="11"/>
      <c r="Q208" s="11" t="s">
        <v>107</v>
      </c>
      <c r="R208" s="11"/>
      <c r="S208" s="11" t="s">
        <v>108</v>
      </c>
      <c r="T208" s="11"/>
      <c r="U208" s="11" t="s">
        <v>108</v>
      </c>
      <c r="V208" s="11"/>
      <c r="W208" s="11" t="s">
        <v>174</v>
      </c>
      <c r="X208" s="11" t="s">
        <v>74</v>
      </c>
      <c r="Y208" s="11"/>
      <c r="Z208" s="11" t="s">
        <v>74</v>
      </c>
      <c r="AA208" s="11"/>
      <c r="AB208" s="11" t="s">
        <v>107</v>
      </c>
      <c r="AC208" s="11"/>
      <c r="AD208" s="11" t="s">
        <v>108</v>
      </c>
      <c r="AE208" s="11"/>
      <c r="AF208" s="11" t="s">
        <v>108</v>
      </c>
      <c r="AG208" s="11"/>
      <c r="AH208" s="11" t="s">
        <v>174</v>
      </c>
    </row>
    <row r="209" spans="1:34" x14ac:dyDescent="0.25">
      <c r="A209" s="11">
        <v>86</v>
      </c>
      <c r="B209" s="11"/>
      <c r="C209" s="11"/>
      <c r="D209" s="11"/>
      <c r="E209" s="11"/>
      <c r="F209" s="11"/>
      <c r="G209" s="11"/>
      <c r="H209" s="11">
        <v>1</v>
      </c>
      <c r="I209" s="11" t="s">
        <v>175</v>
      </c>
      <c r="J209" s="13">
        <v>0.6381944444444444</v>
      </c>
      <c r="K209" s="11" t="s">
        <v>176</v>
      </c>
      <c r="L209" s="14" t="s">
        <v>262</v>
      </c>
      <c r="M209" s="11">
        <v>15</v>
      </c>
      <c r="N209" s="11"/>
      <c r="O209" s="11">
        <v>63</v>
      </c>
      <c r="P209" s="11"/>
      <c r="Q209" s="11">
        <v>9</v>
      </c>
      <c r="R209" s="11"/>
      <c r="S209" s="11">
        <v>59</v>
      </c>
      <c r="T209" s="11"/>
      <c r="U209" s="11">
        <v>76</v>
      </c>
      <c r="V209" s="11"/>
      <c r="W209" s="11">
        <v>35</v>
      </c>
      <c r="X209" s="11">
        <v>51</v>
      </c>
      <c r="Y209" s="11"/>
      <c r="Z209" s="11">
        <v>71</v>
      </c>
      <c r="AA209" s="11"/>
      <c r="AB209" s="11">
        <v>8</v>
      </c>
      <c r="AC209" s="11"/>
      <c r="AD209" s="11">
        <v>52</v>
      </c>
      <c r="AE209" s="11"/>
      <c r="AF209" s="11">
        <v>53</v>
      </c>
      <c r="AG209" s="11"/>
      <c r="AH209" s="11">
        <v>34</v>
      </c>
    </row>
    <row r="210" spans="1:34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3">
        <v>0.19513888888888889</v>
      </c>
      <c r="K210" s="11"/>
      <c r="L210" s="14"/>
      <c r="M210" s="11" t="s">
        <v>74</v>
      </c>
      <c r="N210" s="11"/>
      <c r="O210" s="11" t="s">
        <v>74</v>
      </c>
      <c r="P210" s="11"/>
      <c r="Q210" s="11" t="s">
        <v>107</v>
      </c>
      <c r="R210" s="11"/>
      <c r="S210" s="11" t="s">
        <v>108</v>
      </c>
      <c r="T210" s="11"/>
      <c r="U210" s="11" t="s">
        <v>108</v>
      </c>
      <c r="V210" s="11"/>
      <c r="W210" s="11" t="s">
        <v>174</v>
      </c>
      <c r="X210" s="11" t="s">
        <v>74</v>
      </c>
      <c r="Y210" s="11"/>
      <c r="Z210" s="11" t="s">
        <v>74</v>
      </c>
      <c r="AA210" s="11"/>
      <c r="AB210" s="11" t="s">
        <v>107</v>
      </c>
      <c r="AC210" s="11"/>
      <c r="AD210" s="11" t="s">
        <v>108</v>
      </c>
      <c r="AE210" s="11"/>
      <c r="AF210" s="11" t="s">
        <v>108</v>
      </c>
      <c r="AG210" s="11"/>
      <c r="AH210" s="11" t="s">
        <v>174</v>
      </c>
    </row>
    <row r="211" spans="1:34" x14ac:dyDescent="0.25">
      <c r="A211" s="11">
        <v>87</v>
      </c>
      <c r="B211" s="11"/>
      <c r="C211" s="11"/>
      <c r="D211" s="11"/>
      <c r="E211" s="11"/>
      <c r="F211" s="11"/>
      <c r="G211" s="11"/>
      <c r="H211" s="11">
        <v>1</v>
      </c>
      <c r="I211" s="11" t="s">
        <v>175</v>
      </c>
      <c r="J211" s="13">
        <v>0.67291666666666661</v>
      </c>
      <c r="K211" s="11" t="s">
        <v>212</v>
      </c>
      <c r="L211" s="14" t="s">
        <v>263</v>
      </c>
      <c r="M211" s="11">
        <v>12</v>
      </c>
      <c r="N211" s="11"/>
      <c r="O211" s="11">
        <v>9</v>
      </c>
      <c r="P211" s="11"/>
      <c r="Q211" s="11">
        <v>38</v>
      </c>
      <c r="R211" s="11"/>
      <c r="S211" s="11">
        <v>7</v>
      </c>
      <c r="T211" s="11"/>
      <c r="U211" s="11">
        <v>25</v>
      </c>
      <c r="V211" s="11"/>
      <c r="W211" s="11">
        <v>35</v>
      </c>
      <c r="X211" s="11">
        <v>15</v>
      </c>
      <c r="Y211" s="11"/>
      <c r="Z211" s="11">
        <v>21</v>
      </c>
      <c r="AA211" s="11"/>
      <c r="AB211" s="11">
        <v>40</v>
      </c>
      <c r="AC211" s="11"/>
      <c r="AD211" s="11">
        <v>2</v>
      </c>
      <c r="AE211" s="11"/>
      <c r="AF211" s="11">
        <v>48</v>
      </c>
      <c r="AG211" s="11"/>
      <c r="AH211" s="11">
        <v>34</v>
      </c>
    </row>
    <row r="212" spans="1:34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3">
        <v>0.16041666666666668</v>
      </c>
      <c r="K212" s="11"/>
      <c r="L212" s="14"/>
      <c r="M212" s="11" t="s">
        <v>74</v>
      </c>
      <c r="N212" s="11"/>
      <c r="O212" s="11" t="s">
        <v>107</v>
      </c>
      <c r="P212" s="11"/>
      <c r="Q212" s="11" t="s">
        <v>107</v>
      </c>
      <c r="R212" s="11"/>
      <c r="S212" s="11" t="s">
        <v>108</v>
      </c>
      <c r="T212" s="11"/>
      <c r="U212" s="11" t="s">
        <v>108</v>
      </c>
      <c r="V212" s="11"/>
      <c r="W212" s="11" t="s">
        <v>174</v>
      </c>
      <c r="X212" s="11" t="s">
        <v>74</v>
      </c>
      <c r="Y212" s="11"/>
      <c r="Z212" s="11" t="s">
        <v>74</v>
      </c>
      <c r="AA212" s="11"/>
      <c r="AB212" s="11" t="s">
        <v>107</v>
      </c>
      <c r="AC212" s="11"/>
      <c r="AD212" s="11" t="s">
        <v>108</v>
      </c>
      <c r="AE212" s="11"/>
      <c r="AF212" s="11" t="s">
        <v>108</v>
      </c>
      <c r="AG212" s="11"/>
      <c r="AH212" s="11" t="s">
        <v>174</v>
      </c>
    </row>
    <row r="213" spans="1:34" x14ac:dyDescent="0.25">
      <c r="A213" s="11">
        <v>88</v>
      </c>
      <c r="B213" s="11"/>
      <c r="C213" s="11"/>
      <c r="D213" s="11"/>
      <c r="E213" s="11"/>
      <c r="F213" s="11"/>
      <c r="G213" s="11"/>
      <c r="H213" s="11">
        <v>1</v>
      </c>
      <c r="I213" s="11" t="s">
        <v>175</v>
      </c>
      <c r="J213" s="13">
        <v>0.68611111111111101</v>
      </c>
      <c r="K213" s="11" t="s">
        <v>178</v>
      </c>
      <c r="L213" s="14" t="s">
        <v>252</v>
      </c>
      <c r="M213" s="11">
        <v>12</v>
      </c>
      <c r="N213" s="11"/>
      <c r="O213" s="11">
        <v>33</v>
      </c>
      <c r="P213" s="11"/>
      <c r="Q213" s="11">
        <v>38</v>
      </c>
      <c r="R213" s="11"/>
      <c r="S213" s="11">
        <v>7</v>
      </c>
      <c r="T213" s="11"/>
      <c r="U213" s="11">
        <v>25</v>
      </c>
      <c r="V213" s="11"/>
      <c r="W213" s="11">
        <v>35</v>
      </c>
      <c r="X213" s="11">
        <v>15</v>
      </c>
      <c r="Y213" s="11"/>
      <c r="Z213" s="11">
        <v>21</v>
      </c>
      <c r="AA213" s="11"/>
      <c r="AB213" s="11">
        <v>40</v>
      </c>
      <c r="AC213" s="11"/>
      <c r="AD213" s="11">
        <v>2</v>
      </c>
      <c r="AE213" s="11"/>
      <c r="AF213" s="11">
        <v>48</v>
      </c>
      <c r="AG213" s="11"/>
      <c r="AH213" s="11">
        <v>34</v>
      </c>
    </row>
    <row r="214" spans="1:34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3">
        <v>0.14722222222222223</v>
      </c>
      <c r="K214" s="11"/>
      <c r="L214" s="14"/>
      <c r="M214" s="11" t="s">
        <v>74</v>
      </c>
      <c r="N214" s="11"/>
      <c r="O214" s="11" t="s">
        <v>74</v>
      </c>
      <c r="P214" s="11"/>
      <c r="Q214" s="11" t="s">
        <v>107</v>
      </c>
      <c r="R214" s="11"/>
      <c r="S214" s="11" t="s">
        <v>108</v>
      </c>
      <c r="T214" s="11"/>
      <c r="U214" s="11" t="s">
        <v>108</v>
      </c>
      <c r="V214" s="11"/>
      <c r="W214" s="11" t="s">
        <v>174</v>
      </c>
      <c r="X214" s="11" t="s">
        <v>74</v>
      </c>
      <c r="Y214" s="11"/>
      <c r="Z214" s="11" t="s">
        <v>74</v>
      </c>
      <c r="AA214" s="11"/>
      <c r="AB214" s="11" t="s">
        <v>107</v>
      </c>
      <c r="AC214" s="11"/>
      <c r="AD214" s="11" t="s">
        <v>108</v>
      </c>
      <c r="AE214" s="11"/>
      <c r="AF214" s="11" t="s">
        <v>108</v>
      </c>
      <c r="AG214" s="11"/>
      <c r="AH214" s="11" t="s">
        <v>174</v>
      </c>
    </row>
    <row r="215" spans="1:34" x14ac:dyDescent="0.25">
      <c r="A215" s="11">
        <v>89</v>
      </c>
      <c r="B215" s="11"/>
      <c r="C215" s="11"/>
      <c r="D215" s="11"/>
      <c r="E215" s="11"/>
      <c r="F215" s="11"/>
      <c r="G215" s="11"/>
      <c r="H215" s="11">
        <v>1</v>
      </c>
      <c r="I215" s="11" t="s">
        <v>175</v>
      </c>
      <c r="J215" s="13">
        <v>0.69374999999999998</v>
      </c>
      <c r="K215" s="11" t="s">
        <v>180</v>
      </c>
      <c r="L215" s="14" t="s">
        <v>264</v>
      </c>
      <c r="M215" s="11">
        <v>12</v>
      </c>
      <c r="N215" s="11"/>
      <c r="O215" s="11">
        <v>33</v>
      </c>
      <c r="P215" s="11"/>
      <c r="Q215" s="11">
        <v>38</v>
      </c>
      <c r="R215" s="11"/>
      <c r="S215" s="11">
        <v>7</v>
      </c>
      <c r="T215" s="11"/>
      <c r="U215" s="11">
        <v>25</v>
      </c>
      <c r="V215" s="11"/>
      <c r="W215" s="11">
        <v>35</v>
      </c>
      <c r="X215" s="11">
        <v>15</v>
      </c>
      <c r="Y215" s="11"/>
      <c r="Z215" s="11">
        <v>21</v>
      </c>
      <c r="AA215" s="11"/>
      <c r="AB215" s="11">
        <v>40</v>
      </c>
      <c r="AC215" s="11"/>
      <c r="AD215" s="11">
        <v>48</v>
      </c>
      <c r="AE215" s="11"/>
      <c r="AF215" s="11">
        <v>65</v>
      </c>
      <c r="AG215" s="11"/>
      <c r="AH215" s="11">
        <v>34</v>
      </c>
    </row>
    <row r="216" spans="1:34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3">
        <v>0.13958333333333334</v>
      </c>
      <c r="K216" s="11"/>
      <c r="L216" s="14"/>
      <c r="M216" s="11" t="s">
        <v>74</v>
      </c>
      <c r="N216" s="11"/>
      <c r="O216" s="11" t="s">
        <v>74</v>
      </c>
      <c r="P216" s="11"/>
      <c r="Q216" s="11" t="s">
        <v>107</v>
      </c>
      <c r="R216" s="11"/>
      <c r="S216" s="11" t="s">
        <v>108</v>
      </c>
      <c r="T216" s="11"/>
      <c r="U216" s="11" t="s">
        <v>108</v>
      </c>
      <c r="V216" s="11"/>
      <c r="W216" s="11" t="s">
        <v>174</v>
      </c>
      <c r="X216" s="11" t="s">
        <v>74</v>
      </c>
      <c r="Y216" s="11"/>
      <c r="Z216" s="11" t="s">
        <v>74</v>
      </c>
      <c r="AA216" s="11"/>
      <c r="AB216" s="11" t="s">
        <v>107</v>
      </c>
      <c r="AC216" s="11"/>
      <c r="AD216" s="11" t="s">
        <v>108</v>
      </c>
      <c r="AE216" s="11"/>
      <c r="AF216" s="11" t="s">
        <v>108</v>
      </c>
      <c r="AG216" s="11"/>
      <c r="AH216" s="11" t="s">
        <v>174</v>
      </c>
    </row>
    <row r="217" spans="1:34" x14ac:dyDescent="0.25">
      <c r="A217" s="11">
        <v>90</v>
      </c>
      <c r="B217" s="11"/>
      <c r="C217" s="11"/>
      <c r="D217" s="11"/>
      <c r="E217" s="11"/>
      <c r="F217" s="11"/>
      <c r="G217" s="11"/>
      <c r="H217" s="11">
        <v>1</v>
      </c>
      <c r="I217" s="11" t="s">
        <v>175</v>
      </c>
      <c r="J217" s="13">
        <v>0.70208333333333339</v>
      </c>
      <c r="K217" s="11" t="s">
        <v>180</v>
      </c>
      <c r="L217" s="14" t="s">
        <v>265</v>
      </c>
      <c r="M217" s="11">
        <v>10</v>
      </c>
      <c r="N217" s="11"/>
      <c r="O217" s="11">
        <v>33</v>
      </c>
      <c r="P217" s="11"/>
      <c r="Q217" s="11">
        <v>38</v>
      </c>
      <c r="R217" s="11"/>
      <c r="S217" s="11">
        <v>7</v>
      </c>
      <c r="T217" s="11"/>
      <c r="U217" s="11">
        <v>25</v>
      </c>
      <c r="V217" s="11"/>
      <c r="W217" s="11">
        <v>35</v>
      </c>
      <c r="X217" s="11">
        <v>15</v>
      </c>
      <c r="Y217" s="11"/>
      <c r="Z217" s="11">
        <v>21</v>
      </c>
      <c r="AA217" s="11"/>
      <c r="AB217" s="11">
        <v>40</v>
      </c>
      <c r="AC217" s="11"/>
      <c r="AD217" s="11">
        <v>25</v>
      </c>
      <c r="AE217" s="11"/>
      <c r="AF217" s="11">
        <v>65</v>
      </c>
      <c r="AG217" s="11"/>
      <c r="AH217" s="11">
        <v>34</v>
      </c>
    </row>
    <row r="218" spans="1:34" x14ac:dyDescent="0.25">
      <c r="A218" s="14"/>
      <c r="B218" s="14"/>
      <c r="C218" s="14"/>
      <c r="D218" s="14"/>
      <c r="E218" s="14"/>
      <c r="F218" s="14"/>
      <c r="G218" s="14"/>
      <c r="J218" s="53">
        <v>0.13125000000000001</v>
      </c>
      <c r="M218" s="4" t="s">
        <v>74</v>
      </c>
      <c r="O218" s="4" t="s">
        <v>74</v>
      </c>
      <c r="Q218" s="4" t="s">
        <v>107</v>
      </c>
      <c r="S218" s="4" t="s">
        <v>108</v>
      </c>
      <c r="U218" s="4" t="s">
        <v>108</v>
      </c>
      <c r="W218" s="4" t="s">
        <v>174</v>
      </c>
      <c r="X218" s="4" t="s">
        <v>74</v>
      </c>
      <c r="Z218" s="4" t="s">
        <v>74</v>
      </c>
      <c r="AB218" s="4" t="s">
        <v>107</v>
      </c>
      <c r="AD218" s="4" t="s">
        <v>108</v>
      </c>
      <c r="AF218" s="4" t="s">
        <v>108</v>
      </c>
      <c r="AH218" s="4" t="s">
        <v>174</v>
      </c>
    </row>
    <row r="219" spans="1:34" ht="18.75" x14ac:dyDescent="0.3">
      <c r="A219" s="15">
        <v>91</v>
      </c>
      <c r="B219" s="15"/>
      <c r="C219" s="15"/>
      <c r="D219" s="16"/>
      <c r="E219" s="15"/>
      <c r="F219" s="15"/>
      <c r="G219" s="15"/>
      <c r="H219" s="4">
        <v>1</v>
      </c>
      <c r="J219" s="53">
        <v>0.70277777777777783</v>
      </c>
      <c r="K219" s="4" t="s">
        <v>182</v>
      </c>
      <c r="L219" s="4" t="s">
        <v>221</v>
      </c>
      <c r="M219" s="4">
        <v>10</v>
      </c>
      <c r="O219" s="4">
        <v>33</v>
      </c>
      <c r="Q219" s="4">
        <v>38</v>
      </c>
      <c r="S219" s="4">
        <v>7</v>
      </c>
      <c r="U219" s="4">
        <v>25</v>
      </c>
      <c r="W219" s="4">
        <v>35</v>
      </c>
      <c r="X219" s="4">
        <v>15</v>
      </c>
      <c r="Z219" s="4">
        <v>21</v>
      </c>
      <c r="AB219" s="4">
        <v>40</v>
      </c>
      <c r="AD219" s="4">
        <v>25</v>
      </c>
      <c r="AF219" s="4">
        <v>65</v>
      </c>
      <c r="AH219" s="4">
        <v>34</v>
      </c>
    </row>
    <row r="220" spans="1:34" ht="51" x14ac:dyDescent="0.75">
      <c r="A220" s="1"/>
      <c r="B220" s="17"/>
      <c r="C220" s="1"/>
      <c r="D220" s="16"/>
      <c r="E220" s="1"/>
      <c r="F220" s="17"/>
      <c r="G220" s="1"/>
      <c r="J220" s="53">
        <v>0.13055555555555556</v>
      </c>
      <c r="M220" s="4" t="s">
        <v>74</v>
      </c>
      <c r="O220" s="4" t="s">
        <v>74</v>
      </c>
      <c r="Q220" s="4" t="s">
        <v>107</v>
      </c>
      <c r="S220" s="4" t="s">
        <v>108</v>
      </c>
      <c r="U220" s="4" t="s">
        <v>108</v>
      </c>
      <c r="W220" s="4" t="s">
        <v>174</v>
      </c>
      <c r="X220" s="4" t="s">
        <v>74</v>
      </c>
      <c r="Z220" s="4" t="s">
        <v>74</v>
      </c>
      <c r="AB220" s="4" t="s">
        <v>107</v>
      </c>
      <c r="AD220" s="4" t="s">
        <v>108</v>
      </c>
      <c r="AF220" s="4" t="s">
        <v>108</v>
      </c>
      <c r="AH220" s="4" t="s">
        <v>174</v>
      </c>
    </row>
    <row r="221" spans="1:34" x14ac:dyDescent="0.25">
      <c r="A221" s="18">
        <v>92</v>
      </c>
      <c r="B221" s="18"/>
      <c r="C221" s="18"/>
      <c r="D221" s="18"/>
      <c r="E221" s="18"/>
      <c r="F221" s="18"/>
      <c r="G221" s="18"/>
      <c r="H221" s="4">
        <v>1</v>
      </c>
      <c r="I221" s="4" t="s">
        <v>175</v>
      </c>
      <c r="J221" s="53">
        <v>0.70277777777777783</v>
      </c>
      <c r="K221" s="4" t="s">
        <v>176</v>
      </c>
      <c r="L221" s="4" t="s">
        <v>266</v>
      </c>
      <c r="M221" s="4">
        <v>10</v>
      </c>
      <c r="O221" s="4">
        <v>16</v>
      </c>
      <c r="Q221" s="4">
        <v>56</v>
      </c>
      <c r="S221" s="4">
        <v>4</v>
      </c>
      <c r="U221" s="4">
        <v>14</v>
      </c>
      <c r="W221" s="4">
        <v>35</v>
      </c>
      <c r="X221" s="4">
        <v>14</v>
      </c>
      <c r="Z221" s="4">
        <v>43</v>
      </c>
      <c r="AB221" s="4">
        <v>62</v>
      </c>
      <c r="AD221" s="4">
        <v>2</v>
      </c>
      <c r="AF221" s="4">
        <v>48</v>
      </c>
      <c r="AH221" s="4">
        <v>34</v>
      </c>
    </row>
    <row r="222" spans="1:34" x14ac:dyDescent="0.25">
      <c r="A222" s="18"/>
      <c r="B222" s="18"/>
      <c r="C222" s="18"/>
      <c r="D222" s="18"/>
      <c r="E222" s="18"/>
      <c r="F222" s="18"/>
      <c r="G222" s="18"/>
      <c r="J222" s="53">
        <v>0.13055555555555556</v>
      </c>
      <c r="M222" s="4" t="s">
        <v>74</v>
      </c>
      <c r="O222" s="4" t="s">
        <v>74</v>
      </c>
      <c r="Q222" s="4" t="s">
        <v>107</v>
      </c>
      <c r="S222" s="4" t="s">
        <v>108</v>
      </c>
      <c r="U222" s="4" t="s">
        <v>108</v>
      </c>
      <c r="W222" s="4" t="s">
        <v>174</v>
      </c>
      <c r="X222" s="4" t="s">
        <v>74</v>
      </c>
      <c r="Z222" s="4" t="s">
        <v>74</v>
      </c>
      <c r="AB222" s="4" t="s">
        <v>107</v>
      </c>
      <c r="AD222" s="4" t="s">
        <v>108</v>
      </c>
      <c r="AF222" s="4" t="s">
        <v>108</v>
      </c>
      <c r="AH222" s="4" t="s">
        <v>174</v>
      </c>
    </row>
    <row r="223" spans="1:34" x14ac:dyDescent="0.25">
      <c r="A223" s="19">
        <v>93</v>
      </c>
      <c r="B223" s="19"/>
      <c r="C223" s="19"/>
      <c r="D223" s="18"/>
      <c r="E223" s="19"/>
      <c r="F223" s="19"/>
      <c r="G223" s="19"/>
      <c r="H223" s="4">
        <v>1</v>
      </c>
      <c r="I223" s="4" t="s">
        <v>175</v>
      </c>
      <c r="J223" s="53">
        <v>0.72361111111111109</v>
      </c>
      <c r="K223" s="4" t="s">
        <v>180</v>
      </c>
      <c r="L223" s="4" t="s">
        <v>267</v>
      </c>
      <c r="M223" s="4">
        <v>10</v>
      </c>
      <c r="O223" s="4">
        <v>16</v>
      </c>
      <c r="Q223" s="4">
        <v>56</v>
      </c>
      <c r="S223" s="4">
        <v>4</v>
      </c>
      <c r="U223" s="4">
        <v>14</v>
      </c>
      <c r="W223" s="4">
        <v>35</v>
      </c>
      <c r="X223" s="4">
        <v>14</v>
      </c>
      <c r="Z223" s="4">
        <v>43</v>
      </c>
      <c r="AB223" s="4">
        <v>62</v>
      </c>
      <c r="AD223" s="4">
        <v>2</v>
      </c>
      <c r="AF223" s="4">
        <v>48</v>
      </c>
      <c r="AH223" s="4">
        <v>34</v>
      </c>
    </row>
    <row r="224" spans="1:34" x14ac:dyDescent="0.25">
      <c r="A224" s="19"/>
      <c r="B224" s="19"/>
      <c r="C224" s="19"/>
      <c r="D224" s="18"/>
      <c r="E224" s="19"/>
      <c r="F224" s="19"/>
      <c r="G224" s="19"/>
      <c r="J224" s="53">
        <v>0.10972222222222222</v>
      </c>
      <c r="M224" s="4" t="s">
        <v>74</v>
      </c>
      <c r="O224" s="4" t="s">
        <v>74</v>
      </c>
      <c r="Q224" s="4" t="s">
        <v>107</v>
      </c>
      <c r="S224" s="4" t="s">
        <v>108</v>
      </c>
      <c r="U224" s="4" t="s">
        <v>108</v>
      </c>
      <c r="W224" s="4" t="s">
        <v>174</v>
      </c>
      <c r="X224" s="4" t="s">
        <v>74</v>
      </c>
      <c r="Z224" s="4" t="s">
        <v>74</v>
      </c>
      <c r="AB224" s="4" t="s">
        <v>107</v>
      </c>
      <c r="AD224" s="4" t="s">
        <v>108</v>
      </c>
      <c r="AF224" s="4" t="s">
        <v>108</v>
      </c>
      <c r="AH224" s="4" t="s">
        <v>174</v>
      </c>
    </row>
    <row r="225" spans="1:34" x14ac:dyDescent="0.25">
      <c r="A225" s="19">
        <v>94</v>
      </c>
      <c r="B225" s="19"/>
      <c r="C225" s="19"/>
      <c r="D225" s="18"/>
      <c r="E225" s="19"/>
      <c r="F225" s="19"/>
      <c r="G225" s="19"/>
      <c r="H225" s="4">
        <v>1</v>
      </c>
      <c r="I225" s="4" t="s">
        <v>175</v>
      </c>
      <c r="J225" s="53">
        <v>0.72916666666666663</v>
      </c>
      <c r="K225" s="4" t="s">
        <v>186</v>
      </c>
      <c r="L225" s="4" t="s">
        <v>268</v>
      </c>
      <c r="M225" s="4">
        <v>10</v>
      </c>
      <c r="O225" s="4">
        <v>16</v>
      </c>
      <c r="Q225" s="4">
        <v>56</v>
      </c>
      <c r="S225" s="4">
        <v>4</v>
      </c>
      <c r="U225" s="4">
        <v>14</v>
      </c>
      <c r="W225" s="4">
        <v>35</v>
      </c>
      <c r="X225" s="4">
        <v>14</v>
      </c>
      <c r="Z225" s="4">
        <v>43</v>
      </c>
      <c r="AB225" s="4">
        <v>62</v>
      </c>
      <c r="AD225" s="4">
        <v>2</v>
      </c>
      <c r="AF225" s="4">
        <v>48</v>
      </c>
      <c r="AH225" s="4">
        <v>34</v>
      </c>
    </row>
    <row r="226" spans="1:34" x14ac:dyDescent="0.25">
      <c r="A226" s="19"/>
      <c r="B226" s="19"/>
      <c r="C226" s="19"/>
      <c r="D226" s="18"/>
      <c r="E226" s="19"/>
      <c r="F226" s="19"/>
      <c r="G226" s="19"/>
      <c r="J226" s="53">
        <v>0.10416666666666667</v>
      </c>
      <c r="M226" s="4" t="s">
        <v>74</v>
      </c>
      <c r="O226" s="4" t="s">
        <v>74</v>
      </c>
      <c r="Q226" s="4" t="s">
        <v>107</v>
      </c>
      <c r="S226" s="4" t="s">
        <v>108</v>
      </c>
      <c r="U226" s="4" t="s">
        <v>108</v>
      </c>
      <c r="W226" s="4" t="s">
        <v>174</v>
      </c>
      <c r="X226" s="4" t="s">
        <v>74</v>
      </c>
      <c r="Z226" s="4" t="s">
        <v>74</v>
      </c>
      <c r="AB226" s="4" t="s">
        <v>107</v>
      </c>
      <c r="AD226" s="4" t="s">
        <v>108</v>
      </c>
      <c r="AF226" s="4" t="s">
        <v>108</v>
      </c>
      <c r="AH226" s="4" t="s">
        <v>174</v>
      </c>
    </row>
    <row r="227" spans="1:34" x14ac:dyDescent="0.25">
      <c r="A227" s="14">
        <v>95</v>
      </c>
      <c r="B227" s="14"/>
      <c r="C227" s="14"/>
      <c r="D227" s="14"/>
      <c r="E227" s="14"/>
      <c r="F227" s="14"/>
      <c r="G227" s="14"/>
      <c r="H227" s="14">
        <v>1</v>
      </c>
      <c r="I227" s="14" t="s">
        <v>175</v>
      </c>
      <c r="J227" s="54">
        <v>0.74513888888888891</v>
      </c>
      <c r="K227" s="14" t="s">
        <v>180</v>
      </c>
      <c r="L227" s="14" t="s">
        <v>269</v>
      </c>
      <c r="M227" s="14">
        <v>19</v>
      </c>
      <c r="N227" s="14"/>
      <c r="O227" s="14">
        <v>92</v>
      </c>
      <c r="P227" s="14"/>
      <c r="Q227" s="14">
        <v>18</v>
      </c>
      <c r="R227" s="14"/>
      <c r="S227" s="14">
        <v>59</v>
      </c>
      <c r="T227" s="14"/>
      <c r="U227" s="14">
        <v>76</v>
      </c>
      <c r="V227" s="14"/>
      <c r="W227" s="14">
        <v>35</v>
      </c>
      <c r="X227" s="14">
        <v>51</v>
      </c>
      <c r="Y227" s="14"/>
      <c r="Z227" s="14">
        <v>71</v>
      </c>
      <c r="AA227" s="14"/>
      <c r="AB227" s="14">
        <v>8</v>
      </c>
      <c r="AC227" s="14"/>
      <c r="AD227" s="14">
        <v>25</v>
      </c>
      <c r="AE227" s="14"/>
      <c r="AF227" s="14">
        <v>65</v>
      </c>
      <c r="AG227" s="14"/>
      <c r="AH227" s="14">
        <v>34</v>
      </c>
    </row>
    <row r="228" spans="1:34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3">
        <v>8.819444444444445E-2</v>
      </c>
      <c r="K228" s="11"/>
      <c r="L228" s="12"/>
      <c r="M228" s="11" t="s">
        <v>74</v>
      </c>
      <c r="N228" s="11"/>
      <c r="O228" s="11" t="s">
        <v>74</v>
      </c>
      <c r="P228" s="11"/>
      <c r="Q228" s="11" t="s">
        <v>107</v>
      </c>
      <c r="R228" s="11"/>
      <c r="S228" s="11" t="s">
        <v>108</v>
      </c>
      <c r="T228" s="11"/>
      <c r="U228" s="11" t="s">
        <v>108</v>
      </c>
      <c r="V228" s="11"/>
      <c r="W228" s="11" t="s">
        <v>174</v>
      </c>
      <c r="X228" s="11" t="s">
        <v>74</v>
      </c>
      <c r="Y228" s="11"/>
      <c r="Z228" s="11" t="s">
        <v>74</v>
      </c>
      <c r="AA228" s="11"/>
      <c r="AB228" s="11" t="s">
        <v>107</v>
      </c>
      <c r="AC228" s="11"/>
      <c r="AD228" s="11" t="s">
        <v>108</v>
      </c>
      <c r="AE228" s="11"/>
      <c r="AF228" s="11" t="s">
        <v>108</v>
      </c>
      <c r="AG228" s="11"/>
      <c r="AH228" s="11" t="s">
        <v>174</v>
      </c>
    </row>
    <row r="229" spans="1:34" x14ac:dyDescent="0.25">
      <c r="A229" s="11">
        <v>96</v>
      </c>
      <c r="B229" s="11"/>
      <c r="C229" s="11"/>
      <c r="D229" s="11"/>
      <c r="E229" s="11"/>
      <c r="F229" s="11"/>
      <c r="G229" s="11"/>
      <c r="H229" s="11">
        <v>1</v>
      </c>
      <c r="I229" s="11" t="s">
        <v>175</v>
      </c>
      <c r="J229" s="13">
        <v>0.75138888888888899</v>
      </c>
      <c r="K229" s="11" t="s">
        <v>188</v>
      </c>
      <c r="L229" s="12" t="s">
        <v>270</v>
      </c>
      <c r="M229" s="11">
        <v>19</v>
      </c>
      <c r="N229" s="11"/>
      <c r="O229" s="11">
        <v>92</v>
      </c>
      <c r="P229" s="11"/>
      <c r="Q229" s="11">
        <v>18</v>
      </c>
      <c r="R229" s="11"/>
      <c r="S229" s="11">
        <v>59</v>
      </c>
      <c r="T229" s="11"/>
      <c r="U229" s="11">
        <v>76</v>
      </c>
      <c r="V229" s="11"/>
      <c r="W229" s="11">
        <v>35</v>
      </c>
      <c r="X229" s="11">
        <v>51</v>
      </c>
      <c r="Y229" s="11"/>
      <c r="Z229" s="11">
        <v>71</v>
      </c>
      <c r="AA229" s="11"/>
      <c r="AB229" s="11">
        <v>8</v>
      </c>
      <c r="AC229" s="11"/>
      <c r="AD229" s="11">
        <v>25</v>
      </c>
      <c r="AE229" s="11"/>
      <c r="AF229" s="11">
        <v>65</v>
      </c>
      <c r="AG229" s="11"/>
      <c r="AH229" s="11">
        <v>34</v>
      </c>
    </row>
    <row r="230" spans="1:34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3">
        <v>8.1944444444444445E-2</v>
      </c>
      <c r="K230" s="11"/>
      <c r="L230" s="12"/>
      <c r="M230" s="11" t="s">
        <v>74</v>
      </c>
      <c r="N230" s="11"/>
      <c r="O230" s="11" t="s">
        <v>74</v>
      </c>
      <c r="P230" s="11"/>
      <c r="Q230" s="11" t="s">
        <v>107</v>
      </c>
      <c r="R230" s="11"/>
      <c r="S230" s="11" t="s">
        <v>108</v>
      </c>
      <c r="T230" s="11"/>
      <c r="U230" s="11" t="s">
        <v>108</v>
      </c>
      <c r="V230" s="11"/>
      <c r="W230" s="11" t="s">
        <v>174</v>
      </c>
      <c r="X230" s="11" t="s">
        <v>74</v>
      </c>
      <c r="Y230" s="11"/>
      <c r="Z230" s="11" t="s">
        <v>74</v>
      </c>
      <c r="AA230" s="11"/>
      <c r="AB230" s="11" t="s">
        <v>107</v>
      </c>
      <c r="AC230" s="11"/>
      <c r="AD230" s="11" t="s">
        <v>108</v>
      </c>
      <c r="AE230" s="11"/>
      <c r="AF230" s="11" t="s">
        <v>108</v>
      </c>
      <c r="AG230" s="11"/>
      <c r="AH230" s="11" t="s">
        <v>174</v>
      </c>
    </row>
    <row r="231" spans="1:34" x14ac:dyDescent="0.25">
      <c r="A231" s="11">
        <v>97</v>
      </c>
      <c r="B231" s="11"/>
      <c r="C231" s="11"/>
      <c r="D231" s="11"/>
      <c r="E231" s="11"/>
      <c r="F231" s="11"/>
      <c r="G231" s="11"/>
      <c r="H231" s="11">
        <v>1</v>
      </c>
      <c r="I231" s="11" t="s">
        <v>175</v>
      </c>
      <c r="J231" s="13">
        <v>0.76527777777777783</v>
      </c>
      <c r="K231" s="11" t="s">
        <v>186</v>
      </c>
      <c r="L231" s="14" t="s">
        <v>271</v>
      </c>
      <c r="M231" s="11">
        <v>19</v>
      </c>
      <c r="N231" s="11"/>
      <c r="O231" s="11">
        <v>63</v>
      </c>
      <c r="P231" s="11"/>
      <c r="Q231" s="11">
        <v>18</v>
      </c>
      <c r="R231" s="11"/>
      <c r="S231" s="11">
        <v>59</v>
      </c>
      <c r="T231" s="11"/>
      <c r="U231" s="11">
        <v>76</v>
      </c>
      <c r="V231" s="11"/>
      <c r="W231" s="11">
        <v>35</v>
      </c>
      <c r="X231" s="11">
        <v>51</v>
      </c>
      <c r="Y231" s="11"/>
      <c r="Z231" s="11">
        <v>71</v>
      </c>
      <c r="AA231" s="11"/>
      <c r="AB231" s="11">
        <v>8</v>
      </c>
      <c r="AC231" s="11"/>
      <c r="AD231" s="11">
        <v>25</v>
      </c>
      <c r="AE231" s="11"/>
      <c r="AF231" s="11">
        <v>65</v>
      </c>
      <c r="AG231" s="11"/>
      <c r="AH231" s="11">
        <v>34</v>
      </c>
    </row>
    <row r="232" spans="1:34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3">
        <v>6.805555555555555E-2</v>
      </c>
      <c r="K232" s="11"/>
      <c r="L232" s="14"/>
      <c r="M232" s="11" t="s">
        <v>74</v>
      </c>
      <c r="N232" s="11"/>
      <c r="O232" s="11" t="s">
        <v>74</v>
      </c>
      <c r="P232" s="11"/>
      <c r="Q232" s="11" t="s">
        <v>107</v>
      </c>
      <c r="R232" s="11"/>
      <c r="S232" s="11" t="s">
        <v>108</v>
      </c>
      <c r="T232" s="11"/>
      <c r="U232" s="11" t="s">
        <v>108</v>
      </c>
      <c r="V232" s="11"/>
      <c r="W232" s="11" t="s">
        <v>174</v>
      </c>
      <c r="X232" s="11" t="s">
        <v>74</v>
      </c>
      <c r="Y232" s="11"/>
      <c r="Z232" s="11" t="s">
        <v>74</v>
      </c>
      <c r="AA232" s="11"/>
      <c r="AB232" s="11" t="s">
        <v>107</v>
      </c>
      <c r="AC232" s="11"/>
      <c r="AD232" s="11" t="s">
        <v>108</v>
      </c>
      <c r="AE232" s="11"/>
      <c r="AF232" s="11" t="s">
        <v>108</v>
      </c>
      <c r="AG232" s="11"/>
      <c r="AH232" s="11" t="s">
        <v>174</v>
      </c>
    </row>
    <row r="233" spans="1:34" x14ac:dyDescent="0.25">
      <c r="A233" s="11">
        <v>98</v>
      </c>
      <c r="B233" s="11"/>
      <c r="C233" s="11"/>
      <c r="D233" s="11"/>
      <c r="E233" s="11"/>
      <c r="F233" s="11"/>
      <c r="G233" s="11"/>
      <c r="H233" s="11">
        <v>1</v>
      </c>
      <c r="I233" s="11" t="s">
        <v>175</v>
      </c>
      <c r="J233" s="13">
        <v>0.76597222222222217</v>
      </c>
      <c r="K233" s="11" t="s">
        <v>180</v>
      </c>
      <c r="L233" s="14" t="s">
        <v>272</v>
      </c>
      <c r="M233" s="11">
        <v>19</v>
      </c>
      <c r="N233" s="11"/>
      <c r="O233" s="11">
        <v>63</v>
      </c>
      <c r="P233" s="11"/>
      <c r="Q233" s="11">
        <v>18</v>
      </c>
      <c r="R233" s="11"/>
      <c r="S233" s="11">
        <v>59</v>
      </c>
      <c r="T233" s="11"/>
      <c r="U233" s="11">
        <v>76</v>
      </c>
      <c r="V233" s="11"/>
      <c r="W233" s="11">
        <v>35</v>
      </c>
      <c r="X233" s="11">
        <v>51</v>
      </c>
      <c r="Y233" s="11"/>
      <c r="Z233" s="11">
        <v>71</v>
      </c>
      <c r="AA233" s="11"/>
      <c r="AB233" s="11">
        <v>8</v>
      </c>
      <c r="AC233" s="11"/>
      <c r="AD233" s="11">
        <v>25</v>
      </c>
      <c r="AE233" s="11"/>
      <c r="AF233" s="11">
        <v>65</v>
      </c>
      <c r="AG233" s="11"/>
      <c r="AH233" s="11">
        <v>34</v>
      </c>
    </row>
    <row r="234" spans="1:34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3">
        <v>6.7361111111111108E-2</v>
      </c>
      <c r="K234" s="11"/>
      <c r="L234" s="14"/>
      <c r="M234" s="11" t="s">
        <v>74</v>
      </c>
      <c r="N234" s="11"/>
      <c r="O234" s="11" t="s">
        <v>74</v>
      </c>
      <c r="P234" s="11"/>
      <c r="Q234" s="11" t="s">
        <v>107</v>
      </c>
      <c r="R234" s="11"/>
      <c r="S234" s="11" t="s">
        <v>108</v>
      </c>
      <c r="T234" s="11"/>
      <c r="U234" s="11" t="s">
        <v>108</v>
      </c>
      <c r="V234" s="11"/>
      <c r="W234" s="11" t="s">
        <v>174</v>
      </c>
      <c r="X234" s="11" t="s">
        <v>74</v>
      </c>
      <c r="Y234" s="11"/>
      <c r="Z234" s="11" t="s">
        <v>74</v>
      </c>
      <c r="AA234" s="11"/>
      <c r="AB234" s="11" t="s">
        <v>107</v>
      </c>
      <c r="AC234" s="11"/>
      <c r="AD234" s="11" t="s">
        <v>108</v>
      </c>
      <c r="AE234" s="11"/>
      <c r="AF234" s="11" t="s">
        <v>108</v>
      </c>
      <c r="AG234" s="11"/>
      <c r="AH234" s="11" t="s">
        <v>174</v>
      </c>
    </row>
    <row r="235" spans="1:34" x14ac:dyDescent="0.25">
      <c r="A235" s="11" t="s">
        <v>211</v>
      </c>
      <c r="B235" s="11"/>
      <c r="C235" s="11"/>
      <c r="D235" s="11"/>
      <c r="E235" s="11"/>
      <c r="F235" s="11"/>
      <c r="G235" s="11"/>
      <c r="H235" s="11"/>
      <c r="I235" s="11"/>
      <c r="J235" s="13"/>
      <c r="K235" s="11"/>
      <c r="L235" s="14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</row>
    <row r="236" spans="1:34" x14ac:dyDescent="0.25">
      <c r="A236" s="11" t="s">
        <v>151</v>
      </c>
      <c r="B236" s="11"/>
      <c r="C236" s="11"/>
      <c r="D236" s="11" t="s">
        <v>154</v>
      </c>
      <c r="E236" s="11" t="s">
        <v>160</v>
      </c>
      <c r="F236" s="11"/>
      <c r="G236" s="11"/>
      <c r="H236" s="11"/>
      <c r="I236" s="11"/>
      <c r="J236" s="13"/>
      <c r="K236" s="11"/>
      <c r="L236" s="14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</row>
    <row r="237" spans="1:34" x14ac:dyDescent="0.25">
      <c r="A237" s="11" t="s">
        <v>152</v>
      </c>
      <c r="B237" s="11">
        <v>3</v>
      </c>
      <c r="C237" s="11"/>
      <c r="D237" s="11"/>
      <c r="E237" s="11"/>
      <c r="F237" s="11">
        <v>5</v>
      </c>
      <c r="G237" s="11" t="s">
        <v>161</v>
      </c>
      <c r="H237" s="11"/>
      <c r="I237" s="11"/>
      <c r="J237" s="13"/>
      <c r="K237" s="11"/>
      <c r="L237" s="14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</row>
    <row r="238" spans="1:34" x14ac:dyDescent="0.25">
      <c r="A238" s="11" t="s">
        <v>152</v>
      </c>
      <c r="B238" s="11"/>
      <c r="C238" s="11"/>
      <c r="D238" s="11"/>
      <c r="E238" s="11" t="s">
        <v>161</v>
      </c>
      <c r="F238" s="11"/>
      <c r="G238" s="11"/>
      <c r="H238" s="11"/>
      <c r="I238" s="11"/>
      <c r="J238" s="13"/>
      <c r="K238" s="11"/>
      <c r="L238" s="14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</row>
    <row r="239" spans="1:34" x14ac:dyDescent="0.25">
      <c r="A239" s="11" t="s">
        <v>153</v>
      </c>
      <c r="B239" s="11"/>
      <c r="C239" s="11"/>
      <c r="D239" s="11" t="s">
        <v>155</v>
      </c>
      <c r="E239" s="11" t="s">
        <v>162</v>
      </c>
      <c r="F239" s="11"/>
      <c r="G239" s="11"/>
      <c r="H239" s="11"/>
      <c r="I239" s="11"/>
      <c r="J239" s="13"/>
      <c r="K239" s="11"/>
      <c r="L239" s="14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</row>
    <row r="240" spans="1:34" x14ac:dyDescent="0.25">
      <c r="A240" s="11"/>
      <c r="B240" s="11"/>
      <c r="C240" s="11"/>
      <c r="D240" s="11" t="s">
        <v>156</v>
      </c>
      <c r="E240" s="11"/>
      <c r="F240" s="11"/>
      <c r="G240" s="11"/>
      <c r="H240" s="11"/>
      <c r="I240" s="11"/>
      <c r="J240" s="13"/>
      <c r="K240" s="11"/>
      <c r="L240" s="14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</row>
    <row r="241" spans="1:34" x14ac:dyDescent="0.25">
      <c r="A241" s="11"/>
      <c r="B241" s="11"/>
      <c r="C241" s="11"/>
      <c r="D241" s="11" t="s">
        <v>157</v>
      </c>
      <c r="E241" s="11"/>
      <c r="F241" s="11"/>
      <c r="G241" s="11"/>
      <c r="H241" s="11"/>
      <c r="I241" s="11"/>
      <c r="J241" s="13"/>
      <c r="K241" s="11"/>
      <c r="L241" s="14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</row>
    <row r="242" spans="1:34" x14ac:dyDescent="0.25">
      <c r="A242" s="11"/>
      <c r="B242" s="11"/>
      <c r="C242" s="11"/>
      <c r="D242" s="11" t="s">
        <v>158</v>
      </c>
      <c r="E242" s="11"/>
      <c r="F242" s="11"/>
      <c r="G242" s="11"/>
      <c r="H242" s="11"/>
      <c r="I242" s="11"/>
      <c r="J242" s="13"/>
      <c r="K242" s="11"/>
      <c r="L242" s="14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</row>
    <row r="243" spans="1:34" x14ac:dyDescent="0.25">
      <c r="A243" s="11"/>
      <c r="B243" s="11"/>
      <c r="C243" s="11"/>
      <c r="D243" s="11" t="s">
        <v>159</v>
      </c>
      <c r="E243" s="11"/>
      <c r="F243" s="11"/>
      <c r="G243" s="11"/>
      <c r="H243" s="11"/>
      <c r="I243" s="11"/>
      <c r="J243" s="13"/>
      <c r="K243" s="11"/>
      <c r="L243" s="14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</row>
    <row r="244" spans="1:34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3"/>
      <c r="K244" s="11"/>
      <c r="L244" s="14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</row>
    <row r="245" spans="1:34" x14ac:dyDescent="0.25">
      <c r="A245" s="11" t="s">
        <v>163</v>
      </c>
      <c r="B245" s="11"/>
      <c r="C245" s="11"/>
      <c r="D245" s="11"/>
      <c r="E245" s="11"/>
      <c r="F245" s="11"/>
      <c r="G245" s="11"/>
      <c r="H245" s="11" t="s">
        <v>164</v>
      </c>
      <c r="I245" s="11" t="s">
        <v>165</v>
      </c>
      <c r="J245" s="13" t="s">
        <v>166</v>
      </c>
      <c r="K245" s="11" t="s">
        <v>168</v>
      </c>
      <c r="L245" s="14" t="s">
        <v>169</v>
      </c>
      <c r="M245" s="11" t="s">
        <v>170</v>
      </c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 t="s">
        <v>171</v>
      </c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</row>
    <row r="246" spans="1:34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3" t="s">
        <v>167</v>
      </c>
      <c r="K246" s="11"/>
      <c r="L246" s="14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</row>
    <row r="247" spans="1:34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3" t="s">
        <v>43</v>
      </c>
      <c r="K247" s="11"/>
      <c r="L247" s="14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</row>
    <row r="248" spans="1:34" x14ac:dyDescent="0.25">
      <c r="A248" s="11">
        <v>99</v>
      </c>
      <c r="B248" s="11"/>
      <c r="C248" s="11"/>
      <c r="D248" s="11"/>
      <c r="E248" s="11"/>
      <c r="F248" s="11"/>
      <c r="G248" s="11"/>
      <c r="H248" s="11">
        <v>1</v>
      </c>
      <c r="I248" s="11" t="s">
        <v>175</v>
      </c>
      <c r="J248" s="13">
        <v>0.77361111111111114</v>
      </c>
      <c r="K248" s="11" t="s">
        <v>180</v>
      </c>
      <c r="L248" s="14" t="s">
        <v>273</v>
      </c>
      <c r="M248" s="11">
        <v>19</v>
      </c>
      <c r="N248" s="11"/>
      <c r="O248" s="11">
        <v>63</v>
      </c>
      <c r="P248" s="11"/>
      <c r="Q248" s="11">
        <v>18</v>
      </c>
      <c r="R248" s="11"/>
      <c r="S248" s="11">
        <v>59</v>
      </c>
      <c r="T248" s="11"/>
      <c r="U248" s="11">
        <v>76</v>
      </c>
      <c r="V248" s="11"/>
      <c r="W248" s="11">
        <v>35</v>
      </c>
      <c r="X248" s="11">
        <v>51</v>
      </c>
      <c r="Y248" s="11"/>
      <c r="Z248" s="11">
        <v>71</v>
      </c>
      <c r="AA248" s="11"/>
      <c r="AB248" s="11">
        <v>8</v>
      </c>
      <c r="AC248" s="11"/>
      <c r="AD248" s="11">
        <v>25</v>
      </c>
      <c r="AE248" s="11"/>
      <c r="AF248" s="11">
        <v>65</v>
      </c>
      <c r="AG248" s="11"/>
      <c r="AH248" s="11">
        <v>34</v>
      </c>
    </row>
    <row r="249" spans="1:34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3">
        <v>5.9722222222222225E-2</v>
      </c>
      <c r="K249" s="11"/>
      <c r="L249" s="14"/>
      <c r="M249" s="11" t="s">
        <v>74</v>
      </c>
      <c r="N249" s="11"/>
      <c r="O249" s="11" t="s">
        <v>74</v>
      </c>
      <c r="P249" s="11"/>
      <c r="Q249" s="11" t="s">
        <v>107</v>
      </c>
      <c r="R249" s="11"/>
      <c r="S249" s="11" t="s">
        <v>108</v>
      </c>
      <c r="T249" s="11"/>
      <c r="U249" s="11" t="s">
        <v>108</v>
      </c>
      <c r="W249" s="4" t="s">
        <v>174</v>
      </c>
      <c r="X249" s="11" t="s">
        <v>74</v>
      </c>
      <c r="Y249" s="11"/>
      <c r="Z249" s="11" t="s">
        <v>74</v>
      </c>
      <c r="AA249" s="11"/>
      <c r="AB249" s="11" t="s">
        <v>107</v>
      </c>
      <c r="AC249" s="11"/>
      <c r="AD249" s="11" t="s">
        <v>108</v>
      </c>
      <c r="AE249" s="11"/>
      <c r="AF249" s="11" t="s">
        <v>108</v>
      </c>
      <c r="AG249" s="11"/>
      <c r="AH249" s="11" t="s">
        <v>174</v>
      </c>
    </row>
    <row r="250" spans="1:34" x14ac:dyDescent="0.25">
      <c r="A250" s="11">
        <v>100</v>
      </c>
      <c r="B250" s="11"/>
      <c r="C250" s="11"/>
      <c r="D250" s="11"/>
      <c r="E250" s="11"/>
      <c r="F250" s="11"/>
      <c r="G250" s="11"/>
      <c r="H250" s="11">
        <v>1</v>
      </c>
      <c r="I250" s="11" t="s">
        <v>175</v>
      </c>
      <c r="J250" s="13">
        <v>0.80555555555555547</v>
      </c>
      <c r="K250" s="11" t="s">
        <v>231</v>
      </c>
      <c r="L250" s="14" t="s">
        <v>274</v>
      </c>
      <c r="M250" s="11">
        <v>15</v>
      </c>
      <c r="N250" s="11"/>
      <c r="O250" s="11">
        <v>63</v>
      </c>
      <c r="P250" s="11"/>
      <c r="Q250" s="11">
        <v>9</v>
      </c>
      <c r="R250" s="11"/>
      <c r="S250" s="11">
        <v>4</v>
      </c>
      <c r="T250" s="11"/>
      <c r="U250" s="11">
        <v>14</v>
      </c>
      <c r="W250" s="4">
        <v>35</v>
      </c>
      <c r="X250" s="11">
        <v>15</v>
      </c>
      <c r="Y250" s="11"/>
      <c r="Z250" s="11">
        <v>21</v>
      </c>
      <c r="AA250" s="11"/>
      <c r="AB250" s="11">
        <v>40</v>
      </c>
      <c r="AC250" s="11"/>
      <c r="AD250" s="11">
        <v>52</v>
      </c>
      <c r="AE250" s="11"/>
      <c r="AF250" s="11">
        <v>53</v>
      </c>
      <c r="AG250" s="11"/>
      <c r="AH250" s="11">
        <v>34</v>
      </c>
    </row>
    <row r="251" spans="1:34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3">
        <v>2.7777777777777776E-2</v>
      </c>
      <c r="K251" s="11"/>
      <c r="L251" s="14"/>
      <c r="M251" s="11" t="s">
        <v>74</v>
      </c>
      <c r="N251" s="11"/>
      <c r="O251" s="11" t="s">
        <v>74</v>
      </c>
      <c r="P251" s="11"/>
      <c r="Q251" s="11" t="s">
        <v>107</v>
      </c>
      <c r="R251" s="11"/>
      <c r="S251" s="11" t="s">
        <v>108</v>
      </c>
      <c r="T251" s="11"/>
      <c r="U251" s="11" t="s">
        <v>108</v>
      </c>
      <c r="W251" s="4" t="s">
        <v>174</v>
      </c>
      <c r="X251" s="11" t="s">
        <v>74</v>
      </c>
      <c r="Y251" s="11"/>
      <c r="Z251" s="11" t="s">
        <v>74</v>
      </c>
      <c r="AA251" s="11"/>
      <c r="AB251" s="11" t="s">
        <v>107</v>
      </c>
      <c r="AC251" s="11"/>
      <c r="AD251" s="11" t="s">
        <v>108</v>
      </c>
      <c r="AE251" s="11"/>
      <c r="AF251" s="11" t="s">
        <v>108</v>
      </c>
      <c r="AG251" s="11"/>
      <c r="AH251" s="11" t="s">
        <v>174</v>
      </c>
    </row>
    <row r="252" spans="1:34" x14ac:dyDescent="0.25">
      <c r="A252" s="11">
        <v>101</v>
      </c>
      <c r="B252" s="11"/>
      <c r="C252" s="11"/>
      <c r="D252" s="11"/>
      <c r="E252" s="11"/>
      <c r="F252" s="11"/>
      <c r="G252" s="11"/>
      <c r="H252" s="11">
        <v>1</v>
      </c>
      <c r="I252" s="11" t="s">
        <v>175</v>
      </c>
      <c r="J252" s="13">
        <v>0.80694444444444446</v>
      </c>
      <c r="K252" s="11" t="s">
        <v>178</v>
      </c>
      <c r="L252" s="14" t="s">
        <v>275</v>
      </c>
      <c r="M252" s="11">
        <v>15</v>
      </c>
      <c r="N252" s="11"/>
      <c r="O252" s="11">
        <v>63</v>
      </c>
      <c r="P252" s="11"/>
      <c r="Q252" s="11">
        <v>9</v>
      </c>
      <c r="R252" s="11"/>
      <c r="S252" s="11">
        <v>4</v>
      </c>
      <c r="T252" s="11"/>
      <c r="U252" s="11">
        <v>14</v>
      </c>
      <c r="W252" s="4">
        <v>35</v>
      </c>
      <c r="X252" s="11">
        <v>15</v>
      </c>
      <c r="Y252" s="11"/>
      <c r="Z252" s="11">
        <v>21</v>
      </c>
      <c r="AA252" s="11"/>
      <c r="AB252" s="11">
        <v>40</v>
      </c>
      <c r="AC252" s="11"/>
      <c r="AD252" s="11">
        <v>52</v>
      </c>
      <c r="AE252" s="11"/>
      <c r="AF252" s="11">
        <v>53</v>
      </c>
      <c r="AG252" s="11"/>
      <c r="AH252" s="11">
        <v>34</v>
      </c>
    </row>
    <row r="253" spans="1:34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3">
        <v>2.6388888888888889E-2</v>
      </c>
      <c r="K253" s="11"/>
      <c r="L253" s="14"/>
      <c r="M253" s="11" t="s">
        <v>74</v>
      </c>
      <c r="N253" s="11"/>
      <c r="O253" s="11" t="s">
        <v>74</v>
      </c>
      <c r="P253" s="11"/>
      <c r="Q253" s="11" t="s">
        <v>107</v>
      </c>
      <c r="R253" s="11"/>
      <c r="S253" s="11" t="s">
        <v>108</v>
      </c>
      <c r="T253" s="11"/>
      <c r="U253" s="11" t="s">
        <v>108</v>
      </c>
      <c r="W253" s="4" t="s">
        <v>174</v>
      </c>
      <c r="X253" s="11" t="s">
        <v>74</v>
      </c>
      <c r="Y253" s="11"/>
      <c r="Z253" s="11" t="s">
        <v>74</v>
      </c>
      <c r="AA253" s="11"/>
      <c r="AB253" s="11" t="s">
        <v>107</v>
      </c>
      <c r="AC253" s="11"/>
      <c r="AD253" s="11" t="s">
        <v>108</v>
      </c>
      <c r="AE253" s="11"/>
      <c r="AF253" s="11" t="s">
        <v>108</v>
      </c>
      <c r="AG253" s="11"/>
      <c r="AH253" s="11" t="s">
        <v>174</v>
      </c>
    </row>
    <row r="254" spans="1:34" x14ac:dyDescent="0.25">
      <c r="A254" s="11">
        <v>102</v>
      </c>
      <c r="B254" s="11"/>
      <c r="C254" s="11"/>
      <c r="D254" s="11"/>
      <c r="E254" s="11"/>
      <c r="F254" s="11"/>
      <c r="G254" s="11"/>
      <c r="H254" s="11">
        <v>1</v>
      </c>
      <c r="I254" s="11" t="s">
        <v>175</v>
      </c>
      <c r="J254" s="13">
        <v>0.81111111111111101</v>
      </c>
      <c r="K254" s="11" t="s">
        <v>188</v>
      </c>
      <c r="L254" s="14" t="s">
        <v>276</v>
      </c>
      <c r="M254" s="11">
        <v>15</v>
      </c>
      <c r="N254" s="11"/>
      <c r="O254" s="11">
        <v>63</v>
      </c>
      <c r="P254" s="11"/>
      <c r="Q254" s="11">
        <v>9</v>
      </c>
      <c r="R254" s="11"/>
      <c r="S254" s="11">
        <v>4</v>
      </c>
      <c r="T254" s="11"/>
      <c r="U254" s="11">
        <v>14</v>
      </c>
      <c r="W254" s="4">
        <v>35</v>
      </c>
      <c r="X254" s="11">
        <v>15</v>
      </c>
      <c r="Y254" s="11"/>
      <c r="Z254" s="11">
        <v>21</v>
      </c>
      <c r="AA254" s="11"/>
      <c r="AB254" s="11">
        <v>40</v>
      </c>
      <c r="AC254" s="11"/>
      <c r="AD254" s="11">
        <v>52</v>
      </c>
      <c r="AE254" s="11"/>
      <c r="AF254" s="11">
        <v>53</v>
      </c>
      <c r="AG254" s="11"/>
      <c r="AH254" s="11">
        <v>34</v>
      </c>
    </row>
    <row r="255" spans="1:34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3">
        <v>2.2222222222222223E-2</v>
      </c>
      <c r="K255" s="11"/>
      <c r="L255" s="14"/>
      <c r="M255" s="11" t="s">
        <v>74</v>
      </c>
      <c r="N255" s="11"/>
      <c r="O255" s="11" t="s">
        <v>74</v>
      </c>
      <c r="P255" s="11"/>
      <c r="Q255" s="11" t="s">
        <v>107</v>
      </c>
      <c r="R255" s="11"/>
      <c r="S255" s="11" t="s">
        <v>108</v>
      </c>
      <c r="T255" s="11"/>
      <c r="U255" s="11" t="s">
        <v>108</v>
      </c>
      <c r="W255" s="4" t="s">
        <v>174</v>
      </c>
      <c r="X255" s="11" t="s">
        <v>74</v>
      </c>
      <c r="Y255" s="11"/>
      <c r="Z255" s="11" t="s">
        <v>74</v>
      </c>
      <c r="AA255" s="11"/>
      <c r="AB255" s="11" t="s">
        <v>107</v>
      </c>
      <c r="AC255" s="11"/>
      <c r="AD255" s="11" t="s">
        <v>108</v>
      </c>
      <c r="AE255" s="11"/>
      <c r="AF255" s="11" t="s">
        <v>108</v>
      </c>
      <c r="AG255" s="11"/>
      <c r="AH255" s="11" t="s">
        <v>174</v>
      </c>
    </row>
    <row r="256" spans="1:34" x14ac:dyDescent="0.25">
      <c r="A256" s="11">
        <v>103</v>
      </c>
      <c r="B256" s="11"/>
      <c r="C256" s="11"/>
      <c r="D256" s="11"/>
      <c r="E256" s="11"/>
      <c r="F256" s="11"/>
      <c r="G256" s="11"/>
      <c r="H256" s="11">
        <v>1</v>
      </c>
      <c r="I256" s="11" t="s">
        <v>175</v>
      </c>
      <c r="J256" s="13">
        <v>0.83194444444444438</v>
      </c>
      <c r="K256" s="11" t="s">
        <v>178</v>
      </c>
      <c r="L256" s="14" t="s">
        <v>277</v>
      </c>
      <c r="M256" s="11">
        <v>12</v>
      </c>
      <c r="N256" s="11"/>
      <c r="O256" s="11">
        <v>33</v>
      </c>
      <c r="P256" s="11"/>
      <c r="Q256" s="11">
        <v>38</v>
      </c>
      <c r="R256" s="11"/>
      <c r="S256" s="11">
        <v>59</v>
      </c>
      <c r="T256" s="11"/>
      <c r="U256" s="11">
        <v>76</v>
      </c>
      <c r="W256" s="4">
        <v>35</v>
      </c>
      <c r="X256" s="11">
        <v>21</v>
      </c>
      <c r="Y256" s="11"/>
      <c r="Z256" s="11">
        <v>29</v>
      </c>
      <c r="AA256" s="11"/>
      <c r="AB256" s="11">
        <v>40</v>
      </c>
      <c r="AC256" s="11"/>
      <c r="AD256" s="11">
        <v>2</v>
      </c>
      <c r="AE256" s="11"/>
      <c r="AF256" s="11">
        <v>48</v>
      </c>
      <c r="AG256" s="11"/>
      <c r="AH256" s="11">
        <v>34</v>
      </c>
    </row>
    <row r="257" spans="1:34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3">
        <v>1.3888888888888889E-3</v>
      </c>
      <c r="K257" s="11"/>
      <c r="L257" s="14"/>
      <c r="M257" s="11" t="s">
        <v>74</v>
      </c>
      <c r="N257" s="11"/>
      <c r="O257" s="11" t="s">
        <v>74</v>
      </c>
      <c r="P257" s="11"/>
      <c r="Q257" s="11" t="s">
        <v>107</v>
      </c>
      <c r="R257" s="11"/>
      <c r="S257" s="11" t="s">
        <v>108</v>
      </c>
      <c r="T257" s="11"/>
      <c r="U257" s="11" t="s">
        <v>108</v>
      </c>
      <c r="W257" s="4" t="s">
        <v>174</v>
      </c>
      <c r="X257" s="11" t="s">
        <v>74</v>
      </c>
      <c r="Y257" s="11"/>
      <c r="Z257" s="11" t="s">
        <v>74</v>
      </c>
      <c r="AA257" s="11"/>
      <c r="AB257" s="11" t="s">
        <v>107</v>
      </c>
      <c r="AC257" s="11"/>
      <c r="AD257" s="11" t="s">
        <v>108</v>
      </c>
      <c r="AE257" s="11"/>
      <c r="AF257" s="11" t="s">
        <v>108</v>
      </c>
      <c r="AG257" s="11"/>
      <c r="AH257" s="11" t="s">
        <v>174</v>
      </c>
    </row>
    <row r="258" spans="1:34" x14ac:dyDescent="0.25">
      <c r="A258" s="11">
        <v>104</v>
      </c>
      <c r="B258" s="11"/>
      <c r="C258" s="11"/>
      <c r="D258" s="11"/>
      <c r="E258" s="11"/>
      <c r="F258" s="11"/>
      <c r="G258" s="11"/>
      <c r="H258" s="11">
        <v>1</v>
      </c>
      <c r="I258" s="11"/>
      <c r="J258" s="13">
        <v>0.83333333333333337</v>
      </c>
      <c r="K258" s="11" t="s">
        <v>278</v>
      </c>
      <c r="L258" s="14" t="s">
        <v>279</v>
      </c>
      <c r="M258" s="11">
        <v>12</v>
      </c>
      <c r="N258" s="11"/>
      <c r="O258" s="11">
        <v>33</v>
      </c>
      <c r="P258" s="11"/>
      <c r="Q258" s="11">
        <v>38</v>
      </c>
      <c r="R258" s="11"/>
      <c r="S258" s="11">
        <v>59</v>
      </c>
      <c r="T258" s="11"/>
      <c r="U258" s="11">
        <v>76</v>
      </c>
      <c r="W258" s="4">
        <v>35</v>
      </c>
      <c r="X258" s="11">
        <v>21</v>
      </c>
      <c r="Y258" s="11"/>
      <c r="Z258" s="11">
        <v>29</v>
      </c>
      <c r="AA258" s="11"/>
      <c r="AB258" s="11">
        <v>40</v>
      </c>
      <c r="AC258" s="11"/>
      <c r="AD258" s="11">
        <v>2</v>
      </c>
      <c r="AE258" s="11"/>
      <c r="AF258" s="11">
        <v>48</v>
      </c>
      <c r="AG258" s="11"/>
      <c r="AH258" s="11">
        <v>34</v>
      </c>
    </row>
    <row r="259" spans="1:34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3">
        <v>0</v>
      </c>
      <c r="K259" s="11"/>
      <c r="L259" s="14"/>
      <c r="M259" s="11" t="s">
        <v>74</v>
      </c>
      <c r="N259" s="11"/>
      <c r="O259" s="11" t="s">
        <v>74</v>
      </c>
      <c r="P259" s="11"/>
      <c r="Q259" s="11" t="s">
        <v>107</v>
      </c>
      <c r="R259" s="11"/>
      <c r="S259" s="11" t="s">
        <v>108</v>
      </c>
      <c r="T259" s="11"/>
      <c r="U259" s="11" t="s">
        <v>108</v>
      </c>
      <c r="W259" s="4" t="s">
        <v>174</v>
      </c>
      <c r="X259" s="11" t="s">
        <v>74</v>
      </c>
      <c r="Y259" s="11"/>
      <c r="Z259" s="11" t="s">
        <v>74</v>
      </c>
      <c r="AA259" s="11"/>
      <c r="AB259" s="11" t="s">
        <v>107</v>
      </c>
      <c r="AC259" s="11"/>
      <c r="AD259" s="11" t="s">
        <v>108</v>
      </c>
      <c r="AE259" s="11"/>
      <c r="AF259" s="11" t="s">
        <v>108</v>
      </c>
      <c r="AG259" s="11"/>
      <c r="AH259" s="11" t="s">
        <v>174</v>
      </c>
    </row>
    <row r="260" spans="1:34" x14ac:dyDescent="0.25">
      <c r="A260" s="11" t="s">
        <v>211</v>
      </c>
      <c r="B260" s="11"/>
      <c r="C260" s="11"/>
      <c r="D260" s="11"/>
      <c r="E260" s="11"/>
      <c r="F260" s="11"/>
      <c r="G260" s="11"/>
      <c r="H260" s="11"/>
      <c r="I260" s="11"/>
      <c r="J260" s="13"/>
      <c r="K260" s="11"/>
      <c r="L260" s="14"/>
      <c r="M260" s="11"/>
      <c r="N260" s="11"/>
      <c r="O260" s="11"/>
      <c r="P260" s="11"/>
      <c r="Q260" s="11"/>
      <c r="R260" s="11"/>
      <c r="S260" s="11"/>
      <c r="T260" s="11"/>
      <c r="U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</row>
    <row r="261" spans="1:34" x14ac:dyDescent="0.25">
      <c r="A261" s="11" t="s">
        <v>151</v>
      </c>
      <c r="B261" s="11"/>
      <c r="C261" s="11"/>
      <c r="D261" s="11" t="s">
        <v>154</v>
      </c>
      <c r="E261" s="11" t="s">
        <v>160</v>
      </c>
      <c r="F261" s="11"/>
      <c r="G261" s="11"/>
      <c r="H261" s="11"/>
      <c r="I261" s="11"/>
      <c r="J261" s="13"/>
      <c r="K261" s="11"/>
      <c r="L261" s="14"/>
      <c r="M261" s="11"/>
      <c r="N261" s="11"/>
      <c r="O261" s="11"/>
      <c r="P261" s="11"/>
      <c r="Q261" s="11"/>
      <c r="R261" s="11"/>
      <c r="S261" s="11"/>
      <c r="T261" s="11"/>
      <c r="U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</row>
    <row r="262" spans="1:34" x14ac:dyDescent="0.25">
      <c r="A262" s="11" t="s">
        <v>152</v>
      </c>
      <c r="B262" s="11">
        <v>3</v>
      </c>
      <c r="C262" s="11"/>
      <c r="D262" s="11"/>
      <c r="E262" s="11"/>
      <c r="F262" s="11">
        <v>5</v>
      </c>
      <c r="G262" s="11" t="s">
        <v>161</v>
      </c>
      <c r="H262" s="11"/>
      <c r="I262" s="11"/>
      <c r="J262" s="13"/>
      <c r="K262" s="11"/>
      <c r="L262" s="14"/>
      <c r="M262" s="11"/>
      <c r="N262" s="11"/>
      <c r="O262" s="11"/>
      <c r="P262" s="11"/>
      <c r="Q262" s="11"/>
      <c r="R262" s="11"/>
      <c r="S262" s="11"/>
      <c r="T262" s="11"/>
      <c r="U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</row>
    <row r="263" spans="1:34" x14ac:dyDescent="0.25">
      <c r="A263" s="11" t="s">
        <v>152</v>
      </c>
      <c r="B263" s="11"/>
      <c r="C263" s="11"/>
      <c r="D263" s="11"/>
      <c r="E263" s="11" t="s">
        <v>161</v>
      </c>
      <c r="F263" s="11"/>
      <c r="G263" s="11"/>
      <c r="H263" s="11"/>
      <c r="I263" s="11"/>
      <c r="J263" s="13"/>
      <c r="K263" s="11"/>
      <c r="L263" s="14"/>
      <c r="M263" s="11"/>
      <c r="N263" s="11"/>
      <c r="O263" s="11"/>
      <c r="P263" s="11"/>
      <c r="Q263" s="11"/>
      <c r="R263" s="11"/>
      <c r="S263" s="11"/>
      <c r="T263" s="11"/>
      <c r="U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</row>
    <row r="264" spans="1:34" x14ac:dyDescent="0.25">
      <c r="A264" s="11" t="s">
        <v>153</v>
      </c>
      <c r="B264" s="11"/>
      <c r="C264" s="11"/>
      <c r="D264" s="11" t="s">
        <v>155</v>
      </c>
      <c r="E264" s="11" t="s">
        <v>162</v>
      </c>
      <c r="F264" s="11"/>
      <c r="G264" s="11"/>
      <c r="H264" s="11"/>
      <c r="I264" s="11"/>
      <c r="J264" s="13"/>
      <c r="K264" s="11"/>
      <c r="L264" s="14"/>
      <c r="M264" s="11"/>
      <c r="N264" s="11"/>
      <c r="O264" s="11"/>
      <c r="P264" s="11"/>
      <c r="Q264" s="11"/>
      <c r="R264" s="11"/>
      <c r="S264" s="11"/>
      <c r="T264" s="11"/>
      <c r="U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</row>
    <row r="265" spans="1:34" x14ac:dyDescent="0.25">
      <c r="A265" s="11"/>
      <c r="B265" s="11"/>
      <c r="C265" s="11"/>
      <c r="D265" s="11" t="s">
        <v>156</v>
      </c>
      <c r="E265" s="11"/>
      <c r="F265" s="11"/>
      <c r="G265" s="11"/>
      <c r="H265" s="11"/>
      <c r="I265" s="11"/>
      <c r="J265" s="13"/>
      <c r="K265" s="11"/>
      <c r="L265" s="14"/>
      <c r="M265" s="11"/>
      <c r="N265" s="11"/>
      <c r="O265" s="11"/>
      <c r="P265" s="11"/>
      <c r="Q265" s="11"/>
      <c r="R265" s="11"/>
      <c r="S265" s="11"/>
      <c r="T265" s="11"/>
      <c r="U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</row>
    <row r="266" spans="1:34" x14ac:dyDescent="0.25">
      <c r="A266" s="11"/>
      <c r="B266" s="11"/>
      <c r="C266" s="11"/>
      <c r="D266" s="11" t="s">
        <v>157</v>
      </c>
      <c r="E266" s="11"/>
      <c r="F266" s="11"/>
      <c r="G266" s="11"/>
      <c r="H266" s="11"/>
      <c r="I266" s="11"/>
      <c r="J266" s="13"/>
      <c r="K266" s="11"/>
      <c r="L266" s="14"/>
      <c r="M266" s="11"/>
      <c r="N266" s="11"/>
      <c r="O266" s="11"/>
      <c r="P266" s="11"/>
      <c r="Q266" s="11"/>
      <c r="R266" s="11"/>
      <c r="S266" s="11"/>
      <c r="T266" s="11"/>
      <c r="U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</row>
    <row r="267" spans="1:34" x14ac:dyDescent="0.25">
      <c r="A267" s="11"/>
      <c r="B267" s="11"/>
      <c r="C267" s="11"/>
      <c r="D267" s="11" t="s">
        <v>158</v>
      </c>
      <c r="E267" s="11"/>
      <c r="F267" s="11"/>
      <c r="G267" s="11"/>
      <c r="H267" s="11"/>
      <c r="I267" s="11"/>
      <c r="J267" s="13"/>
      <c r="K267" s="11"/>
      <c r="L267" s="14"/>
      <c r="M267" s="11"/>
      <c r="N267" s="11"/>
      <c r="O267" s="11"/>
      <c r="P267" s="11"/>
      <c r="Q267" s="11"/>
      <c r="R267" s="11"/>
      <c r="S267" s="11"/>
      <c r="T267" s="11"/>
      <c r="U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</row>
    <row r="268" spans="1:34" x14ac:dyDescent="0.25">
      <c r="A268" s="11"/>
      <c r="B268" s="11"/>
      <c r="C268" s="11"/>
      <c r="D268" s="11" t="s">
        <v>159</v>
      </c>
      <c r="E268" s="11"/>
      <c r="F268" s="11"/>
      <c r="G268" s="11"/>
      <c r="H268" s="11"/>
      <c r="I268" s="11"/>
      <c r="J268" s="13"/>
      <c r="K268" s="11"/>
      <c r="L268" s="14"/>
      <c r="M268" s="11"/>
      <c r="N268" s="11"/>
      <c r="O268" s="11"/>
      <c r="P268" s="11"/>
      <c r="Q268" s="11"/>
      <c r="R268" s="11"/>
      <c r="S268" s="11"/>
      <c r="T268" s="11"/>
      <c r="U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</row>
    <row r="269" spans="1:34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3"/>
      <c r="K269" s="11"/>
      <c r="L269" s="14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</row>
    <row r="270" spans="1:34" x14ac:dyDescent="0.25">
      <c r="A270" s="11" t="s">
        <v>163</v>
      </c>
      <c r="B270" s="11"/>
      <c r="C270" s="11"/>
      <c r="D270" s="11"/>
      <c r="E270" s="11"/>
      <c r="F270" s="11"/>
      <c r="G270" s="11"/>
      <c r="H270" s="11" t="s">
        <v>164</v>
      </c>
      <c r="I270" s="11" t="s">
        <v>165</v>
      </c>
      <c r="J270" s="13" t="s">
        <v>166</v>
      </c>
      <c r="K270" s="11" t="s">
        <v>168</v>
      </c>
      <c r="L270" s="14" t="s">
        <v>169</v>
      </c>
      <c r="M270" s="11" t="s">
        <v>170</v>
      </c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 t="s">
        <v>171</v>
      </c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</row>
    <row r="271" spans="1:34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3" t="s">
        <v>167</v>
      </c>
      <c r="K271" s="11"/>
      <c r="L271" s="14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</row>
    <row r="272" spans="1:34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3" t="s">
        <v>43</v>
      </c>
      <c r="K272" s="11"/>
      <c r="L272" s="14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</row>
    <row r="273" spans="1:34" x14ac:dyDescent="0.25">
      <c r="A273" s="11">
        <v>105</v>
      </c>
      <c r="B273" s="11"/>
      <c r="C273" s="11"/>
      <c r="D273" s="11"/>
      <c r="E273" s="11"/>
      <c r="F273" s="11"/>
      <c r="G273" s="11"/>
      <c r="H273" s="11">
        <v>2</v>
      </c>
      <c r="I273" s="11"/>
      <c r="J273" s="13">
        <v>0</v>
      </c>
      <c r="K273" s="11" t="s">
        <v>172</v>
      </c>
      <c r="L273" s="14" t="s">
        <v>280</v>
      </c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</row>
    <row r="274" spans="1:34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3">
        <v>0.83333333333333337</v>
      </c>
      <c r="K274" s="11"/>
      <c r="L274" s="14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</row>
    <row r="275" spans="1:34" x14ac:dyDescent="0.25">
      <c r="A275" s="11">
        <v>106</v>
      </c>
      <c r="B275" s="11"/>
      <c r="C275" s="11"/>
      <c r="D275" s="11"/>
      <c r="E275" s="11"/>
      <c r="F275" s="11"/>
      <c r="G275" s="11"/>
      <c r="H275" s="11">
        <v>2</v>
      </c>
      <c r="I275" s="11" t="s">
        <v>175</v>
      </c>
      <c r="J275" s="13">
        <v>0</v>
      </c>
      <c r="K275" s="11" t="s">
        <v>176</v>
      </c>
      <c r="L275" s="14" t="s">
        <v>281</v>
      </c>
      <c r="M275" s="11">
        <v>19</v>
      </c>
      <c r="N275" s="11"/>
      <c r="O275" s="11">
        <v>18</v>
      </c>
      <c r="P275" s="11"/>
      <c r="Q275" s="11">
        <v>56</v>
      </c>
      <c r="R275" s="11"/>
      <c r="S275" s="11">
        <v>4</v>
      </c>
      <c r="T275" s="11"/>
      <c r="U275" s="11">
        <v>14</v>
      </c>
      <c r="V275" s="11"/>
      <c r="W275" s="11">
        <v>35</v>
      </c>
      <c r="X275" s="11">
        <v>51</v>
      </c>
      <c r="Y275" s="11"/>
      <c r="Z275" s="11">
        <v>71</v>
      </c>
      <c r="AA275" s="11"/>
      <c r="AB275" s="11">
        <v>8</v>
      </c>
      <c r="AC275" s="11"/>
      <c r="AD275" s="11">
        <v>25</v>
      </c>
      <c r="AE275" s="11"/>
      <c r="AF275" s="11">
        <v>65</v>
      </c>
      <c r="AG275" s="11"/>
      <c r="AH275" s="11">
        <v>34</v>
      </c>
    </row>
    <row r="276" spans="1:34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3">
        <v>0.83333333333333337</v>
      </c>
      <c r="K276" s="11"/>
      <c r="L276" s="14"/>
      <c r="M276" s="11" t="s">
        <v>74</v>
      </c>
      <c r="N276" s="11"/>
      <c r="O276" s="11" t="s">
        <v>107</v>
      </c>
      <c r="P276" s="11"/>
      <c r="Q276" s="11" t="s">
        <v>107</v>
      </c>
      <c r="R276" s="11"/>
      <c r="S276" s="11" t="s">
        <v>108</v>
      </c>
      <c r="T276" s="11"/>
      <c r="U276" s="11" t="s">
        <v>108</v>
      </c>
      <c r="V276" s="11"/>
      <c r="W276" s="11" t="s">
        <v>174</v>
      </c>
      <c r="X276" s="11" t="s">
        <v>74</v>
      </c>
      <c r="Y276" s="11"/>
      <c r="Z276" s="11" t="s">
        <v>74</v>
      </c>
      <c r="AA276" s="11"/>
      <c r="AB276" s="11" t="s">
        <v>107</v>
      </c>
      <c r="AC276" s="11"/>
      <c r="AD276" s="11" t="s">
        <v>108</v>
      </c>
      <c r="AE276" s="11"/>
      <c r="AF276" s="11" t="s">
        <v>108</v>
      </c>
      <c r="AG276" s="11"/>
      <c r="AH276" s="11" t="s">
        <v>174</v>
      </c>
    </row>
    <row r="277" spans="1:34" x14ac:dyDescent="0.25">
      <c r="A277" s="11">
        <v>107</v>
      </c>
      <c r="B277" s="11"/>
      <c r="C277" s="11"/>
      <c r="D277" s="11"/>
      <c r="E277" s="11"/>
      <c r="F277" s="11"/>
      <c r="G277" s="11"/>
      <c r="H277" s="11">
        <v>2</v>
      </c>
      <c r="I277" s="11" t="s">
        <v>175</v>
      </c>
      <c r="J277" s="13">
        <v>6.9444444444444441E-3</v>
      </c>
      <c r="K277" s="11" t="s">
        <v>231</v>
      </c>
      <c r="L277" s="14" t="s">
        <v>282</v>
      </c>
      <c r="M277" s="11">
        <v>19</v>
      </c>
      <c r="N277" s="11"/>
      <c r="O277" s="11">
        <v>18</v>
      </c>
      <c r="P277" s="11"/>
      <c r="Q277" s="11">
        <v>56</v>
      </c>
      <c r="R277" s="11"/>
      <c r="S277" s="11">
        <v>4</v>
      </c>
      <c r="T277" s="11"/>
      <c r="U277" s="11">
        <v>14</v>
      </c>
      <c r="V277" s="11"/>
      <c r="W277" s="11">
        <v>35</v>
      </c>
      <c r="X277" s="11">
        <v>51</v>
      </c>
      <c r="Y277" s="11"/>
      <c r="Z277" s="11">
        <v>71</v>
      </c>
      <c r="AA277" s="11"/>
      <c r="AB277" s="11">
        <v>8</v>
      </c>
      <c r="AC277" s="11"/>
      <c r="AD277" s="11">
        <v>25</v>
      </c>
      <c r="AE277" s="11"/>
      <c r="AF277" s="11">
        <v>65</v>
      </c>
      <c r="AG277" s="11"/>
      <c r="AH277" s="11">
        <v>34</v>
      </c>
    </row>
    <row r="278" spans="1:34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3">
        <v>0.82638888888888884</v>
      </c>
      <c r="K278" s="11"/>
      <c r="L278" s="14"/>
      <c r="M278" s="11" t="s">
        <v>74</v>
      </c>
      <c r="N278" s="11"/>
      <c r="O278" s="11" t="s">
        <v>107</v>
      </c>
      <c r="P278" s="11"/>
      <c r="Q278" s="11" t="s">
        <v>107</v>
      </c>
      <c r="R278" s="11"/>
      <c r="S278" s="11" t="s">
        <v>108</v>
      </c>
      <c r="T278" s="11"/>
      <c r="U278" s="11" t="s">
        <v>108</v>
      </c>
      <c r="V278" s="11"/>
      <c r="W278" s="11" t="s">
        <v>174</v>
      </c>
      <c r="X278" s="11" t="s">
        <v>74</v>
      </c>
      <c r="Y278" s="11"/>
      <c r="Z278" s="11" t="s">
        <v>74</v>
      </c>
      <c r="AA278" s="11"/>
      <c r="AB278" s="11" t="s">
        <v>107</v>
      </c>
      <c r="AC278" s="11"/>
      <c r="AD278" s="11" t="s">
        <v>108</v>
      </c>
      <c r="AE278" s="11"/>
      <c r="AF278" s="11" t="s">
        <v>108</v>
      </c>
      <c r="AG278" s="11"/>
      <c r="AH278" s="11" t="s">
        <v>174</v>
      </c>
    </row>
    <row r="279" spans="1:34" x14ac:dyDescent="0.25">
      <c r="A279" s="11">
        <v>108</v>
      </c>
      <c r="B279" s="11"/>
      <c r="C279" s="11"/>
      <c r="D279" s="11"/>
      <c r="E279" s="11"/>
      <c r="F279" s="11"/>
      <c r="G279" s="11"/>
      <c r="H279" s="11">
        <v>2</v>
      </c>
      <c r="I279" s="11" t="s">
        <v>175</v>
      </c>
      <c r="J279" s="13">
        <v>1.5277777777777777E-2</v>
      </c>
      <c r="K279" s="11" t="s">
        <v>186</v>
      </c>
      <c r="L279" s="14" t="s">
        <v>268</v>
      </c>
      <c r="M279" s="11">
        <v>19</v>
      </c>
      <c r="N279" s="11"/>
      <c r="O279" s="11">
        <v>18</v>
      </c>
      <c r="P279" s="11"/>
      <c r="Q279" s="11">
        <v>56</v>
      </c>
      <c r="R279" s="11"/>
      <c r="S279" s="11">
        <v>4</v>
      </c>
      <c r="T279" s="11"/>
      <c r="U279" s="11">
        <v>14</v>
      </c>
      <c r="V279" s="11"/>
      <c r="W279" s="11">
        <v>35</v>
      </c>
      <c r="X279" s="11">
        <v>51</v>
      </c>
      <c r="Y279" s="11"/>
      <c r="Z279" s="11">
        <v>71</v>
      </c>
      <c r="AA279" s="11"/>
      <c r="AB279" s="11">
        <v>8</v>
      </c>
      <c r="AC279" s="11"/>
      <c r="AD279" s="11">
        <v>25</v>
      </c>
      <c r="AE279" s="11"/>
      <c r="AF279" s="11">
        <v>65</v>
      </c>
      <c r="AG279" s="11"/>
      <c r="AH279" s="11">
        <v>34</v>
      </c>
    </row>
    <row r="280" spans="1:34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3">
        <v>0.81805555555555554</v>
      </c>
      <c r="K280" s="11"/>
      <c r="L280" s="14"/>
      <c r="M280" s="11" t="s">
        <v>74</v>
      </c>
      <c r="N280" s="11"/>
      <c r="O280" s="11" t="s">
        <v>107</v>
      </c>
      <c r="P280" s="11"/>
      <c r="Q280" s="11" t="s">
        <v>107</v>
      </c>
      <c r="R280" s="11"/>
      <c r="S280" s="11" t="s">
        <v>108</v>
      </c>
      <c r="T280" s="11"/>
      <c r="U280" s="11" t="s">
        <v>108</v>
      </c>
      <c r="V280" s="11"/>
      <c r="W280" s="11" t="s">
        <v>174</v>
      </c>
      <c r="X280" s="11" t="s">
        <v>74</v>
      </c>
      <c r="Y280" s="11"/>
      <c r="Z280" s="11" t="s">
        <v>74</v>
      </c>
      <c r="AA280" s="11"/>
      <c r="AB280" s="11" t="s">
        <v>107</v>
      </c>
      <c r="AC280" s="11"/>
      <c r="AD280" s="11" t="s">
        <v>108</v>
      </c>
      <c r="AE280" s="11"/>
      <c r="AF280" s="11" t="s">
        <v>108</v>
      </c>
      <c r="AG280" s="11"/>
      <c r="AH280" s="11" t="s">
        <v>174</v>
      </c>
    </row>
    <row r="281" spans="1:34" x14ac:dyDescent="0.25">
      <c r="A281" s="11">
        <v>109</v>
      </c>
      <c r="B281" s="11"/>
      <c r="C281" s="11"/>
      <c r="D281" s="11"/>
      <c r="E281" s="11"/>
      <c r="F281" s="11"/>
      <c r="G281" s="11"/>
      <c r="H281" s="11">
        <v>2</v>
      </c>
      <c r="I281" s="11" t="s">
        <v>175</v>
      </c>
      <c r="J281" s="13">
        <v>2.2916666666666669E-2</v>
      </c>
      <c r="K281" s="11" t="s">
        <v>180</v>
      </c>
      <c r="L281" s="14" t="s">
        <v>283</v>
      </c>
      <c r="M281" s="11">
        <v>63</v>
      </c>
      <c r="N281" s="11"/>
      <c r="O281" s="11">
        <v>18</v>
      </c>
      <c r="P281" s="11"/>
      <c r="Q281" s="11">
        <v>56</v>
      </c>
      <c r="R281" s="11"/>
      <c r="S281" s="11">
        <v>4</v>
      </c>
      <c r="T281" s="11"/>
      <c r="U281" s="11">
        <v>14</v>
      </c>
      <c r="V281" s="11"/>
      <c r="W281" s="11">
        <v>35</v>
      </c>
      <c r="X281" s="11">
        <v>51</v>
      </c>
      <c r="Y281" s="11"/>
      <c r="Z281" s="11">
        <v>71</v>
      </c>
      <c r="AA281" s="11"/>
      <c r="AB281" s="11">
        <v>8</v>
      </c>
      <c r="AC281" s="11"/>
      <c r="AD281" s="11">
        <v>25</v>
      </c>
      <c r="AE281" s="11"/>
      <c r="AF281" s="11">
        <v>65</v>
      </c>
      <c r="AG281" s="11"/>
      <c r="AH281" s="11">
        <v>34</v>
      </c>
    </row>
    <row r="282" spans="1:34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3">
        <v>0.81041666666666667</v>
      </c>
      <c r="K282" s="11"/>
      <c r="L282" s="14"/>
      <c r="M282" s="11" t="s">
        <v>74</v>
      </c>
      <c r="N282" s="11"/>
      <c r="O282" s="11" t="s">
        <v>107</v>
      </c>
      <c r="P282" s="11"/>
      <c r="Q282" s="11" t="s">
        <v>107</v>
      </c>
      <c r="R282" s="11"/>
      <c r="S282" s="11" t="s">
        <v>108</v>
      </c>
      <c r="T282" s="11"/>
      <c r="U282" s="11" t="s">
        <v>108</v>
      </c>
      <c r="V282" s="11"/>
      <c r="W282" s="11" t="s">
        <v>174</v>
      </c>
      <c r="X282" s="11" t="s">
        <v>74</v>
      </c>
      <c r="Y282" s="11"/>
      <c r="Z282" s="11" t="s">
        <v>74</v>
      </c>
      <c r="AA282" s="11"/>
      <c r="AB282" s="11" t="s">
        <v>107</v>
      </c>
      <c r="AC282" s="11"/>
      <c r="AD282" s="11" t="s">
        <v>108</v>
      </c>
      <c r="AE282" s="11"/>
      <c r="AF282" s="11" t="s">
        <v>108</v>
      </c>
      <c r="AG282" s="11"/>
      <c r="AH282" s="11" t="s">
        <v>174</v>
      </c>
    </row>
    <row r="283" spans="1:34" x14ac:dyDescent="0.25">
      <c r="A283" s="11">
        <v>110</v>
      </c>
      <c r="B283" s="11"/>
      <c r="C283" s="11"/>
      <c r="D283" s="11"/>
      <c r="E283" s="11"/>
      <c r="F283" s="11"/>
      <c r="G283" s="11"/>
      <c r="H283" s="11">
        <v>2</v>
      </c>
      <c r="I283" s="11" t="s">
        <v>175</v>
      </c>
      <c r="J283" s="13">
        <v>2.7083333333333334E-2</v>
      </c>
      <c r="K283" s="11" t="s">
        <v>188</v>
      </c>
      <c r="L283" s="14" t="s">
        <v>284</v>
      </c>
      <c r="M283" s="11">
        <v>63</v>
      </c>
      <c r="N283" s="11"/>
      <c r="O283" s="11">
        <v>18</v>
      </c>
      <c r="P283" s="11"/>
      <c r="Q283" s="11">
        <v>56</v>
      </c>
      <c r="R283" s="11"/>
      <c r="S283" s="11">
        <v>4</v>
      </c>
      <c r="T283" s="11"/>
      <c r="U283" s="11">
        <v>14</v>
      </c>
      <c r="V283" s="11"/>
      <c r="W283" s="11">
        <v>35</v>
      </c>
      <c r="X283" s="11">
        <v>51</v>
      </c>
      <c r="Y283" s="11"/>
      <c r="Z283" s="11">
        <v>71</v>
      </c>
      <c r="AA283" s="11"/>
      <c r="AB283" s="11">
        <v>8</v>
      </c>
      <c r="AC283" s="11"/>
      <c r="AD283" s="11">
        <v>52</v>
      </c>
      <c r="AE283" s="11"/>
      <c r="AF283" s="11">
        <v>53</v>
      </c>
      <c r="AG283" s="11"/>
      <c r="AH283" s="11">
        <v>34</v>
      </c>
    </row>
    <row r="284" spans="1:34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3">
        <v>0.80625000000000002</v>
      </c>
      <c r="K284" s="11"/>
      <c r="L284" s="14"/>
      <c r="M284" s="11" t="s">
        <v>74</v>
      </c>
      <c r="N284" s="11"/>
      <c r="O284" s="11" t="s">
        <v>107</v>
      </c>
      <c r="P284" s="11"/>
      <c r="Q284" s="11" t="s">
        <v>107</v>
      </c>
      <c r="R284" s="11"/>
      <c r="S284" s="11" t="s">
        <v>108</v>
      </c>
      <c r="T284" s="11"/>
      <c r="U284" s="11" t="s">
        <v>108</v>
      </c>
      <c r="V284" s="11"/>
      <c r="W284" s="11" t="s">
        <v>174</v>
      </c>
      <c r="X284" s="11" t="s">
        <v>74</v>
      </c>
      <c r="Y284" s="11"/>
      <c r="Z284" s="11" t="s">
        <v>74</v>
      </c>
      <c r="AA284" s="11"/>
      <c r="AB284" s="11" t="s">
        <v>107</v>
      </c>
      <c r="AC284" s="11"/>
      <c r="AD284" s="11" t="s">
        <v>108</v>
      </c>
      <c r="AE284" s="11"/>
      <c r="AF284" s="11" t="s">
        <v>108</v>
      </c>
      <c r="AG284" s="11"/>
      <c r="AH284" s="11" t="s">
        <v>174</v>
      </c>
    </row>
    <row r="285" spans="1:34" x14ac:dyDescent="0.25">
      <c r="A285" s="11">
        <v>111</v>
      </c>
      <c r="B285" s="11"/>
      <c r="C285" s="11"/>
      <c r="D285" s="11"/>
      <c r="E285" s="11"/>
      <c r="F285" s="11"/>
      <c r="G285" s="11"/>
      <c r="H285" s="11">
        <v>2</v>
      </c>
      <c r="I285" s="11" t="s">
        <v>175</v>
      </c>
      <c r="J285" s="13">
        <v>3.5416666666666666E-2</v>
      </c>
      <c r="K285" s="11" t="s">
        <v>178</v>
      </c>
      <c r="L285" s="14" t="s">
        <v>285</v>
      </c>
      <c r="M285" s="11">
        <v>63</v>
      </c>
      <c r="N285" s="11"/>
      <c r="O285" s="11">
        <v>18</v>
      </c>
      <c r="P285" s="11"/>
      <c r="Q285" s="11">
        <v>56</v>
      </c>
      <c r="R285" s="11"/>
      <c r="S285" s="11">
        <v>4</v>
      </c>
      <c r="T285" s="11"/>
      <c r="U285" s="11">
        <v>14</v>
      </c>
      <c r="V285" s="11"/>
      <c r="W285" s="11">
        <v>35</v>
      </c>
      <c r="X285" s="11">
        <v>21</v>
      </c>
      <c r="Y285" s="11"/>
      <c r="Z285" s="11">
        <v>71</v>
      </c>
      <c r="AA285" s="11"/>
      <c r="AB285" s="11">
        <v>40</v>
      </c>
      <c r="AC285" s="11"/>
      <c r="AD285" s="11">
        <v>52</v>
      </c>
      <c r="AE285" s="11"/>
      <c r="AF285" s="11">
        <v>53</v>
      </c>
      <c r="AG285" s="11"/>
      <c r="AH285" s="11">
        <v>34</v>
      </c>
    </row>
    <row r="286" spans="1:34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3">
        <v>0.79791666666666661</v>
      </c>
      <c r="K286" s="11"/>
      <c r="L286" s="14"/>
      <c r="M286" s="11" t="s">
        <v>74</v>
      </c>
      <c r="N286" s="11"/>
      <c r="O286" s="11" t="s">
        <v>107</v>
      </c>
      <c r="P286" s="11"/>
      <c r="Q286" s="11" t="s">
        <v>107</v>
      </c>
      <c r="R286" s="11"/>
      <c r="S286" s="11" t="s">
        <v>108</v>
      </c>
      <c r="T286" s="11"/>
      <c r="U286" s="11" t="s">
        <v>108</v>
      </c>
      <c r="V286" s="11"/>
      <c r="W286" s="11" t="s">
        <v>174</v>
      </c>
      <c r="X286" s="11" t="s">
        <v>74</v>
      </c>
      <c r="Y286" s="11"/>
      <c r="Z286" s="11" t="s">
        <v>74</v>
      </c>
      <c r="AA286" s="11"/>
      <c r="AB286" s="11" t="s">
        <v>107</v>
      </c>
      <c r="AC286" s="11"/>
      <c r="AD286" s="11" t="s">
        <v>108</v>
      </c>
      <c r="AE286" s="11"/>
      <c r="AF286" s="11" t="s">
        <v>108</v>
      </c>
      <c r="AG286" s="11"/>
      <c r="AH286" s="11" t="s">
        <v>174</v>
      </c>
    </row>
    <row r="287" spans="1:34" x14ac:dyDescent="0.25">
      <c r="A287" s="11">
        <v>112</v>
      </c>
      <c r="B287" s="11"/>
      <c r="C287" s="11"/>
      <c r="D287" s="11"/>
      <c r="E287" s="11"/>
      <c r="F287" s="11"/>
      <c r="G287" s="11"/>
      <c r="H287" s="11">
        <v>2</v>
      </c>
      <c r="I287" s="11" t="s">
        <v>175</v>
      </c>
      <c r="J287" s="13">
        <v>5.6250000000000001E-2</v>
      </c>
      <c r="K287" s="11" t="s">
        <v>180</v>
      </c>
      <c r="L287" s="14" t="s">
        <v>286</v>
      </c>
      <c r="M287" s="11">
        <v>15</v>
      </c>
      <c r="N287" s="11"/>
      <c r="O287" s="11">
        <v>63</v>
      </c>
      <c r="P287" s="11"/>
      <c r="Q287" s="11">
        <v>9</v>
      </c>
      <c r="R287" s="11"/>
      <c r="S287" s="11">
        <v>59</v>
      </c>
      <c r="T287" s="11"/>
      <c r="U287" s="11">
        <v>76</v>
      </c>
      <c r="V287" s="11"/>
      <c r="W287" s="11">
        <v>35</v>
      </c>
      <c r="X287" s="11">
        <v>15</v>
      </c>
      <c r="Y287" s="11"/>
      <c r="Z287" s="11">
        <v>21</v>
      </c>
      <c r="AA287" s="11"/>
      <c r="AB287" s="11">
        <v>40</v>
      </c>
      <c r="AC287" s="11"/>
      <c r="AD287" s="11">
        <v>52</v>
      </c>
      <c r="AE287" s="11"/>
      <c r="AF287" s="11">
        <v>53</v>
      </c>
      <c r="AG287" s="11"/>
      <c r="AH287" s="11">
        <v>34</v>
      </c>
    </row>
    <row r="288" spans="1:34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3">
        <v>0.77708333333333324</v>
      </c>
      <c r="K288" s="11"/>
      <c r="L288" s="14"/>
      <c r="M288" s="11" t="s">
        <v>74</v>
      </c>
      <c r="N288" s="11"/>
      <c r="O288" s="11" t="s">
        <v>74</v>
      </c>
      <c r="P288" s="11"/>
      <c r="Q288" s="11" t="s">
        <v>107</v>
      </c>
      <c r="R288" s="11"/>
      <c r="S288" s="11" t="s">
        <v>108</v>
      </c>
      <c r="T288" s="11"/>
      <c r="U288" s="11" t="s">
        <v>108</v>
      </c>
      <c r="V288" s="11"/>
      <c r="W288" s="11" t="s">
        <v>174</v>
      </c>
      <c r="X288" s="11" t="s">
        <v>74</v>
      </c>
      <c r="Y288" s="11"/>
      <c r="Z288" s="11" t="s">
        <v>74</v>
      </c>
      <c r="AA288" s="11"/>
      <c r="AB288" s="11" t="s">
        <v>107</v>
      </c>
      <c r="AC288" s="11"/>
      <c r="AD288" s="11" t="s">
        <v>108</v>
      </c>
      <c r="AE288" s="11"/>
      <c r="AF288" s="11" t="s">
        <v>108</v>
      </c>
      <c r="AG288" s="11"/>
      <c r="AH288" s="11" t="s">
        <v>174</v>
      </c>
    </row>
    <row r="289" spans="1:34" x14ac:dyDescent="0.25">
      <c r="A289" s="11">
        <v>113</v>
      </c>
      <c r="B289" s="11"/>
      <c r="C289" s="11"/>
      <c r="D289" s="11"/>
      <c r="E289" s="11"/>
      <c r="F289" s="11"/>
      <c r="G289" s="11"/>
      <c r="H289" s="11">
        <v>2</v>
      </c>
      <c r="I289" s="11" t="s">
        <v>175</v>
      </c>
      <c r="J289" s="13">
        <v>6.8749999999999992E-2</v>
      </c>
      <c r="K289" s="11" t="s">
        <v>178</v>
      </c>
      <c r="L289" s="14" t="s">
        <v>287</v>
      </c>
      <c r="M289" s="11">
        <v>12</v>
      </c>
      <c r="N289" s="11"/>
      <c r="O289" s="11">
        <v>15</v>
      </c>
      <c r="P289" s="11"/>
      <c r="Q289" s="11">
        <v>9</v>
      </c>
      <c r="R289" s="11"/>
      <c r="S289" s="11">
        <v>59</v>
      </c>
      <c r="T289" s="11"/>
      <c r="U289" s="11">
        <v>76</v>
      </c>
      <c r="V289" s="11"/>
      <c r="W289" s="11">
        <v>35</v>
      </c>
      <c r="X289" s="11">
        <v>15</v>
      </c>
      <c r="Y289" s="11"/>
      <c r="Z289" s="11">
        <v>21</v>
      </c>
      <c r="AA289" s="11"/>
      <c r="AB289" s="11">
        <v>43</v>
      </c>
      <c r="AC289" s="11"/>
      <c r="AD289" s="11">
        <v>2</v>
      </c>
      <c r="AE289" s="11"/>
      <c r="AF289" s="11">
        <v>48</v>
      </c>
      <c r="AG289" s="11"/>
      <c r="AH289" s="11">
        <v>34</v>
      </c>
    </row>
    <row r="290" spans="1:34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3">
        <v>0.76458333333333339</v>
      </c>
      <c r="K290" s="11"/>
      <c r="L290" s="14"/>
      <c r="M290" s="11" t="s">
        <v>74</v>
      </c>
      <c r="N290" s="11"/>
      <c r="O290" s="11" t="s">
        <v>74</v>
      </c>
      <c r="P290" s="11"/>
      <c r="Q290" s="11" t="s">
        <v>107</v>
      </c>
      <c r="R290" s="11"/>
      <c r="S290" s="11" t="s">
        <v>108</v>
      </c>
      <c r="T290" s="11"/>
      <c r="U290" s="11" t="s">
        <v>108</v>
      </c>
      <c r="V290" s="11"/>
      <c r="W290" s="11" t="s">
        <v>174</v>
      </c>
      <c r="X290" s="11" t="s">
        <v>74</v>
      </c>
      <c r="Y290" s="11"/>
      <c r="Z290" s="11" t="s">
        <v>74</v>
      </c>
      <c r="AA290" s="11"/>
      <c r="AB290" s="11" t="s">
        <v>74</v>
      </c>
      <c r="AC290" s="11"/>
      <c r="AD290" s="11" t="s">
        <v>108</v>
      </c>
      <c r="AE290" s="11"/>
      <c r="AF290" s="11" t="s">
        <v>108</v>
      </c>
      <c r="AG290" s="11"/>
      <c r="AH290" s="11" t="s">
        <v>174</v>
      </c>
    </row>
    <row r="291" spans="1:34" x14ac:dyDescent="0.25">
      <c r="A291" s="11">
        <v>114</v>
      </c>
      <c r="B291" s="11"/>
      <c r="C291" s="11"/>
      <c r="D291" s="11"/>
      <c r="E291" s="11"/>
      <c r="F291" s="11"/>
      <c r="G291" s="11"/>
      <c r="H291" s="11">
        <v>2</v>
      </c>
      <c r="I291" s="11" t="s">
        <v>175</v>
      </c>
      <c r="J291" s="13">
        <v>7.013888888888889E-2</v>
      </c>
      <c r="K291" s="11" t="s">
        <v>188</v>
      </c>
      <c r="L291" s="14" t="s">
        <v>288</v>
      </c>
      <c r="M291" s="11">
        <v>12</v>
      </c>
      <c r="N291" s="11"/>
      <c r="O291" s="11">
        <v>15</v>
      </c>
      <c r="P291" s="11"/>
      <c r="Q291" s="11">
        <v>9</v>
      </c>
      <c r="R291" s="11"/>
      <c r="S291" s="11">
        <v>59</v>
      </c>
      <c r="T291" s="11"/>
      <c r="U291" s="11">
        <v>76</v>
      </c>
      <c r="V291" s="11"/>
      <c r="W291" s="11">
        <v>35</v>
      </c>
      <c r="X291" s="11">
        <v>15</v>
      </c>
      <c r="Y291" s="11"/>
      <c r="Z291" s="11">
        <v>21</v>
      </c>
      <c r="AA291" s="11"/>
      <c r="AB291" s="11">
        <v>43</v>
      </c>
      <c r="AC291" s="11"/>
      <c r="AD291" s="11">
        <v>2</v>
      </c>
      <c r="AE291" s="11"/>
      <c r="AF291" s="11">
        <v>48</v>
      </c>
      <c r="AG291" s="11"/>
      <c r="AH291" s="11">
        <v>34</v>
      </c>
    </row>
    <row r="292" spans="1:34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3">
        <v>0.7631944444444444</v>
      </c>
      <c r="K292" s="11"/>
      <c r="L292" s="14"/>
      <c r="M292" s="11" t="s">
        <v>74</v>
      </c>
      <c r="N292" s="11"/>
      <c r="O292" s="11" t="s">
        <v>74</v>
      </c>
      <c r="P292" s="11"/>
      <c r="Q292" s="11" t="s">
        <v>107</v>
      </c>
      <c r="R292" s="11"/>
      <c r="S292" s="11" t="s">
        <v>108</v>
      </c>
      <c r="T292" s="11"/>
      <c r="U292" s="11" t="s">
        <v>108</v>
      </c>
      <c r="V292" s="11"/>
      <c r="W292" s="11" t="s">
        <v>174</v>
      </c>
      <c r="X292" s="11" t="s">
        <v>74</v>
      </c>
      <c r="Y292" s="11"/>
      <c r="Z292" s="11" t="s">
        <v>74</v>
      </c>
      <c r="AA292" s="11"/>
      <c r="AB292" s="11" t="s">
        <v>74</v>
      </c>
      <c r="AC292" s="11"/>
      <c r="AD292" s="11" t="s">
        <v>108</v>
      </c>
      <c r="AE292" s="11"/>
      <c r="AF292" s="11" t="s">
        <v>108</v>
      </c>
      <c r="AG292" s="11"/>
      <c r="AH292" s="11" t="s">
        <v>174</v>
      </c>
    </row>
    <row r="293" spans="1:34" x14ac:dyDescent="0.25">
      <c r="A293" s="11">
        <v>115</v>
      </c>
      <c r="B293" s="11"/>
      <c r="C293" s="11"/>
      <c r="D293" s="11"/>
      <c r="E293" s="11"/>
      <c r="F293" s="11"/>
      <c r="G293" s="11"/>
      <c r="H293" s="11">
        <v>2</v>
      </c>
      <c r="I293" s="11" t="s">
        <v>175</v>
      </c>
      <c r="J293" s="13">
        <v>9.9999999999999992E-2</v>
      </c>
      <c r="K293" s="11" t="s">
        <v>180</v>
      </c>
      <c r="L293" s="14" t="s">
        <v>289</v>
      </c>
      <c r="M293" s="11">
        <v>10</v>
      </c>
      <c r="N293" s="11"/>
      <c r="O293" s="11">
        <v>33</v>
      </c>
      <c r="P293" s="11"/>
      <c r="Q293" s="11">
        <v>38</v>
      </c>
      <c r="R293" s="11"/>
      <c r="S293" s="11">
        <v>7</v>
      </c>
      <c r="T293" s="11"/>
      <c r="U293" s="11">
        <v>25</v>
      </c>
      <c r="V293" s="11"/>
      <c r="W293" s="11">
        <v>35</v>
      </c>
      <c r="X293" s="11">
        <v>14</v>
      </c>
      <c r="Y293" s="11"/>
      <c r="Z293" s="11">
        <v>43</v>
      </c>
      <c r="AA293" s="11"/>
      <c r="AB293" s="11">
        <v>62</v>
      </c>
      <c r="AC293" s="11"/>
      <c r="AD293" s="11">
        <v>2</v>
      </c>
      <c r="AE293" s="11"/>
      <c r="AF293" s="11">
        <v>48</v>
      </c>
      <c r="AG293" s="11"/>
      <c r="AH293" s="11">
        <v>34</v>
      </c>
    </row>
    <row r="294" spans="1:34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3">
        <v>0.73333333333333339</v>
      </c>
      <c r="K294" s="11"/>
      <c r="L294" s="14"/>
      <c r="M294" s="11" t="s">
        <v>74</v>
      </c>
      <c r="N294" s="11"/>
      <c r="O294" s="11" t="s">
        <v>74</v>
      </c>
      <c r="P294" s="11"/>
      <c r="Q294" s="11" t="s">
        <v>107</v>
      </c>
      <c r="R294" s="11"/>
      <c r="S294" s="11" t="s">
        <v>108</v>
      </c>
      <c r="T294" s="11"/>
      <c r="U294" s="11" t="s">
        <v>108</v>
      </c>
      <c r="V294" s="11"/>
      <c r="W294" s="11" t="s">
        <v>174</v>
      </c>
      <c r="X294" s="11" t="s">
        <v>74</v>
      </c>
      <c r="Y294" s="11"/>
      <c r="Z294" s="11" t="s">
        <v>74</v>
      </c>
      <c r="AA294" s="11"/>
      <c r="AB294" s="11" t="s">
        <v>107</v>
      </c>
      <c r="AC294" s="11"/>
      <c r="AD294" s="11" t="s">
        <v>108</v>
      </c>
      <c r="AE294" s="11"/>
      <c r="AF294" s="11" t="s">
        <v>108</v>
      </c>
      <c r="AG294" s="11"/>
      <c r="AH294" s="11" t="s">
        <v>174</v>
      </c>
    </row>
    <row r="295" spans="1:34" x14ac:dyDescent="0.25">
      <c r="A295" s="14">
        <v>116</v>
      </c>
      <c r="B295" s="14"/>
      <c r="C295" s="14"/>
      <c r="D295" s="14"/>
      <c r="E295" s="14"/>
      <c r="F295" s="14"/>
      <c r="G295" s="14"/>
      <c r="H295" s="4">
        <v>2</v>
      </c>
      <c r="I295" s="4" t="s">
        <v>175</v>
      </c>
      <c r="J295" s="53">
        <v>0.11041666666666666</v>
      </c>
      <c r="K295" s="4" t="s">
        <v>212</v>
      </c>
      <c r="L295" s="4" t="s">
        <v>290</v>
      </c>
      <c r="M295" s="4">
        <v>10</v>
      </c>
      <c r="O295" s="4">
        <v>16</v>
      </c>
      <c r="Q295" s="4">
        <v>9</v>
      </c>
      <c r="S295" s="4">
        <v>4</v>
      </c>
      <c r="U295" s="4">
        <v>14</v>
      </c>
      <c r="W295" s="4">
        <v>35</v>
      </c>
      <c r="X295" s="4">
        <v>29</v>
      </c>
      <c r="Z295" s="4">
        <v>41</v>
      </c>
      <c r="AB295" s="4">
        <v>62</v>
      </c>
      <c r="AD295" s="4">
        <v>52</v>
      </c>
      <c r="AF295" s="4">
        <v>53</v>
      </c>
      <c r="AH295" s="4">
        <v>34</v>
      </c>
    </row>
    <row r="296" spans="1:34" ht="18.75" x14ac:dyDescent="0.3">
      <c r="A296" s="15"/>
      <c r="B296" s="15"/>
      <c r="C296" s="15"/>
      <c r="D296" s="16"/>
      <c r="E296" s="15"/>
      <c r="F296" s="15"/>
      <c r="G296" s="15"/>
      <c r="J296" s="53">
        <v>0.72291666666666676</v>
      </c>
      <c r="M296" s="4" t="s">
        <v>74</v>
      </c>
      <c r="O296" s="4" t="s">
        <v>74</v>
      </c>
      <c r="Q296" s="4" t="s">
        <v>107</v>
      </c>
      <c r="S296" s="4" t="s">
        <v>108</v>
      </c>
      <c r="U296" s="4" t="s">
        <v>108</v>
      </c>
      <c r="W296" s="4" t="s">
        <v>174</v>
      </c>
      <c r="X296" s="4" t="s">
        <v>74</v>
      </c>
      <c r="Z296" s="4" t="s">
        <v>74</v>
      </c>
      <c r="AB296" s="4" t="s">
        <v>107</v>
      </c>
      <c r="AD296" s="4" t="s">
        <v>108</v>
      </c>
      <c r="AF296" s="4" t="s">
        <v>108</v>
      </c>
      <c r="AH296" s="4" t="s">
        <v>174</v>
      </c>
    </row>
    <row r="297" spans="1:34" ht="51" x14ac:dyDescent="0.75">
      <c r="A297" s="1">
        <v>117</v>
      </c>
      <c r="B297" s="17"/>
      <c r="C297" s="1"/>
      <c r="D297" s="16"/>
      <c r="E297" s="1"/>
      <c r="F297" s="17"/>
      <c r="G297" s="1"/>
      <c r="H297" s="4">
        <v>2</v>
      </c>
      <c r="I297" s="4" t="s">
        <v>175</v>
      </c>
      <c r="J297" s="53">
        <v>0.12222222222222223</v>
      </c>
      <c r="K297" s="4" t="s">
        <v>178</v>
      </c>
      <c r="L297" s="4" t="s">
        <v>291</v>
      </c>
      <c r="M297" s="4">
        <v>10</v>
      </c>
      <c r="O297" s="4">
        <v>16</v>
      </c>
      <c r="Q297" s="4">
        <v>9</v>
      </c>
      <c r="S297" s="4">
        <v>4</v>
      </c>
      <c r="U297" s="4">
        <v>14</v>
      </c>
      <c r="W297" s="4">
        <v>35</v>
      </c>
      <c r="X297" s="4">
        <v>29</v>
      </c>
      <c r="Z297" s="4">
        <v>41</v>
      </c>
      <c r="AB297" s="4">
        <v>20</v>
      </c>
      <c r="AD297" s="4">
        <v>52</v>
      </c>
      <c r="AF297" s="4">
        <v>53</v>
      </c>
      <c r="AH297" s="4">
        <v>34</v>
      </c>
    </row>
    <row r="298" spans="1:34" x14ac:dyDescent="0.25">
      <c r="A298" s="18"/>
      <c r="B298" s="18"/>
      <c r="C298" s="18"/>
      <c r="D298" s="18"/>
      <c r="E298" s="18"/>
      <c r="F298" s="18"/>
      <c r="G298" s="18"/>
      <c r="J298" s="53">
        <v>0.71111111111111114</v>
      </c>
      <c r="M298" s="4" t="s">
        <v>74</v>
      </c>
      <c r="O298" s="4" t="s">
        <v>74</v>
      </c>
      <c r="Q298" s="4" t="s">
        <v>107</v>
      </c>
      <c r="S298" s="4" t="s">
        <v>108</v>
      </c>
      <c r="U298" s="4" t="s">
        <v>108</v>
      </c>
      <c r="W298" s="4" t="s">
        <v>174</v>
      </c>
      <c r="X298" s="4" t="s">
        <v>74</v>
      </c>
      <c r="Z298" s="4" t="s">
        <v>74</v>
      </c>
      <c r="AB298" s="4" t="s">
        <v>107</v>
      </c>
      <c r="AD298" s="4" t="s">
        <v>108</v>
      </c>
      <c r="AF298" s="4" t="s">
        <v>108</v>
      </c>
      <c r="AH298" s="4" t="s">
        <v>174</v>
      </c>
    </row>
    <row r="299" spans="1:34" x14ac:dyDescent="0.25">
      <c r="A299" s="18">
        <v>118</v>
      </c>
      <c r="B299" s="18"/>
      <c r="C299" s="18"/>
      <c r="D299" s="18"/>
      <c r="E299" s="18"/>
      <c r="F299" s="18"/>
      <c r="G299" s="18"/>
      <c r="H299" s="4">
        <v>2</v>
      </c>
      <c r="I299" s="4" t="s">
        <v>175</v>
      </c>
      <c r="J299" s="53">
        <v>0.12847222222222224</v>
      </c>
      <c r="K299" s="4" t="s">
        <v>231</v>
      </c>
      <c r="L299" s="4" t="s">
        <v>292</v>
      </c>
      <c r="M299" s="4">
        <v>10</v>
      </c>
      <c r="O299" s="4">
        <v>16</v>
      </c>
      <c r="Q299" s="4">
        <v>9</v>
      </c>
      <c r="S299" s="4">
        <v>4</v>
      </c>
      <c r="U299" s="4">
        <v>14</v>
      </c>
      <c r="W299" s="4">
        <v>35</v>
      </c>
      <c r="X299" s="4">
        <v>29</v>
      </c>
      <c r="Z299" s="4">
        <v>41</v>
      </c>
      <c r="AB299" s="4">
        <v>20</v>
      </c>
      <c r="AD299" s="4">
        <v>52</v>
      </c>
      <c r="AF299" s="4">
        <v>53</v>
      </c>
      <c r="AH299" s="4">
        <v>34</v>
      </c>
    </row>
    <row r="300" spans="1:34" x14ac:dyDescent="0.25">
      <c r="A300" s="19"/>
      <c r="B300" s="19"/>
      <c r="C300" s="19"/>
      <c r="D300" s="18"/>
      <c r="E300" s="19"/>
      <c r="F300" s="19"/>
      <c r="G300" s="19"/>
      <c r="J300" s="53">
        <v>0.70486111111111116</v>
      </c>
      <c r="M300" s="4" t="s">
        <v>74</v>
      </c>
      <c r="O300" s="4" t="s">
        <v>74</v>
      </c>
      <c r="Q300" s="4" t="s">
        <v>107</v>
      </c>
      <c r="S300" s="4" t="s">
        <v>108</v>
      </c>
      <c r="U300" s="4" t="s">
        <v>108</v>
      </c>
      <c r="W300" s="4" t="s">
        <v>174</v>
      </c>
      <c r="X300" s="4" t="s">
        <v>74</v>
      </c>
      <c r="Z300" s="4" t="s">
        <v>74</v>
      </c>
      <c r="AB300" s="4" t="s">
        <v>107</v>
      </c>
      <c r="AD300" s="4" t="s">
        <v>108</v>
      </c>
      <c r="AF300" s="4" t="s">
        <v>108</v>
      </c>
      <c r="AH300" s="4" t="s">
        <v>174</v>
      </c>
    </row>
    <row r="301" spans="1:34" x14ac:dyDescent="0.25">
      <c r="A301" s="19">
        <v>119</v>
      </c>
      <c r="B301" s="19"/>
      <c r="C301" s="19"/>
      <c r="D301" s="18"/>
      <c r="E301" s="19"/>
      <c r="F301" s="19"/>
      <c r="G301" s="19"/>
      <c r="H301" s="4">
        <v>2</v>
      </c>
      <c r="I301" s="4" t="s">
        <v>175</v>
      </c>
      <c r="J301" s="53">
        <v>0.13333333333333333</v>
      </c>
      <c r="K301" s="4" t="s">
        <v>180</v>
      </c>
      <c r="L301" s="4" t="s">
        <v>293</v>
      </c>
      <c r="M301" s="4">
        <v>10</v>
      </c>
      <c r="O301" s="4">
        <v>16</v>
      </c>
      <c r="Q301" s="4">
        <v>9</v>
      </c>
      <c r="S301" s="4">
        <v>4</v>
      </c>
      <c r="U301" s="4">
        <v>14</v>
      </c>
      <c r="W301" s="4">
        <v>35</v>
      </c>
      <c r="X301" s="4">
        <v>29</v>
      </c>
      <c r="Z301" s="4">
        <v>41</v>
      </c>
      <c r="AB301" s="4">
        <v>20</v>
      </c>
      <c r="AD301" s="4">
        <v>52</v>
      </c>
      <c r="AF301" s="4">
        <v>53</v>
      </c>
      <c r="AH301" s="4">
        <v>34</v>
      </c>
    </row>
    <row r="302" spans="1:34" x14ac:dyDescent="0.25">
      <c r="A302" s="19"/>
      <c r="B302" s="19"/>
      <c r="C302" s="19"/>
      <c r="D302" s="18"/>
      <c r="E302" s="19"/>
      <c r="F302" s="19"/>
      <c r="G302" s="19"/>
      <c r="J302" s="53">
        <v>0.70000000000000007</v>
      </c>
      <c r="M302" s="4" t="s">
        <v>74</v>
      </c>
      <c r="O302" s="4" t="s">
        <v>74</v>
      </c>
      <c r="Q302" s="4" t="s">
        <v>107</v>
      </c>
      <c r="S302" s="4" t="s">
        <v>108</v>
      </c>
      <c r="U302" s="4" t="s">
        <v>108</v>
      </c>
      <c r="W302" s="4" t="s">
        <v>174</v>
      </c>
      <c r="X302" s="4" t="s">
        <v>74</v>
      </c>
      <c r="Z302" s="4" t="s">
        <v>74</v>
      </c>
      <c r="AB302" s="4" t="s">
        <v>107</v>
      </c>
      <c r="AD302" s="4" t="s">
        <v>108</v>
      </c>
      <c r="AF302" s="4" t="s">
        <v>108</v>
      </c>
      <c r="AH302" s="4" t="s">
        <v>174</v>
      </c>
    </row>
    <row r="303" spans="1:34" x14ac:dyDescent="0.25">
      <c r="A303" s="19">
        <v>120</v>
      </c>
      <c r="B303" s="19"/>
      <c r="C303" s="19"/>
      <c r="D303" s="18"/>
      <c r="E303" s="19"/>
      <c r="F303" s="19"/>
      <c r="G303" s="19"/>
      <c r="H303" s="4">
        <v>2</v>
      </c>
      <c r="I303" s="4" t="s">
        <v>175</v>
      </c>
      <c r="J303" s="53">
        <v>0.13680555555555554</v>
      </c>
      <c r="K303" s="4" t="s">
        <v>180</v>
      </c>
      <c r="L303" s="4" t="s">
        <v>294</v>
      </c>
      <c r="M303" s="4">
        <v>10</v>
      </c>
      <c r="O303" s="4">
        <v>16</v>
      </c>
      <c r="Q303" s="4">
        <v>9</v>
      </c>
      <c r="S303" s="4">
        <v>4</v>
      </c>
      <c r="U303" s="4">
        <v>14</v>
      </c>
      <c r="W303" s="4">
        <v>35</v>
      </c>
      <c r="X303" s="4">
        <v>29</v>
      </c>
      <c r="Z303" s="4">
        <v>41</v>
      </c>
      <c r="AB303" s="4">
        <v>20</v>
      </c>
      <c r="AD303" s="4">
        <v>25</v>
      </c>
      <c r="AF303" s="4">
        <v>53</v>
      </c>
      <c r="AH303" s="4">
        <v>34</v>
      </c>
    </row>
    <row r="304" spans="1:34" x14ac:dyDescent="0.25">
      <c r="A304" s="14"/>
      <c r="B304" s="14"/>
      <c r="C304" s="14"/>
      <c r="D304" s="14"/>
      <c r="E304" s="14"/>
      <c r="F304" s="14"/>
      <c r="G304" s="14"/>
      <c r="H304" s="14"/>
      <c r="I304" s="14"/>
      <c r="J304" s="54">
        <v>0.69652777777777775</v>
      </c>
      <c r="K304" s="14"/>
      <c r="L304" s="14"/>
      <c r="M304" s="14" t="s">
        <v>74</v>
      </c>
      <c r="N304" s="14"/>
      <c r="O304" s="14" t="s">
        <v>74</v>
      </c>
      <c r="P304" s="14"/>
      <c r="Q304" s="14" t="s">
        <v>107</v>
      </c>
      <c r="R304" s="14"/>
      <c r="S304" s="14" t="s">
        <v>108</v>
      </c>
      <c r="T304" s="14"/>
      <c r="U304" s="14" t="s">
        <v>108</v>
      </c>
      <c r="V304" s="14"/>
      <c r="W304" s="14" t="s">
        <v>174</v>
      </c>
      <c r="X304" s="14" t="s">
        <v>74</v>
      </c>
      <c r="Y304" s="14"/>
      <c r="Z304" s="14" t="s">
        <v>74</v>
      </c>
      <c r="AA304" s="14"/>
      <c r="AB304" s="14" t="s">
        <v>107</v>
      </c>
      <c r="AC304" s="14"/>
      <c r="AD304" s="14" t="s">
        <v>108</v>
      </c>
      <c r="AE304" s="14"/>
      <c r="AF304" s="14" t="s">
        <v>108</v>
      </c>
      <c r="AG304" s="14"/>
      <c r="AH304" s="14" t="s">
        <v>174</v>
      </c>
    </row>
    <row r="305" spans="1:34" x14ac:dyDescent="0.25">
      <c r="A305" s="11">
        <v>121</v>
      </c>
      <c r="B305" s="11"/>
      <c r="C305" s="11"/>
      <c r="D305" s="11"/>
      <c r="E305" s="11"/>
      <c r="F305" s="11"/>
      <c r="G305" s="11"/>
      <c r="H305" s="11">
        <v>2</v>
      </c>
      <c r="I305" s="11" t="s">
        <v>175</v>
      </c>
      <c r="J305" s="13">
        <v>0.1388888888888889</v>
      </c>
      <c r="K305" s="11" t="s">
        <v>178</v>
      </c>
      <c r="L305" s="12" t="s">
        <v>295</v>
      </c>
      <c r="M305" s="11">
        <v>10</v>
      </c>
      <c r="N305" s="11"/>
      <c r="O305" s="11">
        <v>16</v>
      </c>
      <c r="P305" s="11"/>
      <c r="Q305" s="11">
        <v>9</v>
      </c>
      <c r="R305" s="11"/>
      <c r="S305" s="11">
        <v>4</v>
      </c>
      <c r="T305" s="11"/>
      <c r="U305" s="11">
        <v>14</v>
      </c>
      <c r="V305" s="11"/>
      <c r="W305" s="11">
        <v>35</v>
      </c>
      <c r="X305" s="11">
        <v>29</v>
      </c>
      <c r="Y305" s="11"/>
      <c r="Z305" s="11">
        <v>41</v>
      </c>
      <c r="AA305" s="11"/>
      <c r="AB305" s="11">
        <v>20</v>
      </c>
      <c r="AC305" s="11"/>
      <c r="AD305" s="11">
        <v>25</v>
      </c>
      <c r="AE305" s="11"/>
      <c r="AF305" s="11">
        <v>53</v>
      </c>
      <c r="AG305" s="11"/>
      <c r="AH305" s="11">
        <v>34</v>
      </c>
    </row>
    <row r="306" spans="1:34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3">
        <v>0.69444444444444453</v>
      </c>
      <c r="K306" s="11"/>
      <c r="L306" s="12"/>
      <c r="M306" s="11" t="s">
        <v>74</v>
      </c>
      <c r="N306" s="11"/>
      <c r="O306" s="11" t="s">
        <v>74</v>
      </c>
      <c r="P306" s="11"/>
      <c r="Q306" s="11" t="s">
        <v>107</v>
      </c>
      <c r="R306" s="11"/>
      <c r="S306" s="11" t="s">
        <v>108</v>
      </c>
      <c r="T306" s="11"/>
      <c r="U306" s="11" t="s">
        <v>108</v>
      </c>
      <c r="V306" s="11"/>
      <c r="W306" s="11" t="s">
        <v>174</v>
      </c>
      <c r="X306" s="11" t="s">
        <v>74</v>
      </c>
      <c r="Y306" s="11"/>
      <c r="Z306" s="11" t="s">
        <v>74</v>
      </c>
      <c r="AA306" s="11"/>
      <c r="AB306" s="11" t="s">
        <v>107</v>
      </c>
      <c r="AC306" s="11"/>
      <c r="AD306" s="11" t="s">
        <v>108</v>
      </c>
      <c r="AE306" s="11"/>
      <c r="AF306" s="11" t="s">
        <v>108</v>
      </c>
      <c r="AG306" s="11"/>
      <c r="AH306" s="11" t="s">
        <v>174</v>
      </c>
    </row>
    <row r="307" spans="1:34" x14ac:dyDescent="0.25">
      <c r="A307" s="11">
        <v>122</v>
      </c>
      <c r="B307" s="11"/>
      <c r="C307" s="11"/>
      <c r="D307" s="11"/>
      <c r="E307" s="11"/>
      <c r="F307" s="11"/>
      <c r="G307" s="11"/>
      <c r="H307" s="11">
        <v>2</v>
      </c>
      <c r="I307" s="11" t="s">
        <v>175</v>
      </c>
      <c r="J307" s="13">
        <v>0.14583333333333334</v>
      </c>
      <c r="K307" s="11" t="s">
        <v>180</v>
      </c>
      <c r="L307" s="12" t="s">
        <v>296</v>
      </c>
      <c r="M307" s="11">
        <v>10</v>
      </c>
      <c r="N307" s="11"/>
      <c r="O307" s="11">
        <v>16</v>
      </c>
      <c r="P307" s="11"/>
      <c r="Q307" s="11">
        <v>9</v>
      </c>
      <c r="R307" s="11"/>
      <c r="S307" s="11">
        <v>4</v>
      </c>
      <c r="T307" s="11"/>
      <c r="U307" s="11">
        <v>14</v>
      </c>
      <c r="V307" s="11"/>
      <c r="W307" s="11">
        <v>35</v>
      </c>
      <c r="X307" s="11">
        <v>29</v>
      </c>
      <c r="Y307" s="11"/>
      <c r="Z307" s="11">
        <v>41</v>
      </c>
      <c r="AA307" s="11"/>
      <c r="AB307" s="11">
        <v>20</v>
      </c>
      <c r="AC307" s="11"/>
      <c r="AD307" s="11">
        <v>25</v>
      </c>
      <c r="AE307" s="11"/>
      <c r="AF307" s="11">
        <v>53</v>
      </c>
      <c r="AG307" s="11"/>
      <c r="AH307" s="11">
        <v>34</v>
      </c>
    </row>
    <row r="308" spans="1:34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3">
        <v>0.6875</v>
      </c>
      <c r="K308" s="11"/>
      <c r="L308" s="14"/>
      <c r="M308" s="11" t="s">
        <v>74</v>
      </c>
      <c r="N308" s="11"/>
      <c r="O308" s="11" t="s">
        <v>74</v>
      </c>
      <c r="P308" s="11"/>
      <c r="Q308" s="11" t="s">
        <v>107</v>
      </c>
      <c r="R308" s="11"/>
      <c r="S308" s="11" t="s">
        <v>108</v>
      </c>
      <c r="T308" s="11"/>
      <c r="U308" s="11" t="s">
        <v>108</v>
      </c>
      <c r="V308" s="11"/>
      <c r="W308" s="11" t="s">
        <v>174</v>
      </c>
      <c r="X308" s="11" t="s">
        <v>74</v>
      </c>
      <c r="Y308" s="11"/>
      <c r="Z308" s="11" t="s">
        <v>74</v>
      </c>
      <c r="AA308" s="11"/>
      <c r="AB308" s="11" t="s">
        <v>107</v>
      </c>
      <c r="AC308" s="11"/>
      <c r="AD308" s="11" t="s">
        <v>108</v>
      </c>
      <c r="AE308" s="11"/>
      <c r="AF308" s="11" t="s">
        <v>108</v>
      </c>
      <c r="AG308" s="11"/>
      <c r="AH308" s="11" t="s">
        <v>174</v>
      </c>
    </row>
    <row r="309" spans="1:34" x14ac:dyDescent="0.25">
      <c r="A309" s="11">
        <v>123</v>
      </c>
      <c r="B309" s="11"/>
      <c r="C309" s="11"/>
      <c r="D309" s="11"/>
      <c r="E309" s="11"/>
      <c r="F309" s="11"/>
      <c r="G309" s="11"/>
      <c r="H309" s="11">
        <v>2</v>
      </c>
      <c r="I309" s="11"/>
      <c r="J309" s="13">
        <v>0.14652777777777778</v>
      </c>
      <c r="K309" s="11" t="s">
        <v>182</v>
      </c>
      <c r="L309" s="14" t="s">
        <v>297</v>
      </c>
      <c r="M309" s="11">
        <v>10</v>
      </c>
      <c r="N309" s="11"/>
      <c r="O309" s="11">
        <v>16</v>
      </c>
      <c r="P309" s="11"/>
      <c r="Q309" s="11">
        <v>9</v>
      </c>
      <c r="R309" s="11"/>
      <c r="S309" s="11">
        <v>4</v>
      </c>
      <c r="T309" s="11"/>
      <c r="U309" s="11">
        <v>14</v>
      </c>
      <c r="V309" s="11"/>
      <c r="W309" s="11">
        <v>35</v>
      </c>
      <c r="X309" s="11">
        <v>29</v>
      </c>
      <c r="Y309" s="11"/>
      <c r="Z309" s="11">
        <v>41</v>
      </c>
      <c r="AA309" s="11"/>
      <c r="AB309" s="11">
        <v>20</v>
      </c>
      <c r="AC309" s="11"/>
      <c r="AD309" s="11">
        <v>25</v>
      </c>
      <c r="AE309" s="11"/>
      <c r="AF309" s="11">
        <v>53</v>
      </c>
      <c r="AG309" s="11"/>
      <c r="AH309" s="11">
        <v>34</v>
      </c>
    </row>
    <row r="310" spans="1:34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3">
        <v>0.68680555555555556</v>
      </c>
      <c r="K310" s="11"/>
      <c r="L310" s="14"/>
      <c r="M310" s="11" t="s">
        <v>74</v>
      </c>
      <c r="N310" s="11"/>
      <c r="O310" s="11" t="s">
        <v>74</v>
      </c>
      <c r="P310" s="11"/>
      <c r="Q310" s="11" t="s">
        <v>107</v>
      </c>
      <c r="R310" s="11"/>
      <c r="S310" s="11" t="s">
        <v>108</v>
      </c>
      <c r="T310" s="11"/>
      <c r="U310" s="11" t="s">
        <v>108</v>
      </c>
      <c r="V310" s="11"/>
      <c r="W310" s="11" t="s">
        <v>174</v>
      </c>
      <c r="X310" s="11" t="s">
        <v>74</v>
      </c>
      <c r="Y310" s="11"/>
      <c r="Z310" s="11" t="s">
        <v>74</v>
      </c>
      <c r="AA310" s="11"/>
      <c r="AB310" s="11" t="s">
        <v>107</v>
      </c>
      <c r="AC310" s="11"/>
      <c r="AD310" s="11" t="s">
        <v>108</v>
      </c>
      <c r="AE310" s="11"/>
      <c r="AF310" s="11" t="s">
        <v>108</v>
      </c>
      <c r="AG310" s="11"/>
      <c r="AH310" s="11" t="s">
        <v>174</v>
      </c>
    </row>
    <row r="311" spans="1:34" x14ac:dyDescent="0.25">
      <c r="A311" s="11">
        <v>124</v>
      </c>
      <c r="B311" s="11"/>
      <c r="C311" s="11"/>
      <c r="D311" s="11"/>
      <c r="E311" s="11"/>
      <c r="F311" s="11"/>
      <c r="G311" s="11"/>
      <c r="H311" s="11">
        <v>2</v>
      </c>
      <c r="I311" s="11" t="s">
        <v>175</v>
      </c>
      <c r="J311" s="13">
        <v>0.14652777777777778</v>
      </c>
      <c r="K311" s="11" t="s">
        <v>176</v>
      </c>
      <c r="L311" s="14" t="s">
        <v>298</v>
      </c>
      <c r="M311" s="11">
        <v>19</v>
      </c>
      <c r="N311" s="11"/>
      <c r="O311" s="11">
        <v>18</v>
      </c>
      <c r="P311" s="11"/>
      <c r="Q311" s="11">
        <v>56</v>
      </c>
      <c r="R311" s="11"/>
      <c r="S311" s="11">
        <v>59</v>
      </c>
      <c r="T311" s="11"/>
      <c r="U311" s="11">
        <v>76</v>
      </c>
      <c r="V311" s="11"/>
      <c r="W311" s="11">
        <v>35</v>
      </c>
      <c r="X311" s="11">
        <v>51</v>
      </c>
      <c r="Y311" s="11"/>
      <c r="Z311" s="11">
        <v>71</v>
      </c>
      <c r="AA311" s="11"/>
      <c r="AB311" s="11">
        <v>8</v>
      </c>
      <c r="AC311" s="11"/>
      <c r="AD311" s="11">
        <v>25</v>
      </c>
      <c r="AE311" s="11"/>
      <c r="AF311" s="11">
        <v>65</v>
      </c>
      <c r="AG311" s="11"/>
      <c r="AH311" s="11">
        <v>34</v>
      </c>
    </row>
    <row r="312" spans="1:34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3">
        <v>0.68680555555555556</v>
      </c>
      <c r="K312" s="11"/>
      <c r="L312" s="14"/>
      <c r="M312" s="11" t="s">
        <v>74</v>
      </c>
      <c r="N312" s="11"/>
      <c r="O312" s="11" t="s">
        <v>107</v>
      </c>
      <c r="P312" s="11"/>
      <c r="Q312" s="11" t="s">
        <v>107</v>
      </c>
      <c r="R312" s="11"/>
      <c r="S312" s="11" t="s">
        <v>108</v>
      </c>
      <c r="T312" s="11"/>
      <c r="U312" s="11" t="s">
        <v>108</v>
      </c>
      <c r="V312" s="11"/>
      <c r="W312" s="11" t="s">
        <v>174</v>
      </c>
      <c r="X312" s="11" t="s">
        <v>74</v>
      </c>
      <c r="Y312" s="11"/>
      <c r="Z312" s="11" t="s">
        <v>74</v>
      </c>
      <c r="AA312" s="11"/>
      <c r="AB312" s="11" t="s">
        <v>107</v>
      </c>
      <c r="AC312" s="11"/>
      <c r="AD312" s="11" t="s">
        <v>108</v>
      </c>
      <c r="AE312" s="11"/>
      <c r="AF312" s="11" t="s">
        <v>108</v>
      </c>
      <c r="AG312" s="11"/>
      <c r="AH312" s="11" t="s">
        <v>174</v>
      </c>
    </row>
    <row r="313" spans="1:34" x14ac:dyDescent="0.25">
      <c r="A313" s="11">
        <v>125</v>
      </c>
      <c r="B313" s="11"/>
      <c r="C313" s="11"/>
      <c r="D313" s="11"/>
      <c r="E313" s="11"/>
      <c r="F313" s="11"/>
      <c r="G313" s="11"/>
      <c r="H313" s="11">
        <v>2</v>
      </c>
      <c r="I313" s="11" t="s">
        <v>175</v>
      </c>
      <c r="J313" s="13">
        <v>0.15972222222222224</v>
      </c>
      <c r="K313" s="11" t="s">
        <v>178</v>
      </c>
      <c r="L313" s="14" t="s">
        <v>299</v>
      </c>
      <c r="M313" s="11">
        <v>19</v>
      </c>
      <c r="N313" s="11"/>
      <c r="O313" s="11">
        <v>18</v>
      </c>
      <c r="P313" s="11"/>
      <c r="Q313" s="11">
        <v>56</v>
      </c>
      <c r="R313" s="11"/>
      <c r="S313" s="11">
        <v>59</v>
      </c>
      <c r="T313" s="11"/>
      <c r="U313" s="11">
        <v>76</v>
      </c>
      <c r="V313" s="11"/>
      <c r="W313" s="11">
        <v>35</v>
      </c>
      <c r="X313" s="11">
        <v>51</v>
      </c>
      <c r="Y313" s="11"/>
      <c r="Z313" s="11">
        <v>71</v>
      </c>
      <c r="AA313" s="11"/>
      <c r="AB313" s="11">
        <v>8</v>
      </c>
      <c r="AC313" s="11"/>
      <c r="AD313" s="11">
        <v>25</v>
      </c>
      <c r="AE313" s="11"/>
      <c r="AF313" s="11">
        <v>65</v>
      </c>
      <c r="AG313" s="11"/>
      <c r="AH313" s="11">
        <v>34</v>
      </c>
    </row>
    <row r="314" spans="1:34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3">
        <v>0.67361111111111116</v>
      </c>
      <c r="K314" s="11"/>
      <c r="L314" s="14"/>
      <c r="M314" s="11" t="s">
        <v>74</v>
      </c>
      <c r="N314" s="11"/>
      <c r="O314" s="11" t="s">
        <v>107</v>
      </c>
      <c r="P314" s="11"/>
      <c r="Q314" s="11" t="s">
        <v>107</v>
      </c>
      <c r="R314" s="11"/>
      <c r="S314" s="11" t="s">
        <v>108</v>
      </c>
      <c r="T314" s="11"/>
      <c r="U314" s="11" t="s">
        <v>108</v>
      </c>
      <c r="V314" s="11"/>
      <c r="W314" s="11" t="s">
        <v>174</v>
      </c>
      <c r="X314" s="11" t="s">
        <v>74</v>
      </c>
      <c r="Y314" s="11"/>
      <c r="Z314" s="11" t="s">
        <v>74</v>
      </c>
      <c r="AA314" s="11"/>
      <c r="AB314" s="11" t="s">
        <v>107</v>
      </c>
      <c r="AC314" s="11"/>
      <c r="AD314" s="11" t="s">
        <v>108</v>
      </c>
      <c r="AE314" s="11"/>
      <c r="AF314" s="11" t="s">
        <v>108</v>
      </c>
      <c r="AG314" s="11"/>
      <c r="AH314" s="11" t="s">
        <v>174</v>
      </c>
    </row>
    <row r="315" spans="1:34" x14ac:dyDescent="0.25">
      <c r="A315" s="11">
        <v>126</v>
      </c>
      <c r="B315" s="11"/>
      <c r="C315" s="11"/>
      <c r="D315" s="11"/>
      <c r="E315" s="11"/>
      <c r="F315" s="11"/>
      <c r="G315" s="11"/>
      <c r="H315" s="11">
        <v>2</v>
      </c>
      <c r="I315" s="11" t="s">
        <v>175</v>
      </c>
      <c r="J315" s="13">
        <v>0.16388888888888889</v>
      </c>
      <c r="K315" s="11" t="s">
        <v>180</v>
      </c>
      <c r="L315" s="14" t="s">
        <v>300</v>
      </c>
      <c r="M315" s="11">
        <v>19</v>
      </c>
      <c r="N315" s="11"/>
      <c r="O315" s="11">
        <v>18</v>
      </c>
      <c r="P315" s="11"/>
      <c r="Q315" s="11">
        <v>56</v>
      </c>
      <c r="R315" s="11"/>
      <c r="S315" s="11">
        <v>59</v>
      </c>
      <c r="T315" s="11"/>
      <c r="U315" s="11">
        <v>76</v>
      </c>
      <c r="V315" s="11"/>
      <c r="W315" s="11">
        <v>35</v>
      </c>
      <c r="X315" s="11">
        <v>51</v>
      </c>
      <c r="Y315" s="11"/>
      <c r="Z315" s="11">
        <v>71</v>
      </c>
      <c r="AA315" s="11"/>
      <c r="AB315" s="11">
        <v>8</v>
      </c>
      <c r="AC315" s="11"/>
      <c r="AD315" s="11">
        <v>25</v>
      </c>
      <c r="AE315" s="11"/>
      <c r="AF315" s="11">
        <v>65</v>
      </c>
      <c r="AG315" s="11"/>
      <c r="AH315" s="11">
        <v>34</v>
      </c>
    </row>
    <row r="316" spans="1:34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3">
        <v>0.6694444444444444</v>
      </c>
      <c r="K316" s="11"/>
      <c r="L316" s="14"/>
      <c r="M316" s="11" t="s">
        <v>74</v>
      </c>
      <c r="N316" s="11"/>
      <c r="O316" s="11" t="s">
        <v>107</v>
      </c>
      <c r="P316" s="11"/>
      <c r="Q316" s="11" t="s">
        <v>107</v>
      </c>
      <c r="R316" s="11"/>
      <c r="S316" s="11" t="s">
        <v>108</v>
      </c>
      <c r="T316" s="11"/>
      <c r="U316" s="11" t="s">
        <v>108</v>
      </c>
      <c r="V316" s="11"/>
      <c r="W316" s="11" t="s">
        <v>174</v>
      </c>
      <c r="X316" s="11" t="s">
        <v>74</v>
      </c>
      <c r="Y316" s="11"/>
      <c r="Z316" s="11" t="s">
        <v>74</v>
      </c>
      <c r="AA316" s="11"/>
      <c r="AB316" s="11" t="s">
        <v>107</v>
      </c>
      <c r="AC316" s="11"/>
      <c r="AD316" s="11" t="s">
        <v>108</v>
      </c>
      <c r="AE316" s="11"/>
      <c r="AF316" s="11" t="s">
        <v>108</v>
      </c>
      <c r="AG316" s="11"/>
      <c r="AH316" s="11" t="s">
        <v>174</v>
      </c>
    </row>
    <row r="317" spans="1:34" x14ac:dyDescent="0.25">
      <c r="A317" s="11">
        <v>127</v>
      </c>
      <c r="B317" s="11"/>
      <c r="C317" s="11"/>
      <c r="D317" s="11"/>
      <c r="E317" s="11"/>
      <c r="F317" s="11"/>
      <c r="G317" s="11"/>
      <c r="H317" s="11">
        <v>2</v>
      </c>
      <c r="I317" s="11" t="s">
        <v>175</v>
      </c>
      <c r="J317" s="13">
        <v>0.18472222222222223</v>
      </c>
      <c r="K317" s="11" t="s">
        <v>180</v>
      </c>
      <c r="L317" s="14" t="s">
        <v>301</v>
      </c>
      <c r="M317" s="11">
        <v>15</v>
      </c>
      <c r="N317" s="11"/>
      <c r="O317" s="11">
        <v>19</v>
      </c>
      <c r="P317" s="11"/>
      <c r="Q317" s="11">
        <v>9</v>
      </c>
      <c r="R317" s="11"/>
      <c r="S317" s="11">
        <v>59</v>
      </c>
      <c r="T317" s="11"/>
      <c r="U317" s="11">
        <v>76</v>
      </c>
      <c r="V317" s="11"/>
      <c r="W317" s="11">
        <v>35</v>
      </c>
      <c r="X317" s="11">
        <v>71</v>
      </c>
      <c r="Y317" s="11"/>
      <c r="Z317" s="11">
        <v>8</v>
      </c>
      <c r="AA317" s="11"/>
      <c r="AB317" s="11">
        <v>40</v>
      </c>
      <c r="AC317" s="11"/>
      <c r="AD317" s="11">
        <v>25</v>
      </c>
      <c r="AE317" s="11"/>
      <c r="AF317" s="11">
        <v>48</v>
      </c>
      <c r="AG317" s="11"/>
      <c r="AH317" s="11">
        <v>34</v>
      </c>
    </row>
    <row r="318" spans="1:34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3">
        <v>0.64861111111111114</v>
      </c>
      <c r="K318" s="11"/>
      <c r="L318" s="14"/>
      <c r="M318" s="11" t="s">
        <v>74</v>
      </c>
      <c r="N318" s="11"/>
      <c r="O318" s="11" t="s">
        <v>74</v>
      </c>
      <c r="P318" s="11"/>
      <c r="Q318" s="11" t="s">
        <v>107</v>
      </c>
      <c r="R318" s="11"/>
      <c r="S318" s="11" t="s">
        <v>108</v>
      </c>
      <c r="T318" s="11"/>
      <c r="U318" s="11" t="s">
        <v>108</v>
      </c>
      <c r="V318" s="11"/>
      <c r="W318" s="11" t="s">
        <v>174</v>
      </c>
      <c r="X318" s="11" t="s">
        <v>74</v>
      </c>
      <c r="Y318" s="11"/>
      <c r="Z318" s="11" t="s">
        <v>107</v>
      </c>
      <c r="AA318" s="11"/>
      <c r="AB318" s="11" t="s">
        <v>107</v>
      </c>
      <c r="AC318" s="11"/>
      <c r="AD318" s="11" t="s">
        <v>108</v>
      </c>
      <c r="AE318" s="11"/>
      <c r="AF318" s="11" t="s">
        <v>108</v>
      </c>
      <c r="AG318" s="11"/>
      <c r="AH318" s="11" t="s">
        <v>174</v>
      </c>
    </row>
    <row r="319" spans="1:34" x14ac:dyDescent="0.25">
      <c r="A319" s="11">
        <v>128</v>
      </c>
      <c r="B319" s="11"/>
      <c r="C319" s="11"/>
      <c r="D319" s="11"/>
      <c r="E319" s="11"/>
      <c r="F319" s="11"/>
      <c r="G319" s="11"/>
      <c r="H319" s="11">
        <v>2</v>
      </c>
      <c r="I319" s="11" t="s">
        <v>175</v>
      </c>
      <c r="J319" s="13">
        <v>0.19999999999999998</v>
      </c>
      <c r="K319" s="11" t="s">
        <v>186</v>
      </c>
      <c r="L319" s="14" t="s">
        <v>302</v>
      </c>
      <c r="M319" s="11">
        <v>15</v>
      </c>
      <c r="N319" s="11"/>
      <c r="O319" s="11">
        <v>63</v>
      </c>
      <c r="P319" s="11"/>
      <c r="Q319" s="11">
        <v>9</v>
      </c>
      <c r="R319" s="11"/>
      <c r="S319" s="11">
        <v>59</v>
      </c>
      <c r="T319" s="11"/>
      <c r="U319" s="11">
        <v>76</v>
      </c>
      <c r="V319" s="11"/>
      <c r="W319" s="11">
        <v>35</v>
      </c>
      <c r="X319" s="11">
        <v>15</v>
      </c>
      <c r="Y319" s="11"/>
      <c r="Z319" s="11">
        <v>21</v>
      </c>
      <c r="AA319" s="11"/>
      <c r="AB319" s="11">
        <v>40</v>
      </c>
      <c r="AC319" s="11"/>
      <c r="AD319" s="11">
        <v>2</v>
      </c>
      <c r="AE319" s="11"/>
      <c r="AF319" s="11">
        <v>48</v>
      </c>
      <c r="AG319" s="11"/>
      <c r="AH319" s="11">
        <v>34</v>
      </c>
    </row>
    <row r="320" spans="1:34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3">
        <v>0.6333333333333333</v>
      </c>
      <c r="K320" s="11"/>
      <c r="L320" s="14"/>
      <c r="M320" s="11" t="s">
        <v>74</v>
      </c>
      <c r="N320" s="11"/>
      <c r="O320" s="11" t="s">
        <v>74</v>
      </c>
      <c r="P320" s="11"/>
      <c r="Q320" s="11" t="s">
        <v>107</v>
      </c>
      <c r="R320" s="11"/>
      <c r="S320" s="11" t="s">
        <v>108</v>
      </c>
      <c r="T320" s="11"/>
      <c r="U320" s="11" t="s">
        <v>108</v>
      </c>
      <c r="V320" s="11"/>
      <c r="W320" s="11" t="s">
        <v>174</v>
      </c>
      <c r="X320" s="11" t="s">
        <v>74</v>
      </c>
      <c r="Y320" s="11"/>
      <c r="Z320" s="11" t="s">
        <v>74</v>
      </c>
      <c r="AA320" s="11"/>
      <c r="AB320" s="11" t="s">
        <v>107</v>
      </c>
      <c r="AC320" s="11"/>
      <c r="AD320" s="11" t="s">
        <v>108</v>
      </c>
      <c r="AE320" s="11"/>
      <c r="AF320" s="11" t="s">
        <v>108</v>
      </c>
      <c r="AG320" s="11"/>
      <c r="AH320" s="11" t="s">
        <v>174</v>
      </c>
    </row>
    <row r="321" spans="1:34" x14ac:dyDescent="0.25">
      <c r="A321" s="11">
        <v>129</v>
      </c>
      <c r="B321" s="11"/>
      <c r="C321" s="11"/>
      <c r="D321" s="11"/>
      <c r="E321" s="11"/>
      <c r="F321" s="11"/>
      <c r="G321" s="11"/>
      <c r="H321" s="11">
        <v>2</v>
      </c>
      <c r="I321" s="11" t="s">
        <v>175</v>
      </c>
      <c r="J321" s="13">
        <v>0.21041666666666667</v>
      </c>
      <c r="K321" s="11" t="s">
        <v>188</v>
      </c>
      <c r="L321" s="14" t="s">
        <v>303</v>
      </c>
      <c r="M321" s="11">
        <v>15</v>
      </c>
      <c r="N321" s="11"/>
      <c r="O321" s="11">
        <v>63</v>
      </c>
      <c r="P321" s="11"/>
      <c r="Q321" s="11">
        <v>9</v>
      </c>
      <c r="R321" s="11"/>
      <c r="S321" s="11">
        <v>59</v>
      </c>
      <c r="T321" s="11"/>
      <c r="U321" s="11">
        <v>76</v>
      </c>
      <c r="V321" s="11"/>
      <c r="W321" s="11">
        <v>35</v>
      </c>
      <c r="X321" s="11">
        <v>15</v>
      </c>
      <c r="Y321" s="11"/>
      <c r="Z321" s="11">
        <v>21</v>
      </c>
      <c r="AA321" s="11"/>
      <c r="AB321" s="11">
        <v>40</v>
      </c>
      <c r="AC321" s="11"/>
      <c r="AD321" s="11">
        <v>2</v>
      </c>
      <c r="AE321" s="11"/>
      <c r="AF321" s="11">
        <v>48</v>
      </c>
      <c r="AG321" s="11"/>
      <c r="AH321" s="11">
        <v>34</v>
      </c>
    </row>
    <row r="322" spans="1:34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3">
        <v>0.62291666666666667</v>
      </c>
      <c r="K322" s="11"/>
      <c r="L322" s="14"/>
      <c r="M322" s="11" t="s">
        <v>74</v>
      </c>
      <c r="N322" s="11"/>
      <c r="O322" s="11" t="s">
        <v>74</v>
      </c>
      <c r="P322" s="11"/>
      <c r="Q322" s="11" t="s">
        <v>107</v>
      </c>
      <c r="R322" s="11"/>
      <c r="S322" s="11" t="s">
        <v>108</v>
      </c>
      <c r="T322" s="11"/>
      <c r="U322" s="11" t="s">
        <v>108</v>
      </c>
      <c r="V322" s="11"/>
      <c r="W322" s="11" t="s">
        <v>174</v>
      </c>
      <c r="X322" s="11" t="s">
        <v>74</v>
      </c>
      <c r="Y322" s="11"/>
      <c r="Z322" s="11" t="s">
        <v>74</v>
      </c>
      <c r="AA322" s="11"/>
      <c r="AB322" s="11" t="s">
        <v>107</v>
      </c>
      <c r="AC322" s="11"/>
      <c r="AD322" s="11" t="s">
        <v>108</v>
      </c>
      <c r="AE322" s="11"/>
      <c r="AF322" s="11" t="s">
        <v>108</v>
      </c>
      <c r="AG322" s="11"/>
      <c r="AH322" s="11" t="s">
        <v>174</v>
      </c>
    </row>
    <row r="323" spans="1:34" x14ac:dyDescent="0.25">
      <c r="A323" s="11">
        <v>130</v>
      </c>
      <c r="B323" s="11"/>
      <c r="C323" s="11"/>
      <c r="D323" s="11"/>
      <c r="E323" s="11"/>
      <c r="F323" s="11"/>
      <c r="G323" s="11"/>
      <c r="H323" s="11">
        <v>2</v>
      </c>
      <c r="I323" s="11" t="s">
        <v>175</v>
      </c>
      <c r="J323" s="13">
        <v>0.21666666666666667</v>
      </c>
      <c r="K323" s="11" t="s">
        <v>226</v>
      </c>
      <c r="L323" s="14" t="s">
        <v>304</v>
      </c>
      <c r="M323" s="11">
        <v>15</v>
      </c>
      <c r="N323" s="11"/>
      <c r="O323" s="11">
        <v>63</v>
      </c>
      <c r="P323" s="11"/>
      <c r="Q323" s="11">
        <v>9</v>
      </c>
      <c r="R323" s="11"/>
      <c r="S323" s="11">
        <v>59</v>
      </c>
      <c r="T323" s="11"/>
      <c r="U323" s="11">
        <v>76</v>
      </c>
      <c r="V323" s="11"/>
      <c r="W323" s="11">
        <v>35</v>
      </c>
      <c r="X323" s="11">
        <v>15</v>
      </c>
      <c r="Y323" s="11"/>
      <c r="Z323" s="11">
        <v>21</v>
      </c>
      <c r="AA323" s="11"/>
      <c r="AB323" s="11">
        <v>40</v>
      </c>
      <c r="AC323" s="11"/>
      <c r="AD323" s="11">
        <v>2</v>
      </c>
      <c r="AE323" s="11"/>
      <c r="AF323" s="11">
        <v>48</v>
      </c>
      <c r="AG323" s="11"/>
      <c r="AH323" s="11">
        <v>34</v>
      </c>
    </row>
    <row r="324" spans="1:34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3">
        <v>0.6166666666666667</v>
      </c>
      <c r="K324" s="11"/>
      <c r="L324" s="14"/>
      <c r="M324" s="11" t="s">
        <v>74</v>
      </c>
      <c r="N324" s="11"/>
      <c r="O324" s="11" t="s">
        <v>74</v>
      </c>
      <c r="P324" s="11"/>
      <c r="Q324" s="11" t="s">
        <v>107</v>
      </c>
      <c r="R324" s="11"/>
      <c r="S324" s="11" t="s">
        <v>108</v>
      </c>
      <c r="T324" s="11"/>
      <c r="U324" s="11" t="s">
        <v>108</v>
      </c>
      <c r="V324" s="11"/>
      <c r="W324" s="11" t="s">
        <v>174</v>
      </c>
      <c r="X324" s="11" t="s">
        <v>74</v>
      </c>
      <c r="Y324" s="11"/>
      <c r="Z324" s="11" t="s">
        <v>74</v>
      </c>
      <c r="AA324" s="11"/>
      <c r="AB324" s="11" t="s">
        <v>107</v>
      </c>
      <c r="AC324" s="11"/>
      <c r="AD324" s="11" t="s">
        <v>108</v>
      </c>
      <c r="AE324" s="11"/>
      <c r="AF324" s="11" t="s">
        <v>108</v>
      </c>
      <c r="AG324" s="11"/>
      <c r="AH324" s="11" t="s">
        <v>174</v>
      </c>
    </row>
    <row r="325" spans="1:34" x14ac:dyDescent="0.25">
      <c r="A325" s="11">
        <v>131</v>
      </c>
      <c r="B325" s="11"/>
      <c r="C325" s="11"/>
      <c r="D325" s="11"/>
      <c r="E325" s="11"/>
      <c r="F325" s="11"/>
      <c r="G325" s="11"/>
      <c r="H325" s="11">
        <v>2</v>
      </c>
      <c r="I325" s="11" t="s">
        <v>228</v>
      </c>
      <c r="J325" s="13">
        <v>0.21666666666666667</v>
      </c>
      <c r="K325" s="11" t="s">
        <v>176</v>
      </c>
      <c r="L325" s="14" t="s">
        <v>266</v>
      </c>
      <c r="M325" s="11">
        <v>10</v>
      </c>
      <c r="N325" s="11"/>
      <c r="O325" s="11">
        <v>19</v>
      </c>
      <c r="P325" s="11"/>
      <c r="Q325" s="11">
        <v>4</v>
      </c>
      <c r="R325" s="11"/>
      <c r="S325" s="11">
        <v>14</v>
      </c>
      <c r="T325" s="11"/>
      <c r="U325" s="11">
        <v>35</v>
      </c>
      <c r="V325" s="11"/>
      <c r="W325" s="11"/>
      <c r="X325" s="11">
        <v>14</v>
      </c>
      <c r="Y325" s="11"/>
      <c r="Z325" s="11">
        <v>43</v>
      </c>
      <c r="AA325" s="11"/>
      <c r="AB325" s="11">
        <v>71</v>
      </c>
      <c r="AC325" s="11"/>
      <c r="AD325" s="11">
        <v>8</v>
      </c>
      <c r="AE325" s="11"/>
      <c r="AF325" s="11">
        <v>48</v>
      </c>
      <c r="AG325" s="11"/>
      <c r="AH325" s="11">
        <v>34</v>
      </c>
    </row>
    <row r="326" spans="1:34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3">
        <v>0.6166666666666667</v>
      </c>
      <c r="K326" s="11"/>
      <c r="L326" s="14"/>
      <c r="M326" s="11" t="s">
        <v>74</v>
      </c>
      <c r="N326" s="11"/>
      <c r="O326" s="11" t="s">
        <v>74</v>
      </c>
      <c r="P326" s="11"/>
      <c r="Q326" s="11" t="s">
        <v>108</v>
      </c>
      <c r="R326" s="11"/>
      <c r="S326" s="11" t="s">
        <v>108</v>
      </c>
      <c r="T326" s="11"/>
      <c r="U326" s="11" t="s">
        <v>174</v>
      </c>
      <c r="V326" s="11"/>
      <c r="W326" s="11"/>
      <c r="X326" s="11" t="s">
        <v>74</v>
      </c>
      <c r="Y326" s="11"/>
      <c r="Z326" s="11" t="s">
        <v>74</v>
      </c>
      <c r="AA326" s="11"/>
      <c r="AB326" s="11" t="s">
        <v>74</v>
      </c>
      <c r="AC326" s="11"/>
      <c r="AD326" s="11" t="s">
        <v>107</v>
      </c>
      <c r="AE326" s="11"/>
      <c r="AF326" s="11" t="s">
        <v>108</v>
      </c>
      <c r="AG326" s="11"/>
      <c r="AH326" s="11" t="s">
        <v>174</v>
      </c>
    </row>
    <row r="327" spans="1:34" x14ac:dyDescent="0.25">
      <c r="A327" s="11">
        <v>132</v>
      </c>
      <c r="B327" s="11"/>
      <c r="C327" s="11"/>
      <c r="D327" s="11"/>
      <c r="E327" s="11"/>
      <c r="F327" s="11"/>
      <c r="G327" s="11"/>
      <c r="H327" s="11">
        <v>2</v>
      </c>
      <c r="I327" s="11" t="s">
        <v>228</v>
      </c>
      <c r="J327" s="13">
        <v>0.21944444444444444</v>
      </c>
      <c r="K327" s="11" t="s">
        <v>180</v>
      </c>
      <c r="L327" s="14" t="s">
        <v>305</v>
      </c>
      <c r="M327" s="11">
        <v>10</v>
      </c>
      <c r="N327" s="11"/>
      <c r="O327" s="11">
        <v>19</v>
      </c>
      <c r="P327" s="11"/>
      <c r="Q327" s="11">
        <v>4</v>
      </c>
      <c r="R327" s="11"/>
      <c r="S327" s="11">
        <v>14</v>
      </c>
      <c r="T327" s="11"/>
      <c r="U327" s="11">
        <v>35</v>
      </c>
      <c r="V327" s="11"/>
      <c r="W327" s="11"/>
      <c r="X327" s="11">
        <v>14</v>
      </c>
      <c r="Y327" s="11"/>
      <c r="Z327" s="11">
        <v>43</v>
      </c>
      <c r="AA327" s="11"/>
      <c r="AB327" s="11">
        <v>71</v>
      </c>
      <c r="AC327" s="11"/>
      <c r="AD327" s="11">
        <v>8</v>
      </c>
      <c r="AE327" s="11"/>
      <c r="AF327" s="11">
        <v>48</v>
      </c>
      <c r="AG327" s="11"/>
      <c r="AH327" s="11">
        <v>34</v>
      </c>
    </row>
    <row r="328" spans="1:34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3">
        <v>0.61388888888888882</v>
      </c>
      <c r="K328" s="11"/>
      <c r="L328" s="14"/>
      <c r="M328" s="11" t="s">
        <v>74</v>
      </c>
      <c r="N328" s="11"/>
      <c r="O328" s="11" t="s">
        <v>74</v>
      </c>
      <c r="P328" s="11"/>
      <c r="Q328" s="11" t="s">
        <v>108</v>
      </c>
      <c r="R328" s="11"/>
      <c r="S328" s="11" t="s">
        <v>108</v>
      </c>
      <c r="T328" s="11"/>
      <c r="U328" s="11" t="s">
        <v>174</v>
      </c>
      <c r="V328" s="11"/>
      <c r="W328" s="11"/>
      <c r="X328" s="11" t="s">
        <v>74</v>
      </c>
      <c r="Y328" s="11"/>
      <c r="Z328" s="11" t="s">
        <v>74</v>
      </c>
      <c r="AA328" s="11"/>
      <c r="AB328" s="11" t="s">
        <v>74</v>
      </c>
      <c r="AC328" s="11"/>
      <c r="AD328" s="11" t="s">
        <v>107</v>
      </c>
      <c r="AE328" s="11"/>
      <c r="AF328" s="11" t="s">
        <v>108</v>
      </c>
      <c r="AG328" s="11"/>
      <c r="AH328" s="11" t="s">
        <v>174</v>
      </c>
    </row>
    <row r="329" spans="1:34" x14ac:dyDescent="0.25">
      <c r="A329" s="11">
        <v>133</v>
      </c>
      <c r="B329" s="11"/>
      <c r="C329" s="11"/>
      <c r="D329" s="11"/>
      <c r="E329" s="11"/>
      <c r="F329" s="11"/>
      <c r="G329" s="11"/>
      <c r="H329" s="11">
        <v>2</v>
      </c>
      <c r="I329" s="11" t="s">
        <v>228</v>
      </c>
      <c r="J329" s="13">
        <v>0.22013888888888888</v>
      </c>
      <c r="K329" s="11" t="s">
        <v>306</v>
      </c>
      <c r="L329" s="14" t="s">
        <v>307</v>
      </c>
      <c r="M329" s="11">
        <v>10</v>
      </c>
      <c r="N329" s="11"/>
      <c r="O329" s="11">
        <v>19</v>
      </c>
      <c r="P329" s="11"/>
      <c r="Q329" s="11">
        <v>4</v>
      </c>
      <c r="R329" s="11"/>
      <c r="S329" s="11">
        <v>14</v>
      </c>
      <c r="T329" s="11"/>
      <c r="U329" s="11">
        <v>35</v>
      </c>
      <c r="V329" s="11"/>
      <c r="W329" s="11"/>
      <c r="X329" s="11">
        <v>14</v>
      </c>
      <c r="Y329" s="11"/>
      <c r="Z329" s="11">
        <v>43</v>
      </c>
      <c r="AA329" s="11"/>
      <c r="AB329" s="11">
        <v>71</v>
      </c>
      <c r="AC329" s="11"/>
      <c r="AD329" s="11">
        <v>8</v>
      </c>
      <c r="AE329" s="11"/>
      <c r="AF329" s="11">
        <v>48</v>
      </c>
      <c r="AG329" s="11"/>
      <c r="AH329" s="11">
        <v>34</v>
      </c>
    </row>
    <row r="330" spans="1:34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3">
        <v>0.61319444444444449</v>
      </c>
      <c r="K330" s="11"/>
      <c r="L330" s="14" t="s">
        <v>308</v>
      </c>
      <c r="M330" s="11" t="s">
        <v>74</v>
      </c>
      <c r="N330" s="11"/>
      <c r="O330" s="11" t="s">
        <v>74</v>
      </c>
      <c r="P330" s="11"/>
      <c r="Q330" s="11" t="s">
        <v>108</v>
      </c>
      <c r="R330" s="11"/>
      <c r="S330" s="11" t="s">
        <v>108</v>
      </c>
      <c r="T330" s="11"/>
      <c r="U330" s="11" t="s">
        <v>174</v>
      </c>
      <c r="X330" s="11" t="s">
        <v>74</v>
      </c>
      <c r="Y330" s="11"/>
      <c r="Z330" s="11" t="s">
        <v>74</v>
      </c>
      <c r="AA330" s="11"/>
      <c r="AB330" s="11" t="s">
        <v>74</v>
      </c>
      <c r="AC330" s="11"/>
      <c r="AD330" s="11" t="s">
        <v>107</v>
      </c>
      <c r="AE330" s="11"/>
      <c r="AF330" s="11" t="s">
        <v>108</v>
      </c>
      <c r="AG330" s="11"/>
      <c r="AH330" s="11" t="s">
        <v>174</v>
      </c>
    </row>
    <row r="331" spans="1:34" x14ac:dyDescent="0.25">
      <c r="A331" s="11">
        <v>134</v>
      </c>
      <c r="B331" s="11"/>
      <c r="C331" s="11"/>
      <c r="D331" s="11"/>
      <c r="E331" s="11"/>
      <c r="F331" s="11"/>
      <c r="G331" s="11"/>
      <c r="H331" s="11">
        <v>2</v>
      </c>
      <c r="I331" s="11"/>
      <c r="J331" s="13">
        <v>0.22013888888888888</v>
      </c>
      <c r="K331" s="11" t="s">
        <v>182</v>
      </c>
      <c r="L331" s="14" t="s">
        <v>309</v>
      </c>
      <c r="M331" s="11">
        <v>15</v>
      </c>
      <c r="N331" s="11"/>
      <c r="O331" s="11">
        <v>63</v>
      </c>
      <c r="P331" s="11"/>
      <c r="Q331" s="11">
        <v>9</v>
      </c>
      <c r="R331" s="11"/>
      <c r="S331" s="11">
        <v>4</v>
      </c>
      <c r="T331" s="11"/>
      <c r="U331" s="11">
        <v>14</v>
      </c>
      <c r="W331" s="4">
        <v>35</v>
      </c>
      <c r="X331" s="11">
        <v>51</v>
      </c>
      <c r="Y331" s="11"/>
      <c r="Z331" s="11">
        <v>71</v>
      </c>
      <c r="AA331" s="11"/>
      <c r="AB331" s="11">
        <v>8</v>
      </c>
      <c r="AC331" s="11"/>
      <c r="AD331" s="11">
        <v>52</v>
      </c>
      <c r="AE331" s="11"/>
      <c r="AF331" s="11">
        <v>53</v>
      </c>
      <c r="AG331" s="11"/>
      <c r="AH331" s="11">
        <v>34</v>
      </c>
    </row>
    <row r="332" spans="1:34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3">
        <v>0.61319444444444449</v>
      </c>
      <c r="K332" s="11"/>
      <c r="L332" s="14"/>
      <c r="M332" s="11" t="s">
        <v>74</v>
      </c>
      <c r="N332" s="11"/>
      <c r="O332" s="11" t="s">
        <v>74</v>
      </c>
      <c r="P332" s="11"/>
      <c r="Q332" s="11" t="s">
        <v>107</v>
      </c>
      <c r="R332" s="11"/>
      <c r="S332" s="11" t="s">
        <v>108</v>
      </c>
      <c r="T332" s="11"/>
      <c r="U332" s="11" t="s">
        <v>108</v>
      </c>
      <c r="W332" s="4" t="s">
        <v>174</v>
      </c>
      <c r="X332" s="11" t="s">
        <v>74</v>
      </c>
      <c r="Y332" s="11"/>
      <c r="Z332" s="11" t="s">
        <v>74</v>
      </c>
      <c r="AA332" s="11"/>
      <c r="AB332" s="11" t="s">
        <v>107</v>
      </c>
      <c r="AC332" s="11"/>
      <c r="AD332" s="11" t="s">
        <v>108</v>
      </c>
      <c r="AE332" s="11"/>
      <c r="AF332" s="11" t="s">
        <v>108</v>
      </c>
      <c r="AG332" s="11"/>
      <c r="AH332" s="11" t="s">
        <v>174</v>
      </c>
    </row>
    <row r="333" spans="1:34" x14ac:dyDescent="0.25">
      <c r="A333" s="11">
        <v>135</v>
      </c>
      <c r="B333" s="11"/>
      <c r="C333" s="11"/>
      <c r="D333" s="11"/>
      <c r="E333" s="11"/>
      <c r="F333" s="11"/>
      <c r="G333" s="11"/>
      <c r="H333" s="11">
        <v>2</v>
      </c>
      <c r="I333" s="11"/>
      <c r="J333" s="13">
        <v>0.22013888888888888</v>
      </c>
      <c r="K333" s="11" t="s">
        <v>182</v>
      </c>
      <c r="L333" s="14" t="s">
        <v>310</v>
      </c>
      <c r="M333" s="11">
        <v>15</v>
      </c>
      <c r="N333" s="11"/>
      <c r="O333" s="11">
        <v>63</v>
      </c>
      <c r="P333" s="11"/>
      <c r="Q333" s="11">
        <v>9</v>
      </c>
      <c r="R333" s="11"/>
      <c r="S333" s="11">
        <v>4</v>
      </c>
      <c r="T333" s="11"/>
      <c r="U333" s="11">
        <v>14</v>
      </c>
      <c r="W333" s="4">
        <v>35</v>
      </c>
      <c r="X333" s="11">
        <v>51</v>
      </c>
      <c r="Y333" s="11"/>
      <c r="Z333" s="11">
        <v>71</v>
      </c>
      <c r="AA333" s="11"/>
      <c r="AB333" s="11">
        <v>8</v>
      </c>
      <c r="AC333" s="11"/>
      <c r="AD333" s="11">
        <v>52</v>
      </c>
      <c r="AE333" s="11"/>
      <c r="AF333" s="11">
        <v>53</v>
      </c>
      <c r="AG333" s="11"/>
      <c r="AH333" s="11">
        <v>34</v>
      </c>
    </row>
    <row r="334" spans="1:34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3">
        <v>0.61319444444444449</v>
      </c>
      <c r="K334" s="11"/>
      <c r="L334" s="14"/>
      <c r="M334" s="11" t="s">
        <v>74</v>
      </c>
      <c r="N334" s="11"/>
      <c r="O334" s="11" t="s">
        <v>74</v>
      </c>
      <c r="P334" s="11"/>
      <c r="Q334" s="11" t="s">
        <v>107</v>
      </c>
      <c r="R334" s="11"/>
      <c r="S334" s="11" t="s">
        <v>108</v>
      </c>
      <c r="T334" s="11"/>
      <c r="U334" s="11" t="s">
        <v>108</v>
      </c>
      <c r="W334" s="4" t="s">
        <v>174</v>
      </c>
      <c r="X334" s="11" t="s">
        <v>74</v>
      </c>
      <c r="Y334" s="11"/>
      <c r="Z334" s="11" t="s">
        <v>74</v>
      </c>
      <c r="AA334" s="11"/>
      <c r="AB334" s="11" t="s">
        <v>107</v>
      </c>
      <c r="AC334" s="11"/>
      <c r="AD334" s="11" t="s">
        <v>108</v>
      </c>
      <c r="AE334" s="11"/>
      <c r="AF334" s="11" t="s">
        <v>108</v>
      </c>
      <c r="AG334" s="11"/>
      <c r="AH334" s="11" t="s">
        <v>174</v>
      </c>
    </row>
    <row r="335" spans="1:34" x14ac:dyDescent="0.25">
      <c r="A335" s="11">
        <v>136</v>
      </c>
      <c r="B335" s="11"/>
      <c r="C335" s="11"/>
      <c r="D335" s="11"/>
      <c r="E335" s="11"/>
      <c r="F335" s="11"/>
      <c r="G335" s="11"/>
      <c r="H335" s="11">
        <v>2</v>
      </c>
      <c r="I335" s="11" t="s">
        <v>175</v>
      </c>
      <c r="J335" s="13">
        <v>0.22013888888888888</v>
      </c>
      <c r="K335" s="11" t="s">
        <v>176</v>
      </c>
      <c r="L335" s="14" t="s">
        <v>311</v>
      </c>
      <c r="M335" s="11">
        <v>15</v>
      </c>
      <c r="N335" s="11"/>
      <c r="O335" s="11">
        <v>63</v>
      </c>
      <c r="P335" s="11"/>
      <c r="Q335" s="11">
        <v>9</v>
      </c>
      <c r="R335" s="11"/>
      <c r="S335" s="11">
        <v>4</v>
      </c>
      <c r="T335" s="11"/>
      <c r="U335" s="11">
        <v>14</v>
      </c>
      <c r="W335" s="4">
        <v>35</v>
      </c>
      <c r="X335" s="11">
        <v>51</v>
      </c>
      <c r="Y335" s="11"/>
      <c r="Z335" s="11">
        <v>71</v>
      </c>
      <c r="AA335" s="11"/>
      <c r="AB335" s="11">
        <v>8</v>
      </c>
      <c r="AC335" s="11"/>
      <c r="AD335" s="11">
        <v>52</v>
      </c>
      <c r="AE335" s="11"/>
      <c r="AF335" s="11">
        <v>53</v>
      </c>
      <c r="AG335" s="11"/>
      <c r="AH335" s="11">
        <v>34</v>
      </c>
    </row>
    <row r="336" spans="1:34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3">
        <v>0.61319444444444449</v>
      </c>
      <c r="K336" s="11"/>
      <c r="L336" s="14"/>
      <c r="M336" s="11" t="s">
        <v>74</v>
      </c>
      <c r="N336" s="11"/>
      <c r="O336" s="11" t="s">
        <v>74</v>
      </c>
      <c r="P336" s="11"/>
      <c r="Q336" s="11" t="s">
        <v>107</v>
      </c>
      <c r="R336" s="11"/>
      <c r="S336" s="11" t="s">
        <v>108</v>
      </c>
      <c r="T336" s="11"/>
      <c r="U336" s="11" t="s">
        <v>108</v>
      </c>
      <c r="W336" s="4" t="s">
        <v>174</v>
      </c>
      <c r="X336" s="11" t="s">
        <v>74</v>
      </c>
      <c r="Y336" s="11"/>
      <c r="Z336" s="11" t="s">
        <v>74</v>
      </c>
      <c r="AA336" s="11"/>
      <c r="AB336" s="11" t="s">
        <v>107</v>
      </c>
      <c r="AC336" s="11"/>
      <c r="AD336" s="11" t="s">
        <v>108</v>
      </c>
      <c r="AE336" s="11"/>
      <c r="AF336" s="11" t="s">
        <v>108</v>
      </c>
      <c r="AG336" s="11"/>
      <c r="AH336" s="11" t="s">
        <v>174</v>
      </c>
    </row>
    <row r="337" spans="1:34" x14ac:dyDescent="0.25">
      <c r="A337" s="11" t="s">
        <v>211</v>
      </c>
      <c r="B337" s="11"/>
      <c r="C337" s="11"/>
      <c r="D337" s="11"/>
      <c r="E337" s="11"/>
      <c r="F337" s="11"/>
      <c r="G337" s="11"/>
      <c r="H337" s="11"/>
      <c r="I337" s="11"/>
      <c r="J337" s="13"/>
      <c r="K337" s="11"/>
      <c r="L337" s="14"/>
      <c r="M337" s="11"/>
      <c r="N337" s="11"/>
      <c r="O337" s="11"/>
      <c r="P337" s="11"/>
      <c r="Q337" s="11"/>
      <c r="R337" s="11"/>
      <c r="S337" s="11"/>
      <c r="T337" s="11"/>
      <c r="U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</row>
    <row r="338" spans="1:34" x14ac:dyDescent="0.25">
      <c r="A338" s="11" t="s">
        <v>151</v>
      </c>
      <c r="B338" s="11"/>
      <c r="C338" s="11"/>
      <c r="D338" s="11" t="s">
        <v>154</v>
      </c>
      <c r="E338" s="11" t="s">
        <v>160</v>
      </c>
      <c r="F338" s="11"/>
      <c r="G338" s="11"/>
      <c r="H338" s="11"/>
      <c r="I338" s="11"/>
      <c r="J338" s="13"/>
      <c r="K338" s="11"/>
      <c r="L338" s="14"/>
      <c r="M338" s="11"/>
      <c r="N338" s="11"/>
      <c r="O338" s="11"/>
      <c r="P338" s="11"/>
      <c r="Q338" s="11"/>
      <c r="R338" s="11"/>
      <c r="S338" s="11"/>
      <c r="T338" s="11"/>
      <c r="U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</row>
    <row r="339" spans="1:34" x14ac:dyDescent="0.25">
      <c r="A339" s="11" t="s">
        <v>152</v>
      </c>
      <c r="B339" s="11">
        <v>3</v>
      </c>
      <c r="C339" s="11"/>
      <c r="D339" s="11"/>
      <c r="E339" s="11"/>
      <c r="F339" s="11">
        <v>5</v>
      </c>
      <c r="G339" s="11" t="s">
        <v>161</v>
      </c>
      <c r="H339" s="11"/>
      <c r="I339" s="11"/>
      <c r="J339" s="13"/>
      <c r="K339" s="11"/>
      <c r="L339" s="14"/>
      <c r="M339" s="11"/>
      <c r="N339" s="11"/>
      <c r="O339" s="11"/>
      <c r="P339" s="11"/>
      <c r="Q339" s="11"/>
      <c r="R339" s="11"/>
      <c r="S339" s="11"/>
      <c r="T339" s="11"/>
      <c r="U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</row>
    <row r="340" spans="1:34" x14ac:dyDescent="0.25">
      <c r="A340" s="11" t="s">
        <v>152</v>
      </c>
      <c r="B340" s="11"/>
      <c r="C340" s="11"/>
      <c r="D340" s="11"/>
      <c r="E340" s="11" t="s">
        <v>161</v>
      </c>
      <c r="F340" s="11"/>
      <c r="G340" s="11"/>
      <c r="H340" s="11"/>
      <c r="I340" s="11"/>
      <c r="J340" s="13"/>
      <c r="K340" s="11"/>
      <c r="L340" s="14"/>
      <c r="M340" s="11"/>
      <c r="N340" s="11"/>
      <c r="O340" s="11"/>
      <c r="P340" s="11"/>
      <c r="Q340" s="11"/>
      <c r="R340" s="11"/>
      <c r="S340" s="11"/>
      <c r="T340" s="11"/>
      <c r="U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</row>
    <row r="341" spans="1:34" x14ac:dyDescent="0.25">
      <c r="A341" s="11" t="s">
        <v>153</v>
      </c>
      <c r="B341" s="11"/>
      <c r="C341" s="11"/>
      <c r="D341" s="11" t="s">
        <v>155</v>
      </c>
      <c r="E341" s="11" t="s">
        <v>162</v>
      </c>
      <c r="F341" s="11"/>
      <c r="G341" s="11"/>
      <c r="H341" s="11"/>
      <c r="I341" s="11"/>
      <c r="J341" s="13"/>
      <c r="K341" s="11"/>
      <c r="L341" s="14"/>
      <c r="M341" s="11"/>
      <c r="N341" s="11"/>
      <c r="O341" s="11"/>
      <c r="P341" s="11"/>
      <c r="Q341" s="11"/>
      <c r="R341" s="11"/>
      <c r="S341" s="11"/>
      <c r="T341" s="11"/>
      <c r="U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</row>
    <row r="342" spans="1:34" x14ac:dyDescent="0.25">
      <c r="A342" s="11"/>
      <c r="B342" s="11"/>
      <c r="C342" s="11"/>
      <c r="D342" s="11" t="s">
        <v>156</v>
      </c>
      <c r="E342" s="11"/>
      <c r="F342" s="11"/>
      <c r="G342" s="11"/>
      <c r="H342" s="11"/>
      <c r="I342" s="11"/>
      <c r="J342" s="13"/>
      <c r="K342" s="11"/>
      <c r="L342" s="14"/>
      <c r="M342" s="11"/>
      <c r="N342" s="11"/>
      <c r="O342" s="11"/>
      <c r="P342" s="11"/>
      <c r="Q342" s="11"/>
      <c r="R342" s="11"/>
      <c r="S342" s="11"/>
      <c r="T342" s="11"/>
      <c r="U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</row>
    <row r="343" spans="1:34" x14ac:dyDescent="0.25">
      <c r="A343" s="11"/>
      <c r="B343" s="11"/>
      <c r="C343" s="11"/>
      <c r="D343" s="11" t="s">
        <v>157</v>
      </c>
      <c r="E343" s="11"/>
      <c r="F343" s="11"/>
      <c r="G343" s="11"/>
      <c r="H343" s="11"/>
      <c r="I343" s="11"/>
      <c r="J343" s="13"/>
      <c r="K343" s="11"/>
      <c r="L343" s="14"/>
      <c r="M343" s="11"/>
      <c r="N343" s="11"/>
      <c r="O343" s="11"/>
      <c r="P343" s="11"/>
      <c r="Q343" s="11"/>
      <c r="R343" s="11"/>
      <c r="S343" s="11"/>
      <c r="T343" s="11"/>
      <c r="U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</row>
    <row r="344" spans="1:34" x14ac:dyDescent="0.25">
      <c r="A344" s="11"/>
      <c r="B344" s="11"/>
      <c r="C344" s="11"/>
      <c r="D344" s="11" t="s">
        <v>158</v>
      </c>
      <c r="E344" s="11"/>
      <c r="F344" s="11"/>
      <c r="G344" s="11"/>
      <c r="H344" s="11"/>
      <c r="I344" s="11"/>
      <c r="J344" s="13"/>
      <c r="K344" s="11"/>
      <c r="L344" s="14"/>
      <c r="M344" s="11"/>
      <c r="N344" s="11"/>
      <c r="O344" s="11"/>
      <c r="P344" s="11"/>
      <c r="Q344" s="11"/>
      <c r="R344" s="11"/>
      <c r="S344" s="11"/>
      <c r="T344" s="11"/>
      <c r="U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</row>
    <row r="345" spans="1:34" x14ac:dyDescent="0.25">
      <c r="A345" s="11"/>
      <c r="B345" s="11"/>
      <c r="C345" s="11"/>
      <c r="D345" s="11" t="s">
        <v>159</v>
      </c>
      <c r="E345" s="11"/>
      <c r="F345" s="11"/>
      <c r="G345" s="11"/>
      <c r="H345" s="11"/>
      <c r="I345" s="11"/>
      <c r="J345" s="13"/>
      <c r="K345" s="11"/>
      <c r="L345" s="14"/>
      <c r="M345" s="11"/>
      <c r="N345" s="11"/>
      <c r="O345" s="11"/>
      <c r="P345" s="11"/>
      <c r="Q345" s="11"/>
      <c r="R345" s="11"/>
      <c r="S345" s="11"/>
      <c r="T345" s="11"/>
      <c r="U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</row>
    <row r="346" spans="1:34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3"/>
      <c r="K346" s="11"/>
      <c r="L346" s="14"/>
      <c r="M346" s="11"/>
      <c r="N346" s="11"/>
      <c r="O346" s="11"/>
      <c r="P346" s="11"/>
      <c r="Q346" s="11"/>
      <c r="R346" s="11"/>
      <c r="S346" s="11"/>
      <c r="T346" s="11"/>
      <c r="U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</row>
    <row r="347" spans="1:34" x14ac:dyDescent="0.25">
      <c r="A347" s="11" t="s">
        <v>163</v>
      </c>
      <c r="B347" s="11"/>
      <c r="C347" s="11"/>
      <c r="D347" s="11"/>
      <c r="E347" s="11"/>
      <c r="F347" s="11"/>
      <c r="G347" s="11"/>
      <c r="H347" s="11" t="s">
        <v>164</v>
      </c>
      <c r="I347" s="11" t="s">
        <v>165</v>
      </c>
      <c r="J347" s="13" t="s">
        <v>166</v>
      </c>
      <c r="K347" s="11" t="s">
        <v>168</v>
      </c>
      <c r="L347" s="14" t="s">
        <v>169</v>
      </c>
      <c r="M347" s="11" t="s">
        <v>170</v>
      </c>
      <c r="N347" s="11"/>
      <c r="O347" s="11"/>
      <c r="P347" s="11"/>
      <c r="Q347" s="11"/>
      <c r="R347" s="11"/>
      <c r="S347" s="11"/>
      <c r="T347" s="11"/>
      <c r="U347" s="11"/>
      <c r="X347" s="11" t="s">
        <v>171</v>
      </c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</row>
    <row r="348" spans="1:34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3" t="s">
        <v>167</v>
      </c>
      <c r="K348" s="11"/>
      <c r="L348" s="14"/>
      <c r="M348" s="11"/>
      <c r="N348" s="11"/>
      <c r="O348" s="11"/>
      <c r="P348" s="11"/>
      <c r="Q348" s="11"/>
      <c r="R348" s="11"/>
      <c r="S348" s="11"/>
      <c r="T348" s="11"/>
      <c r="U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</row>
    <row r="349" spans="1:34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3" t="s">
        <v>43</v>
      </c>
      <c r="K349" s="11"/>
      <c r="L349" s="14"/>
      <c r="M349" s="11"/>
      <c r="N349" s="11"/>
      <c r="O349" s="11"/>
      <c r="P349" s="11"/>
      <c r="Q349" s="11"/>
      <c r="R349" s="11"/>
      <c r="S349" s="11"/>
      <c r="T349" s="11"/>
      <c r="U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</row>
    <row r="350" spans="1:34" x14ac:dyDescent="0.25">
      <c r="A350" s="11">
        <v>137</v>
      </c>
      <c r="B350" s="11"/>
      <c r="C350" s="11"/>
      <c r="D350" s="11"/>
      <c r="E350" s="11"/>
      <c r="F350" s="11"/>
      <c r="G350" s="11"/>
      <c r="H350" s="11">
        <v>2</v>
      </c>
      <c r="I350" s="11" t="s">
        <v>175</v>
      </c>
      <c r="J350" s="13">
        <v>0.24513888888888888</v>
      </c>
      <c r="K350" s="11" t="s">
        <v>178</v>
      </c>
      <c r="L350" s="14" t="s">
        <v>312</v>
      </c>
      <c r="M350" s="11">
        <v>63</v>
      </c>
      <c r="N350" s="11"/>
      <c r="O350" s="11">
        <v>9</v>
      </c>
      <c r="P350" s="11"/>
      <c r="Q350" s="11">
        <v>38</v>
      </c>
      <c r="R350" s="11"/>
      <c r="S350" s="11">
        <v>4</v>
      </c>
      <c r="T350" s="11"/>
      <c r="U350" s="11">
        <v>14</v>
      </c>
      <c r="W350" s="4">
        <v>35</v>
      </c>
      <c r="X350" s="11">
        <v>51</v>
      </c>
      <c r="Y350" s="11"/>
      <c r="Z350" s="11">
        <v>71</v>
      </c>
      <c r="AA350" s="11"/>
      <c r="AB350" s="11">
        <v>8</v>
      </c>
      <c r="AC350" s="11"/>
      <c r="AD350" s="11">
        <v>52</v>
      </c>
      <c r="AE350" s="11"/>
      <c r="AF350" s="11">
        <v>53</v>
      </c>
      <c r="AG350" s="11"/>
      <c r="AH350" s="11">
        <v>34</v>
      </c>
    </row>
    <row r="351" spans="1:34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3">
        <v>0.58819444444444446</v>
      </c>
      <c r="K351" s="11"/>
      <c r="L351" s="14"/>
      <c r="M351" s="11" t="s">
        <v>74</v>
      </c>
      <c r="N351" s="11"/>
      <c r="O351" s="11" t="s">
        <v>107</v>
      </c>
      <c r="P351" s="11"/>
      <c r="Q351" s="11" t="s">
        <v>107</v>
      </c>
      <c r="R351" s="11"/>
      <c r="S351" s="11" t="s">
        <v>108</v>
      </c>
      <c r="T351" s="11"/>
      <c r="U351" s="11" t="s">
        <v>108</v>
      </c>
      <c r="W351" s="4" t="s">
        <v>174</v>
      </c>
      <c r="X351" s="11" t="s">
        <v>74</v>
      </c>
      <c r="Y351" s="11"/>
      <c r="Z351" s="11" t="s">
        <v>74</v>
      </c>
      <c r="AA351" s="11"/>
      <c r="AB351" s="11" t="s">
        <v>107</v>
      </c>
      <c r="AC351" s="11"/>
      <c r="AD351" s="11" t="s">
        <v>108</v>
      </c>
      <c r="AE351" s="11"/>
      <c r="AF351" s="11" t="s">
        <v>108</v>
      </c>
      <c r="AG351" s="11"/>
      <c r="AH351" s="11" t="s">
        <v>174</v>
      </c>
    </row>
    <row r="352" spans="1:34" x14ac:dyDescent="0.25">
      <c r="A352" s="11">
        <v>138</v>
      </c>
      <c r="B352" s="11"/>
      <c r="C352" s="11"/>
      <c r="D352" s="11"/>
      <c r="E352" s="11"/>
      <c r="F352" s="11"/>
      <c r="G352" s="11"/>
      <c r="H352" s="11">
        <v>2</v>
      </c>
      <c r="I352" s="11" t="s">
        <v>175</v>
      </c>
      <c r="J352" s="13">
        <v>0.25972222222222224</v>
      </c>
      <c r="K352" s="11" t="s">
        <v>178</v>
      </c>
      <c r="L352" s="14" t="s">
        <v>313</v>
      </c>
      <c r="M352" s="11">
        <v>12</v>
      </c>
      <c r="N352" s="11"/>
      <c r="O352" s="11">
        <v>18</v>
      </c>
      <c r="P352" s="11"/>
      <c r="Q352" s="11">
        <v>38</v>
      </c>
      <c r="R352" s="11"/>
      <c r="S352" s="11">
        <v>59</v>
      </c>
      <c r="T352" s="11"/>
      <c r="U352" s="11">
        <v>76</v>
      </c>
      <c r="V352" s="11"/>
      <c r="W352" s="11">
        <v>35</v>
      </c>
      <c r="X352" s="11">
        <v>43</v>
      </c>
      <c r="Y352" s="11"/>
      <c r="Z352" s="11">
        <v>8</v>
      </c>
      <c r="AA352" s="11"/>
      <c r="AB352" s="11">
        <v>62</v>
      </c>
      <c r="AC352" s="11"/>
      <c r="AD352" s="11">
        <v>52</v>
      </c>
      <c r="AE352" s="11"/>
      <c r="AF352" s="11">
        <v>53</v>
      </c>
      <c r="AG352" s="11"/>
      <c r="AH352" s="11">
        <v>34</v>
      </c>
    </row>
    <row r="353" spans="1:34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3">
        <v>0.57361111111111118</v>
      </c>
      <c r="K353" s="11"/>
      <c r="L353" s="14"/>
      <c r="M353" s="11" t="s">
        <v>74</v>
      </c>
      <c r="N353" s="11"/>
      <c r="O353" s="11" t="s">
        <v>107</v>
      </c>
      <c r="P353" s="11"/>
      <c r="Q353" s="11" t="s">
        <v>107</v>
      </c>
      <c r="R353" s="11"/>
      <c r="S353" s="11" t="s">
        <v>108</v>
      </c>
      <c r="T353" s="11"/>
      <c r="U353" s="11" t="s">
        <v>108</v>
      </c>
      <c r="V353" s="11"/>
      <c r="W353" s="11" t="s">
        <v>174</v>
      </c>
      <c r="X353" s="11" t="s">
        <v>74</v>
      </c>
      <c r="Y353" s="11"/>
      <c r="Z353" s="11" t="s">
        <v>107</v>
      </c>
      <c r="AA353" s="11"/>
      <c r="AB353" s="11" t="s">
        <v>107</v>
      </c>
      <c r="AC353" s="11"/>
      <c r="AD353" s="11" t="s">
        <v>108</v>
      </c>
      <c r="AE353" s="11"/>
      <c r="AF353" s="11" t="s">
        <v>108</v>
      </c>
      <c r="AG353" s="11"/>
      <c r="AH353" s="11" t="s">
        <v>174</v>
      </c>
    </row>
    <row r="354" spans="1:34" x14ac:dyDescent="0.25">
      <c r="A354" s="11">
        <v>139</v>
      </c>
      <c r="B354" s="11"/>
      <c r="C354" s="11"/>
      <c r="D354" s="11"/>
      <c r="E354" s="11"/>
      <c r="F354" s="11"/>
      <c r="G354" s="11"/>
      <c r="H354" s="11">
        <v>2</v>
      </c>
      <c r="I354" s="11" t="s">
        <v>175</v>
      </c>
      <c r="J354" s="13">
        <v>0.27083333333333331</v>
      </c>
      <c r="K354" s="11" t="s">
        <v>178</v>
      </c>
      <c r="L354" s="14" t="s">
        <v>314</v>
      </c>
      <c r="M354" s="11">
        <v>12</v>
      </c>
      <c r="N354" s="11"/>
      <c r="O354" s="11">
        <v>33</v>
      </c>
      <c r="P354" s="11"/>
      <c r="Q354" s="11">
        <v>38</v>
      </c>
      <c r="R354" s="11"/>
      <c r="S354" s="11">
        <v>59</v>
      </c>
      <c r="T354" s="11"/>
      <c r="U354" s="11">
        <v>76</v>
      </c>
      <c r="V354" s="11"/>
      <c r="W354" s="11">
        <v>35</v>
      </c>
      <c r="X354" s="11">
        <v>14</v>
      </c>
      <c r="Y354" s="11"/>
      <c r="Z354" s="11">
        <v>43</v>
      </c>
      <c r="AA354" s="11"/>
      <c r="AB354" s="11">
        <v>62</v>
      </c>
      <c r="AC354" s="11"/>
      <c r="AD354" s="11">
        <v>2</v>
      </c>
      <c r="AE354" s="11"/>
      <c r="AF354" s="11">
        <v>48</v>
      </c>
      <c r="AG354" s="11"/>
      <c r="AH354" s="11">
        <v>34</v>
      </c>
    </row>
    <row r="355" spans="1:34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3">
        <v>0.5625</v>
      </c>
      <c r="K355" s="11"/>
      <c r="L355" s="14"/>
      <c r="M355" s="11" t="s">
        <v>74</v>
      </c>
      <c r="N355" s="11"/>
      <c r="O355" s="11" t="s">
        <v>74</v>
      </c>
      <c r="P355" s="11"/>
      <c r="Q355" s="11" t="s">
        <v>107</v>
      </c>
      <c r="R355" s="11"/>
      <c r="S355" s="11" t="s">
        <v>108</v>
      </c>
      <c r="T355" s="11"/>
      <c r="U355" s="11" t="s">
        <v>108</v>
      </c>
      <c r="V355" s="11"/>
      <c r="W355" s="11" t="s">
        <v>174</v>
      </c>
      <c r="X355" s="11" t="s">
        <v>74</v>
      </c>
      <c r="Y355" s="11"/>
      <c r="Z355" s="11" t="s">
        <v>74</v>
      </c>
      <c r="AA355" s="11"/>
      <c r="AB355" s="11" t="s">
        <v>107</v>
      </c>
      <c r="AC355" s="11"/>
      <c r="AD355" s="11" t="s">
        <v>108</v>
      </c>
      <c r="AE355" s="11"/>
      <c r="AF355" s="11" t="s">
        <v>108</v>
      </c>
      <c r="AG355" s="11"/>
      <c r="AH355" s="11" t="s">
        <v>174</v>
      </c>
    </row>
    <row r="356" spans="1:34" x14ac:dyDescent="0.25">
      <c r="A356" s="11">
        <v>140</v>
      </c>
      <c r="B356" s="11"/>
      <c r="C356" s="11"/>
      <c r="D356" s="11"/>
      <c r="E356" s="11"/>
      <c r="F356" s="11"/>
      <c r="G356" s="11"/>
      <c r="H356" s="11">
        <v>2</v>
      </c>
      <c r="I356" s="11" t="s">
        <v>175</v>
      </c>
      <c r="J356" s="13">
        <v>0.28472222222222221</v>
      </c>
      <c r="K356" s="11" t="s">
        <v>231</v>
      </c>
      <c r="L356" s="14" t="s">
        <v>315</v>
      </c>
      <c r="M356" s="11">
        <v>12</v>
      </c>
      <c r="N356" s="11"/>
      <c r="O356" s="11">
        <v>18</v>
      </c>
      <c r="P356" s="11"/>
      <c r="Q356" s="11">
        <v>56</v>
      </c>
      <c r="R356" s="11"/>
      <c r="S356" s="11">
        <v>59</v>
      </c>
      <c r="T356" s="11"/>
      <c r="U356" s="11">
        <v>76</v>
      </c>
      <c r="V356" s="11"/>
      <c r="W356" s="11">
        <v>35</v>
      </c>
      <c r="X356" s="11">
        <v>14</v>
      </c>
      <c r="Y356" s="11"/>
      <c r="Z356" s="11">
        <v>43</v>
      </c>
      <c r="AA356" s="11"/>
      <c r="AB356" s="11">
        <v>62</v>
      </c>
      <c r="AC356" s="11"/>
      <c r="AD356" s="11">
        <v>2</v>
      </c>
      <c r="AE356" s="11"/>
      <c r="AF356" s="11">
        <v>48</v>
      </c>
      <c r="AG356" s="11"/>
      <c r="AH356" s="11">
        <v>34</v>
      </c>
    </row>
    <row r="357" spans="1:34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3">
        <v>0.54861111111111105</v>
      </c>
      <c r="K357" s="11"/>
      <c r="L357" s="14"/>
      <c r="M357" s="11" t="s">
        <v>74</v>
      </c>
      <c r="N357" s="11"/>
      <c r="O357" s="11" t="s">
        <v>107</v>
      </c>
      <c r="P357" s="11"/>
      <c r="Q357" s="11" t="s">
        <v>107</v>
      </c>
      <c r="R357" s="11"/>
      <c r="S357" s="11" t="s">
        <v>108</v>
      </c>
      <c r="T357" s="11"/>
      <c r="U357" s="11" t="s">
        <v>108</v>
      </c>
      <c r="V357" s="11"/>
      <c r="W357" s="11" t="s">
        <v>174</v>
      </c>
      <c r="X357" s="11" t="s">
        <v>74</v>
      </c>
      <c r="Y357" s="11"/>
      <c r="Z357" s="11" t="s">
        <v>74</v>
      </c>
      <c r="AA357" s="11"/>
      <c r="AB357" s="11" t="s">
        <v>107</v>
      </c>
      <c r="AC357" s="11"/>
      <c r="AD357" s="11" t="s">
        <v>108</v>
      </c>
      <c r="AE357" s="11"/>
      <c r="AF357" s="11" t="s">
        <v>108</v>
      </c>
      <c r="AG357" s="11"/>
      <c r="AH357" s="11" t="s">
        <v>174</v>
      </c>
    </row>
    <row r="358" spans="1:34" x14ac:dyDescent="0.25">
      <c r="A358" s="11">
        <v>141</v>
      </c>
      <c r="B358" s="11"/>
      <c r="C358" s="11"/>
      <c r="D358" s="11"/>
      <c r="E358" s="11"/>
      <c r="F358" s="11"/>
      <c r="G358" s="11"/>
      <c r="H358" s="11">
        <v>2</v>
      </c>
      <c r="I358" s="11"/>
      <c r="J358" s="13">
        <v>0.28541666666666665</v>
      </c>
      <c r="K358" s="11" t="s">
        <v>182</v>
      </c>
      <c r="L358" s="14" t="s">
        <v>316</v>
      </c>
      <c r="M358" s="11">
        <v>12</v>
      </c>
      <c r="N358" s="11"/>
      <c r="O358" s="11">
        <v>18</v>
      </c>
      <c r="P358" s="11"/>
      <c r="Q358" s="11">
        <v>56</v>
      </c>
      <c r="R358" s="11"/>
      <c r="S358" s="11">
        <v>59</v>
      </c>
      <c r="T358" s="11"/>
      <c r="U358" s="11">
        <v>76</v>
      </c>
      <c r="V358" s="11"/>
      <c r="W358" s="11">
        <v>35</v>
      </c>
      <c r="X358" s="11">
        <v>14</v>
      </c>
      <c r="Y358" s="11"/>
      <c r="Z358" s="11">
        <v>43</v>
      </c>
      <c r="AA358" s="11"/>
      <c r="AB358" s="11">
        <v>62</v>
      </c>
      <c r="AC358" s="11"/>
      <c r="AD358" s="11">
        <v>2</v>
      </c>
      <c r="AE358" s="11"/>
      <c r="AF358" s="11">
        <v>48</v>
      </c>
      <c r="AG358" s="11"/>
      <c r="AH358" s="11">
        <v>34</v>
      </c>
    </row>
    <row r="359" spans="1:34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3">
        <v>0.54791666666666672</v>
      </c>
      <c r="K359" s="11"/>
      <c r="L359" s="14"/>
      <c r="M359" s="11" t="s">
        <v>74</v>
      </c>
      <c r="N359" s="11"/>
      <c r="O359" s="11" t="s">
        <v>107</v>
      </c>
      <c r="P359" s="11"/>
      <c r="Q359" s="11" t="s">
        <v>107</v>
      </c>
      <c r="R359" s="11"/>
      <c r="S359" s="11" t="s">
        <v>108</v>
      </c>
      <c r="T359" s="11"/>
      <c r="U359" s="11" t="s">
        <v>108</v>
      </c>
      <c r="V359" s="11"/>
      <c r="W359" s="11" t="s">
        <v>174</v>
      </c>
      <c r="X359" s="11" t="s">
        <v>74</v>
      </c>
      <c r="Y359" s="11"/>
      <c r="Z359" s="11" t="s">
        <v>74</v>
      </c>
      <c r="AA359" s="11"/>
      <c r="AB359" s="11" t="s">
        <v>107</v>
      </c>
      <c r="AC359" s="11"/>
      <c r="AD359" s="11" t="s">
        <v>108</v>
      </c>
      <c r="AE359" s="11"/>
      <c r="AF359" s="11" t="s">
        <v>108</v>
      </c>
      <c r="AG359" s="11"/>
      <c r="AH359" s="11" t="s">
        <v>174</v>
      </c>
    </row>
    <row r="360" spans="1:34" x14ac:dyDescent="0.25">
      <c r="A360" s="11">
        <v>142</v>
      </c>
      <c r="B360" s="11"/>
      <c r="C360" s="11"/>
      <c r="D360" s="11"/>
      <c r="E360" s="11"/>
      <c r="F360" s="11"/>
      <c r="G360" s="11"/>
      <c r="H360" s="11">
        <v>2</v>
      </c>
      <c r="I360" s="11" t="s">
        <v>175</v>
      </c>
      <c r="J360" s="13">
        <v>0.28541666666666665</v>
      </c>
      <c r="K360" s="11" t="s">
        <v>176</v>
      </c>
      <c r="L360" s="14" t="s">
        <v>317</v>
      </c>
      <c r="M360" s="11">
        <v>19</v>
      </c>
      <c r="N360" s="11"/>
      <c r="O360" s="11">
        <v>18</v>
      </c>
      <c r="P360" s="11"/>
      <c r="Q360" s="11">
        <v>56</v>
      </c>
      <c r="R360" s="11"/>
      <c r="S360" s="11">
        <v>59</v>
      </c>
      <c r="T360" s="11"/>
      <c r="U360" s="11">
        <v>76</v>
      </c>
      <c r="V360" s="11"/>
      <c r="W360" s="11">
        <v>35</v>
      </c>
      <c r="X360" s="11">
        <v>15</v>
      </c>
      <c r="Y360" s="11"/>
      <c r="Z360" s="11">
        <v>21</v>
      </c>
      <c r="AA360" s="11"/>
      <c r="AB360" s="11">
        <v>40</v>
      </c>
      <c r="AC360" s="11"/>
      <c r="AD360" s="11">
        <v>25</v>
      </c>
      <c r="AE360" s="11"/>
      <c r="AF360" s="11">
        <v>65</v>
      </c>
      <c r="AG360" s="11"/>
      <c r="AH360" s="11">
        <v>34</v>
      </c>
    </row>
    <row r="361" spans="1:34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3">
        <v>0.54791666666666672</v>
      </c>
      <c r="K361" s="11"/>
      <c r="L361" s="14"/>
      <c r="M361" s="11" t="s">
        <v>74</v>
      </c>
      <c r="N361" s="11"/>
      <c r="O361" s="11" t="s">
        <v>107</v>
      </c>
      <c r="P361" s="11"/>
      <c r="Q361" s="11" t="s">
        <v>107</v>
      </c>
      <c r="R361" s="11"/>
      <c r="S361" s="11" t="s">
        <v>108</v>
      </c>
      <c r="T361" s="11"/>
      <c r="U361" s="11" t="s">
        <v>108</v>
      </c>
      <c r="V361" s="11"/>
      <c r="W361" s="11" t="s">
        <v>174</v>
      </c>
      <c r="X361" s="11" t="s">
        <v>74</v>
      </c>
      <c r="Y361" s="11"/>
      <c r="Z361" s="11" t="s">
        <v>74</v>
      </c>
      <c r="AA361" s="11"/>
      <c r="AB361" s="11" t="s">
        <v>107</v>
      </c>
      <c r="AC361" s="11"/>
      <c r="AD361" s="11" t="s">
        <v>108</v>
      </c>
      <c r="AE361" s="11"/>
      <c r="AF361" s="11" t="s">
        <v>108</v>
      </c>
      <c r="AG361" s="11"/>
      <c r="AH361" s="11" t="s">
        <v>174</v>
      </c>
    </row>
    <row r="362" spans="1:34" x14ac:dyDescent="0.25">
      <c r="A362" s="11">
        <v>143</v>
      </c>
      <c r="B362" s="11"/>
      <c r="C362" s="11"/>
      <c r="D362" s="11"/>
      <c r="E362" s="11"/>
      <c r="F362" s="11"/>
      <c r="G362" s="11"/>
      <c r="H362" s="11">
        <v>2</v>
      </c>
      <c r="I362" s="11" t="s">
        <v>175</v>
      </c>
      <c r="J362" s="13">
        <v>0.29166666666666669</v>
      </c>
      <c r="K362" s="11" t="s">
        <v>178</v>
      </c>
      <c r="L362" s="14" t="s">
        <v>318</v>
      </c>
      <c r="M362" s="11">
        <v>19</v>
      </c>
      <c r="N362" s="11"/>
      <c r="O362" s="11">
        <v>18</v>
      </c>
      <c r="P362" s="11"/>
      <c r="Q362" s="11">
        <v>56</v>
      </c>
      <c r="R362" s="11"/>
      <c r="S362" s="11">
        <v>59</v>
      </c>
      <c r="T362" s="11"/>
      <c r="U362" s="11">
        <v>76</v>
      </c>
      <c r="V362" s="11"/>
      <c r="W362" s="11">
        <v>35</v>
      </c>
      <c r="X362" s="11">
        <v>15</v>
      </c>
      <c r="Y362" s="11"/>
      <c r="Z362" s="11">
        <v>21</v>
      </c>
      <c r="AA362" s="11"/>
      <c r="AB362" s="11">
        <v>40</v>
      </c>
      <c r="AC362" s="11"/>
      <c r="AD362" s="11">
        <v>25</v>
      </c>
      <c r="AE362" s="11"/>
      <c r="AF362" s="11">
        <v>65</v>
      </c>
      <c r="AG362" s="11"/>
      <c r="AH362" s="11">
        <v>34</v>
      </c>
    </row>
    <row r="363" spans="1:34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3">
        <v>0.54166666666666663</v>
      </c>
      <c r="K363" s="11"/>
      <c r="L363" s="14"/>
      <c r="M363" s="11" t="s">
        <v>74</v>
      </c>
      <c r="N363" s="11"/>
      <c r="O363" s="11" t="s">
        <v>107</v>
      </c>
      <c r="P363" s="11"/>
      <c r="Q363" s="11" t="s">
        <v>107</v>
      </c>
      <c r="R363" s="11"/>
      <c r="S363" s="11" t="s">
        <v>108</v>
      </c>
      <c r="T363" s="11"/>
      <c r="U363" s="11" t="s">
        <v>108</v>
      </c>
      <c r="V363" s="11"/>
      <c r="W363" s="11" t="s">
        <v>174</v>
      </c>
      <c r="X363" s="11" t="s">
        <v>74</v>
      </c>
      <c r="Y363" s="11"/>
      <c r="Z363" s="11" t="s">
        <v>74</v>
      </c>
      <c r="AA363" s="11"/>
      <c r="AB363" s="11" t="s">
        <v>107</v>
      </c>
      <c r="AC363" s="11"/>
      <c r="AD363" s="11" t="s">
        <v>108</v>
      </c>
      <c r="AE363" s="11"/>
      <c r="AF363" s="11" t="s">
        <v>108</v>
      </c>
      <c r="AG363" s="11"/>
      <c r="AH363" s="11" t="s">
        <v>174</v>
      </c>
    </row>
    <row r="364" spans="1:34" x14ac:dyDescent="0.25">
      <c r="A364" s="11">
        <v>144</v>
      </c>
      <c r="B364" s="11"/>
      <c r="C364" s="11"/>
      <c r="D364" s="11"/>
      <c r="E364" s="11"/>
      <c r="F364" s="11"/>
      <c r="G364" s="11"/>
      <c r="H364" s="11">
        <v>2</v>
      </c>
      <c r="I364" s="11" t="s">
        <v>175</v>
      </c>
      <c r="J364" s="13">
        <v>0.29652777777777778</v>
      </c>
      <c r="K364" s="11" t="s">
        <v>178</v>
      </c>
      <c r="L364" s="14" t="s">
        <v>319</v>
      </c>
      <c r="M364" s="11">
        <v>19</v>
      </c>
      <c r="N364" s="11"/>
      <c r="O364" s="11">
        <v>18</v>
      </c>
      <c r="P364" s="11"/>
      <c r="Q364" s="11">
        <v>56</v>
      </c>
      <c r="R364" s="11"/>
      <c r="S364" s="11">
        <v>59</v>
      </c>
      <c r="T364" s="11"/>
      <c r="U364" s="11">
        <v>76</v>
      </c>
      <c r="V364" s="11"/>
      <c r="W364" s="11">
        <v>35</v>
      </c>
      <c r="X364" s="11">
        <v>15</v>
      </c>
      <c r="Y364" s="11"/>
      <c r="Z364" s="11">
        <v>21</v>
      </c>
      <c r="AA364" s="11"/>
      <c r="AB364" s="11">
        <v>40</v>
      </c>
      <c r="AC364" s="11"/>
      <c r="AD364" s="11">
        <v>25</v>
      </c>
      <c r="AE364" s="11"/>
      <c r="AF364" s="11">
        <v>65</v>
      </c>
      <c r="AG364" s="11"/>
      <c r="AH364" s="11">
        <v>34</v>
      </c>
    </row>
    <row r="365" spans="1:34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3">
        <v>0.53680555555555554</v>
      </c>
      <c r="K365" s="11"/>
      <c r="L365" s="14"/>
      <c r="M365" s="11" t="s">
        <v>74</v>
      </c>
      <c r="N365" s="11"/>
      <c r="O365" s="11" t="s">
        <v>107</v>
      </c>
      <c r="P365" s="11"/>
      <c r="Q365" s="11" t="s">
        <v>107</v>
      </c>
      <c r="R365" s="11"/>
      <c r="S365" s="11" t="s">
        <v>108</v>
      </c>
      <c r="T365" s="11"/>
      <c r="U365" s="11" t="s">
        <v>108</v>
      </c>
      <c r="V365" s="11"/>
      <c r="W365" s="11" t="s">
        <v>174</v>
      </c>
      <c r="X365" s="11" t="s">
        <v>74</v>
      </c>
      <c r="Y365" s="11"/>
      <c r="Z365" s="11" t="s">
        <v>74</v>
      </c>
      <c r="AA365" s="11"/>
      <c r="AB365" s="11" t="s">
        <v>107</v>
      </c>
      <c r="AC365" s="11"/>
      <c r="AD365" s="11" t="s">
        <v>108</v>
      </c>
      <c r="AE365" s="11"/>
      <c r="AF365" s="11" t="s">
        <v>108</v>
      </c>
      <c r="AG365" s="11"/>
      <c r="AH365" s="11" t="s">
        <v>174</v>
      </c>
    </row>
    <row r="366" spans="1:34" x14ac:dyDescent="0.25">
      <c r="A366" s="11">
        <v>145</v>
      </c>
      <c r="B366" s="11"/>
      <c r="C366" s="11"/>
      <c r="D366" s="11"/>
      <c r="E366" s="11"/>
      <c r="F366" s="11"/>
      <c r="G366" s="11"/>
      <c r="H366" s="11">
        <v>2</v>
      </c>
      <c r="I366" s="11" t="s">
        <v>175</v>
      </c>
      <c r="J366" s="13">
        <v>0.30694444444444441</v>
      </c>
      <c r="K366" s="11" t="s">
        <v>188</v>
      </c>
      <c r="L366" s="14" t="s">
        <v>320</v>
      </c>
      <c r="M366" s="11">
        <v>19</v>
      </c>
      <c r="N366" s="11"/>
      <c r="O366" s="11">
        <v>18</v>
      </c>
      <c r="P366" s="11"/>
      <c r="Q366" s="11">
        <v>56</v>
      </c>
      <c r="R366" s="11"/>
      <c r="S366" s="11">
        <v>59</v>
      </c>
      <c r="T366" s="11"/>
      <c r="U366" s="11">
        <v>76</v>
      </c>
      <c r="V366" s="11"/>
      <c r="W366" s="11">
        <v>35</v>
      </c>
      <c r="X366" s="11">
        <v>15</v>
      </c>
      <c r="Y366" s="11"/>
      <c r="Z366" s="11">
        <v>21</v>
      </c>
      <c r="AA366" s="11"/>
      <c r="AB366" s="11">
        <v>40</v>
      </c>
      <c r="AC366" s="11"/>
      <c r="AD366" s="11">
        <v>25</v>
      </c>
      <c r="AE366" s="11"/>
      <c r="AF366" s="11">
        <v>65</v>
      </c>
      <c r="AG366" s="11"/>
      <c r="AH366" s="11">
        <v>34</v>
      </c>
    </row>
    <row r="367" spans="1:34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3">
        <v>0.52638888888888891</v>
      </c>
      <c r="K367" s="11"/>
      <c r="L367" s="14"/>
      <c r="M367" s="11" t="s">
        <v>74</v>
      </c>
      <c r="N367" s="11"/>
      <c r="O367" s="11" t="s">
        <v>107</v>
      </c>
      <c r="P367" s="11"/>
      <c r="Q367" s="11" t="s">
        <v>107</v>
      </c>
      <c r="R367" s="11"/>
      <c r="S367" s="11" t="s">
        <v>108</v>
      </c>
      <c r="T367" s="11"/>
      <c r="U367" s="11" t="s">
        <v>108</v>
      </c>
      <c r="V367" s="11"/>
      <c r="W367" s="11" t="s">
        <v>174</v>
      </c>
      <c r="X367" s="11" t="s">
        <v>74</v>
      </c>
      <c r="Y367" s="11"/>
      <c r="Z367" s="11" t="s">
        <v>74</v>
      </c>
      <c r="AA367" s="11"/>
      <c r="AB367" s="11" t="s">
        <v>107</v>
      </c>
      <c r="AC367" s="11"/>
      <c r="AD367" s="11" t="s">
        <v>108</v>
      </c>
      <c r="AE367" s="11"/>
      <c r="AF367" s="11" t="s">
        <v>108</v>
      </c>
      <c r="AG367" s="11"/>
      <c r="AH367" s="11" t="s">
        <v>174</v>
      </c>
    </row>
    <row r="368" spans="1:34" x14ac:dyDescent="0.25">
      <c r="A368" s="11">
        <v>146</v>
      </c>
      <c r="B368" s="11"/>
      <c r="C368" s="11"/>
      <c r="D368" s="11"/>
      <c r="E368" s="11"/>
      <c r="F368" s="11"/>
      <c r="G368" s="11"/>
      <c r="H368" s="11">
        <v>2</v>
      </c>
      <c r="I368" s="11"/>
      <c r="J368" s="13">
        <v>0.30694444444444441</v>
      </c>
      <c r="K368" s="11" t="s">
        <v>182</v>
      </c>
      <c r="L368" s="14" t="s">
        <v>261</v>
      </c>
      <c r="M368" s="11">
        <v>19</v>
      </c>
      <c r="N368" s="11"/>
      <c r="O368" s="11">
        <v>18</v>
      </c>
      <c r="P368" s="11"/>
      <c r="Q368" s="11">
        <v>56</v>
      </c>
      <c r="R368" s="11"/>
      <c r="S368" s="11">
        <v>59</v>
      </c>
      <c r="T368" s="11"/>
      <c r="U368" s="11">
        <v>76</v>
      </c>
      <c r="V368" s="11"/>
      <c r="W368" s="11">
        <v>35</v>
      </c>
      <c r="X368" s="11">
        <v>15</v>
      </c>
      <c r="Y368" s="11"/>
      <c r="Z368" s="11">
        <v>21</v>
      </c>
      <c r="AA368" s="11"/>
      <c r="AB368" s="11">
        <v>40</v>
      </c>
      <c r="AC368" s="11"/>
      <c r="AD368" s="11">
        <v>25</v>
      </c>
      <c r="AE368" s="11"/>
      <c r="AF368" s="11">
        <v>65</v>
      </c>
      <c r="AG368" s="11"/>
      <c r="AH368" s="11">
        <v>34</v>
      </c>
    </row>
    <row r="369" spans="1:34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3">
        <v>0.52638888888888891</v>
      </c>
      <c r="K369" s="11"/>
      <c r="L369" s="14"/>
      <c r="M369" s="11" t="s">
        <v>74</v>
      </c>
      <c r="N369" s="11"/>
      <c r="O369" s="11" t="s">
        <v>107</v>
      </c>
      <c r="P369" s="11"/>
      <c r="Q369" s="11" t="s">
        <v>107</v>
      </c>
      <c r="R369" s="11"/>
      <c r="S369" s="11" t="s">
        <v>108</v>
      </c>
      <c r="T369" s="11"/>
      <c r="U369" s="11" t="s">
        <v>108</v>
      </c>
      <c r="V369" s="11"/>
      <c r="W369" s="11" t="s">
        <v>174</v>
      </c>
      <c r="X369" s="11" t="s">
        <v>74</v>
      </c>
      <c r="Y369" s="11"/>
      <c r="Z369" s="11" t="s">
        <v>74</v>
      </c>
      <c r="AA369" s="11"/>
      <c r="AB369" s="11" t="s">
        <v>107</v>
      </c>
      <c r="AC369" s="11"/>
      <c r="AD369" s="11" t="s">
        <v>108</v>
      </c>
      <c r="AE369" s="11"/>
      <c r="AF369" s="11" t="s">
        <v>108</v>
      </c>
      <c r="AG369" s="11"/>
      <c r="AH369" s="11" t="s">
        <v>174</v>
      </c>
    </row>
    <row r="370" spans="1:34" x14ac:dyDescent="0.25">
      <c r="A370" s="11">
        <v>147</v>
      </c>
      <c r="B370" s="11"/>
      <c r="C370" s="11"/>
      <c r="D370" s="11"/>
      <c r="E370" s="11"/>
      <c r="F370" s="11"/>
      <c r="G370" s="11"/>
      <c r="H370" s="11">
        <v>2</v>
      </c>
      <c r="I370" s="11" t="s">
        <v>175</v>
      </c>
      <c r="J370" s="13">
        <v>0.30694444444444441</v>
      </c>
      <c r="K370" s="11" t="s">
        <v>176</v>
      </c>
      <c r="L370" s="14" t="s">
        <v>321</v>
      </c>
      <c r="M370" s="11">
        <v>10</v>
      </c>
      <c r="N370" s="11"/>
      <c r="O370" s="11">
        <v>16</v>
      </c>
      <c r="P370" s="11"/>
      <c r="Q370" s="11">
        <v>9</v>
      </c>
      <c r="R370" s="11"/>
      <c r="S370" s="11">
        <v>7</v>
      </c>
      <c r="T370" s="11"/>
      <c r="U370" s="11">
        <v>25</v>
      </c>
      <c r="V370" s="11"/>
      <c r="W370" s="11">
        <v>35</v>
      </c>
      <c r="X370" s="11">
        <v>29</v>
      </c>
      <c r="Y370" s="11"/>
      <c r="Z370" s="11">
        <v>41</v>
      </c>
      <c r="AA370" s="11"/>
      <c r="AB370" s="11">
        <v>20</v>
      </c>
      <c r="AC370" s="11"/>
      <c r="AD370" s="11">
        <v>52</v>
      </c>
      <c r="AE370" s="11"/>
      <c r="AF370" s="11">
        <v>53</v>
      </c>
      <c r="AG370" s="11"/>
      <c r="AH370" s="11">
        <v>34</v>
      </c>
    </row>
    <row r="371" spans="1:34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3">
        <v>0.52638888888888891</v>
      </c>
      <c r="K371" s="11"/>
      <c r="L371" s="14"/>
      <c r="M371" s="11" t="s">
        <v>74</v>
      </c>
      <c r="N371" s="11"/>
      <c r="O371" s="11" t="s">
        <v>74</v>
      </c>
      <c r="P371" s="11"/>
      <c r="Q371" s="11" t="s">
        <v>107</v>
      </c>
      <c r="R371" s="11"/>
      <c r="S371" s="11" t="s">
        <v>108</v>
      </c>
      <c r="T371" s="11"/>
      <c r="U371" s="11" t="s">
        <v>108</v>
      </c>
      <c r="V371" s="11"/>
      <c r="W371" s="11" t="s">
        <v>174</v>
      </c>
      <c r="X371" s="11" t="s">
        <v>74</v>
      </c>
      <c r="Y371" s="11"/>
      <c r="Z371" s="11" t="s">
        <v>74</v>
      </c>
      <c r="AA371" s="11"/>
      <c r="AB371" s="11" t="s">
        <v>107</v>
      </c>
      <c r="AC371" s="11"/>
      <c r="AD371" s="11" t="s">
        <v>108</v>
      </c>
      <c r="AE371" s="11"/>
      <c r="AF371" s="11" t="s">
        <v>108</v>
      </c>
      <c r="AG371" s="11"/>
      <c r="AH371" s="11" t="s">
        <v>174</v>
      </c>
    </row>
    <row r="372" spans="1:34" x14ac:dyDescent="0.25">
      <c r="A372" s="11">
        <v>148</v>
      </c>
      <c r="B372" s="11"/>
      <c r="C372" s="11"/>
      <c r="D372" s="11"/>
      <c r="E372" s="11"/>
      <c r="F372" s="11"/>
      <c r="G372" s="11"/>
      <c r="H372" s="11">
        <v>2</v>
      </c>
      <c r="I372" s="11" t="s">
        <v>175</v>
      </c>
      <c r="J372" s="13">
        <v>0.32569444444444445</v>
      </c>
      <c r="K372" s="11" t="s">
        <v>180</v>
      </c>
      <c r="L372" s="14" t="s">
        <v>322</v>
      </c>
      <c r="M372" s="11">
        <v>10</v>
      </c>
      <c r="N372" s="11"/>
      <c r="O372" s="11">
        <v>16</v>
      </c>
      <c r="P372" s="11"/>
      <c r="Q372" s="11">
        <v>9</v>
      </c>
      <c r="R372" s="11"/>
      <c r="S372" s="11">
        <v>7</v>
      </c>
      <c r="T372" s="11"/>
      <c r="U372" s="11">
        <v>25</v>
      </c>
      <c r="V372" s="11"/>
      <c r="W372" s="11">
        <v>35</v>
      </c>
      <c r="X372" s="11">
        <v>29</v>
      </c>
      <c r="Y372" s="11"/>
      <c r="Z372" s="11">
        <v>41</v>
      </c>
      <c r="AA372" s="11"/>
      <c r="AB372" s="11">
        <v>20</v>
      </c>
      <c r="AC372" s="11"/>
      <c r="AD372" s="11">
        <v>52</v>
      </c>
      <c r="AE372" s="11"/>
      <c r="AF372" s="11">
        <v>53</v>
      </c>
      <c r="AG372" s="11"/>
      <c r="AH372" s="11">
        <v>34</v>
      </c>
    </row>
    <row r="373" spans="1:34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3">
        <v>0.50763888888888886</v>
      </c>
      <c r="K373" s="11"/>
      <c r="L373" s="14"/>
      <c r="M373" s="11" t="s">
        <v>74</v>
      </c>
      <c r="N373" s="11"/>
      <c r="O373" s="11" t="s">
        <v>74</v>
      </c>
      <c r="P373" s="11"/>
      <c r="Q373" s="11" t="s">
        <v>107</v>
      </c>
      <c r="R373" s="11"/>
      <c r="S373" s="11" t="s">
        <v>108</v>
      </c>
      <c r="T373" s="11"/>
      <c r="U373" s="11" t="s">
        <v>108</v>
      </c>
      <c r="V373" s="11"/>
      <c r="W373" s="11" t="s">
        <v>174</v>
      </c>
      <c r="X373" s="11" t="s">
        <v>74</v>
      </c>
      <c r="Y373" s="11"/>
      <c r="Z373" s="11" t="s">
        <v>74</v>
      </c>
      <c r="AA373" s="11"/>
      <c r="AB373" s="11" t="s">
        <v>107</v>
      </c>
      <c r="AC373" s="11"/>
      <c r="AD373" s="11" t="s">
        <v>108</v>
      </c>
      <c r="AE373" s="11"/>
      <c r="AF373" s="11" t="s">
        <v>108</v>
      </c>
      <c r="AG373" s="11"/>
      <c r="AH373" s="11" t="s">
        <v>174</v>
      </c>
    </row>
    <row r="374" spans="1:34" x14ac:dyDescent="0.25">
      <c r="A374" s="14">
        <v>149</v>
      </c>
      <c r="B374" s="14"/>
      <c r="C374" s="14"/>
      <c r="D374" s="14"/>
      <c r="E374" s="14"/>
      <c r="F374" s="14"/>
      <c r="G374" s="14"/>
      <c r="H374" s="4">
        <v>2</v>
      </c>
      <c r="I374" s="4" t="s">
        <v>175</v>
      </c>
      <c r="J374" s="53">
        <v>0.32916666666666666</v>
      </c>
      <c r="K374" s="4" t="s">
        <v>178</v>
      </c>
      <c r="L374" s="4" t="s">
        <v>323</v>
      </c>
      <c r="M374" s="4">
        <v>10</v>
      </c>
      <c r="O374" s="4">
        <v>16</v>
      </c>
      <c r="Q374" s="4">
        <v>9</v>
      </c>
      <c r="S374" s="4">
        <v>7</v>
      </c>
      <c r="U374" s="4">
        <v>25</v>
      </c>
      <c r="W374" s="4">
        <v>35</v>
      </c>
      <c r="X374" s="4">
        <v>29</v>
      </c>
      <c r="Z374" s="4">
        <v>41</v>
      </c>
      <c r="AB374" s="4">
        <v>20</v>
      </c>
      <c r="AD374" s="4">
        <v>52</v>
      </c>
      <c r="AF374" s="4">
        <v>53</v>
      </c>
      <c r="AH374" s="4">
        <v>34</v>
      </c>
    </row>
    <row r="375" spans="1:34" ht="18.75" x14ac:dyDescent="0.3">
      <c r="A375" s="15"/>
      <c r="B375" s="15"/>
      <c r="C375" s="15"/>
      <c r="D375" s="16"/>
      <c r="E375" s="15"/>
      <c r="F375" s="15"/>
      <c r="G375" s="15"/>
      <c r="J375" s="53">
        <v>0.50416666666666665</v>
      </c>
      <c r="M375" s="4" t="s">
        <v>74</v>
      </c>
      <c r="O375" s="4" t="s">
        <v>74</v>
      </c>
      <c r="Q375" s="4" t="s">
        <v>107</v>
      </c>
      <c r="S375" s="4" t="s">
        <v>108</v>
      </c>
      <c r="U375" s="4" t="s">
        <v>108</v>
      </c>
      <c r="W375" s="4" t="s">
        <v>174</v>
      </c>
      <c r="X375" s="4" t="s">
        <v>74</v>
      </c>
      <c r="Z375" s="4" t="s">
        <v>74</v>
      </c>
      <c r="AB375" s="4" t="s">
        <v>107</v>
      </c>
      <c r="AD375" s="4" t="s">
        <v>108</v>
      </c>
      <c r="AF375" s="4" t="s">
        <v>108</v>
      </c>
      <c r="AH375" s="4" t="s">
        <v>174</v>
      </c>
    </row>
    <row r="376" spans="1:34" ht="51" x14ac:dyDescent="0.75">
      <c r="A376" s="1">
        <v>150</v>
      </c>
      <c r="B376" s="17"/>
      <c r="C376" s="1"/>
      <c r="D376" s="16"/>
      <c r="E376" s="1"/>
      <c r="F376" s="17"/>
      <c r="G376" s="1"/>
      <c r="H376" s="4">
        <v>2</v>
      </c>
      <c r="I376" s="4" t="s">
        <v>175</v>
      </c>
      <c r="J376" s="53">
        <v>0.33263888888888887</v>
      </c>
      <c r="K376" s="4" t="s">
        <v>231</v>
      </c>
      <c r="L376" s="4" t="s">
        <v>324</v>
      </c>
      <c r="M376" s="4">
        <v>10</v>
      </c>
      <c r="O376" s="4">
        <v>16</v>
      </c>
      <c r="Q376" s="4">
        <v>9</v>
      </c>
      <c r="S376" s="4">
        <v>7</v>
      </c>
      <c r="U376" s="4">
        <v>25</v>
      </c>
      <c r="W376" s="4">
        <v>35</v>
      </c>
      <c r="X376" s="4">
        <v>29</v>
      </c>
      <c r="Z376" s="4">
        <v>41</v>
      </c>
      <c r="AB376" s="4">
        <v>20</v>
      </c>
      <c r="AD376" s="4">
        <v>52</v>
      </c>
      <c r="AF376" s="4">
        <v>53</v>
      </c>
      <c r="AH376" s="4">
        <v>34</v>
      </c>
    </row>
    <row r="377" spans="1:34" x14ac:dyDescent="0.25">
      <c r="A377" s="18"/>
      <c r="B377" s="18"/>
      <c r="C377" s="18"/>
      <c r="D377" s="18"/>
      <c r="E377" s="18"/>
      <c r="F377" s="18"/>
      <c r="G377" s="18"/>
      <c r="J377" s="53">
        <v>0.50069444444444444</v>
      </c>
      <c r="M377" s="4" t="s">
        <v>74</v>
      </c>
      <c r="O377" s="4" t="s">
        <v>74</v>
      </c>
      <c r="Q377" s="4" t="s">
        <v>107</v>
      </c>
      <c r="S377" s="4" t="s">
        <v>108</v>
      </c>
      <c r="U377" s="4" t="s">
        <v>108</v>
      </c>
      <c r="W377" s="4" t="s">
        <v>174</v>
      </c>
      <c r="X377" s="4" t="s">
        <v>74</v>
      </c>
      <c r="Z377" s="4" t="s">
        <v>74</v>
      </c>
      <c r="AB377" s="4" t="s">
        <v>107</v>
      </c>
      <c r="AD377" s="4" t="s">
        <v>108</v>
      </c>
      <c r="AF377" s="4" t="s">
        <v>108</v>
      </c>
      <c r="AH377" s="4" t="s">
        <v>174</v>
      </c>
    </row>
    <row r="378" spans="1:34" x14ac:dyDescent="0.25">
      <c r="A378" s="18">
        <v>151</v>
      </c>
      <c r="B378" s="18"/>
      <c r="C378" s="18"/>
      <c r="D378" s="18"/>
      <c r="E378" s="18"/>
      <c r="F378" s="18"/>
      <c r="G378" s="18"/>
      <c r="H378" s="4">
        <v>2</v>
      </c>
      <c r="I378" s="4" t="s">
        <v>175</v>
      </c>
      <c r="J378" s="53">
        <v>0.3430555555555555</v>
      </c>
      <c r="K378" s="4" t="s">
        <v>180</v>
      </c>
      <c r="L378" s="4" t="s">
        <v>325</v>
      </c>
      <c r="M378" s="4">
        <v>12</v>
      </c>
      <c r="O378" s="4">
        <v>33</v>
      </c>
      <c r="Q378" s="4">
        <v>38</v>
      </c>
      <c r="S378" s="4">
        <v>4</v>
      </c>
      <c r="U378" s="4">
        <v>14</v>
      </c>
      <c r="W378" s="4">
        <v>35</v>
      </c>
      <c r="X378" s="4">
        <v>41</v>
      </c>
      <c r="Z378" s="4">
        <v>51</v>
      </c>
      <c r="AB378" s="4">
        <v>20</v>
      </c>
      <c r="AD378" s="4">
        <v>52</v>
      </c>
      <c r="AF378" s="4">
        <v>53</v>
      </c>
      <c r="AH378" s="4">
        <v>34</v>
      </c>
    </row>
    <row r="379" spans="1:34" x14ac:dyDescent="0.25">
      <c r="A379" s="19"/>
      <c r="B379" s="19"/>
      <c r="C379" s="19"/>
      <c r="D379" s="18"/>
      <c r="E379" s="19"/>
      <c r="F379" s="19"/>
      <c r="G379" s="19"/>
      <c r="J379" s="53">
        <v>0.49027777777777781</v>
      </c>
      <c r="M379" s="4" t="s">
        <v>74</v>
      </c>
      <c r="O379" s="4" t="s">
        <v>74</v>
      </c>
      <c r="Q379" s="4" t="s">
        <v>107</v>
      </c>
      <c r="S379" s="4" t="s">
        <v>108</v>
      </c>
      <c r="U379" s="4" t="s">
        <v>108</v>
      </c>
      <c r="W379" s="4" t="s">
        <v>174</v>
      </c>
      <c r="X379" s="4" t="s">
        <v>74</v>
      </c>
      <c r="Z379" s="4" t="s">
        <v>74</v>
      </c>
      <c r="AB379" s="4" t="s">
        <v>107</v>
      </c>
      <c r="AD379" s="4" t="s">
        <v>108</v>
      </c>
      <c r="AF379" s="4" t="s">
        <v>108</v>
      </c>
      <c r="AH379" s="4" t="s">
        <v>174</v>
      </c>
    </row>
    <row r="380" spans="1:34" x14ac:dyDescent="0.25">
      <c r="A380" s="19">
        <v>152</v>
      </c>
      <c r="B380" s="19"/>
      <c r="C380" s="19"/>
      <c r="D380" s="18"/>
      <c r="E380" s="19"/>
      <c r="F380" s="19"/>
      <c r="G380" s="19"/>
      <c r="H380" s="4">
        <v>2</v>
      </c>
      <c r="I380" s="4" t="s">
        <v>175</v>
      </c>
      <c r="J380" s="53">
        <v>0.3444444444444445</v>
      </c>
      <c r="K380" s="4" t="s">
        <v>178</v>
      </c>
      <c r="L380" s="4" t="s">
        <v>326</v>
      </c>
      <c r="M380" s="4">
        <v>12</v>
      </c>
      <c r="O380" s="4">
        <v>33</v>
      </c>
      <c r="Q380" s="4">
        <v>38</v>
      </c>
      <c r="S380" s="4">
        <v>4</v>
      </c>
      <c r="U380" s="4">
        <v>14</v>
      </c>
      <c r="W380" s="4">
        <v>35</v>
      </c>
      <c r="X380" s="4">
        <v>41</v>
      </c>
      <c r="Z380" s="4">
        <v>51</v>
      </c>
      <c r="AB380" s="4">
        <v>71</v>
      </c>
      <c r="AD380" s="4">
        <v>2</v>
      </c>
      <c r="AF380" s="4">
        <v>48</v>
      </c>
      <c r="AH380" s="4">
        <v>34</v>
      </c>
    </row>
    <row r="381" spans="1:34" x14ac:dyDescent="0.25">
      <c r="A381" s="19"/>
      <c r="B381" s="19"/>
      <c r="C381" s="19"/>
      <c r="D381" s="18"/>
      <c r="E381" s="19"/>
      <c r="F381" s="19"/>
      <c r="G381" s="19"/>
      <c r="J381" s="53">
        <v>0.48888888888888887</v>
      </c>
      <c r="M381" s="4" t="s">
        <v>74</v>
      </c>
      <c r="O381" s="4" t="s">
        <v>74</v>
      </c>
      <c r="Q381" s="4" t="s">
        <v>107</v>
      </c>
      <c r="S381" s="4" t="s">
        <v>108</v>
      </c>
      <c r="U381" s="4" t="s">
        <v>108</v>
      </c>
      <c r="W381" s="4" t="s">
        <v>174</v>
      </c>
      <c r="X381" s="4" t="s">
        <v>74</v>
      </c>
      <c r="Z381" s="4" t="s">
        <v>74</v>
      </c>
      <c r="AB381" s="4" t="s">
        <v>74</v>
      </c>
      <c r="AD381" s="4" t="s">
        <v>108</v>
      </c>
      <c r="AF381" s="4" t="s">
        <v>108</v>
      </c>
      <c r="AH381" s="4" t="s">
        <v>174</v>
      </c>
    </row>
    <row r="382" spans="1:34" x14ac:dyDescent="0.25">
      <c r="A382" s="19">
        <v>153</v>
      </c>
      <c r="B382" s="19"/>
      <c r="C382" s="19"/>
      <c r="D382" s="18"/>
      <c r="E382" s="19"/>
      <c r="F382" s="19"/>
      <c r="G382" s="19"/>
      <c r="H382" s="4">
        <v>2</v>
      </c>
      <c r="I382" s="4" t="s">
        <v>175</v>
      </c>
      <c r="J382" s="53">
        <v>0.34513888888888888</v>
      </c>
      <c r="K382" s="4" t="s">
        <v>226</v>
      </c>
      <c r="L382" s="4" t="s">
        <v>327</v>
      </c>
      <c r="M382" s="4">
        <v>12</v>
      </c>
      <c r="O382" s="4">
        <v>33</v>
      </c>
      <c r="Q382" s="4">
        <v>38</v>
      </c>
      <c r="S382" s="4">
        <v>4</v>
      </c>
      <c r="U382" s="4">
        <v>14</v>
      </c>
      <c r="W382" s="4">
        <v>35</v>
      </c>
      <c r="X382" s="4">
        <v>41</v>
      </c>
      <c r="Z382" s="4">
        <v>51</v>
      </c>
      <c r="AB382" s="4">
        <v>71</v>
      </c>
      <c r="AD382" s="4">
        <v>2</v>
      </c>
      <c r="AF382" s="4">
        <v>48</v>
      </c>
      <c r="AH382" s="4">
        <v>34</v>
      </c>
    </row>
    <row r="383" spans="1:34" x14ac:dyDescent="0.25">
      <c r="A383" s="14"/>
      <c r="B383" s="14"/>
      <c r="C383" s="14"/>
      <c r="D383" s="14"/>
      <c r="E383" s="14"/>
      <c r="F383" s="14"/>
      <c r="G383" s="14"/>
      <c r="H383" s="14"/>
      <c r="I383" s="14"/>
      <c r="J383" s="54">
        <v>0.48819444444444443</v>
      </c>
      <c r="K383" s="14"/>
      <c r="L383" s="14"/>
      <c r="M383" s="14" t="s">
        <v>74</v>
      </c>
      <c r="N383" s="14"/>
      <c r="O383" s="14" t="s">
        <v>74</v>
      </c>
      <c r="P383" s="14"/>
      <c r="Q383" s="14" t="s">
        <v>107</v>
      </c>
      <c r="R383" s="14"/>
      <c r="S383" s="14" t="s">
        <v>108</v>
      </c>
      <c r="T383" s="14"/>
      <c r="U383" s="14" t="s">
        <v>108</v>
      </c>
      <c r="V383" s="14"/>
      <c r="W383" s="14" t="s">
        <v>174</v>
      </c>
      <c r="X383" s="14" t="s">
        <v>74</v>
      </c>
      <c r="Y383" s="14"/>
      <c r="Z383" s="14" t="s">
        <v>74</v>
      </c>
      <c r="AA383" s="14"/>
      <c r="AB383" s="14" t="s">
        <v>74</v>
      </c>
      <c r="AC383" s="14"/>
      <c r="AD383" s="14" t="s">
        <v>108</v>
      </c>
      <c r="AE383" s="14"/>
      <c r="AF383" s="14" t="s">
        <v>108</v>
      </c>
      <c r="AG383" s="14"/>
      <c r="AH383" s="14" t="s">
        <v>174</v>
      </c>
    </row>
    <row r="384" spans="1:34" x14ac:dyDescent="0.25">
      <c r="A384" s="11">
        <v>154</v>
      </c>
      <c r="B384" s="11"/>
      <c r="C384" s="11"/>
      <c r="D384" s="11"/>
      <c r="E384" s="11"/>
      <c r="F384" s="11"/>
      <c r="G384" s="11"/>
      <c r="H384" s="11">
        <v>2</v>
      </c>
      <c r="I384" s="11" t="s">
        <v>230</v>
      </c>
      <c r="J384" s="13">
        <v>0.34513888888888888</v>
      </c>
      <c r="K384" s="11" t="s">
        <v>176</v>
      </c>
      <c r="L384" s="12" t="s">
        <v>328</v>
      </c>
      <c r="M384" s="11">
        <v>10</v>
      </c>
      <c r="N384" s="11"/>
      <c r="O384" s="11">
        <v>19</v>
      </c>
      <c r="P384" s="11"/>
      <c r="Q384" s="11">
        <v>59</v>
      </c>
      <c r="R384" s="11"/>
      <c r="S384" s="11">
        <v>76</v>
      </c>
      <c r="T384" s="11"/>
      <c r="U384" s="11">
        <v>35</v>
      </c>
      <c r="V384" s="11"/>
      <c r="W384" s="11"/>
      <c r="X384" s="11">
        <v>14</v>
      </c>
      <c r="Y384" s="11"/>
      <c r="Z384" s="11">
        <v>15</v>
      </c>
      <c r="AA384" s="11"/>
      <c r="AB384" s="11">
        <v>71</v>
      </c>
      <c r="AC384" s="11"/>
      <c r="AD384" s="11">
        <v>8</v>
      </c>
      <c r="AE384" s="11"/>
      <c r="AF384" s="11">
        <v>48</v>
      </c>
      <c r="AG384" s="11"/>
      <c r="AH384" s="11">
        <v>34</v>
      </c>
    </row>
    <row r="385" spans="1:34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3">
        <v>0.48819444444444443</v>
      </c>
      <c r="K385" s="11"/>
      <c r="L385" s="12"/>
      <c r="M385" s="11" t="s">
        <v>74</v>
      </c>
      <c r="N385" s="11"/>
      <c r="O385" s="11" t="s">
        <v>74</v>
      </c>
      <c r="P385" s="11"/>
      <c r="Q385" s="11" t="s">
        <v>108</v>
      </c>
      <c r="R385" s="11"/>
      <c r="S385" s="11" t="s">
        <v>108</v>
      </c>
      <c r="T385" s="11"/>
      <c r="U385" s="11" t="s">
        <v>174</v>
      </c>
      <c r="V385" s="11"/>
      <c r="W385" s="11"/>
      <c r="X385" s="11" t="s">
        <v>74</v>
      </c>
      <c r="Y385" s="11"/>
      <c r="Z385" s="11" t="s">
        <v>74</v>
      </c>
      <c r="AA385" s="11"/>
      <c r="AB385" s="11" t="s">
        <v>74</v>
      </c>
      <c r="AC385" s="11"/>
      <c r="AD385" s="11" t="s">
        <v>107</v>
      </c>
      <c r="AE385" s="11"/>
      <c r="AF385" s="11" t="s">
        <v>108</v>
      </c>
      <c r="AG385" s="11"/>
      <c r="AH385" s="11" t="s">
        <v>174</v>
      </c>
    </row>
    <row r="386" spans="1:34" x14ac:dyDescent="0.25">
      <c r="A386" s="11">
        <v>155</v>
      </c>
      <c r="B386" s="11"/>
      <c r="C386" s="11"/>
      <c r="D386" s="11"/>
      <c r="E386" s="11"/>
      <c r="F386" s="11"/>
      <c r="G386" s="11"/>
      <c r="H386" s="11">
        <v>2</v>
      </c>
      <c r="I386" s="11" t="s">
        <v>230</v>
      </c>
      <c r="J386" s="13">
        <v>0.38680555555555557</v>
      </c>
      <c r="K386" s="11" t="s">
        <v>178</v>
      </c>
      <c r="L386" s="12" t="s">
        <v>285</v>
      </c>
      <c r="M386" s="11">
        <v>12</v>
      </c>
      <c r="N386" s="11"/>
      <c r="O386" s="11">
        <v>9</v>
      </c>
      <c r="P386" s="11"/>
      <c r="Q386" s="11">
        <v>4</v>
      </c>
      <c r="R386" s="11"/>
      <c r="S386" s="11">
        <v>14</v>
      </c>
      <c r="T386" s="11"/>
      <c r="U386" s="11">
        <v>35</v>
      </c>
      <c r="V386" s="11"/>
      <c r="W386" s="11"/>
      <c r="X386" s="11">
        <v>14</v>
      </c>
      <c r="Y386" s="11"/>
      <c r="Z386" s="11">
        <v>21</v>
      </c>
      <c r="AA386" s="11"/>
      <c r="AB386" s="11">
        <v>71</v>
      </c>
      <c r="AC386" s="11"/>
      <c r="AD386" s="11">
        <v>62</v>
      </c>
      <c r="AE386" s="11"/>
      <c r="AF386" s="11">
        <v>25</v>
      </c>
      <c r="AG386" s="11"/>
      <c r="AH386" s="11">
        <v>34</v>
      </c>
    </row>
    <row r="387" spans="1:34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3">
        <v>0.4465277777777778</v>
      </c>
      <c r="K387" s="11"/>
      <c r="L387" s="14"/>
      <c r="M387" s="11" t="s">
        <v>74</v>
      </c>
      <c r="N387" s="11"/>
      <c r="O387" s="11" t="s">
        <v>107</v>
      </c>
      <c r="P387" s="11"/>
      <c r="Q387" s="11" t="s">
        <v>108</v>
      </c>
      <c r="R387" s="11"/>
      <c r="S387" s="11" t="s">
        <v>108</v>
      </c>
      <c r="T387" s="11"/>
      <c r="U387" s="11" t="s">
        <v>174</v>
      </c>
      <c r="V387" s="11"/>
      <c r="W387" s="11"/>
      <c r="X387" s="11" t="s">
        <v>74</v>
      </c>
      <c r="Y387" s="11"/>
      <c r="Z387" s="11" t="s">
        <v>74</v>
      </c>
      <c r="AA387" s="11"/>
      <c r="AB387" s="11" t="s">
        <v>74</v>
      </c>
      <c r="AC387" s="11"/>
      <c r="AD387" s="11" t="s">
        <v>107</v>
      </c>
      <c r="AE387" s="11"/>
      <c r="AF387" s="11" t="s">
        <v>108</v>
      </c>
      <c r="AG387" s="11"/>
      <c r="AH387" s="11" t="s">
        <v>174</v>
      </c>
    </row>
    <row r="388" spans="1:34" x14ac:dyDescent="0.25">
      <c r="A388" s="11">
        <v>156</v>
      </c>
      <c r="B388" s="11"/>
      <c r="C388" s="11"/>
      <c r="D388" s="11"/>
      <c r="E388" s="11"/>
      <c r="F388" s="11"/>
      <c r="G388" s="11"/>
      <c r="H388" s="11">
        <v>2</v>
      </c>
      <c r="I388" s="11"/>
      <c r="J388" s="13">
        <v>0.3923611111111111</v>
      </c>
      <c r="K388" s="11" t="s">
        <v>182</v>
      </c>
      <c r="L388" s="14" t="s">
        <v>204</v>
      </c>
      <c r="M388" s="11">
        <v>12</v>
      </c>
      <c r="N388" s="11"/>
      <c r="O388" s="11">
        <v>9</v>
      </c>
      <c r="P388" s="11"/>
      <c r="Q388" s="11">
        <v>4</v>
      </c>
      <c r="R388" s="11"/>
      <c r="S388" s="11">
        <v>14</v>
      </c>
      <c r="T388" s="11"/>
      <c r="U388" s="11">
        <v>35</v>
      </c>
      <c r="V388" s="11"/>
      <c r="W388" s="11"/>
      <c r="X388" s="11">
        <v>21</v>
      </c>
      <c r="Y388" s="11"/>
      <c r="Z388" s="11">
        <v>51</v>
      </c>
      <c r="AA388" s="11"/>
      <c r="AB388" s="11">
        <v>40</v>
      </c>
      <c r="AC388" s="11"/>
      <c r="AD388" s="11">
        <v>62</v>
      </c>
      <c r="AE388" s="11"/>
      <c r="AF388" s="11">
        <v>25</v>
      </c>
      <c r="AG388" s="11"/>
      <c r="AH388" s="11">
        <v>34</v>
      </c>
    </row>
    <row r="389" spans="1:34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3">
        <v>0.44097222222222227</v>
      </c>
      <c r="K389" s="11"/>
      <c r="L389" s="14"/>
      <c r="M389" s="11" t="s">
        <v>74</v>
      </c>
      <c r="N389" s="11"/>
      <c r="O389" s="11" t="s">
        <v>107</v>
      </c>
      <c r="P389" s="11"/>
      <c r="Q389" s="11" t="s">
        <v>108</v>
      </c>
      <c r="R389" s="11"/>
      <c r="S389" s="11" t="s">
        <v>108</v>
      </c>
      <c r="T389" s="11"/>
      <c r="U389" s="11" t="s">
        <v>174</v>
      </c>
      <c r="V389" s="11"/>
      <c r="W389" s="11"/>
      <c r="X389" s="11" t="s">
        <v>74</v>
      </c>
      <c r="Y389" s="11"/>
      <c r="Z389" s="11" t="s">
        <v>74</v>
      </c>
      <c r="AA389" s="11"/>
      <c r="AB389" s="11" t="s">
        <v>107</v>
      </c>
      <c r="AC389" s="11"/>
      <c r="AD389" s="11" t="s">
        <v>107</v>
      </c>
      <c r="AE389" s="11"/>
      <c r="AF389" s="11" t="s">
        <v>108</v>
      </c>
      <c r="AG389" s="11"/>
      <c r="AH389" s="11" t="s">
        <v>174</v>
      </c>
    </row>
    <row r="390" spans="1:34" x14ac:dyDescent="0.25">
      <c r="A390" s="11">
        <v>157</v>
      </c>
      <c r="B390" s="11"/>
      <c r="C390" s="11"/>
      <c r="D390" s="11"/>
      <c r="E390" s="11"/>
      <c r="F390" s="11"/>
      <c r="G390" s="11"/>
      <c r="H390" s="11">
        <v>2</v>
      </c>
      <c r="I390" s="11" t="s">
        <v>228</v>
      </c>
      <c r="J390" s="13">
        <v>0.3923611111111111</v>
      </c>
      <c r="K390" s="11" t="s">
        <v>176</v>
      </c>
      <c r="L390" s="14" t="s">
        <v>329</v>
      </c>
      <c r="M390" s="11">
        <v>16</v>
      </c>
      <c r="N390" s="11"/>
      <c r="O390" s="11">
        <v>56</v>
      </c>
      <c r="P390" s="11"/>
      <c r="Q390" s="11">
        <v>59</v>
      </c>
      <c r="R390" s="11"/>
      <c r="S390" s="11">
        <v>76</v>
      </c>
      <c r="T390" s="11"/>
      <c r="U390" s="11">
        <v>35</v>
      </c>
      <c r="V390" s="11"/>
      <c r="W390" s="11"/>
      <c r="X390" s="11">
        <v>21</v>
      </c>
      <c r="Y390" s="11"/>
      <c r="Z390" s="11">
        <v>51</v>
      </c>
      <c r="AA390" s="11"/>
      <c r="AB390" s="11">
        <v>40</v>
      </c>
      <c r="AC390" s="11"/>
      <c r="AD390" s="11">
        <v>62</v>
      </c>
      <c r="AE390" s="11"/>
      <c r="AF390" s="11">
        <v>25</v>
      </c>
      <c r="AG390" s="11"/>
      <c r="AH390" s="11">
        <v>34</v>
      </c>
    </row>
    <row r="391" spans="1:34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3">
        <v>0.44097222222222227</v>
      </c>
      <c r="K391" s="11"/>
      <c r="L391" s="14"/>
      <c r="M391" s="11" t="s">
        <v>74</v>
      </c>
      <c r="N391" s="11"/>
      <c r="O391" s="11" t="s">
        <v>107</v>
      </c>
      <c r="P391" s="11"/>
      <c r="Q391" s="11" t="s">
        <v>108</v>
      </c>
      <c r="R391" s="11"/>
      <c r="S391" s="11" t="s">
        <v>108</v>
      </c>
      <c r="T391" s="11"/>
      <c r="U391" s="11" t="s">
        <v>174</v>
      </c>
      <c r="V391" s="11"/>
      <c r="W391" s="11"/>
      <c r="X391" s="11" t="s">
        <v>74</v>
      </c>
      <c r="Y391" s="11"/>
      <c r="Z391" s="11" t="s">
        <v>74</v>
      </c>
      <c r="AA391" s="11"/>
      <c r="AB391" s="11" t="s">
        <v>107</v>
      </c>
      <c r="AC391" s="11"/>
      <c r="AD391" s="11" t="s">
        <v>107</v>
      </c>
      <c r="AE391" s="11"/>
      <c r="AF391" s="11" t="s">
        <v>108</v>
      </c>
      <c r="AG391" s="11"/>
      <c r="AH391" s="11" t="s">
        <v>174</v>
      </c>
    </row>
    <row r="392" spans="1:34" x14ac:dyDescent="0.25">
      <c r="A392" s="11">
        <v>158</v>
      </c>
      <c r="B392" s="11"/>
      <c r="C392" s="11"/>
      <c r="D392" s="11"/>
      <c r="E392" s="11"/>
      <c r="F392" s="11"/>
      <c r="G392" s="11"/>
      <c r="H392" s="11">
        <v>2</v>
      </c>
      <c r="I392" s="11" t="s">
        <v>228</v>
      </c>
      <c r="J392" s="13">
        <v>0.42291666666666666</v>
      </c>
      <c r="K392" s="11" t="s">
        <v>180</v>
      </c>
      <c r="L392" s="14" t="s">
        <v>330</v>
      </c>
      <c r="M392" s="11">
        <v>16</v>
      </c>
      <c r="N392" s="11"/>
      <c r="O392" s="11">
        <v>56</v>
      </c>
      <c r="P392" s="11"/>
      <c r="Q392" s="11">
        <v>59</v>
      </c>
      <c r="R392" s="11"/>
      <c r="S392" s="11">
        <v>76</v>
      </c>
      <c r="T392" s="11"/>
      <c r="U392" s="11">
        <v>35</v>
      </c>
      <c r="V392" s="11"/>
      <c r="W392" s="11"/>
      <c r="X392" s="11">
        <v>21</v>
      </c>
      <c r="Y392" s="11"/>
      <c r="Z392" s="11">
        <v>51</v>
      </c>
      <c r="AA392" s="11"/>
      <c r="AB392" s="11">
        <v>40</v>
      </c>
      <c r="AC392" s="11"/>
      <c r="AD392" s="11">
        <v>62</v>
      </c>
      <c r="AE392" s="11"/>
      <c r="AF392" s="11">
        <v>25</v>
      </c>
      <c r="AG392" s="11"/>
      <c r="AH392" s="11">
        <v>34</v>
      </c>
    </row>
    <row r="393" spans="1:34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3">
        <v>0.41041666666666665</v>
      </c>
      <c r="K393" s="11"/>
      <c r="L393" s="14"/>
      <c r="M393" s="11" t="s">
        <v>74</v>
      </c>
      <c r="N393" s="11"/>
      <c r="O393" s="11" t="s">
        <v>107</v>
      </c>
      <c r="P393" s="11"/>
      <c r="Q393" s="11" t="s">
        <v>108</v>
      </c>
      <c r="R393" s="11"/>
      <c r="S393" s="11" t="s">
        <v>108</v>
      </c>
      <c r="T393" s="11"/>
      <c r="U393" s="11" t="s">
        <v>174</v>
      </c>
      <c r="V393" s="11"/>
      <c r="W393" s="11"/>
      <c r="X393" s="11" t="s">
        <v>74</v>
      </c>
      <c r="Y393" s="11"/>
      <c r="Z393" s="11" t="s">
        <v>74</v>
      </c>
      <c r="AA393" s="11"/>
      <c r="AB393" s="11" t="s">
        <v>107</v>
      </c>
      <c r="AC393" s="11"/>
      <c r="AD393" s="11" t="s">
        <v>107</v>
      </c>
      <c r="AE393" s="11"/>
      <c r="AF393" s="11" t="s">
        <v>108</v>
      </c>
      <c r="AG393" s="11"/>
      <c r="AH393" s="11" t="s">
        <v>174</v>
      </c>
    </row>
    <row r="394" spans="1:34" x14ac:dyDescent="0.25">
      <c r="A394" s="11">
        <v>159</v>
      </c>
      <c r="B394" s="11"/>
      <c r="C394" s="11"/>
      <c r="D394" s="11"/>
      <c r="E394" s="11"/>
      <c r="F394" s="11"/>
      <c r="G394" s="11"/>
      <c r="H394" s="11">
        <v>2</v>
      </c>
      <c r="I394" s="11"/>
      <c r="J394" s="13">
        <v>0.42569444444444443</v>
      </c>
      <c r="K394" s="11" t="s">
        <v>182</v>
      </c>
      <c r="L394" s="14" t="s">
        <v>309</v>
      </c>
      <c r="M394" s="11">
        <v>16</v>
      </c>
      <c r="N394" s="11"/>
      <c r="O394" s="11">
        <v>56</v>
      </c>
      <c r="P394" s="11"/>
      <c r="Q394" s="11">
        <v>59</v>
      </c>
      <c r="R394" s="11"/>
      <c r="S394" s="11">
        <v>76</v>
      </c>
      <c r="T394" s="11"/>
      <c r="U394" s="11">
        <v>35</v>
      </c>
      <c r="V394" s="11"/>
      <c r="W394" s="11"/>
      <c r="X394" s="11">
        <v>21</v>
      </c>
      <c r="Y394" s="11"/>
      <c r="Z394" s="11">
        <v>51</v>
      </c>
      <c r="AA394" s="11"/>
      <c r="AB394" s="11">
        <v>40</v>
      </c>
      <c r="AC394" s="11"/>
      <c r="AD394" s="11">
        <v>62</v>
      </c>
      <c r="AE394" s="11"/>
      <c r="AF394" s="11">
        <v>25</v>
      </c>
      <c r="AG394" s="11"/>
      <c r="AH394" s="11">
        <v>34</v>
      </c>
    </row>
    <row r="395" spans="1:34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3">
        <v>0.40763888888888888</v>
      </c>
      <c r="K395" s="11"/>
      <c r="L395" s="14"/>
      <c r="M395" s="11" t="s">
        <v>74</v>
      </c>
      <c r="N395" s="11"/>
      <c r="O395" s="11" t="s">
        <v>107</v>
      </c>
      <c r="P395" s="11"/>
      <c r="Q395" s="11" t="s">
        <v>108</v>
      </c>
      <c r="R395" s="11"/>
      <c r="S395" s="11" t="s">
        <v>108</v>
      </c>
      <c r="T395" s="11"/>
      <c r="U395" s="11" t="s">
        <v>174</v>
      </c>
      <c r="X395" s="11" t="s">
        <v>74</v>
      </c>
      <c r="Y395" s="11"/>
      <c r="Z395" s="11" t="s">
        <v>74</v>
      </c>
      <c r="AA395" s="11"/>
      <c r="AB395" s="11" t="s">
        <v>107</v>
      </c>
      <c r="AC395" s="11"/>
      <c r="AD395" s="11" t="s">
        <v>107</v>
      </c>
      <c r="AE395" s="11"/>
      <c r="AF395" s="11" t="s">
        <v>108</v>
      </c>
      <c r="AG395" s="11"/>
      <c r="AH395" s="11" t="s">
        <v>174</v>
      </c>
    </row>
    <row r="396" spans="1:34" x14ac:dyDescent="0.25">
      <c r="A396" s="11">
        <v>160</v>
      </c>
      <c r="B396" s="11"/>
      <c r="C396" s="11"/>
      <c r="D396" s="11"/>
      <c r="E396" s="11"/>
      <c r="F396" s="11"/>
      <c r="G396" s="11"/>
      <c r="H396" s="11">
        <v>2</v>
      </c>
      <c r="I396" s="11" t="s">
        <v>175</v>
      </c>
      <c r="J396" s="13">
        <v>0.44444444444444442</v>
      </c>
      <c r="K396" s="11" t="s">
        <v>186</v>
      </c>
      <c r="L396" s="14" t="s">
        <v>331</v>
      </c>
      <c r="M396" s="11">
        <v>33</v>
      </c>
      <c r="N396" s="11"/>
      <c r="O396" s="11">
        <v>63</v>
      </c>
      <c r="P396" s="11"/>
      <c r="Q396" s="11">
        <v>18</v>
      </c>
      <c r="R396" s="11"/>
      <c r="S396" s="11">
        <v>59</v>
      </c>
      <c r="T396" s="11"/>
      <c r="U396" s="11">
        <v>76</v>
      </c>
      <c r="W396" s="4">
        <v>35</v>
      </c>
      <c r="X396" s="11">
        <v>41</v>
      </c>
      <c r="Y396" s="11"/>
      <c r="Z396" s="11">
        <v>43</v>
      </c>
      <c r="AA396" s="11"/>
      <c r="AB396" s="11">
        <v>20</v>
      </c>
      <c r="AC396" s="11"/>
      <c r="AD396" s="11">
        <v>25</v>
      </c>
      <c r="AE396" s="11"/>
      <c r="AF396" s="11">
        <v>65</v>
      </c>
      <c r="AG396" s="11"/>
      <c r="AH396" s="11">
        <v>34</v>
      </c>
    </row>
    <row r="397" spans="1:34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3">
        <v>0.3888888888888889</v>
      </c>
      <c r="K397" s="11"/>
      <c r="L397" s="14"/>
      <c r="M397" s="11" t="s">
        <v>74</v>
      </c>
      <c r="N397" s="11"/>
      <c r="O397" s="11" t="s">
        <v>74</v>
      </c>
      <c r="P397" s="11"/>
      <c r="Q397" s="11" t="s">
        <v>107</v>
      </c>
      <c r="R397" s="11"/>
      <c r="S397" s="11" t="s">
        <v>108</v>
      </c>
      <c r="T397" s="11"/>
      <c r="U397" s="11" t="s">
        <v>108</v>
      </c>
      <c r="W397" s="4" t="s">
        <v>174</v>
      </c>
      <c r="X397" s="11" t="s">
        <v>74</v>
      </c>
      <c r="Y397" s="11"/>
      <c r="Z397" s="11" t="s">
        <v>74</v>
      </c>
      <c r="AA397" s="11"/>
      <c r="AB397" s="11" t="s">
        <v>107</v>
      </c>
      <c r="AC397" s="11"/>
      <c r="AD397" s="11" t="s">
        <v>108</v>
      </c>
      <c r="AE397" s="11"/>
      <c r="AF397" s="11" t="s">
        <v>108</v>
      </c>
      <c r="AG397" s="11"/>
      <c r="AH397" s="11" t="s">
        <v>174</v>
      </c>
    </row>
    <row r="398" spans="1:34" x14ac:dyDescent="0.25">
      <c r="A398" s="11">
        <v>161</v>
      </c>
      <c r="B398" s="11"/>
      <c r="C398" s="11"/>
      <c r="D398" s="11"/>
      <c r="E398" s="11"/>
      <c r="F398" s="11"/>
      <c r="G398" s="11"/>
      <c r="H398" s="11">
        <v>2</v>
      </c>
      <c r="I398" s="11" t="s">
        <v>175</v>
      </c>
      <c r="J398" s="13">
        <v>0.45208333333333334</v>
      </c>
      <c r="K398" s="11" t="s">
        <v>178</v>
      </c>
      <c r="L398" s="14" t="s">
        <v>319</v>
      </c>
      <c r="M398" s="11">
        <v>33</v>
      </c>
      <c r="N398" s="11"/>
      <c r="O398" s="11">
        <v>63</v>
      </c>
      <c r="P398" s="11"/>
      <c r="Q398" s="11">
        <v>18</v>
      </c>
      <c r="R398" s="11"/>
      <c r="S398" s="11">
        <v>25</v>
      </c>
      <c r="T398" s="11"/>
      <c r="U398" s="11">
        <v>76</v>
      </c>
      <c r="W398" s="4">
        <v>35</v>
      </c>
      <c r="X398" s="11">
        <v>41</v>
      </c>
      <c r="Y398" s="11"/>
      <c r="Z398" s="11">
        <v>43</v>
      </c>
      <c r="AA398" s="11"/>
      <c r="AB398" s="11">
        <v>20</v>
      </c>
      <c r="AC398" s="11"/>
      <c r="AD398" s="11">
        <v>25</v>
      </c>
      <c r="AE398" s="11"/>
      <c r="AF398" s="11">
        <v>65</v>
      </c>
      <c r="AG398" s="11"/>
      <c r="AH398" s="11">
        <v>34</v>
      </c>
    </row>
    <row r="399" spans="1:34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3">
        <v>0.38125000000000003</v>
      </c>
      <c r="K399" s="11"/>
      <c r="L399" s="14"/>
      <c r="M399" s="11" t="s">
        <v>74</v>
      </c>
      <c r="N399" s="11"/>
      <c r="O399" s="11" t="s">
        <v>74</v>
      </c>
      <c r="P399" s="11"/>
      <c r="Q399" s="11" t="s">
        <v>107</v>
      </c>
      <c r="R399" s="11"/>
      <c r="S399" s="11" t="s">
        <v>108</v>
      </c>
      <c r="T399" s="11"/>
      <c r="U399" s="11" t="s">
        <v>108</v>
      </c>
      <c r="W399" s="4" t="s">
        <v>174</v>
      </c>
      <c r="X399" s="11" t="s">
        <v>74</v>
      </c>
      <c r="Y399" s="11"/>
      <c r="Z399" s="11" t="s">
        <v>74</v>
      </c>
      <c r="AA399" s="11"/>
      <c r="AB399" s="11" t="s">
        <v>107</v>
      </c>
      <c r="AC399" s="11"/>
      <c r="AD399" s="11" t="s">
        <v>108</v>
      </c>
      <c r="AE399" s="11"/>
      <c r="AF399" s="11" t="s">
        <v>108</v>
      </c>
      <c r="AG399" s="11"/>
      <c r="AH399" s="11" t="s">
        <v>174</v>
      </c>
    </row>
    <row r="400" spans="1:34" x14ac:dyDescent="0.25">
      <c r="A400" s="11">
        <v>162</v>
      </c>
      <c r="B400" s="11"/>
      <c r="C400" s="11"/>
      <c r="D400" s="11"/>
      <c r="E400" s="11"/>
      <c r="F400" s="11"/>
      <c r="G400" s="11"/>
      <c r="H400" s="11">
        <v>2</v>
      </c>
      <c r="I400" s="11" t="s">
        <v>175</v>
      </c>
      <c r="J400" s="13">
        <v>0.46319444444444446</v>
      </c>
      <c r="K400" s="11" t="s">
        <v>180</v>
      </c>
      <c r="L400" s="14" t="s">
        <v>332</v>
      </c>
      <c r="M400" s="11">
        <v>33</v>
      </c>
      <c r="N400" s="11"/>
      <c r="O400" s="11">
        <v>63</v>
      </c>
      <c r="P400" s="11"/>
      <c r="Q400" s="11">
        <v>18</v>
      </c>
      <c r="R400" s="11"/>
      <c r="S400" s="11">
        <v>7</v>
      </c>
      <c r="T400" s="11"/>
      <c r="U400" s="11">
        <v>25</v>
      </c>
      <c r="W400" s="4">
        <v>35</v>
      </c>
      <c r="X400" s="11">
        <v>41</v>
      </c>
      <c r="Y400" s="11"/>
      <c r="Z400" s="11">
        <v>43</v>
      </c>
      <c r="AA400" s="11"/>
      <c r="AB400" s="11">
        <v>20</v>
      </c>
      <c r="AC400" s="11"/>
      <c r="AD400" s="11">
        <v>53</v>
      </c>
      <c r="AE400" s="11"/>
      <c r="AF400" s="11">
        <v>65</v>
      </c>
      <c r="AG400" s="11"/>
      <c r="AH400" s="11">
        <v>34</v>
      </c>
    </row>
    <row r="401" spans="1:34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3">
        <v>0.37013888888888885</v>
      </c>
      <c r="K401" s="11"/>
      <c r="L401" s="14"/>
      <c r="M401" s="11" t="s">
        <v>74</v>
      </c>
      <c r="N401" s="11"/>
      <c r="O401" s="11" t="s">
        <v>74</v>
      </c>
      <c r="P401" s="11"/>
      <c r="Q401" s="11" t="s">
        <v>107</v>
      </c>
      <c r="R401" s="11"/>
      <c r="S401" s="11" t="s">
        <v>108</v>
      </c>
      <c r="T401" s="11"/>
      <c r="U401" s="11" t="s">
        <v>108</v>
      </c>
      <c r="W401" s="4" t="s">
        <v>174</v>
      </c>
      <c r="X401" s="11" t="s">
        <v>74</v>
      </c>
      <c r="Y401" s="11"/>
      <c r="Z401" s="11" t="s">
        <v>74</v>
      </c>
      <c r="AA401" s="11"/>
      <c r="AB401" s="11" t="s">
        <v>107</v>
      </c>
      <c r="AC401" s="11"/>
      <c r="AD401" s="11" t="s">
        <v>108</v>
      </c>
      <c r="AE401" s="11"/>
      <c r="AF401" s="11" t="s">
        <v>108</v>
      </c>
      <c r="AG401" s="11"/>
      <c r="AH401" s="11" t="s">
        <v>174</v>
      </c>
    </row>
    <row r="402" spans="1:34" x14ac:dyDescent="0.25">
      <c r="A402" s="11">
        <v>163</v>
      </c>
      <c r="B402" s="11"/>
      <c r="C402" s="11"/>
      <c r="D402" s="11"/>
      <c r="E402" s="11"/>
      <c r="F402" s="11"/>
      <c r="G402" s="11"/>
      <c r="H402" s="11">
        <v>2</v>
      </c>
      <c r="I402" s="11"/>
      <c r="J402" s="13">
        <v>0.46319444444444446</v>
      </c>
      <c r="K402" s="11" t="s">
        <v>182</v>
      </c>
      <c r="L402" s="14" t="s">
        <v>316</v>
      </c>
      <c r="M402" s="11">
        <v>33</v>
      </c>
      <c r="N402" s="11"/>
      <c r="O402" s="11">
        <v>63</v>
      </c>
      <c r="P402" s="11"/>
      <c r="Q402" s="11">
        <v>18</v>
      </c>
      <c r="R402" s="11"/>
      <c r="S402" s="11">
        <v>7</v>
      </c>
      <c r="T402" s="11"/>
      <c r="U402" s="11">
        <v>25</v>
      </c>
      <c r="W402" s="4">
        <v>35</v>
      </c>
      <c r="X402" s="11">
        <v>41</v>
      </c>
      <c r="Y402" s="11"/>
      <c r="Z402" s="11">
        <v>43</v>
      </c>
      <c r="AA402" s="11"/>
      <c r="AB402" s="11">
        <v>20</v>
      </c>
      <c r="AC402" s="11"/>
      <c r="AD402" s="11">
        <v>53</v>
      </c>
      <c r="AE402" s="11"/>
      <c r="AF402" s="11">
        <v>65</v>
      </c>
      <c r="AG402" s="11"/>
      <c r="AH402" s="11">
        <v>34</v>
      </c>
    </row>
    <row r="403" spans="1:34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3">
        <v>0.37013888888888885</v>
      </c>
      <c r="K403" s="11"/>
      <c r="L403" s="14"/>
      <c r="M403" s="11" t="s">
        <v>74</v>
      </c>
      <c r="N403" s="11"/>
      <c r="O403" s="11" t="s">
        <v>74</v>
      </c>
      <c r="P403" s="11"/>
      <c r="Q403" s="11" t="s">
        <v>107</v>
      </c>
      <c r="R403" s="11"/>
      <c r="S403" s="11" t="s">
        <v>108</v>
      </c>
      <c r="T403" s="11"/>
      <c r="U403" s="11" t="s">
        <v>108</v>
      </c>
      <c r="W403" s="4" t="s">
        <v>174</v>
      </c>
      <c r="X403" s="11" t="s">
        <v>74</v>
      </c>
      <c r="Y403" s="11"/>
      <c r="Z403" s="11" t="s">
        <v>74</v>
      </c>
      <c r="AA403" s="11"/>
      <c r="AB403" s="11" t="s">
        <v>107</v>
      </c>
      <c r="AC403" s="11"/>
      <c r="AD403" s="11" t="s">
        <v>108</v>
      </c>
      <c r="AE403" s="11"/>
      <c r="AF403" s="11" t="s">
        <v>108</v>
      </c>
      <c r="AG403" s="11"/>
      <c r="AH403" s="11" t="s">
        <v>174</v>
      </c>
    </row>
    <row r="404" spans="1:34" x14ac:dyDescent="0.25">
      <c r="A404" s="11">
        <v>164</v>
      </c>
      <c r="B404" s="11"/>
      <c r="C404" s="11"/>
      <c r="D404" s="11"/>
      <c r="E404" s="11"/>
      <c r="F404" s="11"/>
      <c r="G404" s="11"/>
      <c r="H404" s="11">
        <v>2</v>
      </c>
      <c r="I404" s="11" t="s">
        <v>175</v>
      </c>
      <c r="J404" s="13">
        <v>0.46319444444444446</v>
      </c>
      <c r="K404" s="11" t="s">
        <v>176</v>
      </c>
      <c r="L404" s="14" t="s">
        <v>333</v>
      </c>
      <c r="M404" s="11">
        <v>12</v>
      </c>
      <c r="N404" s="11"/>
      <c r="O404" s="11">
        <v>33</v>
      </c>
      <c r="P404" s="11"/>
      <c r="Q404" s="11">
        <v>38</v>
      </c>
      <c r="R404" s="11"/>
      <c r="S404" s="11">
        <v>4</v>
      </c>
      <c r="T404" s="11"/>
      <c r="U404" s="11">
        <v>14</v>
      </c>
      <c r="W404" s="4">
        <v>35</v>
      </c>
      <c r="X404" s="11">
        <v>51</v>
      </c>
      <c r="Y404" s="11"/>
      <c r="Z404" s="11">
        <v>71</v>
      </c>
      <c r="AA404" s="11"/>
      <c r="AB404" s="11">
        <v>8</v>
      </c>
      <c r="AC404" s="11"/>
      <c r="AD404" s="11">
        <v>2</v>
      </c>
      <c r="AE404" s="11"/>
      <c r="AF404" s="11">
        <v>48</v>
      </c>
      <c r="AG404" s="11"/>
      <c r="AH404" s="11">
        <v>34</v>
      </c>
    </row>
    <row r="405" spans="1:34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3">
        <v>0.37013888888888885</v>
      </c>
      <c r="K405" s="11"/>
      <c r="L405" s="14"/>
      <c r="M405" s="11" t="s">
        <v>74</v>
      </c>
      <c r="N405" s="11"/>
      <c r="O405" s="11" t="s">
        <v>74</v>
      </c>
      <c r="P405" s="11"/>
      <c r="Q405" s="11" t="s">
        <v>107</v>
      </c>
      <c r="R405" s="11"/>
      <c r="S405" s="11" t="s">
        <v>108</v>
      </c>
      <c r="T405" s="11"/>
      <c r="U405" s="11" t="s">
        <v>108</v>
      </c>
      <c r="V405" s="11"/>
      <c r="W405" s="11" t="s">
        <v>174</v>
      </c>
      <c r="X405" s="11" t="s">
        <v>74</v>
      </c>
      <c r="Y405" s="11"/>
      <c r="Z405" s="11" t="s">
        <v>74</v>
      </c>
      <c r="AA405" s="11"/>
      <c r="AB405" s="11" t="s">
        <v>107</v>
      </c>
      <c r="AC405" s="11"/>
      <c r="AD405" s="11" t="s">
        <v>108</v>
      </c>
      <c r="AE405" s="11"/>
      <c r="AF405" s="11" t="s">
        <v>108</v>
      </c>
      <c r="AG405" s="11"/>
      <c r="AH405" s="11" t="s">
        <v>174</v>
      </c>
    </row>
    <row r="406" spans="1:34" x14ac:dyDescent="0.25">
      <c r="A406" s="11">
        <v>165</v>
      </c>
      <c r="B406" s="11"/>
      <c r="C406" s="11"/>
      <c r="D406" s="11"/>
      <c r="E406" s="11"/>
      <c r="F406" s="11"/>
      <c r="G406" s="11"/>
      <c r="H406" s="11">
        <v>2</v>
      </c>
      <c r="I406" s="11" t="s">
        <v>175</v>
      </c>
      <c r="J406" s="13">
        <v>0.47986111111111113</v>
      </c>
      <c r="K406" s="11" t="s">
        <v>180</v>
      </c>
      <c r="L406" s="14" t="s">
        <v>334</v>
      </c>
      <c r="M406" s="11">
        <v>12</v>
      </c>
      <c r="N406" s="11"/>
      <c r="O406" s="11">
        <v>33</v>
      </c>
      <c r="P406" s="11"/>
      <c r="Q406" s="11">
        <v>38</v>
      </c>
      <c r="R406" s="11"/>
      <c r="S406" s="11">
        <v>4</v>
      </c>
      <c r="T406" s="11"/>
      <c r="U406" s="11">
        <v>14</v>
      </c>
      <c r="V406" s="11"/>
      <c r="W406" s="11">
        <v>35</v>
      </c>
      <c r="X406" s="11">
        <v>51</v>
      </c>
      <c r="Y406" s="11"/>
      <c r="Z406" s="11">
        <v>71</v>
      </c>
      <c r="AA406" s="11"/>
      <c r="AB406" s="11">
        <v>8</v>
      </c>
      <c r="AC406" s="11"/>
      <c r="AD406" s="11">
        <v>2</v>
      </c>
      <c r="AE406" s="11"/>
      <c r="AF406" s="11">
        <v>48</v>
      </c>
      <c r="AG406" s="11"/>
      <c r="AH406" s="11">
        <v>34</v>
      </c>
    </row>
    <row r="407" spans="1:34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3">
        <v>0.35347222222222219</v>
      </c>
      <c r="K407" s="11"/>
      <c r="L407" s="14"/>
      <c r="M407" s="11" t="s">
        <v>74</v>
      </c>
      <c r="N407" s="11"/>
      <c r="O407" s="11" t="s">
        <v>74</v>
      </c>
      <c r="P407" s="11"/>
      <c r="Q407" s="11" t="s">
        <v>107</v>
      </c>
      <c r="R407" s="11"/>
      <c r="S407" s="11" t="s">
        <v>108</v>
      </c>
      <c r="T407" s="11"/>
      <c r="U407" s="11" t="s">
        <v>108</v>
      </c>
      <c r="V407" s="11"/>
      <c r="W407" s="11" t="s">
        <v>174</v>
      </c>
      <c r="X407" s="11" t="s">
        <v>74</v>
      </c>
      <c r="Y407" s="11"/>
      <c r="Z407" s="11" t="s">
        <v>74</v>
      </c>
      <c r="AA407" s="11"/>
      <c r="AB407" s="11" t="s">
        <v>107</v>
      </c>
      <c r="AC407" s="11"/>
      <c r="AD407" s="11" t="s">
        <v>108</v>
      </c>
      <c r="AE407" s="11"/>
      <c r="AF407" s="11" t="s">
        <v>108</v>
      </c>
      <c r="AG407" s="11"/>
      <c r="AH407" s="11" t="s">
        <v>174</v>
      </c>
    </row>
    <row r="408" spans="1:34" x14ac:dyDescent="0.25">
      <c r="A408" s="11">
        <v>166</v>
      </c>
      <c r="B408" s="11"/>
      <c r="C408" s="11"/>
      <c r="D408" s="11"/>
      <c r="E408" s="11"/>
      <c r="F408" s="11"/>
      <c r="G408" s="11"/>
      <c r="H408" s="11">
        <v>2</v>
      </c>
      <c r="I408" s="11"/>
      <c r="J408" s="13">
        <v>0.47986111111111113</v>
      </c>
      <c r="K408" s="11" t="s">
        <v>182</v>
      </c>
      <c r="L408" s="14" t="s">
        <v>183</v>
      </c>
      <c r="M408" s="11">
        <v>12</v>
      </c>
      <c r="N408" s="11"/>
      <c r="O408" s="11">
        <v>33</v>
      </c>
      <c r="P408" s="11"/>
      <c r="Q408" s="11">
        <v>38</v>
      </c>
      <c r="R408" s="11"/>
      <c r="S408" s="11">
        <v>4</v>
      </c>
      <c r="T408" s="11"/>
      <c r="U408" s="11">
        <v>14</v>
      </c>
      <c r="V408" s="11"/>
      <c r="W408" s="11">
        <v>35</v>
      </c>
      <c r="X408" s="11">
        <v>51</v>
      </c>
      <c r="Y408" s="11"/>
      <c r="Z408" s="11">
        <v>71</v>
      </c>
      <c r="AA408" s="11"/>
      <c r="AB408" s="11">
        <v>8</v>
      </c>
      <c r="AC408" s="11"/>
      <c r="AD408" s="11">
        <v>2</v>
      </c>
      <c r="AE408" s="11"/>
      <c r="AF408" s="11">
        <v>48</v>
      </c>
      <c r="AG408" s="11"/>
      <c r="AH408" s="11">
        <v>34</v>
      </c>
    </row>
    <row r="409" spans="1:34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3">
        <v>0.35347222222222219</v>
      </c>
      <c r="K409" s="11"/>
      <c r="L409" s="14"/>
      <c r="M409" s="11" t="s">
        <v>74</v>
      </c>
      <c r="N409" s="11"/>
      <c r="O409" s="11" t="s">
        <v>74</v>
      </c>
      <c r="P409" s="11"/>
      <c r="Q409" s="11" t="s">
        <v>107</v>
      </c>
      <c r="R409" s="11"/>
      <c r="S409" s="11" t="s">
        <v>108</v>
      </c>
      <c r="T409" s="11"/>
      <c r="U409" s="11" t="s">
        <v>108</v>
      </c>
      <c r="V409" s="11"/>
      <c r="W409" s="11" t="s">
        <v>174</v>
      </c>
      <c r="X409" s="11" t="s">
        <v>74</v>
      </c>
      <c r="Y409" s="11"/>
      <c r="Z409" s="11" t="s">
        <v>74</v>
      </c>
      <c r="AA409" s="11"/>
      <c r="AB409" s="11" t="s">
        <v>107</v>
      </c>
      <c r="AC409" s="11"/>
      <c r="AD409" s="11" t="s">
        <v>108</v>
      </c>
      <c r="AE409" s="11"/>
      <c r="AF409" s="11" t="s">
        <v>108</v>
      </c>
      <c r="AG409" s="11"/>
      <c r="AH409" s="11" t="s">
        <v>174</v>
      </c>
    </row>
    <row r="410" spans="1:34" x14ac:dyDescent="0.25">
      <c r="A410" s="11">
        <v>167</v>
      </c>
      <c r="B410" s="11"/>
      <c r="C410" s="11"/>
      <c r="D410" s="11"/>
      <c r="E410" s="11"/>
      <c r="F410" s="11"/>
      <c r="G410" s="11"/>
      <c r="H410" s="11">
        <v>2</v>
      </c>
      <c r="I410" s="11" t="s">
        <v>175</v>
      </c>
      <c r="J410" s="13">
        <v>0.47986111111111113</v>
      </c>
      <c r="K410" s="11" t="s">
        <v>176</v>
      </c>
      <c r="L410" s="14" t="s">
        <v>335</v>
      </c>
      <c r="M410" s="11">
        <v>10</v>
      </c>
      <c r="N410" s="11"/>
      <c r="O410" s="11">
        <v>63</v>
      </c>
      <c r="P410" s="11"/>
      <c r="Q410" s="11">
        <v>9</v>
      </c>
      <c r="R410" s="11"/>
      <c r="S410" s="11">
        <v>59</v>
      </c>
      <c r="T410" s="11"/>
      <c r="U410" s="11">
        <v>76</v>
      </c>
      <c r="V410" s="11"/>
      <c r="W410" s="11">
        <v>35</v>
      </c>
      <c r="X410" s="11">
        <v>15</v>
      </c>
      <c r="Y410" s="11"/>
      <c r="Z410" s="11">
        <v>21</v>
      </c>
      <c r="AA410" s="11"/>
      <c r="AB410" s="11">
        <v>40</v>
      </c>
      <c r="AC410" s="11"/>
      <c r="AD410" s="11">
        <v>52</v>
      </c>
      <c r="AE410" s="11"/>
      <c r="AF410" s="11">
        <v>53</v>
      </c>
      <c r="AG410" s="11"/>
      <c r="AH410" s="11">
        <v>34</v>
      </c>
    </row>
    <row r="411" spans="1:34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3">
        <v>0.35347222222222219</v>
      </c>
      <c r="K411" s="11"/>
      <c r="L411" s="14"/>
      <c r="M411" s="11" t="s">
        <v>74</v>
      </c>
      <c r="N411" s="11"/>
      <c r="O411" s="11" t="s">
        <v>74</v>
      </c>
      <c r="P411" s="11"/>
      <c r="Q411" s="11" t="s">
        <v>107</v>
      </c>
      <c r="R411" s="11"/>
      <c r="S411" s="11" t="s">
        <v>108</v>
      </c>
      <c r="T411" s="11"/>
      <c r="U411" s="11" t="s">
        <v>108</v>
      </c>
      <c r="V411" s="11"/>
      <c r="W411" s="11" t="s">
        <v>174</v>
      </c>
      <c r="X411" s="11" t="s">
        <v>74</v>
      </c>
      <c r="Y411" s="11"/>
      <c r="Z411" s="11" t="s">
        <v>74</v>
      </c>
      <c r="AA411" s="11"/>
      <c r="AB411" s="11" t="s">
        <v>107</v>
      </c>
      <c r="AC411" s="11"/>
      <c r="AD411" s="11" t="s">
        <v>108</v>
      </c>
      <c r="AE411" s="11"/>
      <c r="AF411" s="11" t="s">
        <v>108</v>
      </c>
      <c r="AG411" s="11"/>
      <c r="AH411" s="11" t="s">
        <v>174</v>
      </c>
    </row>
    <row r="412" spans="1:34" x14ac:dyDescent="0.25">
      <c r="A412" s="11">
        <v>168</v>
      </c>
      <c r="B412" s="11"/>
      <c r="C412" s="11"/>
      <c r="D412" s="11"/>
      <c r="E412" s="11"/>
      <c r="F412" s="11"/>
      <c r="G412" s="11"/>
      <c r="H412" s="11">
        <v>2</v>
      </c>
      <c r="I412" s="11" t="s">
        <v>175</v>
      </c>
      <c r="J412" s="13">
        <v>0.50208333333333333</v>
      </c>
      <c r="K412" s="11" t="s">
        <v>180</v>
      </c>
      <c r="L412" s="14" t="s">
        <v>336</v>
      </c>
      <c r="M412" s="11">
        <v>10</v>
      </c>
      <c r="N412" s="11"/>
      <c r="O412" s="11">
        <v>63</v>
      </c>
      <c r="P412" s="11"/>
      <c r="Q412" s="11">
        <v>9</v>
      </c>
      <c r="R412" s="11"/>
      <c r="S412" s="11">
        <v>59</v>
      </c>
      <c r="T412" s="11"/>
      <c r="U412" s="11">
        <v>76</v>
      </c>
      <c r="V412" s="11"/>
      <c r="W412" s="11">
        <v>35</v>
      </c>
      <c r="X412" s="11">
        <v>15</v>
      </c>
      <c r="Y412" s="11"/>
      <c r="Z412" s="11">
        <v>21</v>
      </c>
      <c r="AA412" s="11"/>
      <c r="AB412" s="11">
        <v>40</v>
      </c>
      <c r="AC412" s="11"/>
      <c r="AD412" s="11">
        <v>52</v>
      </c>
      <c r="AE412" s="11"/>
      <c r="AF412" s="11">
        <v>53</v>
      </c>
      <c r="AG412" s="11"/>
      <c r="AH412" s="11">
        <v>34</v>
      </c>
    </row>
    <row r="413" spans="1:34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3">
        <v>0.33124999999999999</v>
      </c>
      <c r="K413" s="11"/>
      <c r="L413" s="14"/>
      <c r="M413" s="11" t="s">
        <v>74</v>
      </c>
      <c r="N413" s="11"/>
      <c r="O413" s="11" t="s">
        <v>74</v>
      </c>
      <c r="P413" s="11"/>
      <c r="Q413" s="11" t="s">
        <v>107</v>
      </c>
      <c r="R413" s="11"/>
      <c r="S413" s="11" t="s">
        <v>108</v>
      </c>
      <c r="T413" s="11"/>
      <c r="U413" s="11" t="s">
        <v>108</v>
      </c>
      <c r="V413" s="11"/>
      <c r="W413" s="11" t="s">
        <v>174</v>
      </c>
      <c r="X413" s="11" t="s">
        <v>74</v>
      </c>
      <c r="Y413" s="11"/>
      <c r="Z413" s="11" t="s">
        <v>74</v>
      </c>
      <c r="AA413" s="11"/>
      <c r="AB413" s="11" t="s">
        <v>107</v>
      </c>
      <c r="AC413" s="11"/>
      <c r="AD413" s="11" t="s">
        <v>108</v>
      </c>
      <c r="AE413" s="11"/>
      <c r="AF413" s="11" t="s">
        <v>108</v>
      </c>
      <c r="AG413" s="11"/>
      <c r="AH413" s="11" t="s">
        <v>174</v>
      </c>
    </row>
    <row r="414" spans="1:34" x14ac:dyDescent="0.25">
      <c r="A414" s="11">
        <v>169</v>
      </c>
      <c r="B414" s="11"/>
      <c r="C414" s="11"/>
      <c r="D414" s="11"/>
      <c r="E414" s="11"/>
      <c r="F414" s="11"/>
      <c r="G414" s="11"/>
      <c r="H414" s="11">
        <v>2</v>
      </c>
      <c r="I414" s="11" t="s">
        <v>175</v>
      </c>
      <c r="J414" s="13">
        <v>0.51180555555555551</v>
      </c>
      <c r="K414" s="11" t="s">
        <v>180</v>
      </c>
      <c r="L414" s="14" t="s">
        <v>337</v>
      </c>
      <c r="M414" s="11">
        <v>63</v>
      </c>
      <c r="N414" s="11"/>
      <c r="O414" s="11">
        <v>18</v>
      </c>
      <c r="P414" s="11"/>
      <c r="Q414" s="11">
        <v>56</v>
      </c>
      <c r="R414" s="11"/>
      <c r="S414" s="11">
        <v>59</v>
      </c>
      <c r="T414" s="11"/>
      <c r="U414" s="11">
        <v>76</v>
      </c>
      <c r="V414" s="11"/>
      <c r="W414" s="11">
        <v>35</v>
      </c>
      <c r="X414" s="11">
        <v>14</v>
      </c>
      <c r="Y414" s="11"/>
      <c r="Z414" s="11">
        <v>21</v>
      </c>
      <c r="AA414" s="11"/>
      <c r="AB414" s="11">
        <v>43</v>
      </c>
      <c r="AC414" s="11"/>
      <c r="AD414" s="11">
        <v>25</v>
      </c>
      <c r="AE414" s="11"/>
      <c r="AF414" s="11">
        <v>65</v>
      </c>
      <c r="AG414" s="11"/>
      <c r="AH414" s="11">
        <v>34</v>
      </c>
    </row>
    <row r="415" spans="1:34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3">
        <v>0.3215277777777778</v>
      </c>
      <c r="K415" s="11"/>
      <c r="L415" s="14"/>
      <c r="M415" s="11" t="s">
        <v>74</v>
      </c>
      <c r="N415" s="11"/>
      <c r="O415" s="11" t="s">
        <v>107</v>
      </c>
      <c r="P415" s="11"/>
      <c r="Q415" s="11" t="s">
        <v>107</v>
      </c>
      <c r="R415" s="11"/>
      <c r="S415" s="11" t="s">
        <v>108</v>
      </c>
      <c r="T415" s="11"/>
      <c r="U415" s="11" t="s">
        <v>108</v>
      </c>
      <c r="V415" s="11"/>
      <c r="W415" s="11" t="s">
        <v>174</v>
      </c>
      <c r="X415" s="11" t="s">
        <v>74</v>
      </c>
      <c r="Y415" s="11"/>
      <c r="Z415" s="11" t="s">
        <v>74</v>
      </c>
      <c r="AA415" s="11"/>
      <c r="AB415" s="11" t="s">
        <v>74</v>
      </c>
      <c r="AC415" s="11"/>
      <c r="AD415" s="11" t="s">
        <v>108</v>
      </c>
      <c r="AE415" s="11"/>
      <c r="AF415" s="11" t="s">
        <v>108</v>
      </c>
      <c r="AG415" s="11"/>
      <c r="AH415" s="11" t="s">
        <v>174</v>
      </c>
    </row>
    <row r="416" spans="1:34" x14ac:dyDescent="0.25">
      <c r="A416" s="11" t="s">
        <v>211</v>
      </c>
      <c r="B416" s="11"/>
      <c r="C416" s="11"/>
      <c r="D416" s="11"/>
      <c r="E416" s="11"/>
      <c r="F416" s="11"/>
      <c r="G416" s="11"/>
      <c r="H416" s="11"/>
      <c r="I416" s="11"/>
      <c r="J416" s="13"/>
      <c r="K416" s="11"/>
      <c r="L416" s="14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</row>
    <row r="417" spans="1:34" x14ac:dyDescent="0.25">
      <c r="A417" s="11" t="s">
        <v>151</v>
      </c>
      <c r="B417" s="11"/>
      <c r="C417" s="11"/>
      <c r="D417" s="11" t="s">
        <v>154</v>
      </c>
      <c r="E417" s="11" t="s">
        <v>160</v>
      </c>
      <c r="F417" s="11"/>
      <c r="G417" s="11"/>
      <c r="H417" s="11"/>
      <c r="I417" s="11"/>
      <c r="J417" s="13"/>
      <c r="K417" s="11"/>
      <c r="L417" s="14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</row>
    <row r="418" spans="1:34" x14ac:dyDescent="0.25">
      <c r="A418" s="11" t="s">
        <v>152</v>
      </c>
      <c r="B418" s="11">
        <v>3</v>
      </c>
      <c r="C418" s="11"/>
      <c r="D418" s="11"/>
      <c r="E418" s="11"/>
      <c r="F418" s="11">
        <v>5</v>
      </c>
      <c r="G418" s="11" t="s">
        <v>161</v>
      </c>
      <c r="H418" s="11"/>
      <c r="I418" s="11"/>
      <c r="J418" s="13"/>
      <c r="K418" s="11"/>
      <c r="L418" s="14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</row>
    <row r="419" spans="1:34" x14ac:dyDescent="0.25">
      <c r="A419" s="11" t="s">
        <v>152</v>
      </c>
      <c r="B419" s="11"/>
      <c r="C419" s="11"/>
      <c r="D419" s="11"/>
      <c r="E419" s="11" t="s">
        <v>161</v>
      </c>
      <c r="F419" s="11"/>
      <c r="G419" s="11"/>
      <c r="H419" s="11"/>
      <c r="I419" s="11"/>
      <c r="J419" s="13"/>
      <c r="K419" s="11"/>
      <c r="L419" s="14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</row>
    <row r="420" spans="1:34" x14ac:dyDescent="0.25">
      <c r="A420" s="11" t="s">
        <v>153</v>
      </c>
      <c r="B420" s="11"/>
      <c r="C420" s="11"/>
      <c r="D420" s="11" t="s">
        <v>155</v>
      </c>
      <c r="E420" s="11" t="s">
        <v>162</v>
      </c>
      <c r="F420" s="11"/>
      <c r="G420" s="11"/>
      <c r="H420" s="11"/>
      <c r="I420" s="11"/>
      <c r="J420" s="13"/>
      <c r="K420" s="11"/>
      <c r="L420" s="14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</row>
    <row r="421" spans="1:34" x14ac:dyDescent="0.25">
      <c r="A421" s="11"/>
      <c r="B421" s="11"/>
      <c r="C421" s="11"/>
      <c r="D421" s="11" t="s">
        <v>156</v>
      </c>
      <c r="E421" s="11"/>
      <c r="F421" s="11"/>
      <c r="G421" s="11"/>
      <c r="H421" s="11"/>
      <c r="I421" s="11"/>
      <c r="J421" s="13"/>
      <c r="K421" s="11"/>
      <c r="L421" s="14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</row>
    <row r="422" spans="1:34" x14ac:dyDescent="0.25">
      <c r="A422" s="11"/>
      <c r="B422" s="11"/>
      <c r="C422" s="11"/>
      <c r="D422" s="11" t="s">
        <v>157</v>
      </c>
      <c r="E422" s="11"/>
      <c r="F422" s="11"/>
      <c r="G422" s="11"/>
      <c r="H422" s="11"/>
      <c r="I422" s="11"/>
      <c r="J422" s="13"/>
      <c r="K422" s="11"/>
      <c r="L422" s="14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</row>
    <row r="423" spans="1:34" x14ac:dyDescent="0.25">
      <c r="A423" s="11"/>
      <c r="B423" s="11"/>
      <c r="C423" s="11"/>
      <c r="D423" s="11" t="s">
        <v>158</v>
      </c>
      <c r="E423" s="11"/>
      <c r="F423" s="11"/>
      <c r="G423" s="11"/>
      <c r="H423" s="11"/>
      <c r="I423" s="11"/>
      <c r="J423" s="13"/>
      <c r="K423" s="11"/>
      <c r="L423" s="14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</row>
    <row r="424" spans="1:34" x14ac:dyDescent="0.25">
      <c r="A424" s="11"/>
      <c r="B424" s="11"/>
      <c r="C424" s="11"/>
      <c r="D424" s="11" t="s">
        <v>159</v>
      </c>
      <c r="E424" s="11"/>
      <c r="F424" s="11"/>
      <c r="G424" s="11"/>
      <c r="H424" s="11"/>
      <c r="I424" s="11"/>
      <c r="J424" s="13"/>
      <c r="K424" s="11"/>
      <c r="L424" s="14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</row>
    <row r="425" spans="1:34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3"/>
      <c r="K425" s="11"/>
      <c r="L425" s="14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</row>
    <row r="426" spans="1:34" x14ac:dyDescent="0.25">
      <c r="A426" s="11" t="s">
        <v>163</v>
      </c>
      <c r="B426" s="11"/>
      <c r="C426" s="11"/>
      <c r="D426" s="11"/>
      <c r="E426" s="11"/>
      <c r="F426" s="11"/>
      <c r="G426" s="11"/>
      <c r="H426" s="11" t="s">
        <v>164</v>
      </c>
      <c r="I426" s="11" t="s">
        <v>165</v>
      </c>
      <c r="J426" s="13" t="s">
        <v>166</v>
      </c>
      <c r="K426" s="11" t="s">
        <v>168</v>
      </c>
      <c r="L426" s="14" t="s">
        <v>169</v>
      </c>
      <c r="M426" s="11" t="s">
        <v>170</v>
      </c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 t="s">
        <v>171</v>
      </c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</row>
    <row r="427" spans="1:34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3" t="s">
        <v>167</v>
      </c>
      <c r="K427" s="11"/>
      <c r="L427" s="14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</row>
    <row r="428" spans="1:34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3" t="s">
        <v>43</v>
      </c>
      <c r="K428" s="11"/>
      <c r="L428" s="14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</row>
    <row r="429" spans="1:34" x14ac:dyDescent="0.25">
      <c r="A429" s="11">
        <v>170</v>
      </c>
      <c r="B429" s="11"/>
      <c r="C429" s="11"/>
      <c r="D429" s="11"/>
      <c r="E429" s="11"/>
      <c r="F429" s="11"/>
      <c r="G429" s="11"/>
      <c r="H429" s="11">
        <v>2</v>
      </c>
      <c r="I429" s="11" t="s">
        <v>175</v>
      </c>
      <c r="J429" s="13">
        <v>0.51666666666666672</v>
      </c>
      <c r="K429" s="11" t="s">
        <v>212</v>
      </c>
      <c r="L429" s="14" t="s">
        <v>222</v>
      </c>
      <c r="M429" s="11">
        <v>63</v>
      </c>
      <c r="N429" s="11"/>
      <c r="O429" s="11">
        <v>18</v>
      </c>
      <c r="P429" s="11"/>
      <c r="Q429" s="11">
        <v>56</v>
      </c>
      <c r="R429" s="11"/>
      <c r="S429" s="11">
        <v>59</v>
      </c>
      <c r="T429" s="11"/>
      <c r="U429" s="11">
        <v>76</v>
      </c>
      <c r="V429" s="11"/>
      <c r="W429" s="11">
        <v>35</v>
      </c>
      <c r="X429" s="11">
        <v>14</v>
      </c>
      <c r="Y429" s="11"/>
      <c r="Z429" s="11">
        <v>21</v>
      </c>
      <c r="AA429" s="11"/>
      <c r="AB429" s="11">
        <v>43</v>
      </c>
      <c r="AC429" s="11"/>
      <c r="AD429" s="11">
        <v>25</v>
      </c>
      <c r="AE429" s="11"/>
      <c r="AF429" s="11">
        <v>65</v>
      </c>
      <c r="AH429" s="4">
        <v>34</v>
      </c>
    </row>
    <row r="430" spans="1:34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3">
        <v>0.31666666666666665</v>
      </c>
      <c r="K430" s="11"/>
      <c r="L430" s="14"/>
      <c r="M430" s="11" t="s">
        <v>74</v>
      </c>
      <c r="N430" s="11"/>
      <c r="O430" s="11" t="s">
        <v>107</v>
      </c>
      <c r="P430" s="11"/>
      <c r="Q430" s="11" t="s">
        <v>107</v>
      </c>
      <c r="R430" s="11"/>
      <c r="S430" s="11" t="s">
        <v>108</v>
      </c>
      <c r="T430" s="11"/>
      <c r="U430" s="11" t="s">
        <v>108</v>
      </c>
      <c r="V430" s="11"/>
      <c r="W430" s="11" t="s">
        <v>174</v>
      </c>
      <c r="X430" s="11" t="s">
        <v>74</v>
      </c>
      <c r="Y430" s="11"/>
      <c r="Z430" s="11" t="s">
        <v>74</v>
      </c>
      <c r="AA430" s="11"/>
      <c r="AB430" s="11" t="s">
        <v>74</v>
      </c>
      <c r="AC430" s="11"/>
      <c r="AD430" s="11" t="s">
        <v>108</v>
      </c>
      <c r="AE430" s="11"/>
      <c r="AF430" s="11" t="s">
        <v>108</v>
      </c>
      <c r="AH430" s="4" t="s">
        <v>174</v>
      </c>
    </row>
    <row r="431" spans="1:34" x14ac:dyDescent="0.25">
      <c r="A431" s="11">
        <v>171</v>
      </c>
      <c r="B431" s="11"/>
      <c r="C431" s="11"/>
      <c r="D431" s="11"/>
      <c r="E431" s="11"/>
      <c r="F431" s="11"/>
      <c r="G431" s="11"/>
      <c r="H431" s="11">
        <v>2</v>
      </c>
      <c r="I431" s="11" t="s">
        <v>175</v>
      </c>
      <c r="J431" s="13">
        <v>0.5229166666666667</v>
      </c>
      <c r="K431" s="11" t="s">
        <v>226</v>
      </c>
      <c r="L431" s="14" t="s">
        <v>338</v>
      </c>
      <c r="M431" s="11">
        <v>12</v>
      </c>
      <c r="N431" s="11"/>
      <c r="O431" s="11">
        <v>9</v>
      </c>
      <c r="P431" s="11"/>
      <c r="Q431" s="11">
        <v>18</v>
      </c>
      <c r="R431" s="11"/>
      <c r="S431" s="11">
        <v>14</v>
      </c>
      <c r="T431" s="11"/>
      <c r="U431" s="11">
        <v>59</v>
      </c>
      <c r="V431" s="11"/>
      <c r="W431" s="11">
        <v>35</v>
      </c>
      <c r="X431" s="11">
        <v>14</v>
      </c>
      <c r="Y431" s="11"/>
      <c r="Z431" s="11">
        <v>43</v>
      </c>
      <c r="AA431" s="11"/>
      <c r="AB431" s="11">
        <v>62</v>
      </c>
      <c r="AC431" s="11"/>
      <c r="AD431" s="11">
        <v>25</v>
      </c>
      <c r="AF431" s="4">
        <v>65</v>
      </c>
      <c r="AH431" s="4">
        <v>34</v>
      </c>
    </row>
    <row r="432" spans="1:34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3">
        <v>0.31041666666666667</v>
      </c>
      <c r="K432" s="11"/>
      <c r="L432" s="14"/>
      <c r="M432" s="11" t="s">
        <v>74</v>
      </c>
      <c r="N432" s="11"/>
      <c r="O432" s="11" t="s">
        <v>107</v>
      </c>
      <c r="P432" s="11"/>
      <c r="Q432" s="11" t="s">
        <v>107</v>
      </c>
      <c r="R432" s="11"/>
      <c r="S432" s="11" t="s">
        <v>108</v>
      </c>
      <c r="T432" s="11"/>
      <c r="U432" s="11" t="s">
        <v>108</v>
      </c>
      <c r="V432" s="11"/>
      <c r="W432" s="11" t="s">
        <v>174</v>
      </c>
      <c r="X432" s="11" t="s">
        <v>74</v>
      </c>
      <c r="Y432" s="11"/>
      <c r="Z432" s="11" t="s">
        <v>74</v>
      </c>
      <c r="AA432" s="11"/>
      <c r="AB432" s="11" t="s">
        <v>107</v>
      </c>
      <c r="AC432" s="11"/>
      <c r="AD432" s="11" t="s">
        <v>108</v>
      </c>
      <c r="AF432" s="4" t="s">
        <v>108</v>
      </c>
      <c r="AH432" s="4" t="s">
        <v>174</v>
      </c>
    </row>
    <row r="433" spans="1:32" x14ac:dyDescent="0.25">
      <c r="A433" s="11">
        <v>172</v>
      </c>
      <c r="B433" s="11"/>
      <c r="C433" s="11"/>
      <c r="D433" s="11"/>
      <c r="E433" s="11"/>
      <c r="F433" s="11"/>
      <c r="G433" s="11"/>
      <c r="H433" s="11">
        <v>2</v>
      </c>
      <c r="I433" s="11" t="s">
        <v>230</v>
      </c>
      <c r="J433" s="13">
        <v>0.5229166666666667</v>
      </c>
      <c r="K433" s="11" t="s">
        <v>176</v>
      </c>
      <c r="L433" s="14" t="s">
        <v>339</v>
      </c>
      <c r="M433" s="11">
        <v>12</v>
      </c>
      <c r="N433" s="11"/>
      <c r="O433" s="11">
        <v>9</v>
      </c>
      <c r="P433" s="11"/>
      <c r="Q433" s="11">
        <v>18</v>
      </c>
      <c r="R433" s="11"/>
      <c r="S433" s="11">
        <v>14</v>
      </c>
      <c r="T433" s="11"/>
      <c r="U433" s="11">
        <v>59</v>
      </c>
      <c r="W433" s="4">
        <v>35</v>
      </c>
      <c r="X433" s="11">
        <v>41</v>
      </c>
      <c r="Y433" s="11"/>
      <c r="Z433" s="11">
        <v>20</v>
      </c>
      <c r="AA433" s="11"/>
      <c r="AB433" s="11">
        <v>53</v>
      </c>
      <c r="AC433" s="11"/>
      <c r="AD433" s="11">
        <v>65</v>
      </c>
      <c r="AF433" s="4">
        <v>34</v>
      </c>
    </row>
    <row r="434" spans="1:32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3">
        <v>0.31041666666666667</v>
      </c>
      <c r="K434" s="11"/>
      <c r="L434" s="14"/>
      <c r="M434" s="11" t="s">
        <v>74</v>
      </c>
      <c r="N434" s="11"/>
      <c r="O434" s="11" t="s">
        <v>107</v>
      </c>
      <c r="P434" s="11"/>
      <c r="Q434" s="11" t="s">
        <v>107</v>
      </c>
      <c r="R434" s="11"/>
      <c r="S434" s="11" t="s">
        <v>108</v>
      </c>
      <c r="T434" s="11"/>
      <c r="U434" s="11" t="s">
        <v>108</v>
      </c>
      <c r="W434" s="4" t="s">
        <v>174</v>
      </c>
      <c r="X434" s="11" t="s">
        <v>74</v>
      </c>
      <c r="Y434" s="11"/>
      <c r="Z434" s="11" t="s">
        <v>107</v>
      </c>
      <c r="AA434" s="11"/>
      <c r="AB434" s="11" t="s">
        <v>108</v>
      </c>
      <c r="AC434" s="11"/>
      <c r="AD434" s="11" t="s">
        <v>108</v>
      </c>
      <c r="AF434" s="4" t="s">
        <v>174</v>
      </c>
    </row>
    <row r="435" spans="1:32" x14ac:dyDescent="0.25">
      <c r="A435" s="11">
        <v>173</v>
      </c>
      <c r="B435" s="11"/>
      <c r="C435" s="11"/>
      <c r="D435" s="11"/>
      <c r="E435" s="11"/>
      <c r="F435" s="11"/>
      <c r="G435" s="11"/>
      <c r="H435" s="11">
        <v>2</v>
      </c>
      <c r="I435" s="11" t="s">
        <v>230</v>
      </c>
      <c r="J435" s="13">
        <v>0.52986111111111112</v>
      </c>
      <c r="K435" s="11" t="s">
        <v>180</v>
      </c>
      <c r="L435" s="14" t="s">
        <v>340</v>
      </c>
      <c r="M435" s="11">
        <v>12</v>
      </c>
      <c r="N435" s="11"/>
      <c r="O435" s="11">
        <v>9</v>
      </c>
      <c r="P435" s="11"/>
      <c r="Q435" s="11">
        <v>18</v>
      </c>
      <c r="R435" s="11"/>
      <c r="S435" s="11">
        <v>14</v>
      </c>
      <c r="U435" s="4">
        <v>59</v>
      </c>
      <c r="W435" s="4">
        <v>35</v>
      </c>
      <c r="X435" s="11">
        <v>41</v>
      </c>
      <c r="Y435" s="11"/>
      <c r="Z435" s="11">
        <v>20</v>
      </c>
      <c r="AA435" s="11"/>
      <c r="AB435" s="11">
        <v>53</v>
      </c>
      <c r="AC435" s="11"/>
      <c r="AD435" s="11">
        <v>65</v>
      </c>
      <c r="AF435" s="4">
        <v>34</v>
      </c>
    </row>
    <row r="436" spans="1:32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3">
        <v>0.3034722222222222</v>
      </c>
      <c r="K436" s="11"/>
      <c r="L436" s="14"/>
      <c r="M436" s="11" t="s">
        <v>74</v>
      </c>
      <c r="N436" s="11"/>
      <c r="O436" s="11" t="s">
        <v>107</v>
      </c>
      <c r="P436" s="11"/>
      <c r="Q436" s="11" t="s">
        <v>107</v>
      </c>
      <c r="R436" s="11"/>
      <c r="S436" s="11" t="s">
        <v>108</v>
      </c>
      <c r="U436" s="4" t="s">
        <v>108</v>
      </c>
      <c r="W436" s="4" t="s">
        <v>174</v>
      </c>
      <c r="X436" s="11" t="s">
        <v>74</v>
      </c>
      <c r="Y436" s="11"/>
      <c r="Z436" s="11" t="s">
        <v>107</v>
      </c>
      <c r="AA436" s="11"/>
      <c r="AB436" s="11" t="s">
        <v>108</v>
      </c>
      <c r="AC436" s="11"/>
      <c r="AD436" s="11" t="s">
        <v>108</v>
      </c>
      <c r="AF436" s="4" t="s">
        <v>174</v>
      </c>
    </row>
    <row r="437" spans="1:32" x14ac:dyDescent="0.25">
      <c r="A437" s="11">
        <v>174</v>
      </c>
      <c r="B437" s="11"/>
      <c r="C437" s="11"/>
      <c r="D437" s="11"/>
      <c r="E437" s="11"/>
      <c r="F437" s="11"/>
      <c r="G437" s="11"/>
      <c r="H437" s="11">
        <v>2</v>
      </c>
      <c r="I437" s="11" t="s">
        <v>228</v>
      </c>
      <c r="J437" s="13">
        <v>0.55763888888888891</v>
      </c>
      <c r="K437" s="11" t="s">
        <v>176</v>
      </c>
      <c r="L437" s="14" t="s">
        <v>341</v>
      </c>
      <c r="M437" s="11">
        <v>12</v>
      </c>
      <c r="N437" s="11"/>
      <c r="O437" s="11">
        <v>9</v>
      </c>
      <c r="P437" s="11"/>
      <c r="Q437" s="11">
        <v>18</v>
      </c>
      <c r="R437" s="11"/>
      <c r="S437" s="11">
        <v>14</v>
      </c>
      <c r="U437" s="4">
        <v>59</v>
      </c>
      <c r="W437" s="4">
        <v>35</v>
      </c>
      <c r="X437" s="11">
        <v>43</v>
      </c>
      <c r="Y437" s="11"/>
      <c r="Z437" s="11">
        <v>51</v>
      </c>
      <c r="AA437" s="11"/>
      <c r="AB437" s="11">
        <v>53</v>
      </c>
      <c r="AC437" s="11"/>
      <c r="AD437" s="11">
        <v>65</v>
      </c>
      <c r="AF437" s="4">
        <v>34</v>
      </c>
    </row>
    <row r="438" spans="1:32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3">
        <v>0.27569444444444446</v>
      </c>
      <c r="K438" s="11"/>
      <c r="L438" s="14"/>
      <c r="M438" s="11" t="s">
        <v>74</v>
      </c>
      <c r="N438" s="11"/>
      <c r="O438" s="11" t="s">
        <v>107</v>
      </c>
      <c r="P438" s="11"/>
      <c r="Q438" s="11" t="s">
        <v>107</v>
      </c>
      <c r="R438" s="11"/>
      <c r="S438" s="11" t="s">
        <v>108</v>
      </c>
      <c r="U438" s="4" t="s">
        <v>108</v>
      </c>
      <c r="W438" s="4" t="s">
        <v>174</v>
      </c>
      <c r="X438" s="11" t="s">
        <v>74</v>
      </c>
      <c r="Y438" s="11"/>
      <c r="Z438" s="11" t="s">
        <v>74</v>
      </c>
      <c r="AA438" s="11"/>
      <c r="AB438" s="11" t="s">
        <v>108</v>
      </c>
      <c r="AC438" s="11"/>
      <c r="AD438" s="11" t="s">
        <v>108</v>
      </c>
      <c r="AF438" s="4" t="s">
        <v>174</v>
      </c>
    </row>
    <row r="439" spans="1:32" x14ac:dyDescent="0.25">
      <c r="A439" s="11">
        <v>175</v>
      </c>
      <c r="B439" s="11"/>
      <c r="C439" s="11"/>
      <c r="D439" s="11"/>
      <c r="E439" s="11"/>
      <c r="F439" s="11"/>
      <c r="G439" s="11"/>
      <c r="H439" s="11">
        <v>2</v>
      </c>
      <c r="I439" s="11" t="s">
        <v>230</v>
      </c>
      <c r="J439" s="13">
        <v>0.55763888888888891</v>
      </c>
      <c r="K439" s="11" t="s">
        <v>226</v>
      </c>
      <c r="L439" s="14" t="s">
        <v>342</v>
      </c>
      <c r="M439" s="11">
        <v>12</v>
      </c>
      <c r="N439" s="11"/>
      <c r="O439" s="11">
        <v>9</v>
      </c>
      <c r="P439" s="11"/>
      <c r="Q439" s="11">
        <v>18</v>
      </c>
      <c r="R439" s="11"/>
      <c r="S439" s="11">
        <v>14</v>
      </c>
      <c r="U439" s="4">
        <v>59</v>
      </c>
      <c r="W439" s="4">
        <v>35</v>
      </c>
      <c r="X439" s="11">
        <v>43</v>
      </c>
      <c r="Y439" s="11"/>
      <c r="Z439" s="11">
        <v>51</v>
      </c>
      <c r="AA439" s="11"/>
      <c r="AB439" s="11">
        <v>53</v>
      </c>
      <c r="AC439" s="11"/>
      <c r="AD439" s="11">
        <v>65</v>
      </c>
      <c r="AF439" s="4">
        <v>34</v>
      </c>
    </row>
    <row r="440" spans="1:32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3">
        <v>0.27569444444444446</v>
      </c>
      <c r="K440" s="11"/>
      <c r="L440" s="14"/>
      <c r="M440" s="11" t="s">
        <v>74</v>
      </c>
      <c r="N440" s="11"/>
      <c r="O440" s="11" t="s">
        <v>107</v>
      </c>
      <c r="P440" s="11"/>
      <c r="Q440" s="11" t="s">
        <v>107</v>
      </c>
      <c r="R440" s="11"/>
      <c r="S440" s="11" t="s">
        <v>108</v>
      </c>
      <c r="U440" s="4" t="s">
        <v>108</v>
      </c>
      <c r="W440" s="4" t="s">
        <v>174</v>
      </c>
      <c r="X440" s="11" t="s">
        <v>74</v>
      </c>
      <c r="Y440" s="11"/>
      <c r="Z440" s="11" t="s">
        <v>74</v>
      </c>
      <c r="AA440" s="11"/>
      <c r="AB440" s="11" t="s">
        <v>108</v>
      </c>
      <c r="AC440" s="11"/>
      <c r="AD440" s="11" t="s">
        <v>108</v>
      </c>
      <c r="AF440" s="4" t="s">
        <v>174</v>
      </c>
    </row>
    <row r="441" spans="1:32" x14ac:dyDescent="0.25">
      <c r="A441" s="14">
        <v>176</v>
      </c>
      <c r="B441" s="14"/>
      <c r="C441" s="14"/>
      <c r="D441" s="14"/>
      <c r="E441" s="14"/>
      <c r="F441" s="14"/>
      <c r="G441" s="14"/>
      <c r="H441" s="4">
        <v>2</v>
      </c>
      <c r="I441" s="4" t="s">
        <v>230</v>
      </c>
      <c r="J441" s="53">
        <v>0.56805555555555554</v>
      </c>
      <c r="K441" s="4" t="s">
        <v>231</v>
      </c>
      <c r="L441" s="4" t="s">
        <v>343</v>
      </c>
      <c r="M441" s="4">
        <v>12</v>
      </c>
      <c r="O441" s="4">
        <v>9</v>
      </c>
      <c r="Q441" s="4">
        <v>18</v>
      </c>
      <c r="S441" s="4">
        <v>59</v>
      </c>
      <c r="U441" s="4">
        <v>76</v>
      </c>
      <c r="W441" s="4">
        <v>35</v>
      </c>
      <c r="X441" s="4">
        <v>51</v>
      </c>
      <c r="Z441" s="4">
        <v>52</v>
      </c>
      <c r="AB441" s="4">
        <v>53</v>
      </c>
      <c r="AD441" s="4">
        <v>34</v>
      </c>
    </row>
    <row r="442" spans="1:32" ht="18.75" x14ac:dyDescent="0.3">
      <c r="A442" s="15"/>
      <c r="B442" s="15"/>
      <c r="C442" s="15"/>
      <c r="D442" s="16"/>
      <c r="E442" s="15"/>
      <c r="F442" s="15"/>
      <c r="G442" s="15"/>
      <c r="J442" s="53">
        <v>0.26527777777777778</v>
      </c>
      <c r="M442" s="4" t="s">
        <v>74</v>
      </c>
      <c r="O442" s="4" t="s">
        <v>107</v>
      </c>
      <c r="Q442" s="4" t="s">
        <v>107</v>
      </c>
      <c r="S442" s="4" t="s">
        <v>108</v>
      </c>
      <c r="U442" s="4" t="s">
        <v>108</v>
      </c>
      <c r="W442" s="4" t="s">
        <v>174</v>
      </c>
      <c r="X442" s="4" t="s">
        <v>74</v>
      </c>
      <c r="Z442" s="4" t="s">
        <v>108</v>
      </c>
      <c r="AB442" s="4" t="s">
        <v>108</v>
      </c>
      <c r="AD442" s="4" t="s">
        <v>174</v>
      </c>
    </row>
    <row r="443" spans="1:32" ht="51" x14ac:dyDescent="0.75">
      <c r="A443" s="1">
        <v>177</v>
      </c>
      <c r="B443" s="17"/>
      <c r="C443" s="1"/>
      <c r="D443" s="16"/>
      <c r="E443" s="1"/>
      <c r="F443" s="17"/>
      <c r="G443" s="1"/>
      <c r="H443" s="4">
        <v>2</v>
      </c>
      <c r="I443" s="4" t="s">
        <v>228</v>
      </c>
      <c r="J443" s="53">
        <v>0.57916666666666672</v>
      </c>
      <c r="K443" s="4" t="s">
        <v>180</v>
      </c>
      <c r="L443" s="4" t="s">
        <v>344</v>
      </c>
      <c r="M443" s="4">
        <v>12</v>
      </c>
      <c r="O443" s="4">
        <v>9</v>
      </c>
      <c r="Q443" s="4">
        <v>18</v>
      </c>
      <c r="S443" s="4">
        <v>59</v>
      </c>
      <c r="U443" s="4">
        <v>76</v>
      </c>
      <c r="W443" s="4">
        <v>35</v>
      </c>
      <c r="X443" s="4">
        <v>51</v>
      </c>
      <c r="Z443" s="4">
        <v>52</v>
      </c>
      <c r="AB443" s="4">
        <v>53</v>
      </c>
      <c r="AD443" s="4">
        <v>34</v>
      </c>
    </row>
    <row r="444" spans="1:32" x14ac:dyDescent="0.25">
      <c r="A444" s="18"/>
      <c r="B444" s="18"/>
      <c r="C444" s="18"/>
      <c r="D444" s="18"/>
      <c r="E444" s="18"/>
      <c r="F444" s="18"/>
      <c r="G444" s="18"/>
      <c r="J444" s="53">
        <v>0.25416666666666665</v>
      </c>
      <c r="M444" s="4" t="s">
        <v>74</v>
      </c>
      <c r="O444" s="4" t="s">
        <v>107</v>
      </c>
      <c r="Q444" s="4" t="s">
        <v>107</v>
      </c>
      <c r="S444" s="4" t="s">
        <v>108</v>
      </c>
      <c r="U444" s="4" t="s">
        <v>108</v>
      </c>
      <c r="W444" s="4" t="s">
        <v>174</v>
      </c>
      <c r="X444" s="4" t="s">
        <v>74</v>
      </c>
      <c r="Z444" s="4" t="s">
        <v>108</v>
      </c>
      <c r="AB444" s="4" t="s">
        <v>108</v>
      </c>
      <c r="AD444" s="4" t="s">
        <v>174</v>
      </c>
    </row>
    <row r="445" spans="1:32" x14ac:dyDescent="0.25">
      <c r="A445" s="18">
        <v>178</v>
      </c>
      <c r="B445" s="18"/>
      <c r="C445" s="18"/>
      <c r="D445" s="18"/>
      <c r="E445" s="18"/>
      <c r="F445" s="18"/>
      <c r="G445" s="18"/>
      <c r="H445" s="4">
        <v>2</v>
      </c>
      <c r="I445" s="4" t="s">
        <v>228</v>
      </c>
      <c r="J445" s="53">
        <v>0.58611111111111114</v>
      </c>
      <c r="K445" s="4" t="s">
        <v>180</v>
      </c>
      <c r="L445" s="4" t="s">
        <v>345</v>
      </c>
      <c r="M445" s="4">
        <v>12</v>
      </c>
      <c r="O445" s="4">
        <v>9</v>
      </c>
      <c r="Q445" s="4">
        <v>18</v>
      </c>
      <c r="S445" s="4">
        <v>59</v>
      </c>
      <c r="U445" s="4">
        <v>76</v>
      </c>
      <c r="W445" s="4">
        <v>35</v>
      </c>
      <c r="X445" s="4">
        <v>51</v>
      </c>
      <c r="Z445" s="4">
        <v>52</v>
      </c>
      <c r="AB445" s="4">
        <v>53</v>
      </c>
      <c r="AD445" s="4">
        <v>34</v>
      </c>
    </row>
    <row r="446" spans="1:32" x14ac:dyDescent="0.25">
      <c r="A446" s="19"/>
      <c r="B446" s="19"/>
      <c r="C446" s="19"/>
      <c r="D446" s="18"/>
      <c r="E446" s="19"/>
      <c r="F446" s="19"/>
      <c r="G446" s="19"/>
      <c r="J446" s="53">
        <v>0.24722222222222223</v>
      </c>
      <c r="M446" s="4" t="s">
        <v>74</v>
      </c>
      <c r="O446" s="4" t="s">
        <v>107</v>
      </c>
      <c r="Q446" s="4" t="s">
        <v>107</v>
      </c>
      <c r="S446" s="4" t="s">
        <v>108</v>
      </c>
      <c r="U446" s="4" t="s">
        <v>108</v>
      </c>
      <c r="W446" s="4" t="s">
        <v>174</v>
      </c>
      <c r="X446" s="4" t="s">
        <v>74</v>
      </c>
      <c r="Z446" s="4" t="s">
        <v>108</v>
      </c>
      <c r="AB446" s="4" t="s">
        <v>108</v>
      </c>
      <c r="AD446" s="4" t="s">
        <v>174</v>
      </c>
    </row>
    <row r="447" spans="1:32" x14ac:dyDescent="0.25">
      <c r="A447" s="19">
        <v>179</v>
      </c>
      <c r="B447" s="19"/>
      <c r="C447" s="19"/>
      <c r="D447" s="18"/>
      <c r="E447" s="19"/>
      <c r="F447" s="19"/>
      <c r="G447" s="19"/>
      <c r="H447" s="4">
        <v>2</v>
      </c>
      <c r="I447" s="4" t="s">
        <v>228</v>
      </c>
      <c r="J447" s="53">
        <v>0.59236111111111112</v>
      </c>
      <c r="K447" s="4" t="s">
        <v>306</v>
      </c>
      <c r="L447" s="4" t="s">
        <v>346</v>
      </c>
      <c r="M447" s="4">
        <v>12</v>
      </c>
      <c r="O447" s="4">
        <v>9</v>
      </c>
      <c r="Q447" s="4">
        <v>18</v>
      </c>
      <c r="S447" s="4">
        <v>59</v>
      </c>
      <c r="U447" s="4">
        <v>76</v>
      </c>
      <c r="W447" s="4">
        <v>35</v>
      </c>
      <c r="X447" s="4">
        <v>51</v>
      </c>
      <c r="Z447" s="4">
        <v>52</v>
      </c>
      <c r="AB447" s="4">
        <v>53</v>
      </c>
      <c r="AD447" s="4">
        <v>34</v>
      </c>
    </row>
    <row r="448" spans="1:32" x14ac:dyDescent="0.25">
      <c r="A448" s="19"/>
      <c r="B448" s="19"/>
      <c r="C448" s="19"/>
      <c r="D448" s="18"/>
      <c r="E448" s="19"/>
      <c r="F448" s="19"/>
      <c r="G448" s="19"/>
      <c r="J448" s="53">
        <v>0.24097222222222223</v>
      </c>
      <c r="L448" s="4" t="s">
        <v>347</v>
      </c>
      <c r="M448" s="4" t="s">
        <v>74</v>
      </c>
      <c r="O448" s="4" t="s">
        <v>107</v>
      </c>
      <c r="Q448" s="4" t="s">
        <v>107</v>
      </c>
      <c r="S448" s="4" t="s">
        <v>108</v>
      </c>
      <c r="U448" s="4" t="s">
        <v>108</v>
      </c>
      <c r="W448" s="4" t="s">
        <v>174</v>
      </c>
      <c r="X448" s="4" t="s">
        <v>74</v>
      </c>
      <c r="Z448" s="4" t="s">
        <v>108</v>
      </c>
      <c r="AB448" s="4" t="s">
        <v>108</v>
      </c>
      <c r="AD448" s="4" t="s">
        <v>174</v>
      </c>
    </row>
    <row r="449" spans="1:36" x14ac:dyDescent="0.25">
      <c r="A449" s="19">
        <v>180</v>
      </c>
      <c r="B449" s="19"/>
      <c r="C449" s="19"/>
      <c r="D449" s="18"/>
      <c r="E449" s="19"/>
      <c r="F449" s="19"/>
      <c r="G449" s="19"/>
      <c r="H449" s="4">
        <v>2</v>
      </c>
      <c r="I449" s="4" t="s">
        <v>228</v>
      </c>
      <c r="J449" s="53">
        <v>0.59236111111111112</v>
      </c>
      <c r="K449" s="4" t="s">
        <v>176</v>
      </c>
      <c r="L449" s="4" t="s">
        <v>348</v>
      </c>
      <c r="M449" s="4">
        <v>33</v>
      </c>
      <c r="O449" s="4">
        <v>63</v>
      </c>
      <c r="Q449" s="4">
        <v>38</v>
      </c>
      <c r="S449" s="4">
        <v>4</v>
      </c>
      <c r="U449" s="4">
        <v>14</v>
      </c>
      <c r="W449" s="4">
        <v>35</v>
      </c>
      <c r="X449" s="4">
        <v>41</v>
      </c>
      <c r="Z449" s="4">
        <v>20</v>
      </c>
      <c r="AB449" s="4">
        <v>2</v>
      </c>
      <c r="AD449" s="4">
        <v>25</v>
      </c>
      <c r="AF449" s="4">
        <v>34</v>
      </c>
    </row>
    <row r="450" spans="1:36" x14ac:dyDescent="0.25">
      <c r="A450" s="14"/>
      <c r="B450" s="14"/>
      <c r="C450" s="14"/>
      <c r="D450" s="14"/>
      <c r="E450" s="14"/>
      <c r="F450" s="14"/>
      <c r="G450" s="14"/>
      <c r="H450" s="14"/>
      <c r="I450" s="14"/>
      <c r="J450" s="54">
        <v>0.24097222222222223</v>
      </c>
      <c r="K450" s="14"/>
      <c r="L450" s="14"/>
      <c r="M450" s="14" t="s">
        <v>74</v>
      </c>
      <c r="N450" s="14"/>
      <c r="O450" s="14" t="s">
        <v>74</v>
      </c>
      <c r="P450" s="14"/>
      <c r="Q450" s="14" t="s">
        <v>107</v>
      </c>
      <c r="R450" s="14"/>
      <c r="S450" s="14" t="s">
        <v>108</v>
      </c>
      <c r="T450" s="14"/>
      <c r="U450" s="14" t="s">
        <v>108</v>
      </c>
      <c r="V450" s="14"/>
      <c r="W450" s="14" t="s">
        <v>174</v>
      </c>
      <c r="X450" s="14" t="s">
        <v>74</v>
      </c>
      <c r="Y450" s="14"/>
      <c r="Z450" s="14" t="s">
        <v>107</v>
      </c>
      <c r="AA450" s="14"/>
      <c r="AB450" s="14" t="s">
        <v>108</v>
      </c>
      <c r="AC450" s="14"/>
      <c r="AD450" s="14" t="s">
        <v>108</v>
      </c>
      <c r="AE450" s="14"/>
      <c r="AF450" s="14" t="s">
        <v>174</v>
      </c>
      <c r="AG450" s="14"/>
      <c r="AH450" s="14"/>
      <c r="AI450" s="14"/>
      <c r="AJ450" s="14"/>
    </row>
    <row r="451" spans="1:36" x14ac:dyDescent="0.25">
      <c r="A451" s="11">
        <v>181</v>
      </c>
      <c r="B451" s="11"/>
      <c r="C451" s="11"/>
      <c r="D451" s="11"/>
      <c r="E451" s="11"/>
      <c r="F451" s="11"/>
      <c r="G451" s="11"/>
      <c r="H451" s="11">
        <v>2</v>
      </c>
      <c r="I451" s="11" t="s">
        <v>228</v>
      </c>
      <c r="J451" s="13">
        <v>0.60347222222222219</v>
      </c>
      <c r="K451" s="11" t="s">
        <v>180</v>
      </c>
      <c r="L451" s="12" t="s">
        <v>349</v>
      </c>
      <c r="M451" s="11">
        <v>33</v>
      </c>
      <c r="N451" s="11"/>
      <c r="O451" s="11">
        <v>63</v>
      </c>
      <c r="P451" s="11"/>
      <c r="Q451" s="11">
        <v>38</v>
      </c>
      <c r="R451" s="11"/>
      <c r="S451" s="11">
        <v>4</v>
      </c>
      <c r="T451" s="11"/>
      <c r="U451" s="11">
        <v>14</v>
      </c>
      <c r="V451" s="11"/>
      <c r="W451" s="11">
        <v>35</v>
      </c>
      <c r="X451" s="11">
        <v>41</v>
      </c>
      <c r="Y451" s="11"/>
      <c r="Z451" s="11">
        <v>20</v>
      </c>
      <c r="AA451" s="11"/>
      <c r="AB451" s="11">
        <v>2</v>
      </c>
      <c r="AC451" s="11"/>
      <c r="AD451" s="11">
        <v>25</v>
      </c>
      <c r="AE451" s="11"/>
      <c r="AF451" s="11">
        <v>34</v>
      </c>
      <c r="AG451" s="11"/>
      <c r="AH451" s="11"/>
      <c r="AI451" s="11"/>
      <c r="AJ451" s="11"/>
    </row>
    <row r="452" spans="1:36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3">
        <v>0.2298611111111111</v>
      </c>
      <c r="K452" s="11"/>
      <c r="L452" s="12"/>
      <c r="M452" s="11" t="s">
        <v>74</v>
      </c>
      <c r="N452" s="11"/>
      <c r="O452" s="11" t="s">
        <v>74</v>
      </c>
      <c r="P452" s="11"/>
      <c r="Q452" s="11" t="s">
        <v>107</v>
      </c>
      <c r="R452" s="11"/>
      <c r="S452" s="11" t="s">
        <v>108</v>
      </c>
      <c r="T452" s="11"/>
      <c r="U452" s="11" t="s">
        <v>108</v>
      </c>
      <c r="V452" s="11"/>
      <c r="W452" s="11" t="s">
        <v>174</v>
      </c>
      <c r="X452" s="11" t="s">
        <v>74</v>
      </c>
      <c r="Y452" s="11"/>
      <c r="Z452" s="11" t="s">
        <v>107</v>
      </c>
      <c r="AA452" s="11"/>
      <c r="AB452" s="11" t="s">
        <v>108</v>
      </c>
      <c r="AC452" s="11"/>
      <c r="AD452" s="11" t="s">
        <v>108</v>
      </c>
      <c r="AE452" s="11"/>
      <c r="AF452" s="11" t="s">
        <v>174</v>
      </c>
      <c r="AG452" s="11"/>
      <c r="AH452" s="11"/>
      <c r="AI452" s="11"/>
      <c r="AJ452" s="11"/>
    </row>
    <row r="453" spans="1:36" x14ac:dyDescent="0.25">
      <c r="A453" s="11">
        <v>182</v>
      </c>
      <c r="B453" s="11"/>
      <c r="C453" s="11"/>
      <c r="D453" s="11"/>
      <c r="E453" s="11"/>
      <c r="F453" s="11"/>
      <c r="G453" s="11"/>
      <c r="H453" s="11">
        <v>2</v>
      </c>
      <c r="I453" s="11" t="s">
        <v>228</v>
      </c>
      <c r="J453" s="13">
        <v>0.60486111111111118</v>
      </c>
      <c r="K453" s="11" t="s">
        <v>306</v>
      </c>
      <c r="L453" s="12" t="s">
        <v>350</v>
      </c>
      <c r="M453" s="11">
        <v>33</v>
      </c>
      <c r="N453" s="11"/>
      <c r="O453" s="11">
        <v>63</v>
      </c>
      <c r="P453" s="11"/>
      <c r="Q453" s="11">
        <v>38</v>
      </c>
      <c r="R453" s="11"/>
      <c r="S453" s="11">
        <v>4</v>
      </c>
      <c r="T453" s="11"/>
      <c r="U453" s="11">
        <v>14</v>
      </c>
      <c r="V453" s="11"/>
      <c r="W453" s="11">
        <v>35</v>
      </c>
      <c r="X453" s="11">
        <v>41</v>
      </c>
      <c r="Y453" s="11"/>
      <c r="Z453" s="11">
        <v>20</v>
      </c>
      <c r="AA453" s="11"/>
      <c r="AB453" s="11">
        <v>2</v>
      </c>
      <c r="AC453" s="11"/>
      <c r="AD453" s="11">
        <v>25</v>
      </c>
      <c r="AE453" s="11"/>
      <c r="AF453" s="11">
        <v>34</v>
      </c>
      <c r="AG453" s="11"/>
      <c r="AH453" s="11"/>
      <c r="AI453" s="11"/>
      <c r="AJ453" s="11"/>
    </row>
    <row r="454" spans="1:36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3">
        <v>0.22847222222222222</v>
      </c>
      <c r="K454" s="11"/>
      <c r="L454" s="14" t="s">
        <v>351</v>
      </c>
      <c r="M454" s="11" t="s">
        <v>74</v>
      </c>
      <c r="N454" s="11"/>
      <c r="O454" s="11" t="s">
        <v>74</v>
      </c>
      <c r="P454" s="11"/>
      <c r="Q454" s="11" t="s">
        <v>107</v>
      </c>
      <c r="R454" s="11"/>
      <c r="S454" s="11" t="s">
        <v>108</v>
      </c>
      <c r="T454" s="11"/>
      <c r="U454" s="11" t="s">
        <v>108</v>
      </c>
      <c r="V454" s="11"/>
      <c r="W454" s="11" t="s">
        <v>174</v>
      </c>
      <c r="X454" s="11" t="s">
        <v>74</v>
      </c>
      <c r="Y454" s="11"/>
      <c r="Z454" s="11" t="s">
        <v>107</v>
      </c>
      <c r="AA454" s="11"/>
      <c r="AB454" s="11" t="s">
        <v>108</v>
      </c>
      <c r="AC454" s="11"/>
      <c r="AD454" s="11" t="s">
        <v>108</v>
      </c>
      <c r="AE454" s="11"/>
      <c r="AF454" s="11" t="s">
        <v>174</v>
      </c>
    </row>
    <row r="455" spans="1:36" x14ac:dyDescent="0.25">
      <c r="A455" s="11">
        <v>183</v>
      </c>
      <c r="B455" s="11"/>
      <c r="C455" s="11"/>
      <c r="D455" s="11"/>
      <c r="E455" s="11"/>
      <c r="F455" s="11"/>
      <c r="G455" s="11"/>
      <c r="H455" s="11">
        <v>2</v>
      </c>
      <c r="I455" s="11" t="s">
        <v>175</v>
      </c>
      <c r="J455" s="13">
        <v>0.60486111111111118</v>
      </c>
      <c r="K455" s="11" t="s">
        <v>176</v>
      </c>
      <c r="L455" s="14" t="s">
        <v>352</v>
      </c>
      <c r="M455" s="11">
        <v>10</v>
      </c>
      <c r="N455" s="11"/>
      <c r="O455" s="11">
        <v>16</v>
      </c>
      <c r="P455" s="11"/>
      <c r="Q455" s="11">
        <v>56</v>
      </c>
      <c r="R455" s="11"/>
      <c r="S455" s="11">
        <v>4</v>
      </c>
      <c r="T455" s="11"/>
      <c r="U455" s="11">
        <v>14</v>
      </c>
      <c r="V455" s="11"/>
      <c r="W455" s="11">
        <v>35</v>
      </c>
      <c r="X455" s="11">
        <v>14</v>
      </c>
      <c r="Y455" s="11"/>
      <c r="Z455" s="11">
        <v>43</v>
      </c>
      <c r="AA455" s="11"/>
      <c r="AB455" s="11">
        <v>62</v>
      </c>
      <c r="AC455" s="11"/>
      <c r="AD455" s="11">
        <v>48</v>
      </c>
      <c r="AE455" s="11"/>
      <c r="AF455" s="11">
        <v>52</v>
      </c>
      <c r="AH455" s="4">
        <v>34</v>
      </c>
    </row>
    <row r="456" spans="1:36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3">
        <v>0.22847222222222222</v>
      </c>
      <c r="K456" s="11"/>
      <c r="L456" s="14"/>
      <c r="M456" s="11" t="s">
        <v>74</v>
      </c>
      <c r="N456" s="11"/>
      <c r="O456" s="11" t="s">
        <v>74</v>
      </c>
      <c r="P456" s="11"/>
      <c r="Q456" s="11" t="s">
        <v>107</v>
      </c>
      <c r="R456" s="11"/>
      <c r="S456" s="11" t="s">
        <v>108</v>
      </c>
      <c r="T456" s="11"/>
      <c r="U456" s="11" t="s">
        <v>108</v>
      </c>
      <c r="V456" s="11"/>
      <c r="W456" s="11" t="s">
        <v>174</v>
      </c>
      <c r="X456" s="11" t="s">
        <v>74</v>
      </c>
      <c r="Y456" s="11"/>
      <c r="Z456" s="11" t="s">
        <v>74</v>
      </c>
      <c r="AA456" s="11"/>
      <c r="AB456" s="11" t="s">
        <v>107</v>
      </c>
      <c r="AC456" s="11"/>
      <c r="AD456" s="11" t="s">
        <v>108</v>
      </c>
      <c r="AE456" s="11"/>
      <c r="AF456" s="11" t="s">
        <v>108</v>
      </c>
      <c r="AH456" s="4" t="s">
        <v>174</v>
      </c>
    </row>
    <row r="457" spans="1:36" x14ac:dyDescent="0.25">
      <c r="A457" s="11">
        <v>184</v>
      </c>
      <c r="B457" s="11"/>
      <c r="C457" s="11"/>
      <c r="D457" s="11"/>
      <c r="E457" s="11"/>
      <c r="F457" s="11"/>
      <c r="G457" s="11"/>
      <c r="H457" s="11">
        <v>2</v>
      </c>
      <c r="I457" s="11" t="s">
        <v>175</v>
      </c>
      <c r="J457" s="13">
        <v>0.61597222222222225</v>
      </c>
      <c r="K457" s="11" t="s">
        <v>188</v>
      </c>
      <c r="L457" s="14" t="s">
        <v>353</v>
      </c>
      <c r="M457" s="11">
        <v>10</v>
      </c>
      <c r="N457" s="11"/>
      <c r="O457" s="11">
        <v>16</v>
      </c>
      <c r="P457" s="11"/>
      <c r="Q457" s="11">
        <v>56</v>
      </c>
      <c r="R457" s="11"/>
      <c r="S457" s="11">
        <v>4</v>
      </c>
      <c r="T457" s="11"/>
      <c r="U457" s="11">
        <v>14</v>
      </c>
      <c r="V457" s="11"/>
      <c r="W457" s="11">
        <v>35</v>
      </c>
      <c r="X457" s="11">
        <v>14</v>
      </c>
      <c r="Y457" s="11"/>
      <c r="Z457" s="11">
        <v>43</v>
      </c>
      <c r="AA457" s="11"/>
      <c r="AB457" s="11">
        <v>62</v>
      </c>
      <c r="AC457" s="11"/>
      <c r="AD457" s="11">
        <v>48</v>
      </c>
      <c r="AE457" s="11"/>
      <c r="AF457" s="11">
        <v>52</v>
      </c>
      <c r="AH457" s="4">
        <v>34</v>
      </c>
    </row>
    <row r="458" spans="1:36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3">
        <v>0.21736111111111112</v>
      </c>
      <c r="K458" s="11"/>
      <c r="L458" s="14"/>
      <c r="M458" s="11" t="s">
        <v>74</v>
      </c>
      <c r="N458" s="11"/>
      <c r="O458" s="11" t="s">
        <v>74</v>
      </c>
      <c r="P458" s="11"/>
      <c r="Q458" s="11" t="s">
        <v>107</v>
      </c>
      <c r="R458" s="11"/>
      <c r="S458" s="11" t="s">
        <v>108</v>
      </c>
      <c r="T458" s="11"/>
      <c r="U458" s="11" t="s">
        <v>108</v>
      </c>
      <c r="V458" s="11"/>
      <c r="W458" s="11" t="s">
        <v>174</v>
      </c>
      <c r="X458" s="11" t="s">
        <v>74</v>
      </c>
      <c r="Y458" s="11"/>
      <c r="Z458" s="11" t="s">
        <v>74</v>
      </c>
      <c r="AA458" s="11"/>
      <c r="AB458" s="11" t="s">
        <v>107</v>
      </c>
      <c r="AC458" s="11"/>
      <c r="AD458" s="11" t="s">
        <v>108</v>
      </c>
      <c r="AE458" s="11"/>
      <c r="AF458" s="11" t="s">
        <v>108</v>
      </c>
      <c r="AH458" s="4" t="s">
        <v>174</v>
      </c>
    </row>
    <row r="459" spans="1:36" x14ac:dyDescent="0.25">
      <c r="A459" s="11">
        <v>185</v>
      </c>
      <c r="B459" s="11"/>
      <c r="C459" s="11"/>
      <c r="D459" s="11"/>
      <c r="E459" s="11"/>
      <c r="F459" s="11"/>
      <c r="G459" s="11"/>
      <c r="H459" s="11">
        <v>2</v>
      </c>
      <c r="I459" s="11" t="s">
        <v>175</v>
      </c>
      <c r="J459" s="13">
        <v>0.62291666666666667</v>
      </c>
      <c r="K459" s="11" t="s">
        <v>178</v>
      </c>
      <c r="L459" s="14" t="s">
        <v>354</v>
      </c>
      <c r="M459" s="11">
        <v>10</v>
      </c>
      <c r="N459" s="11"/>
      <c r="O459" s="11">
        <v>16</v>
      </c>
      <c r="P459" s="11"/>
      <c r="Q459" s="11">
        <v>56</v>
      </c>
      <c r="R459" s="11"/>
      <c r="S459" s="11">
        <v>4</v>
      </c>
      <c r="T459" s="11"/>
      <c r="U459" s="11">
        <v>14</v>
      </c>
      <c r="V459" s="11"/>
      <c r="W459" s="11">
        <v>35</v>
      </c>
      <c r="X459" s="11">
        <v>14</v>
      </c>
      <c r="Y459" s="11"/>
      <c r="Z459" s="11">
        <v>43</v>
      </c>
      <c r="AA459" s="11"/>
      <c r="AB459" s="11">
        <v>62</v>
      </c>
      <c r="AC459" s="11"/>
      <c r="AD459" s="11">
        <v>48</v>
      </c>
      <c r="AE459" s="11"/>
      <c r="AF459" s="11">
        <v>52</v>
      </c>
      <c r="AH459" s="4">
        <v>34</v>
      </c>
    </row>
    <row r="460" spans="1:36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3">
        <v>0.21041666666666667</v>
      </c>
      <c r="K460" s="11"/>
      <c r="L460" s="14"/>
      <c r="M460" s="11" t="s">
        <v>74</v>
      </c>
      <c r="N460" s="11"/>
      <c r="O460" s="11" t="s">
        <v>74</v>
      </c>
      <c r="P460" s="11"/>
      <c r="Q460" s="11" t="s">
        <v>107</v>
      </c>
      <c r="R460" s="11"/>
      <c r="S460" s="11" t="s">
        <v>108</v>
      </c>
      <c r="T460" s="11"/>
      <c r="U460" s="11" t="s">
        <v>108</v>
      </c>
      <c r="V460" s="11"/>
      <c r="W460" s="11" t="s">
        <v>174</v>
      </c>
      <c r="X460" s="11" t="s">
        <v>74</v>
      </c>
      <c r="Y460" s="11"/>
      <c r="Z460" s="11" t="s">
        <v>74</v>
      </c>
      <c r="AA460" s="11"/>
      <c r="AB460" s="11" t="s">
        <v>107</v>
      </c>
      <c r="AC460" s="11"/>
      <c r="AD460" s="11" t="s">
        <v>108</v>
      </c>
      <c r="AE460" s="11"/>
      <c r="AF460" s="11" t="s">
        <v>108</v>
      </c>
      <c r="AG460" s="11"/>
      <c r="AH460" s="11" t="s">
        <v>174</v>
      </c>
    </row>
    <row r="461" spans="1:36" x14ac:dyDescent="0.25">
      <c r="A461" s="11">
        <v>186</v>
      </c>
      <c r="B461" s="11"/>
      <c r="C461" s="11"/>
      <c r="D461" s="11"/>
      <c r="E461" s="11"/>
      <c r="F461" s="11"/>
      <c r="G461" s="11"/>
      <c r="H461" s="11">
        <v>2</v>
      </c>
      <c r="I461" s="11"/>
      <c r="J461" s="13">
        <v>0.65555555555555556</v>
      </c>
      <c r="K461" s="11" t="s">
        <v>182</v>
      </c>
      <c r="L461" s="14" t="s">
        <v>355</v>
      </c>
      <c r="M461" s="11">
        <v>19</v>
      </c>
      <c r="N461" s="11"/>
      <c r="O461" s="11">
        <v>18</v>
      </c>
      <c r="P461" s="11"/>
      <c r="Q461" s="11">
        <v>56</v>
      </c>
      <c r="R461" s="11"/>
      <c r="S461" s="11">
        <v>7</v>
      </c>
      <c r="T461" s="11"/>
      <c r="U461" s="11">
        <v>25</v>
      </c>
      <c r="V461" s="11"/>
      <c r="W461" s="11">
        <v>35</v>
      </c>
      <c r="X461" s="11">
        <v>14</v>
      </c>
      <c r="Y461" s="11"/>
      <c r="Z461" s="11">
        <v>15</v>
      </c>
      <c r="AA461" s="11"/>
      <c r="AB461" s="11">
        <v>40</v>
      </c>
      <c r="AC461" s="11"/>
      <c r="AD461" s="11">
        <v>25</v>
      </c>
      <c r="AE461" s="11"/>
      <c r="AF461" s="11">
        <v>65</v>
      </c>
      <c r="AG461" s="11"/>
      <c r="AH461" s="11">
        <v>34</v>
      </c>
    </row>
    <row r="462" spans="1:36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3">
        <v>0.17777777777777778</v>
      </c>
      <c r="K462" s="11"/>
      <c r="L462" s="14"/>
      <c r="M462" s="11" t="s">
        <v>74</v>
      </c>
      <c r="N462" s="11"/>
      <c r="O462" s="11" t="s">
        <v>107</v>
      </c>
      <c r="P462" s="11"/>
      <c r="Q462" s="11" t="s">
        <v>107</v>
      </c>
      <c r="R462" s="11"/>
      <c r="S462" s="11" t="s">
        <v>108</v>
      </c>
      <c r="T462" s="11"/>
      <c r="U462" s="11" t="s">
        <v>108</v>
      </c>
      <c r="V462" s="11"/>
      <c r="W462" s="11" t="s">
        <v>174</v>
      </c>
      <c r="X462" s="11" t="s">
        <v>74</v>
      </c>
      <c r="Y462" s="11"/>
      <c r="Z462" s="11" t="s">
        <v>74</v>
      </c>
      <c r="AA462" s="11"/>
      <c r="AB462" s="11" t="s">
        <v>107</v>
      </c>
      <c r="AC462" s="11"/>
      <c r="AD462" s="11" t="s">
        <v>108</v>
      </c>
      <c r="AE462" s="11"/>
      <c r="AF462" s="11" t="s">
        <v>108</v>
      </c>
      <c r="AG462" s="11"/>
      <c r="AH462" s="11" t="s">
        <v>174</v>
      </c>
    </row>
    <row r="463" spans="1:36" x14ac:dyDescent="0.25">
      <c r="A463" s="11">
        <v>187</v>
      </c>
      <c r="B463" s="11"/>
      <c r="C463" s="11"/>
      <c r="D463" s="11"/>
      <c r="E463" s="11"/>
      <c r="F463" s="11"/>
      <c r="G463" s="11"/>
      <c r="H463" s="11">
        <v>2</v>
      </c>
      <c r="I463" s="11" t="s">
        <v>175</v>
      </c>
      <c r="J463" s="13">
        <v>0.65555555555555556</v>
      </c>
      <c r="K463" s="11" t="s">
        <v>176</v>
      </c>
      <c r="L463" s="14" t="s">
        <v>356</v>
      </c>
      <c r="M463" s="11">
        <v>19</v>
      </c>
      <c r="N463" s="11"/>
      <c r="O463" s="11">
        <v>63</v>
      </c>
      <c r="P463" s="11"/>
      <c r="Q463" s="11">
        <v>9</v>
      </c>
      <c r="R463" s="11"/>
      <c r="S463" s="11">
        <v>59</v>
      </c>
      <c r="T463" s="11"/>
      <c r="U463" s="11">
        <v>76</v>
      </c>
      <c r="V463" s="11"/>
      <c r="W463" s="11">
        <v>35</v>
      </c>
      <c r="X463" s="11">
        <v>15</v>
      </c>
      <c r="Y463" s="11"/>
      <c r="Z463" s="11">
        <v>21</v>
      </c>
      <c r="AA463" s="11"/>
      <c r="AB463" s="11">
        <v>40</v>
      </c>
      <c r="AC463" s="11"/>
      <c r="AD463" s="11">
        <v>25</v>
      </c>
      <c r="AE463" s="11"/>
      <c r="AF463" s="11">
        <v>65</v>
      </c>
      <c r="AG463" s="11"/>
      <c r="AH463" s="11">
        <v>34</v>
      </c>
    </row>
    <row r="464" spans="1:36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3">
        <v>0.17777777777777778</v>
      </c>
      <c r="K464" s="11"/>
      <c r="L464" s="14"/>
      <c r="M464" s="11" t="s">
        <v>74</v>
      </c>
      <c r="N464" s="11"/>
      <c r="O464" s="11" t="s">
        <v>74</v>
      </c>
      <c r="P464" s="11"/>
      <c r="Q464" s="11" t="s">
        <v>107</v>
      </c>
      <c r="R464" s="11"/>
      <c r="S464" s="11" t="s">
        <v>108</v>
      </c>
      <c r="T464" s="11"/>
      <c r="U464" s="11" t="s">
        <v>108</v>
      </c>
      <c r="V464" s="11"/>
      <c r="W464" s="11" t="s">
        <v>174</v>
      </c>
      <c r="X464" s="11" t="s">
        <v>74</v>
      </c>
      <c r="Y464" s="11"/>
      <c r="Z464" s="11" t="s">
        <v>74</v>
      </c>
      <c r="AA464" s="11"/>
      <c r="AB464" s="11" t="s">
        <v>107</v>
      </c>
      <c r="AC464" s="11"/>
      <c r="AD464" s="11" t="s">
        <v>108</v>
      </c>
      <c r="AE464" s="11"/>
      <c r="AF464" s="11" t="s">
        <v>108</v>
      </c>
      <c r="AG464" s="11"/>
      <c r="AH464" s="11" t="s">
        <v>174</v>
      </c>
    </row>
    <row r="465" spans="1:34" x14ac:dyDescent="0.25">
      <c r="A465" s="11">
        <v>188</v>
      </c>
      <c r="B465" s="11"/>
      <c r="C465" s="11"/>
      <c r="D465" s="11"/>
      <c r="E465" s="11"/>
      <c r="F465" s="11"/>
      <c r="G465" s="11"/>
      <c r="H465" s="11">
        <v>2</v>
      </c>
      <c r="I465" s="11" t="s">
        <v>175</v>
      </c>
      <c r="J465" s="13">
        <v>0.66041666666666665</v>
      </c>
      <c r="K465" s="11" t="s">
        <v>178</v>
      </c>
      <c r="L465" s="14" t="s">
        <v>357</v>
      </c>
      <c r="M465" s="11">
        <v>19</v>
      </c>
      <c r="N465" s="11"/>
      <c r="O465" s="11">
        <v>63</v>
      </c>
      <c r="P465" s="11"/>
      <c r="Q465" s="11">
        <v>9</v>
      </c>
      <c r="R465" s="11"/>
      <c r="S465" s="11">
        <v>59</v>
      </c>
      <c r="T465" s="11"/>
      <c r="U465" s="11">
        <v>76</v>
      </c>
      <c r="V465" s="11"/>
      <c r="W465" s="11">
        <v>35</v>
      </c>
      <c r="X465" s="11">
        <v>15</v>
      </c>
      <c r="Y465" s="11"/>
      <c r="Z465" s="11">
        <v>21</v>
      </c>
      <c r="AA465" s="11"/>
      <c r="AB465" s="11">
        <v>40</v>
      </c>
      <c r="AC465" s="11"/>
      <c r="AD465" s="11">
        <v>25</v>
      </c>
      <c r="AE465" s="11"/>
      <c r="AF465" s="11">
        <v>65</v>
      </c>
      <c r="AG465" s="11"/>
      <c r="AH465" s="11">
        <v>34</v>
      </c>
    </row>
    <row r="466" spans="1:34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3">
        <v>0.17291666666666669</v>
      </c>
      <c r="K466" s="11"/>
      <c r="L466" s="14"/>
      <c r="M466" s="11" t="s">
        <v>74</v>
      </c>
      <c r="N466" s="11"/>
      <c r="O466" s="11" t="s">
        <v>74</v>
      </c>
      <c r="P466" s="11"/>
      <c r="Q466" s="11" t="s">
        <v>107</v>
      </c>
      <c r="R466" s="11"/>
      <c r="S466" s="11" t="s">
        <v>108</v>
      </c>
      <c r="T466" s="11"/>
      <c r="U466" s="11" t="s">
        <v>108</v>
      </c>
      <c r="V466" s="11"/>
      <c r="W466" s="11" t="s">
        <v>174</v>
      </c>
      <c r="X466" s="11" t="s">
        <v>74</v>
      </c>
      <c r="Y466" s="11"/>
      <c r="Z466" s="11" t="s">
        <v>74</v>
      </c>
      <c r="AA466" s="11"/>
      <c r="AB466" s="11" t="s">
        <v>107</v>
      </c>
      <c r="AC466" s="11"/>
      <c r="AD466" s="11" t="s">
        <v>108</v>
      </c>
      <c r="AE466" s="11"/>
      <c r="AF466" s="11" t="s">
        <v>108</v>
      </c>
      <c r="AG466" s="11"/>
      <c r="AH466" s="11" t="s">
        <v>174</v>
      </c>
    </row>
    <row r="467" spans="1:34" x14ac:dyDescent="0.25">
      <c r="A467" s="11">
        <v>189</v>
      </c>
      <c r="B467" s="11"/>
      <c r="C467" s="11"/>
      <c r="D467" s="11"/>
      <c r="E467" s="11"/>
      <c r="F467" s="11"/>
      <c r="G467" s="11"/>
      <c r="H467" s="11">
        <v>2</v>
      </c>
      <c r="I467" s="11" t="s">
        <v>175</v>
      </c>
      <c r="J467" s="13">
        <v>0.67361111111111116</v>
      </c>
      <c r="K467" s="11" t="s">
        <v>226</v>
      </c>
      <c r="L467" s="14" t="s">
        <v>358</v>
      </c>
      <c r="M467" s="11">
        <v>19</v>
      </c>
      <c r="N467" s="11"/>
      <c r="O467" s="11">
        <v>33</v>
      </c>
      <c r="P467" s="11"/>
      <c r="Q467" s="11">
        <v>63</v>
      </c>
      <c r="R467" s="11"/>
      <c r="S467" s="11">
        <v>59</v>
      </c>
      <c r="T467" s="11"/>
      <c r="U467" s="11">
        <v>76</v>
      </c>
      <c r="V467" s="11"/>
      <c r="W467" s="11">
        <v>35</v>
      </c>
      <c r="X467" s="11">
        <v>15</v>
      </c>
      <c r="Y467" s="11"/>
      <c r="Z467" s="11">
        <v>21</v>
      </c>
      <c r="AA467" s="11"/>
      <c r="AB467" s="11">
        <v>71</v>
      </c>
      <c r="AC467" s="11"/>
      <c r="AD467" s="11">
        <v>40</v>
      </c>
      <c r="AE467" s="11"/>
      <c r="AF467" s="11">
        <v>25</v>
      </c>
      <c r="AG467" s="11"/>
      <c r="AH467" s="11">
        <v>65</v>
      </c>
    </row>
    <row r="468" spans="1:34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3">
        <v>0.15972222222222224</v>
      </c>
      <c r="K468" s="11"/>
      <c r="L468" s="14"/>
      <c r="M468" s="11" t="s">
        <v>74</v>
      </c>
      <c r="N468" s="11"/>
      <c r="O468" s="11" t="s">
        <v>74</v>
      </c>
      <c r="P468" s="11"/>
      <c r="Q468" s="11" t="s">
        <v>74</v>
      </c>
      <c r="R468" s="11"/>
      <c r="S468" s="11" t="s">
        <v>108</v>
      </c>
      <c r="T468" s="11"/>
      <c r="U468" s="11" t="s">
        <v>108</v>
      </c>
      <c r="V468" s="11"/>
      <c r="W468" s="11" t="s">
        <v>174</v>
      </c>
      <c r="X468" s="11" t="s">
        <v>74</v>
      </c>
      <c r="Y468" s="11"/>
      <c r="Z468" s="11" t="s">
        <v>74</v>
      </c>
      <c r="AA468" s="11"/>
      <c r="AB468" s="11" t="s">
        <v>74</v>
      </c>
      <c r="AC468" s="11"/>
      <c r="AD468" s="11" t="s">
        <v>107</v>
      </c>
      <c r="AE468" s="11"/>
      <c r="AF468" s="11" t="s">
        <v>108</v>
      </c>
      <c r="AG468" s="11"/>
      <c r="AH468" s="11" t="s">
        <v>108</v>
      </c>
    </row>
    <row r="469" spans="1:34" x14ac:dyDescent="0.25">
      <c r="A469" s="11">
        <v>190</v>
      </c>
      <c r="B469" s="11"/>
      <c r="C469" s="11"/>
      <c r="D469" s="11"/>
      <c r="E469" s="11"/>
      <c r="F469" s="11"/>
      <c r="G469" s="11"/>
      <c r="H469" s="11">
        <v>2</v>
      </c>
      <c r="I469" s="11" t="s">
        <v>230</v>
      </c>
      <c r="J469" s="13">
        <v>0.67361111111111116</v>
      </c>
      <c r="K469" s="11" t="s">
        <v>176</v>
      </c>
      <c r="L469" s="14" t="s">
        <v>359</v>
      </c>
      <c r="M469" s="11">
        <v>10</v>
      </c>
      <c r="N469" s="11"/>
      <c r="O469" s="11">
        <v>12</v>
      </c>
      <c r="P469" s="11"/>
      <c r="Q469" s="11">
        <v>4</v>
      </c>
      <c r="R469" s="11"/>
      <c r="S469" s="11">
        <v>14</v>
      </c>
      <c r="T469" s="11"/>
      <c r="U469" s="11">
        <v>35</v>
      </c>
      <c r="V469" s="11"/>
      <c r="W469" s="11"/>
      <c r="X469" s="11">
        <v>21</v>
      </c>
      <c r="Y469" s="11"/>
      <c r="Z469" s="11">
        <v>51</v>
      </c>
      <c r="AA469" s="11"/>
      <c r="AB469" s="11">
        <v>40</v>
      </c>
      <c r="AC469" s="11"/>
      <c r="AD469" s="11">
        <v>62</v>
      </c>
      <c r="AE469" s="11"/>
      <c r="AF469" s="11">
        <v>25</v>
      </c>
      <c r="AG469" s="11"/>
      <c r="AH469" s="11">
        <v>34</v>
      </c>
    </row>
    <row r="470" spans="1:34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3">
        <v>0.15972222222222224</v>
      </c>
      <c r="K470" s="11"/>
      <c r="L470" s="14"/>
      <c r="M470" s="11" t="s">
        <v>74</v>
      </c>
      <c r="N470" s="11"/>
      <c r="O470" s="11" t="s">
        <v>74</v>
      </c>
      <c r="P470" s="11"/>
      <c r="Q470" s="11" t="s">
        <v>108</v>
      </c>
      <c r="R470" s="11"/>
      <c r="S470" s="11" t="s">
        <v>108</v>
      </c>
      <c r="T470" s="11"/>
      <c r="U470" s="11" t="s">
        <v>174</v>
      </c>
      <c r="V470" s="11"/>
      <c r="W470" s="11"/>
      <c r="X470" s="11" t="s">
        <v>74</v>
      </c>
      <c r="Y470" s="11"/>
      <c r="Z470" s="11" t="s">
        <v>74</v>
      </c>
      <c r="AA470" s="11"/>
      <c r="AB470" s="11" t="s">
        <v>107</v>
      </c>
      <c r="AC470" s="11"/>
      <c r="AD470" s="11" t="s">
        <v>107</v>
      </c>
      <c r="AE470" s="11"/>
      <c r="AF470" s="11" t="s">
        <v>108</v>
      </c>
      <c r="AG470" s="11"/>
      <c r="AH470" s="11" t="s">
        <v>174</v>
      </c>
    </row>
    <row r="471" spans="1:34" x14ac:dyDescent="0.25">
      <c r="A471" s="11">
        <v>191</v>
      </c>
      <c r="B471" s="11"/>
      <c r="C471" s="11"/>
      <c r="D471" s="11"/>
      <c r="E471" s="11"/>
      <c r="F471" s="11"/>
      <c r="G471" s="11"/>
      <c r="H471" s="11">
        <v>2</v>
      </c>
      <c r="I471" s="11" t="s">
        <v>228</v>
      </c>
      <c r="J471" s="13">
        <v>0.70138888888888884</v>
      </c>
      <c r="K471" s="11" t="s">
        <v>180</v>
      </c>
      <c r="L471" s="14" t="s">
        <v>360</v>
      </c>
      <c r="M471" s="11">
        <v>12</v>
      </c>
      <c r="N471" s="11"/>
      <c r="O471" s="11">
        <v>19</v>
      </c>
      <c r="P471" s="11"/>
      <c r="Q471" s="11">
        <v>4</v>
      </c>
      <c r="R471" s="11"/>
      <c r="S471" s="11">
        <v>14</v>
      </c>
      <c r="T471" s="11"/>
      <c r="U471" s="11">
        <v>35</v>
      </c>
      <c r="V471" s="11"/>
      <c r="W471" s="11"/>
      <c r="X471" s="11">
        <v>21</v>
      </c>
      <c r="Y471" s="11"/>
      <c r="Z471" s="11">
        <v>51</v>
      </c>
      <c r="AA471" s="11"/>
      <c r="AB471" s="11">
        <v>40</v>
      </c>
      <c r="AC471" s="11"/>
      <c r="AD471" s="11">
        <v>62</v>
      </c>
      <c r="AE471" s="11"/>
      <c r="AF471" s="11">
        <v>25</v>
      </c>
      <c r="AG471" s="11"/>
      <c r="AH471" s="11">
        <v>34</v>
      </c>
    </row>
    <row r="472" spans="1:34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3">
        <v>0.13194444444444445</v>
      </c>
      <c r="K472" s="11"/>
      <c r="L472" s="14"/>
      <c r="M472" s="11" t="s">
        <v>74</v>
      </c>
      <c r="N472" s="11"/>
      <c r="O472" s="11" t="s">
        <v>74</v>
      </c>
      <c r="P472" s="11"/>
      <c r="Q472" s="11" t="s">
        <v>108</v>
      </c>
      <c r="R472" s="11"/>
      <c r="S472" s="11" t="s">
        <v>108</v>
      </c>
      <c r="T472" s="11"/>
      <c r="U472" s="11" t="s">
        <v>174</v>
      </c>
      <c r="V472" s="11"/>
      <c r="W472" s="11"/>
      <c r="X472" s="11" t="s">
        <v>74</v>
      </c>
      <c r="Y472" s="11"/>
      <c r="Z472" s="11" t="s">
        <v>74</v>
      </c>
      <c r="AA472" s="11"/>
      <c r="AB472" s="11" t="s">
        <v>107</v>
      </c>
      <c r="AC472" s="11"/>
      <c r="AD472" s="11" t="s">
        <v>107</v>
      </c>
      <c r="AE472" s="11"/>
      <c r="AF472" s="11" t="s">
        <v>108</v>
      </c>
      <c r="AG472" s="11"/>
      <c r="AH472" s="11" t="s">
        <v>174</v>
      </c>
    </row>
    <row r="473" spans="1:34" x14ac:dyDescent="0.25">
      <c r="A473" s="11">
        <v>192</v>
      </c>
      <c r="B473" s="11"/>
      <c r="C473" s="11"/>
      <c r="D473" s="11"/>
      <c r="E473" s="11"/>
      <c r="F473" s="11"/>
      <c r="G473" s="11"/>
      <c r="H473" s="11">
        <v>2</v>
      </c>
      <c r="I473" s="11"/>
      <c r="J473" s="13">
        <v>0.70138888888888884</v>
      </c>
      <c r="K473" s="11" t="s">
        <v>182</v>
      </c>
      <c r="L473" s="14" t="s">
        <v>183</v>
      </c>
      <c r="M473" s="11">
        <v>12</v>
      </c>
      <c r="N473" s="11"/>
      <c r="O473" s="11">
        <v>19</v>
      </c>
      <c r="P473" s="11"/>
      <c r="Q473" s="11">
        <v>4</v>
      </c>
      <c r="R473" s="11"/>
      <c r="S473" s="11">
        <v>14</v>
      </c>
      <c r="T473" s="11"/>
      <c r="U473" s="11">
        <v>35</v>
      </c>
      <c r="V473" s="11"/>
      <c r="W473" s="11"/>
      <c r="X473" s="11">
        <v>21</v>
      </c>
      <c r="Y473" s="11"/>
      <c r="Z473" s="11">
        <v>51</v>
      </c>
      <c r="AA473" s="11"/>
      <c r="AB473" s="11">
        <v>40</v>
      </c>
      <c r="AC473" s="11"/>
      <c r="AD473" s="11">
        <v>62</v>
      </c>
      <c r="AE473" s="11"/>
      <c r="AF473" s="11">
        <v>25</v>
      </c>
      <c r="AG473" s="11"/>
      <c r="AH473" s="11">
        <v>34</v>
      </c>
    </row>
    <row r="474" spans="1:34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3">
        <v>0.13194444444444445</v>
      </c>
      <c r="K474" s="11"/>
      <c r="L474" s="14"/>
      <c r="M474" s="11" t="s">
        <v>74</v>
      </c>
      <c r="N474" s="11"/>
      <c r="O474" s="11" t="s">
        <v>74</v>
      </c>
      <c r="P474" s="11"/>
      <c r="Q474" s="11" t="s">
        <v>108</v>
      </c>
      <c r="R474" s="11"/>
      <c r="S474" s="11" t="s">
        <v>108</v>
      </c>
      <c r="T474" s="11"/>
      <c r="U474" s="11" t="s">
        <v>174</v>
      </c>
      <c r="V474" s="11"/>
      <c r="W474" s="11"/>
      <c r="X474" s="11" t="s">
        <v>74</v>
      </c>
      <c r="Y474" s="11"/>
      <c r="Z474" s="11" t="s">
        <v>74</v>
      </c>
      <c r="AA474" s="11"/>
      <c r="AB474" s="11" t="s">
        <v>107</v>
      </c>
      <c r="AC474" s="11"/>
      <c r="AD474" s="11" t="s">
        <v>107</v>
      </c>
      <c r="AE474" s="11"/>
      <c r="AF474" s="11" t="s">
        <v>108</v>
      </c>
      <c r="AG474" s="11"/>
      <c r="AH474" s="11" t="s">
        <v>174</v>
      </c>
    </row>
    <row r="475" spans="1:34" x14ac:dyDescent="0.25">
      <c r="A475" s="11">
        <v>193</v>
      </c>
      <c r="B475" s="11"/>
      <c r="C475" s="11"/>
      <c r="D475" s="11"/>
      <c r="E475" s="11"/>
      <c r="F475" s="11"/>
      <c r="G475" s="11"/>
      <c r="H475" s="11">
        <v>2</v>
      </c>
      <c r="I475" s="11" t="s">
        <v>228</v>
      </c>
      <c r="J475" s="13">
        <v>0.70138888888888884</v>
      </c>
      <c r="K475" s="11" t="s">
        <v>176</v>
      </c>
      <c r="L475" s="14" t="s">
        <v>361</v>
      </c>
      <c r="M475" s="11">
        <v>19</v>
      </c>
      <c r="N475" s="11"/>
      <c r="O475" s="11">
        <v>18</v>
      </c>
      <c r="P475" s="11"/>
      <c r="Q475" s="11">
        <v>59</v>
      </c>
      <c r="R475" s="11"/>
      <c r="S475" s="11">
        <v>76</v>
      </c>
      <c r="T475" s="11"/>
      <c r="U475" s="11">
        <v>35</v>
      </c>
      <c r="V475" s="11"/>
      <c r="W475" s="11"/>
      <c r="X475" s="11">
        <v>14</v>
      </c>
      <c r="Y475" s="11"/>
      <c r="Z475" s="11">
        <v>15</v>
      </c>
      <c r="AA475" s="11"/>
      <c r="AB475" s="11">
        <v>71</v>
      </c>
      <c r="AC475" s="11"/>
      <c r="AD475" s="11">
        <v>8</v>
      </c>
      <c r="AE475" s="11"/>
      <c r="AF475" s="11">
        <v>48</v>
      </c>
      <c r="AG475" s="11"/>
      <c r="AH475" s="11">
        <v>34</v>
      </c>
    </row>
    <row r="476" spans="1:34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3">
        <v>0.13194444444444445</v>
      </c>
      <c r="K476" s="11"/>
      <c r="L476" s="14"/>
      <c r="M476" s="11" t="s">
        <v>74</v>
      </c>
      <c r="N476" s="11"/>
      <c r="O476" s="11" t="s">
        <v>107</v>
      </c>
      <c r="P476" s="11"/>
      <c r="Q476" s="11" t="s">
        <v>108</v>
      </c>
      <c r="R476" s="11"/>
      <c r="S476" s="11" t="s">
        <v>108</v>
      </c>
      <c r="T476" s="11"/>
      <c r="U476" s="11" t="s">
        <v>174</v>
      </c>
      <c r="X476" s="11" t="s">
        <v>74</v>
      </c>
      <c r="Y476" s="11"/>
      <c r="Z476" s="11" t="s">
        <v>74</v>
      </c>
      <c r="AA476" s="11"/>
      <c r="AB476" s="11" t="s">
        <v>74</v>
      </c>
      <c r="AC476" s="11"/>
      <c r="AD476" s="11" t="s">
        <v>107</v>
      </c>
      <c r="AE476" s="11"/>
      <c r="AF476" s="11" t="s">
        <v>108</v>
      </c>
      <c r="AG476" s="11"/>
      <c r="AH476" s="11" t="s">
        <v>174</v>
      </c>
    </row>
    <row r="477" spans="1:34" x14ac:dyDescent="0.25">
      <c r="A477" s="11">
        <v>194</v>
      </c>
      <c r="B477" s="11"/>
      <c r="C477" s="11"/>
      <c r="D477" s="11"/>
      <c r="E477" s="11"/>
      <c r="F477" s="11"/>
      <c r="G477" s="11"/>
      <c r="H477" s="11">
        <v>2</v>
      </c>
      <c r="I477" s="11" t="s">
        <v>230</v>
      </c>
      <c r="J477" s="13">
        <v>0.71875</v>
      </c>
      <c r="K477" s="11" t="s">
        <v>231</v>
      </c>
      <c r="L477" s="14" t="s">
        <v>362</v>
      </c>
      <c r="M477" s="11">
        <v>19</v>
      </c>
      <c r="N477" s="11"/>
      <c r="O477" s="11">
        <v>18</v>
      </c>
      <c r="P477" s="11"/>
      <c r="Q477" s="11">
        <v>59</v>
      </c>
      <c r="R477" s="11"/>
      <c r="S477" s="11">
        <v>76</v>
      </c>
      <c r="T477" s="11"/>
      <c r="U477" s="11">
        <v>35</v>
      </c>
      <c r="X477" s="11">
        <v>14</v>
      </c>
      <c r="Y477" s="11"/>
      <c r="Z477" s="11">
        <v>15</v>
      </c>
      <c r="AA477" s="11"/>
      <c r="AB477" s="11">
        <v>71</v>
      </c>
      <c r="AC477" s="11"/>
      <c r="AD477" s="11">
        <v>8</v>
      </c>
      <c r="AE477" s="11"/>
      <c r="AF477" s="11">
        <v>48</v>
      </c>
      <c r="AG477" s="11"/>
      <c r="AH477" s="11">
        <v>34</v>
      </c>
    </row>
    <row r="478" spans="1:34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3">
        <v>0.11458333333333333</v>
      </c>
      <c r="K478" s="11"/>
      <c r="L478" s="14"/>
      <c r="M478" s="11" t="s">
        <v>74</v>
      </c>
      <c r="N478" s="11"/>
      <c r="O478" s="11" t="s">
        <v>107</v>
      </c>
      <c r="P478" s="11"/>
      <c r="Q478" s="11" t="s">
        <v>108</v>
      </c>
      <c r="R478" s="11"/>
      <c r="S478" s="11" t="s">
        <v>108</v>
      </c>
      <c r="T478" s="11"/>
      <c r="U478" s="11" t="s">
        <v>174</v>
      </c>
      <c r="X478" s="11" t="s">
        <v>74</v>
      </c>
      <c r="Y478" s="11"/>
      <c r="Z478" s="11" t="s">
        <v>74</v>
      </c>
      <c r="AA478" s="11"/>
      <c r="AB478" s="11" t="s">
        <v>74</v>
      </c>
      <c r="AC478" s="11"/>
      <c r="AD478" s="11" t="s">
        <v>107</v>
      </c>
      <c r="AE478" s="11"/>
      <c r="AF478" s="11" t="s">
        <v>108</v>
      </c>
      <c r="AH478" s="4" t="s">
        <v>174</v>
      </c>
    </row>
    <row r="479" spans="1:34" x14ac:dyDescent="0.25">
      <c r="A479" s="11">
        <v>195</v>
      </c>
      <c r="B479" s="11"/>
      <c r="C479" s="11"/>
      <c r="D479" s="11"/>
      <c r="E479" s="11"/>
      <c r="F479" s="11"/>
      <c r="G479" s="11"/>
      <c r="H479" s="11">
        <v>2</v>
      </c>
      <c r="I479" s="11" t="s">
        <v>230</v>
      </c>
      <c r="J479" s="13">
        <v>0.72986111111111107</v>
      </c>
      <c r="K479" s="11" t="s">
        <v>212</v>
      </c>
      <c r="L479" s="14" t="s">
        <v>363</v>
      </c>
      <c r="M479" s="11">
        <v>19</v>
      </c>
      <c r="N479" s="11"/>
      <c r="O479" s="11">
        <v>18</v>
      </c>
      <c r="P479" s="11"/>
      <c r="Q479" s="11">
        <v>59</v>
      </c>
      <c r="R479" s="11"/>
      <c r="S479" s="11">
        <v>76</v>
      </c>
      <c r="T479" s="11"/>
      <c r="U479" s="11">
        <v>35</v>
      </c>
      <c r="X479" s="11">
        <v>14</v>
      </c>
      <c r="Y479" s="11"/>
      <c r="Z479" s="11">
        <v>15</v>
      </c>
      <c r="AA479" s="11"/>
      <c r="AB479" s="11">
        <v>71</v>
      </c>
      <c r="AC479" s="11"/>
      <c r="AD479" s="11">
        <v>8</v>
      </c>
      <c r="AE479" s="11"/>
      <c r="AF479" s="11">
        <v>48</v>
      </c>
      <c r="AH479" s="4">
        <v>34</v>
      </c>
    </row>
    <row r="480" spans="1:34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3">
        <v>0.10347222222222223</v>
      </c>
      <c r="K480" s="11"/>
      <c r="L480" s="14"/>
      <c r="M480" s="11" t="s">
        <v>74</v>
      </c>
      <c r="N480" s="11"/>
      <c r="O480" s="11" t="s">
        <v>107</v>
      </c>
      <c r="P480" s="11"/>
      <c r="Q480" s="11" t="s">
        <v>108</v>
      </c>
      <c r="R480" s="11"/>
      <c r="S480" s="11" t="s">
        <v>108</v>
      </c>
      <c r="T480" s="11"/>
      <c r="U480" s="11" t="s">
        <v>174</v>
      </c>
      <c r="V480" s="11"/>
      <c r="W480" s="11"/>
      <c r="X480" s="11" t="s">
        <v>74</v>
      </c>
      <c r="Y480" s="11"/>
      <c r="Z480" s="11" t="s">
        <v>74</v>
      </c>
      <c r="AA480" s="11"/>
      <c r="AB480" s="11" t="s">
        <v>74</v>
      </c>
      <c r="AC480" s="11"/>
      <c r="AD480" s="11" t="s">
        <v>107</v>
      </c>
      <c r="AE480" s="11"/>
      <c r="AF480" s="11" t="s">
        <v>108</v>
      </c>
      <c r="AH480" s="4" t="s">
        <v>174</v>
      </c>
    </row>
    <row r="481" spans="1:36" x14ac:dyDescent="0.25">
      <c r="A481" s="11">
        <v>196</v>
      </c>
      <c r="B481" s="11"/>
      <c r="C481" s="11"/>
      <c r="D481" s="11"/>
      <c r="E481" s="11"/>
      <c r="F481" s="11"/>
      <c r="G481" s="11"/>
      <c r="H481" s="11">
        <v>2</v>
      </c>
      <c r="I481" s="11" t="s">
        <v>228</v>
      </c>
      <c r="J481" s="13">
        <v>0.74236111111111114</v>
      </c>
      <c r="K481" s="11" t="s">
        <v>180</v>
      </c>
      <c r="L481" s="14" t="s">
        <v>364</v>
      </c>
      <c r="M481" s="11">
        <v>16</v>
      </c>
      <c r="N481" s="11"/>
      <c r="O481" s="11">
        <v>56</v>
      </c>
      <c r="P481" s="11"/>
      <c r="Q481" s="11">
        <v>4</v>
      </c>
      <c r="R481" s="11"/>
      <c r="S481" s="11">
        <v>14</v>
      </c>
      <c r="T481" s="11"/>
      <c r="U481" s="11">
        <v>35</v>
      </c>
      <c r="V481" s="11"/>
      <c r="W481" s="11"/>
      <c r="X481" s="11">
        <v>14</v>
      </c>
      <c r="Y481" s="11"/>
      <c r="Z481" s="11">
        <v>71</v>
      </c>
      <c r="AA481" s="11"/>
      <c r="AB481" s="11">
        <v>8</v>
      </c>
      <c r="AC481" s="11"/>
      <c r="AD481" s="11">
        <v>25</v>
      </c>
      <c r="AE481" s="11"/>
      <c r="AF481" s="11">
        <v>65</v>
      </c>
      <c r="AH481" s="4">
        <v>34</v>
      </c>
    </row>
    <row r="482" spans="1:36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3">
        <v>9.0972222222222218E-2</v>
      </c>
      <c r="K482" s="11"/>
      <c r="L482" s="14"/>
      <c r="M482" s="11" t="s">
        <v>74</v>
      </c>
      <c r="N482" s="11"/>
      <c r="O482" s="11" t="s">
        <v>107</v>
      </c>
      <c r="P482" s="11"/>
      <c r="Q482" s="11" t="s">
        <v>108</v>
      </c>
      <c r="R482" s="11"/>
      <c r="S482" s="11" t="s">
        <v>108</v>
      </c>
      <c r="T482" s="11"/>
      <c r="U482" s="11" t="s">
        <v>174</v>
      </c>
      <c r="V482" s="11"/>
      <c r="W482" s="11"/>
      <c r="X482" s="11" t="s">
        <v>74</v>
      </c>
      <c r="Y482" s="11"/>
      <c r="Z482" s="11" t="s">
        <v>74</v>
      </c>
      <c r="AA482" s="11"/>
      <c r="AB482" s="11" t="s">
        <v>107</v>
      </c>
      <c r="AC482" s="11"/>
      <c r="AD482" s="11" t="s">
        <v>108</v>
      </c>
      <c r="AF482" s="4" t="s">
        <v>108</v>
      </c>
      <c r="AH482" s="4" t="s">
        <v>174</v>
      </c>
    </row>
    <row r="483" spans="1:36" x14ac:dyDescent="0.25">
      <c r="A483" s="11">
        <v>197</v>
      </c>
      <c r="B483" s="11"/>
      <c r="C483" s="11"/>
      <c r="D483" s="11"/>
      <c r="E483" s="11"/>
      <c r="F483" s="11"/>
      <c r="G483" s="11"/>
      <c r="H483" s="11">
        <v>2</v>
      </c>
      <c r="I483" s="11"/>
      <c r="J483" s="13">
        <v>0.74236111111111114</v>
      </c>
      <c r="K483" s="11" t="s">
        <v>182</v>
      </c>
      <c r="L483" s="14" t="s">
        <v>183</v>
      </c>
      <c r="M483" s="11">
        <v>16</v>
      </c>
      <c r="N483" s="11"/>
      <c r="O483" s="11">
        <v>56</v>
      </c>
      <c r="P483" s="11"/>
      <c r="Q483" s="11">
        <v>4</v>
      </c>
      <c r="R483" s="11"/>
      <c r="S483" s="11">
        <v>14</v>
      </c>
      <c r="T483" s="11"/>
      <c r="U483" s="11">
        <v>35</v>
      </c>
      <c r="V483" s="11"/>
      <c r="W483" s="11"/>
      <c r="X483" s="11">
        <v>14</v>
      </c>
      <c r="Y483" s="11"/>
      <c r="Z483" s="11">
        <v>71</v>
      </c>
      <c r="AA483" s="11"/>
      <c r="AB483" s="11">
        <v>8</v>
      </c>
      <c r="AC483" s="11"/>
      <c r="AD483" s="11">
        <v>25</v>
      </c>
      <c r="AF483" s="4">
        <v>65</v>
      </c>
      <c r="AH483" s="4">
        <v>34</v>
      </c>
    </row>
    <row r="484" spans="1:36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3">
        <v>9.0972222222222218E-2</v>
      </c>
      <c r="K484" s="11"/>
      <c r="L484" s="14"/>
      <c r="M484" s="11" t="s">
        <v>74</v>
      </c>
      <c r="N484" s="11"/>
      <c r="O484" s="11" t="s">
        <v>107</v>
      </c>
      <c r="P484" s="11"/>
      <c r="Q484" s="11" t="s">
        <v>108</v>
      </c>
      <c r="R484" s="11"/>
      <c r="S484" s="11" t="s">
        <v>108</v>
      </c>
      <c r="T484" s="11"/>
      <c r="U484" s="11" t="s">
        <v>174</v>
      </c>
      <c r="V484" s="11"/>
      <c r="W484" s="11"/>
      <c r="X484" s="11" t="s">
        <v>74</v>
      </c>
      <c r="Y484" s="11"/>
      <c r="Z484" s="11" t="s">
        <v>74</v>
      </c>
      <c r="AA484" s="11"/>
      <c r="AB484" s="11" t="s">
        <v>107</v>
      </c>
      <c r="AC484" s="11"/>
      <c r="AD484" s="11" t="s">
        <v>108</v>
      </c>
      <c r="AE484" s="11"/>
      <c r="AF484" s="11" t="s">
        <v>108</v>
      </c>
      <c r="AH484" s="4" t="s">
        <v>174</v>
      </c>
    </row>
    <row r="485" spans="1:36" x14ac:dyDescent="0.25">
      <c r="A485" s="11">
        <v>198</v>
      </c>
      <c r="B485" s="11"/>
      <c r="C485" s="11"/>
      <c r="D485" s="11"/>
      <c r="E485" s="11"/>
      <c r="F485" s="11"/>
      <c r="G485" s="11"/>
      <c r="H485" s="11">
        <v>2</v>
      </c>
      <c r="I485" s="11" t="s">
        <v>230</v>
      </c>
      <c r="J485" s="13">
        <v>0.74236111111111114</v>
      </c>
      <c r="K485" s="11" t="s">
        <v>176</v>
      </c>
      <c r="L485" s="14" t="s">
        <v>359</v>
      </c>
      <c r="M485" s="11">
        <v>12</v>
      </c>
      <c r="N485" s="11"/>
      <c r="O485" s="11">
        <v>19</v>
      </c>
      <c r="P485" s="11"/>
      <c r="Q485" s="11">
        <v>4</v>
      </c>
      <c r="R485" s="11"/>
      <c r="S485" s="11">
        <v>14</v>
      </c>
      <c r="T485" s="11"/>
      <c r="U485" s="11">
        <v>35</v>
      </c>
      <c r="V485" s="11"/>
      <c r="W485" s="11"/>
      <c r="X485" s="11">
        <v>51</v>
      </c>
      <c r="Y485" s="11"/>
      <c r="Z485" s="11">
        <v>40</v>
      </c>
      <c r="AA485" s="11"/>
      <c r="AB485" s="11">
        <v>62</v>
      </c>
      <c r="AC485" s="11"/>
      <c r="AD485" s="11">
        <v>25</v>
      </c>
      <c r="AE485" s="11"/>
      <c r="AF485" s="11">
        <v>65</v>
      </c>
      <c r="AH485" s="4">
        <v>34</v>
      </c>
    </row>
    <row r="486" spans="1:36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3">
        <v>9.0972222222222218E-2</v>
      </c>
      <c r="K486" s="11"/>
      <c r="L486" s="14"/>
      <c r="M486" s="11" t="s">
        <v>74</v>
      </c>
      <c r="N486" s="11"/>
      <c r="O486" s="11" t="s">
        <v>74</v>
      </c>
      <c r="P486" s="11"/>
      <c r="Q486" s="11" t="s">
        <v>108</v>
      </c>
      <c r="R486" s="11"/>
      <c r="S486" s="11" t="s">
        <v>108</v>
      </c>
      <c r="T486" s="11"/>
      <c r="U486" s="11" t="s">
        <v>174</v>
      </c>
      <c r="V486" s="11"/>
      <c r="W486" s="11"/>
      <c r="X486" s="11" t="s">
        <v>74</v>
      </c>
      <c r="Y486" s="11"/>
      <c r="Z486" s="11" t="s">
        <v>107</v>
      </c>
      <c r="AA486" s="11"/>
      <c r="AB486" s="11" t="s">
        <v>107</v>
      </c>
      <c r="AC486" s="11"/>
      <c r="AD486" s="11" t="s">
        <v>108</v>
      </c>
      <c r="AE486" s="11"/>
      <c r="AF486" s="11" t="s">
        <v>108</v>
      </c>
      <c r="AH486" s="4" t="s">
        <v>174</v>
      </c>
    </row>
    <row r="487" spans="1:36" x14ac:dyDescent="0.25">
      <c r="A487" s="11">
        <v>199</v>
      </c>
      <c r="B487" s="11"/>
      <c r="C487" s="11"/>
      <c r="D487" s="11"/>
      <c r="E487" s="11"/>
      <c r="F487" s="11"/>
      <c r="G487" s="11"/>
      <c r="H487" s="11">
        <v>2</v>
      </c>
      <c r="I487" s="11"/>
      <c r="J487" s="13">
        <v>0.77361111111111114</v>
      </c>
      <c r="K487" s="11" t="s">
        <v>182</v>
      </c>
      <c r="L487" s="14" t="s">
        <v>365</v>
      </c>
      <c r="M487" s="11">
        <v>63</v>
      </c>
      <c r="N487" s="11"/>
      <c r="O487" s="11">
        <v>9</v>
      </c>
      <c r="P487" s="11"/>
      <c r="Q487" s="11">
        <v>18</v>
      </c>
      <c r="R487" s="11"/>
      <c r="S487" s="11">
        <v>4</v>
      </c>
      <c r="T487" s="11"/>
      <c r="U487" s="11">
        <v>14</v>
      </c>
      <c r="V487" s="11"/>
      <c r="W487" s="11">
        <v>35</v>
      </c>
      <c r="X487" s="11">
        <v>41</v>
      </c>
      <c r="Y487" s="11"/>
      <c r="Z487" s="11">
        <v>40</v>
      </c>
      <c r="AA487" s="11"/>
      <c r="AB487" s="11">
        <v>62</v>
      </c>
      <c r="AC487" s="11"/>
      <c r="AD487" s="11">
        <v>25</v>
      </c>
      <c r="AE487" s="11"/>
      <c r="AF487" s="11">
        <v>65</v>
      </c>
      <c r="AH487" s="4">
        <v>34</v>
      </c>
    </row>
    <row r="488" spans="1:36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3">
        <v>5.9722222222222225E-2</v>
      </c>
      <c r="K488" s="11"/>
      <c r="L488" s="14"/>
      <c r="M488" s="11" t="s">
        <v>74</v>
      </c>
      <c r="N488" s="11"/>
      <c r="O488" s="11" t="s">
        <v>107</v>
      </c>
      <c r="P488" s="11"/>
      <c r="Q488" s="11" t="s">
        <v>107</v>
      </c>
      <c r="R488" s="11"/>
      <c r="S488" s="11" t="s">
        <v>108</v>
      </c>
      <c r="T488" s="11"/>
      <c r="U488" s="11" t="s">
        <v>108</v>
      </c>
      <c r="V488" s="11"/>
      <c r="W488" s="11" t="s">
        <v>174</v>
      </c>
      <c r="X488" s="11" t="s">
        <v>74</v>
      </c>
      <c r="Y488" s="11"/>
      <c r="Z488" s="11" t="s">
        <v>107</v>
      </c>
      <c r="AA488" s="11"/>
      <c r="AB488" s="11" t="s">
        <v>107</v>
      </c>
      <c r="AC488" s="11"/>
      <c r="AD488" s="11" t="s">
        <v>108</v>
      </c>
      <c r="AE488" s="11"/>
      <c r="AF488" s="11" t="s">
        <v>108</v>
      </c>
      <c r="AH488" s="4" t="s">
        <v>174</v>
      </c>
    </row>
    <row r="489" spans="1:36" x14ac:dyDescent="0.25">
      <c r="A489" s="11">
        <v>200</v>
      </c>
      <c r="B489" s="11"/>
      <c r="C489" s="11"/>
      <c r="D489" s="11"/>
      <c r="E489" s="11"/>
      <c r="F489" s="11"/>
      <c r="G489" s="11"/>
      <c r="H489" s="11">
        <v>2</v>
      </c>
      <c r="I489" s="11" t="s">
        <v>175</v>
      </c>
      <c r="J489" s="13">
        <v>0.77361111111111114</v>
      </c>
      <c r="K489" s="11" t="s">
        <v>176</v>
      </c>
      <c r="L489" s="14" t="s">
        <v>366</v>
      </c>
      <c r="M489" s="11">
        <v>63</v>
      </c>
      <c r="N489" s="11"/>
      <c r="O489" s="11">
        <v>9</v>
      </c>
      <c r="P489" s="11"/>
      <c r="Q489" s="11">
        <v>18</v>
      </c>
      <c r="R489" s="11"/>
      <c r="S489" s="11">
        <v>59</v>
      </c>
      <c r="T489" s="11"/>
      <c r="U489" s="11">
        <v>76</v>
      </c>
      <c r="V489" s="11"/>
      <c r="W489" s="11">
        <v>35</v>
      </c>
      <c r="X489" s="11">
        <v>41</v>
      </c>
      <c r="Y489" s="11"/>
      <c r="Z489" s="11">
        <v>43</v>
      </c>
      <c r="AA489" s="11"/>
      <c r="AB489" s="11">
        <v>20</v>
      </c>
      <c r="AC489" s="11"/>
      <c r="AD489" s="11">
        <v>52</v>
      </c>
      <c r="AE489" s="11"/>
      <c r="AF489" s="11">
        <v>53</v>
      </c>
      <c r="AH489" s="4">
        <v>34</v>
      </c>
    </row>
    <row r="490" spans="1:36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3">
        <v>5.9722222222222225E-2</v>
      </c>
      <c r="K490" s="11"/>
      <c r="L490" s="14"/>
      <c r="M490" s="11" t="s">
        <v>74</v>
      </c>
      <c r="N490" s="11"/>
      <c r="O490" s="11" t="s">
        <v>107</v>
      </c>
      <c r="P490" s="11"/>
      <c r="Q490" s="11" t="s">
        <v>107</v>
      </c>
      <c r="R490" s="11"/>
      <c r="S490" s="11" t="s">
        <v>108</v>
      </c>
      <c r="T490" s="11"/>
      <c r="U490" s="11" t="s">
        <v>108</v>
      </c>
      <c r="V490" s="11"/>
      <c r="W490" s="11" t="s">
        <v>174</v>
      </c>
      <c r="X490" s="11" t="s">
        <v>74</v>
      </c>
      <c r="Y490" s="11"/>
      <c r="Z490" s="11" t="s">
        <v>74</v>
      </c>
      <c r="AA490" s="11"/>
      <c r="AB490" s="11" t="s">
        <v>107</v>
      </c>
      <c r="AC490" s="11"/>
      <c r="AD490" s="11" t="s">
        <v>108</v>
      </c>
      <c r="AE490" s="11"/>
      <c r="AF490" s="11" t="s">
        <v>108</v>
      </c>
      <c r="AH490" s="4" t="s">
        <v>174</v>
      </c>
    </row>
    <row r="491" spans="1:36" x14ac:dyDescent="0.25">
      <c r="A491" s="11">
        <v>201</v>
      </c>
      <c r="B491" s="11"/>
      <c r="C491" s="11"/>
      <c r="D491" s="11"/>
      <c r="E491" s="11"/>
      <c r="F491" s="11"/>
      <c r="G491" s="11"/>
      <c r="H491" s="11">
        <v>2</v>
      </c>
      <c r="I491" s="11" t="s">
        <v>175</v>
      </c>
      <c r="J491" s="13">
        <v>0.80138888888888893</v>
      </c>
      <c r="K491" s="11" t="s">
        <v>180</v>
      </c>
      <c r="L491" s="14" t="s">
        <v>367</v>
      </c>
      <c r="M491" s="11">
        <v>63</v>
      </c>
      <c r="N491" s="11"/>
      <c r="O491" s="11">
        <v>9</v>
      </c>
      <c r="P491" s="11"/>
      <c r="Q491" s="11">
        <v>18</v>
      </c>
      <c r="R491" s="11"/>
      <c r="S491" s="11">
        <v>59</v>
      </c>
      <c r="T491" s="11"/>
      <c r="U491" s="11">
        <v>76</v>
      </c>
      <c r="V491" s="11"/>
      <c r="W491" s="11">
        <v>35</v>
      </c>
      <c r="X491" s="11">
        <v>41</v>
      </c>
      <c r="Y491" s="11"/>
      <c r="Z491" s="11">
        <v>43</v>
      </c>
      <c r="AA491" s="11"/>
      <c r="AB491" s="11">
        <v>20</v>
      </c>
      <c r="AC491" s="11"/>
      <c r="AD491" s="11">
        <v>25</v>
      </c>
      <c r="AE491" s="11"/>
      <c r="AF491" s="11">
        <v>52</v>
      </c>
      <c r="AH491" s="4">
        <v>34</v>
      </c>
    </row>
    <row r="492" spans="1:36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3">
        <v>3.1944444444444449E-2</v>
      </c>
      <c r="K492" s="11"/>
      <c r="L492" s="14"/>
      <c r="M492" s="11" t="s">
        <v>74</v>
      </c>
      <c r="N492" s="11"/>
      <c r="O492" s="11" t="s">
        <v>107</v>
      </c>
      <c r="P492" s="11"/>
      <c r="Q492" s="11" t="s">
        <v>107</v>
      </c>
      <c r="R492" s="11"/>
      <c r="S492" s="11" t="s">
        <v>108</v>
      </c>
      <c r="T492" s="11"/>
      <c r="U492" s="11" t="s">
        <v>108</v>
      </c>
      <c r="V492" s="11"/>
      <c r="W492" s="11" t="s">
        <v>174</v>
      </c>
      <c r="X492" s="11" t="s">
        <v>74</v>
      </c>
      <c r="Y492" s="11"/>
      <c r="Z492" s="11" t="s">
        <v>74</v>
      </c>
      <c r="AA492" s="11"/>
      <c r="AB492" s="11" t="s">
        <v>107</v>
      </c>
      <c r="AC492" s="11"/>
      <c r="AD492" s="11" t="s">
        <v>108</v>
      </c>
      <c r="AE492" s="11"/>
      <c r="AF492" s="11" t="s">
        <v>108</v>
      </c>
      <c r="AH492" s="4" t="s">
        <v>174</v>
      </c>
    </row>
    <row r="493" spans="1:36" x14ac:dyDescent="0.25">
      <c r="A493" s="11">
        <v>202</v>
      </c>
      <c r="B493" s="11"/>
      <c r="C493" s="11"/>
      <c r="D493" s="11"/>
      <c r="E493" s="11"/>
      <c r="F493" s="11"/>
      <c r="G493" s="11"/>
      <c r="H493" s="11">
        <v>2</v>
      </c>
      <c r="I493" s="11" t="s">
        <v>175</v>
      </c>
      <c r="J493" s="13">
        <v>0.80486111111111114</v>
      </c>
      <c r="K493" s="11" t="s">
        <v>231</v>
      </c>
      <c r="L493" s="14" t="s">
        <v>368</v>
      </c>
      <c r="M493" s="11">
        <v>63</v>
      </c>
      <c r="N493" s="11"/>
      <c r="O493" s="11">
        <v>9</v>
      </c>
      <c r="P493" s="11"/>
      <c r="Q493" s="11">
        <v>18</v>
      </c>
      <c r="R493" s="11"/>
      <c r="S493" s="11">
        <v>59</v>
      </c>
      <c r="T493" s="11"/>
      <c r="U493" s="11">
        <v>76</v>
      </c>
      <c r="V493" s="11"/>
      <c r="W493" s="11">
        <v>35</v>
      </c>
      <c r="X493" s="11">
        <v>41</v>
      </c>
      <c r="Y493" s="11"/>
      <c r="Z493" s="11">
        <v>43</v>
      </c>
      <c r="AA493" s="11"/>
      <c r="AB493" s="11">
        <v>20</v>
      </c>
      <c r="AC493" s="11"/>
      <c r="AD493" s="11">
        <v>25</v>
      </c>
      <c r="AE493" s="11"/>
      <c r="AF493" s="11">
        <v>52</v>
      </c>
      <c r="AH493" s="4">
        <v>34</v>
      </c>
    </row>
    <row r="494" spans="1:36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3">
        <v>2.8472222222222222E-2</v>
      </c>
      <c r="K494" s="11"/>
      <c r="L494" s="14"/>
      <c r="M494" s="11" t="s">
        <v>74</v>
      </c>
      <c r="N494" s="11"/>
      <c r="O494" s="11" t="s">
        <v>107</v>
      </c>
      <c r="P494" s="11"/>
      <c r="Q494" s="11" t="s">
        <v>107</v>
      </c>
      <c r="R494" s="11"/>
      <c r="S494" s="11" t="s">
        <v>108</v>
      </c>
      <c r="T494" s="11"/>
      <c r="U494" s="11" t="s">
        <v>108</v>
      </c>
      <c r="V494" s="11"/>
      <c r="W494" s="11" t="s">
        <v>174</v>
      </c>
      <c r="X494" s="11" t="s">
        <v>74</v>
      </c>
      <c r="Y494" s="11"/>
      <c r="Z494" s="11" t="s">
        <v>74</v>
      </c>
      <c r="AA494" s="11"/>
      <c r="AB494" s="11" t="s">
        <v>107</v>
      </c>
      <c r="AC494" s="11"/>
      <c r="AD494" s="11" t="s">
        <v>108</v>
      </c>
      <c r="AE494" s="11"/>
      <c r="AF494" s="11" t="s">
        <v>108</v>
      </c>
      <c r="AH494" s="4" t="s">
        <v>174</v>
      </c>
    </row>
    <row r="495" spans="1:36" x14ac:dyDescent="0.25">
      <c r="A495" s="11" t="s">
        <v>369</v>
      </c>
      <c r="B495" s="11"/>
      <c r="C495" s="11"/>
      <c r="D495" s="11"/>
      <c r="E495" s="11"/>
      <c r="F495" s="11"/>
      <c r="G495" s="11"/>
      <c r="H495" s="11"/>
      <c r="I495" s="11"/>
      <c r="J495" s="13"/>
      <c r="K495" s="11"/>
      <c r="L495" s="14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</row>
    <row r="496" spans="1:36" x14ac:dyDescent="0.25">
      <c r="A496" s="11" t="s">
        <v>151</v>
      </c>
      <c r="B496" s="11"/>
      <c r="C496" s="11"/>
      <c r="D496" s="11" t="s">
        <v>154</v>
      </c>
      <c r="E496" s="11" t="s">
        <v>160</v>
      </c>
      <c r="F496" s="11"/>
      <c r="G496" s="11"/>
      <c r="H496" s="11"/>
      <c r="I496" s="11"/>
      <c r="J496" s="13"/>
      <c r="K496" s="11"/>
      <c r="L496" s="14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</row>
    <row r="497" spans="1:36" x14ac:dyDescent="0.25">
      <c r="A497" s="11" t="s">
        <v>152</v>
      </c>
      <c r="B497" s="11">
        <v>3</v>
      </c>
      <c r="C497" s="11"/>
      <c r="D497" s="11"/>
      <c r="E497" s="11"/>
      <c r="F497" s="11">
        <v>5</v>
      </c>
      <c r="G497" s="11" t="s">
        <v>161</v>
      </c>
      <c r="H497" s="11"/>
      <c r="I497" s="11"/>
      <c r="J497" s="13"/>
      <c r="K497" s="11"/>
      <c r="L497" s="14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</row>
    <row r="498" spans="1:36" x14ac:dyDescent="0.25">
      <c r="A498" s="11" t="s">
        <v>152</v>
      </c>
      <c r="B498" s="11"/>
      <c r="C498" s="11"/>
      <c r="D498" s="11"/>
      <c r="E498" s="11" t="s">
        <v>161</v>
      </c>
      <c r="F498" s="11"/>
      <c r="G498" s="11"/>
      <c r="H498" s="11"/>
      <c r="I498" s="11"/>
      <c r="J498" s="13"/>
      <c r="K498" s="11"/>
      <c r="L498" s="14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</row>
    <row r="499" spans="1:36" x14ac:dyDescent="0.25">
      <c r="A499" s="11" t="s">
        <v>153</v>
      </c>
      <c r="B499" s="11"/>
      <c r="C499" s="11"/>
      <c r="D499" s="11" t="s">
        <v>155</v>
      </c>
      <c r="E499" s="11" t="s">
        <v>162</v>
      </c>
      <c r="F499" s="11"/>
      <c r="G499" s="11"/>
      <c r="H499" s="11"/>
      <c r="I499" s="11"/>
      <c r="J499" s="13"/>
      <c r="K499" s="11"/>
      <c r="L499" s="14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</row>
    <row r="500" spans="1:36" x14ac:dyDescent="0.25">
      <c r="A500" s="11"/>
      <c r="B500" s="11"/>
      <c r="C500" s="11"/>
      <c r="D500" s="11" t="s">
        <v>156</v>
      </c>
      <c r="E500" s="11"/>
      <c r="F500" s="11"/>
      <c r="G500" s="11"/>
      <c r="H500" s="11"/>
      <c r="I500" s="11"/>
      <c r="J500" s="13"/>
      <c r="K500" s="11"/>
      <c r="L500" s="14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</row>
    <row r="501" spans="1:36" x14ac:dyDescent="0.25">
      <c r="A501" s="11"/>
      <c r="B501" s="11"/>
      <c r="C501" s="11"/>
      <c r="D501" s="11" t="s">
        <v>157</v>
      </c>
      <c r="E501" s="11"/>
      <c r="F501" s="11"/>
      <c r="G501" s="11"/>
      <c r="H501" s="11"/>
      <c r="I501" s="11"/>
      <c r="J501" s="13"/>
      <c r="K501" s="11"/>
      <c r="L501" s="14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</row>
    <row r="502" spans="1:36" x14ac:dyDescent="0.25">
      <c r="A502" s="11"/>
      <c r="B502" s="11"/>
      <c r="C502" s="11"/>
      <c r="D502" s="11" t="s">
        <v>158</v>
      </c>
      <c r="E502" s="11"/>
      <c r="F502" s="11"/>
      <c r="G502" s="11"/>
      <c r="H502" s="11"/>
      <c r="I502" s="11"/>
      <c r="J502" s="13"/>
      <c r="K502" s="11"/>
      <c r="L502" s="14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</row>
    <row r="503" spans="1:36" x14ac:dyDescent="0.25">
      <c r="A503" s="11"/>
      <c r="B503" s="11"/>
      <c r="C503" s="11"/>
      <c r="D503" s="11" t="s">
        <v>159</v>
      </c>
      <c r="E503" s="11"/>
      <c r="F503" s="11"/>
      <c r="G503" s="11"/>
      <c r="H503" s="11"/>
      <c r="I503" s="11"/>
      <c r="J503" s="13"/>
      <c r="K503" s="11"/>
      <c r="L503" s="14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</row>
    <row r="504" spans="1:36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3"/>
      <c r="K504" s="11"/>
      <c r="L504" s="14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</row>
    <row r="505" spans="1:36" x14ac:dyDescent="0.25">
      <c r="A505" s="11" t="s">
        <v>163</v>
      </c>
      <c r="B505" s="11"/>
      <c r="C505" s="11"/>
      <c r="D505" s="11"/>
      <c r="E505" s="11"/>
      <c r="F505" s="11"/>
      <c r="G505" s="11"/>
      <c r="H505" s="11" t="s">
        <v>164</v>
      </c>
      <c r="I505" s="11" t="s">
        <v>165</v>
      </c>
      <c r="J505" s="13" t="s">
        <v>166</v>
      </c>
      <c r="K505" s="11" t="s">
        <v>168</v>
      </c>
      <c r="L505" s="14" t="s">
        <v>169</v>
      </c>
      <c r="M505" s="11" t="s">
        <v>170</v>
      </c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 t="s">
        <v>171</v>
      </c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</row>
    <row r="506" spans="1:36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3" t="s">
        <v>167</v>
      </c>
      <c r="K506" s="11"/>
      <c r="L506" s="14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</row>
    <row r="507" spans="1:36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3" t="s">
        <v>43</v>
      </c>
      <c r="K507" s="11"/>
      <c r="L507" s="14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</row>
    <row r="508" spans="1:36" x14ac:dyDescent="0.25">
      <c r="A508" s="11">
        <v>203</v>
      </c>
      <c r="B508" s="11"/>
      <c r="C508" s="11"/>
      <c r="D508" s="11"/>
      <c r="E508" s="11"/>
      <c r="F508" s="11"/>
      <c r="G508" s="11"/>
      <c r="H508" s="11">
        <v>2</v>
      </c>
      <c r="I508" s="11" t="s">
        <v>175</v>
      </c>
      <c r="J508" s="13">
        <v>0.80555555555555547</v>
      </c>
      <c r="K508" s="11" t="s">
        <v>306</v>
      </c>
      <c r="L508" s="14" t="s">
        <v>370</v>
      </c>
      <c r="M508" s="11">
        <v>63</v>
      </c>
      <c r="N508" s="11"/>
      <c r="O508" s="11">
        <v>9</v>
      </c>
      <c r="P508" s="11"/>
      <c r="Q508" s="11">
        <v>18</v>
      </c>
      <c r="R508" s="11"/>
      <c r="S508" s="11">
        <v>59</v>
      </c>
      <c r="T508" s="11"/>
      <c r="U508" s="11">
        <v>76</v>
      </c>
      <c r="V508" s="11"/>
      <c r="W508" s="11">
        <v>35</v>
      </c>
      <c r="X508" s="11">
        <v>41</v>
      </c>
      <c r="Y508" s="11"/>
      <c r="Z508" s="11">
        <v>43</v>
      </c>
      <c r="AA508" s="11"/>
      <c r="AB508" s="11">
        <v>20</v>
      </c>
      <c r="AC508" s="11"/>
      <c r="AD508" s="11">
        <v>25</v>
      </c>
      <c r="AE508" s="11"/>
      <c r="AF508" s="11">
        <v>52</v>
      </c>
      <c r="AG508" s="11"/>
      <c r="AH508" s="11">
        <v>34</v>
      </c>
    </row>
    <row r="509" spans="1:36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3">
        <v>2.7777777777777776E-2</v>
      </c>
      <c r="K509" s="11"/>
      <c r="L509" s="14" t="s">
        <v>371</v>
      </c>
      <c r="M509" s="11" t="s">
        <v>74</v>
      </c>
      <c r="N509" s="11"/>
      <c r="O509" s="11" t="s">
        <v>107</v>
      </c>
      <c r="P509" s="11"/>
      <c r="Q509" s="11" t="s">
        <v>107</v>
      </c>
      <c r="R509" s="11"/>
      <c r="S509" s="11" t="s">
        <v>108</v>
      </c>
      <c r="T509" s="11"/>
      <c r="U509" s="11" t="s">
        <v>108</v>
      </c>
      <c r="V509" s="11"/>
      <c r="W509" s="11" t="s">
        <v>174</v>
      </c>
      <c r="X509" s="11" t="s">
        <v>74</v>
      </c>
      <c r="Y509" s="11"/>
      <c r="Z509" s="11" t="s">
        <v>74</v>
      </c>
      <c r="AA509" s="11"/>
      <c r="AB509" s="11" t="s">
        <v>107</v>
      </c>
      <c r="AC509" s="11"/>
      <c r="AD509" s="11" t="s">
        <v>108</v>
      </c>
      <c r="AE509" s="11"/>
      <c r="AF509" s="11" t="s">
        <v>108</v>
      </c>
      <c r="AG509" s="11"/>
      <c r="AH509" s="11" t="s">
        <v>174</v>
      </c>
    </row>
    <row r="510" spans="1:36" x14ac:dyDescent="0.25">
      <c r="A510" s="11">
        <v>204</v>
      </c>
      <c r="B510" s="11"/>
      <c r="C510" s="11"/>
      <c r="D510" s="11"/>
      <c r="E510" s="11"/>
      <c r="F510" s="11"/>
      <c r="G510" s="11"/>
      <c r="H510" s="11">
        <v>2</v>
      </c>
      <c r="I510" s="11" t="s">
        <v>175</v>
      </c>
      <c r="J510" s="13">
        <v>0.82777777777777783</v>
      </c>
      <c r="K510" s="11" t="s">
        <v>180</v>
      </c>
      <c r="L510" s="14" t="s">
        <v>372</v>
      </c>
      <c r="M510" s="11">
        <v>10</v>
      </c>
      <c r="N510" s="11"/>
      <c r="O510" s="11">
        <v>33</v>
      </c>
      <c r="P510" s="11"/>
      <c r="Q510" s="11">
        <v>56</v>
      </c>
      <c r="R510" s="11"/>
      <c r="S510" s="11">
        <v>4</v>
      </c>
      <c r="T510" s="11"/>
      <c r="U510" s="11">
        <v>14</v>
      </c>
      <c r="V510" s="11"/>
      <c r="W510" s="11">
        <v>35</v>
      </c>
      <c r="X510" s="11">
        <v>15</v>
      </c>
      <c r="Y510" s="11"/>
      <c r="Z510" s="11">
        <v>21</v>
      </c>
      <c r="AA510" s="11"/>
      <c r="AB510" s="11">
        <v>40</v>
      </c>
      <c r="AC510" s="11"/>
      <c r="AD510" s="11">
        <v>25</v>
      </c>
      <c r="AE510" s="11"/>
      <c r="AF510" s="11">
        <v>65</v>
      </c>
      <c r="AG510" s="11"/>
      <c r="AH510" s="11">
        <v>34</v>
      </c>
    </row>
    <row r="511" spans="1:36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3">
        <v>5.5555555555555558E-3</v>
      </c>
      <c r="K511" s="11"/>
      <c r="L511" s="14"/>
      <c r="M511" s="11" t="s">
        <v>74</v>
      </c>
      <c r="N511" s="11"/>
      <c r="O511" s="11" t="s">
        <v>74</v>
      </c>
      <c r="P511" s="11"/>
      <c r="Q511" s="11" t="s">
        <v>107</v>
      </c>
      <c r="R511" s="11"/>
      <c r="S511" s="11" t="s">
        <v>108</v>
      </c>
      <c r="T511" s="11"/>
      <c r="U511" s="11" t="s">
        <v>108</v>
      </c>
      <c r="V511" s="11"/>
      <c r="W511" s="11" t="s">
        <v>174</v>
      </c>
      <c r="X511" s="11" t="s">
        <v>74</v>
      </c>
      <c r="Y511" s="11"/>
      <c r="Z511" s="11" t="s">
        <v>74</v>
      </c>
      <c r="AA511" s="11"/>
      <c r="AB511" s="11" t="s">
        <v>107</v>
      </c>
      <c r="AC511" s="11"/>
      <c r="AD511" s="11" t="s">
        <v>108</v>
      </c>
      <c r="AE511" s="11"/>
      <c r="AF511" s="11" t="s">
        <v>108</v>
      </c>
      <c r="AG511" s="11"/>
      <c r="AH511" s="11" t="s">
        <v>174</v>
      </c>
    </row>
    <row r="512" spans="1:36" x14ac:dyDescent="0.25">
      <c r="A512" s="11">
        <v>205</v>
      </c>
      <c r="B512" s="11"/>
      <c r="C512" s="11"/>
      <c r="D512" s="11"/>
      <c r="E512" s="11"/>
      <c r="F512" s="11"/>
      <c r="G512" s="11"/>
      <c r="H512" s="11">
        <v>2</v>
      </c>
      <c r="I512" s="11"/>
      <c r="J512" s="13">
        <v>0.83333333333333337</v>
      </c>
      <c r="K512" s="11" t="s">
        <v>278</v>
      </c>
      <c r="L512" s="14" t="s">
        <v>373</v>
      </c>
      <c r="M512" s="11">
        <v>10</v>
      </c>
      <c r="N512" s="11"/>
      <c r="O512" s="11">
        <v>33</v>
      </c>
      <c r="P512" s="11"/>
      <c r="Q512" s="11">
        <v>56</v>
      </c>
      <c r="R512" s="11"/>
      <c r="S512" s="11">
        <v>4</v>
      </c>
      <c r="T512" s="11"/>
      <c r="U512" s="11">
        <v>14</v>
      </c>
      <c r="V512" s="11"/>
      <c r="W512" s="11">
        <v>35</v>
      </c>
      <c r="X512" s="11">
        <v>15</v>
      </c>
      <c r="Y512" s="11"/>
      <c r="Z512" s="11">
        <v>21</v>
      </c>
      <c r="AA512" s="11"/>
      <c r="AB512" s="11">
        <v>40</v>
      </c>
      <c r="AC512" s="11"/>
      <c r="AD512" s="11">
        <v>25</v>
      </c>
      <c r="AE512" s="11"/>
      <c r="AF512" s="11">
        <v>65</v>
      </c>
      <c r="AG512" s="11"/>
      <c r="AH512" s="11">
        <v>34</v>
      </c>
    </row>
    <row r="513" spans="1:36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3">
        <v>0</v>
      </c>
      <c r="K513" s="11"/>
      <c r="L513" s="14"/>
      <c r="M513" s="11" t="s">
        <v>74</v>
      </c>
      <c r="N513" s="11"/>
      <c r="O513" s="11" t="s">
        <v>74</v>
      </c>
      <c r="P513" s="11"/>
      <c r="Q513" s="11" t="s">
        <v>107</v>
      </c>
      <c r="R513" s="11"/>
      <c r="S513" s="11" t="s">
        <v>108</v>
      </c>
      <c r="T513" s="11"/>
      <c r="U513" s="11" t="s">
        <v>108</v>
      </c>
      <c r="V513" s="11"/>
      <c r="W513" s="11" t="s">
        <v>174</v>
      </c>
      <c r="X513" s="11" t="s">
        <v>74</v>
      </c>
      <c r="Y513" s="11"/>
      <c r="Z513" s="11" t="s">
        <v>74</v>
      </c>
      <c r="AA513" s="11"/>
      <c r="AB513" s="11" t="s">
        <v>107</v>
      </c>
      <c r="AC513" s="11"/>
      <c r="AD513" s="11" t="s">
        <v>108</v>
      </c>
      <c r="AE513" s="11"/>
      <c r="AF513" s="11" t="s">
        <v>108</v>
      </c>
      <c r="AG513" s="11"/>
      <c r="AH513" s="11" t="s">
        <v>174</v>
      </c>
    </row>
    <row r="514" spans="1:36" x14ac:dyDescent="0.25">
      <c r="A514" s="11" t="s">
        <v>369</v>
      </c>
      <c r="B514" s="11"/>
      <c r="C514" s="11"/>
      <c r="D514" s="11"/>
      <c r="E514" s="11"/>
      <c r="F514" s="11"/>
      <c r="G514" s="11"/>
      <c r="H514" s="11"/>
      <c r="I514" s="11"/>
      <c r="J514" s="13"/>
      <c r="K514" s="11"/>
      <c r="L514" s="14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</row>
    <row r="515" spans="1:36" x14ac:dyDescent="0.25">
      <c r="A515" s="11" t="s">
        <v>151</v>
      </c>
      <c r="B515" s="11"/>
      <c r="C515" s="11"/>
      <c r="D515" s="11" t="s">
        <v>154</v>
      </c>
      <c r="E515" s="11" t="s">
        <v>160</v>
      </c>
      <c r="F515" s="11"/>
      <c r="G515" s="11"/>
      <c r="H515" s="11"/>
      <c r="I515" s="11"/>
      <c r="J515" s="13"/>
      <c r="K515" s="11"/>
      <c r="L515" s="14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</row>
    <row r="516" spans="1:36" x14ac:dyDescent="0.25">
      <c r="A516" s="11" t="s">
        <v>152</v>
      </c>
      <c r="B516" s="11">
        <v>3</v>
      </c>
      <c r="C516" s="11"/>
      <c r="D516" s="11"/>
      <c r="E516" s="11"/>
      <c r="F516" s="11">
        <v>5</v>
      </c>
      <c r="G516" s="11" t="s">
        <v>161</v>
      </c>
      <c r="H516" s="11"/>
      <c r="I516" s="11"/>
      <c r="J516" s="13"/>
      <c r="K516" s="11"/>
      <c r="L516" s="14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</row>
    <row r="517" spans="1:36" x14ac:dyDescent="0.25">
      <c r="A517" s="11" t="s">
        <v>152</v>
      </c>
      <c r="B517" s="11"/>
      <c r="C517" s="11"/>
      <c r="D517" s="11"/>
      <c r="E517" s="11" t="s">
        <v>161</v>
      </c>
      <c r="F517" s="11"/>
      <c r="G517" s="11"/>
      <c r="H517" s="11"/>
      <c r="I517" s="11"/>
      <c r="J517" s="13"/>
      <c r="K517" s="11"/>
      <c r="L517" s="14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</row>
    <row r="518" spans="1:36" ht="14.1" customHeight="1" x14ac:dyDescent="0.25">
      <c r="A518" s="14" t="s">
        <v>153</v>
      </c>
      <c r="B518" s="14"/>
      <c r="C518" s="14"/>
      <c r="D518" s="14" t="s">
        <v>155</v>
      </c>
      <c r="E518" s="14" t="s">
        <v>162</v>
      </c>
      <c r="F518" s="14"/>
      <c r="G518" s="14"/>
    </row>
    <row r="519" spans="1:36" ht="18.75" x14ac:dyDescent="0.3">
      <c r="A519" s="15"/>
      <c r="B519" s="15"/>
      <c r="C519" s="15"/>
      <c r="D519" s="16" t="s">
        <v>156</v>
      </c>
      <c r="E519" s="15"/>
      <c r="F519" s="15"/>
      <c r="G519" s="15"/>
    </row>
    <row r="520" spans="1:36" ht="51" x14ac:dyDescent="0.75">
      <c r="A520" s="1"/>
      <c r="B520" s="17"/>
      <c r="C520" s="1"/>
      <c r="D520" s="16" t="s">
        <v>157</v>
      </c>
      <c r="E520" s="1"/>
      <c r="F520" s="17"/>
      <c r="G520" s="1"/>
    </row>
    <row r="521" spans="1:36" ht="14.1" customHeight="1" x14ac:dyDescent="0.25">
      <c r="A521" s="18"/>
      <c r="B521" s="18"/>
      <c r="C521" s="18"/>
      <c r="D521" s="18" t="s">
        <v>158</v>
      </c>
      <c r="E521" s="18"/>
      <c r="F521" s="18"/>
      <c r="G521" s="18"/>
    </row>
    <row r="522" spans="1:36" ht="14.1" customHeight="1" x14ac:dyDescent="0.25">
      <c r="A522" s="18"/>
      <c r="B522" s="18"/>
      <c r="C522" s="18"/>
      <c r="D522" s="18" t="s">
        <v>159</v>
      </c>
      <c r="E522" s="18"/>
      <c r="F522" s="18"/>
      <c r="G522" s="18"/>
    </row>
    <row r="523" spans="1:36" x14ac:dyDescent="0.25">
      <c r="A523" s="19"/>
      <c r="B523" s="19"/>
      <c r="C523" s="19"/>
      <c r="D523" s="18"/>
      <c r="E523" s="19"/>
      <c r="F523" s="19"/>
      <c r="G523" s="19"/>
    </row>
    <row r="524" spans="1:36" x14ac:dyDescent="0.25">
      <c r="A524" s="19" t="s">
        <v>163</v>
      </c>
      <c r="B524" s="19"/>
      <c r="C524" s="19"/>
      <c r="D524" s="18"/>
      <c r="E524" s="19"/>
      <c r="F524" s="19"/>
      <c r="G524" s="19"/>
      <c r="H524" s="4" t="s">
        <v>164</v>
      </c>
      <c r="I524" s="4" t="s">
        <v>165</v>
      </c>
      <c r="J524" s="4" t="s">
        <v>166</v>
      </c>
      <c r="K524" s="4" t="s">
        <v>168</v>
      </c>
      <c r="L524" s="4" t="s">
        <v>169</v>
      </c>
      <c r="M524" s="4" t="s">
        <v>170</v>
      </c>
      <c r="X524" s="4" t="s">
        <v>171</v>
      </c>
    </row>
    <row r="525" spans="1:36" x14ac:dyDescent="0.25">
      <c r="A525" s="19"/>
      <c r="B525" s="19"/>
      <c r="C525" s="19"/>
      <c r="D525" s="18"/>
      <c r="E525" s="19"/>
      <c r="F525" s="19"/>
      <c r="G525" s="19"/>
      <c r="J525" s="4" t="s">
        <v>167</v>
      </c>
    </row>
    <row r="526" spans="1:36" x14ac:dyDescent="0.25">
      <c r="A526" s="19"/>
      <c r="B526" s="19"/>
      <c r="C526" s="19"/>
      <c r="D526" s="18"/>
      <c r="E526" s="19"/>
      <c r="F526" s="19"/>
      <c r="G526" s="19"/>
      <c r="J526" s="4" t="s">
        <v>43</v>
      </c>
    </row>
    <row r="527" spans="1:36" x14ac:dyDescent="0.25">
      <c r="A527" s="14">
        <v>206</v>
      </c>
      <c r="B527" s="14"/>
      <c r="C527" s="14"/>
      <c r="D527" s="14"/>
      <c r="E527" s="14"/>
      <c r="F527" s="14"/>
      <c r="G527" s="14"/>
      <c r="H527" s="14">
        <v>3</v>
      </c>
      <c r="I527" s="14"/>
      <c r="J527" s="54">
        <v>0</v>
      </c>
      <c r="K527" s="14" t="s">
        <v>172</v>
      </c>
      <c r="L527" s="14" t="s">
        <v>374</v>
      </c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</row>
    <row r="528" spans="1:36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3">
        <v>0.83333333333333337</v>
      </c>
      <c r="K528" s="11"/>
      <c r="L528" s="12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</row>
    <row r="529" spans="1:36" x14ac:dyDescent="0.25">
      <c r="A529" s="11">
        <v>207</v>
      </c>
      <c r="B529" s="11"/>
      <c r="C529" s="11"/>
      <c r="D529" s="11"/>
      <c r="E529" s="11"/>
      <c r="F529" s="11"/>
      <c r="G529" s="11"/>
      <c r="H529" s="11">
        <v>3</v>
      </c>
      <c r="I529" s="11" t="s">
        <v>175</v>
      </c>
      <c r="J529" s="13">
        <v>0</v>
      </c>
      <c r="K529" s="11" t="s">
        <v>176</v>
      </c>
      <c r="L529" s="12" t="s">
        <v>375</v>
      </c>
      <c r="M529" s="11">
        <v>19</v>
      </c>
      <c r="N529" s="11"/>
      <c r="O529" s="11">
        <v>18</v>
      </c>
      <c r="P529" s="11"/>
      <c r="Q529" s="11">
        <v>56</v>
      </c>
      <c r="R529" s="11"/>
      <c r="S529" s="11">
        <v>4</v>
      </c>
      <c r="T529" s="11"/>
      <c r="U529" s="11">
        <v>14</v>
      </c>
      <c r="V529" s="11"/>
      <c r="W529" s="11">
        <v>35</v>
      </c>
      <c r="X529" s="11">
        <v>51</v>
      </c>
      <c r="Y529" s="11"/>
      <c r="Z529" s="11">
        <v>71</v>
      </c>
      <c r="AA529" s="11"/>
      <c r="AB529" s="11">
        <v>8</v>
      </c>
      <c r="AC529" s="11"/>
      <c r="AD529" s="11">
        <v>25</v>
      </c>
      <c r="AE529" s="11"/>
      <c r="AF529" s="11">
        <v>65</v>
      </c>
      <c r="AG529" s="11"/>
      <c r="AH529" s="11">
        <v>34</v>
      </c>
      <c r="AI529" s="11"/>
      <c r="AJ529" s="11"/>
    </row>
    <row r="530" spans="1:36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3">
        <v>0.83333333333333337</v>
      </c>
      <c r="K530" s="11"/>
      <c r="L530" s="12"/>
      <c r="M530" s="11" t="s">
        <v>74</v>
      </c>
      <c r="N530" s="11"/>
      <c r="O530" s="11" t="s">
        <v>107</v>
      </c>
      <c r="P530" s="11"/>
      <c r="Q530" s="11" t="s">
        <v>107</v>
      </c>
      <c r="R530" s="11"/>
      <c r="S530" s="11" t="s">
        <v>108</v>
      </c>
      <c r="T530" s="11"/>
      <c r="U530" s="11" t="s">
        <v>108</v>
      </c>
      <c r="V530" s="11"/>
      <c r="W530" s="11" t="s">
        <v>174</v>
      </c>
      <c r="X530" s="11" t="s">
        <v>74</v>
      </c>
      <c r="Y530" s="11"/>
      <c r="Z530" s="11" t="s">
        <v>74</v>
      </c>
      <c r="AA530" s="11"/>
      <c r="AB530" s="11" t="s">
        <v>107</v>
      </c>
      <c r="AC530" s="11"/>
      <c r="AD530" s="11" t="s">
        <v>108</v>
      </c>
      <c r="AE530" s="11"/>
      <c r="AF530" s="11" t="s">
        <v>108</v>
      </c>
      <c r="AG530" s="11"/>
      <c r="AH530" s="11" t="s">
        <v>174</v>
      </c>
      <c r="AI530" s="11"/>
      <c r="AJ530" s="11"/>
    </row>
    <row r="531" spans="1:36" x14ac:dyDescent="0.25">
      <c r="A531" s="11">
        <v>208</v>
      </c>
      <c r="B531" s="11"/>
      <c r="C531" s="11"/>
      <c r="D531" s="11"/>
      <c r="E531" s="11"/>
      <c r="F531" s="11"/>
      <c r="G531" s="11"/>
      <c r="H531" s="11">
        <v>3</v>
      </c>
      <c r="I531" s="11" t="s">
        <v>175</v>
      </c>
      <c r="J531" s="13">
        <v>1.3888888888888888E-2</v>
      </c>
      <c r="K531" s="11" t="s">
        <v>180</v>
      </c>
      <c r="L531" s="14" t="s">
        <v>376</v>
      </c>
      <c r="M531" s="11">
        <v>19</v>
      </c>
      <c r="N531" s="11"/>
      <c r="O531" s="11">
        <v>18</v>
      </c>
      <c r="P531" s="11"/>
      <c r="Q531" s="11">
        <v>56</v>
      </c>
      <c r="R531" s="11"/>
      <c r="S531" s="11">
        <v>4</v>
      </c>
      <c r="T531" s="11"/>
      <c r="U531" s="11">
        <v>14</v>
      </c>
      <c r="V531" s="11"/>
      <c r="W531" s="11">
        <v>35</v>
      </c>
      <c r="X531" s="11">
        <v>51</v>
      </c>
      <c r="Y531" s="11"/>
      <c r="Z531" s="11">
        <v>71</v>
      </c>
      <c r="AA531" s="11"/>
      <c r="AB531" s="11">
        <v>8</v>
      </c>
      <c r="AC531" s="11"/>
      <c r="AD531" s="11">
        <v>25</v>
      </c>
      <c r="AE531" s="11"/>
      <c r="AF531" s="11">
        <v>65</v>
      </c>
      <c r="AG531" s="11"/>
      <c r="AH531" s="11">
        <v>34</v>
      </c>
    </row>
    <row r="532" spans="1:36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3">
        <v>0.81944444444444453</v>
      </c>
      <c r="K532" s="11"/>
      <c r="L532" s="14"/>
      <c r="M532" s="11" t="s">
        <v>74</v>
      </c>
      <c r="N532" s="11"/>
      <c r="O532" s="11" t="s">
        <v>107</v>
      </c>
      <c r="P532" s="11"/>
      <c r="Q532" s="11" t="s">
        <v>107</v>
      </c>
      <c r="R532" s="11"/>
      <c r="S532" s="11" t="s">
        <v>108</v>
      </c>
      <c r="T532" s="11"/>
      <c r="U532" s="11" t="s">
        <v>108</v>
      </c>
      <c r="V532" s="11"/>
      <c r="W532" s="11" t="s">
        <v>174</v>
      </c>
      <c r="X532" s="11" t="s">
        <v>74</v>
      </c>
      <c r="Y532" s="11"/>
      <c r="Z532" s="11" t="s">
        <v>74</v>
      </c>
      <c r="AA532" s="11"/>
      <c r="AB532" s="11" t="s">
        <v>107</v>
      </c>
      <c r="AC532" s="11"/>
      <c r="AD532" s="11" t="s">
        <v>108</v>
      </c>
      <c r="AE532" s="11"/>
      <c r="AF532" s="11" t="s">
        <v>108</v>
      </c>
      <c r="AG532" s="11"/>
      <c r="AH532" s="11" t="s">
        <v>174</v>
      </c>
    </row>
    <row r="533" spans="1:36" x14ac:dyDescent="0.25">
      <c r="A533" s="11">
        <v>209</v>
      </c>
      <c r="B533" s="11"/>
      <c r="C533" s="11"/>
      <c r="D533" s="11"/>
      <c r="E533" s="11"/>
      <c r="F533" s="11"/>
      <c r="G533" s="11"/>
      <c r="H533" s="11">
        <v>3</v>
      </c>
      <c r="I533" s="11" t="s">
        <v>175</v>
      </c>
      <c r="J533" s="13">
        <v>4.3055555555555562E-2</v>
      </c>
      <c r="K533" s="11" t="s">
        <v>188</v>
      </c>
      <c r="L533" s="14" t="s">
        <v>377</v>
      </c>
      <c r="M533" s="11">
        <v>12</v>
      </c>
      <c r="N533" s="11"/>
      <c r="O533" s="11">
        <v>33</v>
      </c>
      <c r="P533" s="11"/>
      <c r="Q533" s="11">
        <v>38</v>
      </c>
      <c r="R533" s="11"/>
      <c r="S533" s="11">
        <v>59</v>
      </c>
      <c r="T533" s="11"/>
      <c r="U533" s="11">
        <v>76</v>
      </c>
      <c r="V533" s="11"/>
      <c r="W533" s="11">
        <v>35</v>
      </c>
      <c r="X533" s="11">
        <v>15</v>
      </c>
      <c r="Y533" s="11"/>
      <c r="Z533" s="11">
        <v>21</v>
      </c>
      <c r="AA533" s="11"/>
      <c r="AB533" s="11">
        <v>40</v>
      </c>
      <c r="AC533" s="11"/>
      <c r="AD533" s="11">
        <v>52</v>
      </c>
      <c r="AE533" s="11"/>
      <c r="AF533" s="11">
        <v>53</v>
      </c>
      <c r="AG533" s="11"/>
      <c r="AH533" s="11">
        <v>34</v>
      </c>
    </row>
    <row r="534" spans="1:36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3">
        <v>0.79027777777777775</v>
      </c>
      <c r="K534" s="11"/>
      <c r="L534" s="14"/>
      <c r="M534" s="11" t="s">
        <v>74</v>
      </c>
      <c r="N534" s="11"/>
      <c r="O534" s="11" t="s">
        <v>74</v>
      </c>
      <c r="P534" s="11"/>
      <c r="Q534" s="11" t="s">
        <v>107</v>
      </c>
      <c r="R534" s="11"/>
      <c r="S534" s="11" t="s">
        <v>108</v>
      </c>
      <c r="T534" s="11"/>
      <c r="U534" s="11" t="s">
        <v>108</v>
      </c>
      <c r="V534" s="11"/>
      <c r="W534" s="11" t="s">
        <v>174</v>
      </c>
      <c r="X534" s="11" t="s">
        <v>74</v>
      </c>
      <c r="Y534" s="11"/>
      <c r="Z534" s="11" t="s">
        <v>74</v>
      </c>
      <c r="AA534" s="11"/>
      <c r="AB534" s="11" t="s">
        <v>107</v>
      </c>
      <c r="AC534" s="11"/>
      <c r="AD534" s="11" t="s">
        <v>108</v>
      </c>
      <c r="AE534" s="11"/>
      <c r="AF534" s="11" t="s">
        <v>108</v>
      </c>
      <c r="AG534" s="11"/>
      <c r="AH534" s="11" t="s">
        <v>174</v>
      </c>
    </row>
    <row r="535" spans="1:36" x14ac:dyDescent="0.25">
      <c r="A535" s="11">
        <v>210</v>
      </c>
      <c r="B535" s="11"/>
      <c r="C535" s="11"/>
      <c r="D535" s="11"/>
      <c r="E535" s="11"/>
      <c r="F535" s="11"/>
      <c r="G535" s="11"/>
      <c r="H535" s="11">
        <v>3</v>
      </c>
      <c r="I535" s="11" t="s">
        <v>175</v>
      </c>
      <c r="J535" s="13">
        <v>4.6527777777777779E-2</v>
      </c>
      <c r="K535" s="11" t="s">
        <v>188</v>
      </c>
      <c r="L535" s="14" t="s">
        <v>378</v>
      </c>
      <c r="M535" s="11">
        <v>12</v>
      </c>
      <c r="N535" s="11"/>
      <c r="O535" s="11">
        <v>33</v>
      </c>
      <c r="P535" s="11"/>
      <c r="Q535" s="11">
        <v>38</v>
      </c>
      <c r="R535" s="11"/>
      <c r="S535" s="11">
        <v>59</v>
      </c>
      <c r="T535" s="11"/>
      <c r="U535" s="11">
        <v>76</v>
      </c>
      <c r="V535" s="11"/>
      <c r="W535" s="11">
        <v>35</v>
      </c>
      <c r="X535" s="11">
        <v>15</v>
      </c>
      <c r="Y535" s="11"/>
      <c r="Z535" s="11">
        <v>21</v>
      </c>
      <c r="AA535" s="11"/>
      <c r="AB535" s="11">
        <v>40</v>
      </c>
      <c r="AC535" s="11"/>
      <c r="AD535" s="11">
        <v>52</v>
      </c>
      <c r="AE535" s="11"/>
      <c r="AF535" s="11">
        <v>53</v>
      </c>
      <c r="AG535" s="11"/>
      <c r="AH535" s="11">
        <v>34</v>
      </c>
    </row>
    <row r="536" spans="1:36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3">
        <v>0.78680555555555554</v>
      </c>
      <c r="K536" s="11"/>
      <c r="L536" s="14"/>
      <c r="M536" s="11" t="s">
        <v>74</v>
      </c>
      <c r="N536" s="11"/>
      <c r="O536" s="11" t="s">
        <v>74</v>
      </c>
      <c r="P536" s="11"/>
      <c r="Q536" s="11" t="s">
        <v>107</v>
      </c>
      <c r="R536" s="11"/>
      <c r="S536" s="11" t="s">
        <v>108</v>
      </c>
      <c r="T536" s="11"/>
      <c r="U536" s="11" t="s">
        <v>108</v>
      </c>
      <c r="V536" s="11"/>
      <c r="W536" s="11" t="s">
        <v>174</v>
      </c>
      <c r="X536" s="11" t="s">
        <v>74</v>
      </c>
      <c r="Y536" s="11"/>
      <c r="Z536" s="11" t="s">
        <v>74</v>
      </c>
      <c r="AA536" s="11"/>
      <c r="AB536" s="11" t="s">
        <v>107</v>
      </c>
      <c r="AC536" s="11"/>
      <c r="AD536" s="11" t="s">
        <v>108</v>
      </c>
      <c r="AE536" s="11"/>
      <c r="AF536" s="11" t="s">
        <v>108</v>
      </c>
      <c r="AG536" s="11"/>
      <c r="AH536" s="11" t="s">
        <v>174</v>
      </c>
    </row>
    <row r="537" spans="1:36" x14ac:dyDescent="0.25">
      <c r="A537" s="11">
        <v>211</v>
      </c>
      <c r="B537" s="11"/>
      <c r="C537" s="11"/>
      <c r="D537" s="11"/>
      <c r="E537" s="11"/>
      <c r="F537" s="11"/>
      <c r="G537" s="11"/>
      <c r="H537" s="11">
        <v>3</v>
      </c>
      <c r="I537" s="11" t="s">
        <v>175</v>
      </c>
      <c r="J537" s="13">
        <v>4.8611111111111112E-2</v>
      </c>
      <c r="K537" s="11" t="s">
        <v>306</v>
      </c>
      <c r="L537" s="14" t="s">
        <v>379</v>
      </c>
      <c r="M537" s="11">
        <v>12</v>
      </c>
      <c r="N537" s="11"/>
      <c r="O537" s="11">
        <v>33</v>
      </c>
      <c r="P537" s="11"/>
      <c r="Q537" s="11">
        <v>38</v>
      </c>
      <c r="R537" s="11"/>
      <c r="S537" s="11">
        <v>59</v>
      </c>
      <c r="T537" s="11"/>
      <c r="U537" s="11">
        <v>76</v>
      </c>
      <c r="V537" s="11"/>
      <c r="W537" s="11">
        <v>35</v>
      </c>
      <c r="X537" s="11">
        <v>15</v>
      </c>
      <c r="Y537" s="11"/>
      <c r="Z537" s="11">
        <v>21</v>
      </c>
      <c r="AA537" s="11"/>
      <c r="AB537" s="11">
        <v>40</v>
      </c>
      <c r="AC537" s="11"/>
      <c r="AD537" s="11">
        <v>52</v>
      </c>
      <c r="AE537" s="11"/>
      <c r="AF537" s="11">
        <v>53</v>
      </c>
      <c r="AG537" s="11"/>
      <c r="AH537" s="11">
        <v>34</v>
      </c>
    </row>
    <row r="538" spans="1:36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3">
        <v>0.78472222222222221</v>
      </c>
      <c r="K538" s="11"/>
      <c r="L538" s="14" t="s">
        <v>380</v>
      </c>
      <c r="M538" s="11" t="s">
        <v>74</v>
      </c>
      <c r="N538" s="11"/>
      <c r="O538" s="11" t="s">
        <v>74</v>
      </c>
      <c r="P538" s="11"/>
      <c r="Q538" s="11" t="s">
        <v>107</v>
      </c>
      <c r="R538" s="11"/>
      <c r="S538" s="11" t="s">
        <v>108</v>
      </c>
      <c r="T538" s="11"/>
      <c r="U538" s="11" t="s">
        <v>108</v>
      </c>
      <c r="V538" s="11"/>
      <c r="W538" s="11" t="s">
        <v>174</v>
      </c>
      <c r="X538" s="11" t="s">
        <v>74</v>
      </c>
      <c r="Y538" s="11"/>
      <c r="Z538" s="11" t="s">
        <v>74</v>
      </c>
      <c r="AA538" s="11"/>
      <c r="AB538" s="11" t="s">
        <v>107</v>
      </c>
      <c r="AC538" s="11"/>
      <c r="AD538" s="11" t="s">
        <v>108</v>
      </c>
      <c r="AE538" s="11"/>
      <c r="AF538" s="11" t="s">
        <v>108</v>
      </c>
      <c r="AG538" s="11"/>
      <c r="AH538" s="11" t="s">
        <v>174</v>
      </c>
    </row>
    <row r="539" spans="1:36" x14ac:dyDescent="0.25">
      <c r="A539" s="11">
        <v>212</v>
      </c>
      <c r="B539" s="11"/>
      <c r="C539" s="11"/>
      <c r="D539" s="11"/>
      <c r="E539" s="11"/>
      <c r="F539" s="11"/>
      <c r="G539" s="11"/>
      <c r="H539" s="11">
        <v>3</v>
      </c>
      <c r="I539" s="11" t="s">
        <v>175</v>
      </c>
      <c r="J539" s="13">
        <v>4.8611111111111112E-2</v>
      </c>
      <c r="K539" s="11" t="s">
        <v>176</v>
      </c>
      <c r="L539" s="14" t="s">
        <v>381</v>
      </c>
      <c r="M539" s="11">
        <v>10</v>
      </c>
      <c r="N539" s="11"/>
      <c r="O539" s="11">
        <v>63</v>
      </c>
      <c r="P539" s="11"/>
      <c r="Q539" s="11">
        <v>9</v>
      </c>
      <c r="R539" s="11"/>
      <c r="S539" s="11">
        <v>59</v>
      </c>
      <c r="T539" s="11"/>
      <c r="U539" s="11">
        <v>76</v>
      </c>
      <c r="V539" s="11"/>
      <c r="W539" s="11">
        <v>35</v>
      </c>
      <c r="X539" s="11">
        <v>14</v>
      </c>
      <c r="Y539" s="11"/>
      <c r="Z539" s="11">
        <v>43</v>
      </c>
      <c r="AA539" s="11"/>
      <c r="AB539" s="11">
        <v>62</v>
      </c>
      <c r="AC539" s="11"/>
      <c r="AD539" s="11">
        <v>52</v>
      </c>
      <c r="AE539" s="11"/>
      <c r="AF539" s="11">
        <v>53</v>
      </c>
      <c r="AG539" s="11"/>
      <c r="AH539" s="11">
        <v>34</v>
      </c>
    </row>
    <row r="540" spans="1:36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3">
        <v>0.78472222222222221</v>
      </c>
      <c r="K540" s="11"/>
      <c r="L540" s="14"/>
      <c r="M540" s="11" t="s">
        <v>74</v>
      </c>
      <c r="N540" s="11"/>
      <c r="O540" s="11" t="s">
        <v>74</v>
      </c>
      <c r="P540" s="11"/>
      <c r="Q540" s="11" t="s">
        <v>107</v>
      </c>
      <c r="R540" s="11"/>
      <c r="S540" s="11" t="s">
        <v>108</v>
      </c>
      <c r="T540" s="11"/>
      <c r="U540" s="11" t="s">
        <v>108</v>
      </c>
      <c r="V540" s="11"/>
      <c r="W540" s="11" t="s">
        <v>174</v>
      </c>
      <c r="X540" s="11" t="s">
        <v>74</v>
      </c>
      <c r="Y540" s="11"/>
      <c r="Z540" s="11" t="s">
        <v>74</v>
      </c>
      <c r="AA540" s="11"/>
      <c r="AB540" s="11" t="s">
        <v>107</v>
      </c>
      <c r="AC540" s="11"/>
      <c r="AD540" s="11" t="s">
        <v>108</v>
      </c>
      <c r="AE540" s="11"/>
      <c r="AF540" s="11" t="s">
        <v>108</v>
      </c>
      <c r="AG540" s="11"/>
      <c r="AH540" s="11" t="s">
        <v>174</v>
      </c>
    </row>
    <row r="541" spans="1:36" x14ac:dyDescent="0.25">
      <c r="A541" s="11">
        <v>213</v>
      </c>
      <c r="B541" s="11"/>
      <c r="C541" s="11"/>
      <c r="D541" s="11"/>
      <c r="E541" s="11"/>
      <c r="F541" s="11"/>
      <c r="G541" s="11"/>
      <c r="H541" s="11">
        <v>3</v>
      </c>
      <c r="I541" s="11" t="s">
        <v>175</v>
      </c>
      <c r="J541" s="13">
        <v>6.7361111111111108E-2</v>
      </c>
      <c r="K541" s="11" t="s">
        <v>180</v>
      </c>
      <c r="L541" s="14" t="s">
        <v>382</v>
      </c>
      <c r="M541" s="11">
        <v>10</v>
      </c>
      <c r="N541" s="11"/>
      <c r="O541" s="11">
        <v>63</v>
      </c>
      <c r="P541" s="11"/>
      <c r="Q541" s="11">
        <v>9</v>
      </c>
      <c r="R541" s="11"/>
      <c r="S541" s="11">
        <v>59</v>
      </c>
      <c r="T541" s="11"/>
      <c r="U541" s="11">
        <v>76</v>
      </c>
      <c r="V541" s="11"/>
      <c r="W541" s="11">
        <v>35</v>
      </c>
      <c r="X541" s="11">
        <v>14</v>
      </c>
      <c r="Y541" s="11"/>
      <c r="Z541" s="11">
        <v>43</v>
      </c>
      <c r="AA541" s="11"/>
      <c r="AB541" s="11">
        <v>62</v>
      </c>
      <c r="AC541" s="11"/>
      <c r="AD541" s="11">
        <v>52</v>
      </c>
      <c r="AE541" s="11"/>
      <c r="AF541" s="11">
        <v>53</v>
      </c>
      <c r="AG541" s="11"/>
      <c r="AH541" s="11">
        <v>34</v>
      </c>
    </row>
    <row r="542" spans="1:36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3">
        <v>0.76597222222222217</v>
      </c>
      <c r="K542" s="11"/>
      <c r="L542" s="14"/>
      <c r="M542" s="11" t="s">
        <v>74</v>
      </c>
      <c r="N542" s="11"/>
      <c r="O542" s="11" t="s">
        <v>74</v>
      </c>
      <c r="P542" s="11"/>
      <c r="Q542" s="11" t="s">
        <v>107</v>
      </c>
      <c r="R542" s="11"/>
      <c r="S542" s="11" t="s">
        <v>108</v>
      </c>
      <c r="T542" s="11"/>
      <c r="U542" s="11" t="s">
        <v>108</v>
      </c>
      <c r="V542" s="11"/>
      <c r="W542" s="11" t="s">
        <v>174</v>
      </c>
      <c r="X542" s="11" t="s">
        <v>74</v>
      </c>
      <c r="Y542" s="11"/>
      <c r="Z542" s="11" t="s">
        <v>74</v>
      </c>
      <c r="AA542" s="11"/>
      <c r="AB542" s="11" t="s">
        <v>107</v>
      </c>
      <c r="AC542" s="11"/>
      <c r="AD542" s="11" t="s">
        <v>108</v>
      </c>
      <c r="AE542" s="11"/>
      <c r="AF542" s="11" t="s">
        <v>108</v>
      </c>
      <c r="AG542" s="11"/>
      <c r="AH542" s="11" t="s">
        <v>174</v>
      </c>
    </row>
    <row r="543" spans="1:36" x14ac:dyDescent="0.25">
      <c r="A543" s="11">
        <v>214</v>
      </c>
      <c r="B543" s="11"/>
      <c r="C543" s="11"/>
      <c r="D543" s="11"/>
      <c r="E543" s="11"/>
      <c r="F543" s="11"/>
      <c r="G543" s="11"/>
      <c r="H543" s="11">
        <v>3</v>
      </c>
      <c r="I543" s="11"/>
      <c r="J543" s="13">
        <v>6.7361111111111108E-2</v>
      </c>
      <c r="K543" s="11" t="s">
        <v>182</v>
      </c>
      <c r="L543" s="14" t="s">
        <v>183</v>
      </c>
      <c r="M543" s="11">
        <v>10</v>
      </c>
      <c r="N543" s="11"/>
      <c r="O543" s="11">
        <v>63</v>
      </c>
      <c r="P543" s="11"/>
      <c r="Q543" s="11">
        <v>9</v>
      </c>
      <c r="R543" s="11"/>
      <c r="S543" s="11">
        <v>59</v>
      </c>
      <c r="T543" s="11"/>
      <c r="U543" s="11">
        <v>76</v>
      </c>
      <c r="V543" s="11"/>
      <c r="W543" s="11">
        <v>35</v>
      </c>
      <c r="X543" s="11">
        <v>14</v>
      </c>
      <c r="Y543" s="11"/>
      <c r="Z543" s="11">
        <v>43</v>
      </c>
      <c r="AA543" s="11"/>
      <c r="AB543" s="11">
        <v>62</v>
      </c>
      <c r="AC543" s="11"/>
      <c r="AD543" s="11">
        <v>52</v>
      </c>
      <c r="AE543" s="11"/>
      <c r="AF543" s="11">
        <v>53</v>
      </c>
      <c r="AG543" s="11"/>
      <c r="AH543" s="11">
        <v>34</v>
      </c>
    </row>
    <row r="544" spans="1:36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3">
        <v>0.76597222222222217</v>
      </c>
      <c r="K544" s="11"/>
      <c r="L544" s="14"/>
      <c r="M544" s="11" t="s">
        <v>74</v>
      </c>
      <c r="N544" s="11"/>
      <c r="O544" s="11" t="s">
        <v>74</v>
      </c>
      <c r="P544" s="11"/>
      <c r="Q544" s="11" t="s">
        <v>107</v>
      </c>
      <c r="R544" s="11"/>
      <c r="S544" s="11" t="s">
        <v>108</v>
      </c>
      <c r="T544" s="11"/>
      <c r="U544" s="11" t="s">
        <v>108</v>
      </c>
      <c r="V544" s="11"/>
      <c r="W544" s="11" t="s">
        <v>174</v>
      </c>
      <c r="X544" s="11" t="s">
        <v>74</v>
      </c>
      <c r="Y544" s="11"/>
      <c r="Z544" s="11" t="s">
        <v>74</v>
      </c>
      <c r="AA544" s="11"/>
      <c r="AB544" s="11" t="s">
        <v>107</v>
      </c>
      <c r="AC544" s="11"/>
      <c r="AD544" s="11" t="s">
        <v>108</v>
      </c>
      <c r="AE544" s="11"/>
      <c r="AF544" s="11" t="s">
        <v>108</v>
      </c>
      <c r="AG544" s="11"/>
      <c r="AH544" s="11" t="s">
        <v>174</v>
      </c>
    </row>
    <row r="545" spans="1:34" x14ac:dyDescent="0.25">
      <c r="A545" s="11">
        <v>215</v>
      </c>
      <c r="B545" s="11"/>
      <c r="C545" s="11"/>
      <c r="D545" s="11"/>
      <c r="E545" s="11"/>
      <c r="F545" s="11"/>
      <c r="G545" s="11"/>
      <c r="H545" s="11">
        <v>3</v>
      </c>
      <c r="I545" s="11" t="s">
        <v>175</v>
      </c>
      <c r="J545" s="13">
        <v>6.7361111111111108E-2</v>
      </c>
      <c r="K545" s="11" t="s">
        <v>176</v>
      </c>
      <c r="L545" s="14" t="s">
        <v>383</v>
      </c>
      <c r="M545" s="11">
        <v>19</v>
      </c>
      <c r="N545" s="11"/>
      <c r="O545" s="11">
        <v>18</v>
      </c>
      <c r="P545" s="11"/>
      <c r="Q545" s="11">
        <v>56</v>
      </c>
      <c r="R545" s="11"/>
      <c r="S545" s="11">
        <v>7</v>
      </c>
      <c r="T545" s="11"/>
      <c r="U545" s="11">
        <v>25</v>
      </c>
      <c r="V545" s="11"/>
      <c r="W545" s="11">
        <v>35</v>
      </c>
      <c r="X545" s="11">
        <v>29</v>
      </c>
      <c r="Y545" s="11"/>
      <c r="Z545" s="11">
        <v>41</v>
      </c>
      <c r="AA545" s="11"/>
      <c r="AB545" s="11">
        <v>20</v>
      </c>
      <c r="AC545" s="11"/>
      <c r="AD545" s="11">
        <v>2</v>
      </c>
      <c r="AE545" s="11"/>
      <c r="AF545" s="11">
        <v>48</v>
      </c>
      <c r="AG545" s="11"/>
      <c r="AH545" s="11">
        <v>34</v>
      </c>
    </row>
    <row r="546" spans="1:34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3">
        <v>0.76597222222222217</v>
      </c>
      <c r="K546" s="11"/>
      <c r="L546" s="14"/>
      <c r="M546" s="11" t="s">
        <v>74</v>
      </c>
      <c r="N546" s="11"/>
      <c r="O546" s="11" t="s">
        <v>107</v>
      </c>
      <c r="P546" s="11"/>
      <c r="Q546" s="11" t="s">
        <v>107</v>
      </c>
      <c r="R546" s="11"/>
      <c r="S546" s="11" t="s">
        <v>108</v>
      </c>
      <c r="T546" s="11"/>
      <c r="U546" s="11" t="s">
        <v>108</v>
      </c>
      <c r="V546" s="11"/>
      <c r="W546" s="11" t="s">
        <v>174</v>
      </c>
      <c r="X546" s="11" t="s">
        <v>74</v>
      </c>
      <c r="Y546" s="11"/>
      <c r="Z546" s="11" t="s">
        <v>74</v>
      </c>
      <c r="AA546" s="11"/>
      <c r="AB546" s="11" t="s">
        <v>107</v>
      </c>
      <c r="AC546" s="11"/>
      <c r="AD546" s="11" t="s">
        <v>108</v>
      </c>
      <c r="AE546" s="11"/>
      <c r="AF546" s="11" t="s">
        <v>108</v>
      </c>
      <c r="AG546" s="11"/>
      <c r="AH546" s="11" t="s">
        <v>174</v>
      </c>
    </row>
    <row r="547" spans="1:34" x14ac:dyDescent="0.25">
      <c r="A547" s="11">
        <v>216</v>
      </c>
      <c r="B547" s="11"/>
      <c r="C547" s="11"/>
      <c r="D547" s="11"/>
      <c r="E547" s="11"/>
      <c r="F547" s="11"/>
      <c r="G547" s="11"/>
      <c r="H547" s="11">
        <v>3</v>
      </c>
      <c r="I547" s="11"/>
      <c r="J547" s="13">
        <v>9.0277777777777776E-2</v>
      </c>
      <c r="K547" s="11" t="s">
        <v>182</v>
      </c>
      <c r="L547" s="14" t="s">
        <v>207</v>
      </c>
      <c r="M547" s="11">
        <v>19</v>
      </c>
      <c r="N547" s="11"/>
      <c r="O547" s="11">
        <v>18</v>
      </c>
      <c r="P547" s="11"/>
      <c r="Q547" s="11">
        <v>56</v>
      </c>
      <c r="R547" s="11"/>
      <c r="S547" s="11">
        <v>7</v>
      </c>
      <c r="T547" s="11"/>
      <c r="U547" s="11">
        <v>25</v>
      </c>
      <c r="V547" s="11"/>
      <c r="W547" s="11">
        <v>35</v>
      </c>
      <c r="X547" s="11">
        <v>29</v>
      </c>
      <c r="Y547" s="11"/>
      <c r="Z547" s="11">
        <v>41</v>
      </c>
      <c r="AA547" s="11"/>
      <c r="AB547" s="11">
        <v>20</v>
      </c>
      <c r="AC547" s="11"/>
      <c r="AD547" s="11">
        <v>2</v>
      </c>
      <c r="AE547" s="11"/>
      <c r="AF547" s="11">
        <v>48</v>
      </c>
      <c r="AG547" s="11"/>
      <c r="AH547" s="11">
        <v>34</v>
      </c>
    </row>
    <row r="548" spans="1:34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3">
        <v>0.74305555555555547</v>
      </c>
      <c r="K548" s="11"/>
      <c r="L548" s="14"/>
      <c r="M548" s="11" t="s">
        <v>74</v>
      </c>
      <c r="N548" s="11"/>
      <c r="O548" s="11" t="s">
        <v>107</v>
      </c>
      <c r="P548" s="11"/>
      <c r="Q548" s="11" t="s">
        <v>107</v>
      </c>
      <c r="R548" s="11"/>
      <c r="S548" s="11" t="s">
        <v>108</v>
      </c>
      <c r="T548" s="11"/>
      <c r="U548" s="11" t="s">
        <v>108</v>
      </c>
      <c r="V548" s="11"/>
      <c r="W548" s="11" t="s">
        <v>174</v>
      </c>
      <c r="X548" s="11" t="s">
        <v>74</v>
      </c>
      <c r="Y548" s="11"/>
      <c r="Z548" s="11" t="s">
        <v>74</v>
      </c>
      <c r="AA548" s="11"/>
      <c r="AB548" s="11" t="s">
        <v>107</v>
      </c>
      <c r="AC548" s="11"/>
      <c r="AD548" s="11" t="s">
        <v>108</v>
      </c>
      <c r="AE548" s="11"/>
      <c r="AF548" s="11" t="s">
        <v>108</v>
      </c>
      <c r="AG548" s="11"/>
      <c r="AH548" s="11" t="s">
        <v>174</v>
      </c>
    </row>
    <row r="549" spans="1:34" x14ac:dyDescent="0.25">
      <c r="A549" s="11">
        <v>217</v>
      </c>
      <c r="B549" s="11"/>
      <c r="C549" s="11"/>
      <c r="D549" s="11"/>
      <c r="E549" s="11"/>
      <c r="F549" s="11"/>
      <c r="G549" s="11"/>
      <c r="H549" s="11">
        <v>3</v>
      </c>
      <c r="I549" s="11" t="s">
        <v>175</v>
      </c>
      <c r="J549" s="13">
        <v>9.0277777777777776E-2</v>
      </c>
      <c r="K549" s="11" t="s">
        <v>176</v>
      </c>
      <c r="L549" s="14" t="s">
        <v>384</v>
      </c>
      <c r="M549" s="11">
        <v>19</v>
      </c>
      <c r="N549" s="11"/>
      <c r="O549" s="11">
        <v>18</v>
      </c>
      <c r="P549" s="11"/>
      <c r="Q549" s="11">
        <v>56</v>
      </c>
      <c r="R549" s="11"/>
      <c r="S549" s="11">
        <v>7</v>
      </c>
      <c r="T549" s="11"/>
      <c r="U549" s="11">
        <v>25</v>
      </c>
      <c r="V549" s="11"/>
      <c r="W549" s="11">
        <v>35</v>
      </c>
      <c r="X549" s="11">
        <v>51</v>
      </c>
      <c r="Y549" s="11"/>
      <c r="Z549" s="11">
        <v>71</v>
      </c>
      <c r="AA549" s="11"/>
      <c r="AB549" s="11">
        <v>8</v>
      </c>
      <c r="AC549" s="11"/>
      <c r="AD549" s="11">
        <v>2</v>
      </c>
      <c r="AE549" s="11"/>
      <c r="AF549" s="11">
        <v>48</v>
      </c>
      <c r="AG549" s="11"/>
      <c r="AH549" s="11">
        <v>34</v>
      </c>
    </row>
    <row r="550" spans="1:34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3">
        <v>0.74305555555555547</v>
      </c>
      <c r="K550" s="11"/>
      <c r="L550" s="14"/>
      <c r="M550" s="11" t="s">
        <v>74</v>
      </c>
      <c r="N550" s="11"/>
      <c r="O550" s="11" t="s">
        <v>107</v>
      </c>
      <c r="P550" s="11"/>
      <c r="Q550" s="11" t="s">
        <v>107</v>
      </c>
      <c r="R550" s="11"/>
      <c r="S550" s="11" t="s">
        <v>108</v>
      </c>
      <c r="T550" s="11"/>
      <c r="U550" s="11" t="s">
        <v>108</v>
      </c>
      <c r="V550" s="11"/>
      <c r="W550" s="11" t="s">
        <v>174</v>
      </c>
      <c r="X550" s="11" t="s">
        <v>74</v>
      </c>
      <c r="Y550" s="11"/>
      <c r="Z550" s="11" t="s">
        <v>74</v>
      </c>
      <c r="AA550" s="11"/>
      <c r="AB550" s="11" t="s">
        <v>107</v>
      </c>
      <c r="AC550" s="11"/>
      <c r="AD550" s="11" t="s">
        <v>108</v>
      </c>
      <c r="AE550" s="11"/>
      <c r="AF550" s="11" t="s">
        <v>108</v>
      </c>
      <c r="AG550" s="11"/>
      <c r="AH550" s="11" t="s">
        <v>174</v>
      </c>
    </row>
    <row r="551" spans="1:34" x14ac:dyDescent="0.25">
      <c r="A551" s="11">
        <v>218</v>
      </c>
      <c r="B551" s="11"/>
      <c r="C551" s="11"/>
      <c r="D551" s="11"/>
      <c r="E551" s="11"/>
      <c r="F551" s="11"/>
      <c r="G551" s="11"/>
      <c r="H551" s="11">
        <v>3</v>
      </c>
      <c r="I551" s="11" t="s">
        <v>175</v>
      </c>
      <c r="J551" s="13">
        <v>0.10486111111111111</v>
      </c>
      <c r="K551" s="11" t="s">
        <v>226</v>
      </c>
      <c r="L551" s="14" t="s">
        <v>385</v>
      </c>
      <c r="M551" s="11">
        <v>19</v>
      </c>
      <c r="N551" s="11"/>
      <c r="O551" s="11">
        <v>18</v>
      </c>
      <c r="P551" s="11"/>
      <c r="Q551" s="11">
        <v>56</v>
      </c>
      <c r="R551" s="11"/>
      <c r="S551" s="11">
        <v>7</v>
      </c>
      <c r="T551" s="11"/>
      <c r="U551" s="11">
        <v>25</v>
      </c>
      <c r="V551" s="11"/>
      <c r="W551" s="11">
        <v>35</v>
      </c>
      <c r="X551" s="11">
        <v>51</v>
      </c>
      <c r="Y551" s="11"/>
      <c r="Z551" s="11">
        <v>71</v>
      </c>
      <c r="AA551" s="11"/>
      <c r="AB551" s="11">
        <v>8</v>
      </c>
      <c r="AC551" s="11"/>
      <c r="AD551" s="11">
        <v>2</v>
      </c>
      <c r="AE551" s="11"/>
      <c r="AF551" s="11">
        <v>48</v>
      </c>
      <c r="AG551" s="11"/>
      <c r="AH551" s="11">
        <v>34</v>
      </c>
    </row>
    <row r="552" spans="1:34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3">
        <v>0.7284722222222223</v>
      </c>
      <c r="K552" s="11"/>
      <c r="L552" s="14"/>
      <c r="M552" s="11" t="s">
        <v>74</v>
      </c>
      <c r="N552" s="11"/>
      <c r="O552" s="11" t="s">
        <v>107</v>
      </c>
      <c r="P552" s="11"/>
      <c r="Q552" s="11" t="s">
        <v>107</v>
      </c>
      <c r="R552" s="11"/>
      <c r="S552" s="11" t="s">
        <v>108</v>
      </c>
      <c r="T552" s="11"/>
      <c r="U552" s="11" t="s">
        <v>108</v>
      </c>
      <c r="V552" s="11"/>
      <c r="W552" s="11" t="s">
        <v>174</v>
      </c>
      <c r="X552" s="11" t="s">
        <v>74</v>
      </c>
      <c r="Y552" s="11"/>
      <c r="Z552" s="11" t="s">
        <v>74</v>
      </c>
      <c r="AA552" s="11"/>
      <c r="AB552" s="11" t="s">
        <v>107</v>
      </c>
      <c r="AC552" s="11"/>
      <c r="AD552" s="11" t="s">
        <v>108</v>
      </c>
      <c r="AE552" s="11"/>
      <c r="AF552" s="11" t="s">
        <v>108</v>
      </c>
      <c r="AG552" s="11"/>
      <c r="AH552" s="11" t="s">
        <v>174</v>
      </c>
    </row>
    <row r="553" spans="1:34" x14ac:dyDescent="0.25">
      <c r="A553" s="11">
        <v>219</v>
      </c>
      <c r="B553" s="11"/>
      <c r="C553" s="11"/>
      <c r="D553" s="11"/>
      <c r="E553" s="11"/>
      <c r="F553" s="11"/>
      <c r="G553" s="11"/>
      <c r="H553" s="11">
        <v>3</v>
      </c>
      <c r="I553" s="11" t="s">
        <v>175</v>
      </c>
      <c r="J553" s="13">
        <v>0.10486111111111111</v>
      </c>
      <c r="K553" s="11" t="s">
        <v>226</v>
      </c>
      <c r="L553" s="14" t="s">
        <v>386</v>
      </c>
      <c r="M553" s="11">
        <v>12</v>
      </c>
      <c r="N553" s="11"/>
      <c r="O553" s="11">
        <v>33</v>
      </c>
      <c r="P553" s="11"/>
      <c r="Q553" s="11">
        <v>38</v>
      </c>
      <c r="R553" s="11"/>
      <c r="S553" s="11">
        <v>4</v>
      </c>
      <c r="T553" s="11"/>
      <c r="U553" s="11">
        <v>14</v>
      </c>
      <c r="V553" s="11"/>
      <c r="W553" s="11">
        <v>35</v>
      </c>
      <c r="X553" s="11">
        <v>51</v>
      </c>
      <c r="Y553" s="11"/>
      <c r="Z553" s="11">
        <v>71</v>
      </c>
      <c r="AA553" s="11"/>
      <c r="AB553" s="11">
        <v>8</v>
      </c>
      <c r="AC553" s="11"/>
      <c r="AD553" s="11">
        <v>2</v>
      </c>
      <c r="AE553" s="11"/>
      <c r="AF553" s="11">
        <v>48</v>
      </c>
      <c r="AG553" s="11"/>
      <c r="AH553" s="11">
        <v>34</v>
      </c>
    </row>
    <row r="554" spans="1:34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3">
        <v>0.7284722222222223</v>
      </c>
      <c r="K554" s="11"/>
      <c r="L554" s="14"/>
      <c r="M554" s="11" t="s">
        <v>74</v>
      </c>
      <c r="N554" s="11"/>
      <c r="O554" s="11" t="s">
        <v>74</v>
      </c>
      <c r="P554" s="11"/>
      <c r="Q554" s="11" t="s">
        <v>107</v>
      </c>
      <c r="R554" s="11"/>
      <c r="S554" s="11" t="s">
        <v>108</v>
      </c>
      <c r="T554" s="11"/>
      <c r="U554" s="11" t="s">
        <v>108</v>
      </c>
      <c r="V554" s="11"/>
      <c r="W554" s="11" t="s">
        <v>174</v>
      </c>
      <c r="X554" s="11" t="s">
        <v>74</v>
      </c>
      <c r="Y554" s="11"/>
      <c r="Z554" s="11" t="s">
        <v>74</v>
      </c>
      <c r="AA554" s="11"/>
      <c r="AB554" s="11" t="s">
        <v>107</v>
      </c>
      <c r="AC554" s="11"/>
      <c r="AD554" s="11" t="s">
        <v>108</v>
      </c>
      <c r="AE554" s="11"/>
      <c r="AF554" s="11" t="s">
        <v>108</v>
      </c>
      <c r="AG554" s="11"/>
      <c r="AH554" s="11" t="s">
        <v>174</v>
      </c>
    </row>
    <row r="555" spans="1:34" x14ac:dyDescent="0.25">
      <c r="A555" s="11">
        <v>220</v>
      </c>
      <c r="B555" s="11"/>
      <c r="C555" s="11"/>
      <c r="D555" s="11"/>
      <c r="E555" s="11"/>
      <c r="F555" s="11"/>
      <c r="G555" s="11"/>
      <c r="H555" s="11">
        <v>3</v>
      </c>
      <c r="I555" s="11" t="s">
        <v>175</v>
      </c>
      <c r="J555" s="13">
        <v>0.10486111111111111</v>
      </c>
      <c r="K555" s="11" t="s">
        <v>176</v>
      </c>
      <c r="L555" s="14" t="s">
        <v>184</v>
      </c>
      <c r="M555" s="11">
        <v>12</v>
      </c>
      <c r="N555" s="11"/>
      <c r="O555" s="11">
        <v>33</v>
      </c>
      <c r="P555" s="11"/>
      <c r="Q555" s="11">
        <v>38</v>
      </c>
      <c r="R555" s="11"/>
      <c r="S555" s="11">
        <v>4</v>
      </c>
      <c r="T555" s="11"/>
      <c r="U555" s="11">
        <v>14</v>
      </c>
      <c r="V555" s="11"/>
      <c r="W555" s="11">
        <v>35</v>
      </c>
      <c r="X555" s="11">
        <v>14</v>
      </c>
      <c r="Y555" s="11"/>
      <c r="Z555" s="11">
        <v>43</v>
      </c>
      <c r="AA555" s="11"/>
      <c r="AB555" s="11">
        <v>62</v>
      </c>
      <c r="AC555" s="11"/>
      <c r="AD555" s="11">
        <v>52</v>
      </c>
      <c r="AE555" s="11"/>
      <c r="AF555" s="11">
        <v>53</v>
      </c>
      <c r="AG555" s="11"/>
      <c r="AH555" s="11">
        <v>34</v>
      </c>
    </row>
    <row r="556" spans="1:34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3">
        <v>0.7284722222222223</v>
      </c>
      <c r="K556" s="11"/>
      <c r="L556" s="14"/>
      <c r="M556" s="11" t="s">
        <v>74</v>
      </c>
      <c r="N556" s="11"/>
      <c r="O556" s="11" t="s">
        <v>74</v>
      </c>
      <c r="P556" s="11"/>
      <c r="Q556" s="11" t="s">
        <v>107</v>
      </c>
      <c r="R556" s="11"/>
      <c r="S556" s="11" t="s">
        <v>108</v>
      </c>
      <c r="T556" s="11"/>
      <c r="U556" s="11" t="s">
        <v>108</v>
      </c>
      <c r="V556" s="11"/>
      <c r="W556" s="11" t="s">
        <v>174</v>
      </c>
      <c r="X556" s="11" t="s">
        <v>74</v>
      </c>
      <c r="Y556" s="11"/>
      <c r="Z556" s="11" t="s">
        <v>74</v>
      </c>
      <c r="AA556" s="11"/>
      <c r="AB556" s="11" t="s">
        <v>107</v>
      </c>
      <c r="AC556" s="11"/>
      <c r="AD556" s="11" t="s">
        <v>108</v>
      </c>
      <c r="AE556" s="11"/>
      <c r="AF556" s="11" t="s">
        <v>108</v>
      </c>
      <c r="AG556" s="11"/>
      <c r="AH556" s="11" t="s">
        <v>174</v>
      </c>
    </row>
    <row r="557" spans="1:34" x14ac:dyDescent="0.25">
      <c r="A557" s="11">
        <v>221</v>
      </c>
      <c r="B557" s="11"/>
      <c r="C557" s="11"/>
      <c r="D557" s="11"/>
      <c r="E557" s="11"/>
      <c r="F557" s="11"/>
      <c r="G557" s="11"/>
      <c r="H557" s="11">
        <v>3</v>
      </c>
      <c r="I557" s="11" t="s">
        <v>175</v>
      </c>
      <c r="J557" s="13">
        <v>0.11388888888888889</v>
      </c>
      <c r="K557" s="11" t="s">
        <v>186</v>
      </c>
      <c r="L557" s="14" t="s">
        <v>387</v>
      </c>
      <c r="M557" s="11">
        <v>12</v>
      </c>
      <c r="N557" s="11"/>
      <c r="O557" s="11">
        <v>33</v>
      </c>
      <c r="P557" s="11"/>
      <c r="Q557" s="11">
        <v>38</v>
      </c>
      <c r="R557" s="11"/>
      <c r="S557" s="11">
        <v>4</v>
      </c>
      <c r="T557" s="11"/>
      <c r="U557" s="11">
        <v>14</v>
      </c>
      <c r="V557" s="11"/>
      <c r="W557" s="11">
        <v>35</v>
      </c>
      <c r="X557" s="11">
        <v>14</v>
      </c>
      <c r="Y557" s="11"/>
      <c r="Z557" s="11">
        <v>43</v>
      </c>
      <c r="AA557" s="11"/>
      <c r="AB557" s="11">
        <v>62</v>
      </c>
      <c r="AC557" s="11"/>
      <c r="AD557" s="11">
        <v>52</v>
      </c>
      <c r="AE557" s="11"/>
      <c r="AF557" s="11">
        <v>53</v>
      </c>
      <c r="AG557" s="11"/>
      <c r="AH557" s="11">
        <v>34</v>
      </c>
    </row>
    <row r="558" spans="1:34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3">
        <v>0.71944444444444444</v>
      </c>
      <c r="K558" s="11"/>
      <c r="L558" s="14"/>
      <c r="M558" s="11" t="s">
        <v>74</v>
      </c>
      <c r="N558" s="11"/>
      <c r="O558" s="11" t="s">
        <v>74</v>
      </c>
      <c r="P558" s="11"/>
      <c r="Q558" s="11" t="s">
        <v>107</v>
      </c>
      <c r="R558" s="11"/>
      <c r="S558" s="11" t="s">
        <v>108</v>
      </c>
      <c r="T558" s="11"/>
      <c r="U558" s="11" t="s">
        <v>108</v>
      </c>
      <c r="V558" s="11"/>
      <c r="W558" s="11" t="s">
        <v>174</v>
      </c>
      <c r="X558" s="11" t="s">
        <v>74</v>
      </c>
      <c r="Y558" s="11"/>
      <c r="Z558" s="11" t="s">
        <v>74</v>
      </c>
      <c r="AA558" s="11"/>
      <c r="AB558" s="11" t="s">
        <v>107</v>
      </c>
      <c r="AC558" s="11"/>
      <c r="AD558" s="11" t="s">
        <v>108</v>
      </c>
      <c r="AE558" s="11"/>
      <c r="AF558" s="11" t="s">
        <v>108</v>
      </c>
      <c r="AG558" s="11"/>
      <c r="AH558" s="11" t="s">
        <v>174</v>
      </c>
    </row>
    <row r="559" spans="1:34" x14ac:dyDescent="0.25">
      <c r="A559" s="11">
        <v>222</v>
      </c>
      <c r="B559" s="11"/>
      <c r="C559" s="11"/>
      <c r="D559" s="11"/>
      <c r="E559" s="11"/>
      <c r="F559" s="11"/>
      <c r="G559" s="11"/>
      <c r="H559" s="11">
        <v>3</v>
      </c>
      <c r="I559" s="11" t="s">
        <v>175</v>
      </c>
      <c r="J559" s="13">
        <v>0.11597222222222221</v>
      </c>
      <c r="K559" s="11" t="s">
        <v>226</v>
      </c>
      <c r="L559" s="14" t="s">
        <v>388</v>
      </c>
      <c r="M559" s="11">
        <v>12</v>
      </c>
      <c r="N559" s="11"/>
      <c r="O559" s="11">
        <v>9</v>
      </c>
      <c r="P559" s="11"/>
      <c r="Q559" s="11">
        <v>18</v>
      </c>
      <c r="R559" s="11"/>
      <c r="S559" s="11">
        <v>14</v>
      </c>
      <c r="T559" s="11"/>
      <c r="U559" s="11">
        <v>59</v>
      </c>
      <c r="V559" s="11"/>
      <c r="W559" s="11">
        <v>35</v>
      </c>
      <c r="X559" s="11">
        <v>14</v>
      </c>
      <c r="Y559" s="11"/>
      <c r="Z559" s="11">
        <v>43</v>
      </c>
      <c r="AA559" s="11"/>
      <c r="AB559" s="11">
        <v>62</v>
      </c>
      <c r="AC559" s="11"/>
      <c r="AD559" s="11">
        <v>52</v>
      </c>
      <c r="AE559" s="11"/>
      <c r="AF559" s="11">
        <v>53</v>
      </c>
      <c r="AG559" s="11"/>
      <c r="AH559" s="11">
        <v>34</v>
      </c>
    </row>
    <row r="560" spans="1:34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3">
        <v>0.71736111111111101</v>
      </c>
      <c r="K560" s="11"/>
      <c r="L560" s="14"/>
      <c r="M560" s="11" t="s">
        <v>74</v>
      </c>
      <c r="N560" s="11"/>
      <c r="O560" s="11" t="s">
        <v>107</v>
      </c>
      <c r="P560" s="11"/>
      <c r="Q560" s="11" t="s">
        <v>107</v>
      </c>
      <c r="R560" s="11"/>
      <c r="S560" s="11" t="s">
        <v>108</v>
      </c>
      <c r="T560" s="11"/>
      <c r="U560" s="11" t="s">
        <v>108</v>
      </c>
      <c r="V560" s="11"/>
      <c r="W560" s="11" t="s">
        <v>174</v>
      </c>
      <c r="X560" s="11" t="s">
        <v>74</v>
      </c>
      <c r="Y560" s="11"/>
      <c r="Z560" s="11" t="s">
        <v>74</v>
      </c>
      <c r="AA560" s="11"/>
      <c r="AB560" s="11" t="s">
        <v>107</v>
      </c>
      <c r="AC560" s="11"/>
      <c r="AD560" s="11" t="s">
        <v>108</v>
      </c>
      <c r="AE560" s="11"/>
      <c r="AF560" s="11" t="s">
        <v>108</v>
      </c>
      <c r="AG560" s="11"/>
      <c r="AH560" s="11" t="s">
        <v>174</v>
      </c>
    </row>
    <row r="561" spans="1:34" x14ac:dyDescent="0.25">
      <c r="A561" s="11">
        <v>223</v>
      </c>
      <c r="B561" s="11"/>
      <c r="C561" s="11"/>
      <c r="D561" s="11"/>
      <c r="E561" s="11"/>
      <c r="F561" s="11"/>
      <c r="G561" s="11"/>
      <c r="H561" s="11">
        <v>3</v>
      </c>
      <c r="I561" s="11" t="s">
        <v>230</v>
      </c>
      <c r="J561" s="13">
        <v>0.11597222222222221</v>
      </c>
      <c r="K561" s="11" t="s">
        <v>176</v>
      </c>
      <c r="L561" s="14" t="s">
        <v>389</v>
      </c>
      <c r="M561" s="11">
        <v>12</v>
      </c>
      <c r="N561" s="11"/>
      <c r="O561" s="11">
        <v>9</v>
      </c>
      <c r="P561" s="11"/>
      <c r="Q561" s="11">
        <v>18</v>
      </c>
      <c r="R561" s="11"/>
      <c r="S561" s="11">
        <v>14</v>
      </c>
      <c r="T561" s="11"/>
      <c r="U561" s="11">
        <v>59</v>
      </c>
      <c r="V561" s="11"/>
      <c r="W561" s="11">
        <v>35</v>
      </c>
      <c r="X561" s="11">
        <v>43</v>
      </c>
      <c r="Y561" s="11"/>
      <c r="Z561" s="11">
        <v>51</v>
      </c>
      <c r="AA561" s="11"/>
      <c r="AB561" s="11">
        <v>53</v>
      </c>
      <c r="AC561" s="11"/>
      <c r="AD561" s="11">
        <v>65</v>
      </c>
      <c r="AE561" s="11"/>
      <c r="AF561" s="11">
        <v>34</v>
      </c>
      <c r="AG561" s="11"/>
      <c r="AH561" s="11"/>
    </row>
    <row r="562" spans="1:34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3">
        <v>0.71736111111111101</v>
      </c>
      <c r="K562" s="11"/>
      <c r="L562" s="14"/>
      <c r="M562" s="11" t="s">
        <v>74</v>
      </c>
      <c r="N562" s="11"/>
      <c r="O562" s="11" t="s">
        <v>107</v>
      </c>
      <c r="P562" s="11"/>
      <c r="Q562" s="11" t="s">
        <v>107</v>
      </c>
      <c r="R562" s="11"/>
      <c r="S562" s="11" t="s">
        <v>108</v>
      </c>
      <c r="T562" s="11"/>
      <c r="U562" s="11" t="s">
        <v>108</v>
      </c>
      <c r="V562" s="11"/>
      <c r="W562" s="11" t="s">
        <v>174</v>
      </c>
      <c r="X562" s="11" t="s">
        <v>74</v>
      </c>
      <c r="Y562" s="11"/>
      <c r="Z562" s="11" t="s">
        <v>74</v>
      </c>
      <c r="AA562" s="11"/>
      <c r="AB562" s="11" t="s">
        <v>108</v>
      </c>
      <c r="AC562" s="11"/>
      <c r="AD562" s="11" t="s">
        <v>108</v>
      </c>
      <c r="AE562" s="11"/>
      <c r="AF562" s="11" t="s">
        <v>174</v>
      </c>
      <c r="AG562" s="11"/>
      <c r="AH562" s="11"/>
    </row>
    <row r="563" spans="1:34" x14ac:dyDescent="0.25">
      <c r="A563" s="11">
        <v>224</v>
      </c>
      <c r="B563" s="11"/>
      <c r="C563" s="11"/>
      <c r="D563" s="11"/>
      <c r="E563" s="11"/>
      <c r="F563" s="11"/>
      <c r="G563" s="11"/>
      <c r="H563" s="11">
        <v>3</v>
      </c>
      <c r="I563" s="11" t="s">
        <v>230</v>
      </c>
      <c r="J563" s="13">
        <v>0.15972222222222224</v>
      </c>
      <c r="K563" s="11" t="s">
        <v>188</v>
      </c>
      <c r="L563" s="14" t="s">
        <v>390</v>
      </c>
      <c r="M563" s="11">
        <v>12</v>
      </c>
      <c r="N563" s="11"/>
      <c r="O563" s="11">
        <v>9</v>
      </c>
      <c r="P563" s="11"/>
      <c r="Q563" s="11">
        <v>18</v>
      </c>
      <c r="R563" s="11"/>
      <c r="S563" s="11">
        <v>14</v>
      </c>
      <c r="T563" s="11"/>
      <c r="U563" s="11">
        <v>59</v>
      </c>
      <c r="V563" s="11"/>
      <c r="W563" s="11">
        <v>35</v>
      </c>
      <c r="X563" s="11">
        <v>41</v>
      </c>
      <c r="Y563" s="11"/>
      <c r="Z563" s="11">
        <v>20</v>
      </c>
      <c r="AA563" s="11"/>
      <c r="AB563" s="11">
        <v>2</v>
      </c>
      <c r="AC563" s="11"/>
      <c r="AD563" s="11">
        <v>25</v>
      </c>
      <c r="AE563" s="11"/>
      <c r="AF563" s="11">
        <v>34</v>
      </c>
      <c r="AG563" s="11"/>
      <c r="AH563" s="11"/>
    </row>
    <row r="564" spans="1:34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3">
        <v>0.67361111111111116</v>
      </c>
      <c r="K564" s="11"/>
      <c r="L564" s="14"/>
      <c r="M564" s="11" t="s">
        <v>74</v>
      </c>
      <c r="N564" s="11"/>
      <c r="O564" s="11" t="s">
        <v>107</v>
      </c>
      <c r="P564" s="11"/>
      <c r="Q564" s="11" t="s">
        <v>107</v>
      </c>
      <c r="R564" s="11"/>
      <c r="S564" s="11" t="s">
        <v>108</v>
      </c>
      <c r="T564" s="11"/>
      <c r="U564" s="11" t="s">
        <v>108</v>
      </c>
      <c r="V564" s="11"/>
      <c r="W564" s="11" t="s">
        <v>174</v>
      </c>
      <c r="X564" s="11" t="s">
        <v>74</v>
      </c>
      <c r="Y564" s="11"/>
      <c r="Z564" s="11" t="s">
        <v>107</v>
      </c>
      <c r="AA564" s="11"/>
      <c r="AB564" s="11" t="s">
        <v>108</v>
      </c>
      <c r="AC564" s="11"/>
      <c r="AD564" s="11" t="s">
        <v>108</v>
      </c>
      <c r="AE564" s="11"/>
      <c r="AF564" s="11" t="s">
        <v>174</v>
      </c>
      <c r="AG564" s="11"/>
      <c r="AH564" s="11"/>
    </row>
    <row r="565" spans="1:34" x14ac:dyDescent="0.25">
      <c r="A565" s="11">
        <v>225</v>
      </c>
      <c r="B565" s="11"/>
      <c r="C565" s="11"/>
      <c r="D565" s="11"/>
      <c r="E565" s="11"/>
      <c r="F565" s="11"/>
      <c r="G565" s="11"/>
      <c r="H565" s="11">
        <v>3</v>
      </c>
      <c r="I565" s="11" t="s">
        <v>230</v>
      </c>
      <c r="J565" s="13">
        <v>0.17708333333333334</v>
      </c>
      <c r="K565" s="11" t="s">
        <v>178</v>
      </c>
      <c r="L565" s="14" t="s">
        <v>391</v>
      </c>
      <c r="M565" s="11">
        <v>33</v>
      </c>
      <c r="N565" s="11"/>
      <c r="O565" s="11">
        <v>63</v>
      </c>
      <c r="P565" s="11"/>
      <c r="Q565" s="11">
        <v>38</v>
      </c>
      <c r="R565" s="11"/>
      <c r="S565" s="11">
        <v>4</v>
      </c>
      <c r="T565" s="11"/>
      <c r="U565" s="11">
        <v>76</v>
      </c>
      <c r="V565" s="11"/>
      <c r="W565" s="11">
        <v>35</v>
      </c>
      <c r="X565" s="11">
        <v>15</v>
      </c>
      <c r="Y565" s="11"/>
      <c r="Z565" s="11">
        <v>41</v>
      </c>
      <c r="AA565" s="11"/>
      <c r="AB565" s="11">
        <v>53</v>
      </c>
      <c r="AC565" s="11"/>
      <c r="AD565" s="11">
        <v>65</v>
      </c>
      <c r="AE565" s="11"/>
      <c r="AF565" s="11">
        <v>34</v>
      </c>
      <c r="AG565" s="11"/>
      <c r="AH565" s="11"/>
    </row>
    <row r="566" spans="1:34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3">
        <v>0.65625</v>
      </c>
      <c r="K566" s="11"/>
      <c r="L566" s="14"/>
      <c r="M566" s="11" t="s">
        <v>74</v>
      </c>
      <c r="N566" s="11"/>
      <c r="O566" s="11" t="s">
        <v>74</v>
      </c>
      <c r="P566" s="11"/>
      <c r="Q566" s="11" t="s">
        <v>107</v>
      </c>
      <c r="R566" s="11"/>
      <c r="S566" s="11" t="s">
        <v>108</v>
      </c>
      <c r="T566" s="11"/>
      <c r="U566" s="11" t="s">
        <v>108</v>
      </c>
      <c r="V566" s="11"/>
      <c r="W566" s="11" t="s">
        <v>174</v>
      </c>
      <c r="X566" s="11" t="s">
        <v>74</v>
      </c>
      <c r="Y566" s="11"/>
      <c r="Z566" s="11" t="s">
        <v>74</v>
      </c>
      <c r="AA566" s="11"/>
      <c r="AB566" s="11" t="s">
        <v>108</v>
      </c>
      <c r="AC566" s="11"/>
      <c r="AD566" s="11" t="s">
        <v>108</v>
      </c>
      <c r="AE566" s="11"/>
      <c r="AF566" s="11" t="s">
        <v>174</v>
      </c>
      <c r="AG566" s="11"/>
      <c r="AH566" s="11"/>
    </row>
    <row r="567" spans="1:34" x14ac:dyDescent="0.25">
      <c r="A567" s="11">
        <v>226</v>
      </c>
      <c r="B567" s="11"/>
      <c r="C567" s="11"/>
      <c r="D567" s="11"/>
      <c r="E567" s="11"/>
      <c r="F567" s="11"/>
      <c r="G567" s="11"/>
      <c r="H567" s="11">
        <v>3</v>
      </c>
      <c r="I567" s="11" t="s">
        <v>230</v>
      </c>
      <c r="J567" s="13">
        <v>0.19305555555555554</v>
      </c>
      <c r="K567" s="11" t="s">
        <v>231</v>
      </c>
      <c r="L567" s="14" t="s">
        <v>392</v>
      </c>
      <c r="M567" s="11">
        <v>33</v>
      </c>
      <c r="N567" s="11"/>
      <c r="O567" s="11">
        <v>63</v>
      </c>
      <c r="P567" s="11"/>
      <c r="Q567" s="11">
        <v>38</v>
      </c>
      <c r="R567" s="11"/>
      <c r="S567" s="11">
        <v>4</v>
      </c>
      <c r="T567" s="11"/>
      <c r="U567" s="11">
        <v>76</v>
      </c>
      <c r="V567" s="11"/>
      <c r="W567" s="11">
        <v>35</v>
      </c>
      <c r="X567" s="11">
        <v>15</v>
      </c>
      <c r="Y567" s="11"/>
      <c r="Z567" s="11">
        <v>41</v>
      </c>
      <c r="AA567" s="11"/>
      <c r="AB567" s="11">
        <v>53</v>
      </c>
      <c r="AC567" s="11"/>
      <c r="AD567" s="11">
        <v>65</v>
      </c>
      <c r="AE567" s="11"/>
      <c r="AF567" s="11">
        <v>34</v>
      </c>
      <c r="AG567" s="11"/>
      <c r="AH567" s="11"/>
    </row>
    <row r="568" spans="1:34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3">
        <v>0.64027777777777783</v>
      </c>
      <c r="K568" s="11"/>
      <c r="L568" s="14"/>
      <c r="M568" s="11" t="s">
        <v>74</v>
      </c>
      <c r="N568" s="11"/>
      <c r="O568" s="11" t="s">
        <v>74</v>
      </c>
      <c r="P568" s="11"/>
      <c r="Q568" s="11" t="s">
        <v>107</v>
      </c>
      <c r="R568" s="11"/>
      <c r="S568" s="11" t="s">
        <v>108</v>
      </c>
      <c r="T568" s="11"/>
      <c r="U568" s="11" t="s">
        <v>108</v>
      </c>
      <c r="V568" s="11"/>
      <c r="W568" s="11" t="s">
        <v>174</v>
      </c>
      <c r="X568" s="11" t="s">
        <v>74</v>
      </c>
      <c r="Y568" s="11"/>
      <c r="Z568" s="11" t="s">
        <v>74</v>
      </c>
      <c r="AA568" s="11"/>
      <c r="AB568" s="11" t="s">
        <v>108</v>
      </c>
      <c r="AC568" s="11"/>
      <c r="AD568" s="11" t="s">
        <v>108</v>
      </c>
      <c r="AE568" s="11"/>
      <c r="AF568" s="11" t="s">
        <v>174</v>
      </c>
      <c r="AG568" s="11"/>
      <c r="AH568" s="11"/>
    </row>
    <row r="569" spans="1:34" x14ac:dyDescent="0.25">
      <c r="A569" s="11">
        <v>227</v>
      </c>
      <c r="B569" s="11"/>
      <c r="C569" s="11"/>
      <c r="D569" s="11"/>
      <c r="E569" s="11"/>
      <c r="F569" s="11"/>
      <c r="G569" s="11"/>
      <c r="H569" s="11">
        <v>3</v>
      </c>
      <c r="I569" s="11" t="s">
        <v>175</v>
      </c>
      <c r="J569" s="13">
        <v>0.20625000000000002</v>
      </c>
      <c r="K569" s="11" t="s">
        <v>212</v>
      </c>
      <c r="L569" s="14" t="s">
        <v>393</v>
      </c>
      <c r="M569" s="11">
        <v>19</v>
      </c>
      <c r="N569" s="11"/>
      <c r="O569" s="11">
        <v>63</v>
      </c>
      <c r="P569" s="11"/>
      <c r="Q569" s="11">
        <v>56</v>
      </c>
      <c r="R569" s="11"/>
      <c r="S569" s="11">
        <v>4</v>
      </c>
      <c r="T569" s="11"/>
      <c r="U569" s="11">
        <v>76</v>
      </c>
      <c r="V569" s="11"/>
      <c r="W569" s="11">
        <v>35</v>
      </c>
      <c r="X569" s="11">
        <v>14</v>
      </c>
      <c r="Y569" s="11"/>
      <c r="Z569" s="11">
        <v>21</v>
      </c>
      <c r="AA569" s="11"/>
      <c r="AB569" s="11">
        <v>40</v>
      </c>
      <c r="AC569" s="11"/>
      <c r="AD569" s="11">
        <v>2</v>
      </c>
      <c r="AE569" s="11"/>
      <c r="AF569" s="11">
        <v>25</v>
      </c>
      <c r="AG569" s="11"/>
      <c r="AH569" s="11">
        <v>34</v>
      </c>
    </row>
    <row r="570" spans="1:34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3">
        <v>0.62708333333333333</v>
      </c>
      <c r="K570" s="11"/>
      <c r="L570" s="14"/>
      <c r="M570" s="11" t="s">
        <v>74</v>
      </c>
      <c r="N570" s="11"/>
      <c r="O570" s="11" t="s">
        <v>74</v>
      </c>
      <c r="P570" s="11"/>
      <c r="Q570" s="11" t="s">
        <v>107</v>
      </c>
      <c r="R570" s="11"/>
      <c r="S570" s="11" t="s">
        <v>108</v>
      </c>
      <c r="T570" s="11"/>
      <c r="U570" s="11" t="s">
        <v>108</v>
      </c>
      <c r="V570" s="11"/>
      <c r="W570" s="11" t="s">
        <v>174</v>
      </c>
      <c r="X570" s="11" t="s">
        <v>74</v>
      </c>
      <c r="Y570" s="11"/>
      <c r="Z570" s="11" t="s">
        <v>74</v>
      </c>
      <c r="AA570" s="11"/>
      <c r="AB570" s="11" t="s">
        <v>107</v>
      </c>
      <c r="AC570" s="11"/>
      <c r="AD570" s="11" t="s">
        <v>108</v>
      </c>
      <c r="AE570" s="11"/>
      <c r="AF570" s="11" t="s">
        <v>108</v>
      </c>
      <c r="AG570" s="11"/>
      <c r="AH570" s="11" t="s">
        <v>174</v>
      </c>
    </row>
    <row r="571" spans="1:34" x14ac:dyDescent="0.25">
      <c r="A571" s="11">
        <v>228</v>
      </c>
      <c r="B571" s="11"/>
      <c r="C571" s="11"/>
      <c r="D571" s="11"/>
      <c r="E571" s="11"/>
      <c r="F571" s="11"/>
      <c r="G571" s="11"/>
      <c r="H571" s="11">
        <v>3</v>
      </c>
      <c r="I571" s="11" t="s">
        <v>175</v>
      </c>
      <c r="J571" s="13">
        <v>0.21041666666666667</v>
      </c>
      <c r="K571" s="11" t="s">
        <v>212</v>
      </c>
      <c r="L571" s="14" t="s">
        <v>394</v>
      </c>
      <c r="M571" s="11">
        <v>19</v>
      </c>
      <c r="N571" s="11"/>
      <c r="O571" s="11">
        <v>63</v>
      </c>
      <c r="P571" s="11"/>
      <c r="Q571" s="11">
        <v>56</v>
      </c>
      <c r="R571" s="11"/>
      <c r="S571" s="11">
        <v>4</v>
      </c>
      <c r="T571" s="11"/>
      <c r="U571" s="11">
        <v>76</v>
      </c>
      <c r="V571" s="11"/>
      <c r="W571" s="11">
        <v>35</v>
      </c>
      <c r="X571" s="11">
        <v>14</v>
      </c>
      <c r="Y571" s="11"/>
      <c r="Z571" s="11">
        <v>21</v>
      </c>
      <c r="AA571" s="11"/>
      <c r="AB571" s="11">
        <v>40</v>
      </c>
      <c r="AC571" s="11"/>
      <c r="AD571" s="11">
        <v>2</v>
      </c>
      <c r="AE571" s="11"/>
      <c r="AF571" s="11">
        <v>25</v>
      </c>
      <c r="AG571" s="11"/>
      <c r="AH571" s="11">
        <v>34</v>
      </c>
    </row>
    <row r="572" spans="1:34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3">
        <v>0.62291666666666667</v>
      </c>
      <c r="K572" s="11"/>
      <c r="L572" s="14"/>
      <c r="M572" s="11" t="s">
        <v>74</v>
      </c>
      <c r="N572" s="11"/>
      <c r="O572" s="11" t="s">
        <v>74</v>
      </c>
      <c r="P572" s="11"/>
      <c r="Q572" s="11" t="s">
        <v>107</v>
      </c>
      <c r="R572" s="11"/>
      <c r="S572" s="11" t="s">
        <v>108</v>
      </c>
      <c r="T572" s="11"/>
      <c r="U572" s="11" t="s">
        <v>108</v>
      </c>
      <c r="V572" s="11"/>
      <c r="W572" s="11" t="s">
        <v>174</v>
      </c>
      <c r="X572" s="11" t="s">
        <v>74</v>
      </c>
      <c r="Y572" s="11"/>
      <c r="Z572" s="11" t="s">
        <v>74</v>
      </c>
      <c r="AA572" s="11"/>
      <c r="AB572" s="11" t="s">
        <v>107</v>
      </c>
      <c r="AC572" s="11"/>
      <c r="AD572" s="11" t="s">
        <v>108</v>
      </c>
      <c r="AE572" s="11"/>
      <c r="AF572" s="11" t="s">
        <v>108</v>
      </c>
      <c r="AG572" s="11"/>
      <c r="AH572" s="11" t="s">
        <v>174</v>
      </c>
    </row>
    <row r="573" spans="1:34" x14ac:dyDescent="0.25">
      <c r="A573" s="11">
        <v>229</v>
      </c>
      <c r="B573" s="11"/>
      <c r="C573" s="11"/>
      <c r="D573" s="11"/>
      <c r="E573" s="11"/>
      <c r="F573" s="11"/>
      <c r="G573" s="11"/>
      <c r="H573" s="11">
        <v>3</v>
      </c>
      <c r="I573" s="11" t="s">
        <v>175</v>
      </c>
      <c r="J573" s="13">
        <v>0.25763888888888892</v>
      </c>
      <c r="K573" s="11" t="s">
        <v>180</v>
      </c>
      <c r="L573" s="14" t="s">
        <v>395</v>
      </c>
      <c r="M573" s="11">
        <v>12</v>
      </c>
      <c r="N573" s="11"/>
      <c r="O573" s="11">
        <v>9</v>
      </c>
      <c r="P573" s="11"/>
      <c r="Q573" s="11">
        <v>18</v>
      </c>
      <c r="R573" s="11"/>
      <c r="S573" s="11">
        <v>59</v>
      </c>
      <c r="T573" s="11"/>
      <c r="U573" s="11">
        <v>76</v>
      </c>
      <c r="V573" s="11"/>
      <c r="W573" s="11">
        <v>35</v>
      </c>
      <c r="X573" s="11">
        <v>51</v>
      </c>
      <c r="Y573" s="11"/>
      <c r="Z573" s="11">
        <v>8</v>
      </c>
      <c r="AA573" s="11"/>
      <c r="AB573" s="11">
        <v>62</v>
      </c>
      <c r="AC573" s="11"/>
      <c r="AD573" s="11">
        <v>48</v>
      </c>
      <c r="AE573" s="11"/>
      <c r="AF573" s="11">
        <v>52</v>
      </c>
      <c r="AG573" s="11"/>
      <c r="AH573" s="11">
        <v>34</v>
      </c>
    </row>
    <row r="574" spans="1:34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3">
        <v>0.5756944444444444</v>
      </c>
      <c r="K574" s="11"/>
      <c r="L574" s="14"/>
      <c r="M574" s="11" t="s">
        <v>74</v>
      </c>
      <c r="N574" s="11"/>
      <c r="O574" s="11" t="s">
        <v>107</v>
      </c>
      <c r="P574" s="11"/>
      <c r="Q574" s="11" t="s">
        <v>107</v>
      </c>
      <c r="R574" s="11"/>
      <c r="S574" s="11" t="s">
        <v>108</v>
      </c>
      <c r="T574" s="11"/>
      <c r="U574" s="11" t="s">
        <v>108</v>
      </c>
      <c r="V574" s="11"/>
      <c r="W574" s="11" t="s">
        <v>174</v>
      </c>
      <c r="X574" s="11" t="s">
        <v>74</v>
      </c>
      <c r="Y574" s="11"/>
      <c r="Z574" s="11" t="s">
        <v>107</v>
      </c>
      <c r="AA574" s="11"/>
      <c r="AB574" s="11" t="s">
        <v>107</v>
      </c>
      <c r="AC574" s="11"/>
      <c r="AD574" s="11" t="s">
        <v>108</v>
      </c>
      <c r="AE574" s="11"/>
      <c r="AF574" s="11" t="s">
        <v>108</v>
      </c>
      <c r="AG574" s="11"/>
      <c r="AH574" s="11" t="s">
        <v>174</v>
      </c>
    </row>
    <row r="575" spans="1:34" x14ac:dyDescent="0.25">
      <c r="A575" s="11">
        <v>230</v>
      </c>
      <c r="B575" s="11"/>
      <c r="C575" s="11"/>
      <c r="D575" s="11"/>
      <c r="E575" s="11"/>
      <c r="F575" s="11"/>
      <c r="G575" s="11"/>
      <c r="H575" s="11">
        <v>3</v>
      </c>
      <c r="I575" s="11" t="s">
        <v>175</v>
      </c>
      <c r="J575" s="13">
        <v>0.2673611111111111</v>
      </c>
      <c r="K575" s="11" t="s">
        <v>178</v>
      </c>
      <c r="L575" s="14" t="s">
        <v>396</v>
      </c>
      <c r="M575" s="11">
        <v>63</v>
      </c>
      <c r="N575" s="11"/>
      <c r="O575" s="11">
        <v>9</v>
      </c>
      <c r="P575" s="11"/>
      <c r="Q575" s="11">
        <v>18</v>
      </c>
      <c r="R575" s="11"/>
      <c r="S575" s="11">
        <v>59</v>
      </c>
      <c r="T575" s="11"/>
      <c r="U575" s="11">
        <v>76</v>
      </c>
      <c r="V575" s="11"/>
      <c r="W575" s="11">
        <v>35</v>
      </c>
      <c r="X575" s="11">
        <v>51</v>
      </c>
      <c r="Y575" s="11"/>
      <c r="Z575" s="11">
        <v>8</v>
      </c>
      <c r="AA575" s="11"/>
      <c r="AB575" s="11">
        <v>62</v>
      </c>
      <c r="AC575" s="11"/>
      <c r="AD575" s="11">
        <v>2</v>
      </c>
      <c r="AE575" s="11"/>
      <c r="AF575" s="11">
        <v>53</v>
      </c>
      <c r="AG575" s="11"/>
      <c r="AH575" s="11">
        <v>34</v>
      </c>
    </row>
    <row r="576" spans="1:34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3">
        <v>0.56597222222222221</v>
      </c>
      <c r="K576" s="11"/>
      <c r="L576" s="14"/>
      <c r="M576" s="11" t="s">
        <v>74</v>
      </c>
      <c r="N576" s="11"/>
      <c r="O576" s="11" t="s">
        <v>107</v>
      </c>
      <c r="P576" s="11"/>
      <c r="Q576" s="11" t="s">
        <v>107</v>
      </c>
      <c r="R576" s="11"/>
      <c r="S576" s="11" t="s">
        <v>108</v>
      </c>
      <c r="T576" s="11"/>
      <c r="U576" s="11" t="s">
        <v>108</v>
      </c>
      <c r="V576" s="11"/>
      <c r="W576" s="11" t="s">
        <v>174</v>
      </c>
      <c r="X576" s="11" t="s">
        <v>74</v>
      </c>
      <c r="Y576" s="11"/>
      <c r="Z576" s="11" t="s">
        <v>107</v>
      </c>
      <c r="AA576" s="11"/>
      <c r="AB576" s="11" t="s">
        <v>107</v>
      </c>
      <c r="AC576" s="11"/>
      <c r="AD576" s="11" t="s">
        <v>108</v>
      </c>
      <c r="AE576" s="11"/>
      <c r="AF576" s="11" t="s">
        <v>108</v>
      </c>
      <c r="AG576" s="11"/>
      <c r="AH576" s="11" t="s">
        <v>174</v>
      </c>
    </row>
    <row r="577" spans="1:34" x14ac:dyDescent="0.25">
      <c r="A577" s="11">
        <v>231</v>
      </c>
      <c r="B577" s="11"/>
      <c r="C577" s="11"/>
      <c r="D577" s="11"/>
      <c r="E577" s="11"/>
      <c r="F577" s="11"/>
      <c r="G577" s="11"/>
      <c r="H577" s="11">
        <v>3</v>
      </c>
      <c r="I577" s="11" t="s">
        <v>175</v>
      </c>
      <c r="J577" s="13">
        <v>0.27569444444444446</v>
      </c>
      <c r="K577" s="11" t="s">
        <v>212</v>
      </c>
      <c r="L577" s="14" t="s">
        <v>397</v>
      </c>
      <c r="M577" s="11">
        <v>63</v>
      </c>
      <c r="N577" s="11"/>
      <c r="O577" s="11">
        <v>38</v>
      </c>
      <c r="P577" s="11"/>
      <c r="Q577" s="11">
        <v>56</v>
      </c>
      <c r="R577" s="11"/>
      <c r="S577" s="11">
        <v>4</v>
      </c>
      <c r="T577" s="11"/>
      <c r="U577" s="11">
        <v>76</v>
      </c>
      <c r="V577" s="11"/>
      <c r="W577" s="11">
        <v>35</v>
      </c>
      <c r="X577" s="11">
        <v>41</v>
      </c>
      <c r="Y577" s="11"/>
      <c r="Z577" s="11">
        <v>20</v>
      </c>
      <c r="AA577" s="11"/>
      <c r="AB577" s="11">
        <v>62</v>
      </c>
      <c r="AC577" s="11"/>
      <c r="AD577" s="11">
        <v>2</v>
      </c>
      <c r="AE577" s="11"/>
      <c r="AF577" s="11">
        <v>53</v>
      </c>
      <c r="AG577" s="11"/>
      <c r="AH577" s="11">
        <v>34</v>
      </c>
    </row>
    <row r="578" spans="1:34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3">
        <v>0.55763888888888891</v>
      </c>
      <c r="K578" s="11"/>
      <c r="L578" s="14"/>
      <c r="M578" s="11" t="s">
        <v>74</v>
      </c>
      <c r="N578" s="11"/>
      <c r="O578" s="11" t="s">
        <v>107</v>
      </c>
      <c r="P578" s="11"/>
      <c r="Q578" s="11" t="s">
        <v>107</v>
      </c>
      <c r="R578" s="11"/>
      <c r="S578" s="11" t="s">
        <v>108</v>
      </c>
      <c r="T578" s="11"/>
      <c r="U578" s="11" t="s">
        <v>108</v>
      </c>
      <c r="V578" s="11"/>
      <c r="W578" s="11" t="s">
        <v>174</v>
      </c>
      <c r="X578" s="11" t="s">
        <v>74</v>
      </c>
      <c r="Y578" s="11"/>
      <c r="Z578" s="11" t="s">
        <v>107</v>
      </c>
      <c r="AA578" s="11"/>
      <c r="AB578" s="11" t="s">
        <v>107</v>
      </c>
      <c r="AC578" s="11"/>
      <c r="AD578" s="11" t="s">
        <v>108</v>
      </c>
      <c r="AE578" s="11"/>
      <c r="AF578" s="11" t="s">
        <v>108</v>
      </c>
      <c r="AG578" s="11"/>
      <c r="AH578" s="11" t="s">
        <v>174</v>
      </c>
    </row>
    <row r="579" spans="1:34" x14ac:dyDescent="0.25">
      <c r="A579" s="11">
        <v>232</v>
      </c>
      <c r="B579" s="11"/>
      <c r="C579" s="11"/>
      <c r="D579" s="11"/>
      <c r="E579" s="11"/>
      <c r="F579" s="11"/>
      <c r="G579" s="11"/>
      <c r="H579" s="11">
        <v>3</v>
      </c>
      <c r="I579" s="11" t="s">
        <v>175</v>
      </c>
      <c r="J579" s="13">
        <v>0.28333333333333333</v>
      </c>
      <c r="K579" s="11" t="s">
        <v>180</v>
      </c>
      <c r="L579" s="14" t="s">
        <v>398</v>
      </c>
      <c r="M579" s="11">
        <v>63</v>
      </c>
      <c r="N579" s="11"/>
      <c r="O579" s="11">
        <v>38</v>
      </c>
      <c r="P579" s="11"/>
      <c r="Q579" s="11">
        <v>56</v>
      </c>
      <c r="R579" s="11"/>
      <c r="S579" s="11">
        <v>4</v>
      </c>
      <c r="T579" s="11"/>
      <c r="U579" s="11">
        <v>14</v>
      </c>
      <c r="V579" s="11"/>
      <c r="W579" s="11">
        <v>35</v>
      </c>
      <c r="X579" s="11">
        <v>29</v>
      </c>
      <c r="Y579" s="11"/>
      <c r="Z579" s="11">
        <v>41</v>
      </c>
      <c r="AA579" s="11"/>
      <c r="AB579" s="11">
        <v>20</v>
      </c>
      <c r="AC579" s="11"/>
      <c r="AD579" s="11">
        <v>2</v>
      </c>
      <c r="AE579" s="11"/>
      <c r="AF579" s="11">
        <v>53</v>
      </c>
      <c r="AG579" s="11"/>
      <c r="AH579" s="11">
        <v>34</v>
      </c>
    </row>
    <row r="580" spans="1:34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3">
        <v>0.54999999999999993</v>
      </c>
      <c r="K580" s="11"/>
      <c r="L580" s="14"/>
      <c r="M580" s="11" t="s">
        <v>74</v>
      </c>
      <c r="N580" s="11"/>
      <c r="O580" s="11" t="s">
        <v>107</v>
      </c>
      <c r="P580" s="11"/>
      <c r="Q580" s="11" t="s">
        <v>107</v>
      </c>
      <c r="R580" s="11"/>
      <c r="S580" s="11" t="s">
        <v>108</v>
      </c>
      <c r="T580" s="11"/>
      <c r="U580" s="11" t="s">
        <v>108</v>
      </c>
      <c r="V580" s="11"/>
      <c r="W580" s="11" t="s">
        <v>174</v>
      </c>
      <c r="X580" s="11" t="s">
        <v>74</v>
      </c>
      <c r="Y580" s="11"/>
      <c r="Z580" s="11" t="s">
        <v>74</v>
      </c>
      <c r="AA580" s="11"/>
      <c r="AB580" s="11" t="s">
        <v>107</v>
      </c>
      <c r="AC580" s="11"/>
      <c r="AD580" s="11" t="s">
        <v>108</v>
      </c>
      <c r="AE580" s="11"/>
      <c r="AF580" s="11" t="s">
        <v>108</v>
      </c>
      <c r="AG580" s="11"/>
      <c r="AH580" s="11" t="s">
        <v>174</v>
      </c>
    </row>
    <row r="581" spans="1:34" x14ac:dyDescent="0.25">
      <c r="A581" s="11">
        <v>233</v>
      </c>
      <c r="B581" s="11"/>
      <c r="C581" s="11"/>
      <c r="D581" s="11"/>
      <c r="E581" s="11"/>
      <c r="F581" s="11"/>
      <c r="G581" s="11"/>
      <c r="H581" s="11">
        <v>3</v>
      </c>
      <c r="I581" s="11" t="s">
        <v>175</v>
      </c>
      <c r="J581" s="13">
        <v>0.28680555555555554</v>
      </c>
      <c r="K581" s="11" t="s">
        <v>231</v>
      </c>
      <c r="L581" s="14" t="s">
        <v>399</v>
      </c>
      <c r="M581" s="11">
        <v>63</v>
      </c>
      <c r="N581" s="11"/>
      <c r="O581" s="11">
        <v>38</v>
      </c>
      <c r="P581" s="11"/>
      <c r="Q581" s="11">
        <v>56</v>
      </c>
      <c r="R581" s="11"/>
      <c r="S581" s="11">
        <v>4</v>
      </c>
      <c r="T581" s="11"/>
      <c r="U581" s="11">
        <v>14</v>
      </c>
      <c r="V581" s="11"/>
      <c r="W581" s="11">
        <v>35</v>
      </c>
      <c r="X581" s="11">
        <v>29</v>
      </c>
      <c r="Y581" s="11"/>
      <c r="Z581" s="11">
        <v>41</v>
      </c>
      <c r="AA581" s="11"/>
      <c r="AB581" s="11">
        <v>20</v>
      </c>
      <c r="AC581" s="11"/>
      <c r="AD581" s="11">
        <v>2</v>
      </c>
      <c r="AE581" s="11"/>
      <c r="AF581" s="11">
        <v>53</v>
      </c>
      <c r="AG581" s="11"/>
      <c r="AH581" s="11">
        <v>34</v>
      </c>
    </row>
    <row r="582" spans="1:34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3">
        <v>0.54652777777777783</v>
      </c>
      <c r="K582" s="11"/>
      <c r="L582" s="14"/>
      <c r="M582" s="11" t="s">
        <v>74</v>
      </c>
      <c r="N582" s="11"/>
      <c r="O582" s="11" t="s">
        <v>107</v>
      </c>
      <c r="P582" s="11"/>
      <c r="Q582" s="11" t="s">
        <v>107</v>
      </c>
      <c r="R582" s="11"/>
      <c r="S582" s="11" t="s">
        <v>108</v>
      </c>
      <c r="T582" s="11"/>
      <c r="U582" s="11" t="s">
        <v>108</v>
      </c>
      <c r="V582" s="11"/>
      <c r="W582" s="11" t="s">
        <v>174</v>
      </c>
      <c r="X582" s="11" t="s">
        <v>74</v>
      </c>
      <c r="Y582" s="11"/>
      <c r="Z582" s="11" t="s">
        <v>74</v>
      </c>
      <c r="AA582" s="11"/>
      <c r="AB582" s="11" t="s">
        <v>107</v>
      </c>
      <c r="AC582" s="11"/>
      <c r="AD582" s="11" t="s">
        <v>108</v>
      </c>
      <c r="AE582" s="11"/>
      <c r="AF582" s="11" t="s">
        <v>108</v>
      </c>
      <c r="AG582" s="11"/>
      <c r="AH582" s="11" t="s">
        <v>174</v>
      </c>
    </row>
    <row r="583" spans="1:34" x14ac:dyDescent="0.25">
      <c r="A583" s="11">
        <v>234</v>
      </c>
      <c r="B583" s="11"/>
      <c r="C583" s="11"/>
      <c r="D583" s="11"/>
      <c r="E583" s="11"/>
      <c r="F583" s="11"/>
      <c r="G583" s="11"/>
      <c r="H583" s="11">
        <v>3</v>
      </c>
      <c r="I583" s="11" t="s">
        <v>175</v>
      </c>
      <c r="J583" s="13">
        <v>0.29444444444444445</v>
      </c>
      <c r="K583" s="11" t="s">
        <v>180</v>
      </c>
      <c r="L583" s="14" t="s">
        <v>400</v>
      </c>
      <c r="M583" s="11">
        <v>63</v>
      </c>
      <c r="N583" s="11"/>
      <c r="O583" s="11">
        <v>38</v>
      </c>
      <c r="P583" s="11"/>
      <c r="Q583" s="11">
        <v>56</v>
      </c>
      <c r="R583" s="11"/>
      <c r="S583" s="11">
        <v>4</v>
      </c>
      <c r="T583" s="11"/>
      <c r="U583" s="11">
        <v>14</v>
      </c>
      <c r="V583" s="11"/>
      <c r="W583" s="11">
        <v>35</v>
      </c>
      <c r="X583" s="11">
        <v>29</v>
      </c>
      <c r="Y583" s="11"/>
      <c r="Z583" s="11">
        <v>41</v>
      </c>
      <c r="AA583" s="11"/>
      <c r="AB583" s="11">
        <v>20</v>
      </c>
      <c r="AC583" s="11"/>
      <c r="AD583" s="11">
        <v>25</v>
      </c>
      <c r="AE583" s="11"/>
      <c r="AF583" s="11">
        <v>65</v>
      </c>
      <c r="AG583" s="11"/>
      <c r="AH583" s="11">
        <v>34</v>
      </c>
    </row>
    <row r="584" spans="1:34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3">
        <v>0.53888888888888886</v>
      </c>
      <c r="K584" s="11"/>
      <c r="L584" s="14"/>
      <c r="M584" s="11" t="s">
        <v>74</v>
      </c>
      <c r="N584" s="11"/>
      <c r="O584" s="11" t="s">
        <v>107</v>
      </c>
      <c r="P584" s="11"/>
      <c r="Q584" s="11" t="s">
        <v>107</v>
      </c>
      <c r="R584" s="11"/>
      <c r="S584" s="11" t="s">
        <v>108</v>
      </c>
      <c r="T584" s="11"/>
      <c r="U584" s="11" t="s">
        <v>108</v>
      </c>
      <c r="V584" s="11"/>
      <c r="W584" s="11" t="s">
        <v>174</v>
      </c>
      <c r="X584" s="11" t="s">
        <v>74</v>
      </c>
      <c r="Y584" s="11"/>
      <c r="Z584" s="11" t="s">
        <v>74</v>
      </c>
      <c r="AA584" s="11"/>
      <c r="AB584" s="11" t="s">
        <v>107</v>
      </c>
      <c r="AC584" s="11"/>
      <c r="AD584" s="11" t="s">
        <v>108</v>
      </c>
      <c r="AE584" s="11"/>
      <c r="AF584" s="11" t="s">
        <v>108</v>
      </c>
      <c r="AG584" s="11"/>
      <c r="AH584" s="11" t="s">
        <v>174</v>
      </c>
    </row>
    <row r="585" spans="1:34" x14ac:dyDescent="0.25">
      <c r="A585" s="11">
        <v>235</v>
      </c>
      <c r="B585" s="11"/>
      <c r="C585" s="11"/>
      <c r="D585" s="11"/>
      <c r="E585" s="11"/>
      <c r="F585" s="11"/>
      <c r="G585" s="11"/>
      <c r="H585" s="11">
        <v>3</v>
      </c>
      <c r="I585" s="11" t="s">
        <v>175</v>
      </c>
      <c r="J585" s="13">
        <v>0.3</v>
      </c>
      <c r="K585" s="11" t="s">
        <v>178</v>
      </c>
      <c r="L585" s="14" t="s">
        <v>401</v>
      </c>
      <c r="M585" s="11">
        <v>63</v>
      </c>
      <c r="N585" s="11"/>
      <c r="O585" s="11">
        <v>38</v>
      </c>
      <c r="P585" s="11"/>
      <c r="Q585" s="11">
        <v>56</v>
      </c>
      <c r="R585" s="11"/>
      <c r="S585" s="11">
        <v>4</v>
      </c>
      <c r="T585" s="11"/>
      <c r="U585" s="11">
        <v>14</v>
      </c>
      <c r="V585" s="11"/>
      <c r="W585" s="11">
        <v>35</v>
      </c>
      <c r="X585" s="11">
        <v>29</v>
      </c>
      <c r="Y585" s="11"/>
      <c r="Z585" s="11">
        <v>41</v>
      </c>
      <c r="AA585" s="11"/>
      <c r="AB585" s="11">
        <v>20</v>
      </c>
      <c r="AC585" s="11"/>
      <c r="AD585" s="11">
        <v>25</v>
      </c>
      <c r="AE585" s="11"/>
      <c r="AF585" s="11">
        <v>65</v>
      </c>
      <c r="AG585" s="11"/>
      <c r="AH585" s="11">
        <v>34</v>
      </c>
    </row>
    <row r="586" spans="1:34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3">
        <v>0.53333333333333333</v>
      </c>
      <c r="K586" s="11"/>
      <c r="L586" s="14"/>
      <c r="M586" s="11" t="s">
        <v>74</v>
      </c>
      <c r="N586" s="11"/>
      <c r="O586" s="11" t="s">
        <v>107</v>
      </c>
      <c r="P586" s="11"/>
      <c r="Q586" s="11" t="s">
        <v>107</v>
      </c>
      <c r="R586" s="11"/>
      <c r="S586" s="11" t="s">
        <v>108</v>
      </c>
      <c r="T586" s="11"/>
      <c r="U586" s="11" t="s">
        <v>108</v>
      </c>
      <c r="V586" s="11"/>
      <c r="W586" s="11" t="s">
        <v>174</v>
      </c>
      <c r="X586" s="11" t="s">
        <v>74</v>
      </c>
      <c r="Y586" s="11"/>
      <c r="Z586" s="11" t="s">
        <v>74</v>
      </c>
      <c r="AA586" s="11"/>
      <c r="AB586" s="11" t="s">
        <v>107</v>
      </c>
      <c r="AC586" s="11"/>
      <c r="AD586" s="11" t="s">
        <v>108</v>
      </c>
      <c r="AE586" s="11"/>
      <c r="AF586" s="11" t="s">
        <v>108</v>
      </c>
      <c r="AG586" s="11"/>
      <c r="AH586" s="11" t="s">
        <v>174</v>
      </c>
    </row>
    <row r="587" spans="1:34" x14ac:dyDescent="0.25">
      <c r="A587" s="11">
        <v>236</v>
      </c>
      <c r="B587" s="11"/>
      <c r="C587" s="11"/>
      <c r="D587" s="11"/>
      <c r="E587" s="11"/>
      <c r="F587" s="11"/>
      <c r="G587" s="11"/>
      <c r="H587" s="11">
        <v>3</v>
      </c>
      <c r="I587" s="11" t="s">
        <v>175</v>
      </c>
      <c r="J587" s="13">
        <v>0.32222222222222224</v>
      </c>
      <c r="K587" s="11" t="s">
        <v>178</v>
      </c>
      <c r="L587" s="14" t="s">
        <v>402</v>
      </c>
      <c r="M587" s="11">
        <v>10</v>
      </c>
      <c r="N587" s="11"/>
      <c r="O587" s="11">
        <v>19</v>
      </c>
      <c r="P587" s="11"/>
      <c r="Q587" s="11">
        <v>33</v>
      </c>
      <c r="R587" s="11"/>
      <c r="S587" s="11">
        <v>4</v>
      </c>
      <c r="T587" s="11"/>
      <c r="U587" s="11">
        <v>14</v>
      </c>
      <c r="V587" s="11"/>
      <c r="W587" s="11">
        <v>35</v>
      </c>
      <c r="X587" s="11">
        <v>21</v>
      </c>
      <c r="Y587" s="11"/>
      <c r="Z587" s="11">
        <v>43</v>
      </c>
      <c r="AA587" s="11"/>
      <c r="AB587" s="11">
        <v>40</v>
      </c>
      <c r="AC587" s="11"/>
      <c r="AD587" s="11">
        <v>25</v>
      </c>
      <c r="AE587" s="11"/>
      <c r="AF587" s="11">
        <v>65</v>
      </c>
      <c r="AG587" s="11"/>
      <c r="AH587" s="11">
        <v>34</v>
      </c>
    </row>
    <row r="588" spans="1:34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3">
        <v>0.51111111111111118</v>
      </c>
      <c r="K588" s="11"/>
      <c r="L588" s="14"/>
      <c r="M588" s="11" t="s">
        <v>74</v>
      </c>
      <c r="N588" s="11"/>
      <c r="O588" s="11" t="s">
        <v>74</v>
      </c>
      <c r="P588" s="11"/>
      <c r="Q588" s="11" t="s">
        <v>74</v>
      </c>
      <c r="R588" s="11"/>
      <c r="S588" s="11" t="s">
        <v>108</v>
      </c>
      <c r="T588" s="11"/>
      <c r="U588" s="11" t="s">
        <v>108</v>
      </c>
      <c r="V588" s="11"/>
      <c r="W588" s="11" t="s">
        <v>174</v>
      </c>
      <c r="X588" s="11" t="s">
        <v>74</v>
      </c>
      <c r="Y588" s="11"/>
      <c r="Z588" s="11" t="s">
        <v>74</v>
      </c>
      <c r="AA588" s="11"/>
      <c r="AB588" s="11" t="s">
        <v>107</v>
      </c>
      <c r="AC588" s="11"/>
      <c r="AD588" s="11" t="s">
        <v>108</v>
      </c>
      <c r="AE588" s="11"/>
      <c r="AF588" s="11" t="s">
        <v>108</v>
      </c>
      <c r="AG588" s="11"/>
      <c r="AH588" s="11" t="s">
        <v>174</v>
      </c>
    </row>
    <row r="589" spans="1:34" x14ac:dyDescent="0.25">
      <c r="A589" s="11">
        <v>237</v>
      </c>
      <c r="B589" s="11"/>
      <c r="C589" s="11"/>
      <c r="D589" s="11"/>
      <c r="E589" s="11"/>
      <c r="F589" s="11"/>
      <c r="G589" s="11"/>
      <c r="H589" s="11">
        <v>3</v>
      </c>
      <c r="I589" s="11" t="s">
        <v>175</v>
      </c>
      <c r="J589" s="13">
        <v>0.35486111111111113</v>
      </c>
      <c r="K589" s="11" t="s">
        <v>188</v>
      </c>
      <c r="L589" s="14" t="s">
        <v>403</v>
      </c>
      <c r="M589" s="11">
        <v>12</v>
      </c>
      <c r="N589" s="11"/>
      <c r="O589" s="11">
        <v>9</v>
      </c>
      <c r="P589" s="11"/>
      <c r="Q589" s="11">
        <v>18</v>
      </c>
      <c r="R589" s="11"/>
      <c r="S589" s="11">
        <v>25</v>
      </c>
      <c r="T589" s="11"/>
      <c r="U589" s="11">
        <v>76</v>
      </c>
      <c r="V589" s="11"/>
      <c r="W589" s="11">
        <v>35</v>
      </c>
      <c r="X589" s="11">
        <v>14</v>
      </c>
      <c r="Y589" s="11"/>
      <c r="Z589" s="11">
        <v>51</v>
      </c>
      <c r="AA589" s="11"/>
      <c r="AB589" s="11">
        <v>8</v>
      </c>
      <c r="AC589" s="11"/>
      <c r="AD589" s="11">
        <v>52</v>
      </c>
      <c r="AE589" s="11"/>
      <c r="AF589" s="11">
        <v>53</v>
      </c>
      <c r="AG589" s="11"/>
      <c r="AH589" s="11">
        <v>34</v>
      </c>
    </row>
    <row r="590" spans="1:34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3">
        <v>0.47847222222222219</v>
      </c>
      <c r="K590" s="11"/>
      <c r="L590" s="14"/>
      <c r="M590" s="11" t="s">
        <v>74</v>
      </c>
      <c r="N590" s="11"/>
      <c r="O590" s="11" t="s">
        <v>107</v>
      </c>
      <c r="P590" s="11"/>
      <c r="Q590" s="11" t="s">
        <v>107</v>
      </c>
      <c r="R590" s="11"/>
      <c r="S590" s="11" t="s">
        <v>108</v>
      </c>
      <c r="T590" s="11"/>
      <c r="U590" s="11" t="s">
        <v>108</v>
      </c>
      <c r="V590" s="11"/>
      <c r="W590" s="11" t="s">
        <v>174</v>
      </c>
      <c r="X590" s="11" t="s">
        <v>74</v>
      </c>
      <c r="Y590" s="11"/>
      <c r="Z590" s="11" t="s">
        <v>74</v>
      </c>
      <c r="AA590" s="11"/>
      <c r="AB590" s="11" t="s">
        <v>107</v>
      </c>
      <c r="AC590" s="11"/>
      <c r="AD590" s="11" t="s">
        <v>108</v>
      </c>
      <c r="AE590" s="11"/>
      <c r="AF590" s="11" t="s">
        <v>108</v>
      </c>
      <c r="AG590" s="11"/>
      <c r="AH590" s="11" t="s">
        <v>174</v>
      </c>
    </row>
    <row r="591" spans="1:34" x14ac:dyDescent="0.25">
      <c r="A591" s="11" t="s">
        <v>369</v>
      </c>
      <c r="B591" s="11"/>
      <c r="C591" s="11"/>
      <c r="D591" s="11"/>
      <c r="E591" s="11"/>
      <c r="F591" s="11"/>
      <c r="G591" s="11"/>
      <c r="H591" s="11"/>
      <c r="I591" s="11"/>
      <c r="J591" s="13"/>
      <c r="K591" s="11"/>
      <c r="L591" s="14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</row>
    <row r="592" spans="1:34" x14ac:dyDescent="0.25">
      <c r="A592" s="11" t="s">
        <v>151</v>
      </c>
      <c r="B592" s="11"/>
      <c r="C592" s="11"/>
      <c r="D592" s="11" t="s">
        <v>154</v>
      </c>
      <c r="E592" s="11" t="s">
        <v>160</v>
      </c>
      <c r="F592" s="11"/>
      <c r="G592" s="11"/>
      <c r="H592" s="11"/>
      <c r="I592" s="11"/>
      <c r="J592" s="13"/>
      <c r="K592" s="11"/>
      <c r="L592" s="14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</row>
    <row r="593" spans="1:36" x14ac:dyDescent="0.25">
      <c r="A593" s="11" t="s">
        <v>152</v>
      </c>
      <c r="B593" s="11">
        <v>3</v>
      </c>
      <c r="C593" s="11"/>
      <c r="D593" s="11"/>
      <c r="E593" s="11"/>
      <c r="F593" s="11">
        <v>5</v>
      </c>
      <c r="G593" s="11" t="s">
        <v>161</v>
      </c>
      <c r="H593" s="11"/>
      <c r="I593" s="11"/>
      <c r="J593" s="13"/>
      <c r="K593" s="11"/>
      <c r="L593" s="14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</row>
    <row r="594" spans="1:36" x14ac:dyDescent="0.25">
      <c r="A594" s="11" t="s">
        <v>152</v>
      </c>
      <c r="B594" s="11"/>
      <c r="C594" s="11"/>
      <c r="D594" s="11"/>
      <c r="E594" s="11" t="s">
        <v>161</v>
      </c>
      <c r="F594" s="11"/>
      <c r="G594" s="11"/>
      <c r="H594" s="11"/>
      <c r="I594" s="11"/>
      <c r="J594" s="13"/>
      <c r="K594" s="11"/>
      <c r="L594" s="14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</row>
    <row r="595" spans="1:36" x14ac:dyDescent="0.25">
      <c r="A595" s="11" t="s">
        <v>153</v>
      </c>
      <c r="B595" s="11"/>
      <c r="C595" s="11"/>
      <c r="D595" s="11" t="s">
        <v>155</v>
      </c>
      <c r="E595" s="11" t="s">
        <v>162</v>
      </c>
      <c r="F595" s="11"/>
      <c r="G595" s="11"/>
      <c r="H595" s="11"/>
      <c r="I595" s="11"/>
      <c r="J595" s="13"/>
      <c r="K595" s="11"/>
      <c r="L595" s="14"/>
      <c r="M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</row>
    <row r="596" spans="1:36" x14ac:dyDescent="0.25">
      <c r="A596" s="11"/>
      <c r="B596" s="11"/>
      <c r="C596" s="11"/>
      <c r="D596" s="11" t="s">
        <v>156</v>
      </c>
      <c r="E596" s="11"/>
      <c r="F596" s="11"/>
      <c r="G596" s="11"/>
      <c r="H596" s="11"/>
      <c r="I596" s="11"/>
      <c r="J596" s="13"/>
      <c r="K596" s="11"/>
      <c r="L596" s="14"/>
      <c r="M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</row>
    <row r="597" spans="1:36" ht="14.1" customHeight="1" x14ac:dyDescent="0.25">
      <c r="A597" s="14"/>
      <c r="B597" s="14"/>
      <c r="C597" s="14"/>
      <c r="D597" s="14" t="s">
        <v>157</v>
      </c>
      <c r="E597" s="14"/>
      <c r="F597" s="14"/>
      <c r="G597" s="14"/>
    </row>
    <row r="598" spans="1:36" ht="18.75" x14ac:dyDescent="0.3">
      <c r="A598" s="15"/>
      <c r="B598" s="15"/>
      <c r="C598" s="15"/>
      <c r="D598" s="16" t="s">
        <v>158</v>
      </c>
      <c r="E598" s="15"/>
      <c r="F598" s="15"/>
      <c r="G598" s="15"/>
    </row>
    <row r="599" spans="1:36" ht="51" x14ac:dyDescent="0.75">
      <c r="A599" s="1"/>
      <c r="B599" s="17"/>
      <c r="C599" s="1"/>
      <c r="D599" s="16" t="s">
        <v>159</v>
      </c>
      <c r="E599" s="1"/>
      <c r="F599" s="17"/>
      <c r="G599" s="1"/>
    </row>
    <row r="600" spans="1:36" ht="14.1" customHeight="1" x14ac:dyDescent="0.25">
      <c r="A600" s="18"/>
      <c r="B600" s="18"/>
      <c r="C600" s="18"/>
      <c r="D600" s="18"/>
      <c r="E600" s="18"/>
      <c r="F600" s="18"/>
      <c r="G600" s="18"/>
    </row>
    <row r="601" spans="1:36" ht="14.1" customHeight="1" x14ac:dyDescent="0.25">
      <c r="A601" s="18" t="s">
        <v>163</v>
      </c>
      <c r="B601" s="18"/>
      <c r="C601" s="18"/>
      <c r="D601" s="18"/>
      <c r="E601" s="18"/>
      <c r="F601" s="18"/>
      <c r="G601" s="18"/>
      <c r="H601" s="4" t="s">
        <v>164</v>
      </c>
      <c r="I601" s="4" t="s">
        <v>165</v>
      </c>
      <c r="J601" s="4" t="s">
        <v>166</v>
      </c>
      <c r="K601" s="4" t="s">
        <v>168</v>
      </c>
      <c r="L601" s="4" t="s">
        <v>169</v>
      </c>
      <c r="M601" s="4" t="s">
        <v>170</v>
      </c>
      <c r="X601" s="4" t="s">
        <v>171</v>
      </c>
    </row>
    <row r="602" spans="1:36" x14ac:dyDescent="0.25">
      <c r="A602" s="19"/>
      <c r="B602" s="19"/>
      <c r="C602" s="19"/>
      <c r="D602" s="18"/>
      <c r="E602" s="19"/>
      <c r="F602" s="19"/>
      <c r="G602" s="19"/>
      <c r="J602" s="4" t="s">
        <v>167</v>
      </c>
    </row>
    <row r="603" spans="1:36" x14ac:dyDescent="0.25">
      <c r="A603" s="19"/>
      <c r="B603" s="19"/>
      <c r="C603" s="19"/>
      <c r="D603" s="18"/>
      <c r="E603" s="19"/>
      <c r="F603" s="19"/>
      <c r="G603" s="19"/>
      <c r="J603" s="4" t="s">
        <v>43</v>
      </c>
    </row>
    <row r="604" spans="1:36" x14ac:dyDescent="0.25">
      <c r="A604" s="19">
        <v>238</v>
      </c>
      <c r="B604" s="19"/>
      <c r="C604" s="19"/>
      <c r="D604" s="18"/>
      <c r="E604" s="19"/>
      <c r="F604" s="19"/>
      <c r="G604" s="19"/>
      <c r="H604" s="4">
        <v>3</v>
      </c>
      <c r="I604" s="4" t="s">
        <v>175</v>
      </c>
      <c r="J604" s="53">
        <v>0.36388888888888887</v>
      </c>
      <c r="K604" s="4" t="s">
        <v>180</v>
      </c>
      <c r="L604" s="4" t="s">
        <v>404</v>
      </c>
      <c r="M604" s="4">
        <v>10</v>
      </c>
      <c r="O604" s="4">
        <v>63</v>
      </c>
      <c r="Q604" s="4">
        <v>18</v>
      </c>
      <c r="S604" s="4">
        <v>25</v>
      </c>
      <c r="U604" s="4">
        <v>76</v>
      </c>
      <c r="W604" s="4">
        <v>35</v>
      </c>
      <c r="X604" s="4">
        <v>14</v>
      </c>
      <c r="Z604" s="4">
        <v>41</v>
      </c>
      <c r="AB604" s="4">
        <v>8</v>
      </c>
      <c r="AD604" s="4">
        <v>2</v>
      </c>
      <c r="AF604" s="4">
        <v>48</v>
      </c>
      <c r="AH604" s="4">
        <v>34</v>
      </c>
    </row>
    <row r="605" spans="1:36" x14ac:dyDescent="0.25">
      <c r="A605" s="19"/>
      <c r="B605" s="19"/>
      <c r="C605" s="19"/>
      <c r="D605" s="18"/>
      <c r="E605" s="19"/>
      <c r="F605" s="19"/>
      <c r="G605" s="19"/>
      <c r="J605" s="53">
        <v>0.4694444444444445</v>
      </c>
      <c r="M605" s="4" t="s">
        <v>74</v>
      </c>
      <c r="O605" s="4" t="s">
        <v>74</v>
      </c>
      <c r="Q605" s="4" t="s">
        <v>107</v>
      </c>
      <c r="S605" s="4" t="s">
        <v>108</v>
      </c>
      <c r="U605" s="4" t="s">
        <v>108</v>
      </c>
      <c r="W605" s="4" t="s">
        <v>174</v>
      </c>
      <c r="X605" s="4" t="s">
        <v>74</v>
      </c>
      <c r="Z605" s="4" t="s">
        <v>74</v>
      </c>
      <c r="AB605" s="4" t="s">
        <v>107</v>
      </c>
      <c r="AD605" s="4" t="s">
        <v>108</v>
      </c>
      <c r="AF605" s="4" t="s">
        <v>108</v>
      </c>
      <c r="AH605" s="4" t="s">
        <v>174</v>
      </c>
    </row>
    <row r="606" spans="1:36" x14ac:dyDescent="0.25">
      <c r="A606" s="14">
        <v>239</v>
      </c>
      <c r="B606" s="14"/>
      <c r="C606" s="14"/>
      <c r="D606" s="14"/>
      <c r="E606" s="14"/>
      <c r="F606" s="14"/>
      <c r="G606" s="14"/>
      <c r="H606" s="14">
        <v>3</v>
      </c>
      <c r="I606" s="14" t="s">
        <v>175</v>
      </c>
      <c r="J606" s="54">
        <v>0.36944444444444446</v>
      </c>
      <c r="K606" s="14" t="s">
        <v>180</v>
      </c>
      <c r="L606" s="14" t="s">
        <v>405</v>
      </c>
      <c r="M606" s="14">
        <v>10</v>
      </c>
      <c r="N606" s="14"/>
      <c r="O606" s="14">
        <v>63</v>
      </c>
      <c r="P606" s="14"/>
      <c r="Q606" s="14">
        <v>56</v>
      </c>
      <c r="R606" s="14"/>
      <c r="S606" s="14">
        <v>25</v>
      </c>
      <c r="T606" s="14"/>
      <c r="U606" s="14">
        <v>76</v>
      </c>
      <c r="V606" s="14"/>
      <c r="W606" s="14">
        <v>35</v>
      </c>
      <c r="X606" s="14">
        <v>14</v>
      </c>
      <c r="Y606" s="14"/>
      <c r="Z606" s="14">
        <v>41</v>
      </c>
      <c r="AA606" s="14"/>
      <c r="AB606" s="14">
        <v>8</v>
      </c>
      <c r="AC606" s="14"/>
      <c r="AD606" s="14">
        <v>2</v>
      </c>
      <c r="AE606" s="14"/>
      <c r="AF606" s="14">
        <v>48</v>
      </c>
      <c r="AG606" s="14"/>
      <c r="AH606" s="14">
        <v>34</v>
      </c>
      <c r="AI606" s="14"/>
      <c r="AJ606" s="14"/>
    </row>
    <row r="607" spans="1:36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3">
        <v>0.46388888888888885</v>
      </c>
      <c r="K607" s="11"/>
      <c r="L607" s="12"/>
      <c r="M607" s="11" t="s">
        <v>74</v>
      </c>
      <c r="N607" s="11"/>
      <c r="O607" s="11" t="s">
        <v>74</v>
      </c>
      <c r="P607" s="11"/>
      <c r="Q607" s="11" t="s">
        <v>107</v>
      </c>
      <c r="R607" s="11"/>
      <c r="S607" s="11" t="s">
        <v>108</v>
      </c>
      <c r="T607" s="11"/>
      <c r="U607" s="11" t="s">
        <v>108</v>
      </c>
      <c r="V607" s="11"/>
      <c r="W607" s="11" t="s">
        <v>174</v>
      </c>
      <c r="X607" s="11" t="s">
        <v>74</v>
      </c>
      <c r="Y607" s="11"/>
      <c r="Z607" s="11" t="s">
        <v>74</v>
      </c>
      <c r="AA607" s="11"/>
      <c r="AB607" s="11" t="s">
        <v>107</v>
      </c>
      <c r="AC607" s="11"/>
      <c r="AD607" s="11" t="s">
        <v>108</v>
      </c>
      <c r="AE607" s="11"/>
      <c r="AF607" s="11" t="s">
        <v>108</v>
      </c>
      <c r="AG607" s="11"/>
      <c r="AH607" s="11" t="s">
        <v>174</v>
      </c>
      <c r="AI607" s="11"/>
      <c r="AJ607" s="11"/>
    </row>
    <row r="608" spans="1:36" x14ac:dyDescent="0.25">
      <c r="A608" s="11">
        <v>240</v>
      </c>
      <c r="B608" s="11"/>
      <c r="C608" s="11"/>
      <c r="D608" s="11"/>
      <c r="E608" s="11"/>
      <c r="F608" s="11"/>
      <c r="G608" s="11"/>
      <c r="H608" s="11">
        <v>3</v>
      </c>
      <c r="I608" s="11"/>
      <c r="J608" s="13">
        <v>0.37708333333333338</v>
      </c>
      <c r="K608" s="11" t="s">
        <v>182</v>
      </c>
      <c r="L608" s="12" t="s">
        <v>316</v>
      </c>
      <c r="M608" s="11">
        <v>10</v>
      </c>
      <c r="N608" s="11"/>
      <c r="O608" s="11">
        <v>63</v>
      </c>
      <c r="P608" s="11"/>
      <c r="Q608" s="11">
        <v>56</v>
      </c>
      <c r="R608" s="11"/>
      <c r="S608" s="11">
        <v>4</v>
      </c>
      <c r="T608" s="11"/>
      <c r="U608" s="11">
        <v>59</v>
      </c>
      <c r="V608" s="11"/>
      <c r="W608" s="11">
        <v>35</v>
      </c>
      <c r="X608" s="11">
        <v>14</v>
      </c>
      <c r="Y608" s="11"/>
      <c r="Z608" s="11">
        <v>41</v>
      </c>
      <c r="AA608" s="11"/>
      <c r="AB608" s="11">
        <v>8</v>
      </c>
      <c r="AC608" s="11"/>
      <c r="AD608" s="11">
        <v>2</v>
      </c>
      <c r="AE608" s="11"/>
      <c r="AF608" s="11">
        <v>48</v>
      </c>
      <c r="AG608" s="11"/>
      <c r="AH608" s="11">
        <v>34</v>
      </c>
      <c r="AI608" s="11"/>
      <c r="AJ608" s="11"/>
    </row>
    <row r="609" spans="1:36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3">
        <v>0.45624999999999999</v>
      </c>
      <c r="K609" s="11"/>
      <c r="L609" s="12"/>
      <c r="M609" s="11" t="s">
        <v>74</v>
      </c>
      <c r="N609" s="11"/>
      <c r="O609" s="11" t="s">
        <v>74</v>
      </c>
      <c r="P609" s="11"/>
      <c r="Q609" s="11" t="s">
        <v>107</v>
      </c>
      <c r="R609" s="11"/>
      <c r="S609" s="11" t="s">
        <v>108</v>
      </c>
      <c r="T609" s="11"/>
      <c r="U609" s="11" t="s">
        <v>108</v>
      </c>
      <c r="V609" s="11"/>
      <c r="W609" s="11" t="s">
        <v>174</v>
      </c>
      <c r="X609" s="11" t="s">
        <v>74</v>
      </c>
      <c r="Y609" s="11"/>
      <c r="Z609" s="11" t="s">
        <v>74</v>
      </c>
      <c r="AA609" s="11"/>
      <c r="AB609" s="11" t="s">
        <v>107</v>
      </c>
      <c r="AC609" s="11"/>
      <c r="AD609" s="11" t="s">
        <v>108</v>
      </c>
      <c r="AE609" s="11"/>
      <c r="AF609" s="11" t="s">
        <v>108</v>
      </c>
      <c r="AG609" s="11"/>
      <c r="AH609" s="11" t="s">
        <v>174</v>
      </c>
      <c r="AI609" s="11"/>
      <c r="AJ609" s="11"/>
    </row>
    <row r="610" spans="1:36" x14ac:dyDescent="0.25">
      <c r="A610" s="11">
        <v>241</v>
      </c>
      <c r="B610" s="11"/>
      <c r="C610" s="11"/>
      <c r="D610" s="11"/>
      <c r="E610" s="11"/>
      <c r="F610" s="11"/>
      <c r="G610" s="11"/>
      <c r="H610" s="11">
        <v>3</v>
      </c>
      <c r="I610" s="11" t="s">
        <v>175</v>
      </c>
      <c r="J610" s="13">
        <v>0.37708333333333338</v>
      </c>
      <c r="K610" s="11" t="s">
        <v>176</v>
      </c>
      <c r="L610" s="14" t="s">
        <v>217</v>
      </c>
      <c r="M610" s="11">
        <v>63</v>
      </c>
      <c r="N610" s="11"/>
      <c r="O610" s="11">
        <v>9</v>
      </c>
      <c r="P610" s="11"/>
      <c r="Q610" s="11">
        <v>18</v>
      </c>
      <c r="R610" s="11"/>
      <c r="S610" s="11">
        <v>59</v>
      </c>
      <c r="T610" s="11"/>
      <c r="U610" s="11">
        <v>76</v>
      </c>
      <c r="V610" s="11"/>
      <c r="W610" s="11">
        <v>35</v>
      </c>
      <c r="X610" s="11">
        <v>15</v>
      </c>
      <c r="Y610" s="11"/>
      <c r="Z610" s="11">
        <v>21</v>
      </c>
      <c r="AA610" s="11"/>
      <c r="AB610" s="11">
        <v>40</v>
      </c>
      <c r="AC610" s="11"/>
      <c r="AD610" s="11">
        <v>25</v>
      </c>
      <c r="AE610" s="11"/>
      <c r="AF610" s="11">
        <v>65</v>
      </c>
      <c r="AH610" s="4">
        <v>34</v>
      </c>
    </row>
    <row r="611" spans="1:36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3">
        <v>0.45624999999999999</v>
      </c>
      <c r="K611" s="11"/>
      <c r="L611" s="14"/>
      <c r="M611" s="11" t="s">
        <v>74</v>
      </c>
      <c r="N611" s="11"/>
      <c r="O611" s="11" t="s">
        <v>107</v>
      </c>
      <c r="P611" s="11"/>
      <c r="Q611" s="11" t="s">
        <v>107</v>
      </c>
      <c r="R611" s="11"/>
      <c r="S611" s="11" t="s">
        <v>108</v>
      </c>
      <c r="T611" s="11"/>
      <c r="U611" s="11" t="s">
        <v>108</v>
      </c>
      <c r="V611" s="11"/>
      <c r="W611" s="11" t="s">
        <v>174</v>
      </c>
      <c r="X611" s="11" t="s">
        <v>74</v>
      </c>
      <c r="Y611" s="11"/>
      <c r="Z611" s="11" t="s">
        <v>74</v>
      </c>
      <c r="AA611" s="11"/>
      <c r="AB611" s="11" t="s">
        <v>107</v>
      </c>
      <c r="AC611" s="11"/>
      <c r="AD611" s="11" t="s">
        <v>108</v>
      </c>
      <c r="AE611" s="11"/>
      <c r="AF611" s="11" t="s">
        <v>108</v>
      </c>
      <c r="AH611" s="4" t="s">
        <v>174</v>
      </c>
    </row>
    <row r="612" spans="1:36" x14ac:dyDescent="0.25">
      <c r="A612" s="11">
        <v>242</v>
      </c>
      <c r="B612" s="11"/>
      <c r="C612" s="11"/>
      <c r="D612" s="11"/>
      <c r="E612" s="11"/>
      <c r="F612" s="11"/>
      <c r="G612" s="11"/>
      <c r="H612" s="11">
        <v>3</v>
      </c>
      <c r="I612" s="11" t="s">
        <v>175</v>
      </c>
      <c r="J612" s="13">
        <v>0.38125000000000003</v>
      </c>
      <c r="K612" s="11" t="s">
        <v>178</v>
      </c>
      <c r="L612" s="14" t="s">
        <v>406</v>
      </c>
      <c r="M612" s="11">
        <v>63</v>
      </c>
      <c r="N612" s="11"/>
      <c r="O612" s="11">
        <v>9</v>
      </c>
      <c r="P612" s="11"/>
      <c r="Q612" s="11">
        <v>18</v>
      </c>
      <c r="R612" s="11"/>
      <c r="S612" s="11">
        <v>59</v>
      </c>
      <c r="T612" s="11"/>
      <c r="U612" s="11">
        <v>76</v>
      </c>
      <c r="V612" s="11"/>
      <c r="W612" s="11">
        <v>35</v>
      </c>
      <c r="X612" s="11">
        <v>15</v>
      </c>
      <c r="Y612" s="11"/>
      <c r="Z612" s="11">
        <v>21</v>
      </c>
      <c r="AA612" s="11"/>
      <c r="AB612" s="11">
        <v>40</v>
      </c>
      <c r="AC612" s="11"/>
      <c r="AD612" s="11">
        <v>25</v>
      </c>
      <c r="AE612" s="11"/>
      <c r="AF612" s="11">
        <v>65</v>
      </c>
      <c r="AH612" s="4">
        <v>34</v>
      </c>
    </row>
    <row r="613" spans="1:36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3">
        <v>0.45208333333333334</v>
      </c>
      <c r="K613" s="11"/>
      <c r="L613" s="14"/>
      <c r="M613" s="11" t="s">
        <v>74</v>
      </c>
      <c r="N613" s="11"/>
      <c r="O613" s="11" t="s">
        <v>107</v>
      </c>
      <c r="P613" s="11"/>
      <c r="Q613" s="11" t="s">
        <v>107</v>
      </c>
      <c r="R613" s="11"/>
      <c r="S613" s="11" t="s">
        <v>108</v>
      </c>
      <c r="T613" s="11"/>
      <c r="U613" s="11" t="s">
        <v>108</v>
      </c>
      <c r="V613" s="11"/>
      <c r="W613" s="11" t="s">
        <v>174</v>
      </c>
      <c r="X613" s="11" t="s">
        <v>74</v>
      </c>
      <c r="Y613" s="11"/>
      <c r="Z613" s="11" t="s">
        <v>74</v>
      </c>
      <c r="AA613" s="11"/>
      <c r="AB613" s="11" t="s">
        <v>107</v>
      </c>
      <c r="AC613" s="11"/>
      <c r="AD613" s="11" t="s">
        <v>108</v>
      </c>
      <c r="AE613" s="11"/>
      <c r="AF613" s="11" t="s">
        <v>108</v>
      </c>
      <c r="AH613" s="4" t="s">
        <v>174</v>
      </c>
    </row>
    <row r="614" spans="1:36" x14ac:dyDescent="0.25">
      <c r="A614" s="11">
        <v>243</v>
      </c>
      <c r="B614" s="11"/>
      <c r="C614" s="11"/>
      <c r="D614" s="11"/>
      <c r="E614" s="11"/>
      <c r="F614" s="11"/>
      <c r="G614" s="11"/>
      <c r="H614" s="11">
        <v>3</v>
      </c>
      <c r="I614" s="11"/>
      <c r="J614" s="13">
        <v>0.38263888888888892</v>
      </c>
      <c r="K614" s="11" t="s">
        <v>182</v>
      </c>
      <c r="L614" s="14" t="s">
        <v>204</v>
      </c>
      <c r="M614" s="11">
        <v>63</v>
      </c>
      <c r="N614" s="11"/>
      <c r="O614" s="11">
        <v>9</v>
      </c>
      <c r="P614" s="11"/>
      <c r="Q614" s="11">
        <v>18</v>
      </c>
      <c r="R614" s="11"/>
      <c r="S614" s="11">
        <v>59</v>
      </c>
      <c r="T614" s="11"/>
      <c r="U614" s="11">
        <v>76</v>
      </c>
      <c r="V614" s="11"/>
      <c r="W614" s="11">
        <v>35</v>
      </c>
      <c r="X614" s="11">
        <v>15</v>
      </c>
      <c r="Y614" s="11"/>
      <c r="Z614" s="11">
        <v>21</v>
      </c>
      <c r="AA614" s="11"/>
      <c r="AB614" s="11">
        <v>40</v>
      </c>
      <c r="AC614" s="11"/>
      <c r="AD614" s="11">
        <v>25</v>
      </c>
      <c r="AE614" s="11"/>
      <c r="AF614" s="11">
        <v>65</v>
      </c>
      <c r="AG614" s="11"/>
      <c r="AH614" s="11">
        <v>34</v>
      </c>
    </row>
    <row r="615" spans="1:36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3">
        <v>0.45069444444444445</v>
      </c>
      <c r="K615" s="11"/>
      <c r="L615" s="14"/>
      <c r="M615" s="11" t="s">
        <v>74</v>
      </c>
      <c r="N615" s="11"/>
      <c r="O615" s="11" t="s">
        <v>107</v>
      </c>
      <c r="P615" s="11"/>
      <c r="Q615" s="11" t="s">
        <v>107</v>
      </c>
      <c r="R615" s="11"/>
      <c r="S615" s="11" t="s">
        <v>108</v>
      </c>
      <c r="T615" s="11"/>
      <c r="U615" s="11" t="s">
        <v>108</v>
      </c>
      <c r="V615" s="11"/>
      <c r="W615" s="11" t="s">
        <v>174</v>
      </c>
      <c r="X615" s="11" t="s">
        <v>74</v>
      </c>
      <c r="Y615" s="11"/>
      <c r="Z615" s="11" t="s">
        <v>74</v>
      </c>
      <c r="AA615" s="11"/>
      <c r="AB615" s="11" t="s">
        <v>107</v>
      </c>
      <c r="AC615" s="11"/>
      <c r="AD615" s="11" t="s">
        <v>108</v>
      </c>
      <c r="AE615" s="11"/>
      <c r="AF615" s="11" t="s">
        <v>108</v>
      </c>
      <c r="AG615" s="11"/>
      <c r="AH615" s="11" t="s">
        <v>174</v>
      </c>
    </row>
    <row r="616" spans="1:36" x14ac:dyDescent="0.25">
      <c r="A616" s="11">
        <v>244</v>
      </c>
      <c r="B616" s="11"/>
      <c r="C616" s="11"/>
      <c r="D616" s="11"/>
      <c r="E616" s="11"/>
      <c r="F616" s="11"/>
      <c r="G616" s="11"/>
      <c r="H616" s="11">
        <v>3</v>
      </c>
      <c r="I616" s="11" t="s">
        <v>175</v>
      </c>
      <c r="J616" s="13">
        <v>0.38263888888888892</v>
      </c>
      <c r="K616" s="11" t="s">
        <v>176</v>
      </c>
      <c r="L616" s="14" t="s">
        <v>407</v>
      </c>
      <c r="M616" s="11">
        <v>63</v>
      </c>
      <c r="N616" s="11"/>
      <c r="O616" s="11">
        <v>9</v>
      </c>
      <c r="P616" s="11"/>
      <c r="Q616" s="11">
        <v>18</v>
      </c>
      <c r="R616" s="11"/>
      <c r="S616" s="11">
        <v>59</v>
      </c>
      <c r="T616" s="11"/>
      <c r="U616" s="11">
        <v>76</v>
      </c>
      <c r="V616" s="11"/>
      <c r="W616" s="11">
        <v>35</v>
      </c>
      <c r="X616" s="11">
        <v>15</v>
      </c>
      <c r="Y616" s="11"/>
      <c r="Z616" s="11">
        <v>21</v>
      </c>
      <c r="AA616" s="11"/>
      <c r="AB616" s="11">
        <v>40</v>
      </c>
      <c r="AC616" s="11"/>
      <c r="AD616" s="11">
        <v>25</v>
      </c>
      <c r="AE616" s="11"/>
      <c r="AF616" s="11">
        <v>65</v>
      </c>
      <c r="AG616" s="11"/>
      <c r="AH616" s="11">
        <v>34</v>
      </c>
    </row>
    <row r="617" spans="1:36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3">
        <v>0.45069444444444445</v>
      </c>
      <c r="K617" s="11"/>
      <c r="L617" s="14"/>
      <c r="M617" s="11" t="s">
        <v>74</v>
      </c>
      <c r="N617" s="11"/>
      <c r="O617" s="11" t="s">
        <v>107</v>
      </c>
      <c r="P617" s="11"/>
      <c r="Q617" s="11" t="s">
        <v>107</v>
      </c>
      <c r="R617" s="11"/>
      <c r="S617" s="11" t="s">
        <v>108</v>
      </c>
      <c r="T617" s="11"/>
      <c r="U617" s="11" t="s">
        <v>108</v>
      </c>
      <c r="V617" s="11"/>
      <c r="W617" s="11" t="s">
        <v>174</v>
      </c>
      <c r="X617" s="11" t="s">
        <v>74</v>
      </c>
      <c r="Y617" s="11"/>
      <c r="Z617" s="11" t="s">
        <v>74</v>
      </c>
      <c r="AA617" s="11"/>
      <c r="AB617" s="11" t="s">
        <v>107</v>
      </c>
      <c r="AC617" s="11"/>
      <c r="AD617" s="11" t="s">
        <v>108</v>
      </c>
      <c r="AE617" s="11"/>
      <c r="AF617" s="11" t="s">
        <v>108</v>
      </c>
      <c r="AG617" s="11"/>
      <c r="AH617" s="11" t="s">
        <v>174</v>
      </c>
    </row>
    <row r="618" spans="1:36" x14ac:dyDescent="0.25">
      <c r="A618" s="11">
        <v>245</v>
      </c>
      <c r="B618" s="11"/>
      <c r="C618" s="11"/>
      <c r="D618" s="11"/>
      <c r="E618" s="11"/>
      <c r="F618" s="11"/>
      <c r="G618" s="11"/>
      <c r="H618" s="11">
        <v>3</v>
      </c>
      <c r="I618" s="11" t="s">
        <v>175</v>
      </c>
      <c r="J618" s="13">
        <v>0.38680555555555557</v>
      </c>
      <c r="K618" s="11" t="s">
        <v>180</v>
      </c>
      <c r="L618" s="14" t="s">
        <v>408</v>
      </c>
      <c r="M618" s="11">
        <v>63</v>
      </c>
      <c r="N618" s="11"/>
      <c r="O618" s="11">
        <v>9</v>
      </c>
      <c r="P618" s="11"/>
      <c r="Q618" s="11">
        <v>18</v>
      </c>
      <c r="R618" s="11"/>
      <c r="S618" s="11">
        <v>59</v>
      </c>
      <c r="T618" s="11"/>
      <c r="U618" s="11">
        <v>76</v>
      </c>
      <c r="V618" s="11"/>
      <c r="W618" s="11">
        <v>35</v>
      </c>
      <c r="X618" s="11">
        <v>15</v>
      </c>
      <c r="Y618" s="11"/>
      <c r="Z618" s="11">
        <v>21</v>
      </c>
      <c r="AA618" s="11"/>
      <c r="AB618" s="11">
        <v>40</v>
      </c>
      <c r="AC618" s="11"/>
      <c r="AD618" s="11">
        <v>25</v>
      </c>
      <c r="AE618" s="11"/>
      <c r="AF618" s="11">
        <v>65</v>
      </c>
      <c r="AG618" s="11"/>
      <c r="AH618" s="11">
        <v>34</v>
      </c>
    </row>
    <row r="619" spans="1:36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3">
        <v>0.4465277777777778</v>
      </c>
      <c r="K619" s="11"/>
      <c r="L619" s="14"/>
      <c r="M619" s="11" t="s">
        <v>74</v>
      </c>
      <c r="N619" s="11"/>
      <c r="O619" s="11" t="s">
        <v>107</v>
      </c>
      <c r="P619" s="11"/>
      <c r="Q619" s="11" t="s">
        <v>107</v>
      </c>
      <c r="R619" s="11"/>
      <c r="S619" s="11" t="s">
        <v>108</v>
      </c>
      <c r="T619" s="11"/>
      <c r="U619" s="11" t="s">
        <v>108</v>
      </c>
      <c r="V619" s="11"/>
      <c r="W619" s="11" t="s">
        <v>174</v>
      </c>
      <c r="X619" s="11" t="s">
        <v>74</v>
      </c>
      <c r="Y619" s="11"/>
      <c r="Z619" s="11" t="s">
        <v>74</v>
      </c>
      <c r="AA619" s="11"/>
      <c r="AB619" s="11" t="s">
        <v>107</v>
      </c>
      <c r="AC619" s="11"/>
      <c r="AD619" s="11" t="s">
        <v>108</v>
      </c>
      <c r="AE619" s="11"/>
      <c r="AF619" s="11" t="s">
        <v>108</v>
      </c>
      <c r="AG619" s="11"/>
      <c r="AH619" s="11" t="s">
        <v>174</v>
      </c>
    </row>
    <row r="620" spans="1:36" x14ac:dyDescent="0.25">
      <c r="A620" s="11">
        <v>246</v>
      </c>
      <c r="B620" s="11"/>
      <c r="C620" s="11"/>
      <c r="D620" s="11"/>
      <c r="E620" s="11"/>
      <c r="F620" s="11"/>
      <c r="G620" s="11"/>
      <c r="H620" s="11">
        <v>3</v>
      </c>
      <c r="I620" s="11" t="s">
        <v>175</v>
      </c>
      <c r="J620" s="13">
        <v>0.4069444444444445</v>
      </c>
      <c r="K620" s="11" t="s">
        <v>212</v>
      </c>
      <c r="L620" s="14" t="s">
        <v>393</v>
      </c>
      <c r="M620" s="11">
        <v>63</v>
      </c>
      <c r="N620" s="11"/>
      <c r="O620" s="11">
        <v>9</v>
      </c>
      <c r="P620" s="11"/>
      <c r="Q620" s="11">
        <v>38</v>
      </c>
      <c r="R620" s="11"/>
      <c r="S620" s="11">
        <v>59</v>
      </c>
      <c r="T620" s="11"/>
      <c r="U620" s="11">
        <v>76</v>
      </c>
      <c r="V620" s="11"/>
      <c r="W620" s="11">
        <v>35</v>
      </c>
      <c r="X620" s="11">
        <v>15</v>
      </c>
      <c r="Y620" s="11"/>
      <c r="Z620" s="11">
        <v>21</v>
      </c>
      <c r="AA620" s="11"/>
      <c r="AB620" s="11">
        <v>40</v>
      </c>
      <c r="AC620" s="11"/>
      <c r="AD620" s="11">
        <v>25</v>
      </c>
      <c r="AE620" s="11"/>
      <c r="AF620" s="11">
        <v>65</v>
      </c>
      <c r="AG620" s="11"/>
      <c r="AH620" s="11">
        <v>34</v>
      </c>
    </row>
    <row r="621" spans="1:36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3">
        <v>0.42638888888888887</v>
      </c>
      <c r="K621" s="11"/>
      <c r="L621" s="14"/>
      <c r="M621" s="11" t="s">
        <v>74</v>
      </c>
      <c r="N621" s="11"/>
      <c r="O621" s="11" t="s">
        <v>107</v>
      </c>
      <c r="P621" s="11"/>
      <c r="Q621" s="11" t="s">
        <v>107</v>
      </c>
      <c r="R621" s="11"/>
      <c r="S621" s="11" t="s">
        <v>108</v>
      </c>
      <c r="T621" s="11"/>
      <c r="U621" s="11" t="s">
        <v>108</v>
      </c>
      <c r="V621" s="11"/>
      <c r="W621" s="11" t="s">
        <v>174</v>
      </c>
      <c r="X621" s="11" t="s">
        <v>74</v>
      </c>
      <c r="Y621" s="11"/>
      <c r="Z621" s="11" t="s">
        <v>74</v>
      </c>
      <c r="AA621" s="11"/>
      <c r="AB621" s="11" t="s">
        <v>107</v>
      </c>
      <c r="AC621" s="11"/>
      <c r="AD621" s="11" t="s">
        <v>108</v>
      </c>
      <c r="AE621" s="11"/>
      <c r="AF621" s="11" t="s">
        <v>108</v>
      </c>
      <c r="AG621" s="11"/>
      <c r="AH621" s="11" t="s">
        <v>174</v>
      </c>
    </row>
    <row r="622" spans="1:36" x14ac:dyDescent="0.25">
      <c r="A622" s="11">
        <v>247</v>
      </c>
      <c r="B622" s="11"/>
      <c r="C622" s="11"/>
      <c r="D622" s="11"/>
      <c r="E622" s="11"/>
      <c r="F622" s="11"/>
      <c r="G622" s="11"/>
      <c r="H622" s="11">
        <v>3</v>
      </c>
      <c r="I622" s="11" t="s">
        <v>175</v>
      </c>
      <c r="J622" s="13">
        <v>0.46388888888888885</v>
      </c>
      <c r="K622" s="11" t="s">
        <v>212</v>
      </c>
      <c r="L622" s="14" t="s">
        <v>409</v>
      </c>
      <c r="M622" s="11">
        <v>19</v>
      </c>
      <c r="N622" s="11"/>
      <c r="O622" s="11">
        <v>9</v>
      </c>
      <c r="P622" s="11"/>
      <c r="Q622" s="11">
        <v>56</v>
      </c>
      <c r="R622" s="11"/>
      <c r="S622" s="11">
        <v>7</v>
      </c>
      <c r="T622" s="11"/>
      <c r="U622" s="11">
        <v>25</v>
      </c>
      <c r="V622" s="11"/>
      <c r="W622" s="11">
        <v>35</v>
      </c>
      <c r="X622" s="11">
        <v>14</v>
      </c>
      <c r="Y622" s="11"/>
      <c r="Z622" s="11">
        <v>43</v>
      </c>
      <c r="AA622" s="11"/>
      <c r="AB622" s="11">
        <v>62</v>
      </c>
      <c r="AC622" s="11"/>
      <c r="AD622" s="11">
        <v>52</v>
      </c>
      <c r="AE622" s="11"/>
      <c r="AF622" s="11">
        <v>53</v>
      </c>
      <c r="AG622" s="11"/>
      <c r="AH622" s="11">
        <v>34</v>
      </c>
    </row>
    <row r="623" spans="1:36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3">
        <v>0.36944444444444446</v>
      </c>
      <c r="K623" s="11"/>
      <c r="L623" s="14"/>
      <c r="M623" s="11" t="s">
        <v>74</v>
      </c>
      <c r="N623" s="11"/>
      <c r="O623" s="11" t="s">
        <v>107</v>
      </c>
      <c r="P623" s="11"/>
      <c r="Q623" s="11" t="s">
        <v>107</v>
      </c>
      <c r="R623" s="11"/>
      <c r="S623" s="11" t="s">
        <v>108</v>
      </c>
      <c r="T623" s="11"/>
      <c r="U623" s="11" t="s">
        <v>108</v>
      </c>
      <c r="V623" s="11"/>
      <c r="W623" s="11" t="s">
        <v>174</v>
      </c>
      <c r="X623" s="11" t="s">
        <v>74</v>
      </c>
      <c r="Y623" s="11"/>
      <c r="Z623" s="11" t="s">
        <v>74</v>
      </c>
      <c r="AA623" s="11"/>
      <c r="AB623" s="11" t="s">
        <v>107</v>
      </c>
      <c r="AC623" s="11"/>
      <c r="AD623" s="11" t="s">
        <v>108</v>
      </c>
      <c r="AE623" s="11"/>
      <c r="AF623" s="11" t="s">
        <v>108</v>
      </c>
      <c r="AG623" s="11"/>
      <c r="AH623" s="11" t="s">
        <v>174</v>
      </c>
    </row>
    <row r="624" spans="1:36" x14ac:dyDescent="0.25">
      <c r="A624" s="11">
        <v>248</v>
      </c>
      <c r="B624" s="11"/>
      <c r="C624" s="11"/>
      <c r="D624" s="11"/>
      <c r="E624" s="11"/>
      <c r="F624" s="11"/>
      <c r="G624" s="11"/>
      <c r="H624" s="11">
        <v>3</v>
      </c>
      <c r="I624" s="11" t="s">
        <v>175</v>
      </c>
      <c r="J624" s="13">
        <v>0.4770833333333333</v>
      </c>
      <c r="K624" s="11" t="s">
        <v>306</v>
      </c>
      <c r="L624" s="14" t="s">
        <v>410</v>
      </c>
      <c r="M624" s="11">
        <v>63</v>
      </c>
      <c r="N624" s="11"/>
      <c r="O624" s="11">
        <v>9</v>
      </c>
      <c r="P624" s="11"/>
      <c r="Q624" s="11">
        <v>18</v>
      </c>
      <c r="R624" s="11"/>
      <c r="S624" s="11">
        <v>7</v>
      </c>
      <c r="T624" s="11"/>
      <c r="U624" s="11">
        <v>25</v>
      </c>
      <c r="V624" s="11"/>
      <c r="W624" s="11">
        <v>35</v>
      </c>
      <c r="X624" s="11">
        <v>14</v>
      </c>
      <c r="Y624" s="11"/>
      <c r="Z624" s="11">
        <v>43</v>
      </c>
      <c r="AA624" s="11"/>
      <c r="AB624" s="11">
        <v>62</v>
      </c>
      <c r="AC624" s="11"/>
      <c r="AD624" s="11">
        <v>52</v>
      </c>
      <c r="AE624" s="11"/>
      <c r="AF624" s="11">
        <v>53</v>
      </c>
      <c r="AG624" s="11"/>
      <c r="AH624" s="11">
        <v>34</v>
      </c>
    </row>
    <row r="625" spans="1:34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3">
        <v>0.35625000000000001</v>
      </c>
      <c r="K625" s="11"/>
      <c r="L625" s="14"/>
      <c r="M625" s="11" t="s">
        <v>74</v>
      </c>
      <c r="N625" s="11"/>
      <c r="O625" s="11" t="s">
        <v>107</v>
      </c>
      <c r="P625" s="11"/>
      <c r="Q625" s="11" t="s">
        <v>107</v>
      </c>
      <c r="R625" s="11"/>
      <c r="S625" s="11" t="s">
        <v>108</v>
      </c>
      <c r="T625" s="11"/>
      <c r="U625" s="11" t="s">
        <v>108</v>
      </c>
      <c r="V625" s="11"/>
      <c r="W625" s="11" t="s">
        <v>174</v>
      </c>
      <c r="X625" s="11" t="s">
        <v>74</v>
      </c>
      <c r="Y625" s="11"/>
      <c r="Z625" s="11" t="s">
        <v>74</v>
      </c>
      <c r="AA625" s="11"/>
      <c r="AB625" s="11" t="s">
        <v>107</v>
      </c>
      <c r="AC625" s="11"/>
      <c r="AD625" s="11" t="s">
        <v>108</v>
      </c>
      <c r="AE625" s="11"/>
      <c r="AF625" s="11" t="s">
        <v>108</v>
      </c>
      <c r="AG625" s="11"/>
      <c r="AH625" s="11" t="s">
        <v>174</v>
      </c>
    </row>
    <row r="626" spans="1:34" x14ac:dyDescent="0.25">
      <c r="A626" s="11">
        <v>249</v>
      </c>
      <c r="B626" s="11"/>
      <c r="C626" s="11"/>
      <c r="D626" s="11"/>
      <c r="E626" s="11"/>
      <c r="F626" s="11"/>
      <c r="G626" s="11"/>
      <c r="H626" s="11">
        <v>3</v>
      </c>
      <c r="I626" s="11" t="s">
        <v>175</v>
      </c>
      <c r="J626" s="13">
        <v>0.4770833333333333</v>
      </c>
      <c r="K626" s="11" t="s">
        <v>176</v>
      </c>
      <c r="L626" s="14" t="s">
        <v>205</v>
      </c>
      <c r="M626" s="11">
        <v>12</v>
      </c>
      <c r="N626" s="11"/>
      <c r="O626" s="11">
        <v>33</v>
      </c>
      <c r="P626" s="11"/>
      <c r="Q626" s="11">
        <v>38</v>
      </c>
      <c r="R626" s="11"/>
      <c r="S626" s="11">
        <v>59</v>
      </c>
      <c r="T626" s="11"/>
      <c r="U626" s="11">
        <v>76</v>
      </c>
      <c r="V626" s="11"/>
      <c r="W626" s="11">
        <v>35</v>
      </c>
      <c r="X626" s="11">
        <v>29</v>
      </c>
      <c r="Y626" s="11"/>
      <c r="Z626" s="11">
        <v>41</v>
      </c>
      <c r="AA626" s="11"/>
      <c r="AB626" s="11">
        <v>20</v>
      </c>
      <c r="AC626" s="11"/>
      <c r="AD626" s="11">
        <v>25</v>
      </c>
      <c r="AE626" s="11"/>
      <c r="AF626" s="11">
        <v>65</v>
      </c>
      <c r="AG626" s="11"/>
      <c r="AH626" s="11">
        <v>34</v>
      </c>
    </row>
    <row r="627" spans="1:34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3">
        <v>0.35625000000000001</v>
      </c>
      <c r="K627" s="11"/>
      <c r="L627" s="14"/>
      <c r="M627" s="11" t="s">
        <v>74</v>
      </c>
      <c r="N627" s="11"/>
      <c r="O627" s="11" t="s">
        <v>74</v>
      </c>
      <c r="P627" s="11"/>
      <c r="Q627" s="11" t="s">
        <v>107</v>
      </c>
      <c r="R627" s="11"/>
      <c r="S627" s="11" t="s">
        <v>108</v>
      </c>
      <c r="T627" s="11"/>
      <c r="U627" s="11" t="s">
        <v>108</v>
      </c>
      <c r="V627" s="11"/>
      <c r="W627" s="11" t="s">
        <v>174</v>
      </c>
      <c r="X627" s="11" t="s">
        <v>74</v>
      </c>
      <c r="Y627" s="11"/>
      <c r="Z627" s="11" t="s">
        <v>74</v>
      </c>
      <c r="AA627" s="11"/>
      <c r="AB627" s="11" t="s">
        <v>107</v>
      </c>
      <c r="AC627" s="11"/>
      <c r="AD627" s="11" t="s">
        <v>108</v>
      </c>
      <c r="AE627" s="11"/>
      <c r="AF627" s="11" t="s">
        <v>108</v>
      </c>
      <c r="AG627" s="11"/>
      <c r="AH627" s="11" t="s">
        <v>174</v>
      </c>
    </row>
    <row r="628" spans="1:34" x14ac:dyDescent="0.25">
      <c r="A628" s="11">
        <v>250</v>
      </c>
      <c r="B628" s="11"/>
      <c r="C628" s="11"/>
      <c r="D628" s="11"/>
      <c r="E628" s="11"/>
      <c r="F628" s="11"/>
      <c r="G628" s="11"/>
      <c r="H628" s="11">
        <v>3</v>
      </c>
      <c r="I628" s="11" t="s">
        <v>175</v>
      </c>
      <c r="J628" s="13">
        <v>0.48402777777777778</v>
      </c>
      <c r="K628" s="11" t="s">
        <v>178</v>
      </c>
      <c r="L628" s="14" t="s">
        <v>411</v>
      </c>
      <c r="M628" s="11">
        <v>12</v>
      </c>
      <c r="N628" s="11"/>
      <c r="O628" s="11">
        <v>33</v>
      </c>
      <c r="P628" s="11"/>
      <c r="Q628" s="11">
        <v>38</v>
      </c>
      <c r="R628" s="11"/>
      <c r="S628" s="11">
        <v>59</v>
      </c>
      <c r="T628" s="11"/>
      <c r="U628" s="11">
        <v>76</v>
      </c>
      <c r="V628" s="11"/>
      <c r="W628" s="11">
        <v>35</v>
      </c>
      <c r="X628" s="11">
        <v>29</v>
      </c>
      <c r="Y628" s="11"/>
      <c r="Z628" s="11">
        <v>41</v>
      </c>
      <c r="AA628" s="11"/>
      <c r="AB628" s="11">
        <v>20</v>
      </c>
      <c r="AC628" s="11"/>
      <c r="AD628" s="11">
        <v>25</v>
      </c>
      <c r="AE628" s="11"/>
      <c r="AF628" s="11">
        <v>65</v>
      </c>
      <c r="AG628" s="11"/>
      <c r="AH628" s="11">
        <v>34</v>
      </c>
    </row>
    <row r="629" spans="1:34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3">
        <v>0.34930555555555554</v>
      </c>
      <c r="K629" s="11"/>
      <c r="L629" s="14"/>
      <c r="M629" s="11" t="s">
        <v>74</v>
      </c>
      <c r="N629" s="11"/>
      <c r="O629" s="11" t="s">
        <v>74</v>
      </c>
      <c r="P629" s="11"/>
      <c r="Q629" s="11" t="s">
        <v>107</v>
      </c>
      <c r="R629" s="11"/>
      <c r="S629" s="11" t="s">
        <v>108</v>
      </c>
      <c r="T629" s="11"/>
      <c r="U629" s="11" t="s">
        <v>108</v>
      </c>
      <c r="V629" s="11"/>
      <c r="W629" s="11" t="s">
        <v>174</v>
      </c>
      <c r="X629" s="11" t="s">
        <v>74</v>
      </c>
      <c r="Y629" s="11"/>
      <c r="Z629" s="11" t="s">
        <v>74</v>
      </c>
      <c r="AA629" s="11"/>
      <c r="AB629" s="11" t="s">
        <v>107</v>
      </c>
      <c r="AC629" s="11"/>
      <c r="AD629" s="11" t="s">
        <v>108</v>
      </c>
      <c r="AE629" s="11"/>
      <c r="AF629" s="11" t="s">
        <v>108</v>
      </c>
      <c r="AG629" s="11"/>
      <c r="AH629" s="11" t="s">
        <v>174</v>
      </c>
    </row>
    <row r="630" spans="1:34" x14ac:dyDescent="0.25">
      <c r="A630" s="11">
        <v>251</v>
      </c>
      <c r="B630" s="11"/>
      <c r="C630" s="11"/>
      <c r="D630" s="11"/>
      <c r="E630" s="11"/>
      <c r="F630" s="11"/>
      <c r="G630" s="11"/>
      <c r="H630" s="11">
        <v>3</v>
      </c>
      <c r="I630" s="11" t="s">
        <v>175</v>
      </c>
      <c r="J630" s="13">
        <v>0.48888888888888887</v>
      </c>
      <c r="K630" s="11" t="s">
        <v>178</v>
      </c>
      <c r="L630" s="14" t="s">
        <v>412</v>
      </c>
      <c r="M630" s="11">
        <v>12</v>
      </c>
      <c r="N630" s="11"/>
      <c r="O630" s="11">
        <v>33</v>
      </c>
      <c r="P630" s="11"/>
      <c r="Q630" s="11">
        <v>38</v>
      </c>
      <c r="R630" s="11"/>
      <c r="S630" s="11">
        <v>59</v>
      </c>
      <c r="T630" s="11"/>
      <c r="U630" s="11">
        <v>76</v>
      </c>
      <c r="V630" s="11"/>
      <c r="W630" s="11">
        <v>35</v>
      </c>
      <c r="X630" s="11">
        <v>29</v>
      </c>
      <c r="Y630" s="11"/>
      <c r="Z630" s="11">
        <v>41</v>
      </c>
      <c r="AA630" s="11"/>
      <c r="AB630" s="11">
        <v>20</v>
      </c>
      <c r="AC630" s="11"/>
      <c r="AD630" s="11">
        <v>25</v>
      </c>
      <c r="AE630" s="11"/>
      <c r="AF630" s="11">
        <v>65</v>
      </c>
      <c r="AG630" s="11"/>
      <c r="AH630" s="11">
        <v>34</v>
      </c>
    </row>
    <row r="631" spans="1:34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3">
        <v>0.3444444444444445</v>
      </c>
      <c r="K631" s="11"/>
      <c r="L631" s="14"/>
      <c r="M631" s="11" t="s">
        <v>74</v>
      </c>
      <c r="N631" s="11"/>
      <c r="O631" s="11" t="s">
        <v>74</v>
      </c>
      <c r="P631" s="11"/>
      <c r="Q631" s="11" t="s">
        <v>107</v>
      </c>
      <c r="R631" s="11"/>
      <c r="S631" s="11" t="s">
        <v>108</v>
      </c>
      <c r="T631" s="11"/>
      <c r="U631" s="11" t="s">
        <v>108</v>
      </c>
      <c r="V631" s="11"/>
      <c r="W631" s="11" t="s">
        <v>174</v>
      </c>
      <c r="X631" s="11" t="s">
        <v>74</v>
      </c>
      <c r="Y631" s="11"/>
      <c r="Z631" s="11" t="s">
        <v>74</v>
      </c>
      <c r="AA631" s="11"/>
      <c r="AB631" s="11" t="s">
        <v>107</v>
      </c>
      <c r="AC631" s="11"/>
      <c r="AD631" s="11" t="s">
        <v>108</v>
      </c>
      <c r="AE631" s="11"/>
      <c r="AF631" s="11" t="s">
        <v>108</v>
      </c>
      <c r="AG631" s="11"/>
      <c r="AH631" s="11" t="s">
        <v>174</v>
      </c>
    </row>
    <row r="632" spans="1:34" x14ac:dyDescent="0.25">
      <c r="A632" s="11">
        <v>252</v>
      </c>
      <c r="B632" s="11"/>
      <c r="C632" s="11"/>
      <c r="D632" s="11"/>
      <c r="E632" s="11"/>
      <c r="F632" s="11"/>
      <c r="G632" s="11"/>
      <c r="H632" s="11">
        <v>3</v>
      </c>
      <c r="I632" s="11" t="s">
        <v>175</v>
      </c>
      <c r="J632" s="13">
        <v>0.50416666666666665</v>
      </c>
      <c r="K632" s="11" t="s">
        <v>180</v>
      </c>
      <c r="L632" s="14" t="s">
        <v>413</v>
      </c>
      <c r="M632" s="11">
        <v>10</v>
      </c>
      <c r="N632" s="11"/>
      <c r="O632" s="11">
        <v>16</v>
      </c>
      <c r="P632" s="11"/>
      <c r="Q632" s="11">
        <v>38</v>
      </c>
      <c r="R632" s="11"/>
      <c r="S632" s="11">
        <v>59</v>
      </c>
      <c r="T632" s="11"/>
      <c r="U632" s="11">
        <v>76</v>
      </c>
      <c r="V632" s="11"/>
      <c r="W632" s="11">
        <v>35</v>
      </c>
      <c r="X632" s="11">
        <v>15</v>
      </c>
      <c r="Y632" s="11"/>
      <c r="Z632" s="11">
        <v>21</v>
      </c>
      <c r="AA632" s="11"/>
      <c r="AB632" s="11">
        <v>40</v>
      </c>
      <c r="AC632" s="11"/>
      <c r="AD632" s="11">
        <v>52</v>
      </c>
      <c r="AE632" s="11"/>
      <c r="AF632" s="11">
        <v>53</v>
      </c>
      <c r="AG632" s="11"/>
      <c r="AH632" s="11">
        <v>34</v>
      </c>
    </row>
    <row r="633" spans="1:34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3">
        <v>0.32916666666666666</v>
      </c>
      <c r="K633" s="11"/>
      <c r="L633" s="14"/>
      <c r="M633" s="11" t="s">
        <v>74</v>
      </c>
      <c r="N633" s="11"/>
      <c r="O633" s="11" t="s">
        <v>74</v>
      </c>
      <c r="P633" s="11"/>
      <c r="Q633" s="11" t="s">
        <v>107</v>
      </c>
      <c r="R633" s="11"/>
      <c r="S633" s="11" t="s">
        <v>108</v>
      </c>
      <c r="T633" s="11"/>
      <c r="U633" s="11" t="s">
        <v>108</v>
      </c>
      <c r="V633" s="11"/>
      <c r="W633" s="11" t="s">
        <v>174</v>
      </c>
      <c r="X633" s="11" t="s">
        <v>74</v>
      </c>
      <c r="Y633" s="11"/>
      <c r="Z633" s="11" t="s">
        <v>74</v>
      </c>
      <c r="AA633" s="11"/>
      <c r="AB633" s="11" t="s">
        <v>107</v>
      </c>
      <c r="AC633" s="11"/>
      <c r="AD633" s="11" t="s">
        <v>108</v>
      </c>
      <c r="AE633" s="11"/>
      <c r="AF633" s="11" t="s">
        <v>108</v>
      </c>
      <c r="AG633" s="11"/>
      <c r="AH633" s="11" t="s">
        <v>174</v>
      </c>
    </row>
    <row r="634" spans="1:34" x14ac:dyDescent="0.25">
      <c r="A634" s="11">
        <v>253</v>
      </c>
      <c r="B634" s="11"/>
      <c r="C634" s="11"/>
      <c r="D634" s="11"/>
      <c r="E634" s="11"/>
      <c r="F634" s="11"/>
      <c r="G634" s="11"/>
      <c r="H634" s="11">
        <v>3</v>
      </c>
      <c r="I634" s="11"/>
      <c r="J634" s="13">
        <v>0.50972222222222219</v>
      </c>
      <c r="K634" s="11" t="s">
        <v>182</v>
      </c>
      <c r="L634" s="14" t="s">
        <v>414</v>
      </c>
      <c r="M634" s="11">
        <v>10</v>
      </c>
      <c r="N634" s="11"/>
      <c r="O634" s="11">
        <v>16</v>
      </c>
      <c r="P634" s="11"/>
      <c r="Q634" s="11">
        <v>38</v>
      </c>
      <c r="R634" s="11"/>
      <c r="S634" s="11">
        <v>59</v>
      </c>
      <c r="T634" s="11"/>
      <c r="U634" s="11">
        <v>76</v>
      </c>
      <c r="V634" s="11"/>
      <c r="W634" s="11">
        <v>35</v>
      </c>
      <c r="X634" s="11">
        <v>15</v>
      </c>
      <c r="Y634" s="11"/>
      <c r="Z634" s="11">
        <v>21</v>
      </c>
      <c r="AA634" s="11"/>
      <c r="AB634" s="11">
        <v>40</v>
      </c>
      <c r="AC634" s="11"/>
      <c r="AD634" s="11">
        <v>52</v>
      </c>
      <c r="AE634" s="11"/>
      <c r="AF634" s="11">
        <v>53</v>
      </c>
      <c r="AG634" s="11"/>
      <c r="AH634" s="11">
        <v>34</v>
      </c>
    </row>
    <row r="635" spans="1:34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3">
        <v>0.32361111111111113</v>
      </c>
      <c r="K635" s="11"/>
      <c r="L635" s="14"/>
      <c r="M635" s="11" t="s">
        <v>74</v>
      </c>
      <c r="N635" s="11"/>
      <c r="O635" s="11" t="s">
        <v>74</v>
      </c>
      <c r="P635" s="11"/>
      <c r="Q635" s="11" t="s">
        <v>107</v>
      </c>
      <c r="R635" s="11"/>
      <c r="S635" s="11" t="s">
        <v>108</v>
      </c>
      <c r="T635" s="11"/>
      <c r="U635" s="11" t="s">
        <v>108</v>
      </c>
      <c r="V635" s="11"/>
      <c r="W635" s="11" t="s">
        <v>174</v>
      </c>
      <c r="X635" s="11" t="s">
        <v>74</v>
      </c>
      <c r="Y635" s="11"/>
      <c r="Z635" s="11" t="s">
        <v>74</v>
      </c>
      <c r="AA635" s="11"/>
      <c r="AB635" s="11" t="s">
        <v>107</v>
      </c>
      <c r="AC635" s="11"/>
      <c r="AD635" s="11" t="s">
        <v>108</v>
      </c>
      <c r="AE635" s="11"/>
      <c r="AF635" s="11" t="s">
        <v>108</v>
      </c>
      <c r="AG635" s="11"/>
      <c r="AH635" s="11" t="s">
        <v>174</v>
      </c>
    </row>
    <row r="636" spans="1:34" x14ac:dyDescent="0.25">
      <c r="A636" s="11">
        <v>254</v>
      </c>
      <c r="B636" s="11"/>
      <c r="C636" s="11"/>
      <c r="D636" s="11"/>
      <c r="E636" s="11"/>
      <c r="F636" s="11"/>
      <c r="G636" s="11"/>
      <c r="H636" s="11">
        <v>3</v>
      </c>
      <c r="I636" s="11" t="s">
        <v>175</v>
      </c>
      <c r="J636" s="13">
        <v>0.50972222222222219</v>
      </c>
      <c r="K636" s="11" t="s">
        <v>176</v>
      </c>
      <c r="L636" s="14" t="s">
        <v>415</v>
      </c>
      <c r="M636" s="11">
        <v>19</v>
      </c>
      <c r="N636" s="11"/>
      <c r="O636" s="11">
        <v>18</v>
      </c>
      <c r="P636" s="11"/>
      <c r="Q636" s="11">
        <v>56</v>
      </c>
      <c r="R636" s="11"/>
      <c r="S636" s="11">
        <v>4</v>
      </c>
      <c r="T636" s="11"/>
      <c r="U636" s="11">
        <v>14</v>
      </c>
      <c r="V636" s="11"/>
      <c r="W636" s="11">
        <v>35</v>
      </c>
      <c r="X636" s="11">
        <v>15</v>
      </c>
      <c r="Y636" s="11"/>
      <c r="Z636" s="11">
        <v>21</v>
      </c>
      <c r="AA636" s="11"/>
      <c r="AB636" s="11">
        <v>40</v>
      </c>
      <c r="AC636" s="11"/>
      <c r="AD636" s="11">
        <v>52</v>
      </c>
      <c r="AE636" s="11"/>
      <c r="AF636" s="11">
        <v>53</v>
      </c>
      <c r="AG636" s="11"/>
      <c r="AH636" s="11">
        <v>34</v>
      </c>
    </row>
    <row r="637" spans="1:34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3">
        <v>0.32361111111111113</v>
      </c>
      <c r="K637" s="11"/>
      <c r="L637" s="14"/>
      <c r="M637" s="11" t="s">
        <v>74</v>
      </c>
      <c r="N637" s="11"/>
      <c r="O637" s="11" t="s">
        <v>107</v>
      </c>
      <c r="P637" s="11"/>
      <c r="Q637" s="11" t="s">
        <v>107</v>
      </c>
      <c r="R637" s="11"/>
      <c r="S637" s="11" t="s">
        <v>108</v>
      </c>
      <c r="T637" s="11"/>
      <c r="U637" s="11" t="s">
        <v>108</v>
      </c>
      <c r="V637" s="11"/>
      <c r="W637" s="11" t="s">
        <v>174</v>
      </c>
      <c r="X637" s="11" t="s">
        <v>74</v>
      </c>
      <c r="Y637" s="11"/>
      <c r="Z637" s="11" t="s">
        <v>74</v>
      </c>
      <c r="AA637" s="11"/>
      <c r="AB637" s="11" t="s">
        <v>107</v>
      </c>
      <c r="AC637" s="11"/>
      <c r="AD637" s="11" t="s">
        <v>108</v>
      </c>
      <c r="AE637" s="11"/>
      <c r="AF637" s="11" t="s">
        <v>108</v>
      </c>
      <c r="AG637" s="11"/>
      <c r="AH637" s="11" t="s">
        <v>174</v>
      </c>
    </row>
    <row r="638" spans="1:34" x14ac:dyDescent="0.25">
      <c r="A638" s="11">
        <v>255</v>
      </c>
      <c r="B638" s="11"/>
      <c r="C638" s="11"/>
      <c r="D638" s="11"/>
      <c r="E638" s="11"/>
      <c r="F638" s="11"/>
      <c r="G638" s="11"/>
      <c r="H638" s="11">
        <v>3</v>
      </c>
      <c r="I638" s="11" t="s">
        <v>175</v>
      </c>
      <c r="J638" s="13">
        <v>0.5180555555555556</v>
      </c>
      <c r="K638" s="11" t="s">
        <v>186</v>
      </c>
      <c r="L638" s="14" t="s">
        <v>416</v>
      </c>
      <c r="M638" s="11">
        <v>19</v>
      </c>
      <c r="N638" s="11"/>
      <c r="O638" s="11">
        <v>18</v>
      </c>
      <c r="P638" s="11"/>
      <c r="Q638" s="11">
        <v>56</v>
      </c>
      <c r="R638" s="11"/>
      <c r="S638" s="11">
        <v>4</v>
      </c>
      <c r="T638" s="11"/>
      <c r="U638" s="11">
        <v>14</v>
      </c>
      <c r="V638" s="11"/>
      <c r="W638" s="11">
        <v>35</v>
      </c>
      <c r="X638" s="11">
        <v>15</v>
      </c>
      <c r="Y638" s="11"/>
      <c r="Z638" s="11">
        <v>21</v>
      </c>
      <c r="AA638" s="11"/>
      <c r="AB638" s="11">
        <v>40</v>
      </c>
      <c r="AC638" s="11"/>
      <c r="AD638" s="11">
        <v>52</v>
      </c>
      <c r="AE638" s="11"/>
      <c r="AF638" s="11">
        <v>53</v>
      </c>
      <c r="AG638" s="11"/>
      <c r="AH638" s="11">
        <v>34</v>
      </c>
    </row>
    <row r="639" spans="1:34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3">
        <v>0.31527777777777777</v>
      </c>
      <c r="K639" s="11"/>
      <c r="L639" s="14"/>
      <c r="M639" s="11" t="s">
        <v>74</v>
      </c>
      <c r="N639" s="11"/>
      <c r="O639" s="11" t="s">
        <v>107</v>
      </c>
      <c r="P639" s="11"/>
      <c r="Q639" s="11" t="s">
        <v>107</v>
      </c>
      <c r="R639" s="11"/>
      <c r="S639" s="11" t="s">
        <v>108</v>
      </c>
      <c r="T639" s="11"/>
      <c r="U639" s="11" t="s">
        <v>108</v>
      </c>
      <c r="V639" s="11"/>
      <c r="W639" s="11" t="s">
        <v>174</v>
      </c>
      <c r="X639" s="11" t="s">
        <v>74</v>
      </c>
      <c r="Y639" s="11"/>
      <c r="Z639" s="11" t="s">
        <v>74</v>
      </c>
      <c r="AA639" s="11"/>
      <c r="AB639" s="11" t="s">
        <v>107</v>
      </c>
      <c r="AC639" s="11"/>
      <c r="AD639" s="11" t="s">
        <v>108</v>
      </c>
      <c r="AE639" s="11"/>
      <c r="AF639" s="11" t="s">
        <v>108</v>
      </c>
      <c r="AG639" s="11"/>
      <c r="AH639" s="11" t="s">
        <v>174</v>
      </c>
    </row>
    <row r="640" spans="1:34" x14ac:dyDescent="0.25">
      <c r="A640" s="11">
        <v>256</v>
      </c>
      <c r="B640" s="11"/>
      <c r="C640" s="11"/>
      <c r="D640" s="11"/>
      <c r="E640" s="11"/>
      <c r="F640" s="11"/>
      <c r="G640" s="11"/>
      <c r="H640" s="11">
        <v>3</v>
      </c>
      <c r="I640" s="11" t="s">
        <v>175</v>
      </c>
      <c r="J640" s="13">
        <v>0.5180555555555556</v>
      </c>
      <c r="K640" s="11" t="s">
        <v>180</v>
      </c>
      <c r="L640" s="14" t="s">
        <v>417</v>
      </c>
      <c r="M640" s="11">
        <v>19</v>
      </c>
      <c r="N640" s="11"/>
      <c r="O640" s="11">
        <v>18</v>
      </c>
      <c r="P640" s="11"/>
      <c r="Q640" s="11">
        <v>56</v>
      </c>
      <c r="R640" s="11"/>
      <c r="S640" s="11">
        <v>4</v>
      </c>
      <c r="T640" s="11"/>
      <c r="U640" s="11">
        <v>14</v>
      </c>
      <c r="V640" s="11"/>
      <c r="W640" s="11">
        <v>35</v>
      </c>
      <c r="X640" s="11">
        <v>15</v>
      </c>
      <c r="Y640" s="11"/>
      <c r="Z640" s="11">
        <v>21</v>
      </c>
      <c r="AA640" s="11"/>
      <c r="AB640" s="11">
        <v>40</v>
      </c>
      <c r="AC640" s="11"/>
      <c r="AD640" s="11">
        <v>52</v>
      </c>
      <c r="AE640" s="11"/>
      <c r="AF640" s="11">
        <v>53</v>
      </c>
      <c r="AG640" s="11"/>
      <c r="AH640" s="11">
        <v>34</v>
      </c>
    </row>
    <row r="641" spans="1:34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3">
        <v>0.31527777777777777</v>
      </c>
      <c r="K641" s="11"/>
      <c r="L641" s="14"/>
      <c r="M641" s="11" t="s">
        <v>74</v>
      </c>
      <c r="N641" s="11"/>
      <c r="O641" s="11" t="s">
        <v>107</v>
      </c>
      <c r="P641" s="11"/>
      <c r="Q641" s="11" t="s">
        <v>107</v>
      </c>
      <c r="R641" s="11"/>
      <c r="S641" s="11" t="s">
        <v>108</v>
      </c>
      <c r="T641" s="11"/>
      <c r="U641" s="11" t="s">
        <v>108</v>
      </c>
      <c r="V641" s="11"/>
      <c r="W641" s="11" t="s">
        <v>174</v>
      </c>
      <c r="X641" s="11" t="s">
        <v>74</v>
      </c>
      <c r="Y641" s="11"/>
      <c r="Z641" s="11" t="s">
        <v>74</v>
      </c>
      <c r="AA641" s="11"/>
      <c r="AB641" s="11" t="s">
        <v>107</v>
      </c>
      <c r="AC641" s="11"/>
      <c r="AD641" s="11" t="s">
        <v>108</v>
      </c>
      <c r="AE641" s="11"/>
      <c r="AF641" s="11" t="s">
        <v>108</v>
      </c>
      <c r="AG641" s="11"/>
      <c r="AH641" s="11" t="s">
        <v>174</v>
      </c>
    </row>
    <row r="642" spans="1:34" x14ac:dyDescent="0.25">
      <c r="A642" s="11">
        <v>257</v>
      </c>
      <c r="B642" s="11"/>
      <c r="C642" s="11"/>
      <c r="D642" s="11"/>
      <c r="E642" s="11"/>
      <c r="F642" s="11"/>
      <c r="G642" s="11"/>
      <c r="H642" s="11">
        <v>3</v>
      </c>
      <c r="I642" s="11" t="s">
        <v>175</v>
      </c>
      <c r="J642" s="13">
        <v>0.52708333333333335</v>
      </c>
      <c r="K642" s="11" t="s">
        <v>231</v>
      </c>
      <c r="L642" s="14" t="s">
        <v>418</v>
      </c>
      <c r="M642" s="11">
        <v>19</v>
      </c>
      <c r="N642" s="11"/>
      <c r="O642" s="11">
        <v>18</v>
      </c>
      <c r="P642" s="11"/>
      <c r="Q642" s="11">
        <v>56</v>
      </c>
      <c r="R642" s="11"/>
      <c r="S642" s="11">
        <v>4</v>
      </c>
      <c r="T642" s="11"/>
      <c r="U642" s="11">
        <v>14</v>
      </c>
      <c r="V642" s="11"/>
      <c r="W642" s="11">
        <v>35</v>
      </c>
      <c r="X642" s="11">
        <v>15</v>
      </c>
      <c r="Y642" s="11"/>
      <c r="Z642" s="11">
        <v>21</v>
      </c>
      <c r="AA642" s="11"/>
      <c r="AB642" s="11">
        <v>40</v>
      </c>
      <c r="AC642" s="11"/>
      <c r="AD642" s="11">
        <v>52</v>
      </c>
      <c r="AE642" s="11"/>
      <c r="AF642" s="11">
        <v>53</v>
      </c>
      <c r="AG642" s="11"/>
      <c r="AH642" s="11">
        <v>34</v>
      </c>
    </row>
    <row r="643" spans="1:34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3">
        <v>0.30624999999999997</v>
      </c>
      <c r="K643" s="11"/>
      <c r="L643" s="14"/>
      <c r="M643" s="11" t="s">
        <v>74</v>
      </c>
      <c r="N643" s="11"/>
      <c r="O643" s="11" t="s">
        <v>107</v>
      </c>
      <c r="P643" s="11"/>
      <c r="Q643" s="11" t="s">
        <v>107</v>
      </c>
      <c r="R643" s="11"/>
      <c r="S643" s="11" t="s">
        <v>108</v>
      </c>
      <c r="T643" s="11"/>
      <c r="U643" s="11" t="s">
        <v>108</v>
      </c>
      <c r="V643" s="11"/>
      <c r="W643" s="11" t="s">
        <v>174</v>
      </c>
      <c r="X643" s="11" t="s">
        <v>74</v>
      </c>
      <c r="Y643" s="11"/>
      <c r="Z643" s="11" t="s">
        <v>74</v>
      </c>
      <c r="AA643" s="11"/>
      <c r="AB643" s="11" t="s">
        <v>107</v>
      </c>
      <c r="AC643" s="11"/>
      <c r="AD643" s="11" t="s">
        <v>108</v>
      </c>
      <c r="AE643" s="11"/>
      <c r="AF643" s="11" t="s">
        <v>108</v>
      </c>
      <c r="AG643" s="11"/>
      <c r="AH643" s="11" t="s">
        <v>174</v>
      </c>
    </row>
    <row r="644" spans="1:34" x14ac:dyDescent="0.25">
      <c r="A644" s="11">
        <v>258</v>
      </c>
      <c r="B644" s="11"/>
      <c r="C644" s="11"/>
      <c r="D644" s="11"/>
      <c r="E644" s="11"/>
      <c r="F644" s="11"/>
      <c r="G644" s="11"/>
      <c r="H644" s="11">
        <v>3</v>
      </c>
      <c r="I644" s="11" t="s">
        <v>175</v>
      </c>
      <c r="J644" s="13">
        <v>0.54583333333333328</v>
      </c>
      <c r="K644" s="11" t="s">
        <v>180</v>
      </c>
      <c r="L644" s="14" t="s">
        <v>419</v>
      </c>
      <c r="M644" s="11">
        <v>63</v>
      </c>
      <c r="N644" s="11"/>
      <c r="O644" s="11">
        <v>9</v>
      </c>
      <c r="P644" s="11"/>
      <c r="Q644" s="11">
        <v>56</v>
      </c>
      <c r="R644" s="11"/>
      <c r="S644" s="11">
        <v>59</v>
      </c>
      <c r="T644" s="11"/>
      <c r="U644" s="11">
        <v>76</v>
      </c>
      <c r="V644" s="11"/>
      <c r="W644" s="11">
        <v>35</v>
      </c>
      <c r="X644" s="11">
        <v>51</v>
      </c>
      <c r="Y644" s="11"/>
      <c r="Z644" s="11">
        <v>71</v>
      </c>
      <c r="AA644" s="11"/>
      <c r="AB644" s="11">
        <v>8</v>
      </c>
      <c r="AC644" s="11"/>
      <c r="AD644" s="11">
        <v>25</v>
      </c>
      <c r="AE644" s="11"/>
      <c r="AF644" s="11">
        <v>65</v>
      </c>
      <c r="AG644" s="11"/>
      <c r="AH644" s="11">
        <v>34</v>
      </c>
    </row>
    <row r="645" spans="1:34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3">
        <v>0.28750000000000003</v>
      </c>
      <c r="K645" s="11"/>
      <c r="L645" s="14"/>
      <c r="M645" s="11" t="s">
        <v>74</v>
      </c>
      <c r="N645" s="11"/>
      <c r="O645" s="11" t="s">
        <v>107</v>
      </c>
      <c r="P645" s="11"/>
      <c r="Q645" s="11" t="s">
        <v>107</v>
      </c>
      <c r="R645" s="11"/>
      <c r="S645" s="11" t="s">
        <v>108</v>
      </c>
      <c r="T645" s="11"/>
      <c r="U645" s="11" t="s">
        <v>108</v>
      </c>
      <c r="V645" s="11"/>
      <c r="W645" s="11" t="s">
        <v>174</v>
      </c>
      <c r="X645" s="11" t="s">
        <v>74</v>
      </c>
      <c r="Y645" s="11"/>
      <c r="Z645" s="11" t="s">
        <v>74</v>
      </c>
      <c r="AA645" s="11"/>
      <c r="AB645" s="11" t="s">
        <v>107</v>
      </c>
      <c r="AC645" s="11"/>
      <c r="AD645" s="11" t="s">
        <v>108</v>
      </c>
      <c r="AE645" s="11"/>
      <c r="AF645" s="11" t="s">
        <v>108</v>
      </c>
      <c r="AG645" s="11"/>
      <c r="AH645" s="11" t="s">
        <v>174</v>
      </c>
    </row>
    <row r="646" spans="1:34" x14ac:dyDescent="0.25">
      <c r="A646" s="11">
        <v>259</v>
      </c>
      <c r="B646" s="11"/>
      <c r="C646" s="11"/>
      <c r="D646" s="11"/>
      <c r="E646" s="11"/>
      <c r="F646" s="11"/>
      <c r="G646" s="11"/>
      <c r="H646" s="11">
        <v>3</v>
      </c>
      <c r="I646" s="11" t="s">
        <v>175</v>
      </c>
      <c r="J646" s="13">
        <v>0.54861111111111105</v>
      </c>
      <c r="K646" s="11" t="s">
        <v>180</v>
      </c>
      <c r="L646" s="14" t="s">
        <v>420</v>
      </c>
      <c r="M646" s="11">
        <v>63</v>
      </c>
      <c r="N646" s="11"/>
      <c r="O646" s="11">
        <v>9</v>
      </c>
      <c r="P646" s="11"/>
      <c r="Q646" s="11">
        <v>56</v>
      </c>
      <c r="R646" s="11"/>
      <c r="S646" s="11">
        <v>59</v>
      </c>
      <c r="T646" s="11"/>
      <c r="U646" s="11">
        <v>76</v>
      </c>
      <c r="V646" s="11"/>
      <c r="W646" s="11">
        <v>35</v>
      </c>
      <c r="X646" s="11">
        <v>51</v>
      </c>
      <c r="Y646" s="11"/>
      <c r="Z646" s="11">
        <v>71</v>
      </c>
      <c r="AA646" s="11"/>
      <c r="AB646" s="11">
        <v>8</v>
      </c>
      <c r="AC646" s="11"/>
      <c r="AD646" s="11">
        <v>25</v>
      </c>
      <c r="AE646" s="11"/>
      <c r="AF646" s="11">
        <v>65</v>
      </c>
      <c r="AG646" s="11"/>
      <c r="AH646" s="11">
        <v>34</v>
      </c>
    </row>
    <row r="647" spans="1:34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3">
        <v>0.28472222222222221</v>
      </c>
      <c r="K647" s="11"/>
      <c r="L647" s="14"/>
      <c r="M647" s="11" t="s">
        <v>74</v>
      </c>
      <c r="N647" s="11"/>
      <c r="O647" s="11" t="s">
        <v>107</v>
      </c>
      <c r="P647" s="11"/>
      <c r="Q647" s="11" t="s">
        <v>107</v>
      </c>
      <c r="R647" s="11"/>
      <c r="S647" s="11" t="s">
        <v>108</v>
      </c>
      <c r="T647" s="11"/>
      <c r="U647" s="11" t="s">
        <v>108</v>
      </c>
      <c r="V647" s="11"/>
      <c r="W647" s="11" t="s">
        <v>174</v>
      </c>
      <c r="X647" s="11" t="s">
        <v>74</v>
      </c>
      <c r="Y647" s="11"/>
      <c r="Z647" s="11" t="s">
        <v>74</v>
      </c>
      <c r="AA647" s="11"/>
      <c r="AB647" s="11" t="s">
        <v>107</v>
      </c>
      <c r="AC647" s="11"/>
      <c r="AD647" s="11" t="s">
        <v>108</v>
      </c>
      <c r="AE647" s="11"/>
      <c r="AF647" s="11" t="s">
        <v>108</v>
      </c>
      <c r="AG647" s="11"/>
      <c r="AH647" s="11" t="s">
        <v>174</v>
      </c>
    </row>
    <row r="648" spans="1:34" x14ac:dyDescent="0.25">
      <c r="A648" s="11">
        <v>260</v>
      </c>
      <c r="B648" s="11"/>
      <c r="C648" s="11"/>
      <c r="D648" s="11"/>
      <c r="E648" s="11"/>
      <c r="F648" s="11"/>
      <c r="G648" s="11"/>
      <c r="H648" s="11">
        <v>3</v>
      </c>
      <c r="I648" s="11" t="s">
        <v>175</v>
      </c>
      <c r="J648" s="13">
        <v>0.56458333333333333</v>
      </c>
      <c r="K648" s="11" t="s">
        <v>226</v>
      </c>
      <c r="L648" s="14" t="s">
        <v>421</v>
      </c>
      <c r="M648" s="11">
        <v>10</v>
      </c>
      <c r="N648" s="11"/>
      <c r="O648" s="11">
        <v>63</v>
      </c>
      <c r="P648" s="11"/>
      <c r="Q648" s="11">
        <v>9</v>
      </c>
      <c r="R648" s="11"/>
      <c r="S648" s="11">
        <v>59</v>
      </c>
      <c r="T648" s="11"/>
      <c r="U648" s="11">
        <v>76</v>
      </c>
      <c r="V648" s="11"/>
      <c r="W648" s="11">
        <v>35</v>
      </c>
      <c r="X648" s="11">
        <v>51</v>
      </c>
      <c r="Y648" s="11"/>
      <c r="Z648" s="11">
        <v>71</v>
      </c>
      <c r="AA648" s="11"/>
      <c r="AB648" s="11">
        <v>8</v>
      </c>
      <c r="AC648" s="11"/>
      <c r="AD648" s="11">
        <v>25</v>
      </c>
      <c r="AE648" s="11"/>
      <c r="AF648" s="11">
        <v>65</v>
      </c>
      <c r="AG648" s="11"/>
      <c r="AH648" s="11">
        <v>34</v>
      </c>
    </row>
    <row r="649" spans="1:34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3">
        <v>0.26874999999999999</v>
      </c>
      <c r="K649" s="11"/>
      <c r="L649" s="14"/>
      <c r="M649" s="11" t="s">
        <v>74</v>
      </c>
      <c r="N649" s="11"/>
      <c r="O649" s="11" t="s">
        <v>74</v>
      </c>
      <c r="P649" s="11"/>
      <c r="Q649" s="11" t="s">
        <v>107</v>
      </c>
      <c r="R649" s="11"/>
      <c r="S649" s="11" t="s">
        <v>108</v>
      </c>
      <c r="T649" s="11"/>
      <c r="U649" s="11" t="s">
        <v>108</v>
      </c>
      <c r="V649" s="11"/>
      <c r="W649" s="11" t="s">
        <v>174</v>
      </c>
      <c r="X649" s="11" t="s">
        <v>74</v>
      </c>
      <c r="Y649" s="11"/>
      <c r="Z649" s="11" t="s">
        <v>74</v>
      </c>
      <c r="AA649" s="11"/>
      <c r="AB649" s="11" t="s">
        <v>107</v>
      </c>
      <c r="AC649" s="11"/>
      <c r="AD649" s="11" t="s">
        <v>108</v>
      </c>
      <c r="AE649" s="11"/>
      <c r="AF649" s="11" t="s">
        <v>108</v>
      </c>
      <c r="AG649" s="11"/>
      <c r="AH649" s="11" t="s">
        <v>174</v>
      </c>
    </row>
    <row r="650" spans="1:34" x14ac:dyDescent="0.25">
      <c r="A650" s="11">
        <v>261</v>
      </c>
      <c r="B650" s="11"/>
      <c r="C650" s="11"/>
      <c r="D650" s="11"/>
      <c r="E650" s="11"/>
      <c r="F650" s="11"/>
      <c r="G650" s="11"/>
      <c r="H650" s="11">
        <v>3</v>
      </c>
      <c r="I650" s="11" t="s">
        <v>175</v>
      </c>
      <c r="J650" s="13">
        <v>0.56458333333333333</v>
      </c>
      <c r="K650" s="11" t="s">
        <v>226</v>
      </c>
      <c r="L650" s="14" t="s">
        <v>422</v>
      </c>
      <c r="M650" s="11">
        <v>12</v>
      </c>
      <c r="N650" s="11"/>
      <c r="O650" s="11">
        <v>33</v>
      </c>
      <c r="P650" s="11"/>
      <c r="Q650" s="11">
        <v>4</v>
      </c>
      <c r="R650" s="11"/>
      <c r="S650" s="11">
        <v>14</v>
      </c>
      <c r="T650" s="11"/>
      <c r="U650" s="11">
        <v>35</v>
      </c>
      <c r="V650" s="11"/>
      <c r="W650" s="11"/>
      <c r="X650" s="11">
        <v>51</v>
      </c>
      <c r="Y650" s="11"/>
      <c r="Z650" s="11">
        <v>71</v>
      </c>
      <c r="AA650" s="11"/>
      <c r="AB650" s="11">
        <v>8</v>
      </c>
      <c r="AC650" s="11"/>
      <c r="AD650" s="11">
        <v>25</v>
      </c>
      <c r="AE650" s="11"/>
      <c r="AF650" s="11">
        <v>65</v>
      </c>
      <c r="AG650" s="11"/>
      <c r="AH650" s="11">
        <v>34</v>
      </c>
    </row>
    <row r="651" spans="1:34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3">
        <v>0.26874999999999999</v>
      </c>
      <c r="K651" s="11"/>
      <c r="L651" s="14"/>
      <c r="M651" s="11" t="s">
        <v>74</v>
      </c>
      <c r="N651" s="11"/>
      <c r="O651" s="11" t="s">
        <v>74</v>
      </c>
      <c r="P651" s="11"/>
      <c r="Q651" s="11" t="s">
        <v>108</v>
      </c>
      <c r="R651" s="11"/>
      <c r="S651" s="11" t="s">
        <v>108</v>
      </c>
      <c r="T651" s="11"/>
      <c r="U651" s="11" t="s">
        <v>174</v>
      </c>
      <c r="V651" s="11"/>
      <c r="W651" s="11"/>
      <c r="X651" s="11" t="s">
        <v>74</v>
      </c>
      <c r="Y651" s="11"/>
      <c r="Z651" s="11" t="s">
        <v>74</v>
      </c>
      <c r="AA651" s="11"/>
      <c r="AB651" s="11" t="s">
        <v>107</v>
      </c>
      <c r="AC651" s="11"/>
      <c r="AD651" s="11" t="s">
        <v>108</v>
      </c>
      <c r="AE651" s="11"/>
      <c r="AF651" s="11" t="s">
        <v>108</v>
      </c>
      <c r="AG651" s="11"/>
      <c r="AH651" s="11" t="s">
        <v>174</v>
      </c>
    </row>
    <row r="652" spans="1:34" x14ac:dyDescent="0.25">
      <c r="A652" s="11">
        <v>262</v>
      </c>
      <c r="B652" s="11"/>
      <c r="C652" s="11"/>
      <c r="D652" s="11"/>
      <c r="E652" s="11"/>
      <c r="F652" s="11"/>
      <c r="G652" s="11"/>
      <c r="H652" s="11">
        <v>3</v>
      </c>
      <c r="I652" s="11" t="s">
        <v>175</v>
      </c>
      <c r="J652" s="13">
        <v>0.56458333333333333</v>
      </c>
      <c r="K652" s="11" t="s">
        <v>176</v>
      </c>
      <c r="L652" s="14" t="s">
        <v>423</v>
      </c>
      <c r="M652" s="11">
        <v>12</v>
      </c>
      <c r="N652" s="11"/>
      <c r="O652" s="11">
        <v>33</v>
      </c>
      <c r="P652" s="11"/>
      <c r="Q652" s="11">
        <v>4</v>
      </c>
      <c r="R652" s="11"/>
      <c r="S652" s="11">
        <v>14</v>
      </c>
      <c r="T652" s="11"/>
      <c r="U652" s="11">
        <v>35</v>
      </c>
      <c r="V652" s="11"/>
      <c r="W652" s="11"/>
      <c r="X652" s="11">
        <v>41</v>
      </c>
      <c r="Y652" s="11"/>
      <c r="Z652" s="11">
        <v>20</v>
      </c>
      <c r="AA652" s="11"/>
      <c r="AB652" s="11">
        <v>2</v>
      </c>
      <c r="AC652" s="11"/>
      <c r="AD652" s="11">
        <v>48</v>
      </c>
      <c r="AE652" s="11"/>
      <c r="AF652" s="11">
        <v>34</v>
      </c>
      <c r="AG652" s="11"/>
      <c r="AH652" s="11"/>
    </row>
    <row r="653" spans="1:34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3">
        <v>0.26874999999999999</v>
      </c>
      <c r="K653" s="11"/>
      <c r="L653" s="14"/>
      <c r="M653" s="11" t="s">
        <v>74</v>
      </c>
      <c r="N653" s="11"/>
      <c r="O653" s="11" t="s">
        <v>74</v>
      </c>
      <c r="P653" s="11"/>
      <c r="Q653" s="11" t="s">
        <v>108</v>
      </c>
      <c r="R653" s="11"/>
      <c r="S653" s="11" t="s">
        <v>108</v>
      </c>
      <c r="T653" s="11"/>
      <c r="U653" s="11" t="s">
        <v>174</v>
      </c>
      <c r="V653" s="11"/>
      <c r="W653" s="11"/>
      <c r="X653" s="11" t="s">
        <v>74</v>
      </c>
      <c r="Y653" s="11"/>
      <c r="Z653" s="11" t="s">
        <v>107</v>
      </c>
      <c r="AA653" s="11"/>
      <c r="AB653" s="11" t="s">
        <v>108</v>
      </c>
      <c r="AC653" s="11"/>
      <c r="AD653" s="11" t="s">
        <v>108</v>
      </c>
      <c r="AE653" s="11"/>
      <c r="AF653" s="11" t="s">
        <v>174</v>
      </c>
      <c r="AG653" s="11"/>
      <c r="AH653" s="11"/>
    </row>
    <row r="654" spans="1:34" x14ac:dyDescent="0.25">
      <c r="A654" s="11">
        <v>263</v>
      </c>
      <c r="B654" s="11"/>
      <c r="C654" s="11"/>
      <c r="D654" s="11"/>
      <c r="E654" s="11"/>
      <c r="F654" s="11"/>
      <c r="G654" s="11"/>
      <c r="H654" s="11">
        <v>3</v>
      </c>
      <c r="I654" s="11" t="s">
        <v>175</v>
      </c>
      <c r="J654" s="13">
        <v>0.56666666666666665</v>
      </c>
      <c r="K654" s="11" t="s">
        <v>231</v>
      </c>
      <c r="L654" s="14" t="s">
        <v>424</v>
      </c>
      <c r="M654" s="11">
        <v>12</v>
      </c>
      <c r="N654" s="11"/>
      <c r="O654" s="11">
        <v>33</v>
      </c>
      <c r="P654" s="11"/>
      <c r="Q654" s="11">
        <v>4</v>
      </c>
      <c r="R654" s="11"/>
      <c r="S654" s="11">
        <v>14</v>
      </c>
      <c r="T654" s="11"/>
      <c r="U654" s="11">
        <v>35</v>
      </c>
      <c r="V654" s="11"/>
      <c r="W654" s="11"/>
      <c r="X654" s="11">
        <v>41</v>
      </c>
      <c r="Y654" s="11"/>
      <c r="Z654" s="11">
        <v>20</v>
      </c>
      <c r="AA654" s="11"/>
      <c r="AB654" s="11">
        <v>2</v>
      </c>
      <c r="AC654" s="11"/>
      <c r="AD654" s="11">
        <v>48</v>
      </c>
      <c r="AE654" s="11"/>
      <c r="AF654" s="11">
        <v>34</v>
      </c>
      <c r="AG654" s="11"/>
      <c r="AH654" s="11"/>
    </row>
    <row r="655" spans="1:34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3">
        <v>0.26666666666666666</v>
      </c>
      <c r="K655" s="11"/>
      <c r="L655" s="14"/>
      <c r="M655" s="11" t="s">
        <v>74</v>
      </c>
      <c r="N655" s="11"/>
      <c r="O655" s="11" t="s">
        <v>74</v>
      </c>
      <c r="P655" s="11"/>
      <c r="Q655" s="11" t="s">
        <v>108</v>
      </c>
      <c r="R655" s="11"/>
      <c r="S655" s="11" t="s">
        <v>108</v>
      </c>
      <c r="T655" s="11"/>
      <c r="U655" s="11" t="s">
        <v>174</v>
      </c>
      <c r="V655" s="11"/>
      <c r="W655" s="11"/>
      <c r="X655" s="11" t="s">
        <v>74</v>
      </c>
      <c r="Y655" s="11"/>
      <c r="Z655" s="11" t="s">
        <v>107</v>
      </c>
      <c r="AA655" s="11"/>
      <c r="AB655" s="11" t="s">
        <v>108</v>
      </c>
      <c r="AC655" s="11"/>
      <c r="AD655" s="11" t="s">
        <v>108</v>
      </c>
      <c r="AE655" s="11"/>
      <c r="AF655" s="11" t="s">
        <v>174</v>
      </c>
      <c r="AG655" s="11"/>
      <c r="AH655" s="11"/>
    </row>
    <row r="656" spans="1:34" x14ac:dyDescent="0.25">
      <c r="A656" s="11">
        <v>264</v>
      </c>
      <c r="B656" s="11"/>
      <c r="C656" s="11"/>
      <c r="D656" s="11"/>
      <c r="E656" s="11"/>
      <c r="F656" s="11"/>
      <c r="G656" s="11"/>
      <c r="H656" s="11">
        <v>3</v>
      </c>
      <c r="I656" s="11" t="s">
        <v>175</v>
      </c>
      <c r="J656" s="13">
        <v>0.59097222222222223</v>
      </c>
      <c r="K656" s="11" t="s">
        <v>180</v>
      </c>
      <c r="L656" s="14" t="s">
        <v>425</v>
      </c>
      <c r="M656" s="11">
        <v>12</v>
      </c>
      <c r="N656" s="11"/>
      <c r="O656" s="11">
        <v>18</v>
      </c>
      <c r="P656" s="11"/>
      <c r="Q656" s="11">
        <v>4</v>
      </c>
      <c r="R656" s="11"/>
      <c r="S656" s="11">
        <v>14</v>
      </c>
      <c r="T656" s="11"/>
      <c r="U656" s="11">
        <v>35</v>
      </c>
      <c r="V656" s="11"/>
      <c r="W656" s="11"/>
      <c r="X656" s="11">
        <v>41</v>
      </c>
      <c r="Y656" s="11"/>
      <c r="Z656" s="11">
        <v>20</v>
      </c>
      <c r="AA656" s="11"/>
      <c r="AB656" s="11">
        <v>2</v>
      </c>
      <c r="AC656" s="11"/>
      <c r="AD656" s="11">
        <v>48</v>
      </c>
      <c r="AE656" s="11"/>
      <c r="AF656" s="11">
        <v>34</v>
      </c>
      <c r="AG656" s="11"/>
      <c r="AH656" s="11"/>
    </row>
    <row r="657" spans="1:3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3">
        <v>0.24236111111111111</v>
      </c>
      <c r="K657" s="11"/>
      <c r="L657" s="14"/>
      <c r="M657" s="11" t="s">
        <v>74</v>
      </c>
      <c r="N657" s="11"/>
      <c r="O657" s="11" t="s">
        <v>107</v>
      </c>
      <c r="P657" s="11"/>
      <c r="Q657" s="11" t="s">
        <v>108</v>
      </c>
      <c r="R657" s="11"/>
      <c r="S657" s="11" t="s">
        <v>108</v>
      </c>
      <c r="T657" s="11"/>
      <c r="U657" s="11" t="s">
        <v>174</v>
      </c>
      <c r="V657" s="11"/>
      <c r="W657" s="11"/>
      <c r="X657" s="11" t="s">
        <v>74</v>
      </c>
      <c r="Y657" s="11"/>
      <c r="Z657" s="11" t="s">
        <v>107</v>
      </c>
      <c r="AA657" s="11"/>
      <c r="AB657" s="11" t="s">
        <v>108</v>
      </c>
      <c r="AC657" s="11"/>
      <c r="AD657" s="11" t="s">
        <v>108</v>
      </c>
      <c r="AE657" s="11"/>
      <c r="AF657" s="11" t="s">
        <v>174</v>
      </c>
      <c r="AG657" s="11"/>
      <c r="AH657" s="11"/>
    </row>
    <row r="658" spans="1:36" x14ac:dyDescent="0.25">
      <c r="A658" s="11">
        <v>265</v>
      </c>
      <c r="B658" s="11"/>
      <c r="C658" s="11"/>
      <c r="D658" s="11"/>
      <c r="E658" s="11"/>
      <c r="F658" s="11"/>
      <c r="G658" s="11"/>
      <c r="H658" s="11">
        <v>3</v>
      </c>
      <c r="I658" s="11" t="s">
        <v>175</v>
      </c>
      <c r="J658" s="13">
        <v>0.60138888888888886</v>
      </c>
      <c r="K658" s="11" t="s">
        <v>231</v>
      </c>
      <c r="L658" s="14" t="s">
        <v>426</v>
      </c>
      <c r="M658" s="11">
        <v>12</v>
      </c>
      <c r="N658" s="11"/>
      <c r="O658" s="11">
        <v>18</v>
      </c>
      <c r="P658" s="11"/>
      <c r="Q658" s="11">
        <v>4</v>
      </c>
      <c r="R658" s="11"/>
      <c r="S658" s="11">
        <v>14</v>
      </c>
      <c r="T658" s="11"/>
      <c r="U658" s="11">
        <v>35</v>
      </c>
      <c r="V658" s="11"/>
      <c r="W658" s="11"/>
      <c r="X658" s="11">
        <v>41</v>
      </c>
      <c r="Y658" s="11"/>
      <c r="Z658" s="11">
        <v>20</v>
      </c>
      <c r="AA658" s="11"/>
      <c r="AB658" s="11">
        <v>2</v>
      </c>
      <c r="AC658" s="11"/>
      <c r="AD658" s="11">
        <v>48</v>
      </c>
      <c r="AE658" s="11"/>
      <c r="AF658" s="11">
        <v>34</v>
      </c>
      <c r="AG658" s="11"/>
      <c r="AH658" s="11"/>
    </row>
    <row r="659" spans="1:3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3">
        <v>0.23194444444444443</v>
      </c>
      <c r="K659" s="11"/>
      <c r="L659" s="14"/>
      <c r="M659" s="11" t="s">
        <v>74</v>
      </c>
      <c r="N659" s="11"/>
      <c r="O659" s="11" t="s">
        <v>107</v>
      </c>
      <c r="P659" s="11"/>
      <c r="Q659" s="11" t="s">
        <v>108</v>
      </c>
      <c r="R659" s="11"/>
      <c r="S659" s="11" t="s">
        <v>108</v>
      </c>
      <c r="T659" s="11"/>
      <c r="U659" s="11" t="s">
        <v>174</v>
      </c>
      <c r="V659" s="11"/>
      <c r="W659" s="11"/>
      <c r="X659" s="11" t="s">
        <v>74</v>
      </c>
      <c r="Y659" s="11"/>
      <c r="Z659" s="11" t="s">
        <v>107</v>
      </c>
      <c r="AA659" s="11"/>
      <c r="AB659" s="11" t="s">
        <v>108</v>
      </c>
      <c r="AC659" s="11"/>
      <c r="AD659" s="11" t="s">
        <v>108</v>
      </c>
      <c r="AE659" s="11"/>
      <c r="AF659" s="11" t="s">
        <v>174</v>
      </c>
      <c r="AG659" s="11"/>
      <c r="AH659" s="11"/>
    </row>
    <row r="660" spans="1:36" x14ac:dyDescent="0.25">
      <c r="A660" s="11">
        <v>266</v>
      </c>
      <c r="B660" s="11"/>
      <c r="C660" s="11"/>
      <c r="D660" s="11"/>
      <c r="E660" s="11"/>
      <c r="F660" s="11"/>
      <c r="G660" s="11"/>
      <c r="H660" s="11">
        <v>3</v>
      </c>
      <c r="I660" s="11" t="s">
        <v>175</v>
      </c>
      <c r="J660" s="13">
        <v>0.61388888888888882</v>
      </c>
      <c r="K660" s="11" t="s">
        <v>226</v>
      </c>
      <c r="L660" s="14" t="s">
        <v>427</v>
      </c>
      <c r="M660" s="11">
        <v>18</v>
      </c>
      <c r="N660" s="11"/>
      <c r="O660" s="11">
        <v>56</v>
      </c>
      <c r="P660" s="11"/>
      <c r="Q660" s="11">
        <v>4</v>
      </c>
      <c r="R660" s="11"/>
      <c r="S660" s="11">
        <v>14</v>
      </c>
      <c r="T660" s="11"/>
      <c r="U660" s="11">
        <v>35</v>
      </c>
      <c r="V660" s="11"/>
      <c r="W660" s="11"/>
      <c r="X660" s="11">
        <v>41</v>
      </c>
      <c r="Y660" s="11"/>
      <c r="Z660" s="11">
        <v>43</v>
      </c>
      <c r="AA660" s="11"/>
      <c r="AB660" s="11">
        <v>2</v>
      </c>
      <c r="AC660" s="11"/>
      <c r="AD660" s="11">
        <v>48</v>
      </c>
      <c r="AE660" s="11"/>
      <c r="AF660" s="11">
        <v>34</v>
      </c>
      <c r="AG660" s="11"/>
      <c r="AH660" s="11"/>
    </row>
    <row r="661" spans="1:3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3">
        <v>0.21944444444444444</v>
      </c>
      <c r="K661" s="11"/>
      <c r="L661" s="14"/>
      <c r="M661" s="11" t="s">
        <v>107</v>
      </c>
      <c r="N661" s="11"/>
      <c r="O661" s="11" t="s">
        <v>107</v>
      </c>
      <c r="P661" s="11"/>
      <c r="Q661" s="11" t="s">
        <v>108</v>
      </c>
      <c r="R661" s="11"/>
      <c r="S661" s="11" t="s">
        <v>108</v>
      </c>
      <c r="T661" s="11"/>
      <c r="U661" s="11" t="s">
        <v>174</v>
      </c>
      <c r="V661" s="11"/>
      <c r="W661" s="11"/>
      <c r="X661" s="11" t="s">
        <v>74</v>
      </c>
      <c r="Y661" s="11"/>
      <c r="Z661" s="11" t="s">
        <v>74</v>
      </c>
      <c r="AA661" s="11"/>
      <c r="AB661" s="11" t="s">
        <v>108</v>
      </c>
      <c r="AC661" s="11"/>
      <c r="AD661" s="11" t="s">
        <v>108</v>
      </c>
      <c r="AE661" s="11"/>
      <c r="AF661" s="11" t="s">
        <v>174</v>
      </c>
      <c r="AG661" s="11"/>
      <c r="AH661" s="11"/>
    </row>
    <row r="662" spans="1:36" x14ac:dyDescent="0.25">
      <c r="A662" s="11">
        <v>267</v>
      </c>
      <c r="B662" s="11"/>
      <c r="C662" s="11"/>
      <c r="D662" s="11"/>
      <c r="E662" s="11"/>
      <c r="F662" s="11"/>
      <c r="G662" s="11"/>
      <c r="H662" s="11">
        <v>3</v>
      </c>
      <c r="I662" s="11"/>
      <c r="J662" s="13">
        <v>0.61388888888888882</v>
      </c>
      <c r="K662" s="11" t="s">
        <v>182</v>
      </c>
      <c r="L662" s="14" t="s">
        <v>428</v>
      </c>
      <c r="M662" s="11">
        <v>18</v>
      </c>
      <c r="N662" s="11"/>
      <c r="O662" s="11">
        <v>56</v>
      </c>
      <c r="P662" s="11"/>
      <c r="Q662" s="11">
        <v>4</v>
      </c>
      <c r="R662" s="11"/>
      <c r="S662" s="11">
        <v>14</v>
      </c>
      <c r="T662" s="11"/>
      <c r="U662" s="11">
        <v>35</v>
      </c>
      <c r="V662" s="11"/>
      <c r="W662" s="11"/>
      <c r="X662" s="11">
        <v>41</v>
      </c>
      <c r="Y662" s="11"/>
      <c r="Z662" s="11">
        <v>43</v>
      </c>
      <c r="AA662" s="11"/>
      <c r="AB662" s="11">
        <v>48</v>
      </c>
      <c r="AC662" s="11"/>
      <c r="AD662" s="11">
        <v>34</v>
      </c>
      <c r="AE662" s="11"/>
      <c r="AF662" s="11"/>
      <c r="AG662" s="11"/>
      <c r="AH662" s="11"/>
    </row>
    <row r="663" spans="1:3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3">
        <v>0.21944444444444444</v>
      </c>
      <c r="K663" s="11"/>
      <c r="L663" s="14"/>
      <c r="M663" s="11" t="s">
        <v>107</v>
      </c>
      <c r="N663" s="11"/>
      <c r="O663" s="11" t="s">
        <v>107</v>
      </c>
      <c r="P663" s="11"/>
      <c r="Q663" s="11" t="s">
        <v>108</v>
      </c>
      <c r="R663" s="11"/>
      <c r="S663" s="11" t="s">
        <v>108</v>
      </c>
      <c r="T663" s="11"/>
      <c r="U663" s="11" t="s">
        <v>174</v>
      </c>
      <c r="V663" s="11"/>
      <c r="W663" s="11"/>
      <c r="X663" s="11" t="s">
        <v>74</v>
      </c>
      <c r="Y663" s="11"/>
      <c r="Z663" s="11" t="s">
        <v>74</v>
      </c>
      <c r="AA663" s="11"/>
      <c r="AB663" s="11" t="s">
        <v>108</v>
      </c>
      <c r="AC663" s="11"/>
      <c r="AD663" s="11" t="s">
        <v>174</v>
      </c>
      <c r="AE663" s="11"/>
      <c r="AF663" s="11"/>
      <c r="AG663" s="11"/>
      <c r="AH663" s="11"/>
    </row>
    <row r="664" spans="1:36" x14ac:dyDescent="0.25">
      <c r="A664" s="11">
        <v>268</v>
      </c>
      <c r="B664" s="11"/>
      <c r="C664" s="11"/>
      <c r="D664" s="11"/>
      <c r="E664" s="11"/>
      <c r="F664" s="11"/>
      <c r="G664" s="11"/>
      <c r="H664" s="11">
        <v>3</v>
      </c>
      <c r="I664" s="11" t="s">
        <v>228</v>
      </c>
      <c r="J664" s="13">
        <v>0.61388888888888882</v>
      </c>
      <c r="K664" s="11" t="s">
        <v>176</v>
      </c>
      <c r="L664" s="14" t="s">
        <v>341</v>
      </c>
      <c r="M664" s="11">
        <v>12</v>
      </c>
      <c r="N664" s="11"/>
      <c r="O664" s="11">
        <v>9</v>
      </c>
      <c r="P664" s="11"/>
      <c r="Q664" s="11">
        <v>18</v>
      </c>
      <c r="R664" s="11"/>
      <c r="S664" s="11">
        <v>59</v>
      </c>
      <c r="T664" s="11"/>
      <c r="U664" s="11">
        <v>35</v>
      </c>
      <c r="V664" s="11"/>
      <c r="W664" s="11"/>
      <c r="X664" s="11">
        <v>51</v>
      </c>
      <c r="Y664" s="11"/>
      <c r="Z664" s="11">
        <v>53</v>
      </c>
      <c r="AA664" s="11"/>
      <c r="AB664" s="11">
        <v>65</v>
      </c>
      <c r="AC664" s="11"/>
      <c r="AD664" s="11">
        <v>34</v>
      </c>
      <c r="AE664" s="11"/>
      <c r="AF664" s="11"/>
      <c r="AG664" s="11"/>
      <c r="AH664" s="11"/>
    </row>
    <row r="665" spans="1:3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3">
        <v>0.21944444444444444</v>
      </c>
      <c r="K665" s="11"/>
      <c r="L665" s="14"/>
      <c r="M665" s="11" t="s">
        <v>74</v>
      </c>
      <c r="N665" s="11"/>
      <c r="O665" s="11" t="s">
        <v>107</v>
      </c>
      <c r="P665" s="11"/>
      <c r="Q665" s="11" t="s">
        <v>107</v>
      </c>
      <c r="R665" s="11"/>
      <c r="S665" s="11" t="s">
        <v>108</v>
      </c>
      <c r="T665" s="11"/>
      <c r="U665" s="11" t="s">
        <v>174</v>
      </c>
      <c r="V665" s="11"/>
      <c r="W665" s="11"/>
      <c r="X665" s="11" t="s">
        <v>74</v>
      </c>
      <c r="Y665" s="11"/>
      <c r="Z665" s="11" t="s">
        <v>108</v>
      </c>
      <c r="AA665" s="11"/>
      <c r="AB665" s="11" t="s">
        <v>108</v>
      </c>
      <c r="AC665" s="11"/>
      <c r="AD665" s="11" t="s">
        <v>174</v>
      </c>
      <c r="AE665" s="11"/>
      <c r="AF665" s="11"/>
      <c r="AG665" s="11"/>
      <c r="AH665" s="11"/>
    </row>
    <row r="666" spans="1:36" x14ac:dyDescent="0.25">
      <c r="A666" s="11">
        <v>269</v>
      </c>
      <c r="B666" s="11"/>
      <c r="C666" s="11"/>
      <c r="D666" s="11"/>
      <c r="E666" s="11"/>
      <c r="F666" s="11"/>
      <c r="G666" s="11"/>
      <c r="H666" s="11">
        <v>3</v>
      </c>
      <c r="I666" s="11" t="s">
        <v>230</v>
      </c>
      <c r="J666" s="13">
        <v>0.62083333333333335</v>
      </c>
      <c r="K666" s="11" t="s">
        <v>231</v>
      </c>
      <c r="L666" s="14" t="s">
        <v>429</v>
      </c>
      <c r="M666" s="11">
        <v>12</v>
      </c>
      <c r="N666" s="11"/>
      <c r="O666" s="11">
        <v>9</v>
      </c>
      <c r="P666" s="11"/>
      <c r="Q666" s="11">
        <v>18</v>
      </c>
      <c r="R666" s="11"/>
      <c r="S666" s="11">
        <v>59</v>
      </c>
      <c r="T666" s="11"/>
      <c r="U666" s="11">
        <v>35</v>
      </c>
      <c r="X666" s="11">
        <v>51</v>
      </c>
      <c r="Y666" s="11"/>
      <c r="Z666" s="11">
        <v>53</v>
      </c>
      <c r="AA666" s="11"/>
      <c r="AB666" s="11">
        <v>65</v>
      </c>
      <c r="AC666" s="11"/>
      <c r="AD666" s="11">
        <v>34</v>
      </c>
      <c r="AE666" s="11"/>
      <c r="AF666" s="11"/>
      <c r="AG666" s="11"/>
      <c r="AH666" s="11"/>
    </row>
    <row r="667" spans="1:3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3">
        <v>0.21249999999999999</v>
      </c>
      <c r="K667" s="11"/>
      <c r="L667" s="14"/>
      <c r="M667" s="11" t="s">
        <v>74</v>
      </c>
      <c r="N667" s="11"/>
      <c r="O667" s="11" t="s">
        <v>107</v>
      </c>
      <c r="P667" s="11"/>
      <c r="Q667" s="11" t="s">
        <v>107</v>
      </c>
      <c r="R667" s="11"/>
      <c r="S667" s="11" t="s">
        <v>108</v>
      </c>
      <c r="T667" s="11"/>
      <c r="U667" s="11" t="s">
        <v>174</v>
      </c>
      <c r="X667" s="11" t="s">
        <v>74</v>
      </c>
      <c r="Y667" s="11"/>
      <c r="Z667" s="11" t="s">
        <v>108</v>
      </c>
      <c r="AA667" s="11"/>
      <c r="AB667" s="11" t="s">
        <v>108</v>
      </c>
      <c r="AC667" s="11"/>
      <c r="AD667" s="11" t="s">
        <v>174</v>
      </c>
      <c r="AE667" s="11"/>
      <c r="AF667" s="11"/>
      <c r="AG667" s="11"/>
      <c r="AH667" s="11"/>
    </row>
    <row r="668" spans="1:36" x14ac:dyDescent="0.25">
      <c r="A668" s="11">
        <v>270</v>
      </c>
      <c r="B668" s="11"/>
      <c r="C668" s="11"/>
      <c r="D668" s="11"/>
      <c r="E668" s="11"/>
      <c r="F668" s="11"/>
      <c r="G668" s="11"/>
      <c r="H668" s="11">
        <v>3</v>
      </c>
      <c r="I668" s="11" t="s">
        <v>228</v>
      </c>
      <c r="J668" s="13">
        <v>0.62708333333333333</v>
      </c>
      <c r="K668" s="11" t="s">
        <v>180</v>
      </c>
      <c r="L668" s="14" t="s">
        <v>430</v>
      </c>
      <c r="M668" s="11">
        <v>12</v>
      </c>
      <c r="N668" s="11"/>
      <c r="O668" s="11">
        <v>9</v>
      </c>
      <c r="P668" s="11"/>
      <c r="Q668" s="11">
        <v>18</v>
      </c>
      <c r="R668" s="11"/>
      <c r="S668" s="11">
        <v>59</v>
      </c>
      <c r="T668" s="11"/>
      <c r="U668" s="11">
        <v>35</v>
      </c>
      <c r="X668" s="11">
        <v>51</v>
      </c>
      <c r="Y668" s="11"/>
      <c r="Z668" s="11">
        <v>53</v>
      </c>
      <c r="AA668" s="11"/>
      <c r="AB668" s="11">
        <v>65</v>
      </c>
      <c r="AC668" s="11"/>
      <c r="AD668" s="11">
        <v>34</v>
      </c>
      <c r="AE668" s="11"/>
      <c r="AF668" s="11"/>
      <c r="AG668" s="11"/>
      <c r="AH668" s="11"/>
    </row>
    <row r="669" spans="1:3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3">
        <v>0.20625000000000002</v>
      </c>
      <c r="K669" s="11"/>
      <c r="L669" s="14"/>
      <c r="M669" s="11" t="s">
        <v>74</v>
      </c>
      <c r="N669" s="11"/>
      <c r="O669" s="11" t="s">
        <v>107</v>
      </c>
      <c r="P669" s="11"/>
      <c r="Q669" s="11" t="s">
        <v>107</v>
      </c>
      <c r="R669" s="11"/>
      <c r="S669" s="11" t="s">
        <v>108</v>
      </c>
      <c r="T669" s="11"/>
      <c r="U669" s="11" t="s">
        <v>174</v>
      </c>
      <c r="X669" s="11" t="s">
        <v>74</v>
      </c>
      <c r="Y669" s="11"/>
      <c r="Z669" s="11" t="s">
        <v>108</v>
      </c>
      <c r="AA669" s="11"/>
      <c r="AB669" s="11" t="s">
        <v>108</v>
      </c>
      <c r="AC669" s="11"/>
      <c r="AD669" s="11" t="s">
        <v>174</v>
      </c>
      <c r="AE669" s="11"/>
      <c r="AF669" s="11"/>
      <c r="AG669" s="11"/>
      <c r="AH669" s="11"/>
    </row>
    <row r="670" spans="1:36" x14ac:dyDescent="0.25">
      <c r="A670" s="11" t="s">
        <v>369</v>
      </c>
      <c r="B670" s="11"/>
      <c r="C670" s="11"/>
      <c r="D670" s="11"/>
      <c r="E670" s="11"/>
      <c r="F670" s="11"/>
      <c r="G670" s="11"/>
      <c r="H670" s="11"/>
      <c r="I670" s="11"/>
      <c r="J670" s="13"/>
      <c r="K670" s="11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</row>
    <row r="671" spans="1:36" x14ac:dyDescent="0.25">
      <c r="A671" s="11" t="s">
        <v>151</v>
      </c>
      <c r="B671" s="11"/>
      <c r="C671" s="11"/>
      <c r="D671" s="11" t="s">
        <v>154</v>
      </c>
      <c r="E671" s="11" t="s">
        <v>160</v>
      </c>
      <c r="F671" s="11"/>
      <c r="G671" s="11"/>
      <c r="H671" s="11"/>
      <c r="I671" s="11"/>
      <c r="J671" s="13"/>
      <c r="K671" s="11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</row>
    <row r="672" spans="1:36" ht="14.1" customHeight="1" x14ac:dyDescent="0.25">
      <c r="A672" s="14" t="s">
        <v>152</v>
      </c>
      <c r="B672" s="14">
        <v>3</v>
      </c>
      <c r="C672" s="14"/>
      <c r="D672" s="14"/>
      <c r="E672" s="14"/>
      <c r="F672" s="14">
        <v>5</v>
      </c>
      <c r="G672" s="14" t="s">
        <v>161</v>
      </c>
    </row>
    <row r="673" spans="1:34" x14ac:dyDescent="0.25">
      <c r="A673" s="1" t="s">
        <v>152</v>
      </c>
      <c r="E673" s="4" t="s">
        <v>161</v>
      </c>
    </row>
    <row r="674" spans="1:34" x14ac:dyDescent="0.25">
      <c r="A674" s="4" t="s">
        <v>153</v>
      </c>
      <c r="D674" s="4" t="s">
        <v>155</v>
      </c>
      <c r="E674" s="4" t="s">
        <v>162</v>
      </c>
    </row>
    <row r="675" spans="1:34" x14ac:dyDescent="0.25">
      <c r="D675" s="4" t="s">
        <v>156</v>
      </c>
    </row>
    <row r="676" spans="1:34" x14ac:dyDescent="0.25">
      <c r="D676" s="4" t="s">
        <v>157</v>
      </c>
    </row>
    <row r="677" spans="1:34" x14ac:dyDescent="0.25">
      <c r="D677" s="4" t="s">
        <v>158</v>
      </c>
    </row>
    <row r="678" spans="1:34" x14ac:dyDescent="0.25">
      <c r="D678" s="4" t="s">
        <v>159</v>
      </c>
    </row>
    <row r="680" spans="1:34" x14ac:dyDescent="0.25">
      <c r="A680" s="4" t="s">
        <v>163</v>
      </c>
      <c r="H680" s="4" t="s">
        <v>164</v>
      </c>
      <c r="I680" s="4" t="s">
        <v>165</v>
      </c>
      <c r="J680" s="4" t="s">
        <v>166</v>
      </c>
      <c r="K680" s="4" t="s">
        <v>168</v>
      </c>
      <c r="L680" s="4" t="s">
        <v>169</v>
      </c>
      <c r="M680" s="4" t="s">
        <v>170</v>
      </c>
      <c r="X680" s="4" t="s">
        <v>171</v>
      </c>
    </row>
    <row r="681" spans="1:34" x14ac:dyDescent="0.25">
      <c r="J681" s="4" t="s">
        <v>167</v>
      </c>
    </row>
    <row r="682" spans="1:34" x14ac:dyDescent="0.25">
      <c r="J682" s="4" t="s">
        <v>43</v>
      </c>
    </row>
    <row r="683" spans="1:34" x14ac:dyDescent="0.25">
      <c r="A683" s="4">
        <v>271</v>
      </c>
      <c r="H683" s="4">
        <v>3</v>
      </c>
      <c r="I683" s="4" t="s">
        <v>228</v>
      </c>
      <c r="J683" s="53">
        <v>0.63472222222222219</v>
      </c>
      <c r="K683" s="4" t="s">
        <v>306</v>
      </c>
      <c r="L683" s="4" t="s">
        <v>431</v>
      </c>
      <c r="M683" s="4">
        <v>12</v>
      </c>
      <c r="O683" s="4">
        <v>9</v>
      </c>
      <c r="Q683" s="4">
        <v>18</v>
      </c>
      <c r="S683" s="4">
        <v>59</v>
      </c>
      <c r="U683" s="4">
        <v>35</v>
      </c>
      <c r="X683" s="4">
        <v>51</v>
      </c>
      <c r="Z683" s="4">
        <v>53</v>
      </c>
      <c r="AB683" s="4">
        <v>65</v>
      </c>
      <c r="AD683" s="4">
        <v>34</v>
      </c>
    </row>
    <row r="684" spans="1:34" x14ac:dyDescent="0.25">
      <c r="J684" s="53">
        <v>0.1986111111111111</v>
      </c>
      <c r="L684" s="4" t="s">
        <v>432</v>
      </c>
      <c r="M684" s="4" t="s">
        <v>74</v>
      </c>
      <c r="O684" s="4" t="s">
        <v>107</v>
      </c>
      <c r="Q684" s="4" t="s">
        <v>107</v>
      </c>
      <c r="S684" s="4" t="s">
        <v>108</v>
      </c>
      <c r="U684" s="4" t="s">
        <v>174</v>
      </c>
      <c r="X684" s="4" t="s">
        <v>74</v>
      </c>
      <c r="Z684" s="4" t="s">
        <v>108</v>
      </c>
      <c r="AB684" s="4" t="s">
        <v>108</v>
      </c>
      <c r="AD684" s="4" t="s">
        <v>174</v>
      </c>
    </row>
    <row r="685" spans="1:34" x14ac:dyDescent="0.25">
      <c r="A685" s="4">
        <v>272</v>
      </c>
      <c r="H685" s="4">
        <v>3</v>
      </c>
      <c r="I685" s="4" t="s">
        <v>175</v>
      </c>
      <c r="J685" s="53">
        <v>0.63472222222222219</v>
      </c>
      <c r="K685" s="4" t="s">
        <v>176</v>
      </c>
      <c r="L685" s="4" t="s">
        <v>433</v>
      </c>
      <c r="M685" s="4">
        <v>19</v>
      </c>
      <c r="O685" s="4">
        <v>33</v>
      </c>
      <c r="Q685" s="4">
        <v>4</v>
      </c>
      <c r="S685" s="4">
        <v>14</v>
      </c>
      <c r="U685" s="4">
        <v>35</v>
      </c>
      <c r="X685" s="4">
        <v>21</v>
      </c>
      <c r="Z685" s="4">
        <v>40</v>
      </c>
      <c r="AB685" s="4">
        <v>25</v>
      </c>
      <c r="AD685" s="4">
        <v>52</v>
      </c>
      <c r="AF685" s="4">
        <v>34</v>
      </c>
    </row>
    <row r="686" spans="1:34" x14ac:dyDescent="0.25">
      <c r="J686" s="53">
        <v>0.1986111111111111</v>
      </c>
      <c r="M686" s="4" t="s">
        <v>74</v>
      </c>
      <c r="O686" s="4" t="s">
        <v>74</v>
      </c>
      <c r="Q686" s="4" t="s">
        <v>108</v>
      </c>
      <c r="S686" s="4" t="s">
        <v>108</v>
      </c>
      <c r="U686" s="4" t="s">
        <v>174</v>
      </c>
      <c r="X686" s="4" t="s">
        <v>74</v>
      </c>
      <c r="Z686" s="4" t="s">
        <v>107</v>
      </c>
      <c r="AB686" s="4" t="s">
        <v>108</v>
      </c>
      <c r="AD686" s="4" t="s">
        <v>108</v>
      </c>
      <c r="AF686" s="4" t="s">
        <v>174</v>
      </c>
    </row>
    <row r="687" spans="1:34" x14ac:dyDescent="0.25">
      <c r="A687" s="4">
        <v>273</v>
      </c>
      <c r="H687" s="4">
        <v>3</v>
      </c>
      <c r="I687" s="4" t="s">
        <v>175</v>
      </c>
      <c r="J687" s="53">
        <v>0.66666666666666663</v>
      </c>
      <c r="K687" s="4" t="s">
        <v>178</v>
      </c>
      <c r="L687" s="4" t="s">
        <v>434</v>
      </c>
      <c r="M687" s="4">
        <v>19</v>
      </c>
      <c r="O687" s="4">
        <v>33</v>
      </c>
      <c r="Q687" s="4">
        <v>4</v>
      </c>
      <c r="S687" s="4">
        <v>14</v>
      </c>
      <c r="U687" s="4">
        <v>76</v>
      </c>
      <c r="W687" s="4">
        <v>35</v>
      </c>
      <c r="X687" s="4">
        <v>21</v>
      </c>
      <c r="Z687" s="4">
        <v>8</v>
      </c>
      <c r="AB687" s="4">
        <v>40</v>
      </c>
      <c r="AD687" s="4">
        <v>25</v>
      </c>
      <c r="AF687" s="4">
        <v>52</v>
      </c>
      <c r="AH687" s="4">
        <v>34</v>
      </c>
    </row>
    <row r="688" spans="1:34" x14ac:dyDescent="0.25">
      <c r="J688" s="53">
        <v>0.16666666666666666</v>
      </c>
      <c r="M688" s="4" t="s">
        <v>74</v>
      </c>
      <c r="O688" s="4" t="s">
        <v>74</v>
      </c>
      <c r="Q688" s="4" t="s">
        <v>108</v>
      </c>
      <c r="S688" s="4" t="s">
        <v>108</v>
      </c>
      <c r="U688" s="4" t="s">
        <v>108</v>
      </c>
      <c r="W688" s="4" t="s">
        <v>174</v>
      </c>
      <c r="X688" s="4" t="s">
        <v>74</v>
      </c>
      <c r="Z688" s="4" t="s">
        <v>107</v>
      </c>
      <c r="AB688" s="4" t="s">
        <v>107</v>
      </c>
      <c r="AD688" s="4" t="s">
        <v>108</v>
      </c>
      <c r="AF688" s="4" t="s">
        <v>108</v>
      </c>
      <c r="AH688" s="4" t="s">
        <v>174</v>
      </c>
    </row>
    <row r="689" spans="1:34" x14ac:dyDescent="0.25">
      <c r="A689" s="4">
        <v>274</v>
      </c>
      <c r="H689" s="4">
        <v>3</v>
      </c>
      <c r="I689" s="4" t="s">
        <v>175</v>
      </c>
      <c r="J689" s="53">
        <v>0.67986111111111114</v>
      </c>
      <c r="K689" s="4" t="s">
        <v>178</v>
      </c>
      <c r="L689" s="4" t="s">
        <v>435</v>
      </c>
      <c r="M689" s="4">
        <v>63</v>
      </c>
      <c r="O689" s="4">
        <v>9</v>
      </c>
      <c r="Q689" s="4">
        <v>38</v>
      </c>
      <c r="S689" s="4">
        <v>59</v>
      </c>
      <c r="U689" s="4">
        <v>76</v>
      </c>
      <c r="W689" s="4">
        <v>35</v>
      </c>
      <c r="X689" s="4">
        <v>51</v>
      </c>
      <c r="Z689" s="4">
        <v>71</v>
      </c>
      <c r="AB689" s="4">
        <v>8</v>
      </c>
      <c r="AD689" s="4">
        <v>53</v>
      </c>
      <c r="AF689" s="4">
        <v>65</v>
      </c>
      <c r="AH689" s="4">
        <v>34</v>
      </c>
    </row>
    <row r="690" spans="1:34" x14ac:dyDescent="0.25">
      <c r="J690" s="53">
        <v>0.15347222222222223</v>
      </c>
      <c r="M690" s="4" t="s">
        <v>74</v>
      </c>
      <c r="O690" s="4" t="s">
        <v>107</v>
      </c>
      <c r="Q690" s="4" t="s">
        <v>107</v>
      </c>
      <c r="S690" s="4" t="s">
        <v>108</v>
      </c>
      <c r="U690" s="4" t="s">
        <v>108</v>
      </c>
      <c r="W690" s="4" t="s">
        <v>174</v>
      </c>
      <c r="X690" s="4" t="s">
        <v>74</v>
      </c>
      <c r="Z690" s="4" t="s">
        <v>74</v>
      </c>
      <c r="AB690" s="4" t="s">
        <v>107</v>
      </c>
      <c r="AD690" s="4" t="s">
        <v>108</v>
      </c>
      <c r="AF690" s="4" t="s">
        <v>108</v>
      </c>
      <c r="AH690" s="4" t="s">
        <v>174</v>
      </c>
    </row>
    <row r="691" spans="1:34" x14ac:dyDescent="0.25">
      <c r="A691" s="4">
        <v>275</v>
      </c>
      <c r="H691" s="4">
        <v>3</v>
      </c>
      <c r="I691" s="4" t="s">
        <v>175</v>
      </c>
      <c r="J691" s="53">
        <v>0.69513888888888886</v>
      </c>
      <c r="K691" s="4" t="s">
        <v>178</v>
      </c>
      <c r="L691" s="4" t="s">
        <v>436</v>
      </c>
      <c r="M691" s="4">
        <v>63</v>
      </c>
      <c r="O691" s="4">
        <v>9</v>
      </c>
      <c r="Q691" s="4">
        <v>38</v>
      </c>
      <c r="S691" s="4">
        <v>59</v>
      </c>
      <c r="U691" s="4">
        <v>76</v>
      </c>
      <c r="W691" s="4">
        <v>35</v>
      </c>
      <c r="X691" s="4">
        <v>15</v>
      </c>
      <c r="Z691" s="4">
        <v>51</v>
      </c>
      <c r="AB691" s="4">
        <v>71</v>
      </c>
      <c r="AD691" s="4">
        <v>25</v>
      </c>
      <c r="AF691" s="4">
        <v>52</v>
      </c>
      <c r="AH691" s="4">
        <v>34</v>
      </c>
    </row>
    <row r="692" spans="1:34" x14ac:dyDescent="0.25">
      <c r="J692" s="53">
        <v>0.13819444444444443</v>
      </c>
      <c r="M692" s="4" t="s">
        <v>74</v>
      </c>
      <c r="O692" s="4" t="s">
        <v>107</v>
      </c>
      <c r="Q692" s="4" t="s">
        <v>107</v>
      </c>
      <c r="S692" s="4" t="s">
        <v>108</v>
      </c>
      <c r="U692" s="4" t="s">
        <v>108</v>
      </c>
      <c r="W692" s="4" t="s">
        <v>174</v>
      </c>
      <c r="X692" s="4" t="s">
        <v>74</v>
      </c>
      <c r="Z692" s="4" t="s">
        <v>74</v>
      </c>
      <c r="AB692" s="4" t="s">
        <v>74</v>
      </c>
      <c r="AD692" s="4" t="s">
        <v>108</v>
      </c>
      <c r="AF692" s="4" t="s">
        <v>108</v>
      </c>
      <c r="AH692" s="4" t="s">
        <v>174</v>
      </c>
    </row>
    <row r="693" spans="1:34" x14ac:dyDescent="0.25">
      <c r="A693" s="4">
        <v>276</v>
      </c>
      <c r="H693" s="4">
        <v>3</v>
      </c>
      <c r="I693" s="4" t="s">
        <v>175</v>
      </c>
      <c r="J693" s="53">
        <v>0.70763888888888893</v>
      </c>
      <c r="K693" s="4" t="s">
        <v>188</v>
      </c>
      <c r="L693" s="4" t="s">
        <v>437</v>
      </c>
      <c r="M693" s="4">
        <v>63</v>
      </c>
      <c r="O693" s="4">
        <v>9</v>
      </c>
      <c r="Q693" s="4">
        <v>56</v>
      </c>
      <c r="S693" s="4">
        <v>59</v>
      </c>
      <c r="U693" s="4">
        <v>76</v>
      </c>
      <c r="W693" s="4">
        <v>35</v>
      </c>
      <c r="X693" s="4">
        <v>15</v>
      </c>
      <c r="Z693" s="4">
        <v>41</v>
      </c>
      <c r="AB693" s="4">
        <v>71</v>
      </c>
      <c r="AD693" s="4">
        <v>25</v>
      </c>
      <c r="AF693" s="4">
        <v>52</v>
      </c>
      <c r="AH693" s="4">
        <v>34</v>
      </c>
    </row>
    <row r="694" spans="1:34" x14ac:dyDescent="0.25">
      <c r="J694" s="53">
        <v>0.12569444444444444</v>
      </c>
      <c r="M694" s="4" t="s">
        <v>74</v>
      </c>
      <c r="O694" s="4" t="s">
        <v>107</v>
      </c>
      <c r="Q694" s="4" t="s">
        <v>107</v>
      </c>
      <c r="S694" s="4" t="s">
        <v>108</v>
      </c>
      <c r="U694" s="4" t="s">
        <v>108</v>
      </c>
      <c r="W694" s="4" t="s">
        <v>174</v>
      </c>
      <c r="X694" s="4" t="s">
        <v>74</v>
      </c>
      <c r="Z694" s="4" t="s">
        <v>74</v>
      </c>
      <c r="AB694" s="4" t="s">
        <v>74</v>
      </c>
      <c r="AD694" s="4" t="s">
        <v>108</v>
      </c>
      <c r="AF694" s="4" t="s">
        <v>108</v>
      </c>
      <c r="AH694" s="4" t="s">
        <v>174</v>
      </c>
    </row>
    <row r="695" spans="1:34" x14ac:dyDescent="0.25">
      <c r="A695" s="4">
        <v>277</v>
      </c>
      <c r="H695" s="4">
        <v>3</v>
      </c>
      <c r="I695" s="4" t="s">
        <v>175</v>
      </c>
      <c r="J695" s="53">
        <v>0.74861111111111101</v>
      </c>
      <c r="K695" s="4" t="s">
        <v>226</v>
      </c>
      <c r="L695" s="4" t="s">
        <v>438</v>
      </c>
      <c r="M695" s="4">
        <v>19</v>
      </c>
      <c r="O695" s="4">
        <v>18</v>
      </c>
      <c r="Q695" s="4">
        <v>56</v>
      </c>
      <c r="S695" s="4">
        <v>4</v>
      </c>
      <c r="U695" s="4">
        <v>14</v>
      </c>
      <c r="W695" s="4">
        <v>35</v>
      </c>
      <c r="X695" s="4">
        <v>43</v>
      </c>
      <c r="Z695" s="4">
        <v>20</v>
      </c>
      <c r="AB695" s="4">
        <v>40</v>
      </c>
      <c r="AD695" s="4">
        <v>53</v>
      </c>
      <c r="AF695" s="4">
        <v>65</v>
      </c>
      <c r="AH695" s="4">
        <v>34</v>
      </c>
    </row>
    <row r="696" spans="1:34" x14ac:dyDescent="0.25">
      <c r="J696" s="53">
        <v>8.4722222222222213E-2</v>
      </c>
      <c r="M696" s="4" t="s">
        <v>74</v>
      </c>
      <c r="O696" s="4" t="s">
        <v>107</v>
      </c>
      <c r="Q696" s="4" t="s">
        <v>107</v>
      </c>
      <c r="S696" s="4" t="s">
        <v>108</v>
      </c>
      <c r="U696" s="4" t="s">
        <v>108</v>
      </c>
      <c r="W696" s="4" t="s">
        <v>174</v>
      </c>
      <c r="X696" s="4" t="s">
        <v>74</v>
      </c>
      <c r="Z696" s="4" t="s">
        <v>107</v>
      </c>
      <c r="AB696" s="4" t="s">
        <v>107</v>
      </c>
      <c r="AD696" s="4" t="s">
        <v>108</v>
      </c>
      <c r="AF696" s="4" t="s">
        <v>108</v>
      </c>
      <c r="AH696" s="4" t="s">
        <v>174</v>
      </c>
    </row>
    <row r="697" spans="1:34" x14ac:dyDescent="0.25">
      <c r="A697" s="4">
        <v>278</v>
      </c>
      <c r="H697" s="4">
        <v>3</v>
      </c>
      <c r="I697" s="4" t="s">
        <v>175</v>
      </c>
      <c r="J697" s="53">
        <v>0.74861111111111101</v>
      </c>
      <c r="K697" s="4" t="s">
        <v>226</v>
      </c>
      <c r="L697" s="4" t="s">
        <v>439</v>
      </c>
      <c r="M697" s="4">
        <v>18</v>
      </c>
      <c r="O697" s="4">
        <v>56</v>
      </c>
      <c r="Q697" s="4">
        <v>4</v>
      </c>
      <c r="S697" s="4">
        <v>14</v>
      </c>
      <c r="U697" s="4">
        <v>35</v>
      </c>
      <c r="X697" s="4">
        <v>43</v>
      </c>
      <c r="Z697" s="4">
        <v>20</v>
      </c>
      <c r="AB697" s="4">
        <v>40</v>
      </c>
      <c r="AD697" s="4">
        <v>53</v>
      </c>
      <c r="AF697" s="4">
        <v>65</v>
      </c>
      <c r="AH697" s="4">
        <v>34</v>
      </c>
    </row>
    <row r="698" spans="1:34" x14ac:dyDescent="0.25">
      <c r="J698" s="53">
        <v>8.4722222222222213E-2</v>
      </c>
      <c r="M698" s="4" t="s">
        <v>107</v>
      </c>
      <c r="O698" s="4" t="s">
        <v>107</v>
      </c>
      <c r="Q698" s="4" t="s">
        <v>108</v>
      </c>
      <c r="S698" s="4" t="s">
        <v>108</v>
      </c>
      <c r="U698" s="4" t="s">
        <v>174</v>
      </c>
      <c r="X698" s="4" t="s">
        <v>74</v>
      </c>
      <c r="Z698" s="4" t="s">
        <v>107</v>
      </c>
      <c r="AB698" s="4" t="s">
        <v>107</v>
      </c>
      <c r="AD698" s="4" t="s">
        <v>108</v>
      </c>
      <c r="AF698" s="4" t="s">
        <v>108</v>
      </c>
      <c r="AH698" s="4" t="s">
        <v>174</v>
      </c>
    </row>
    <row r="699" spans="1:34" x14ac:dyDescent="0.25">
      <c r="A699" s="4">
        <v>279</v>
      </c>
      <c r="H699" s="4">
        <v>3</v>
      </c>
      <c r="I699" s="4" t="s">
        <v>230</v>
      </c>
      <c r="J699" s="53">
        <v>0.74861111111111101</v>
      </c>
      <c r="K699" s="4" t="s">
        <v>176</v>
      </c>
      <c r="L699" s="4" t="s">
        <v>333</v>
      </c>
      <c r="M699" s="4">
        <v>12</v>
      </c>
      <c r="O699" s="4">
        <v>4</v>
      </c>
      <c r="Q699" s="4">
        <v>14</v>
      </c>
      <c r="S699" s="4">
        <v>35</v>
      </c>
      <c r="X699" s="4">
        <v>15</v>
      </c>
      <c r="Z699" s="4">
        <v>51</v>
      </c>
      <c r="AB699" s="4">
        <v>8</v>
      </c>
      <c r="AD699" s="4">
        <v>25</v>
      </c>
      <c r="AF699" s="4">
        <v>65</v>
      </c>
      <c r="AH699" s="4">
        <v>34</v>
      </c>
    </row>
    <row r="700" spans="1:34" x14ac:dyDescent="0.25">
      <c r="J700" s="53">
        <v>8.4722222222222213E-2</v>
      </c>
      <c r="M700" s="4" t="s">
        <v>74</v>
      </c>
      <c r="O700" s="4" t="s">
        <v>108</v>
      </c>
      <c r="Q700" s="4" t="s">
        <v>108</v>
      </c>
      <c r="S700" s="4" t="s">
        <v>174</v>
      </c>
      <c r="X700" s="4" t="s">
        <v>74</v>
      </c>
      <c r="Z700" s="4" t="s">
        <v>74</v>
      </c>
      <c r="AB700" s="4" t="s">
        <v>107</v>
      </c>
      <c r="AD700" s="4" t="s">
        <v>108</v>
      </c>
      <c r="AF700" s="4" t="s">
        <v>108</v>
      </c>
      <c r="AH700" s="4" t="s">
        <v>174</v>
      </c>
    </row>
    <row r="701" spans="1:34" x14ac:dyDescent="0.25">
      <c r="A701" s="4">
        <v>280</v>
      </c>
      <c r="H701" s="4">
        <v>3</v>
      </c>
      <c r="I701" s="4" t="s">
        <v>228</v>
      </c>
      <c r="J701" s="53">
        <v>0.76458333333333339</v>
      </c>
      <c r="K701" s="4" t="s">
        <v>231</v>
      </c>
      <c r="L701" s="4" t="s">
        <v>440</v>
      </c>
      <c r="M701" s="4">
        <v>12</v>
      </c>
      <c r="O701" s="4">
        <v>4</v>
      </c>
      <c r="Q701" s="4">
        <v>14</v>
      </c>
      <c r="S701" s="4">
        <v>35</v>
      </c>
      <c r="X701" s="4">
        <v>15</v>
      </c>
      <c r="Z701" s="4">
        <v>51</v>
      </c>
      <c r="AB701" s="4">
        <v>8</v>
      </c>
      <c r="AD701" s="4">
        <v>25</v>
      </c>
      <c r="AF701" s="4">
        <v>65</v>
      </c>
      <c r="AH701" s="4">
        <v>34</v>
      </c>
    </row>
    <row r="702" spans="1:34" x14ac:dyDescent="0.25">
      <c r="J702" s="53">
        <v>6.8749999999999992E-2</v>
      </c>
      <c r="M702" s="4" t="s">
        <v>74</v>
      </c>
      <c r="O702" s="4" t="s">
        <v>108</v>
      </c>
      <c r="Q702" s="4" t="s">
        <v>108</v>
      </c>
      <c r="S702" s="4" t="s">
        <v>174</v>
      </c>
      <c r="X702" s="4" t="s">
        <v>74</v>
      </c>
      <c r="Z702" s="4" t="s">
        <v>74</v>
      </c>
      <c r="AB702" s="4" t="s">
        <v>107</v>
      </c>
      <c r="AD702" s="4" t="s">
        <v>108</v>
      </c>
      <c r="AF702" s="4" t="s">
        <v>108</v>
      </c>
      <c r="AH702" s="4" t="s">
        <v>174</v>
      </c>
    </row>
    <row r="703" spans="1:34" x14ac:dyDescent="0.25">
      <c r="A703" s="4">
        <v>281</v>
      </c>
      <c r="H703" s="4">
        <v>3</v>
      </c>
      <c r="I703" s="4" t="s">
        <v>228</v>
      </c>
      <c r="J703" s="53">
        <v>0.81805555555555554</v>
      </c>
      <c r="K703" s="4" t="s">
        <v>306</v>
      </c>
      <c r="L703" s="4" t="s">
        <v>441</v>
      </c>
      <c r="M703" s="4">
        <v>63</v>
      </c>
      <c r="O703" s="4">
        <v>38</v>
      </c>
      <c r="Q703" s="4">
        <v>59</v>
      </c>
      <c r="S703" s="4">
        <v>76</v>
      </c>
      <c r="X703" s="4">
        <v>41</v>
      </c>
      <c r="Z703" s="4">
        <v>43</v>
      </c>
      <c r="AB703" s="4">
        <v>40</v>
      </c>
      <c r="AD703" s="4">
        <v>53</v>
      </c>
      <c r="AF703" s="4">
        <v>65</v>
      </c>
      <c r="AH703" s="4">
        <v>34</v>
      </c>
    </row>
    <row r="704" spans="1:34" x14ac:dyDescent="0.25">
      <c r="J704" s="53">
        <v>1.5277777777777777E-2</v>
      </c>
      <c r="L704" s="4" t="s">
        <v>442</v>
      </c>
      <c r="M704" s="4" t="s">
        <v>74</v>
      </c>
      <c r="O704" s="4" t="s">
        <v>107</v>
      </c>
      <c r="Q704" s="4" t="s">
        <v>108</v>
      </c>
      <c r="S704" s="4" t="s">
        <v>108</v>
      </c>
      <c r="X704" s="4" t="s">
        <v>74</v>
      </c>
      <c r="Z704" s="4" t="s">
        <v>74</v>
      </c>
      <c r="AB704" s="4" t="s">
        <v>107</v>
      </c>
      <c r="AD704" s="4" t="s">
        <v>108</v>
      </c>
      <c r="AF704" s="4" t="s">
        <v>108</v>
      </c>
      <c r="AH704" s="4" t="s">
        <v>174</v>
      </c>
    </row>
    <row r="705" spans="1:34" x14ac:dyDescent="0.25">
      <c r="A705" s="4">
        <v>282</v>
      </c>
      <c r="H705" s="4">
        <v>3</v>
      </c>
      <c r="I705" s="4" t="s">
        <v>230</v>
      </c>
      <c r="J705" s="53">
        <v>0.81805555555555554</v>
      </c>
      <c r="K705" s="4" t="s">
        <v>226</v>
      </c>
      <c r="L705" s="4" t="s">
        <v>443</v>
      </c>
      <c r="M705" s="4">
        <v>19</v>
      </c>
      <c r="O705" s="4">
        <v>63</v>
      </c>
      <c r="Q705" s="4">
        <v>38</v>
      </c>
      <c r="S705" s="4">
        <v>59</v>
      </c>
      <c r="U705" s="4">
        <v>76</v>
      </c>
      <c r="X705" s="4">
        <v>15</v>
      </c>
      <c r="Z705" s="4">
        <v>51</v>
      </c>
      <c r="AB705" s="4">
        <v>20</v>
      </c>
      <c r="AD705" s="4">
        <v>53</v>
      </c>
      <c r="AF705" s="4">
        <v>65</v>
      </c>
      <c r="AH705" s="4">
        <v>34</v>
      </c>
    </row>
    <row r="706" spans="1:34" x14ac:dyDescent="0.25">
      <c r="J706" s="53">
        <v>1.5277777777777777E-2</v>
      </c>
      <c r="M706" s="4" t="s">
        <v>74</v>
      </c>
      <c r="O706" s="4" t="s">
        <v>74</v>
      </c>
      <c r="Q706" s="4" t="s">
        <v>107</v>
      </c>
      <c r="S706" s="4" t="s">
        <v>108</v>
      </c>
      <c r="U706" s="4" t="s">
        <v>108</v>
      </c>
      <c r="X706" s="4" t="s">
        <v>74</v>
      </c>
      <c r="Z706" s="4" t="s">
        <v>74</v>
      </c>
      <c r="AB706" s="4" t="s">
        <v>107</v>
      </c>
      <c r="AD706" s="4" t="s">
        <v>108</v>
      </c>
      <c r="AF706" s="4" t="s">
        <v>108</v>
      </c>
      <c r="AH706" s="4" t="s">
        <v>174</v>
      </c>
    </row>
    <row r="707" spans="1:34" x14ac:dyDescent="0.25">
      <c r="A707" s="4">
        <v>283</v>
      </c>
      <c r="H707" s="4">
        <v>3</v>
      </c>
      <c r="I707" s="4" t="s">
        <v>230</v>
      </c>
      <c r="J707" s="53">
        <v>0.81805555555555554</v>
      </c>
      <c r="K707" s="4" t="s">
        <v>176</v>
      </c>
      <c r="L707" s="4" t="s">
        <v>444</v>
      </c>
      <c r="M707" s="4">
        <v>10</v>
      </c>
      <c r="O707" s="4">
        <v>7</v>
      </c>
      <c r="Q707" s="4">
        <v>25</v>
      </c>
      <c r="S707" s="4">
        <v>35</v>
      </c>
      <c r="X707" s="4">
        <v>15</v>
      </c>
      <c r="Z707" s="4">
        <v>51</v>
      </c>
      <c r="AB707" s="4">
        <v>20</v>
      </c>
      <c r="AD707" s="4">
        <v>53</v>
      </c>
      <c r="AF707" s="4">
        <v>65</v>
      </c>
      <c r="AH707" s="4">
        <v>34</v>
      </c>
    </row>
    <row r="708" spans="1:34" x14ac:dyDescent="0.25">
      <c r="J708" s="53">
        <v>1.5277777777777777E-2</v>
      </c>
      <c r="M708" s="4" t="s">
        <v>74</v>
      </c>
      <c r="O708" s="4" t="s">
        <v>108</v>
      </c>
      <c r="Q708" s="4" t="s">
        <v>108</v>
      </c>
      <c r="S708" s="4" t="s">
        <v>174</v>
      </c>
      <c r="X708" s="4" t="s">
        <v>74</v>
      </c>
      <c r="Z708" s="4" t="s">
        <v>74</v>
      </c>
      <c r="AB708" s="4" t="s">
        <v>107</v>
      </c>
      <c r="AD708" s="4" t="s">
        <v>108</v>
      </c>
      <c r="AF708" s="4" t="s">
        <v>108</v>
      </c>
      <c r="AH708" s="4" t="s">
        <v>174</v>
      </c>
    </row>
    <row r="709" spans="1:34" x14ac:dyDescent="0.25">
      <c r="A709" s="4">
        <v>284</v>
      </c>
      <c r="H709" s="4">
        <v>3</v>
      </c>
      <c r="J709" s="53">
        <v>0.83333333333333337</v>
      </c>
      <c r="K709" s="4" t="s">
        <v>278</v>
      </c>
      <c r="L709" s="4" t="s">
        <v>445</v>
      </c>
      <c r="M709" s="4">
        <v>10</v>
      </c>
      <c r="O709" s="4">
        <v>18</v>
      </c>
      <c r="Q709" s="4">
        <v>7</v>
      </c>
      <c r="S709" s="4">
        <v>25</v>
      </c>
      <c r="U709" s="4">
        <v>35</v>
      </c>
      <c r="X709" s="4">
        <v>15</v>
      </c>
      <c r="Z709" s="4">
        <v>51</v>
      </c>
      <c r="AB709" s="4">
        <v>20</v>
      </c>
      <c r="AD709" s="4">
        <v>53</v>
      </c>
      <c r="AF709" s="4">
        <v>65</v>
      </c>
      <c r="AH709" s="4">
        <v>34</v>
      </c>
    </row>
    <row r="710" spans="1:34" x14ac:dyDescent="0.25">
      <c r="J710" s="53">
        <v>0</v>
      </c>
      <c r="M710" s="4" t="s">
        <v>74</v>
      </c>
      <c r="O710" s="4" t="s">
        <v>107</v>
      </c>
      <c r="Q710" s="4" t="s">
        <v>108</v>
      </c>
      <c r="S710" s="4" t="s">
        <v>108</v>
      </c>
      <c r="U710" s="4" t="s">
        <v>174</v>
      </c>
      <c r="X710" s="4" t="s">
        <v>74</v>
      </c>
      <c r="Z710" s="4" t="s">
        <v>74</v>
      </c>
      <c r="AB710" s="4" t="s">
        <v>107</v>
      </c>
      <c r="AD710" s="4" t="s">
        <v>108</v>
      </c>
      <c r="AF710" s="4" t="s">
        <v>108</v>
      </c>
      <c r="AH710" s="4" t="s">
        <v>174</v>
      </c>
    </row>
    <row r="711" spans="1:34" x14ac:dyDescent="0.25">
      <c r="A711" s="4">
        <v>285</v>
      </c>
      <c r="H711" s="4">
        <v>3</v>
      </c>
      <c r="J711" s="53">
        <v>0.83333333333333337</v>
      </c>
      <c r="K711" s="4" t="s">
        <v>446</v>
      </c>
      <c r="L711" s="4" t="s">
        <v>447</v>
      </c>
    </row>
    <row r="712" spans="1:34" x14ac:dyDescent="0.25">
      <c r="J712" s="53">
        <v>0</v>
      </c>
    </row>
    <row r="713" spans="1:34" x14ac:dyDescent="0.25">
      <c r="A713" s="4" t="s">
        <v>369</v>
      </c>
    </row>
  </sheetData>
  <pageMargins left="0.7" right="0.7" top="0.75" bottom="0.75" header="0.3" footer="0.3"/>
  <pageSetup orientation="portrait" horizont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01"/>
  <sheetViews>
    <sheetView workbookViewId="0">
      <selection sqref="A1:P1001"/>
    </sheetView>
  </sheetViews>
  <sheetFormatPr defaultRowHeight="15" x14ac:dyDescent="0.25"/>
  <cols>
    <col min="1" max="1" width="9.140625" customWidth="1"/>
  </cols>
  <sheetData>
    <row r="1" spans="1:16" x14ac:dyDescent="0.25">
      <c r="A1">
        <f>MAX('NHL PBP'!A:A)</f>
        <v>285</v>
      </c>
      <c r="B1" s="1" t="s">
        <v>0</v>
      </c>
      <c r="C1" s="1" t="s">
        <v>1</v>
      </c>
      <c r="D1" s="1" t="s">
        <v>2</v>
      </c>
      <c r="E1" s="1" t="s">
        <v>59</v>
      </c>
      <c r="F1" s="1" t="s">
        <v>60</v>
      </c>
      <c r="G1" s="1" t="s">
        <v>61</v>
      </c>
      <c r="H1" s="1" t="s">
        <v>64</v>
      </c>
      <c r="I1" s="1" t="s">
        <v>62</v>
      </c>
      <c r="J1" s="1" t="s">
        <v>6</v>
      </c>
      <c r="K1" s="1" t="s">
        <v>4</v>
      </c>
      <c r="L1" s="1" t="s">
        <v>11</v>
      </c>
      <c r="M1" s="1" t="s">
        <v>16</v>
      </c>
      <c r="N1" s="1" t="s">
        <v>12</v>
      </c>
      <c r="O1" s="1" t="s">
        <v>13</v>
      </c>
      <c r="P1" s="1" t="s">
        <v>50</v>
      </c>
    </row>
    <row r="2" spans="1:16" x14ac:dyDescent="0.25">
      <c r="A2">
        <v>1</v>
      </c>
      <c r="B2">
        <f>IF($A2&gt;$A$1,"",VLOOKUP($A2,'NHL PBP'!$A:$L,8,FALSE))</f>
        <v>1</v>
      </c>
      <c r="C2">
        <f>IF($A2&gt;$A$1,"",IF(B2&gt;3,5/24,20/24)-VLOOKUP($A2,'NHL PBP'!$A:$L,10,FALSE))</f>
        <v>0.83333333333333337</v>
      </c>
      <c r="D2" t="str">
        <f>IF($A2&gt;$A$1,"",VLOOKUP($A2,'NHL PBP'!$A:$L,11,FALSE))</f>
        <v>PSTR</v>
      </c>
      <c r="E2" t="str">
        <f>IF(AND(EXACT(D2,"FAC"),NOT(EXACT(MID(F2,9,3),"Neu"))),IF(OR(AND(EXACT(MID(F2,9,3),"Off"),EXACT(LEFT(F2,3),UPPER('Entry data'!$C$2))),AND(EXACT(MID(F2,9,3),"Def"),NOT(EXACT(LEFT(F2,3),UPPER('Entry data'!$C$2))))),"DZF","OZF"),"")</f>
        <v/>
      </c>
      <c r="F2" t="str">
        <f>IF($A2&gt;$A$1,"",VLOOKUP($A2,'NHL PBP'!$A:$L,12,FALSE))</f>
        <v>Period Start- Local time: 7:38 EDT</v>
      </c>
      <c r="J2">
        <f>IF(EXACT('Entry data'!$C$3,"Road"),IF(ISBLANK(VLOOKUP(A2,'NHL PBP'!A:AH,21,FALSE)),3,IF(ISBLANK(VLOOKUP(A2,'NHL PBP'!A:AH,23,FALSE)),4,5)),IF(ISBLANK(VLOOKUP(A2,'NHL PBP'!A:AH,32,FALSE)),3,IF(ISBLANK(VLOOKUP(A2,'NHL PBP'!A:AH,34,FALSE)),4,5)))</f>
        <v>5</v>
      </c>
      <c r="K2">
        <f>IF(EXACT('Entry data'!$C$3,"Home"),IF(ISBLANK(VLOOKUP(A2,'NHL PBP'!A:AH,21,FALSE)),3,IF(ISBLANK(VLOOKUP(A2,'NHL PBP'!A:AH,23,FALSE)),4,5)),IF(ISBLANK(VLOOKUP(A2,'NHL PBP'!A:AH,32,FALSE)),3,IF(ISBLANK(VLOOKUP(A2,'NHL PBP'!A:AH,34,FALSE)),4,5)))</f>
        <v>5</v>
      </c>
      <c r="L2">
        <f>IF(OR(EXACT(D2,"C"),EXACT(D2,"P"),EXACT(D2,"D"),EXACT(D2,"T"),EXACT(D2,"X"),EXACT(E2,"DZF"),EXACT(E2,"OZF"),EXACT(D2,"N"),EXACT(D2,"F")),1,0)</f>
        <v>0</v>
      </c>
      <c r="M2" t="str">
        <f t="shared" ref="M2:M65" si="0">IF(OR(EXACT(D2,"C"),EXACT(D2,"P")),E2,"")</f>
        <v/>
      </c>
      <c r="N2">
        <f t="shared" ref="N2:N65" si="1">IF(OR(EXACT(D2,"GOAL"),EXACT(D2,"SHOT"),EXACT(D2,"MISS")),1,0)+IF(L3=0,N3,0)</f>
        <v>0</v>
      </c>
      <c r="O2">
        <f t="shared" ref="O2:O65" si="2">IF(EXACT(D2,"GOAL"),1,0)+IF(L3=0,O3,0)</f>
        <v>0</v>
      </c>
      <c r="P2" t="str">
        <f>IF(EXACT(D2,"F"),E2,"")</f>
        <v/>
      </c>
    </row>
    <row r="3" spans="1:16" x14ac:dyDescent="0.25">
      <c r="A3">
        <v>2</v>
      </c>
      <c r="B3">
        <f>IF($A3&gt;$A$1,"",VLOOKUP($A3,'NHL PBP'!$A:$L,8,FALSE))</f>
        <v>1</v>
      </c>
      <c r="C3">
        <f>IF($A3&gt;$A$1,"",IF(B3&gt;3,5/24,20/24)-VLOOKUP($A3,'NHL PBP'!$A:$L,10,FALSE))</f>
        <v>0.83333333333333337</v>
      </c>
      <c r="D3" t="str">
        <f>IF($A3&gt;$A$1,"",VLOOKUP($A3,'NHL PBP'!$A:$L,11,FALSE))</f>
        <v>FAC</v>
      </c>
      <c r="E3" t="str">
        <f>IF(AND(EXACT(D3,"FAC"),NOT(EXACT(MID(F3,9,3),"Neu"))),IF(OR(AND(EXACT(MID(F3,9,3),"Off"),EXACT(LEFT(F3,3),UPPER('Entry data'!$C$2))),AND(EXACT(MID(F3,9,3),"Def"),NOT(EXACT(LEFT(F3,3),UPPER('Entry data'!$C$2))))),"DZF","OZF"),"")</f>
        <v/>
      </c>
      <c r="F3" t="str">
        <f>IF($A3&gt;$A$1,"",VLOOKUP($A3,'NHL PBP'!$A:$L,12,FALSE))</f>
        <v>NSH won Neu. Zone - NSH #92 JOHANSEN vs DET #51 NIELSEN</v>
      </c>
      <c r="J3">
        <f>IF(EXACT('Entry data'!$C$3,"Road"),IF(ISBLANK(VLOOKUP(A3,'NHL PBP'!A:AH,21,FALSE)),3,IF(ISBLANK(VLOOKUP(A3,'NHL PBP'!A:AH,23,FALSE)),4,5)),IF(ISBLANK(VLOOKUP(A3,'NHL PBP'!A:AH,32,FALSE)),3,IF(ISBLANK(VLOOKUP(A3,'NHL PBP'!A:AH,34,FALSE)),4,5)))</f>
        <v>5</v>
      </c>
      <c r="K3">
        <f>IF(EXACT('Entry data'!$C$3,"Home"),IF(ISBLANK(VLOOKUP(A3,'NHL PBP'!A:AH,21,FALSE)),3,IF(ISBLANK(VLOOKUP(A3,'NHL PBP'!A:AH,23,FALSE)),4,5)),IF(ISBLANK(VLOOKUP(A3,'NHL PBP'!A:AH,32,FALSE)),3,IF(ISBLANK(VLOOKUP(A3,'NHL PBP'!A:AH,34,FALSE)),4,5)))</f>
        <v>5</v>
      </c>
      <c r="L3">
        <f>IF(OR(EXACT(D3,"C"),EXACT(D3,"P"),EXACT(D3,"D"),EXACT(D3,"T"),EXACT(D3,"X"),EXACT(E3,"DZF"),EXACT(E3,"OZF"),EXACT(D3,"N"),EXACT(D3,"F")),1,0)</f>
        <v>0</v>
      </c>
      <c r="M3" t="str">
        <f t="shared" si="0"/>
        <v/>
      </c>
      <c r="N3">
        <f t="shared" si="1"/>
        <v>0</v>
      </c>
      <c r="O3">
        <f t="shared" si="2"/>
        <v>0</v>
      </c>
      <c r="P3" t="str">
        <f t="shared" ref="P3:P66" si="3">IF(EXACT(D3,"F"),E3,"")</f>
        <v/>
      </c>
    </row>
    <row r="4" spans="1:16" x14ac:dyDescent="0.25">
      <c r="A4">
        <v>1</v>
      </c>
      <c r="B4">
        <f>IF(ISBLANK(VLOOKUP($A4,'Entry data'!$A:$K,2,FALSE)),"",VLOOKUP($A4,'Entry data'!$A:$K,2,FALSE))</f>
        <v>1</v>
      </c>
      <c r="C4">
        <f>IF(ISBLANK(VLOOKUP($A4,'Entry data'!$A:$K,3,FALSE)),"",VLOOKUP($A4,'Entry data'!$A:$K,3,FALSE))</f>
        <v>0.82777777777777783</v>
      </c>
      <c r="D4" t="str">
        <f>IF(ISBLANK(VLOOKUP($A4,'Entry data'!$A:$K,4,FALSE)),"",VLOOKUP($A4,'Entry data'!$A:$K,4,FALSE))</f>
        <v>C</v>
      </c>
      <c r="E4" t="str">
        <f>IF(ISBLANK(VLOOKUP($A4,'Entry data'!$A:$K,5,FALSE)),"",VLOOKUP($A4,'Entry data'!$A:$K,5,FALSE))</f>
        <v>71DET</v>
      </c>
      <c r="F4" t="str">
        <f>IF(ISBLANK(VLOOKUP($A4,'Entry data'!$A:$K,6,FALSE)),"",VLOOKUP($A4,'Entry data'!$A:$K,6,FALSE))</f>
        <v>4NSH</v>
      </c>
      <c r="G4" t="str">
        <f>IF(ISBLANK(VLOOKUP($A4,'Entry data'!$A:$K,7,FALSE)),"",VLOOKUP($A4,'Entry data'!$A:$K,7,FALSE))</f>
        <v>N</v>
      </c>
      <c r="H4" t="str">
        <f>IF(ISBLANK(VLOOKUP($A4,'Entry data'!$A:$K,8,FALSE)),"",VLOOKUP($A4,'Entry data'!$A:$K,8,FALSE))</f>
        <v>L</v>
      </c>
      <c r="I4" t="str">
        <f>IF(ISBLANK(VLOOKUP($A4,'Entry data'!$A:$K,9,FALSE)),"",VLOOKUP($A4,'Entry data'!$A:$K,9,FALSE))</f>
        <v>N</v>
      </c>
      <c r="J4">
        <f>IF(ISBLANK(VLOOKUP($A4,'Entry data'!$A:$K,10,FALSE)),"",VLOOKUP($A4,'Entry data'!$A:$K,10,FALSE))</f>
        <v>5</v>
      </c>
      <c r="K4">
        <f>IF(ISBLANK(VLOOKUP($A4,'Entry data'!$A:$K,11,FALSE)),"",VLOOKUP($A4,'Entry data'!$A:$K,11,FALSE))</f>
        <v>5</v>
      </c>
      <c r="L4">
        <f>IF(OR(EXACT(D4,"C"),EXACT(D4,"P"),EXACT(D4,"D"),EXACT(D4,"T"),EXACT(D4,"X"),EXACT(E4,"DZF"),EXACT(E4,"OZF"),EXACT(D4,"N"),EXACT(D4,"F")),1,0)</f>
        <v>1</v>
      </c>
      <c r="M4" t="str">
        <f t="shared" si="0"/>
        <v>71DET</v>
      </c>
      <c r="N4">
        <f t="shared" si="1"/>
        <v>0</v>
      </c>
      <c r="O4">
        <f t="shared" si="2"/>
        <v>0</v>
      </c>
      <c r="P4" t="str">
        <f t="shared" si="3"/>
        <v/>
      </c>
    </row>
    <row r="5" spans="1:16" x14ac:dyDescent="0.25">
      <c r="A5">
        <v>3</v>
      </c>
      <c r="B5">
        <f>IF($A5&gt;$A$1,"",VLOOKUP($A5,'NHL PBP'!$A:$L,8,FALSE))</f>
        <v>1</v>
      </c>
      <c r="C5">
        <f>IF($A5&gt;$A$1,"",IF(B5&gt;3,5/24,20/24)-VLOOKUP($A5,'NHL PBP'!$A:$L,10,FALSE))</f>
        <v>0.80833333333333335</v>
      </c>
      <c r="D5" t="str">
        <f>IF($A5&gt;$A$1,"",VLOOKUP($A5,'NHL PBP'!$A:$L,11,FALSE))</f>
        <v>HIT</v>
      </c>
      <c r="E5" t="str">
        <f>IF(AND(EXACT(D5,"FAC"),NOT(EXACT(MID(F5,9,3),"Neu"))),IF(OR(AND(EXACT(MID(F5,9,3),"Off"),EXACT(LEFT(F5,3),UPPER('Entry data'!$C$2))),AND(EXACT(MID(F5,9,3),"Def"),NOT(EXACT(LEFT(F5,3),UPPER('Entry data'!$C$2))))),"DZF","OZF"),"")</f>
        <v/>
      </c>
      <c r="F5" t="str">
        <f>IF($A5&gt;$A$1,"",VLOOKUP($A5,'NHL PBP'!$A:$L,12,FALSE))</f>
        <v>DET #8 ABDELKADER HIT NSH #4 ELLIS, Off. Zone</v>
      </c>
      <c r="J5">
        <f>IF(EXACT('Entry data'!$C$3,"Road"),IF(ISBLANK(VLOOKUP(A5,'NHL PBP'!A:AH,21,FALSE)),3,IF(ISBLANK(VLOOKUP(A5,'NHL PBP'!A:AH,23,FALSE)),4,5)),IF(ISBLANK(VLOOKUP(A5,'NHL PBP'!A:AH,32,FALSE)),3,IF(ISBLANK(VLOOKUP(A5,'NHL PBP'!A:AH,34,FALSE)),4,5)))</f>
        <v>5</v>
      </c>
      <c r="K5">
        <f>IF(EXACT('Entry data'!$C$3,"Home"),IF(ISBLANK(VLOOKUP(A5,'NHL PBP'!A:AH,21,FALSE)),3,IF(ISBLANK(VLOOKUP(A5,'NHL PBP'!A:AH,23,FALSE)),4,5)),IF(ISBLANK(VLOOKUP(A5,'NHL PBP'!A:AH,32,FALSE)),3,IF(ISBLANK(VLOOKUP(A5,'NHL PBP'!A:AH,34,FALSE)),4,5)))</f>
        <v>5</v>
      </c>
      <c r="L5">
        <f>IF(OR(EXACT(D5,"C"),EXACT(D5,"P"),EXACT(D5,"D"),EXACT(D5,"T"),EXACT(D5,"X"),EXACT(E5,"DZF"),EXACT(E5,"OZF"),EXACT(D5,"N"),EXACT(D5,"F")),1,0)</f>
        <v>0</v>
      </c>
      <c r="M5" t="str">
        <f t="shared" si="0"/>
        <v/>
      </c>
      <c r="N5">
        <f t="shared" si="1"/>
        <v>0</v>
      </c>
      <c r="O5">
        <f t="shared" si="2"/>
        <v>0</v>
      </c>
      <c r="P5" t="str">
        <f t="shared" si="3"/>
        <v/>
      </c>
    </row>
    <row r="6" spans="1:16" x14ac:dyDescent="0.25">
      <c r="A6">
        <v>2</v>
      </c>
      <c r="B6">
        <f>IF(ISBLANK(VLOOKUP($A6,'Entry data'!$A:$K,2,FALSE)),"",VLOOKUP($A6,'Entry data'!$A:$K,2,FALSE))</f>
        <v>1</v>
      </c>
      <c r="C6">
        <f>IF(ISBLANK(VLOOKUP($A6,'Entry data'!$A:$K,3,FALSE)),"",VLOOKUP($A6,'Entry data'!$A:$K,3,FALSE))</f>
        <v>0.79722222222222217</v>
      </c>
      <c r="D6" t="str">
        <f>IF(ISBLANK(VLOOKUP($A6,'Entry data'!$A:$K,4,FALSE)),"",VLOOKUP($A6,'Entry data'!$A:$K,4,FALSE))</f>
        <v>D</v>
      </c>
      <c r="E6" t="str">
        <f>IF(ISBLANK(VLOOKUP($A6,'Entry data'!$A:$K,5,FALSE)),"",VLOOKUP($A6,'Entry data'!$A:$K,5,FALSE))</f>
        <v>14DET</v>
      </c>
      <c r="F6" t="str">
        <f>IF(ISBLANK(VLOOKUP($A6,'Entry data'!$A:$K,6,FALSE)),"",VLOOKUP($A6,'Entry data'!$A:$K,6,FALSE))</f>
        <v>N</v>
      </c>
      <c r="G6" t="str">
        <f>IF(ISBLANK(VLOOKUP($A6,'Entry data'!$A:$K,7,FALSE)),"",VLOOKUP($A6,'Entry data'!$A:$K,7,FALSE))</f>
        <v/>
      </c>
      <c r="H6" t="str">
        <f>IF(ISBLANK(VLOOKUP($A6,'Entry data'!$A:$K,8,FALSE)),"",VLOOKUP($A6,'Entry data'!$A:$K,8,FALSE))</f>
        <v>R</v>
      </c>
      <c r="I6" t="str">
        <f>IF(ISBLANK(VLOOKUP($A6,'Entry data'!$A:$K,9,FALSE)),"",VLOOKUP($A6,'Entry data'!$A:$K,9,FALSE))</f>
        <v>40DET</v>
      </c>
      <c r="J6">
        <f>IF(ISBLANK(VLOOKUP($A6,'Entry data'!$A:$K,10,FALSE)),"",VLOOKUP($A6,'Entry data'!$A:$K,10,FALSE))</f>
        <v>5</v>
      </c>
      <c r="K6">
        <f>IF(ISBLANK(VLOOKUP($A6,'Entry data'!$A:$K,11,FALSE)),"",VLOOKUP($A6,'Entry data'!$A:$K,11,FALSE))</f>
        <v>5</v>
      </c>
      <c r="L6">
        <f>IF(OR(EXACT(D6,"C"),EXACT(D6,"P"),EXACT(D6,"D"),EXACT(D6,"T"),EXACT(D6,"X"),EXACT(E6,"DZF"),EXACT(E6,"OZF"),EXACT(D6,"N"),EXACT(D6,"F")),1,0)</f>
        <v>1</v>
      </c>
      <c r="M6" t="str">
        <f t="shared" si="0"/>
        <v/>
      </c>
      <c r="N6">
        <f t="shared" si="1"/>
        <v>1</v>
      </c>
      <c r="O6">
        <f t="shared" si="2"/>
        <v>0</v>
      </c>
      <c r="P6" t="str">
        <f t="shared" si="3"/>
        <v/>
      </c>
    </row>
    <row r="7" spans="1:16" x14ac:dyDescent="0.25">
      <c r="A7">
        <v>4</v>
      </c>
      <c r="B7">
        <f>IF($A7&gt;$A$1,"",VLOOKUP($A7,'NHL PBP'!$A:$L,8,FALSE))</f>
        <v>1</v>
      </c>
      <c r="C7">
        <f>IF($A7&gt;$A$1,"",IF(B7&gt;3,5/24,20/24)-VLOOKUP($A7,'NHL PBP'!$A:$L,10,FALSE))</f>
        <v>0.79166666666666674</v>
      </c>
      <c r="D7" t="str">
        <f>IF($A7&gt;$A$1,"",VLOOKUP($A7,'NHL PBP'!$A:$L,11,FALSE))</f>
        <v>SHOT</v>
      </c>
      <c r="E7" t="str">
        <f>IF(AND(EXACT(D7,"FAC"),NOT(EXACT(MID(F7,9,3),"Neu"))),IF(OR(AND(EXACT(MID(F7,9,3),"Off"),EXACT(LEFT(F7,3),UPPER('Entry data'!$C$2))),AND(EXACT(MID(F7,9,3),"Def"),NOT(EXACT(LEFT(F7,3),UPPER('Entry data'!$C$2))))),"DZF","OZF"),"")</f>
        <v/>
      </c>
      <c r="F7" t="str">
        <f>IF($A7&gt;$A$1,"",VLOOKUP($A7,'NHL PBP'!$A:$L,12,FALSE))</f>
        <v>DET ONGOAL - #2 SMITH, Slap, Off. Zone, 62 ft.</v>
      </c>
      <c r="J7">
        <f>IF(EXACT('Entry data'!$C$3,"Road"),IF(ISBLANK(VLOOKUP(A7,'NHL PBP'!A:AH,21,FALSE)),3,IF(ISBLANK(VLOOKUP(A7,'NHL PBP'!A:AH,23,FALSE)),4,5)),IF(ISBLANK(VLOOKUP(A7,'NHL PBP'!A:AH,32,FALSE)),3,IF(ISBLANK(VLOOKUP(A7,'NHL PBP'!A:AH,34,FALSE)),4,5)))</f>
        <v>5</v>
      </c>
      <c r="K7">
        <f>IF(EXACT('Entry data'!$C$3,"Home"),IF(ISBLANK(VLOOKUP(A7,'NHL PBP'!A:AH,21,FALSE)),3,IF(ISBLANK(VLOOKUP(A7,'NHL PBP'!A:AH,23,FALSE)),4,5)),IF(ISBLANK(VLOOKUP(A7,'NHL PBP'!A:AH,32,FALSE)),3,IF(ISBLANK(VLOOKUP(A7,'NHL PBP'!A:AH,34,FALSE)),4,5)))</f>
        <v>5</v>
      </c>
      <c r="L7">
        <f>IF(OR(EXACT(D7,"C"),EXACT(D7,"P"),EXACT(D7,"D"),EXACT(D7,"T"),EXACT(D7,"X"),EXACT(E7,"DZF"),EXACT(E7,"OZF"),EXACT(D7,"N"),EXACT(D7,"F")),1,0)</f>
        <v>0</v>
      </c>
      <c r="M7" t="str">
        <f t="shared" si="0"/>
        <v/>
      </c>
      <c r="N7">
        <f t="shared" si="1"/>
        <v>1</v>
      </c>
      <c r="O7">
        <f t="shared" si="2"/>
        <v>0</v>
      </c>
      <c r="P7" t="str">
        <f t="shared" si="3"/>
        <v/>
      </c>
    </row>
    <row r="8" spans="1:16" x14ac:dyDescent="0.25">
      <c r="A8">
        <v>5</v>
      </c>
      <c r="B8">
        <f>IF($A8&gt;$A$1,"",VLOOKUP($A8,'NHL PBP'!$A:$L,8,FALSE))</f>
        <v>1</v>
      </c>
      <c r="C8">
        <f>IF($A8&gt;$A$1,"",IF(B8&gt;3,5/24,20/24)-VLOOKUP($A8,'NHL PBP'!$A:$L,10,FALSE))</f>
        <v>0.79166666666666674</v>
      </c>
      <c r="D8" t="str">
        <f>IF($A8&gt;$A$1,"",VLOOKUP($A8,'NHL PBP'!$A:$L,11,FALSE))</f>
        <v>STOP</v>
      </c>
      <c r="E8" t="str">
        <f>IF(AND(EXACT(D8,"FAC"),NOT(EXACT(MID(F8,9,3),"Neu"))),IF(OR(AND(EXACT(MID(F8,9,3),"Off"),EXACT(LEFT(F8,3),UPPER('Entry data'!$C$2))),AND(EXACT(MID(F8,9,3),"Def"),NOT(EXACT(LEFT(F8,3),UPPER('Entry data'!$C$2))))),"DZF","OZF"),"")</f>
        <v/>
      </c>
      <c r="F8" t="str">
        <f>IF($A8&gt;$A$1,"",VLOOKUP($A8,'NHL PBP'!$A:$L,12,FALSE))</f>
        <v>GOALIE STOPPED</v>
      </c>
      <c r="J8">
        <f>IF(EXACT('Entry data'!$C$3,"Road"),IF(ISBLANK(VLOOKUP(A8,'NHL PBP'!A:AH,21,FALSE)),3,IF(ISBLANK(VLOOKUP(A8,'NHL PBP'!A:AH,23,FALSE)),4,5)),IF(ISBLANK(VLOOKUP(A8,'NHL PBP'!A:AH,32,FALSE)),3,IF(ISBLANK(VLOOKUP(A8,'NHL PBP'!A:AH,34,FALSE)),4,5)))</f>
        <v>5</v>
      </c>
      <c r="K8">
        <f>IF(EXACT('Entry data'!$C$3,"Home"),IF(ISBLANK(VLOOKUP(A8,'NHL PBP'!A:AH,21,FALSE)),3,IF(ISBLANK(VLOOKUP(A8,'NHL PBP'!A:AH,23,FALSE)),4,5)),IF(ISBLANK(VLOOKUP(A8,'NHL PBP'!A:AH,32,FALSE)),3,IF(ISBLANK(VLOOKUP(A8,'NHL PBP'!A:AH,34,FALSE)),4,5)))</f>
        <v>5</v>
      </c>
      <c r="L8">
        <f>IF(OR(EXACT(D8,"C"),EXACT(D8,"P"),EXACT(D8,"D"),EXACT(D8,"T"),EXACT(D8,"X"),EXACT(E8,"DZF"),EXACT(E8,"OZF"),EXACT(D8,"N"),EXACT(D8,"F")),1,0)</f>
        <v>0</v>
      </c>
      <c r="M8" t="str">
        <f t="shared" si="0"/>
        <v/>
      </c>
      <c r="N8">
        <f t="shared" si="1"/>
        <v>0</v>
      </c>
      <c r="O8">
        <f t="shared" si="2"/>
        <v>0</v>
      </c>
      <c r="P8" t="str">
        <f t="shared" si="3"/>
        <v/>
      </c>
    </row>
    <row r="9" spans="1:16" x14ac:dyDescent="0.25">
      <c r="A9">
        <v>6</v>
      </c>
      <c r="B9">
        <f>IF($A9&gt;$A$1,"",VLOOKUP($A9,'NHL PBP'!$A:$L,8,FALSE))</f>
        <v>1</v>
      </c>
      <c r="C9">
        <f>IF($A9&gt;$A$1,"",IF(B9&gt;3,5/24,20/24)-VLOOKUP($A9,'NHL PBP'!$A:$L,10,FALSE))</f>
        <v>0.79166666666666674</v>
      </c>
      <c r="D9" t="str">
        <f>IF($A9&gt;$A$1,"",VLOOKUP($A9,'NHL PBP'!$A:$L,11,FALSE))</f>
        <v>FAC</v>
      </c>
      <c r="E9" t="str">
        <f>IF(AND(EXACT(D9,"FAC"),NOT(EXACT(MID(F9,9,3),"Neu"))),IF(OR(AND(EXACT(MID(F9,9,3),"Off"),EXACT(LEFT(F9,3),UPPER('Entry data'!$C$2))),AND(EXACT(MID(F9,9,3),"Def"),NOT(EXACT(LEFT(F9,3),UPPER('Entry data'!$C$2))))),"DZF","OZF"),"")</f>
        <v>OZF</v>
      </c>
      <c r="F9" t="str">
        <f>IF($A9&gt;$A$1,"",VLOOKUP($A9,'NHL PBP'!$A:$L,12,FALSE))</f>
        <v>NSH won Def. Zone - NSH #12 FISHER vs DET #43 HELM</v>
      </c>
      <c r="J9">
        <f>IF(EXACT('Entry data'!$C$3,"Road"),IF(ISBLANK(VLOOKUP(A9,'NHL PBP'!A:AH,21,FALSE)),3,IF(ISBLANK(VLOOKUP(A9,'NHL PBP'!A:AH,23,FALSE)),4,5)),IF(ISBLANK(VLOOKUP(A9,'NHL PBP'!A:AH,32,FALSE)),3,IF(ISBLANK(VLOOKUP(A9,'NHL PBP'!A:AH,34,FALSE)),4,5)))</f>
        <v>5</v>
      </c>
      <c r="K9">
        <f>IF(EXACT('Entry data'!$C$3,"Home"),IF(ISBLANK(VLOOKUP(A9,'NHL PBP'!A:AH,21,FALSE)),3,IF(ISBLANK(VLOOKUP(A9,'NHL PBP'!A:AH,23,FALSE)),4,5)),IF(ISBLANK(VLOOKUP(A9,'NHL PBP'!A:AH,32,FALSE)),3,IF(ISBLANK(VLOOKUP(A9,'NHL PBP'!A:AH,34,FALSE)),4,5)))</f>
        <v>5</v>
      </c>
      <c r="L9">
        <f>IF(OR(EXACT(D9,"C"),EXACT(D9,"P"),EXACT(D9,"D"),EXACT(D9,"T"),EXACT(D9,"X"),EXACT(E9,"DZF"),EXACT(E9,"OZF"),EXACT(D9,"N"),EXACT(D9,"F")),1,0)</f>
        <v>1</v>
      </c>
      <c r="M9" t="str">
        <f t="shared" si="0"/>
        <v/>
      </c>
      <c r="N9">
        <f t="shared" si="1"/>
        <v>0</v>
      </c>
      <c r="O9">
        <f t="shared" si="2"/>
        <v>0</v>
      </c>
      <c r="P9" t="str">
        <f t="shared" si="3"/>
        <v/>
      </c>
    </row>
    <row r="10" spans="1:16" x14ac:dyDescent="0.25">
      <c r="A10">
        <v>3</v>
      </c>
      <c r="B10">
        <f>IF(ISBLANK(VLOOKUP($A10,'Entry data'!$A:$K,2,FALSE)),"",VLOOKUP($A10,'Entry data'!$A:$K,2,FALSE))</f>
        <v>1</v>
      </c>
      <c r="C10">
        <f>IF(ISBLANK(VLOOKUP($A10,'Entry data'!$A:$K,3,FALSE)),"",VLOOKUP($A10,'Entry data'!$A:$K,3,FALSE))</f>
        <v>0.78749999999999998</v>
      </c>
      <c r="D10" t="str">
        <f>IF(ISBLANK(VLOOKUP($A10,'Entry data'!$A:$K,4,FALSE)),"",VLOOKUP($A10,'Entry data'!$A:$K,4,FALSE))</f>
        <v>D</v>
      </c>
      <c r="E10" t="str">
        <f>IF(ISBLANK(VLOOKUP($A10,'Entry data'!$A:$K,5,FALSE)),"",VLOOKUP($A10,'Entry data'!$A:$K,5,FALSE))</f>
        <v>33NSH</v>
      </c>
      <c r="F10" t="str">
        <f>IF(ISBLANK(VLOOKUP($A10,'Entry data'!$A:$K,6,FALSE)),"",VLOOKUP($A10,'Entry data'!$A:$K,6,FALSE))</f>
        <v>48DET</v>
      </c>
      <c r="G10" t="str">
        <f>IF(ISBLANK(VLOOKUP($A10,'Entry data'!$A:$K,7,FALSE)),"",VLOOKUP($A10,'Entry data'!$A:$K,7,FALSE))</f>
        <v/>
      </c>
      <c r="H10" t="str">
        <f>IF(ISBLANK(VLOOKUP($A10,'Entry data'!$A:$K,8,FALSE)),"",VLOOKUP($A10,'Entry data'!$A:$K,8,FALSE))</f>
        <v>L</v>
      </c>
      <c r="I10" t="str">
        <f>IF(ISBLANK(VLOOKUP($A10,'Entry data'!$A:$K,9,FALSE)),"",VLOOKUP($A10,'Entry data'!$A:$K,9,FALSE))</f>
        <v>N</v>
      </c>
      <c r="J10">
        <f>IF(ISBLANK(VLOOKUP($A10,'Entry data'!$A:$K,10,FALSE)),"",VLOOKUP($A10,'Entry data'!$A:$K,10,FALSE))</f>
        <v>5</v>
      </c>
      <c r="K10">
        <f>IF(ISBLANK(VLOOKUP($A10,'Entry data'!$A:$K,11,FALSE)),"",VLOOKUP($A10,'Entry data'!$A:$K,11,FALSE))</f>
        <v>5</v>
      </c>
      <c r="L10">
        <f>IF(OR(EXACT(D10,"C"),EXACT(D10,"P"),EXACT(D10,"D"),EXACT(D10,"T"),EXACT(D10,"X"),EXACT(E10,"DZF"),EXACT(E10,"OZF"),EXACT(D10,"N"),EXACT(D10,"F")),1,0)</f>
        <v>1</v>
      </c>
      <c r="M10" t="str">
        <f t="shared" si="0"/>
        <v/>
      </c>
      <c r="N10">
        <f t="shared" si="1"/>
        <v>2</v>
      </c>
      <c r="O10">
        <f t="shared" si="2"/>
        <v>0</v>
      </c>
      <c r="P10" t="str">
        <f t="shared" si="3"/>
        <v/>
      </c>
    </row>
    <row r="11" spans="1:16" x14ac:dyDescent="0.25">
      <c r="A11">
        <v>7</v>
      </c>
      <c r="B11">
        <f>IF($A11&gt;$A$1,"",VLOOKUP($A11,'NHL PBP'!$A:$L,8,FALSE))</f>
        <v>1</v>
      </c>
      <c r="C11">
        <f>IF($A11&gt;$A$1,"",IF(B11&gt;3,5/24,20/24)-VLOOKUP($A11,'NHL PBP'!$A:$L,10,FALSE))</f>
        <v>0.77847222222222223</v>
      </c>
      <c r="D11" t="str">
        <f>IF($A11&gt;$A$1,"",VLOOKUP($A11,'NHL PBP'!$A:$L,11,FALSE))</f>
        <v>SHOT</v>
      </c>
      <c r="E11" t="str">
        <f>IF(AND(EXACT(D11,"FAC"),NOT(EXACT(MID(F11,9,3),"Neu"))),IF(OR(AND(EXACT(MID(F11,9,3),"Off"),EXACT(LEFT(F11,3),UPPER('Entry data'!$C$2))),AND(EXACT(MID(F11,9,3),"Def"),NOT(EXACT(LEFT(F11,3),UPPER('Entry data'!$C$2))))),"DZF","OZF"),"")</f>
        <v/>
      </c>
      <c r="F11" t="str">
        <f>IF($A11&gt;$A$1,"",VLOOKUP($A11,'NHL PBP'!$A:$L,12,FALSE))</f>
        <v>NSH ONGOAL - #12 FISHER, Wrist, Off. Zone, 25 ft.</v>
      </c>
      <c r="J11">
        <f>IF(EXACT('Entry data'!$C$3,"Road"),IF(ISBLANK(VLOOKUP(A11,'NHL PBP'!A:AH,21,FALSE)),3,IF(ISBLANK(VLOOKUP(A11,'NHL PBP'!A:AH,23,FALSE)),4,5)),IF(ISBLANK(VLOOKUP(A11,'NHL PBP'!A:AH,32,FALSE)),3,IF(ISBLANK(VLOOKUP(A11,'NHL PBP'!A:AH,34,FALSE)),4,5)))</f>
        <v>5</v>
      </c>
      <c r="K11">
        <f>IF(EXACT('Entry data'!$C$3,"Home"),IF(ISBLANK(VLOOKUP(A11,'NHL PBP'!A:AH,21,FALSE)),3,IF(ISBLANK(VLOOKUP(A11,'NHL PBP'!A:AH,23,FALSE)),4,5)),IF(ISBLANK(VLOOKUP(A11,'NHL PBP'!A:AH,32,FALSE)),3,IF(ISBLANK(VLOOKUP(A11,'NHL PBP'!A:AH,34,FALSE)),4,5)))</f>
        <v>5</v>
      </c>
      <c r="L11">
        <f>IF(OR(EXACT(D11,"C"),EXACT(D11,"P"),EXACT(D11,"D"),EXACT(D11,"T"),EXACT(D11,"X"),EXACT(E11,"DZF"),EXACT(E11,"OZF"),EXACT(D11,"N"),EXACT(D11,"F")),1,0)</f>
        <v>0</v>
      </c>
      <c r="M11" t="str">
        <f t="shared" si="0"/>
        <v/>
      </c>
      <c r="N11">
        <f t="shared" si="1"/>
        <v>2</v>
      </c>
      <c r="O11">
        <f t="shared" si="2"/>
        <v>0</v>
      </c>
      <c r="P11" t="str">
        <f t="shared" si="3"/>
        <v/>
      </c>
    </row>
    <row r="12" spans="1:16" x14ac:dyDescent="0.25">
      <c r="A12">
        <v>8</v>
      </c>
      <c r="B12">
        <f>IF($A12&gt;$A$1,"",VLOOKUP($A12,'NHL PBP'!$A:$L,8,FALSE))</f>
        <v>1</v>
      </c>
      <c r="C12">
        <f>IF($A12&gt;$A$1,"",IF(B12&gt;3,5/24,20/24)-VLOOKUP($A12,'NHL PBP'!$A:$L,10,FALSE))</f>
        <v>0.77152777777777781</v>
      </c>
      <c r="D12" t="str">
        <f>IF($A12&gt;$A$1,"",VLOOKUP($A12,'NHL PBP'!$A:$L,11,FALSE))</f>
        <v>GIVE</v>
      </c>
      <c r="E12" t="str">
        <f>IF(AND(EXACT(D12,"FAC"),NOT(EXACT(MID(F12,9,3),"Neu"))),IF(OR(AND(EXACT(MID(F12,9,3),"Off"),EXACT(LEFT(F12,3),UPPER('Entry data'!$C$2))),AND(EXACT(MID(F12,9,3),"Def"),NOT(EXACT(LEFT(F12,3),UPPER('Entry data'!$C$2))))),"DZF","OZF"),"")</f>
        <v/>
      </c>
      <c r="F12" t="str">
        <f>IF($A12&gt;$A$1,"",VLOOKUP($A12,'NHL PBP'!$A:$L,12,FALSE))</f>
        <v>DET GIVEAWAY - #34 MRAZEK, Def. Zone</v>
      </c>
      <c r="J12">
        <f>IF(EXACT('Entry data'!$C$3,"Road"),IF(ISBLANK(VLOOKUP(A12,'NHL PBP'!A:AH,21,FALSE)),3,IF(ISBLANK(VLOOKUP(A12,'NHL PBP'!A:AH,23,FALSE)),4,5)),IF(ISBLANK(VLOOKUP(A12,'NHL PBP'!A:AH,32,FALSE)),3,IF(ISBLANK(VLOOKUP(A12,'NHL PBP'!A:AH,34,FALSE)),4,5)))</f>
        <v>5</v>
      </c>
      <c r="K12">
        <f>IF(EXACT('Entry data'!$C$3,"Home"),IF(ISBLANK(VLOOKUP(A12,'NHL PBP'!A:AH,21,FALSE)),3,IF(ISBLANK(VLOOKUP(A12,'NHL PBP'!A:AH,23,FALSE)),4,5)),IF(ISBLANK(VLOOKUP(A12,'NHL PBP'!A:AH,32,FALSE)),3,IF(ISBLANK(VLOOKUP(A12,'NHL PBP'!A:AH,34,FALSE)),4,5)))</f>
        <v>5</v>
      </c>
      <c r="L12">
        <f>IF(OR(EXACT(D12,"C"),EXACT(D12,"P"),EXACT(D12,"D"),EXACT(D12,"T"),EXACT(D12,"X"),EXACT(E12,"DZF"),EXACT(E12,"OZF"),EXACT(D12,"N"),EXACT(D12,"F")),1,0)</f>
        <v>0</v>
      </c>
      <c r="M12" t="str">
        <f t="shared" si="0"/>
        <v/>
      </c>
      <c r="N12">
        <f t="shared" si="1"/>
        <v>1</v>
      </c>
      <c r="O12">
        <f t="shared" si="2"/>
        <v>0</v>
      </c>
      <c r="P12" t="str">
        <f t="shared" si="3"/>
        <v/>
      </c>
    </row>
    <row r="13" spans="1:16" x14ac:dyDescent="0.25">
      <c r="A13">
        <v>9</v>
      </c>
      <c r="B13">
        <f>IF($A13&gt;$A$1,"",VLOOKUP($A13,'NHL PBP'!$A:$L,8,FALSE))</f>
        <v>1</v>
      </c>
      <c r="C13">
        <f>IF($A13&gt;$A$1,"",IF(B13&gt;3,5/24,20/24)-VLOOKUP($A13,'NHL PBP'!$A:$L,10,FALSE))</f>
        <v>0.77013888888888893</v>
      </c>
      <c r="D13" t="str">
        <f>IF($A13&gt;$A$1,"",VLOOKUP($A13,'NHL PBP'!$A:$L,11,FALSE))</f>
        <v>MISS</v>
      </c>
      <c r="E13" t="str">
        <f>IF(AND(EXACT(D13,"FAC"),NOT(EXACT(MID(F13,9,3),"Neu"))),IF(OR(AND(EXACT(MID(F13,9,3),"Off"),EXACT(LEFT(F13,3),UPPER('Entry data'!$C$2))),AND(EXACT(MID(F13,9,3),"Def"),NOT(EXACT(LEFT(F13,3),UPPER('Entry data'!$C$2))))),"DZF","OZF"),"")</f>
        <v/>
      </c>
      <c r="F13" t="str">
        <f>IF($A13&gt;$A$1,"",VLOOKUP($A13,'NHL PBP'!$A:$L,12,FALSE))</f>
        <v>NSH #12 FISHER, Wrist, Wide of Net, Off. Zone, 41 ft.</v>
      </c>
      <c r="J13">
        <f>IF(EXACT('Entry data'!$C$3,"Road"),IF(ISBLANK(VLOOKUP(A13,'NHL PBP'!A:AH,21,FALSE)),3,IF(ISBLANK(VLOOKUP(A13,'NHL PBP'!A:AH,23,FALSE)),4,5)),IF(ISBLANK(VLOOKUP(A13,'NHL PBP'!A:AH,32,FALSE)),3,IF(ISBLANK(VLOOKUP(A13,'NHL PBP'!A:AH,34,FALSE)),4,5)))</f>
        <v>5</v>
      </c>
      <c r="K13">
        <f>IF(EXACT('Entry data'!$C$3,"Home"),IF(ISBLANK(VLOOKUP(A13,'NHL PBP'!A:AH,21,FALSE)),3,IF(ISBLANK(VLOOKUP(A13,'NHL PBP'!A:AH,23,FALSE)),4,5)),IF(ISBLANK(VLOOKUP(A13,'NHL PBP'!A:AH,32,FALSE)),3,IF(ISBLANK(VLOOKUP(A13,'NHL PBP'!A:AH,34,FALSE)),4,5)))</f>
        <v>5</v>
      </c>
      <c r="L13">
        <f>IF(OR(EXACT(D13,"C"),EXACT(D13,"P"),EXACT(D13,"D"),EXACT(D13,"T"),EXACT(D13,"X"),EXACT(E13,"DZF"),EXACT(E13,"OZF"),EXACT(D13,"N"),EXACT(D13,"F")),1,0)</f>
        <v>0</v>
      </c>
      <c r="M13" t="str">
        <f t="shared" si="0"/>
        <v/>
      </c>
      <c r="N13">
        <f t="shared" si="1"/>
        <v>1</v>
      </c>
      <c r="O13">
        <f t="shared" si="2"/>
        <v>0</v>
      </c>
      <c r="P13" t="str">
        <f t="shared" si="3"/>
        <v/>
      </c>
    </row>
    <row r="14" spans="1:16" x14ac:dyDescent="0.25">
      <c r="A14">
        <v>4</v>
      </c>
      <c r="B14">
        <f>IF(ISBLANK(VLOOKUP($A14,'Entry data'!$A:$K,2,FALSE)),"",VLOOKUP($A14,'Entry data'!$A:$K,2,FALSE))</f>
        <v>1</v>
      </c>
      <c r="C14">
        <f>IF(ISBLANK(VLOOKUP($A14,'Entry data'!$A:$K,3,FALSE)),"",VLOOKUP($A14,'Entry data'!$A:$K,3,FALSE))</f>
        <v>0.76666666666666661</v>
      </c>
      <c r="D14" t="str">
        <f>IF(ISBLANK(VLOOKUP($A14,'Entry data'!$A:$K,4,FALSE)),"",VLOOKUP($A14,'Entry data'!$A:$K,4,FALSE))</f>
        <v>C</v>
      </c>
      <c r="E14" t="str">
        <f>IF(ISBLANK(VLOOKUP($A14,'Entry data'!$A:$K,5,FALSE)),"",VLOOKUP($A14,'Entry data'!$A:$K,5,FALSE))</f>
        <v>14DET</v>
      </c>
      <c r="F14" t="str">
        <f>IF(ISBLANK(VLOOKUP($A14,'Entry data'!$A:$K,6,FALSE)),"",VLOOKUP($A14,'Entry data'!$A:$K,6,FALSE))</f>
        <v>38NSH</v>
      </c>
      <c r="G14" t="str">
        <f>IF(ISBLANK(VLOOKUP($A14,'Entry data'!$A:$K,7,FALSE)),"",VLOOKUP($A14,'Entry data'!$A:$K,7,FALSE))</f>
        <v>N</v>
      </c>
      <c r="H14" t="str">
        <f>IF(ISBLANK(VLOOKUP($A14,'Entry data'!$A:$K,8,FALSE)),"",VLOOKUP($A14,'Entry data'!$A:$K,8,FALSE))</f>
        <v>C</v>
      </c>
      <c r="I14" t="str">
        <f>IF(ISBLANK(VLOOKUP($A14,'Entry data'!$A:$K,9,FALSE)),"",VLOOKUP($A14,'Entry data'!$A:$K,9,FALSE))</f>
        <v>N</v>
      </c>
      <c r="J14">
        <f>IF(ISBLANK(VLOOKUP($A14,'Entry data'!$A:$K,10,FALSE)),"",VLOOKUP($A14,'Entry data'!$A:$K,10,FALSE))</f>
        <v>5</v>
      </c>
      <c r="K14">
        <f>IF(ISBLANK(VLOOKUP($A14,'Entry data'!$A:$K,11,FALSE)),"",VLOOKUP($A14,'Entry data'!$A:$K,11,FALSE))</f>
        <v>5</v>
      </c>
      <c r="L14">
        <f>IF(OR(EXACT(D14,"C"),EXACT(D14,"P"),EXACT(D14,"D"),EXACT(D14,"T"),EXACT(D14,"X"),EXACT(E14,"DZF"),EXACT(E14,"OZF"),EXACT(D14,"N"),EXACT(D14,"F")),1,0)</f>
        <v>1</v>
      </c>
      <c r="M14" t="str">
        <f t="shared" si="0"/>
        <v>14DET</v>
      </c>
      <c r="N14">
        <f t="shared" si="1"/>
        <v>1</v>
      </c>
      <c r="O14">
        <f t="shared" si="2"/>
        <v>0</v>
      </c>
      <c r="P14" t="str">
        <f t="shared" si="3"/>
        <v/>
      </c>
    </row>
    <row r="15" spans="1:16" x14ac:dyDescent="0.25">
      <c r="A15">
        <v>10</v>
      </c>
      <c r="B15">
        <f>IF($A15&gt;$A$1,"",VLOOKUP($A15,'NHL PBP'!$A:$L,8,FALSE))</f>
        <v>1</v>
      </c>
      <c r="C15">
        <f>IF($A15&gt;$A$1,"",IF(B15&gt;3,5/24,20/24)-VLOOKUP($A15,'NHL PBP'!$A:$L,10,FALSE))</f>
        <v>0.76388888888888895</v>
      </c>
      <c r="D15" t="str">
        <f>IF($A15&gt;$A$1,"",VLOOKUP($A15,'NHL PBP'!$A:$L,11,FALSE))</f>
        <v>SHOT</v>
      </c>
      <c r="E15" t="str">
        <f>IF(AND(EXACT(D15,"FAC"),NOT(EXACT(MID(F15,9,3),"Neu"))),IF(OR(AND(EXACT(MID(F15,9,3),"Off"),EXACT(LEFT(F15,3),UPPER('Entry data'!$C$2))),AND(EXACT(MID(F15,9,3),"Def"),NOT(EXACT(LEFT(F15,3),UPPER('Entry data'!$C$2))))),"DZF","OZF"),"")</f>
        <v/>
      </c>
      <c r="F15" t="str">
        <f>IF($A15&gt;$A$1,"",VLOOKUP($A15,'NHL PBP'!$A:$L,12,FALSE))</f>
        <v>DET ONGOAL - #14 NYQUIST, Wrist, Off. Zone, 35 ft.</v>
      </c>
      <c r="J15">
        <f>IF(EXACT('Entry data'!$C$3,"Road"),IF(ISBLANK(VLOOKUP(A15,'NHL PBP'!A:AH,21,FALSE)),3,IF(ISBLANK(VLOOKUP(A15,'NHL PBP'!A:AH,23,FALSE)),4,5)),IF(ISBLANK(VLOOKUP(A15,'NHL PBP'!A:AH,32,FALSE)),3,IF(ISBLANK(VLOOKUP(A15,'NHL PBP'!A:AH,34,FALSE)),4,5)))</f>
        <v>5</v>
      </c>
      <c r="K15">
        <f>IF(EXACT('Entry data'!$C$3,"Home"),IF(ISBLANK(VLOOKUP(A15,'NHL PBP'!A:AH,21,FALSE)),3,IF(ISBLANK(VLOOKUP(A15,'NHL PBP'!A:AH,23,FALSE)),4,5)),IF(ISBLANK(VLOOKUP(A15,'NHL PBP'!A:AH,32,FALSE)),3,IF(ISBLANK(VLOOKUP(A15,'NHL PBP'!A:AH,34,FALSE)),4,5)))</f>
        <v>5</v>
      </c>
      <c r="L15">
        <f>IF(OR(EXACT(D15,"C"),EXACT(D15,"P"),EXACT(D15,"D"),EXACT(D15,"T"),EXACT(D15,"X"),EXACT(E15,"DZF"),EXACT(E15,"OZF"),EXACT(D15,"N"),EXACT(D15,"F")),1,0)</f>
        <v>0</v>
      </c>
      <c r="M15" t="str">
        <f t="shared" si="0"/>
        <v/>
      </c>
      <c r="N15">
        <f t="shared" si="1"/>
        <v>1</v>
      </c>
      <c r="O15">
        <f t="shared" si="2"/>
        <v>0</v>
      </c>
      <c r="P15" t="str">
        <f t="shared" si="3"/>
        <v/>
      </c>
    </row>
    <row r="16" spans="1:16" x14ac:dyDescent="0.25">
      <c r="A16">
        <v>11</v>
      </c>
      <c r="B16">
        <f>IF($A16&gt;$A$1,"",VLOOKUP($A16,'NHL PBP'!$A:$L,8,FALSE))</f>
        <v>1</v>
      </c>
      <c r="C16">
        <f>IF($A16&gt;$A$1,"",IF(B16&gt;3,5/24,20/24)-VLOOKUP($A16,'NHL PBP'!$A:$L,10,FALSE))</f>
        <v>0.7597222222222223</v>
      </c>
      <c r="D16" t="str">
        <f>IF($A16&gt;$A$1,"",VLOOKUP($A16,'NHL PBP'!$A:$L,11,FALSE))</f>
        <v>HIT</v>
      </c>
      <c r="E16" t="str">
        <f>IF(AND(EXACT(D16,"FAC"),NOT(EXACT(MID(F16,9,3),"Neu"))),IF(OR(AND(EXACT(MID(F16,9,3),"Off"),EXACT(LEFT(F16,3),UPPER('Entry data'!$C$2))),AND(EXACT(MID(F16,9,3),"Def"),NOT(EXACT(LEFT(F16,3),UPPER('Entry data'!$C$2))))),"DZF","OZF"),"")</f>
        <v/>
      </c>
      <c r="F16" t="str">
        <f>IF($A16&gt;$A$1,"",VLOOKUP($A16,'NHL PBP'!$A:$L,12,FALSE))</f>
        <v>DET #62 VANEK HIT NSH #59 JOSI, Off. Zone</v>
      </c>
      <c r="J16">
        <f>IF(EXACT('Entry data'!$C$3,"Road"),IF(ISBLANK(VLOOKUP(A16,'NHL PBP'!A:AH,21,FALSE)),3,IF(ISBLANK(VLOOKUP(A16,'NHL PBP'!A:AH,23,FALSE)),4,5)),IF(ISBLANK(VLOOKUP(A16,'NHL PBP'!A:AH,32,FALSE)),3,IF(ISBLANK(VLOOKUP(A16,'NHL PBP'!A:AH,34,FALSE)),4,5)))</f>
        <v>5</v>
      </c>
      <c r="K16">
        <f>IF(EXACT('Entry data'!$C$3,"Home"),IF(ISBLANK(VLOOKUP(A16,'NHL PBP'!A:AH,21,FALSE)),3,IF(ISBLANK(VLOOKUP(A16,'NHL PBP'!A:AH,23,FALSE)),4,5)),IF(ISBLANK(VLOOKUP(A16,'NHL PBP'!A:AH,32,FALSE)),3,IF(ISBLANK(VLOOKUP(A16,'NHL PBP'!A:AH,34,FALSE)),4,5)))</f>
        <v>5</v>
      </c>
      <c r="L16">
        <f>IF(OR(EXACT(D16,"C"),EXACT(D16,"P"),EXACT(D16,"D"),EXACT(D16,"T"),EXACT(D16,"X"),EXACT(E16,"DZF"),EXACT(E16,"OZF"),EXACT(D16,"N"),EXACT(D16,"F")),1,0)</f>
        <v>0</v>
      </c>
      <c r="M16" t="str">
        <f t="shared" si="0"/>
        <v/>
      </c>
      <c r="N16">
        <f t="shared" si="1"/>
        <v>0</v>
      </c>
      <c r="O16">
        <f t="shared" si="2"/>
        <v>0</v>
      </c>
      <c r="P16" t="str">
        <f t="shared" si="3"/>
        <v/>
      </c>
    </row>
    <row r="17" spans="1:16" x14ac:dyDescent="0.25">
      <c r="A17">
        <v>5</v>
      </c>
      <c r="B17">
        <f>IF(ISBLANK(VLOOKUP($A17,'Entry data'!$A:$K,2,FALSE)),"",VLOOKUP($A17,'Entry data'!$A:$K,2,FALSE))</f>
        <v>1</v>
      </c>
      <c r="C17">
        <f>IF(ISBLANK(VLOOKUP($A17,'Entry data'!$A:$K,3,FALSE)),"",VLOOKUP($A17,'Entry data'!$A:$K,3,FALSE))</f>
        <v>0.75902777777777775</v>
      </c>
      <c r="D17" t="str">
        <f>IF(ISBLANK(VLOOKUP($A17,'Entry data'!$A:$K,4,FALSE)),"",VLOOKUP($A17,'Entry data'!$A:$K,4,FALSE))</f>
        <v>D</v>
      </c>
      <c r="E17" t="str">
        <f>IF(ISBLANK(VLOOKUP($A17,'Entry data'!$A:$K,5,FALSE)),"",VLOOKUP($A17,'Entry data'!$A:$K,5,FALSE))</f>
        <v>52DET</v>
      </c>
      <c r="F17" t="str">
        <f>IF(ISBLANK(VLOOKUP($A17,'Entry data'!$A:$K,6,FALSE)),"",VLOOKUP($A17,'Entry data'!$A:$K,6,FALSE))</f>
        <v>N</v>
      </c>
      <c r="G17" t="str">
        <f>IF(ISBLANK(VLOOKUP($A17,'Entry data'!$A:$K,7,FALSE)),"",VLOOKUP($A17,'Entry data'!$A:$K,7,FALSE))</f>
        <v/>
      </c>
      <c r="H17" t="str">
        <f>IF(ISBLANK(VLOOKUP($A17,'Entry data'!$A:$K,8,FALSE)),"",VLOOKUP($A17,'Entry data'!$A:$K,8,FALSE))</f>
        <v>L</v>
      </c>
      <c r="I17" t="str">
        <f>IF(ISBLANK(VLOOKUP($A17,'Entry data'!$A:$K,9,FALSE)),"",VLOOKUP($A17,'Entry data'!$A:$K,9,FALSE))</f>
        <v>N</v>
      </c>
      <c r="J17">
        <f>IF(ISBLANK(VLOOKUP($A17,'Entry data'!$A:$K,10,FALSE)),"",VLOOKUP($A17,'Entry data'!$A:$K,10,FALSE))</f>
        <v>5</v>
      </c>
      <c r="K17">
        <f>IF(ISBLANK(VLOOKUP($A17,'Entry data'!$A:$K,11,FALSE)),"",VLOOKUP($A17,'Entry data'!$A:$K,11,FALSE))</f>
        <v>5</v>
      </c>
      <c r="L17">
        <f>IF(OR(EXACT(D17,"C"),EXACT(D17,"P"),EXACT(D17,"D"),EXACT(D17,"T"),EXACT(D17,"X"),EXACT(E17,"DZF"),EXACT(E17,"OZF"),EXACT(D17,"N"),EXACT(D17,"F")),1,0)</f>
        <v>1</v>
      </c>
      <c r="M17" t="str">
        <f t="shared" si="0"/>
        <v/>
      </c>
      <c r="N17">
        <f t="shared" si="1"/>
        <v>2</v>
      </c>
      <c r="O17">
        <f t="shared" si="2"/>
        <v>0</v>
      </c>
      <c r="P17" t="str">
        <f t="shared" si="3"/>
        <v/>
      </c>
    </row>
    <row r="18" spans="1:16" x14ac:dyDescent="0.25">
      <c r="A18">
        <v>12</v>
      </c>
      <c r="B18">
        <f>IF($A18&gt;$A$1,"",VLOOKUP($A18,'NHL PBP'!$A:$L,8,FALSE))</f>
        <v>1</v>
      </c>
      <c r="C18">
        <f>IF($A18&gt;$A$1,"",IF(B18&gt;3,5/24,20/24)-VLOOKUP($A18,'NHL PBP'!$A:$L,10,FALSE))</f>
        <v>0.75</v>
      </c>
      <c r="D18" t="str">
        <f>IF($A18&gt;$A$1,"",VLOOKUP($A18,'NHL PBP'!$A:$L,11,FALSE))</f>
        <v>SHOT</v>
      </c>
      <c r="E18" t="str">
        <f>IF(AND(EXACT(D18,"FAC"),NOT(EXACT(MID(F18,9,3),"Neu"))),IF(OR(AND(EXACT(MID(F18,9,3),"Off"),EXACT(LEFT(F18,3),UPPER('Entry data'!$C$2))),AND(EXACT(MID(F18,9,3),"Def"),NOT(EXACT(LEFT(F18,3),UPPER('Entry data'!$C$2))))),"DZF","OZF"),"")</f>
        <v/>
      </c>
      <c r="F18" t="str">
        <f>IF($A18&gt;$A$1,"",VLOOKUP($A18,'NHL PBP'!$A:$L,12,FALSE))</f>
        <v>DET ONGOAL - #40 ZETTERBERG, Wrist, Off. Zone, 31 ft.</v>
      </c>
      <c r="J18">
        <f>IF(EXACT('Entry data'!$C$3,"Road"),IF(ISBLANK(VLOOKUP(A18,'NHL PBP'!A:AH,21,FALSE)),3,IF(ISBLANK(VLOOKUP(A18,'NHL PBP'!A:AH,23,FALSE)),4,5)),IF(ISBLANK(VLOOKUP(A18,'NHL PBP'!A:AH,32,FALSE)),3,IF(ISBLANK(VLOOKUP(A18,'NHL PBP'!A:AH,34,FALSE)),4,5)))</f>
        <v>5</v>
      </c>
      <c r="K18">
        <f>IF(EXACT('Entry data'!$C$3,"Home"),IF(ISBLANK(VLOOKUP(A18,'NHL PBP'!A:AH,21,FALSE)),3,IF(ISBLANK(VLOOKUP(A18,'NHL PBP'!A:AH,23,FALSE)),4,5)),IF(ISBLANK(VLOOKUP(A18,'NHL PBP'!A:AH,32,FALSE)),3,IF(ISBLANK(VLOOKUP(A18,'NHL PBP'!A:AH,34,FALSE)),4,5)))</f>
        <v>5</v>
      </c>
      <c r="L18">
        <f>IF(OR(EXACT(D18,"C"),EXACT(D18,"P"),EXACT(D18,"D"),EXACT(D18,"T"),EXACT(D18,"X"),EXACT(E18,"DZF"),EXACT(E18,"OZF"),EXACT(D18,"N"),EXACT(D18,"F")),1,0)</f>
        <v>0</v>
      </c>
      <c r="M18" t="str">
        <f t="shared" si="0"/>
        <v/>
      </c>
      <c r="N18">
        <f t="shared" si="1"/>
        <v>2</v>
      </c>
      <c r="O18">
        <f t="shared" si="2"/>
        <v>0</v>
      </c>
      <c r="P18" t="str">
        <f t="shared" si="3"/>
        <v/>
      </c>
    </row>
    <row r="19" spans="1:16" x14ac:dyDescent="0.25">
      <c r="A19">
        <v>13</v>
      </c>
      <c r="B19">
        <f>IF($A19&gt;$A$1,"",VLOOKUP($A19,'NHL PBP'!$A:$L,8,FALSE))</f>
        <v>1</v>
      </c>
      <c r="C19">
        <f>IF($A19&gt;$A$1,"",IF(B19&gt;3,5/24,20/24)-VLOOKUP($A19,'NHL PBP'!$A:$L,10,FALSE))</f>
        <v>0.74097222222222225</v>
      </c>
      <c r="D19" t="str">
        <f>IF($A19&gt;$A$1,"",VLOOKUP($A19,'NHL PBP'!$A:$L,11,FALSE))</f>
        <v>HIT</v>
      </c>
      <c r="E19" t="str">
        <f>IF(AND(EXACT(D19,"FAC"),NOT(EXACT(MID(F19,9,3),"Neu"))),IF(OR(AND(EXACT(MID(F19,9,3),"Off"),EXACT(LEFT(F19,3),UPPER('Entry data'!$C$2))),AND(EXACT(MID(F19,9,3),"Def"),NOT(EXACT(LEFT(F19,3),UPPER('Entry data'!$C$2))))),"DZF","OZF"),"")</f>
        <v/>
      </c>
      <c r="F19" t="str">
        <f>IF($A19&gt;$A$1,"",VLOOKUP($A19,'NHL PBP'!$A:$L,12,FALSE))</f>
        <v>NSH #25 CARLE HIT DET #15 SHEAHAN, Def. Zone</v>
      </c>
      <c r="J19">
        <f>IF(EXACT('Entry data'!$C$3,"Road"),IF(ISBLANK(VLOOKUP(A19,'NHL PBP'!A:AH,21,FALSE)),3,IF(ISBLANK(VLOOKUP(A19,'NHL PBP'!A:AH,23,FALSE)),4,5)),IF(ISBLANK(VLOOKUP(A19,'NHL PBP'!A:AH,32,FALSE)),3,IF(ISBLANK(VLOOKUP(A19,'NHL PBP'!A:AH,34,FALSE)),4,5)))</f>
        <v>5</v>
      </c>
      <c r="K19">
        <f>IF(EXACT('Entry data'!$C$3,"Home"),IF(ISBLANK(VLOOKUP(A19,'NHL PBP'!A:AH,21,FALSE)),3,IF(ISBLANK(VLOOKUP(A19,'NHL PBP'!A:AH,23,FALSE)),4,5)),IF(ISBLANK(VLOOKUP(A19,'NHL PBP'!A:AH,32,FALSE)),3,IF(ISBLANK(VLOOKUP(A19,'NHL PBP'!A:AH,34,FALSE)),4,5)))</f>
        <v>5</v>
      </c>
      <c r="L19">
        <f>IF(OR(EXACT(D19,"C"),EXACT(D19,"P"),EXACT(D19,"D"),EXACT(D19,"T"),EXACT(D19,"X"),EXACT(E19,"DZF"),EXACT(E19,"OZF"),EXACT(D19,"N"),EXACT(D19,"F")),1,0)</f>
        <v>0</v>
      </c>
      <c r="M19" t="str">
        <f t="shared" si="0"/>
        <v/>
      </c>
      <c r="N19">
        <f t="shared" si="1"/>
        <v>1</v>
      </c>
      <c r="O19">
        <f t="shared" si="2"/>
        <v>0</v>
      </c>
      <c r="P19" t="str">
        <f t="shared" si="3"/>
        <v/>
      </c>
    </row>
    <row r="20" spans="1:16" x14ac:dyDescent="0.25">
      <c r="A20">
        <v>14</v>
      </c>
      <c r="B20">
        <f>IF($A20&gt;$A$1,"",VLOOKUP($A20,'NHL PBP'!$A:$L,8,FALSE))</f>
        <v>1</v>
      </c>
      <c r="C20">
        <f>IF($A20&gt;$A$1,"",IF(B20&gt;3,5/24,20/24)-VLOOKUP($A20,'NHL PBP'!$A:$L,10,FALSE))</f>
        <v>0.73819444444444449</v>
      </c>
      <c r="D20" t="str">
        <f>IF($A20&gt;$A$1,"",VLOOKUP($A20,'NHL PBP'!$A:$L,11,FALSE))</f>
        <v>SHOT</v>
      </c>
      <c r="E20" t="str">
        <f>IF(AND(EXACT(D20,"FAC"),NOT(EXACT(MID(F20,9,3),"Neu"))),IF(OR(AND(EXACT(MID(F20,9,3),"Off"),EXACT(LEFT(F20,3),UPPER('Entry data'!$C$2))),AND(EXACT(MID(F20,9,3),"Def"),NOT(EXACT(LEFT(F20,3),UPPER('Entry data'!$C$2))))),"DZF","OZF"),"")</f>
        <v/>
      </c>
      <c r="F20" t="str">
        <f>IF($A20&gt;$A$1,"",VLOOKUP($A20,'NHL PBP'!$A:$L,12,FALSE))</f>
        <v>DET ONGOAL - #52 ERICSSON, Wrist, Off. Zone, 60 ft.</v>
      </c>
      <c r="J20">
        <f>IF(EXACT('Entry data'!$C$3,"Road"),IF(ISBLANK(VLOOKUP(A20,'NHL PBP'!A:AH,21,FALSE)),3,IF(ISBLANK(VLOOKUP(A20,'NHL PBP'!A:AH,23,FALSE)),4,5)),IF(ISBLANK(VLOOKUP(A20,'NHL PBP'!A:AH,32,FALSE)),3,IF(ISBLANK(VLOOKUP(A20,'NHL PBP'!A:AH,34,FALSE)),4,5)))</f>
        <v>5</v>
      </c>
      <c r="K20">
        <f>IF(EXACT('Entry data'!$C$3,"Home"),IF(ISBLANK(VLOOKUP(A20,'NHL PBP'!A:AH,21,FALSE)),3,IF(ISBLANK(VLOOKUP(A20,'NHL PBP'!A:AH,23,FALSE)),4,5)),IF(ISBLANK(VLOOKUP(A20,'NHL PBP'!A:AH,32,FALSE)),3,IF(ISBLANK(VLOOKUP(A20,'NHL PBP'!A:AH,34,FALSE)),4,5)))</f>
        <v>5</v>
      </c>
      <c r="L20">
        <f>IF(OR(EXACT(D20,"C"),EXACT(D20,"P"),EXACT(D20,"D"),EXACT(D20,"T"),EXACT(D20,"X"),EXACT(E20,"DZF"),EXACT(E20,"OZF"),EXACT(D20,"N"),EXACT(D20,"F")),1,0)</f>
        <v>0</v>
      </c>
      <c r="M20" t="str">
        <f t="shared" si="0"/>
        <v/>
      </c>
      <c r="N20">
        <f t="shared" si="1"/>
        <v>1</v>
      </c>
      <c r="O20">
        <f t="shared" si="2"/>
        <v>0</v>
      </c>
      <c r="P20" t="str">
        <f t="shared" si="3"/>
        <v/>
      </c>
    </row>
    <row r="21" spans="1:16" x14ac:dyDescent="0.25">
      <c r="A21">
        <v>15</v>
      </c>
      <c r="B21">
        <f>IF($A21&gt;$A$1,"",VLOOKUP($A21,'NHL PBP'!$A:$L,8,FALSE))</f>
        <v>1</v>
      </c>
      <c r="C21">
        <f>IF($A21&gt;$A$1,"",IF(B21&gt;3,5/24,20/24)-VLOOKUP($A21,'NHL PBP'!$A:$L,10,FALSE))</f>
        <v>0.73819444444444449</v>
      </c>
      <c r="D21" t="str">
        <f>IF($A21&gt;$A$1,"",VLOOKUP($A21,'NHL PBP'!$A:$L,11,FALSE))</f>
        <v>STOP</v>
      </c>
      <c r="E21" t="str">
        <f>IF(AND(EXACT(D21,"FAC"),NOT(EXACT(MID(F21,9,3),"Neu"))),IF(OR(AND(EXACT(MID(F21,9,3),"Off"),EXACT(LEFT(F21,3),UPPER('Entry data'!$C$2))),AND(EXACT(MID(F21,9,3),"Def"),NOT(EXACT(LEFT(F21,3),UPPER('Entry data'!$C$2))))),"DZF","OZF"),"")</f>
        <v/>
      </c>
      <c r="F21" t="str">
        <f>IF($A21&gt;$A$1,"",VLOOKUP($A21,'NHL PBP'!$A:$L,12,FALSE))</f>
        <v>GOALIE STOPPED</v>
      </c>
      <c r="J21">
        <f>IF(EXACT('Entry data'!$C$3,"Road"),IF(ISBLANK(VLOOKUP(A21,'NHL PBP'!A:AH,21,FALSE)),3,IF(ISBLANK(VLOOKUP(A21,'NHL PBP'!A:AH,23,FALSE)),4,5)),IF(ISBLANK(VLOOKUP(A21,'NHL PBP'!A:AH,32,FALSE)),3,IF(ISBLANK(VLOOKUP(A21,'NHL PBP'!A:AH,34,FALSE)),4,5)))</f>
        <v>5</v>
      </c>
      <c r="K21">
        <f>IF(EXACT('Entry data'!$C$3,"Home"),IF(ISBLANK(VLOOKUP(A21,'NHL PBP'!A:AH,21,FALSE)),3,IF(ISBLANK(VLOOKUP(A21,'NHL PBP'!A:AH,23,FALSE)),4,5)),IF(ISBLANK(VLOOKUP(A21,'NHL PBP'!A:AH,32,FALSE)),3,IF(ISBLANK(VLOOKUP(A21,'NHL PBP'!A:AH,34,FALSE)),4,5)))</f>
        <v>5</v>
      </c>
      <c r="L21">
        <f>IF(OR(EXACT(D21,"C"),EXACT(D21,"P"),EXACT(D21,"D"),EXACT(D21,"T"),EXACT(D21,"X"),EXACT(E21,"DZF"),EXACT(E21,"OZF"),EXACT(D21,"N"),EXACT(D21,"F")),1,0)</f>
        <v>0</v>
      </c>
      <c r="M21" t="str">
        <f t="shared" si="0"/>
        <v/>
      </c>
      <c r="N21">
        <f t="shared" si="1"/>
        <v>0</v>
      </c>
      <c r="O21">
        <f t="shared" si="2"/>
        <v>0</v>
      </c>
      <c r="P21" t="str">
        <f t="shared" si="3"/>
        <v/>
      </c>
    </row>
    <row r="22" spans="1:16" x14ac:dyDescent="0.25">
      <c r="A22">
        <v>16</v>
      </c>
      <c r="B22">
        <f>IF($A22&gt;$A$1,"",VLOOKUP($A22,'NHL PBP'!$A:$L,8,FALSE))</f>
        <v>1</v>
      </c>
      <c r="C22">
        <f>IF($A22&gt;$A$1,"",IF(B22&gt;3,5/24,20/24)-VLOOKUP($A22,'NHL PBP'!$A:$L,10,FALSE))</f>
        <v>0.73819444444444449</v>
      </c>
      <c r="D22" t="str">
        <f>IF($A22&gt;$A$1,"",VLOOKUP($A22,'NHL PBP'!$A:$L,11,FALSE))</f>
        <v>FAC</v>
      </c>
      <c r="E22" t="str">
        <f>IF(AND(EXACT(D22,"FAC"),NOT(EXACT(MID(F22,9,3),"Neu"))),IF(OR(AND(EXACT(MID(F22,9,3),"Off"),EXACT(LEFT(F22,3),UPPER('Entry data'!$C$2))),AND(EXACT(MID(F22,9,3),"Def"),NOT(EXACT(LEFT(F22,3),UPPER('Entry data'!$C$2))))),"DZF","OZF"),"")</f>
        <v>OZF</v>
      </c>
      <c r="F22" t="str">
        <f>IF($A22&gt;$A$1,"",VLOOKUP($A22,'NHL PBP'!$A:$L,12,FALSE))</f>
        <v>DET won Off. Zone - NSH #10 SISSONS vs DET #29 OTT</v>
      </c>
      <c r="J22">
        <f>IF(EXACT('Entry data'!$C$3,"Road"),IF(ISBLANK(VLOOKUP(A22,'NHL PBP'!A:AH,21,FALSE)),3,IF(ISBLANK(VLOOKUP(A22,'NHL PBP'!A:AH,23,FALSE)),4,5)),IF(ISBLANK(VLOOKUP(A22,'NHL PBP'!A:AH,32,FALSE)),3,IF(ISBLANK(VLOOKUP(A22,'NHL PBP'!A:AH,34,FALSE)),4,5)))</f>
        <v>5</v>
      </c>
      <c r="K22">
        <f>IF(EXACT('Entry data'!$C$3,"Home"),IF(ISBLANK(VLOOKUP(A22,'NHL PBP'!A:AH,21,FALSE)),3,IF(ISBLANK(VLOOKUP(A22,'NHL PBP'!A:AH,23,FALSE)),4,5)),IF(ISBLANK(VLOOKUP(A22,'NHL PBP'!A:AH,32,FALSE)),3,IF(ISBLANK(VLOOKUP(A22,'NHL PBP'!A:AH,34,FALSE)),4,5)))</f>
        <v>5</v>
      </c>
      <c r="L22">
        <f>IF(OR(EXACT(D22,"C"),EXACT(D22,"P"),EXACT(D22,"D"),EXACT(D22,"T"),EXACT(D22,"X"),EXACT(E22,"DZF"),EXACT(E22,"OZF"),EXACT(D22,"N"),EXACT(D22,"F")),1,0)</f>
        <v>1</v>
      </c>
      <c r="M22" t="str">
        <f t="shared" si="0"/>
        <v/>
      </c>
      <c r="N22">
        <f t="shared" si="1"/>
        <v>1</v>
      </c>
      <c r="O22">
        <f t="shared" si="2"/>
        <v>0</v>
      </c>
      <c r="P22" t="str">
        <f t="shared" si="3"/>
        <v/>
      </c>
    </row>
    <row r="23" spans="1:16" x14ac:dyDescent="0.25">
      <c r="A23">
        <v>17</v>
      </c>
      <c r="B23">
        <f>IF($A23&gt;$A$1,"",VLOOKUP($A23,'NHL PBP'!$A:$L,8,FALSE))</f>
        <v>1</v>
      </c>
      <c r="C23">
        <f>IF($A23&gt;$A$1,"",IF(B23&gt;3,5/24,20/24)-VLOOKUP($A23,'NHL PBP'!$A:$L,10,FALSE))</f>
        <v>0.73194444444444451</v>
      </c>
      <c r="D23" t="str">
        <f>IF($A23&gt;$A$1,"",VLOOKUP($A23,'NHL PBP'!$A:$L,11,FALSE))</f>
        <v>HIT</v>
      </c>
      <c r="E23" t="str">
        <f>IF(AND(EXACT(D23,"FAC"),NOT(EXACT(MID(F23,9,3),"Neu"))),IF(OR(AND(EXACT(MID(F23,9,3),"Off"),EXACT(LEFT(F23,3),UPPER('Entry data'!$C$2))),AND(EXACT(MID(F23,9,3),"Def"),NOT(EXACT(LEFT(F23,3),UPPER('Entry data'!$C$2))))),"DZF","OZF"),"")</f>
        <v/>
      </c>
      <c r="F23" t="str">
        <f>IF($A23&gt;$A$1,"",VLOOKUP($A23,'NHL PBP'!$A:$L,12,FALSE))</f>
        <v>NSH #7 WEBER HIT DET #41 GLENDENING, Def. Zone</v>
      </c>
      <c r="J23">
        <f>IF(EXACT('Entry data'!$C$3,"Road"),IF(ISBLANK(VLOOKUP(A23,'NHL PBP'!A:AH,21,FALSE)),3,IF(ISBLANK(VLOOKUP(A23,'NHL PBP'!A:AH,23,FALSE)),4,5)),IF(ISBLANK(VLOOKUP(A23,'NHL PBP'!A:AH,32,FALSE)),3,IF(ISBLANK(VLOOKUP(A23,'NHL PBP'!A:AH,34,FALSE)),4,5)))</f>
        <v>5</v>
      </c>
      <c r="K23">
        <f>IF(EXACT('Entry data'!$C$3,"Home"),IF(ISBLANK(VLOOKUP(A23,'NHL PBP'!A:AH,21,FALSE)),3,IF(ISBLANK(VLOOKUP(A23,'NHL PBP'!A:AH,23,FALSE)),4,5)),IF(ISBLANK(VLOOKUP(A23,'NHL PBP'!A:AH,32,FALSE)),3,IF(ISBLANK(VLOOKUP(A23,'NHL PBP'!A:AH,34,FALSE)),4,5)))</f>
        <v>5</v>
      </c>
      <c r="L23">
        <f>IF(OR(EXACT(D23,"C"),EXACT(D23,"P"),EXACT(D23,"D"),EXACT(D23,"T"),EXACT(D23,"X"),EXACT(E23,"DZF"),EXACT(E23,"OZF"),EXACT(D23,"N"),EXACT(D23,"F")),1,0)</f>
        <v>0</v>
      </c>
      <c r="M23" t="str">
        <f t="shared" si="0"/>
        <v/>
      </c>
      <c r="N23">
        <f t="shared" si="1"/>
        <v>1</v>
      </c>
      <c r="O23">
        <f t="shared" si="2"/>
        <v>0</v>
      </c>
      <c r="P23" t="str">
        <f t="shared" si="3"/>
        <v/>
      </c>
    </row>
    <row r="24" spans="1:16" x14ac:dyDescent="0.25">
      <c r="A24">
        <v>18</v>
      </c>
      <c r="B24">
        <f>IF($A24&gt;$A$1,"",VLOOKUP($A24,'NHL PBP'!$A:$L,8,FALSE))</f>
        <v>1</v>
      </c>
      <c r="C24">
        <f>IF($A24&gt;$A$1,"",IF(B24&gt;3,5/24,20/24)-VLOOKUP($A24,'NHL PBP'!$A:$L,10,FALSE))</f>
        <v>0.72708333333333341</v>
      </c>
      <c r="D24" t="str">
        <f>IF($A24&gt;$A$1,"",VLOOKUP($A24,'NHL PBP'!$A:$L,11,FALSE))</f>
        <v>HIT</v>
      </c>
      <c r="E24" t="str">
        <f>IF(AND(EXACT(D24,"FAC"),NOT(EXACT(MID(F24,9,3),"Neu"))),IF(OR(AND(EXACT(MID(F24,9,3),"Off"),EXACT(LEFT(F24,3),UPPER('Entry data'!$C$2))),AND(EXACT(MID(F24,9,3),"Def"),NOT(EXACT(LEFT(F24,3),UPPER('Entry data'!$C$2))))),"DZF","OZF"),"")</f>
        <v/>
      </c>
      <c r="F24" t="str">
        <f>IF($A24&gt;$A$1,"",VLOOKUP($A24,'NHL PBP'!$A:$L,12,FALSE))</f>
        <v>NSH #10 SISSONS HIT DET #41 GLENDENING, Def. Zone</v>
      </c>
      <c r="J24">
        <f>IF(EXACT('Entry data'!$C$3,"Road"),IF(ISBLANK(VLOOKUP(A24,'NHL PBP'!A:AH,21,FALSE)),3,IF(ISBLANK(VLOOKUP(A24,'NHL PBP'!A:AH,23,FALSE)),4,5)),IF(ISBLANK(VLOOKUP(A24,'NHL PBP'!A:AH,32,FALSE)),3,IF(ISBLANK(VLOOKUP(A24,'NHL PBP'!A:AH,34,FALSE)),4,5)))</f>
        <v>5</v>
      </c>
      <c r="K24">
        <f>IF(EXACT('Entry data'!$C$3,"Home"),IF(ISBLANK(VLOOKUP(A24,'NHL PBP'!A:AH,21,FALSE)),3,IF(ISBLANK(VLOOKUP(A24,'NHL PBP'!A:AH,23,FALSE)),4,5)),IF(ISBLANK(VLOOKUP(A24,'NHL PBP'!A:AH,32,FALSE)),3,IF(ISBLANK(VLOOKUP(A24,'NHL PBP'!A:AH,34,FALSE)),4,5)))</f>
        <v>5</v>
      </c>
      <c r="L24">
        <f>IF(OR(EXACT(D24,"C"),EXACT(D24,"P"),EXACT(D24,"D"),EXACT(D24,"T"),EXACT(D24,"X"),EXACT(E24,"DZF"),EXACT(E24,"OZF"),EXACT(D24,"N"),EXACT(D24,"F")),1,0)</f>
        <v>0</v>
      </c>
      <c r="M24" t="str">
        <f t="shared" si="0"/>
        <v/>
      </c>
      <c r="N24">
        <f t="shared" si="1"/>
        <v>1</v>
      </c>
      <c r="O24">
        <f t="shared" si="2"/>
        <v>0</v>
      </c>
      <c r="P24" t="str">
        <f t="shared" si="3"/>
        <v/>
      </c>
    </row>
    <row r="25" spans="1:16" x14ac:dyDescent="0.25">
      <c r="A25">
        <v>19</v>
      </c>
      <c r="B25">
        <f>IF($A25&gt;$A$1,"",VLOOKUP($A25,'NHL PBP'!$A:$L,8,FALSE))</f>
        <v>1</v>
      </c>
      <c r="C25">
        <f>IF($A25&gt;$A$1,"",IF(B25&gt;3,5/24,20/24)-VLOOKUP($A25,'NHL PBP'!$A:$L,10,FALSE))</f>
        <v>0.72291666666666665</v>
      </c>
      <c r="D25" t="str">
        <f>IF($A25&gt;$A$1,"",VLOOKUP($A25,'NHL PBP'!$A:$L,11,FALSE))</f>
        <v>SHOT</v>
      </c>
      <c r="E25" t="str">
        <f>IF(AND(EXACT(D25,"FAC"),NOT(EXACT(MID(F25,9,3),"Neu"))),IF(OR(AND(EXACT(MID(F25,9,3),"Off"),EXACT(LEFT(F25,3),UPPER('Entry data'!$C$2))),AND(EXACT(MID(F25,9,3),"Def"),NOT(EXACT(LEFT(F25,3),UPPER('Entry data'!$C$2))))),"DZF","OZF"),"")</f>
        <v/>
      </c>
      <c r="F25" t="str">
        <f>IF($A25&gt;$A$1,"",VLOOKUP($A25,'NHL PBP'!$A:$L,12,FALSE))</f>
        <v>DET ONGOAL - #41 GLENDENING, Tip-In, Off. Zone, 12 ft.</v>
      </c>
      <c r="J25">
        <f>IF(EXACT('Entry data'!$C$3,"Road"),IF(ISBLANK(VLOOKUP(A25,'NHL PBP'!A:AH,21,FALSE)),3,IF(ISBLANK(VLOOKUP(A25,'NHL PBP'!A:AH,23,FALSE)),4,5)),IF(ISBLANK(VLOOKUP(A25,'NHL PBP'!A:AH,32,FALSE)),3,IF(ISBLANK(VLOOKUP(A25,'NHL PBP'!A:AH,34,FALSE)),4,5)))</f>
        <v>5</v>
      </c>
      <c r="K25">
        <f>IF(EXACT('Entry data'!$C$3,"Home"),IF(ISBLANK(VLOOKUP(A25,'NHL PBP'!A:AH,21,FALSE)),3,IF(ISBLANK(VLOOKUP(A25,'NHL PBP'!A:AH,23,FALSE)),4,5)),IF(ISBLANK(VLOOKUP(A25,'NHL PBP'!A:AH,32,FALSE)),3,IF(ISBLANK(VLOOKUP(A25,'NHL PBP'!A:AH,34,FALSE)),4,5)))</f>
        <v>5</v>
      </c>
      <c r="L25">
        <f>IF(OR(EXACT(D25,"C"),EXACT(D25,"P"),EXACT(D25,"D"),EXACT(D25,"T"),EXACT(D25,"X"),EXACT(E25,"DZF"),EXACT(E25,"OZF"),EXACT(D25,"N"),EXACT(D25,"F")),1,0)</f>
        <v>0</v>
      </c>
      <c r="M25" t="str">
        <f t="shared" si="0"/>
        <v/>
      </c>
      <c r="N25">
        <f t="shared" si="1"/>
        <v>1</v>
      </c>
      <c r="O25">
        <f t="shared" si="2"/>
        <v>0</v>
      </c>
      <c r="P25" t="str">
        <f t="shared" si="3"/>
        <v/>
      </c>
    </row>
    <row r="26" spans="1:16" x14ac:dyDescent="0.25">
      <c r="A26">
        <v>20</v>
      </c>
      <c r="B26">
        <f>IF($A26&gt;$A$1,"",VLOOKUP($A26,'NHL PBP'!$A:$L,8,FALSE))</f>
        <v>1</v>
      </c>
      <c r="C26">
        <f>IF($A26&gt;$A$1,"",IF(B26&gt;3,5/24,20/24)-VLOOKUP($A26,'NHL PBP'!$A:$L,10,FALSE))</f>
        <v>0.72152777777777777</v>
      </c>
      <c r="D26" t="str">
        <f>IF($A26&gt;$A$1,"",VLOOKUP($A26,'NHL PBP'!$A:$L,11,FALSE))</f>
        <v>STOP</v>
      </c>
      <c r="E26" t="str">
        <f>IF(AND(EXACT(D26,"FAC"),NOT(EXACT(MID(F26,9,3),"Neu"))),IF(OR(AND(EXACT(MID(F26,9,3),"Off"),EXACT(LEFT(F26,3),UPPER('Entry data'!$C$2))),AND(EXACT(MID(F26,9,3),"Def"),NOT(EXACT(LEFT(F26,3),UPPER('Entry data'!$C$2))))),"DZF","OZF"),"")</f>
        <v/>
      </c>
      <c r="F26" t="str">
        <f>IF($A26&gt;$A$1,"",VLOOKUP($A26,'NHL PBP'!$A:$L,12,FALSE))</f>
        <v>PUCK IN CROWD</v>
      </c>
      <c r="J26">
        <f>IF(EXACT('Entry data'!$C$3,"Road"),IF(ISBLANK(VLOOKUP(A26,'NHL PBP'!A:AH,21,FALSE)),3,IF(ISBLANK(VLOOKUP(A26,'NHL PBP'!A:AH,23,FALSE)),4,5)),IF(ISBLANK(VLOOKUP(A26,'NHL PBP'!A:AH,32,FALSE)),3,IF(ISBLANK(VLOOKUP(A26,'NHL PBP'!A:AH,34,FALSE)),4,5)))</f>
        <v>5</v>
      </c>
      <c r="K26">
        <f>IF(EXACT('Entry data'!$C$3,"Home"),IF(ISBLANK(VLOOKUP(A26,'NHL PBP'!A:AH,21,FALSE)),3,IF(ISBLANK(VLOOKUP(A26,'NHL PBP'!A:AH,23,FALSE)),4,5)),IF(ISBLANK(VLOOKUP(A26,'NHL PBP'!A:AH,32,FALSE)),3,IF(ISBLANK(VLOOKUP(A26,'NHL PBP'!A:AH,34,FALSE)),4,5)))</f>
        <v>5</v>
      </c>
      <c r="L26">
        <f>IF(OR(EXACT(D26,"C"),EXACT(D26,"P"),EXACT(D26,"D"),EXACT(D26,"T"),EXACT(D26,"X"),EXACT(E26,"DZF"),EXACT(E26,"OZF"),EXACT(D26,"N"),EXACT(D26,"F")),1,0)</f>
        <v>0</v>
      </c>
      <c r="M26" t="str">
        <f t="shared" si="0"/>
        <v/>
      </c>
      <c r="N26">
        <f t="shared" si="1"/>
        <v>0</v>
      </c>
      <c r="O26">
        <f t="shared" si="2"/>
        <v>0</v>
      </c>
      <c r="P26" t="str">
        <f t="shared" si="3"/>
        <v/>
      </c>
    </row>
    <row r="27" spans="1:16" x14ac:dyDescent="0.25">
      <c r="A27">
        <v>21</v>
      </c>
      <c r="B27">
        <f>IF($A27&gt;$A$1,"",VLOOKUP($A27,'NHL PBP'!$A:$L,8,FALSE))</f>
        <v>1</v>
      </c>
      <c r="C27">
        <f>IF($A27&gt;$A$1,"",IF(B27&gt;3,5/24,20/24)-VLOOKUP($A27,'NHL PBP'!$A:$L,10,FALSE))</f>
        <v>0.72152777777777777</v>
      </c>
      <c r="D27" t="str">
        <f>IF($A27&gt;$A$1,"",VLOOKUP($A27,'NHL PBP'!$A:$L,11,FALSE))</f>
        <v>FAC</v>
      </c>
      <c r="E27" t="str">
        <f>IF(AND(EXACT(D27,"FAC"),NOT(EXACT(MID(F27,9,3),"Neu"))),IF(OR(AND(EXACT(MID(F27,9,3),"Off"),EXACT(LEFT(F27,3),UPPER('Entry data'!$C$2))),AND(EXACT(MID(F27,9,3),"Def"),NOT(EXACT(LEFT(F27,3),UPPER('Entry data'!$C$2))))),"DZF","OZF"),"")</f>
        <v/>
      </c>
      <c r="F27" t="str">
        <f>IF($A27&gt;$A$1,"",VLOOKUP($A27,'NHL PBP'!$A:$L,12,FALSE))</f>
        <v>NSH won Neu. Zone - NSH #10 SISSONS vs DET #43 HELM</v>
      </c>
      <c r="J27">
        <f>IF(EXACT('Entry data'!$C$3,"Road"),IF(ISBLANK(VLOOKUP(A27,'NHL PBP'!A:AH,21,FALSE)),3,IF(ISBLANK(VLOOKUP(A27,'NHL PBP'!A:AH,23,FALSE)),4,5)),IF(ISBLANK(VLOOKUP(A27,'NHL PBP'!A:AH,32,FALSE)),3,IF(ISBLANK(VLOOKUP(A27,'NHL PBP'!A:AH,34,FALSE)),4,5)))</f>
        <v>5</v>
      </c>
      <c r="K27">
        <f>IF(EXACT('Entry data'!$C$3,"Home"),IF(ISBLANK(VLOOKUP(A27,'NHL PBP'!A:AH,21,FALSE)),3,IF(ISBLANK(VLOOKUP(A27,'NHL PBP'!A:AH,23,FALSE)),4,5)),IF(ISBLANK(VLOOKUP(A27,'NHL PBP'!A:AH,32,FALSE)),3,IF(ISBLANK(VLOOKUP(A27,'NHL PBP'!A:AH,34,FALSE)),4,5)))</f>
        <v>5</v>
      </c>
      <c r="L27">
        <f>IF(OR(EXACT(D27,"C"),EXACT(D27,"P"),EXACT(D27,"D"),EXACT(D27,"T"),EXACT(D27,"X"),EXACT(E27,"DZF"),EXACT(E27,"OZF"),EXACT(D27,"N"),EXACT(D27,"F")),1,0)</f>
        <v>0</v>
      </c>
      <c r="M27" t="str">
        <f t="shared" si="0"/>
        <v/>
      </c>
      <c r="N27">
        <f t="shared" si="1"/>
        <v>0</v>
      </c>
      <c r="O27">
        <f t="shared" si="2"/>
        <v>0</v>
      </c>
      <c r="P27" t="str">
        <f t="shared" si="3"/>
        <v/>
      </c>
    </row>
    <row r="28" spans="1:16" x14ac:dyDescent="0.25">
      <c r="A28">
        <v>6</v>
      </c>
      <c r="B28">
        <f>IF(ISBLANK(VLOOKUP($A28,'Entry data'!$A:$K,2,FALSE)),"",VLOOKUP($A28,'Entry data'!$A:$K,2,FALSE))</f>
        <v>1</v>
      </c>
      <c r="C28">
        <f>IF(ISBLANK(VLOOKUP($A28,'Entry data'!$A:$K,3,FALSE)),"",VLOOKUP($A28,'Entry data'!$A:$K,3,FALSE))</f>
        <v>0.71458333333333324</v>
      </c>
      <c r="D28" t="str">
        <f>IF(ISBLANK(VLOOKUP($A28,'Entry data'!$A:$K,4,FALSE)),"",VLOOKUP($A28,'Entry data'!$A:$K,4,FALSE))</f>
        <v>D</v>
      </c>
      <c r="E28" t="str">
        <f>IF(ISBLANK(VLOOKUP($A28,'Entry data'!$A:$K,5,FALSE)),"",VLOOKUP($A28,'Entry data'!$A:$K,5,FALSE))</f>
        <v>62DET</v>
      </c>
      <c r="F28" t="str">
        <f>IF(ISBLANK(VLOOKUP($A28,'Entry data'!$A:$K,6,FALSE)),"",VLOOKUP($A28,'Entry data'!$A:$K,6,FALSE))</f>
        <v>4NSH</v>
      </c>
      <c r="G28" t="str">
        <f>IF(ISBLANK(VLOOKUP($A28,'Entry data'!$A:$K,7,FALSE)),"",VLOOKUP($A28,'Entry data'!$A:$K,7,FALSE))</f>
        <v/>
      </c>
      <c r="H28" t="str">
        <f>IF(ISBLANK(VLOOKUP($A28,'Entry data'!$A:$K,8,FALSE)),"",VLOOKUP($A28,'Entry data'!$A:$K,8,FALSE))</f>
        <v>C</v>
      </c>
      <c r="I28" t="str">
        <f>IF(ISBLANK(VLOOKUP($A28,'Entry data'!$A:$K,9,FALSE)),"",VLOOKUP($A28,'Entry data'!$A:$K,9,FALSE))</f>
        <v>N</v>
      </c>
      <c r="J28">
        <f>IF(ISBLANK(VLOOKUP($A28,'Entry data'!$A:$K,10,FALSE)),"",VLOOKUP($A28,'Entry data'!$A:$K,10,FALSE))</f>
        <v>5</v>
      </c>
      <c r="K28">
        <f>IF(ISBLANK(VLOOKUP($A28,'Entry data'!$A:$K,11,FALSE)),"",VLOOKUP($A28,'Entry data'!$A:$K,11,FALSE))</f>
        <v>5</v>
      </c>
      <c r="L28">
        <f>IF(OR(EXACT(D28,"C"),EXACT(D28,"P"),EXACT(D28,"D"),EXACT(D28,"T"),EXACT(D28,"X"),EXACT(E28,"DZF"),EXACT(E28,"OZF"),EXACT(D28,"N"),EXACT(D28,"F")),1,0)</f>
        <v>1</v>
      </c>
      <c r="M28" t="str">
        <f t="shared" si="0"/>
        <v/>
      </c>
      <c r="N28">
        <f t="shared" si="1"/>
        <v>0</v>
      </c>
      <c r="O28">
        <f t="shared" si="2"/>
        <v>0</v>
      </c>
      <c r="P28" t="str">
        <f t="shared" si="3"/>
        <v/>
      </c>
    </row>
    <row r="29" spans="1:16" x14ac:dyDescent="0.25">
      <c r="A29">
        <v>7</v>
      </c>
      <c r="B29">
        <f>IF(ISBLANK(VLOOKUP($A29,'Entry data'!$A:$K,2,FALSE)),"",VLOOKUP($A29,'Entry data'!$A:$K,2,FALSE))</f>
        <v>1</v>
      </c>
      <c r="C29">
        <f>IF(ISBLANK(VLOOKUP($A29,'Entry data'!$A:$K,3,FALSE)),"",VLOOKUP($A29,'Entry data'!$A:$K,3,FALSE))</f>
        <v>0.70763888888888893</v>
      </c>
      <c r="D29" t="str">
        <f>IF(ISBLANK(VLOOKUP($A29,'Entry data'!$A:$K,4,FALSE)),"",VLOOKUP($A29,'Entry data'!$A:$K,4,FALSE))</f>
        <v>D</v>
      </c>
      <c r="E29" t="str">
        <f>IF(ISBLANK(VLOOKUP($A29,'Entry data'!$A:$K,5,FALSE)),"",VLOOKUP($A29,'Entry data'!$A:$K,5,FALSE))</f>
        <v>10NSH</v>
      </c>
      <c r="F29" t="str">
        <f>IF(ISBLANK(VLOOKUP($A29,'Entry data'!$A:$K,6,FALSE)),"",VLOOKUP($A29,'Entry data'!$A:$K,6,FALSE))</f>
        <v>N</v>
      </c>
      <c r="G29" t="str">
        <f>IF(ISBLANK(VLOOKUP($A29,'Entry data'!$A:$K,7,FALSE)),"",VLOOKUP($A29,'Entry data'!$A:$K,7,FALSE))</f>
        <v/>
      </c>
      <c r="H29" t="str">
        <f>IF(ISBLANK(VLOOKUP($A29,'Entry data'!$A:$K,8,FALSE)),"",VLOOKUP($A29,'Entry data'!$A:$K,8,FALSE))</f>
        <v>L</v>
      </c>
      <c r="I29" t="str">
        <f>IF(ISBLANK(VLOOKUP($A29,'Entry data'!$A:$K,9,FALSE)),"",VLOOKUP($A29,'Entry data'!$A:$K,9,FALSE))</f>
        <v>N</v>
      </c>
      <c r="J29">
        <f>IF(ISBLANK(VLOOKUP($A29,'Entry data'!$A:$K,10,FALSE)),"",VLOOKUP($A29,'Entry data'!$A:$K,10,FALSE))</f>
        <v>5</v>
      </c>
      <c r="K29">
        <f>IF(ISBLANK(VLOOKUP($A29,'Entry data'!$A:$K,11,FALSE)),"",VLOOKUP($A29,'Entry data'!$A:$K,11,FALSE))</f>
        <v>5</v>
      </c>
      <c r="L29">
        <f>IF(OR(EXACT(D29,"C"),EXACT(D29,"P"),EXACT(D29,"D"),EXACT(D29,"T"),EXACT(D29,"X"),EXACT(E29,"DZF"),EXACT(E29,"OZF"),EXACT(D29,"N"),EXACT(D29,"F")),1,0)</f>
        <v>1</v>
      </c>
      <c r="M29" t="str">
        <f t="shared" si="0"/>
        <v/>
      </c>
      <c r="N29">
        <f t="shared" si="1"/>
        <v>0</v>
      </c>
      <c r="O29">
        <f t="shared" si="2"/>
        <v>0</v>
      </c>
      <c r="P29" t="str">
        <f t="shared" si="3"/>
        <v/>
      </c>
    </row>
    <row r="30" spans="1:16" x14ac:dyDescent="0.25">
      <c r="A30">
        <v>22</v>
      </c>
      <c r="B30">
        <f>IF($A30&gt;$A$1,"",VLOOKUP($A30,'NHL PBP'!$A:$L,8,FALSE))</f>
        <v>1</v>
      </c>
      <c r="C30">
        <f>IF($A30&gt;$A$1,"",IF(B30&gt;3,5/24,20/24)-VLOOKUP($A30,'NHL PBP'!$A:$L,10,FALSE))</f>
        <v>0.70208333333333339</v>
      </c>
      <c r="D30" t="str">
        <f>IF($A30&gt;$A$1,"",VLOOKUP($A30,'NHL PBP'!$A:$L,11,FALSE))</f>
        <v>HIT</v>
      </c>
      <c r="E30" t="str">
        <f>IF(AND(EXACT(D30,"FAC"),NOT(EXACT(MID(F30,9,3),"Neu"))),IF(OR(AND(EXACT(MID(F30,9,3),"Off"),EXACT(LEFT(F30,3),UPPER('Entry data'!$C$2))),AND(EXACT(MID(F30,9,3),"Def"),NOT(EXACT(LEFT(F30,3),UPPER('Entry data'!$C$2))))),"DZF","OZF"),"")</f>
        <v/>
      </c>
      <c r="F30" t="str">
        <f>IF($A30&gt;$A$1,"",VLOOKUP($A30,'NHL PBP'!$A:$L,12,FALSE))</f>
        <v>NSH #16 BASS HIT DET #2 SMITH, Off. Zone</v>
      </c>
      <c r="J30">
        <f>IF(EXACT('Entry data'!$C$3,"Road"),IF(ISBLANK(VLOOKUP(A30,'NHL PBP'!A:AH,21,FALSE)),3,IF(ISBLANK(VLOOKUP(A30,'NHL PBP'!A:AH,23,FALSE)),4,5)),IF(ISBLANK(VLOOKUP(A30,'NHL PBP'!A:AH,32,FALSE)),3,IF(ISBLANK(VLOOKUP(A30,'NHL PBP'!A:AH,34,FALSE)),4,5)))</f>
        <v>5</v>
      </c>
      <c r="K30">
        <f>IF(EXACT('Entry data'!$C$3,"Home"),IF(ISBLANK(VLOOKUP(A30,'NHL PBP'!A:AH,21,FALSE)),3,IF(ISBLANK(VLOOKUP(A30,'NHL PBP'!A:AH,23,FALSE)),4,5)),IF(ISBLANK(VLOOKUP(A30,'NHL PBP'!A:AH,32,FALSE)),3,IF(ISBLANK(VLOOKUP(A30,'NHL PBP'!A:AH,34,FALSE)),4,5)))</f>
        <v>5</v>
      </c>
      <c r="L30">
        <f>IF(OR(EXACT(D30,"C"),EXACT(D30,"P"),EXACT(D30,"D"),EXACT(D30,"T"),EXACT(D30,"X"),EXACT(E30,"DZF"),EXACT(E30,"OZF"),EXACT(D30,"N"),EXACT(D30,"F")),1,0)</f>
        <v>0</v>
      </c>
      <c r="M30" t="str">
        <f t="shared" si="0"/>
        <v/>
      </c>
      <c r="N30">
        <f t="shared" si="1"/>
        <v>0</v>
      </c>
      <c r="O30">
        <f t="shared" si="2"/>
        <v>0</v>
      </c>
      <c r="P30" t="str">
        <f t="shared" si="3"/>
        <v/>
      </c>
    </row>
    <row r="31" spans="1:16" x14ac:dyDescent="0.25">
      <c r="A31">
        <v>8</v>
      </c>
      <c r="B31">
        <f>IF(ISBLANK(VLOOKUP($A31,'Entry data'!$A:$K,2,FALSE)),"",VLOOKUP($A31,'Entry data'!$A:$K,2,FALSE))</f>
        <v>1</v>
      </c>
      <c r="C31">
        <f>IF(ISBLANK(VLOOKUP($A31,'Entry data'!$A:$K,3,FALSE)),"",VLOOKUP($A31,'Entry data'!$A:$K,3,FALSE))</f>
        <v>0.69652777777777775</v>
      </c>
      <c r="D31" t="str">
        <f>IF(ISBLANK(VLOOKUP($A31,'Entry data'!$A:$K,4,FALSE)),"",VLOOKUP($A31,'Entry data'!$A:$K,4,FALSE))</f>
        <v>D</v>
      </c>
      <c r="E31" t="str">
        <f>IF(ISBLANK(VLOOKUP($A31,'Entry data'!$A:$K,5,FALSE)),"",VLOOKUP($A31,'Entry data'!$A:$K,5,FALSE))</f>
        <v>62DET</v>
      </c>
      <c r="F31" t="str">
        <f>IF(ISBLANK(VLOOKUP($A31,'Entry data'!$A:$K,6,FALSE)),"",VLOOKUP($A31,'Entry data'!$A:$K,6,FALSE))</f>
        <v>4NSH</v>
      </c>
      <c r="G31" t="str">
        <f>IF(ISBLANK(VLOOKUP($A31,'Entry data'!$A:$K,7,FALSE)),"",VLOOKUP($A31,'Entry data'!$A:$K,7,FALSE))</f>
        <v/>
      </c>
      <c r="H31" t="str">
        <f>IF(ISBLANK(VLOOKUP($A31,'Entry data'!$A:$K,8,FALSE)),"",VLOOKUP($A31,'Entry data'!$A:$K,8,FALSE))</f>
        <v>L</v>
      </c>
      <c r="I31" t="str">
        <f>IF(ISBLANK(VLOOKUP($A31,'Entry data'!$A:$K,9,FALSE)),"",VLOOKUP($A31,'Entry data'!$A:$K,9,FALSE))</f>
        <v>N</v>
      </c>
      <c r="J31">
        <f>IF(ISBLANK(VLOOKUP($A31,'Entry data'!$A:$K,10,FALSE)),"",VLOOKUP($A31,'Entry data'!$A:$K,10,FALSE))</f>
        <v>5</v>
      </c>
      <c r="K31">
        <f>IF(ISBLANK(VLOOKUP($A31,'Entry data'!$A:$K,11,FALSE)),"",VLOOKUP($A31,'Entry data'!$A:$K,11,FALSE))</f>
        <v>5</v>
      </c>
      <c r="L31">
        <f>IF(OR(EXACT(D31,"C"),EXACT(D31,"P"),EXACT(D31,"D"),EXACT(D31,"T"),EXACT(D31,"X"),EXACT(E31,"DZF"),EXACT(E31,"OZF"),EXACT(D31,"N"),EXACT(D31,"F")),1,0)</f>
        <v>1</v>
      </c>
      <c r="M31" t="str">
        <f t="shared" si="0"/>
        <v/>
      </c>
      <c r="N31">
        <f t="shared" si="1"/>
        <v>2</v>
      </c>
      <c r="O31">
        <f t="shared" si="2"/>
        <v>0</v>
      </c>
      <c r="P31" t="str">
        <f t="shared" si="3"/>
        <v/>
      </c>
    </row>
    <row r="32" spans="1:16" x14ac:dyDescent="0.25">
      <c r="A32">
        <v>23</v>
      </c>
      <c r="B32">
        <f>IF($A32&gt;$A$1,"",VLOOKUP($A32,'NHL PBP'!$A:$L,8,FALSE))</f>
        <v>1</v>
      </c>
      <c r="C32">
        <f>IF($A32&gt;$A$1,"",IF(B32&gt;3,5/24,20/24)-VLOOKUP($A32,'NHL PBP'!$A:$L,10,FALSE))</f>
        <v>0.69027777777777777</v>
      </c>
      <c r="D32" t="str">
        <f>IF($A32&gt;$A$1,"",VLOOKUP($A32,'NHL PBP'!$A:$L,11,FALSE))</f>
        <v>SHOT</v>
      </c>
      <c r="E32" t="str">
        <f>IF(AND(EXACT(D32,"FAC"),NOT(EXACT(MID(F32,9,3),"Neu"))),IF(OR(AND(EXACT(MID(F32,9,3),"Off"),EXACT(LEFT(F32,3),UPPER('Entry data'!$C$2))),AND(EXACT(MID(F32,9,3),"Def"),NOT(EXACT(LEFT(F32,3),UPPER('Entry data'!$C$2))))),"DZF","OZF"),"")</f>
        <v/>
      </c>
      <c r="F32" t="str">
        <f>IF($A32&gt;$A$1,"",VLOOKUP($A32,'NHL PBP'!$A:$L,12,FALSE))</f>
        <v>DET ONGOAL - #53 MARCHENKO, Slap, Off. Zone, 61 ft.</v>
      </c>
      <c r="J32">
        <f>IF(EXACT('Entry data'!$C$3,"Road"),IF(ISBLANK(VLOOKUP(A32,'NHL PBP'!A:AH,21,FALSE)),3,IF(ISBLANK(VLOOKUP(A32,'NHL PBP'!A:AH,23,FALSE)),4,5)),IF(ISBLANK(VLOOKUP(A32,'NHL PBP'!A:AH,32,FALSE)),3,IF(ISBLANK(VLOOKUP(A32,'NHL PBP'!A:AH,34,FALSE)),4,5)))</f>
        <v>5</v>
      </c>
      <c r="K32">
        <f>IF(EXACT('Entry data'!$C$3,"Home"),IF(ISBLANK(VLOOKUP(A32,'NHL PBP'!A:AH,21,FALSE)),3,IF(ISBLANK(VLOOKUP(A32,'NHL PBP'!A:AH,23,FALSE)),4,5)),IF(ISBLANK(VLOOKUP(A32,'NHL PBP'!A:AH,32,FALSE)),3,IF(ISBLANK(VLOOKUP(A32,'NHL PBP'!A:AH,34,FALSE)),4,5)))</f>
        <v>5</v>
      </c>
      <c r="L32">
        <f>IF(OR(EXACT(D32,"C"),EXACT(D32,"P"),EXACT(D32,"D"),EXACT(D32,"T"),EXACT(D32,"X"),EXACT(E32,"DZF"),EXACT(E32,"OZF"),EXACT(D32,"N"),EXACT(D32,"F")),1,0)</f>
        <v>0</v>
      </c>
      <c r="M32" t="str">
        <f t="shared" si="0"/>
        <v/>
      </c>
      <c r="N32">
        <f t="shared" si="1"/>
        <v>2</v>
      </c>
      <c r="O32">
        <f t="shared" si="2"/>
        <v>0</v>
      </c>
      <c r="P32" t="str">
        <f t="shared" si="3"/>
        <v/>
      </c>
    </row>
    <row r="33" spans="1:16" x14ac:dyDescent="0.25">
      <c r="A33">
        <v>24</v>
      </c>
      <c r="B33">
        <f>IF($A33&gt;$A$1,"",VLOOKUP($A33,'NHL PBP'!$A:$L,8,FALSE))</f>
        <v>1</v>
      </c>
      <c r="C33">
        <f>IF($A33&gt;$A$1,"",IF(B33&gt;3,5/24,20/24)-VLOOKUP($A33,'NHL PBP'!$A:$L,10,FALSE))</f>
        <v>0.68888888888888888</v>
      </c>
      <c r="D33" t="str">
        <f>IF($A33&gt;$A$1,"",VLOOKUP($A33,'NHL PBP'!$A:$L,11,FALSE))</f>
        <v>SHOT</v>
      </c>
      <c r="E33" t="str">
        <f>IF(AND(EXACT(D33,"FAC"),NOT(EXACT(MID(F33,9,3),"Neu"))),IF(OR(AND(EXACT(MID(F33,9,3),"Off"),EXACT(LEFT(F33,3),UPPER('Entry data'!$C$2))),AND(EXACT(MID(F33,9,3),"Def"),NOT(EXACT(LEFT(F33,3),UPPER('Entry data'!$C$2))))),"DZF","OZF"),"")</f>
        <v/>
      </c>
      <c r="F33" t="str">
        <f>IF($A33&gt;$A$1,"",VLOOKUP($A33,'NHL PBP'!$A:$L,12,FALSE))</f>
        <v>DET ONGOAL - #14 NYQUIST, Wrist, Off. Zone, 13 ft.</v>
      </c>
      <c r="J33">
        <f>IF(EXACT('Entry data'!$C$3,"Road"),IF(ISBLANK(VLOOKUP(A33,'NHL PBP'!A:AH,21,FALSE)),3,IF(ISBLANK(VLOOKUP(A33,'NHL PBP'!A:AH,23,FALSE)),4,5)),IF(ISBLANK(VLOOKUP(A33,'NHL PBP'!A:AH,32,FALSE)),3,IF(ISBLANK(VLOOKUP(A33,'NHL PBP'!A:AH,34,FALSE)),4,5)))</f>
        <v>5</v>
      </c>
      <c r="K33">
        <f>IF(EXACT('Entry data'!$C$3,"Home"),IF(ISBLANK(VLOOKUP(A33,'NHL PBP'!A:AH,21,FALSE)),3,IF(ISBLANK(VLOOKUP(A33,'NHL PBP'!A:AH,23,FALSE)),4,5)),IF(ISBLANK(VLOOKUP(A33,'NHL PBP'!A:AH,32,FALSE)),3,IF(ISBLANK(VLOOKUP(A33,'NHL PBP'!A:AH,34,FALSE)),4,5)))</f>
        <v>5</v>
      </c>
      <c r="L33">
        <f>IF(OR(EXACT(D33,"C"),EXACT(D33,"P"),EXACT(D33,"D"),EXACT(D33,"T"),EXACT(D33,"X"),EXACT(E33,"DZF"),EXACT(E33,"OZF"),EXACT(D33,"N"),EXACT(D33,"F")),1,0)</f>
        <v>0</v>
      </c>
      <c r="M33" t="str">
        <f t="shared" si="0"/>
        <v/>
      </c>
      <c r="N33">
        <f t="shared" si="1"/>
        <v>1</v>
      </c>
      <c r="O33">
        <f t="shared" si="2"/>
        <v>0</v>
      </c>
      <c r="P33" t="str">
        <f t="shared" si="3"/>
        <v/>
      </c>
    </row>
    <row r="34" spans="1:16" x14ac:dyDescent="0.25">
      <c r="A34">
        <v>9</v>
      </c>
      <c r="B34">
        <f>IF(ISBLANK(VLOOKUP($A34,'Entry data'!$A:$K,2,FALSE)),"",VLOOKUP($A34,'Entry data'!$A:$K,2,FALSE))</f>
        <v>1</v>
      </c>
      <c r="C34">
        <f>IF(ISBLANK(VLOOKUP($A34,'Entry data'!$A:$K,3,FALSE)),"",VLOOKUP($A34,'Entry data'!$A:$K,3,FALSE))</f>
        <v>0.68472222222222223</v>
      </c>
      <c r="D34" t="str">
        <f>IF(ISBLANK(VLOOKUP($A34,'Entry data'!$A:$K,4,FALSE)),"",VLOOKUP($A34,'Entry data'!$A:$K,4,FALSE))</f>
        <v>D</v>
      </c>
      <c r="E34" t="str">
        <f>IF(ISBLANK(VLOOKUP($A34,'Entry data'!$A:$K,5,FALSE)),"",VLOOKUP($A34,'Entry data'!$A:$K,5,FALSE))</f>
        <v>9NSH</v>
      </c>
      <c r="F34" t="str">
        <f>IF(ISBLANK(VLOOKUP($A34,'Entry data'!$A:$K,6,FALSE)),"",VLOOKUP($A34,'Entry data'!$A:$K,6,FALSE))</f>
        <v>52DET</v>
      </c>
      <c r="G34" t="str">
        <f>IF(ISBLANK(VLOOKUP($A34,'Entry data'!$A:$K,7,FALSE)),"",VLOOKUP($A34,'Entry data'!$A:$K,7,FALSE))</f>
        <v/>
      </c>
      <c r="H34" t="str">
        <f>IF(ISBLANK(VLOOKUP($A34,'Entry data'!$A:$K,8,FALSE)),"",VLOOKUP($A34,'Entry data'!$A:$K,8,FALSE))</f>
        <v>R</v>
      </c>
      <c r="I34" t="str">
        <f>IF(ISBLANK(VLOOKUP($A34,'Entry data'!$A:$K,9,FALSE)),"",VLOOKUP($A34,'Entry data'!$A:$K,9,FALSE))</f>
        <v>N</v>
      </c>
      <c r="J34">
        <f>IF(ISBLANK(VLOOKUP($A34,'Entry data'!$A:$K,10,FALSE)),"",VLOOKUP($A34,'Entry data'!$A:$K,10,FALSE))</f>
        <v>5</v>
      </c>
      <c r="K34">
        <f>IF(ISBLANK(VLOOKUP($A34,'Entry data'!$A:$K,11,FALSE)),"",VLOOKUP($A34,'Entry data'!$A:$K,11,FALSE))</f>
        <v>5</v>
      </c>
      <c r="L34">
        <f>IF(OR(EXACT(D34,"C"),EXACT(D34,"P"),EXACT(D34,"D"),EXACT(D34,"T"),EXACT(D34,"X"),EXACT(E34,"DZF"),EXACT(E34,"OZF"),EXACT(D34,"N"),EXACT(D34,"F")),1,0)</f>
        <v>1</v>
      </c>
      <c r="M34" t="str">
        <f t="shared" si="0"/>
        <v/>
      </c>
      <c r="N34">
        <f t="shared" si="1"/>
        <v>0</v>
      </c>
      <c r="O34">
        <f t="shared" si="2"/>
        <v>0</v>
      </c>
      <c r="P34" t="str">
        <f t="shared" si="3"/>
        <v/>
      </c>
    </row>
    <row r="35" spans="1:16" x14ac:dyDescent="0.25">
      <c r="A35">
        <v>10</v>
      </c>
      <c r="B35">
        <f>IF(ISBLANK(VLOOKUP($A35,'Entry data'!$A:$K,2,FALSE)),"",VLOOKUP($A35,'Entry data'!$A:$K,2,FALSE))</f>
        <v>1</v>
      </c>
      <c r="C35">
        <f>IF(ISBLANK(VLOOKUP($A35,'Entry data'!$A:$K,3,FALSE)),"",VLOOKUP($A35,'Entry data'!$A:$K,3,FALSE))</f>
        <v>0.67708333333333337</v>
      </c>
      <c r="D35" t="str">
        <f>IF(ISBLANK(VLOOKUP($A35,'Entry data'!$A:$K,4,FALSE)),"",VLOOKUP($A35,'Entry data'!$A:$K,4,FALSE))</f>
        <v>C</v>
      </c>
      <c r="E35" t="str">
        <f>IF(ISBLANK(VLOOKUP($A35,'Entry data'!$A:$K,5,FALSE)),"",VLOOKUP($A35,'Entry data'!$A:$K,5,FALSE))</f>
        <v>51DET</v>
      </c>
      <c r="F35" t="str">
        <f>IF(ISBLANK(VLOOKUP($A35,'Entry data'!$A:$K,6,FALSE)),"",VLOOKUP($A35,'Entry data'!$A:$K,6,FALSE))</f>
        <v>59NSH</v>
      </c>
      <c r="G35" t="str">
        <f>IF(ISBLANK(VLOOKUP($A35,'Entry data'!$A:$K,7,FALSE)),"",VLOOKUP($A35,'Entry data'!$A:$K,7,FALSE))</f>
        <v>Y</v>
      </c>
      <c r="H35" t="str">
        <f>IF(ISBLANK(VLOOKUP($A35,'Entry data'!$A:$K,8,FALSE)),"",VLOOKUP($A35,'Entry data'!$A:$K,8,FALSE))</f>
        <v>C</v>
      </c>
      <c r="I35" t="str">
        <f>IF(ISBLANK(VLOOKUP($A35,'Entry data'!$A:$K,9,FALSE)),"",VLOOKUP($A35,'Entry data'!$A:$K,9,FALSE))</f>
        <v>N</v>
      </c>
      <c r="J35">
        <f>IF(ISBLANK(VLOOKUP($A35,'Entry data'!$A:$K,10,FALSE)),"",VLOOKUP($A35,'Entry data'!$A:$K,10,FALSE))</f>
        <v>5</v>
      </c>
      <c r="K35">
        <f>IF(ISBLANK(VLOOKUP($A35,'Entry data'!$A:$K,11,FALSE)),"",VLOOKUP($A35,'Entry data'!$A:$K,11,FALSE))</f>
        <v>5</v>
      </c>
      <c r="L35">
        <f>IF(OR(EXACT(D35,"C"),EXACT(D35,"P"),EXACT(D35,"D"),EXACT(D35,"T"),EXACT(D35,"X"),EXACT(E35,"DZF"),EXACT(E35,"OZF"),EXACT(D35,"N"),EXACT(D35,"F")),1,0)</f>
        <v>1</v>
      </c>
      <c r="M35" t="str">
        <f t="shared" si="0"/>
        <v>51DET</v>
      </c>
      <c r="N35">
        <f t="shared" si="1"/>
        <v>0</v>
      </c>
      <c r="O35">
        <f t="shared" si="2"/>
        <v>0</v>
      </c>
      <c r="P35" t="str">
        <f t="shared" si="3"/>
        <v/>
      </c>
    </row>
    <row r="36" spans="1:16" x14ac:dyDescent="0.25">
      <c r="A36">
        <v>25</v>
      </c>
      <c r="B36">
        <f>IF($A36&gt;$A$1,"",VLOOKUP($A36,'NHL PBP'!$A:$L,8,FALSE))</f>
        <v>1</v>
      </c>
      <c r="C36">
        <f>IF($A36&gt;$A$1,"",IF(B36&gt;3,5/24,20/24)-VLOOKUP($A36,'NHL PBP'!$A:$L,10,FALSE))</f>
        <v>0.66805555555555562</v>
      </c>
      <c r="D36" t="str">
        <f>IF($A36&gt;$A$1,"",VLOOKUP($A36,'NHL PBP'!$A:$L,11,FALSE))</f>
        <v>STOP</v>
      </c>
      <c r="E36" t="str">
        <f>IF(AND(EXACT(D36,"FAC"),NOT(EXACT(MID(F36,9,3),"Neu"))),IF(OR(AND(EXACT(MID(F36,9,3),"Off"),EXACT(LEFT(F36,3),UPPER('Entry data'!$C$2))),AND(EXACT(MID(F36,9,3),"Def"),NOT(EXACT(LEFT(F36,3),UPPER('Entry data'!$C$2))))),"DZF","OZF"),"")</f>
        <v/>
      </c>
      <c r="F36" t="str">
        <f>IF($A36&gt;$A$1,"",VLOOKUP($A36,'NHL PBP'!$A:$L,12,FALSE))</f>
        <v>OFFSIDE</v>
      </c>
      <c r="J36">
        <f>IF(EXACT('Entry data'!$C$3,"Road"),IF(ISBLANK(VLOOKUP(A36,'NHL PBP'!A:AH,21,FALSE)),3,IF(ISBLANK(VLOOKUP(A36,'NHL PBP'!A:AH,23,FALSE)),4,5)),IF(ISBLANK(VLOOKUP(A36,'NHL PBP'!A:AH,32,FALSE)),3,IF(ISBLANK(VLOOKUP(A36,'NHL PBP'!A:AH,34,FALSE)),4,5)))</f>
        <v>5</v>
      </c>
      <c r="K36">
        <f>IF(EXACT('Entry data'!$C$3,"Home"),IF(ISBLANK(VLOOKUP(A36,'NHL PBP'!A:AH,21,FALSE)),3,IF(ISBLANK(VLOOKUP(A36,'NHL PBP'!A:AH,23,FALSE)),4,5)),IF(ISBLANK(VLOOKUP(A36,'NHL PBP'!A:AH,32,FALSE)),3,IF(ISBLANK(VLOOKUP(A36,'NHL PBP'!A:AH,34,FALSE)),4,5)))</f>
        <v>5</v>
      </c>
      <c r="L36">
        <f>IF(OR(EXACT(D36,"C"),EXACT(D36,"P"),EXACT(D36,"D"),EXACT(D36,"T"),EXACT(D36,"X"),EXACT(E36,"DZF"),EXACT(E36,"OZF"),EXACT(D36,"N"),EXACT(D36,"F")),1,0)</f>
        <v>0</v>
      </c>
      <c r="M36" t="str">
        <f t="shared" si="0"/>
        <v/>
      </c>
      <c r="N36">
        <f t="shared" si="1"/>
        <v>0</v>
      </c>
      <c r="O36">
        <f t="shared" si="2"/>
        <v>0</v>
      </c>
      <c r="P36" t="str">
        <f t="shared" si="3"/>
        <v/>
      </c>
    </row>
    <row r="37" spans="1:16" x14ac:dyDescent="0.25">
      <c r="A37">
        <v>26</v>
      </c>
      <c r="B37">
        <f>IF($A37&gt;$A$1,"",VLOOKUP($A37,'NHL PBP'!$A:$L,8,FALSE))</f>
        <v>1</v>
      </c>
      <c r="C37">
        <f>IF($A37&gt;$A$1,"",IF(B37&gt;3,5/24,20/24)-VLOOKUP($A37,'NHL PBP'!$A:$L,10,FALSE))</f>
        <v>0.66805555555555562</v>
      </c>
      <c r="D37" t="str">
        <f>IF($A37&gt;$A$1,"",VLOOKUP($A37,'NHL PBP'!$A:$L,11,FALSE))</f>
        <v>FAC</v>
      </c>
      <c r="E37" t="str">
        <f>IF(AND(EXACT(D37,"FAC"),NOT(EXACT(MID(F37,9,3),"Neu"))),IF(OR(AND(EXACT(MID(F37,9,3),"Off"),EXACT(LEFT(F37,3),UPPER('Entry data'!$C$2))),AND(EXACT(MID(F37,9,3),"Def"),NOT(EXACT(LEFT(F37,3),UPPER('Entry data'!$C$2))))),"DZF","OZF"),"")</f>
        <v/>
      </c>
      <c r="F37" t="str">
        <f>IF($A37&gt;$A$1,"",VLOOKUP($A37,'NHL PBP'!$A:$L,12,FALSE))</f>
        <v>NSH won Neu. Zone - NSH #12 FISHER vs DET #41 GLENDENING</v>
      </c>
      <c r="J37">
        <f>IF(EXACT('Entry data'!$C$3,"Road"),IF(ISBLANK(VLOOKUP(A37,'NHL PBP'!A:AH,21,FALSE)),3,IF(ISBLANK(VLOOKUP(A37,'NHL PBP'!A:AH,23,FALSE)),4,5)),IF(ISBLANK(VLOOKUP(A37,'NHL PBP'!A:AH,32,FALSE)),3,IF(ISBLANK(VLOOKUP(A37,'NHL PBP'!A:AH,34,FALSE)),4,5)))</f>
        <v>5</v>
      </c>
      <c r="K37">
        <f>IF(EXACT('Entry data'!$C$3,"Home"),IF(ISBLANK(VLOOKUP(A37,'NHL PBP'!A:AH,21,FALSE)),3,IF(ISBLANK(VLOOKUP(A37,'NHL PBP'!A:AH,23,FALSE)),4,5)),IF(ISBLANK(VLOOKUP(A37,'NHL PBP'!A:AH,32,FALSE)),3,IF(ISBLANK(VLOOKUP(A37,'NHL PBP'!A:AH,34,FALSE)),4,5)))</f>
        <v>5</v>
      </c>
      <c r="L37">
        <f>IF(OR(EXACT(D37,"C"),EXACT(D37,"P"),EXACT(D37,"D"),EXACT(D37,"T"),EXACT(D37,"X"),EXACT(E37,"DZF"),EXACT(E37,"OZF"),EXACT(D37,"N"),EXACT(D37,"F")),1,0)</f>
        <v>0</v>
      </c>
      <c r="M37" t="str">
        <f t="shared" si="0"/>
        <v/>
      </c>
      <c r="N37">
        <f t="shared" si="1"/>
        <v>0</v>
      </c>
      <c r="O37">
        <f t="shared" si="2"/>
        <v>0</v>
      </c>
      <c r="P37" t="str">
        <f t="shared" si="3"/>
        <v/>
      </c>
    </row>
    <row r="38" spans="1:16" x14ac:dyDescent="0.25">
      <c r="A38">
        <v>11</v>
      </c>
      <c r="B38">
        <f>IF(ISBLANK(VLOOKUP($A38,'Entry data'!$A:$K,2,FALSE)),"",VLOOKUP($A38,'Entry data'!$A:$K,2,FALSE))</f>
        <v>1</v>
      </c>
      <c r="C38">
        <f>IF(ISBLANK(VLOOKUP($A38,'Entry data'!$A:$K,3,FALSE)),"",VLOOKUP($A38,'Entry data'!$A:$K,3,FALSE))</f>
        <v>0.66527777777777775</v>
      </c>
      <c r="D38" t="str">
        <f>IF(ISBLANK(VLOOKUP($A38,'Entry data'!$A:$K,4,FALSE)),"",VLOOKUP($A38,'Entry data'!$A:$K,4,FALSE))</f>
        <v>C</v>
      </c>
      <c r="E38" t="str">
        <f>IF(ISBLANK(VLOOKUP($A38,'Entry data'!$A:$K,5,FALSE)),"",VLOOKUP($A38,'Entry data'!$A:$K,5,FALSE))</f>
        <v>38NSH</v>
      </c>
      <c r="F38" t="str">
        <f>IF(ISBLANK(VLOOKUP($A38,'Entry data'!$A:$K,6,FALSE)),"",VLOOKUP($A38,'Entry data'!$A:$K,6,FALSE))</f>
        <v>2DET</v>
      </c>
      <c r="G38" t="str">
        <f>IF(ISBLANK(VLOOKUP($A38,'Entry data'!$A:$K,7,FALSE)),"",VLOOKUP($A38,'Entry data'!$A:$K,7,FALSE))</f>
        <v>N</v>
      </c>
      <c r="H38" t="str">
        <f>IF(ISBLANK(VLOOKUP($A38,'Entry data'!$A:$K,8,FALSE)),"",VLOOKUP($A38,'Entry data'!$A:$K,8,FALSE))</f>
        <v>R</v>
      </c>
      <c r="I38" t="str">
        <f>IF(ISBLANK(VLOOKUP($A38,'Entry data'!$A:$K,9,FALSE)),"",VLOOKUP($A38,'Entry data'!$A:$K,9,FALSE))</f>
        <v>N</v>
      </c>
      <c r="J38">
        <f>IF(ISBLANK(VLOOKUP($A38,'Entry data'!$A:$K,10,FALSE)),"",VLOOKUP($A38,'Entry data'!$A:$K,10,FALSE))</f>
        <v>5</v>
      </c>
      <c r="K38">
        <f>IF(ISBLANK(VLOOKUP($A38,'Entry data'!$A:$K,11,FALSE)),"",VLOOKUP($A38,'Entry data'!$A:$K,11,FALSE))</f>
        <v>5</v>
      </c>
      <c r="L38">
        <f>IF(OR(EXACT(D38,"C"),EXACT(D38,"P"),EXACT(D38,"D"),EXACT(D38,"T"),EXACT(D38,"X"),EXACT(E38,"DZF"),EXACT(E38,"OZF"),EXACT(D38,"N"),EXACT(D38,"F")),1,0)</f>
        <v>1</v>
      </c>
      <c r="M38" t="str">
        <f t="shared" si="0"/>
        <v>38NSH</v>
      </c>
      <c r="N38">
        <f t="shared" si="1"/>
        <v>1</v>
      </c>
      <c r="O38">
        <f t="shared" si="2"/>
        <v>0</v>
      </c>
      <c r="P38" t="str">
        <f t="shared" si="3"/>
        <v/>
      </c>
    </row>
    <row r="39" spans="1:16" x14ac:dyDescent="0.25">
      <c r="A39">
        <v>27</v>
      </c>
      <c r="B39">
        <f>IF($A39&gt;$A$1,"",VLOOKUP($A39,'NHL PBP'!$A:$L,8,FALSE))</f>
        <v>1</v>
      </c>
      <c r="C39">
        <f>IF($A39&gt;$A$1,"",IF(B39&gt;3,5/24,20/24)-VLOOKUP($A39,'NHL PBP'!$A:$L,10,FALSE))</f>
        <v>0.66319444444444453</v>
      </c>
      <c r="D39" t="str">
        <f>IF($A39&gt;$A$1,"",VLOOKUP($A39,'NHL PBP'!$A:$L,11,FALSE))</f>
        <v>SHOT</v>
      </c>
      <c r="E39" t="str">
        <f>IF(AND(EXACT(D39,"FAC"),NOT(EXACT(MID(F39,9,3),"Neu"))),IF(OR(AND(EXACT(MID(F39,9,3),"Off"),EXACT(LEFT(F39,3),UPPER('Entry data'!$C$2))),AND(EXACT(MID(F39,9,3),"Def"),NOT(EXACT(LEFT(F39,3),UPPER('Entry data'!$C$2))))),"DZF","OZF"),"")</f>
        <v/>
      </c>
      <c r="F39" t="str">
        <f>IF($A39&gt;$A$1,"",VLOOKUP($A39,'NHL PBP'!$A:$L,12,FALSE))</f>
        <v>NSH ONGOAL - #38 ARVIDSSON, Slap, Off. Zone, 47 ft.</v>
      </c>
      <c r="J39">
        <f>IF(EXACT('Entry data'!$C$3,"Road"),IF(ISBLANK(VLOOKUP(A39,'NHL PBP'!A:AH,21,FALSE)),3,IF(ISBLANK(VLOOKUP(A39,'NHL PBP'!A:AH,23,FALSE)),4,5)),IF(ISBLANK(VLOOKUP(A39,'NHL PBP'!A:AH,32,FALSE)),3,IF(ISBLANK(VLOOKUP(A39,'NHL PBP'!A:AH,34,FALSE)),4,5)))</f>
        <v>5</v>
      </c>
      <c r="K39">
        <f>IF(EXACT('Entry data'!$C$3,"Home"),IF(ISBLANK(VLOOKUP(A39,'NHL PBP'!A:AH,21,FALSE)),3,IF(ISBLANK(VLOOKUP(A39,'NHL PBP'!A:AH,23,FALSE)),4,5)),IF(ISBLANK(VLOOKUP(A39,'NHL PBP'!A:AH,32,FALSE)),3,IF(ISBLANK(VLOOKUP(A39,'NHL PBP'!A:AH,34,FALSE)),4,5)))</f>
        <v>5</v>
      </c>
      <c r="L39">
        <f>IF(OR(EXACT(D39,"C"),EXACT(D39,"P"),EXACT(D39,"D"),EXACT(D39,"T"),EXACT(D39,"X"),EXACT(E39,"DZF"),EXACT(E39,"OZF"),EXACT(D39,"N"),EXACT(D39,"F")),1,0)</f>
        <v>0</v>
      </c>
      <c r="M39" t="str">
        <f t="shared" si="0"/>
        <v/>
      </c>
      <c r="N39">
        <f t="shared" si="1"/>
        <v>1</v>
      </c>
      <c r="O39">
        <f t="shared" si="2"/>
        <v>0</v>
      </c>
      <c r="P39" t="str">
        <f t="shared" si="3"/>
        <v/>
      </c>
    </row>
    <row r="40" spans="1:16" x14ac:dyDescent="0.25">
      <c r="A40">
        <v>28</v>
      </c>
      <c r="B40">
        <f>IF($A40&gt;$A$1,"",VLOOKUP($A40,'NHL PBP'!$A:$L,8,FALSE))</f>
        <v>1</v>
      </c>
      <c r="C40">
        <f>IF($A40&gt;$A$1,"",IF(B40&gt;3,5/24,20/24)-VLOOKUP($A40,'NHL PBP'!$A:$L,10,FALSE))</f>
        <v>0.65625</v>
      </c>
      <c r="D40" t="str">
        <f>IF($A40&gt;$A$1,"",VLOOKUP($A40,'NHL PBP'!$A:$L,11,FALSE))</f>
        <v>STOP</v>
      </c>
      <c r="E40" t="str">
        <f>IF(AND(EXACT(D40,"FAC"),NOT(EXACT(MID(F40,9,3),"Neu"))),IF(OR(AND(EXACT(MID(F40,9,3),"Off"),EXACT(LEFT(F40,3),UPPER('Entry data'!$C$2))),AND(EXACT(MID(F40,9,3),"Def"),NOT(EXACT(LEFT(F40,3),UPPER('Entry data'!$C$2))))),"DZF","OZF"),"")</f>
        <v/>
      </c>
      <c r="F40" t="str">
        <f>IF($A40&gt;$A$1,"",VLOOKUP($A40,'NHL PBP'!$A:$L,12,FALSE))</f>
        <v>ICING</v>
      </c>
      <c r="J40">
        <f>IF(EXACT('Entry data'!$C$3,"Road"),IF(ISBLANK(VLOOKUP(A40,'NHL PBP'!A:AH,21,FALSE)),3,IF(ISBLANK(VLOOKUP(A40,'NHL PBP'!A:AH,23,FALSE)),4,5)),IF(ISBLANK(VLOOKUP(A40,'NHL PBP'!A:AH,32,FALSE)),3,IF(ISBLANK(VLOOKUP(A40,'NHL PBP'!A:AH,34,FALSE)),4,5)))</f>
        <v>5</v>
      </c>
      <c r="K40">
        <f>IF(EXACT('Entry data'!$C$3,"Home"),IF(ISBLANK(VLOOKUP(A40,'NHL PBP'!A:AH,21,FALSE)),3,IF(ISBLANK(VLOOKUP(A40,'NHL PBP'!A:AH,23,FALSE)),4,5)),IF(ISBLANK(VLOOKUP(A40,'NHL PBP'!A:AH,32,FALSE)),3,IF(ISBLANK(VLOOKUP(A40,'NHL PBP'!A:AH,34,FALSE)),4,5)))</f>
        <v>5</v>
      </c>
      <c r="L40">
        <f>IF(OR(EXACT(D40,"C"),EXACT(D40,"P"),EXACT(D40,"D"),EXACT(D40,"T"),EXACT(D40,"X"),EXACT(E40,"DZF"),EXACT(E40,"OZF"),EXACT(D40,"N"),EXACT(D40,"F")),1,0)</f>
        <v>0</v>
      </c>
      <c r="M40" t="str">
        <f t="shared" si="0"/>
        <v/>
      </c>
      <c r="N40">
        <f t="shared" si="1"/>
        <v>0</v>
      </c>
      <c r="O40">
        <f t="shared" si="2"/>
        <v>0</v>
      </c>
      <c r="P40" t="str">
        <f t="shared" si="3"/>
        <v/>
      </c>
    </row>
    <row r="41" spans="1:16" x14ac:dyDescent="0.25">
      <c r="A41">
        <v>29</v>
      </c>
      <c r="B41">
        <f>IF($A41&gt;$A$1,"",VLOOKUP($A41,'NHL PBP'!$A:$L,8,FALSE))</f>
        <v>1</v>
      </c>
      <c r="C41">
        <f>IF($A41&gt;$A$1,"",IF(B41&gt;3,5/24,20/24)-VLOOKUP($A41,'NHL PBP'!$A:$L,10,FALSE))</f>
        <v>0.65625</v>
      </c>
      <c r="D41" t="str">
        <f>IF($A41&gt;$A$1,"",VLOOKUP($A41,'NHL PBP'!$A:$L,11,FALSE))</f>
        <v>FAC</v>
      </c>
      <c r="E41" t="str">
        <f>IF(AND(EXACT(D41,"FAC"),NOT(EXACT(MID(F41,9,3),"Neu"))),IF(OR(AND(EXACT(MID(F41,9,3),"Off"),EXACT(LEFT(F41,3),UPPER('Entry data'!$C$2))),AND(EXACT(MID(F41,9,3),"Def"),NOT(EXACT(LEFT(F41,3),UPPER('Entry data'!$C$2))))),"DZF","OZF"),"")</f>
        <v>DZF</v>
      </c>
      <c r="F41" t="str">
        <f>IF($A41&gt;$A$1,"",VLOOKUP($A41,'NHL PBP'!$A:$L,12,FALSE))</f>
        <v>DET won Def. Zone - NSH #92 JOHANSEN vs DET #41 GLENDENING</v>
      </c>
      <c r="J41">
        <f>IF(EXACT('Entry data'!$C$3,"Road"),IF(ISBLANK(VLOOKUP(A41,'NHL PBP'!A:AH,21,FALSE)),3,IF(ISBLANK(VLOOKUP(A41,'NHL PBP'!A:AH,23,FALSE)),4,5)),IF(ISBLANK(VLOOKUP(A41,'NHL PBP'!A:AH,32,FALSE)),3,IF(ISBLANK(VLOOKUP(A41,'NHL PBP'!A:AH,34,FALSE)),4,5)))</f>
        <v>5</v>
      </c>
      <c r="K41">
        <f>IF(EXACT('Entry data'!$C$3,"Home"),IF(ISBLANK(VLOOKUP(A41,'NHL PBP'!A:AH,21,FALSE)),3,IF(ISBLANK(VLOOKUP(A41,'NHL PBP'!A:AH,23,FALSE)),4,5)),IF(ISBLANK(VLOOKUP(A41,'NHL PBP'!A:AH,32,FALSE)),3,IF(ISBLANK(VLOOKUP(A41,'NHL PBP'!A:AH,34,FALSE)),4,5)))</f>
        <v>5</v>
      </c>
      <c r="L41">
        <f>IF(OR(EXACT(D41,"C"),EXACT(D41,"P"),EXACT(D41,"D"),EXACT(D41,"T"),EXACT(D41,"X"),EXACT(E41,"DZF"),EXACT(E41,"OZF"),EXACT(D41,"N"),EXACT(D41,"F")),1,0)</f>
        <v>1</v>
      </c>
      <c r="M41" t="str">
        <f t="shared" si="0"/>
        <v/>
      </c>
      <c r="N41">
        <f t="shared" si="1"/>
        <v>0</v>
      </c>
      <c r="O41">
        <f t="shared" si="2"/>
        <v>0</v>
      </c>
      <c r="P41" t="str">
        <f t="shared" si="3"/>
        <v/>
      </c>
    </row>
    <row r="42" spans="1:16" x14ac:dyDescent="0.25">
      <c r="A42">
        <v>30</v>
      </c>
      <c r="B42">
        <f>IF($A42&gt;$A$1,"",VLOOKUP($A42,'NHL PBP'!$A:$L,8,FALSE))</f>
        <v>1</v>
      </c>
      <c r="C42">
        <f>IF($A42&gt;$A$1,"",IF(B42&gt;3,5/24,20/24)-VLOOKUP($A42,'NHL PBP'!$A:$L,10,FALSE))</f>
        <v>0.65138888888888891</v>
      </c>
      <c r="D42" t="str">
        <f>IF($A42&gt;$A$1,"",VLOOKUP($A42,'NHL PBP'!$A:$L,11,FALSE))</f>
        <v>STOP</v>
      </c>
      <c r="E42" t="str">
        <f>IF(AND(EXACT(D42,"FAC"),NOT(EXACT(MID(F42,9,3),"Neu"))),IF(OR(AND(EXACT(MID(F42,9,3),"Off"),EXACT(LEFT(F42,3),UPPER('Entry data'!$C$2))),AND(EXACT(MID(F42,9,3),"Def"),NOT(EXACT(LEFT(F42,3),UPPER('Entry data'!$C$2))))),"DZF","OZF"),"")</f>
        <v/>
      </c>
      <c r="F42" t="str">
        <f>IF($A42&gt;$A$1,"",VLOOKUP($A42,'NHL PBP'!$A:$L,12,FALSE))</f>
        <v>ICING</v>
      </c>
      <c r="J42">
        <f>IF(EXACT('Entry data'!$C$3,"Road"),IF(ISBLANK(VLOOKUP(A42,'NHL PBP'!A:AH,21,FALSE)),3,IF(ISBLANK(VLOOKUP(A42,'NHL PBP'!A:AH,23,FALSE)),4,5)),IF(ISBLANK(VLOOKUP(A42,'NHL PBP'!A:AH,32,FALSE)),3,IF(ISBLANK(VLOOKUP(A42,'NHL PBP'!A:AH,34,FALSE)),4,5)))</f>
        <v>5</v>
      </c>
      <c r="K42">
        <f>IF(EXACT('Entry data'!$C$3,"Home"),IF(ISBLANK(VLOOKUP(A42,'NHL PBP'!A:AH,21,FALSE)),3,IF(ISBLANK(VLOOKUP(A42,'NHL PBP'!A:AH,23,FALSE)),4,5)),IF(ISBLANK(VLOOKUP(A42,'NHL PBP'!A:AH,32,FALSE)),3,IF(ISBLANK(VLOOKUP(A42,'NHL PBP'!A:AH,34,FALSE)),4,5)))</f>
        <v>5</v>
      </c>
      <c r="L42">
        <f>IF(OR(EXACT(D42,"C"),EXACT(D42,"P"),EXACT(D42,"D"),EXACT(D42,"T"),EXACT(D42,"X"),EXACT(E42,"DZF"),EXACT(E42,"OZF"),EXACT(D42,"N"),EXACT(D42,"F")),1,0)</f>
        <v>0</v>
      </c>
      <c r="M42" t="str">
        <f t="shared" si="0"/>
        <v/>
      </c>
      <c r="N42">
        <f t="shared" si="1"/>
        <v>0</v>
      </c>
      <c r="O42">
        <f t="shared" si="2"/>
        <v>0</v>
      </c>
      <c r="P42" t="str">
        <f t="shared" si="3"/>
        <v/>
      </c>
    </row>
    <row r="43" spans="1:16" x14ac:dyDescent="0.25">
      <c r="A43">
        <v>31</v>
      </c>
      <c r="B43">
        <f>IF($A43&gt;$A$1,"",VLOOKUP($A43,'NHL PBP'!$A:$L,8,FALSE))</f>
        <v>1</v>
      </c>
      <c r="C43">
        <f>IF($A43&gt;$A$1,"",IF(B43&gt;3,5/24,20/24)-VLOOKUP($A43,'NHL PBP'!$A:$L,10,FALSE))</f>
        <v>0.65138888888888891</v>
      </c>
      <c r="D43" t="str">
        <f>IF($A43&gt;$A$1,"",VLOOKUP($A43,'NHL PBP'!$A:$L,11,FALSE))</f>
        <v>FAC</v>
      </c>
      <c r="E43" t="str">
        <f>IF(AND(EXACT(D43,"FAC"),NOT(EXACT(MID(F43,9,3),"Neu"))),IF(OR(AND(EXACT(MID(F43,9,3),"Off"),EXACT(LEFT(F43,3),UPPER('Entry data'!$C$2))),AND(EXACT(MID(F43,9,3),"Def"),NOT(EXACT(LEFT(F43,3),UPPER('Entry data'!$C$2))))),"DZF","OZF"),"")</f>
        <v>DZF</v>
      </c>
      <c r="F43" t="str">
        <f>IF($A43&gt;$A$1,"",VLOOKUP($A43,'NHL PBP'!$A:$L,12,FALSE))</f>
        <v>DET won Def. Zone - NSH #92 JOHANSEN vs DET #29 OTT</v>
      </c>
      <c r="J43">
        <f>IF(EXACT('Entry data'!$C$3,"Road"),IF(ISBLANK(VLOOKUP(A43,'NHL PBP'!A:AH,21,FALSE)),3,IF(ISBLANK(VLOOKUP(A43,'NHL PBP'!A:AH,23,FALSE)),4,5)),IF(ISBLANK(VLOOKUP(A43,'NHL PBP'!A:AH,32,FALSE)),3,IF(ISBLANK(VLOOKUP(A43,'NHL PBP'!A:AH,34,FALSE)),4,5)))</f>
        <v>5</v>
      </c>
      <c r="K43">
        <f>IF(EXACT('Entry data'!$C$3,"Home"),IF(ISBLANK(VLOOKUP(A43,'NHL PBP'!A:AH,21,FALSE)),3,IF(ISBLANK(VLOOKUP(A43,'NHL PBP'!A:AH,23,FALSE)),4,5)),IF(ISBLANK(VLOOKUP(A43,'NHL PBP'!A:AH,32,FALSE)),3,IF(ISBLANK(VLOOKUP(A43,'NHL PBP'!A:AH,34,FALSE)),4,5)))</f>
        <v>5</v>
      </c>
      <c r="L43">
        <f>IF(OR(EXACT(D43,"C"),EXACT(D43,"P"),EXACT(D43,"D"),EXACT(D43,"T"),EXACT(D43,"X"),EXACT(E43,"DZF"),EXACT(E43,"OZF"),EXACT(D43,"N"),EXACT(D43,"F")),1,0)</f>
        <v>1</v>
      </c>
      <c r="M43" t="str">
        <f t="shared" si="0"/>
        <v/>
      </c>
      <c r="N43">
        <f t="shared" si="1"/>
        <v>1</v>
      </c>
      <c r="O43">
        <f t="shared" si="2"/>
        <v>0</v>
      </c>
      <c r="P43" t="str">
        <f t="shared" si="3"/>
        <v/>
      </c>
    </row>
    <row r="44" spans="1:16" x14ac:dyDescent="0.25">
      <c r="A44">
        <v>32</v>
      </c>
      <c r="B44">
        <f>IF($A44&gt;$A$1,"",VLOOKUP($A44,'NHL PBP'!$A:$L,8,FALSE))</f>
        <v>1</v>
      </c>
      <c r="C44">
        <f>IF($A44&gt;$A$1,"",IF(B44&gt;3,5/24,20/24)-VLOOKUP($A44,'NHL PBP'!$A:$L,10,FALSE))</f>
        <v>0.64236111111111116</v>
      </c>
      <c r="D44" t="str">
        <f>IF($A44&gt;$A$1,"",VLOOKUP($A44,'NHL PBP'!$A:$L,11,FALSE))</f>
        <v>SHOT</v>
      </c>
      <c r="E44" t="str">
        <f>IF(AND(EXACT(D44,"FAC"),NOT(EXACT(MID(F44,9,3),"Neu"))),IF(OR(AND(EXACT(MID(F44,9,3),"Off"),EXACT(LEFT(F44,3),UPPER('Entry data'!$C$2))),AND(EXACT(MID(F44,9,3),"Def"),NOT(EXACT(LEFT(F44,3),UPPER('Entry data'!$C$2))))),"DZF","OZF"),"")</f>
        <v/>
      </c>
      <c r="F44" t="str">
        <f>IF($A44&gt;$A$1,"",VLOOKUP($A44,'NHL PBP'!$A:$L,12,FALSE))</f>
        <v>NSH ONGOAL - #59 JOSI, Snap, Off. Zone, 32 ft.</v>
      </c>
      <c r="J44">
        <f>IF(EXACT('Entry data'!$C$3,"Road"),IF(ISBLANK(VLOOKUP(A44,'NHL PBP'!A:AH,21,FALSE)),3,IF(ISBLANK(VLOOKUP(A44,'NHL PBP'!A:AH,23,FALSE)),4,5)),IF(ISBLANK(VLOOKUP(A44,'NHL PBP'!A:AH,32,FALSE)),3,IF(ISBLANK(VLOOKUP(A44,'NHL PBP'!A:AH,34,FALSE)),4,5)))</f>
        <v>5</v>
      </c>
      <c r="K44">
        <f>IF(EXACT('Entry data'!$C$3,"Home"),IF(ISBLANK(VLOOKUP(A44,'NHL PBP'!A:AH,21,FALSE)),3,IF(ISBLANK(VLOOKUP(A44,'NHL PBP'!A:AH,23,FALSE)),4,5)),IF(ISBLANK(VLOOKUP(A44,'NHL PBP'!A:AH,32,FALSE)),3,IF(ISBLANK(VLOOKUP(A44,'NHL PBP'!A:AH,34,FALSE)),4,5)))</f>
        <v>5</v>
      </c>
      <c r="L44">
        <f>IF(OR(EXACT(D44,"C"),EXACT(D44,"P"),EXACT(D44,"D"),EXACT(D44,"T"),EXACT(D44,"X"),EXACT(E44,"DZF"),EXACT(E44,"OZF"),EXACT(D44,"N"),EXACT(D44,"F")),1,0)</f>
        <v>0</v>
      </c>
      <c r="M44" t="str">
        <f t="shared" si="0"/>
        <v/>
      </c>
      <c r="N44">
        <f t="shared" si="1"/>
        <v>1</v>
      </c>
      <c r="O44">
        <f t="shared" si="2"/>
        <v>0</v>
      </c>
      <c r="P44" t="str">
        <f t="shared" si="3"/>
        <v/>
      </c>
    </row>
    <row r="45" spans="1:16" x14ac:dyDescent="0.25">
      <c r="A45">
        <v>33</v>
      </c>
      <c r="B45">
        <f>IF($A45&gt;$A$1,"",VLOOKUP($A45,'NHL PBP'!$A:$L,8,FALSE))</f>
        <v>1</v>
      </c>
      <c r="C45">
        <f>IF($A45&gt;$A$1,"",IF(B45&gt;3,5/24,20/24)-VLOOKUP($A45,'NHL PBP'!$A:$L,10,FALSE))</f>
        <v>0.6347222222222223</v>
      </c>
      <c r="D45" t="str">
        <f>IF($A45&gt;$A$1,"",VLOOKUP($A45,'NHL PBP'!$A:$L,11,FALSE))</f>
        <v>TAKE</v>
      </c>
      <c r="E45" t="str">
        <f>IF(AND(EXACT(D45,"FAC"),NOT(EXACT(MID(F45,9,3),"Neu"))),IF(OR(AND(EXACT(MID(F45,9,3),"Off"),EXACT(LEFT(F45,3),UPPER('Entry data'!$C$2))),AND(EXACT(MID(F45,9,3),"Def"),NOT(EXACT(LEFT(F45,3),UPPER('Entry data'!$C$2))))),"DZF","OZF"),"")</f>
        <v/>
      </c>
      <c r="F45" t="str">
        <f>IF($A45&gt;$A$1,"",VLOOKUP($A45,'NHL PBP'!$A:$L,12,FALSE))</f>
        <v>DET TAKEAWAY - #20 MILLER, Def. Zone</v>
      </c>
      <c r="J45">
        <f>IF(EXACT('Entry data'!$C$3,"Road"),IF(ISBLANK(VLOOKUP(A45,'NHL PBP'!A:AH,21,FALSE)),3,IF(ISBLANK(VLOOKUP(A45,'NHL PBP'!A:AH,23,FALSE)),4,5)),IF(ISBLANK(VLOOKUP(A45,'NHL PBP'!A:AH,32,FALSE)),3,IF(ISBLANK(VLOOKUP(A45,'NHL PBP'!A:AH,34,FALSE)),4,5)))</f>
        <v>5</v>
      </c>
      <c r="K45">
        <f>IF(EXACT('Entry data'!$C$3,"Home"),IF(ISBLANK(VLOOKUP(A45,'NHL PBP'!A:AH,21,FALSE)),3,IF(ISBLANK(VLOOKUP(A45,'NHL PBP'!A:AH,23,FALSE)),4,5)),IF(ISBLANK(VLOOKUP(A45,'NHL PBP'!A:AH,32,FALSE)),3,IF(ISBLANK(VLOOKUP(A45,'NHL PBP'!A:AH,34,FALSE)),4,5)))</f>
        <v>5</v>
      </c>
      <c r="L45">
        <f>IF(OR(EXACT(D45,"C"),EXACT(D45,"P"),EXACT(D45,"D"),EXACT(D45,"T"),EXACT(D45,"X"),EXACT(E45,"DZF"),EXACT(E45,"OZF"),EXACT(D45,"N"),EXACT(D45,"F")),1,0)</f>
        <v>0</v>
      </c>
      <c r="M45" t="str">
        <f t="shared" si="0"/>
        <v/>
      </c>
      <c r="N45">
        <f t="shared" si="1"/>
        <v>0</v>
      </c>
      <c r="O45">
        <f t="shared" si="2"/>
        <v>0</v>
      </c>
      <c r="P45" t="str">
        <f t="shared" si="3"/>
        <v/>
      </c>
    </row>
    <row r="46" spans="1:16" x14ac:dyDescent="0.25">
      <c r="A46">
        <v>34</v>
      </c>
      <c r="B46">
        <f>IF($A46&gt;$A$1,"",VLOOKUP($A46,'NHL PBP'!$A:$L,8,FALSE))</f>
        <v>1</v>
      </c>
      <c r="C46">
        <f>IF($A46&gt;$A$1,"",IF(B46&gt;3,5/24,20/24)-VLOOKUP($A46,'NHL PBP'!$A:$L,10,FALSE))</f>
        <v>0.63055555555555554</v>
      </c>
      <c r="D46" t="str">
        <f>IF($A46&gt;$A$1,"",VLOOKUP($A46,'NHL PBP'!$A:$L,11,FALSE))</f>
        <v>STOP</v>
      </c>
      <c r="E46" t="str">
        <f>IF(AND(EXACT(D46,"FAC"),NOT(EXACT(MID(F46,9,3),"Neu"))),IF(OR(AND(EXACT(MID(F46,9,3),"Off"),EXACT(LEFT(F46,3),UPPER('Entry data'!$C$2))),AND(EXACT(MID(F46,9,3),"Def"),NOT(EXACT(LEFT(F46,3),UPPER('Entry data'!$C$2))))),"DZF","OZF"),"")</f>
        <v/>
      </c>
      <c r="F46" t="str">
        <f>IF($A46&gt;$A$1,"",VLOOKUP($A46,'NHL PBP'!$A:$L,12,FALSE))</f>
        <v>OFFSIDE</v>
      </c>
      <c r="J46">
        <f>IF(EXACT('Entry data'!$C$3,"Road"),IF(ISBLANK(VLOOKUP(A46,'NHL PBP'!A:AH,21,FALSE)),3,IF(ISBLANK(VLOOKUP(A46,'NHL PBP'!A:AH,23,FALSE)),4,5)),IF(ISBLANK(VLOOKUP(A46,'NHL PBP'!A:AH,32,FALSE)),3,IF(ISBLANK(VLOOKUP(A46,'NHL PBP'!A:AH,34,FALSE)),4,5)))</f>
        <v>5</v>
      </c>
      <c r="K46">
        <f>IF(EXACT('Entry data'!$C$3,"Home"),IF(ISBLANK(VLOOKUP(A46,'NHL PBP'!A:AH,21,FALSE)),3,IF(ISBLANK(VLOOKUP(A46,'NHL PBP'!A:AH,23,FALSE)),4,5)),IF(ISBLANK(VLOOKUP(A46,'NHL PBP'!A:AH,32,FALSE)),3,IF(ISBLANK(VLOOKUP(A46,'NHL PBP'!A:AH,34,FALSE)),4,5)))</f>
        <v>5</v>
      </c>
      <c r="L46">
        <f>IF(OR(EXACT(D46,"C"),EXACT(D46,"P"),EXACT(D46,"D"),EXACT(D46,"T"),EXACT(D46,"X"),EXACT(E46,"DZF"),EXACT(E46,"OZF"),EXACT(D46,"N"),EXACT(D46,"F")),1,0)</f>
        <v>0</v>
      </c>
      <c r="M46" t="str">
        <f t="shared" si="0"/>
        <v/>
      </c>
      <c r="N46">
        <f t="shared" si="1"/>
        <v>0</v>
      </c>
      <c r="O46">
        <f t="shared" si="2"/>
        <v>0</v>
      </c>
      <c r="P46" t="str">
        <f t="shared" si="3"/>
        <v/>
      </c>
    </row>
    <row r="47" spans="1:16" x14ac:dyDescent="0.25">
      <c r="A47">
        <v>35</v>
      </c>
      <c r="B47">
        <f>IF($A47&gt;$A$1,"",VLOOKUP($A47,'NHL PBP'!$A:$L,8,FALSE))</f>
        <v>1</v>
      </c>
      <c r="C47">
        <f>IF($A47&gt;$A$1,"",IF(B47&gt;3,5/24,20/24)-VLOOKUP($A47,'NHL PBP'!$A:$L,10,FALSE))</f>
        <v>0.63055555555555554</v>
      </c>
      <c r="D47" t="str">
        <f>IF($A47&gt;$A$1,"",VLOOKUP($A47,'NHL PBP'!$A:$L,11,FALSE))</f>
        <v>FAC</v>
      </c>
      <c r="E47" t="str">
        <f>IF(AND(EXACT(D47,"FAC"),NOT(EXACT(MID(F47,9,3),"Neu"))),IF(OR(AND(EXACT(MID(F47,9,3),"Off"),EXACT(LEFT(F47,3),UPPER('Entry data'!$C$2))),AND(EXACT(MID(F47,9,3),"Def"),NOT(EXACT(LEFT(F47,3),UPPER('Entry data'!$C$2))))),"DZF","OZF"),"")</f>
        <v/>
      </c>
      <c r="F47" t="str">
        <f>IF($A47&gt;$A$1,"",VLOOKUP($A47,'NHL PBP'!$A:$L,12,FALSE))</f>
        <v>DET won Neu. Zone - NSH #12 FISHER vs DET #40 ZETTERBERG</v>
      </c>
      <c r="J47">
        <f>IF(EXACT('Entry data'!$C$3,"Road"),IF(ISBLANK(VLOOKUP(A47,'NHL PBP'!A:AH,21,FALSE)),3,IF(ISBLANK(VLOOKUP(A47,'NHL PBP'!A:AH,23,FALSE)),4,5)),IF(ISBLANK(VLOOKUP(A47,'NHL PBP'!A:AH,32,FALSE)),3,IF(ISBLANK(VLOOKUP(A47,'NHL PBP'!A:AH,34,FALSE)),4,5)))</f>
        <v>5</v>
      </c>
      <c r="K47">
        <f>IF(EXACT('Entry data'!$C$3,"Home"),IF(ISBLANK(VLOOKUP(A47,'NHL PBP'!A:AH,21,FALSE)),3,IF(ISBLANK(VLOOKUP(A47,'NHL PBP'!A:AH,23,FALSE)),4,5)),IF(ISBLANK(VLOOKUP(A47,'NHL PBP'!A:AH,32,FALSE)),3,IF(ISBLANK(VLOOKUP(A47,'NHL PBP'!A:AH,34,FALSE)),4,5)))</f>
        <v>5</v>
      </c>
      <c r="L47">
        <f>IF(OR(EXACT(D47,"C"),EXACT(D47,"P"),EXACT(D47,"D"),EXACT(D47,"T"),EXACT(D47,"X"),EXACT(E47,"DZF"),EXACT(E47,"OZF"),EXACT(D47,"N"),EXACT(D47,"F")),1,0)</f>
        <v>0</v>
      </c>
      <c r="M47" t="str">
        <f t="shared" si="0"/>
        <v/>
      </c>
      <c r="N47">
        <f t="shared" si="1"/>
        <v>0</v>
      </c>
      <c r="O47">
        <f t="shared" si="2"/>
        <v>0</v>
      </c>
      <c r="P47" t="str">
        <f t="shared" si="3"/>
        <v/>
      </c>
    </row>
    <row r="48" spans="1:16" x14ac:dyDescent="0.25">
      <c r="A48">
        <v>12</v>
      </c>
      <c r="B48">
        <f>IF(ISBLANK(VLOOKUP($A48,'Entry data'!$A:$K,2,FALSE)),"",VLOOKUP($A48,'Entry data'!$A:$K,2,FALSE))</f>
        <v>1</v>
      </c>
      <c r="C48">
        <f>IF(ISBLANK(VLOOKUP($A48,'Entry data'!$A:$K,3,FALSE)),"",VLOOKUP($A48,'Entry data'!$A:$K,3,FALSE))</f>
        <v>0.62708333333333333</v>
      </c>
      <c r="D48" t="str">
        <f>IF(ISBLANK(VLOOKUP($A48,'Entry data'!$A:$K,4,FALSE)),"",VLOOKUP($A48,'Entry data'!$A:$K,4,FALSE))</f>
        <v>D</v>
      </c>
      <c r="E48" t="str">
        <f>IF(ISBLANK(VLOOKUP($A48,'Entry data'!$A:$K,5,FALSE)),"",VLOOKUP($A48,'Entry data'!$A:$K,5,FALSE))</f>
        <v>15DET</v>
      </c>
      <c r="F48" t="str">
        <f>IF(ISBLANK(VLOOKUP($A48,'Entry data'!$A:$K,6,FALSE)),"",VLOOKUP($A48,'Entry data'!$A:$K,6,FALSE))</f>
        <v>4NSH</v>
      </c>
      <c r="G48" t="str">
        <f>IF(ISBLANK(VLOOKUP($A48,'Entry data'!$A:$K,7,FALSE)),"",VLOOKUP($A48,'Entry data'!$A:$K,7,FALSE))</f>
        <v/>
      </c>
      <c r="H48" t="str">
        <f>IF(ISBLANK(VLOOKUP($A48,'Entry data'!$A:$K,8,FALSE)),"",VLOOKUP($A48,'Entry data'!$A:$K,8,FALSE))</f>
        <v>L</v>
      </c>
      <c r="I48" t="str">
        <f>IF(ISBLANK(VLOOKUP($A48,'Entry data'!$A:$K,9,FALSE)),"",VLOOKUP($A48,'Entry data'!$A:$K,9,FALSE))</f>
        <v>N</v>
      </c>
      <c r="J48">
        <f>IF(ISBLANK(VLOOKUP($A48,'Entry data'!$A:$K,10,FALSE)),"",VLOOKUP($A48,'Entry data'!$A:$K,10,FALSE))</f>
        <v>5</v>
      </c>
      <c r="K48">
        <f>IF(ISBLANK(VLOOKUP($A48,'Entry data'!$A:$K,11,FALSE)),"",VLOOKUP($A48,'Entry data'!$A:$K,11,FALSE))</f>
        <v>5</v>
      </c>
      <c r="L48">
        <f>IF(OR(EXACT(D48,"C"),EXACT(D48,"P"),EXACT(D48,"D"),EXACT(D48,"T"),EXACT(D48,"X"),EXACT(E48,"DZF"),EXACT(E48,"OZF"),EXACT(D48,"N"),EXACT(D48,"F")),1,0)</f>
        <v>1</v>
      </c>
      <c r="M48" t="str">
        <f t="shared" si="0"/>
        <v/>
      </c>
      <c r="N48">
        <f t="shared" si="1"/>
        <v>0</v>
      </c>
      <c r="O48">
        <f t="shared" si="2"/>
        <v>0</v>
      </c>
      <c r="P48" t="str">
        <f t="shared" si="3"/>
        <v/>
      </c>
    </row>
    <row r="49" spans="1:16" x14ac:dyDescent="0.25">
      <c r="A49">
        <v>36</v>
      </c>
      <c r="B49">
        <f>IF($A49&gt;$A$1,"",VLOOKUP($A49,'NHL PBP'!$A:$L,8,FALSE))</f>
        <v>1</v>
      </c>
      <c r="C49">
        <f>IF($A49&gt;$A$1,"",IF(B49&gt;3,5/24,20/24)-VLOOKUP($A49,'NHL PBP'!$A:$L,10,FALSE))</f>
        <v>0.61944444444444446</v>
      </c>
      <c r="D49" t="str">
        <f>IF($A49&gt;$A$1,"",VLOOKUP($A49,'NHL PBP'!$A:$L,11,FALSE))</f>
        <v>HIT</v>
      </c>
      <c r="E49" t="str">
        <f>IF(AND(EXACT(D49,"FAC"),NOT(EXACT(MID(F49,9,3),"Neu"))),IF(OR(AND(EXACT(MID(F49,9,3),"Off"),EXACT(LEFT(F49,3),UPPER('Entry data'!$C$2))),AND(EXACT(MID(F49,9,3),"Def"),NOT(EXACT(LEFT(F49,3),UPPER('Entry data'!$C$2))))),"DZF","OZF"),"")</f>
        <v/>
      </c>
      <c r="F49" t="str">
        <f>IF($A49&gt;$A$1,"",VLOOKUP($A49,'NHL PBP'!$A:$L,12,FALSE))</f>
        <v>DET #40 ZETTERBERG HIT NSH #12 FISHER, Off. Zone</v>
      </c>
      <c r="J49">
        <f>IF(EXACT('Entry data'!$C$3,"Road"),IF(ISBLANK(VLOOKUP(A49,'NHL PBP'!A:AH,21,FALSE)),3,IF(ISBLANK(VLOOKUP(A49,'NHL PBP'!A:AH,23,FALSE)),4,5)),IF(ISBLANK(VLOOKUP(A49,'NHL PBP'!A:AH,32,FALSE)),3,IF(ISBLANK(VLOOKUP(A49,'NHL PBP'!A:AH,34,FALSE)),4,5)))</f>
        <v>5</v>
      </c>
      <c r="K49">
        <f>IF(EXACT('Entry data'!$C$3,"Home"),IF(ISBLANK(VLOOKUP(A49,'NHL PBP'!A:AH,21,FALSE)),3,IF(ISBLANK(VLOOKUP(A49,'NHL PBP'!A:AH,23,FALSE)),4,5)),IF(ISBLANK(VLOOKUP(A49,'NHL PBP'!A:AH,32,FALSE)),3,IF(ISBLANK(VLOOKUP(A49,'NHL PBP'!A:AH,34,FALSE)),4,5)))</f>
        <v>5</v>
      </c>
      <c r="L49">
        <f>IF(OR(EXACT(D49,"C"),EXACT(D49,"P"),EXACT(D49,"D"),EXACT(D49,"T"),EXACT(D49,"X"),EXACT(E49,"DZF"),EXACT(E49,"OZF"),EXACT(D49,"N"),EXACT(D49,"F")),1,0)</f>
        <v>0</v>
      </c>
      <c r="M49" t="str">
        <f t="shared" si="0"/>
        <v/>
      </c>
      <c r="N49">
        <f t="shared" si="1"/>
        <v>0</v>
      </c>
      <c r="O49">
        <f t="shared" si="2"/>
        <v>0</v>
      </c>
      <c r="P49" t="str">
        <f t="shared" si="3"/>
        <v/>
      </c>
    </row>
    <row r="50" spans="1:16" x14ac:dyDescent="0.25">
      <c r="A50">
        <v>37</v>
      </c>
      <c r="B50">
        <f>IF($A50&gt;$A$1,"",VLOOKUP($A50,'NHL PBP'!$A:$L,8,FALSE))</f>
        <v>1</v>
      </c>
      <c r="C50">
        <f>IF($A50&gt;$A$1,"",IF(B50&gt;3,5/24,20/24)-VLOOKUP($A50,'NHL PBP'!$A:$L,10,FALSE))</f>
        <v>0.61041666666666672</v>
      </c>
      <c r="D50" t="str">
        <f>IF($A50&gt;$A$1,"",VLOOKUP($A50,'NHL PBP'!$A:$L,11,FALSE))</f>
        <v>GIVE</v>
      </c>
      <c r="E50" t="str">
        <f>IF(AND(EXACT(D50,"FAC"),NOT(EXACT(MID(F50,9,3),"Neu"))),IF(OR(AND(EXACT(MID(F50,9,3),"Off"),EXACT(LEFT(F50,3),UPPER('Entry data'!$C$2))),AND(EXACT(MID(F50,9,3),"Def"),NOT(EXACT(LEFT(F50,3),UPPER('Entry data'!$C$2))))),"DZF","OZF"),"")</f>
        <v/>
      </c>
      <c r="F50" t="str">
        <f>IF($A50&gt;$A$1,"",VLOOKUP($A50,'NHL PBP'!$A:$L,12,FALSE))</f>
        <v>NSH GIVEAWAY - #33 WILSON, Neu. Zone</v>
      </c>
      <c r="J50">
        <f>IF(EXACT('Entry data'!$C$3,"Road"),IF(ISBLANK(VLOOKUP(A50,'NHL PBP'!A:AH,21,FALSE)),3,IF(ISBLANK(VLOOKUP(A50,'NHL PBP'!A:AH,23,FALSE)),4,5)),IF(ISBLANK(VLOOKUP(A50,'NHL PBP'!A:AH,32,FALSE)),3,IF(ISBLANK(VLOOKUP(A50,'NHL PBP'!A:AH,34,FALSE)),4,5)))</f>
        <v>5</v>
      </c>
      <c r="K50">
        <f>IF(EXACT('Entry data'!$C$3,"Home"),IF(ISBLANK(VLOOKUP(A50,'NHL PBP'!A:AH,21,FALSE)),3,IF(ISBLANK(VLOOKUP(A50,'NHL PBP'!A:AH,23,FALSE)),4,5)),IF(ISBLANK(VLOOKUP(A50,'NHL PBP'!A:AH,32,FALSE)),3,IF(ISBLANK(VLOOKUP(A50,'NHL PBP'!A:AH,34,FALSE)),4,5)))</f>
        <v>5</v>
      </c>
      <c r="L50">
        <f>IF(OR(EXACT(D50,"C"),EXACT(D50,"P"),EXACT(D50,"D"),EXACT(D50,"T"),EXACT(D50,"X"),EXACT(E50,"DZF"),EXACT(E50,"OZF"),EXACT(D50,"N"),EXACT(D50,"F")),1,0)</f>
        <v>0</v>
      </c>
      <c r="M50" t="str">
        <f t="shared" si="0"/>
        <v/>
      </c>
      <c r="N50">
        <f t="shared" si="1"/>
        <v>0</v>
      </c>
      <c r="O50">
        <f t="shared" si="2"/>
        <v>0</v>
      </c>
      <c r="P50" t="str">
        <f t="shared" si="3"/>
        <v/>
      </c>
    </row>
    <row r="51" spans="1:16" x14ac:dyDescent="0.25">
      <c r="A51">
        <v>38</v>
      </c>
      <c r="B51">
        <f>IF($A51&gt;$A$1,"",VLOOKUP($A51,'NHL PBP'!$A:$L,8,FALSE))</f>
        <v>1</v>
      </c>
      <c r="C51">
        <f>IF($A51&gt;$A$1,"",IF(B51&gt;3,5/24,20/24)-VLOOKUP($A51,'NHL PBP'!$A:$L,10,FALSE))</f>
        <v>0.60763888888888895</v>
      </c>
      <c r="D51" t="str">
        <f>IF($A51&gt;$A$1,"",VLOOKUP($A51,'NHL PBP'!$A:$L,11,FALSE))</f>
        <v>STOP</v>
      </c>
      <c r="E51" t="str">
        <f>IF(AND(EXACT(D51,"FAC"),NOT(EXACT(MID(F51,9,3),"Neu"))),IF(OR(AND(EXACT(MID(F51,9,3),"Off"),EXACT(LEFT(F51,3),UPPER('Entry data'!$C$2))),AND(EXACT(MID(F51,9,3),"Def"),NOT(EXACT(LEFT(F51,3),UPPER('Entry data'!$C$2))))),"DZF","OZF"),"")</f>
        <v/>
      </c>
      <c r="F51" t="str">
        <f>IF($A51&gt;$A$1,"",VLOOKUP($A51,'NHL PBP'!$A:$L,12,FALSE))</f>
        <v>ICING</v>
      </c>
      <c r="J51">
        <f>IF(EXACT('Entry data'!$C$3,"Road"),IF(ISBLANK(VLOOKUP(A51,'NHL PBP'!A:AH,21,FALSE)),3,IF(ISBLANK(VLOOKUP(A51,'NHL PBP'!A:AH,23,FALSE)),4,5)),IF(ISBLANK(VLOOKUP(A51,'NHL PBP'!A:AH,32,FALSE)),3,IF(ISBLANK(VLOOKUP(A51,'NHL PBP'!A:AH,34,FALSE)),4,5)))</f>
        <v>5</v>
      </c>
      <c r="K51">
        <f>IF(EXACT('Entry data'!$C$3,"Home"),IF(ISBLANK(VLOOKUP(A51,'NHL PBP'!A:AH,21,FALSE)),3,IF(ISBLANK(VLOOKUP(A51,'NHL PBP'!A:AH,23,FALSE)),4,5)),IF(ISBLANK(VLOOKUP(A51,'NHL PBP'!A:AH,32,FALSE)),3,IF(ISBLANK(VLOOKUP(A51,'NHL PBP'!A:AH,34,FALSE)),4,5)))</f>
        <v>5</v>
      </c>
      <c r="L51">
        <f>IF(OR(EXACT(D51,"C"),EXACT(D51,"P"),EXACT(D51,"D"),EXACT(D51,"T"),EXACT(D51,"X"),EXACT(E51,"DZF"),EXACT(E51,"OZF"),EXACT(D51,"N"),EXACT(D51,"F")),1,0)</f>
        <v>0</v>
      </c>
      <c r="M51" t="str">
        <f t="shared" si="0"/>
        <v/>
      </c>
      <c r="N51">
        <f t="shared" si="1"/>
        <v>0</v>
      </c>
      <c r="O51">
        <f t="shared" si="2"/>
        <v>0</v>
      </c>
      <c r="P51" t="str">
        <f t="shared" si="3"/>
        <v/>
      </c>
    </row>
    <row r="52" spans="1:16" x14ac:dyDescent="0.25">
      <c r="A52">
        <v>39</v>
      </c>
      <c r="B52">
        <f>IF($A52&gt;$A$1,"",VLOOKUP($A52,'NHL PBP'!$A:$L,8,FALSE))</f>
        <v>1</v>
      </c>
      <c r="C52">
        <f>IF($A52&gt;$A$1,"",IF(B52&gt;3,5/24,20/24)-VLOOKUP($A52,'NHL PBP'!$A:$L,10,FALSE))</f>
        <v>0.60763888888888895</v>
      </c>
      <c r="D52" t="str">
        <f>IF($A52&gt;$A$1,"",VLOOKUP($A52,'NHL PBP'!$A:$L,11,FALSE))</f>
        <v>FAC</v>
      </c>
      <c r="E52" t="str">
        <f>IF(AND(EXACT(D52,"FAC"),NOT(EXACT(MID(F52,9,3),"Neu"))),IF(OR(AND(EXACT(MID(F52,9,3),"Off"),EXACT(LEFT(F52,3),UPPER('Entry data'!$C$2))),AND(EXACT(MID(F52,9,3),"Def"),NOT(EXACT(LEFT(F52,3),UPPER('Entry data'!$C$2))))),"DZF","OZF"),"")</f>
        <v>DZF</v>
      </c>
      <c r="F52" t="str">
        <f>IF($A52&gt;$A$1,"",VLOOKUP($A52,'NHL PBP'!$A:$L,12,FALSE))</f>
        <v>DET won Def. Zone - NSH #63 RIBEIRO vs DET #40 ZETTERBERG</v>
      </c>
      <c r="J52">
        <f>IF(EXACT('Entry data'!$C$3,"Road"),IF(ISBLANK(VLOOKUP(A52,'NHL PBP'!A:AH,21,FALSE)),3,IF(ISBLANK(VLOOKUP(A52,'NHL PBP'!A:AH,23,FALSE)),4,5)),IF(ISBLANK(VLOOKUP(A52,'NHL PBP'!A:AH,32,FALSE)),3,IF(ISBLANK(VLOOKUP(A52,'NHL PBP'!A:AH,34,FALSE)),4,5)))</f>
        <v>5</v>
      </c>
      <c r="K52">
        <f>IF(EXACT('Entry data'!$C$3,"Home"),IF(ISBLANK(VLOOKUP(A52,'NHL PBP'!A:AH,21,FALSE)),3,IF(ISBLANK(VLOOKUP(A52,'NHL PBP'!A:AH,23,FALSE)),4,5)),IF(ISBLANK(VLOOKUP(A52,'NHL PBP'!A:AH,32,FALSE)),3,IF(ISBLANK(VLOOKUP(A52,'NHL PBP'!A:AH,34,FALSE)),4,5)))</f>
        <v>5</v>
      </c>
      <c r="L52">
        <f>IF(OR(EXACT(D52,"C"),EXACT(D52,"P"),EXACT(D52,"D"),EXACT(D52,"T"),EXACT(D52,"X"),EXACT(E52,"DZF"),EXACT(E52,"OZF"),EXACT(D52,"N"),EXACT(D52,"F")),1,0)</f>
        <v>1</v>
      </c>
      <c r="M52" t="str">
        <f t="shared" si="0"/>
        <v/>
      </c>
      <c r="N52">
        <f t="shared" si="1"/>
        <v>1</v>
      </c>
      <c r="O52">
        <f t="shared" si="2"/>
        <v>0</v>
      </c>
      <c r="P52" t="str">
        <f t="shared" si="3"/>
        <v/>
      </c>
    </row>
    <row r="53" spans="1:16" x14ac:dyDescent="0.25">
      <c r="A53">
        <v>40</v>
      </c>
      <c r="B53">
        <f>IF($A53&gt;$A$1,"",VLOOKUP($A53,'NHL PBP'!$A:$L,8,FALSE))</f>
        <v>1</v>
      </c>
      <c r="C53">
        <f>IF($A53&gt;$A$1,"",IF(B53&gt;3,5/24,20/24)-VLOOKUP($A53,'NHL PBP'!$A:$L,10,FALSE))</f>
        <v>0.59722222222222221</v>
      </c>
      <c r="D53" t="str">
        <f>IF($A53&gt;$A$1,"",VLOOKUP($A53,'NHL PBP'!$A:$L,11,FALSE))</f>
        <v>SHOT</v>
      </c>
      <c r="E53" t="str">
        <f>IF(AND(EXACT(D53,"FAC"),NOT(EXACT(MID(F53,9,3),"Neu"))),IF(OR(AND(EXACT(MID(F53,9,3),"Off"),EXACT(LEFT(F53,3),UPPER('Entry data'!$C$2))),AND(EXACT(MID(F53,9,3),"Def"),NOT(EXACT(LEFT(F53,3),UPPER('Entry data'!$C$2))))),"DZF","OZF"),"")</f>
        <v/>
      </c>
      <c r="F53" t="str">
        <f>IF($A53&gt;$A$1,"",VLOOKUP($A53,'NHL PBP'!$A:$L,12,FALSE))</f>
        <v>NSH ONGOAL - #14 EKHOLM, Slap, Off. Zone, 57 ft.</v>
      </c>
      <c r="J53">
        <f>IF(EXACT('Entry data'!$C$3,"Road"),IF(ISBLANK(VLOOKUP(A53,'NHL PBP'!A:AH,21,FALSE)),3,IF(ISBLANK(VLOOKUP(A53,'NHL PBP'!A:AH,23,FALSE)),4,5)),IF(ISBLANK(VLOOKUP(A53,'NHL PBP'!A:AH,32,FALSE)),3,IF(ISBLANK(VLOOKUP(A53,'NHL PBP'!A:AH,34,FALSE)),4,5)))</f>
        <v>5</v>
      </c>
      <c r="K53">
        <f>IF(EXACT('Entry data'!$C$3,"Home"),IF(ISBLANK(VLOOKUP(A53,'NHL PBP'!A:AH,21,FALSE)),3,IF(ISBLANK(VLOOKUP(A53,'NHL PBP'!A:AH,23,FALSE)),4,5)),IF(ISBLANK(VLOOKUP(A53,'NHL PBP'!A:AH,32,FALSE)),3,IF(ISBLANK(VLOOKUP(A53,'NHL PBP'!A:AH,34,FALSE)),4,5)))</f>
        <v>5</v>
      </c>
      <c r="L53">
        <f>IF(OR(EXACT(D53,"C"),EXACT(D53,"P"),EXACT(D53,"D"),EXACT(D53,"T"),EXACT(D53,"X"),EXACT(E53,"DZF"),EXACT(E53,"OZF"),EXACT(D53,"N"),EXACT(D53,"F")),1,0)</f>
        <v>0</v>
      </c>
      <c r="M53" t="str">
        <f t="shared" si="0"/>
        <v/>
      </c>
      <c r="N53">
        <f t="shared" si="1"/>
        <v>1</v>
      </c>
      <c r="O53">
        <f t="shared" si="2"/>
        <v>0</v>
      </c>
      <c r="P53" t="str">
        <f t="shared" si="3"/>
        <v/>
      </c>
    </row>
    <row r="54" spans="1:16" x14ac:dyDescent="0.25">
      <c r="A54">
        <v>41</v>
      </c>
      <c r="B54">
        <f>IF($A54&gt;$A$1,"",VLOOKUP($A54,'NHL PBP'!$A:$L,8,FALSE))</f>
        <v>1</v>
      </c>
      <c r="C54">
        <f>IF($A54&gt;$A$1,"",IF(B54&gt;3,5/24,20/24)-VLOOKUP($A54,'NHL PBP'!$A:$L,10,FALSE))</f>
        <v>0.59722222222222221</v>
      </c>
      <c r="D54" t="str">
        <f>IF($A54&gt;$A$1,"",VLOOKUP($A54,'NHL PBP'!$A:$L,11,FALSE))</f>
        <v>STOP</v>
      </c>
      <c r="E54" t="str">
        <f>IF(AND(EXACT(D54,"FAC"),NOT(EXACT(MID(F54,9,3),"Neu"))),IF(OR(AND(EXACT(MID(F54,9,3),"Off"),EXACT(LEFT(F54,3),UPPER('Entry data'!$C$2))),AND(EXACT(MID(F54,9,3),"Def"),NOT(EXACT(LEFT(F54,3),UPPER('Entry data'!$C$2))))),"DZF","OZF"),"")</f>
        <v/>
      </c>
      <c r="F54" t="str">
        <f>IF($A54&gt;$A$1,"",VLOOKUP($A54,'NHL PBP'!$A:$L,12,FALSE))</f>
        <v>GOALIE STOPPED</v>
      </c>
      <c r="J54">
        <f>IF(EXACT('Entry data'!$C$3,"Road"),IF(ISBLANK(VLOOKUP(A54,'NHL PBP'!A:AH,21,FALSE)),3,IF(ISBLANK(VLOOKUP(A54,'NHL PBP'!A:AH,23,FALSE)),4,5)),IF(ISBLANK(VLOOKUP(A54,'NHL PBP'!A:AH,32,FALSE)),3,IF(ISBLANK(VLOOKUP(A54,'NHL PBP'!A:AH,34,FALSE)),4,5)))</f>
        <v>5</v>
      </c>
      <c r="K54">
        <f>IF(EXACT('Entry data'!$C$3,"Home"),IF(ISBLANK(VLOOKUP(A54,'NHL PBP'!A:AH,21,FALSE)),3,IF(ISBLANK(VLOOKUP(A54,'NHL PBP'!A:AH,23,FALSE)),4,5)),IF(ISBLANK(VLOOKUP(A54,'NHL PBP'!A:AH,32,FALSE)),3,IF(ISBLANK(VLOOKUP(A54,'NHL PBP'!A:AH,34,FALSE)),4,5)))</f>
        <v>5</v>
      </c>
      <c r="L54">
        <f>IF(OR(EXACT(D54,"C"),EXACT(D54,"P"),EXACT(D54,"D"),EXACT(D54,"T"),EXACT(D54,"X"),EXACT(E54,"DZF"),EXACT(E54,"OZF"),EXACT(D54,"N"),EXACT(D54,"F")),1,0)</f>
        <v>0</v>
      </c>
      <c r="M54" t="str">
        <f t="shared" si="0"/>
        <v/>
      </c>
      <c r="N54">
        <f t="shared" si="1"/>
        <v>0</v>
      </c>
      <c r="O54">
        <f t="shared" si="2"/>
        <v>0</v>
      </c>
      <c r="P54" t="str">
        <f t="shared" si="3"/>
        <v/>
      </c>
    </row>
    <row r="55" spans="1:16" x14ac:dyDescent="0.25">
      <c r="A55">
        <v>42</v>
      </c>
      <c r="B55">
        <f>IF($A55&gt;$A$1,"",VLOOKUP($A55,'NHL PBP'!$A:$L,8,FALSE))</f>
        <v>1</v>
      </c>
      <c r="C55">
        <f>IF($A55&gt;$A$1,"",IF(B55&gt;3,5/24,20/24)-VLOOKUP($A55,'NHL PBP'!$A:$L,10,FALSE))</f>
        <v>0.59722222222222221</v>
      </c>
      <c r="D55" t="str">
        <f>IF($A55&gt;$A$1,"",VLOOKUP($A55,'NHL PBP'!$A:$L,11,FALSE))</f>
        <v>FAC</v>
      </c>
      <c r="E55" t="str">
        <f>IF(AND(EXACT(D55,"FAC"),NOT(EXACT(MID(F55,9,3),"Neu"))),IF(OR(AND(EXACT(MID(F55,9,3),"Off"),EXACT(LEFT(F55,3),UPPER('Entry data'!$C$2))),AND(EXACT(MID(F55,9,3),"Def"),NOT(EXACT(LEFT(F55,3),UPPER('Entry data'!$C$2))))),"DZF","OZF"),"")</f>
        <v>DZF</v>
      </c>
      <c r="F55" t="str">
        <f>IF($A55&gt;$A$1,"",VLOOKUP($A55,'NHL PBP'!$A:$L,12,FALSE))</f>
        <v>NSH won Off. Zone - NSH #10 SISSONS vs DET #51 NIELSEN</v>
      </c>
      <c r="J55">
        <f>IF(EXACT('Entry data'!$C$3,"Road"),IF(ISBLANK(VLOOKUP(A55,'NHL PBP'!A:AH,21,FALSE)),3,IF(ISBLANK(VLOOKUP(A55,'NHL PBP'!A:AH,23,FALSE)),4,5)),IF(ISBLANK(VLOOKUP(A55,'NHL PBP'!A:AH,32,FALSE)),3,IF(ISBLANK(VLOOKUP(A55,'NHL PBP'!A:AH,34,FALSE)),4,5)))</f>
        <v>5</v>
      </c>
      <c r="K55">
        <f>IF(EXACT('Entry data'!$C$3,"Home"),IF(ISBLANK(VLOOKUP(A55,'NHL PBP'!A:AH,21,FALSE)),3,IF(ISBLANK(VLOOKUP(A55,'NHL PBP'!A:AH,23,FALSE)),4,5)),IF(ISBLANK(VLOOKUP(A55,'NHL PBP'!A:AH,32,FALSE)),3,IF(ISBLANK(VLOOKUP(A55,'NHL PBP'!A:AH,34,FALSE)),4,5)))</f>
        <v>5</v>
      </c>
      <c r="L55">
        <f>IF(OR(EXACT(D55,"C"),EXACT(D55,"P"),EXACT(D55,"D"),EXACT(D55,"T"),EXACT(D55,"X"),EXACT(E55,"DZF"),EXACT(E55,"OZF"),EXACT(D55,"N"),EXACT(D55,"F")),1,0)</f>
        <v>1</v>
      </c>
      <c r="M55" t="str">
        <f t="shared" si="0"/>
        <v/>
      </c>
      <c r="N55">
        <f t="shared" si="1"/>
        <v>0</v>
      </c>
      <c r="O55">
        <f t="shared" si="2"/>
        <v>0</v>
      </c>
      <c r="P55" t="str">
        <f t="shared" si="3"/>
        <v/>
      </c>
    </row>
    <row r="56" spans="1:16" x14ac:dyDescent="0.25">
      <c r="A56">
        <v>13</v>
      </c>
      <c r="B56">
        <f>IF(ISBLANK(VLOOKUP($A56,'Entry data'!$A:$K,2,FALSE)),"",VLOOKUP($A56,'Entry data'!$A:$K,2,FALSE))</f>
        <v>1</v>
      </c>
      <c r="C56">
        <f>IF(ISBLANK(VLOOKUP($A56,'Entry data'!$A:$K,3,FALSE)),"",VLOOKUP($A56,'Entry data'!$A:$K,3,FALSE))</f>
        <v>0.5805555555555556</v>
      </c>
      <c r="D56" t="str">
        <f>IF(ISBLANK(VLOOKUP($A56,'Entry data'!$A:$K,4,FALSE)),"",VLOOKUP($A56,'Entry data'!$A:$K,4,FALSE))</f>
        <v>D</v>
      </c>
      <c r="E56" t="str">
        <f>IF(ISBLANK(VLOOKUP($A56,'Entry data'!$A:$K,5,FALSE)),"",VLOOKUP($A56,'Entry data'!$A:$K,5,FALSE))</f>
        <v>14NSH</v>
      </c>
      <c r="F56" t="str">
        <f>IF(ISBLANK(VLOOKUP($A56,'Entry data'!$A:$K,6,FALSE)),"",VLOOKUP($A56,'Entry data'!$A:$K,6,FALSE))</f>
        <v>N</v>
      </c>
      <c r="G56" t="str">
        <f>IF(ISBLANK(VLOOKUP($A56,'Entry data'!$A:$K,7,FALSE)),"",VLOOKUP($A56,'Entry data'!$A:$K,7,FALSE))</f>
        <v/>
      </c>
      <c r="H56" t="str">
        <f>IF(ISBLANK(VLOOKUP($A56,'Entry data'!$A:$K,8,FALSE)),"",VLOOKUP($A56,'Entry data'!$A:$K,8,FALSE))</f>
        <v>L</v>
      </c>
      <c r="I56" t="str">
        <f>IF(ISBLANK(VLOOKUP($A56,'Entry data'!$A:$K,9,FALSE)),"",VLOOKUP($A56,'Entry data'!$A:$K,9,FALSE))</f>
        <v>N</v>
      </c>
      <c r="J56">
        <f>IF(ISBLANK(VLOOKUP($A56,'Entry data'!$A:$K,10,FALSE)),"",VLOOKUP($A56,'Entry data'!$A:$K,10,FALSE))</f>
        <v>5</v>
      </c>
      <c r="K56">
        <f>IF(ISBLANK(VLOOKUP($A56,'Entry data'!$A:$K,11,FALSE)),"",VLOOKUP($A56,'Entry data'!$A:$K,11,FALSE))</f>
        <v>5</v>
      </c>
      <c r="L56">
        <f>IF(OR(EXACT(D56,"C"),EXACT(D56,"P"),EXACT(D56,"D"),EXACT(D56,"T"),EXACT(D56,"X"),EXACT(E56,"DZF"),EXACT(E56,"OZF"),EXACT(D56,"N"),EXACT(D56,"F")),1,0)</f>
        <v>1</v>
      </c>
      <c r="M56" t="str">
        <f t="shared" si="0"/>
        <v/>
      </c>
      <c r="N56">
        <f t="shared" si="1"/>
        <v>0</v>
      </c>
      <c r="O56">
        <f t="shared" si="2"/>
        <v>0</v>
      </c>
      <c r="P56" t="str">
        <f t="shared" si="3"/>
        <v/>
      </c>
    </row>
    <row r="57" spans="1:16" x14ac:dyDescent="0.25">
      <c r="A57">
        <v>14</v>
      </c>
      <c r="B57">
        <f>IF(ISBLANK(VLOOKUP($A57,'Entry data'!$A:$K,2,FALSE)),"",VLOOKUP($A57,'Entry data'!$A:$K,2,FALSE))</f>
        <v>1</v>
      </c>
      <c r="C57">
        <f>IF(ISBLANK(VLOOKUP($A57,'Entry data'!$A:$K,3,FALSE)),"",VLOOKUP($A57,'Entry data'!$A:$K,3,FALSE))</f>
        <v>0.5708333333333333</v>
      </c>
      <c r="D57" t="str">
        <f>IF(ISBLANK(VLOOKUP($A57,'Entry data'!$A:$K,4,FALSE)),"",VLOOKUP($A57,'Entry data'!$A:$K,4,FALSE))</f>
        <v>C</v>
      </c>
      <c r="E57" t="str">
        <f>IF(ISBLANK(VLOOKUP($A57,'Entry data'!$A:$K,5,FALSE)),"",VLOOKUP($A57,'Entry data'!$A:$K,5,FALSE))</f>
        <v>51DET</v>
      </c>
      <c r="F57" t="str">
        <f>IF(ISBLANK(VLOOKUP($A57,'Entry data'!$A:$K,6,FALSE)),"",VLOOKUP($A57,'Entry data'!$A:$K,6,FALSE))</f>
        <v>7NSH</v>
      </c>
      <c r="G57" t="str">
        <f>IF(ISBLANK(VLOOKUP($A57,'Entry data'!$A:$K,7,FALSE)),"",VLOOKUP($A57,'Entry data'!$A:$K,7,FALSE))</f>
        <v>Y</v>
      </c>
      <c r="H57" t="str">
        <f>IF(ISBLANK(VLOOKUP($A57,'Entry data'!$A:$K,8,FALSE)),"",VLOOKUP($A57,'Entry data'!$A:$K,8,FALSE))</f>
        <v>C</v>
      </c>
      <c r="I57" t="str">
        <f>IF(ISBLANK(VLOOKUP($A57,'Entry data'!$A:$K,9,FALSE)),"",VLOOKUP($A57,'Entry data'!$A:$K,9,FALSE))</f>
        <v>N</v>
      </c>
      <c r="J57">
        <f>IF(ISBLANK(VLOOKUP($A57,'Entry data'!$A:$K,10,FALSE)),"",VLOOKUP($A57,'Entry data'!$A:$K,10,FALSE))</f>
        <v>5</v>
      </c>
      <c r="K57">
        <f>IF(ISBLANK(VLOOKUP($A57,'Entry data'!$A:$K,11,FALSE)),"",VLOOKUP($A57,'Entry data'!$A:$K,11,FALSE))</f>
        <v>5</v>
      </c>
      <c r="L57">
        <f>IF(OR(EXACT(D57,"C"),EXACT(D57,"P"),EXACT(D57,"D"),EXACT(D57,"T"),EXACT(D57,"X"),EXACT(E57,"DZF"),EXACT(E57,"OZF"),EXACT(D57,"N"),EXACT(D57,"F")),1,0)</f>
        <v>1</v>
      </c>
      <c r="M57" t="str">
        <f t="shared" si="0"/>
        <v>51DET</v>
      </c>
      <c r="N57">
        <f t="shared" si="1"/>
        <v>1</v>
      </c>
      <c r="O57">
        <f t="shared" si="2"/>
        <v>0</v>
      </c>
      <c r="P57" t="str">
        <f t="shared" si="3"/>
        <v/>
      </c>
    </row>
    <row r="58" spans="1:16" x14ac:dyDescent="0.25">
      <c r="A58">
        <v>43</v>
      </c>
      <c r="B58">
        <f>IF($A58&gt;$A$1,"",VLOOKUP($A58,'NHL PBP'!$A:$L,8,FALSE))</f>
        <v>1</v>
      </c>
      <c r="C58">
        <f>IF($A58&gt;$A$1,"",IF(B58&gt;3,5/24,20/24)-VLOOKUP($A58,'NHL PBP'!$A:$L,10,FALSE))</f>
        <v>0.56875000000000009</v>
      </c>
      <c r="D58" t="str">
        <f>IF($A58&gt;$A$1,"",VLOOKUP($A58,'NHL PBP'!$A:$L,11,FALSE))</f>
        <v>SHOT</v>
      </c>
      <c r="E58" t="str">
        <f>IF(AND(EXACT(D58,"FAC"),NOT(EXACT(MID(F58,9,3),"Neu"))),IF(OR(AND(EXACT(MID(F58,9,3),"Off"),EXACT(LEFT(F58,3),UPPER('Entry data'!$C$2))),AND(EXACT(MID(F58,9,3),"Def"),NOT(EXACT(LEFT(F58,3),UPPER('Entry data'!$C$2))))),"DZF","OZF"),"")</f>
        <v/>
      </c>
      <c r="F58" t="str">
        <f>IF($A58&gt;$A$1,"",VLOOKUP($A58,'NHL PBP'!$A:$L,12,FALSE))</f>
        <v>DET ONGOAL - #71 LARKIN, Wrist, Off. Zone, 42 ft.</v>
      </c>
      <c r="J58">
        <f>IF(EXACT('Entry data'!$C$3,"Road"),IF(ISBLANK(VLOOKUP(A58,'NHL PBP'!A:AH,21,FALSE)),3,IF(ISBLANK(VLOOKUP(A58,'NHL PBP'!A:AH,23,FALSE)),4,5)),IF(ISBLANK(VLOOKUP(A58,'NHL PBP'!A:AH,32,FALSE)),3,IF(ISBLANK(VLOOKUP(A58,'NHL PBP'!A:AH,34,FALSE)),4,5)))</f>
        <v>5</v>
      </c>
      <c r="K58">
        <f>IF(EXACT('Entry data'!$C$3,"Home"),IF(ISBLANK(VLOOKUP(A58,'NHL PBP'!A:AH,21,FALSE)),3,IF(ISBLANK(VLOOKUP(A58,'NHL PBP'!A:AH,23,FALSE)),4,5)),IF(ISBLANK(VLOOKUP(A58,'NHL PBP'!A:AH,32,FALSE)),3,IF(ISBLANK(VLOOKUP(A58,'NHL PBP'!A:AH,34,FALSE)),4,5)))</f>
        <v>5</v>
      </c>
      <c r="L58">
        <f>IF(OR(EXACT(D58,"C"),EXACT(D58,"P"),EXACT(D58,"D"),EXACT(D58,"T"),EXACT(D58,"X"),EXACT(E58,"DZF"),EXACT(E58,"OZF"),EXACT(D58,"N"),EXACT(D58,"F")),1,0)</f>
        <v>0</v>
      </c>
      <c r="M58" t="str">
        <f t="shared" si="0"/>
        <v/>
      </c>
      <c r="N58">
        <f t="shared" si="1"/>
        <v>1</v>
      </c>
      <c r="O58">
        <f t="shared" si="2"/>
        <v>0</v>
      </c>
      <c r="P58" t="str">
        <f t="shared" si="3"/>
        <v/>
      </c>
    </row>
    <row r="59" spans="1:16" x14ac:dyDescent="0.25">
      <c r="A59">
        <v>44</v>
      </c>
      <c r="B59">
        <f>IF($A59&gt;$A$1,"",VLOOKUP($A59,'NHL PBP'!$A:$L,8,FALSE))</f>
        <v>1</v>
      </c>
      <c r="C59">
        <f>IF($A59&gt;$A$1,"",IF(B59&gt;3,5/24,20/24)-VLOOKUP($A59,'NHL PBP'!$A:$L,10,FALSE))</f>
        <v>0.56805555555555554</v>
      </c>
      <c r="D59" t="str">
        <f>IF($A59&gt;$A$1,"",VLOOKUP($A59,'NHL PBP'!$A:$L,11,FALSE))</f>
        <v>STOP</v>
      </c>
      <c r="E59" t="str">
        <f>IF(AND(EXACT(D59,"FAC"),NOT(EXACT(MID(F59,9,3),"Neu"))),IF(OR(AND(EXACT(MID(F59,9,3),"Off"),EXACT(LEFT(F59,3),UPPER('Entry data'!$C$2))),AND(EXACT(MID(F59,9,3),"Def"),NOT(EXACT(LEFT(F59,3),UPPER('Entry data'!$C$2))))),"DZF","OZF"),"")</f>
        <v/>
      </c>
      <c r="F59" t="str">
        <f>IF($A59&gt;$A$1,"",VLOOKUP($A59,'NHL PBP'!$A:$L,12,FALSE))</f>
        <v>GOALIE STOPPED,TV TIMEOUT</v>
      </c>
      <c r="J59">
        <f>IF(EXACT('Entry data'!$C$3,"Road"),IF(ISBLANK(VLOOKUP(A59,'NHL PBP'!A:AH,21,FALSE)),3,IF(ISBLANK(VLOOKUP(A59,'NHL PBP'!A:AH,23,FALSE)),4,5)),IF(ISBLANK(VLOOKUP(A59,'NHL PBP'!A:AH,32,FALSE)),3,IF(ISBLANK(VLOOKUP(A59,'NHL PBP'!A:AH,34,FALSE)),4,5)))</f>
        <v>5</v>
      </c>
      <c r="K59">
        <f>IF(EXACT('Entry data'!$C$3,"Home"),IF(ISBLANK(VLOOKUP(A59,'NHL PBP'!A:AH,21,FALSE)),3,IF(ISBLANK(VLOOKUP(A59,'NHL PBP'!A:AH,23,FALSE)),4,5)),IF(ISBLANK(VLOOKUP(A59,'NHL PBP'!A:AH,32,FALSE)),3,IF(ISBLANK(VLOOKUP(A59,'NHL PBP'!A:AH,34,FALSE)),4,5)))</f>
        <v>5</v>
      </c>
      <c r="L59">
        <f>IF(OR(EXACT(D59,"C"),EXACT(D59,"P"),EXACT(D59,"D"),EXACT(D59,"T"),EXACT(D59,"X"),EXACT(E59,"DZF"),EXACT(E59,"OZF"),EXACT(D59,"N"),EXACT(D59,"F")),1,0)</f>
        <v>0</v>
      </c>
      <c r="M59" t="str">
        <f t="shared" si="0"/>
        <v/>
      </c>
      <c r="N59">
        <f t="shared" si="1"/>
        <v>0</v>
      </c>
      <c r="O59">
        <f t="shared" si="2"/>
        <v>0</v>
      </c>
      <c r="P59" t="str">
        <f t="shared" si="3"/>
        <v/>
      </c>
    </row>
    <row r="60" spans="1:16" x14ac:dyDescent="0.25">
      <c r="A60">
        <v>45</v>
      </c>
      <c r="B60">
        <f>IF($A60&gt;$A$1,"",VLOOKUP($A60,'NHL PBP'!$A:$L,8,FALSE))</f>
        <v>1</v>
      </c>
      <c r="C60">
        <f>IF($A60&gt;$A$1,"",IF(B60&gt;3,5/24,20/24)-VLOOKUP($A60,'NHL PBP'!$A:$L,10,FALSE))</f>
        <v>0.56805555555555554</v>
      </c>
      <c r="D60" t="str">
        <f>IF($A60&gt;$A$1,"",VLOOKUP($A60,'NHL PBP'!$A:$L,11,FALSE))</f>
        <v>FAC</v>
      </c>
      <c r="E60" t="str">
        <f>IF(AND(EXACT(D60,"FAC"),NOT(EXACT(MID(F60,9,3),"Neu"))),IF(OR(AND(EXACT(MID(F60,9,3),"Off"),EXACT(LEFT(F60,3),UPPER('Entry data'!$C$2))),AND(EXACT(MID(F60,9,3),"Def"),NOT(EXACT(LEFT(F60,3),UPPER('Entry data'!$C$2))))),"DZF","OZF"),"")</f>
        <v>OZF</v>
      </c>
      <c r="F60" t="str">
        <f>IF($A60&gt;$A$1,"",VLOOKUP($A60,'NHL PBP'!$A:$L,12,FALSE))</f>
        <v>NSH won Def. Zone - NSH #12 FISHER vs DET #43 HELM</v>
      </c>
      <c r="J60">
        <f>IF(EXACT('Entry data'!$C$3,"Road"),IF(ISBLANK(VLOOKUP(A60,'NHL PBP'!A:AH,21,FALSE)),3,IF(ISBLANK(VLOOKUP(A60,'NHL PBP'!A:AH,23,FALSE)),4,5)),IF(ISBLANK(VLOOKUP(A60,'NHL PBP'!A:AH,32,FALSE)),3,IF(ISBLANK(VLOOKUP(A60,'NHL PBP'!A:AH,34,FALSE)),4,5)))</f>
        <v>5</v>
      </c>
      <c r="K60">
        <f>IF(EXACT('Entry data'!$C$3,"Home"),IF(ISBLANK(VLOOKUP(A60,'NHL PBP'!A:AH,21,FALSE)),3,IF(ISBLANK(VLOOKUP(A60,'NHL PBP'!A:AH,23,FALSE)),4,5)),IF(ISBLANK(VLOOKUP(A60,'NHL PBP'!A:AH,32,FALSE)),3,IF(ISBLANK(VLOOKUP(A60,'NHL PBP'!A:AH,34,FALSE)),4,5)))</f>
        <v>5</v>
      </c>
      <c r="L60">
        <f>IF(OR(EXACT(D60,"C"),EXACT(D60,"P"),EXACT(D60,"D"),EXACT(D60,"T"),EXACT(D60,"X"),EXACT(E60,"DZF"),EXACT(E60,"OZF"),EXACT(D60,"N"),EXACT(D60,"F")),1,0)</f>
        <v>1</v>
      </c>
      <c r="M60" t="str">
        <f t="shared" si="0"/>
        <v/>
      </c>
      <c r="N60">
        <f t="shared" si="1"/>
        <v>2</v>
      </c>
      <c r="O60">
        <f t="shared" si="2"/>
        <v>0</v>
      </c>
      <c r="P60" t="str">
        <f t="shared" si="3"/>
        <v/>
      </c>
    </row>
    <row r="61" spans="1:16" x14ac:dyDescent="0.25">
      <c r="A61">
        <v>46</v>
      </c>
      <c r="B61">
        <f>IF($A61&gt;$A$1,"",VLOOKUP($A61,'NHL PBP'!$A:$L,8,FALSE))</f>
        <v>1</v>
      </c>
      <c r="C61">
        <f>IF($A61&gt;$A$1,"",IF(B61&gt;3,5/24,20/24)-VLOOKUP($A61,'NHL PBP'!$A:$L,10,FALSE))</f>
        <v>0.55763888888888891</v>
      </c>
      <c r="D61" t="str">
        <f>IF($A61&gt;$A$1,"",VLOOKUP($A61,'NHL PBP'!$A:$L,11,FALSE))</f>
        <v>TAKE</v>
      </c>
      <c r="E61" t="str">
        <f>IF(AND(EXACT(D61,"FAC"),NOT(EXACT(MID(F61,9,3),"Neu"))),IF(OR(AND(EXACT(MID(F61,9,3),"Off"),EXACT(LEFT(F61,3),UPPER('Entry data'!$C$2))),AND(EXACT(MID(F61,9,3),"Def"),NOT(EXACT(LEFT(F61,3),UPPER('Entry data'!$C$2))))),"DZF","OZF"),"")</f>
        <v/>
      </c>
      <c r="F61" t="str">
        <f>IF($A61&gt;$A$1,"",VLOOKUP($A61,'NHL PBP'!$A:$L,12,FALSE))</f>
        <v>DET TAKEAWAY - #14 NYQUIST, Off. Zone</v>
      </c>
      <c r="J61">
        <f>IF(EXACT('Entry data'!$C$3,"Road"),IF(ISBLANK(VLOOKUP(A61,'NHL PBP'!A:AH,21,FALSE)),3,IF(ISBLANK(VLOOKUP(A61,'NHL PBP'!A:AH,23,FALSE)),4,5)),IF(ISBLANK(VLOOKUP(A61,'NHL PBP'!A:AH,32,FALSE)),3,IF(ISBLANK(VLOOKUP(A61,'NHL PBP'!A:AH,34,FALSE)),4,5)))</f>
        <v>5</v>
      </c>
      <c r="K61">
        <f>IF(EXACT('Entry data'!$C$3,"Home"),IF(ISBLANK(VLOOKUP(A61,'NHL PBP'!A:AH,21,FALSE)),3,IF(ISBLANK(VLOOKUP(A61,'NHL PBP'!A:AH,23,FALSE)),4,5)),IF(ISBLANK(VLOOKUP(A61,'NHL PBP'!A:AH,32,FALSE)),3,IF(ISBLANK(VLOOKUP(A61,'NHL PBP'!A:AH,34,FALSE)),4,5)))</f>
        <v>5</v>
      </c>
      <c r="L61">
        <f>IF(OR(EXACT(D61,"C"),EXACT(D61,"P"),EXACT(D61,"D"),EXACT(D61,"T"),EXACT(D61,"X"),EXACT(E61,"DZF"),EXACT(E61,"OZF"),EXACT(D61,"N"),EXACT(D61,"F")),1,0)</f>
        <v>0</v>
      </c>
      <c r="M61" t="str">
        <f t="shared" si="0"/>
        <v/>
      </c>
      <c r="N61">
        <f t="shared" si="1"/>
        <v>2</v>
      </c>
      <c r="O61">
        <f t="shared" si="2"/>
        <v>0</v>
      </c>
      <c r="P61" t="str">
        <f t="shared" si="3"/>
        <v/>
      </c>
    </row>
    <row r="62" spans="1:16" x14ac:dyDescent="0.25">
      <c r="A62">
        <v>47</v>
      </c>
      <c r="B62">
        <f>IF($A62&gt;$A$1,"",VLOOKUP($A62,'NHL PBP'!$A:$L,8,FALSE))</f>
        <v>1</v>
      </c>
      <c r="C62">
        <f>IF($A62&gt;$A$1,"",IF(B62&gt;3,5/24,20/24)-VLOOKUP($A62,'NHL PBP'!$A:$L,10,FALSE))</f>
        <v>0.55694444444444446</v>
      </c>
      <c r="D62" t="str">
        <f>IF($A62&gt;$A$1,"",VLOOKUP($A62,'NHL PBP'!$A:$L,11,FALSE))</f>
        <v>SHOT</v>
      </c>
      <c r="E62" t="str">
        <f>IF(AND(EXACT(D62,"FAC"),NOT(EXACT(MID(F62,9,3),"Neu"))),IF(OR(AND(EXACT(MID(F62,9,3),"Off"),EXACT(LEFT(F62,3),UPPER('Entry data'!$C$2))),AND(EXACT(MID(F62,9,3),"Def"),NOT(EXACT(LEFT(F62,3),UPPER('Entry data'!$C$2))))),"DZF","OZF"),"")</f>
        <v/>
      </c>
      <c r="F62" t="str">
        <f>IF($A62&gt;$A$1,"",VLOOKUP($A62,'NHL PBP'!$A:$L,12,FALSE))</f>
        <v>DET ONGOAL - #43 HELM, Snap, Off. Zone, 17 ft.</v>
      </c>
      <c r="J62">
        <f>IF(EXACT('Entry data'!$C$3,"Road"),IF(ISBLANK(VLOOKUP(A62,'NHL PBP'!A:AH,21,FALSE)),3,IF(ISBLANK(VLOOKUP(A62,'NHL PBP'!A:AH,23,FALSE)),4,5)),IF(ISBLANK(VLOOKUP(A62,'NHL PBP'!A:AH,32,FALSE)),3,IF(ISBLANK(VLOOKUP(A62,'NHL PBP'!A:AH,34,FALSE)),4,5)))</f>
        <v>5</v>
      </c>
      <c r="K62">
        <f>IF(EXACT('Entry data'!$C$3,"Home"),IF(ISBLANK(VLOOKUP(A62,'NHL PBP'!A:AH,21,FALSE)),3,IF(ISBLANK(VLOOKUP(A62,'NHL PBP'!A:AH,23,FALSE)),4,5)),IF(ISBLANK(VLOOKUP(A62,'NHL PBP'!A:AH,32,FALSE)),3,IF(ISBLANK(VLOOKUP(A62,'NHL PBP'!A:AH,34,FALSE)),4,5)))</f>
        <v>5</v>
      </c>
      <c r="L62">
        <f>IF(OR(EXACT(D62,"C"),EXACT(D62,"P"),EXACT(D62,"D"),EXACT(D62,"T"),EXACT(D62,"X"),EXACT(E62,"DZF"),EXACT(E62,"OZF"),EXACT(D62,"N"),EXACT(D62,"F")),1,0)</f>
        <v>0</v>
      </c>
      <c r="M62" t="str">
        <f t="shared" si="0"/>
        <v/>
      </c>
      <c r="N62">
        <f t="shared" si="1"/>
        <v>2</v>
      </c>
      <c r="O62">
        <f t="shared" si="2"/>
        <v>0</v>
      </c>
      <c r="P62" t="str">
        <f t="shared" si="3"/>
        <v/>
      </c>
    </row>
    <row r="63" spans="1:16" x14ac:dyDescent="0.25">
      <c r="A63">
        <v>48</v>
      </c>
      <c r="B63">
        <f>IF($A63&gt;$A$1,"",VLOOKUP($A63,'NHL PBP'!$A:$L,8,FALSE))</f>
        <v>1</v>
      </c>
      <c r="C63">
        <f>IF($A63&gt;$A$1,"",IF(B63&gt;3,5/24,20/24)-VLOOKUP($A63,'NHL PBP'!$A:$L,10,FALSE))</f>
        <v>0.55347222222222225</v>
      </c>
      <c r="D63" t="str">
        <f>IF($A63&gt;$A$1,"",VLOOKUP($A63,'NHL PBP'!$A:$L,11,FALSE))</f>
        <v>SHOT</v>
      </c>
      <c r="E63" t="str">
        <f>IF(AND(EXACT(D63,"FAC"),NOT(EXACT(MID(F63,9,3),"Neu"))),IF(OR(AND(EXACT(MID(F63,9,3),"Off"),EXACT(LEFT(F63,3),UPPER('Entry data'!$C$2))),AND(EXACT(MID(F63,9,3),"Def"),NOT(EXACT(LEFT(F63,3),UPPER('Entry data'!$C$2))))),"DZF","OZF"),"")</f>
        <v/>
      </c>
      <c r="F63" t="str">
        <f>IF($A63&gt;$A$1,"",VLOOKUP($A63,'NHL PBP'!$A:$L,12,FALSE))</f>
        <v>DET ONGOAL - #48 SPROUL, Slap, Off. Zone, 58 ft.</v>
      </c>
      <c r="J63">
        <f>IF(EXACT('Entry data'!$C$3,"Road"),IF(ISBLANK(VLOOKUP(A63,'NHL PBP'!A:AH,21,FALSE)),3,IF(ISBLANK(VLOOKUP(A63,'NHL PBP'!A:AH,23,FALSE)),4,5)),IF(ISBLANK(VLOOKUP(A63,'NHL PBP'!A:AH,32,FALSE)),3,IF(ISBLANK(VLOOKUP(A63,'NHL PBP'!A:AH,34,FALSE)),4,5)))</f>
        <v>5</v>
      </c>
      <c r="K63">
        <f>IF(EXACT('Entry data'!$C$3,"Home"),IF(ISBLANK(VLOOKUP(A63,'NHL PBP'!A:AH,21,FALSE)),3,IF(ISBLANK(VLOOKUP(A63,'NHL PBP'!A:AH,23,FALSE)),4,5)),IF(ISBLANK(VLOOKUP(A63,'NHL PBP'!A:AH,32,FALSE)),3,IF(ISBLANK(VLOOKUP(A63,'NHL PBP'!A:AH,34,FALSE)),4,5)))</f>
        <v>5</v>
      </c>
      <c r="L63">
        <f>IF(OR(EXACT(D63,"C"),EXACT(D63,"P"),EXACT(D63,"D"),EXACT(D63,"T"),EXACT(D63,"X"),EXACT(E63,"DZF"),EXACT(E63,"OZF"),EXACT(D63,"N"),EXACT(D63,"F")),1,0)</f>
        <v>0</v>
      </c>
      <c r="M63" t="str">
        <f t="shared" si="0"/>
        <v/>
      </c>
      <c r="N63">
        <f t="shared" si="1"/>
        <v>1</v>
      </c>
      <c r="O63">
        <f t="shared" si="2"/>
        <v>0</v>
      </c>
      <c r="P63" t="str">
        <f t="shared" si="3"/>
        <v/>
      </c>
    </row>
    <row r="64" spans="1:16" x14ac:dyDescent="0.25">
      <c r="A64">
        <v>49</v>
      </c>
      <c r="B64">
        <f>IF($A64&gt;$A$1,"",VLOOKUP($A64,'NHL PBP'!$A:$L,8,FALSE))</f>
        <v>1</v>
      </c>
      <c r="C64">
        <f>IF($A64&gt;$A$1,"",IF(B64&gt;3,5/24,20/24)-VLOOKUP($A64,'NHL PBP'!$A:$L,10,FALSE))</f>
        <v>0.55208333333333337</v>
      </c>
      <c r="D64" t="str">
        <f>IF($A64&gt;$A$1,"",VLOOKUP($A64,'NHL PBP'!$A:$L,11,FALSE))</f>
        <v>STOP</v>
      </c>
      <c r="E64" t="str">
        <f>IF(AND(EXACT(D64,"FAC"),NOT(EXACT(MID(F64,9,3),"Neu"))),IF(OR(AND(EXACT(MID(F64,9,3),"Off"),EXACT(LEFT(F64,3),UPPER('Entry data'!$C$2))),AND(EXACT(MID(F64,9,3),"Def"),NOT(EXACT(LEFT(F64,3),UPPER('Entry data'!$C$2))))),"DZF","OZF"),"")</f>
        <v/>
      </c>
      <c r="F64" t="str">
        <f>IF($A64&gt;$A$1,"",VLOOKUP($A64,'NHL PBP'!$A:$L,12,FALSE))</f>
        <v>ICING</v>
      </c>
      <c r="J64">
        <f>IF(EXACT('Entry data'!$C$3,"Road"),IF(ISBLANK(VLOOKUP(A64,'NHL PBP'!A:AH,21,FALSE)),3,IF(ISBLANK(VLOOKUP(A64,'NHL PBP'!A:AH,23,FALSE)),4,5)),IF(ISBLANK(VLOOKUP(A64,'NHL PBP'!A:AH,32,FALSE)),3,IF(ISBLANK(VLOOKUP(A64,'NHL PBP'!A:AH,34,FALSE)),4,5)))</f>
        <v>5</v>
      </c>
      <c r="K64">
        <f>IF(EXACT('Entry data'!$C$3,"Home"),IF(ISBLANK(VLOOKUP(A64,'NHL PBP'!A:AH,21,FALSE)),3,IF(ISBLANK(VLOOKUP(A64,'NHL PBP'!A:AH,23,FALSE)),4,5)),IF(ISBLANK(VLOOKUP(A64,'NHL PBP'!A:AH,32,FALSE)),3,IF(ISBLANK(VLOOKUP(A64,'NHL PBP'!A:AH,34,FALSE)),4,5)))</f>
        <v>5</v>
      </c>
      <c r="L64">
        <f>IF(OR(EXACT(D64,"C"),EXACT(D64,"P"),EXACT(D64,"D"),EXACT(D64,"T"),EXACT(D64,"X"),EXACT(E64,"DZF"),EXACT(E64,"OZF"),EXACT(D64,"N"),EXACT(D64,"F")),1,0)</f>
        <v>0</v>
      </c>
      <c r="M64" t="str">
        <f t="shared" si="0"/>
        <v/>
      </c>
      <c r="N64">
        <f t="shared" si="1"/>
        <v>0</v>
      </c>
      <c r="O64">
        <f t="shared" si="2"/>
        <v>0</v>
      </c>
      <c r="P64" t="str">
        <f t="shared" si="3"/>
        <v/>
      </c>
    </row>
    <row r="65" spans="1:16" x14ac:dyDescent="0.25">
      <c r="A65">
        <v>50</v>
      </c>
      <c r="B65">
        <f>IF($A65&gt;$A$1,"",VLOOKUP($A65,'NHL PBP'!$A:$L,8,FALSE))</f>
        <v>1</v>
      </c>
      <c r="C65">
        <f>IF($A65&gt;$A$1,"",IF(B65&gt;3,5/24,20/24)-VLOOKUP($A65,'NHL PBP'!$A:$L,10,FALSE))</f>
        <v>0.55208333333333337</v>
      </c>
      <c r="D65" t="str">
        <f>IF($A65&gt;$A$1,"",VLOOKUP($A65,'NHL PBP'!$A:$L,11,FALSE))</f>
        <v>FAC</v>
      </c>
      <c r="E65" t="str">
        <f>IF(AND(EXACT(D65,"FAC"),NOT(EXACT(MID(F65,9,3),"Neu"))),IF(OR(AND(EXACT(MID(F65,9,3),"Off"),EXACT(LEFT(F65,3),UPPER('Entry data'!$C$2))),AND(EXACT(MID(F65,9,3),"Def"),NOT(EXACT(LEFT(F65,3),UPPER('Entry data'!$C$2))))),"DZF","OZF"),"")</f>
        <v>OZF</v>
      </c>
      <c r="F65" t="str">
        <f>IF($A65&gt;$A$1,"",VLOOKUP($A65,'NHL PBP'!$A:$L,12,FALSE))</f>
        <v>DET won Off. Zone - NSH #12 FISHER vs DET #40 ZETTERBERG</v>
      </c>
      <c r="J65">
        <f>IF(EXACT('Entry data'!$C$3,"Road"),IF(ISBLANK(VLOOKUP(A65,'NHL PBP'!A:AH,21,FALSE)),3,IF(ISBLANK(VLOOKUP(A65,'NHL PBP'!A:AH,23,FALSE)),4,5)),IF(ISBLANK(VLOOKUP(A65,'NHL PBP'!A:AH,32,FALSE)),3,IF(ISBLANK(VLOOKUP(A65,'NHL PBP'!A:AH,34,FALSE)),4,5)))</f>
        <v>5</v>
      </c>
      <c r="K65">
        <f>IF(EXACT('Entry data'!$C$3,"Home"),IF(ISBLANK(VLOOKUP(A65,'NHL PBP'!A:AH,21,FALSE)),3,IF(ISBLANK(VLOOKUP(A65,'NHL PBP'!A:AH,23,FALSE)),4,5)),IF(ISBLANK(VLOOKUP(A65,'NHL PBP'!A:AH,32,FALSE)),3,IF(ISBLANK(VLOOKUP(A65,'NHL PBP'!A:AH,34,FALSE)),4,5)))</f>
        <v>5</v>
      </c>
      <c r="L65">
        <f>IF(OR(EXACT(D65,"C"),EXACT(D65,"P"),EXACT(D65,"D"),EXACT(D65,"T"),EXACT(D65,"X"),EXACT(E65,"DZF"),EXACT(E65,"OZF"),EXACT(D65,"N"),EXACT(D65,"F")),1,0)</f>
        <v>1</v>
      </c>
      <c r="M65" t="str">
        <f t="shared" si="0"/>
        <v/>
      </c>
      <c r="N65">
        <f t="shared" si="1"/>
        <v>0</v>
      </c>
      <c r="O65">
        <f t="shared" si="2"/>
        <v>0</v>
      </c>
      <c r="P65" t="str">
        <f t="shared" si="3"/>
        <v/>
      </c>
    </row>
    <row r="66" spans="1:16" x14ac:dyDescent="0.25">
      <c r="A66">
        <v>51</v>
      </c>
      <c r="B66">
        <f>IF($A66&gt;$A$1,"",VLOOKUP($A66,'NHL PBP'!$A:$L,8,FALSE))</f>
        <v>1</v>
      </c>
      <c r="C66">
        <f>IF($A66&gt;$A$1,"",IF(B66&gt;3,5/24,20/24)-VLOOKUP($A66,'NHL PBP'!$A:$L,10,FALSE))</f>
        <v>0.54652777777777783</v>
      </c>
      <c r="D66" t="str">
        <f>IF($A66&gt;$A$1,"",VLOOKUP($A66,'NHL PBP'!$A:$L,11,FALSE))</f>
        <v>PENL</v>
      </c>
      <c r="E66" t="str">
        <f>IF(AND(EXACT(D66,"FAC"),NOT(EXACT(MID(F66,9,3),"Neu"))),IF(OR(AND(EXACT(MID(F66,9,3),"Off"),EXACT(LEFT(F66,3),UPPER('Entry data'!$C$2))),AND(EXACT(MID(F66,9,3),"Def"),NOT(EXACT(LEFT(F66,3),UPPER('Entry data'!$C$2))))),"DZF","OZF"),"")</f>
        <v/>
      </c>
      <c r="F66" t="str">
        <f>IF($A66&gt;$A$1,"",VLOOKUP($A66,'NHL PBP'!$A:$L,12,FALSE))</f>
        <v>NSH #33 WILSON Hooking(2 min), Def. Zone Drawn By: DET #21 TATAR</v>
      </c>
      <c r="J66">
        <f>IF(EXACT('Entry data'!$C$3,"Road"),IF(ISBLANK(VLOOKUP(A66,'NHL PBP'!A:AH,21,FALSE)),3,IF(ISBLANK(VLOOKUP(A66,'NHL PBP'!A:AH,23,FALSE)),4,5)),IF(ISBLANK(VLOOKUP(A66,'NHL PBP'!A:AH,32,FALSE)),3,IF(ISBLANK(VLOOKUP(A66,'NHL PBP'!A:AH,34,FALSE)),4,5)))</f>
        <v>5</v>
      </c>
      <c r="K66">
        <f>IF(EXACT('Entry data'!$C$3,"Home"),IF(ISBLANK(VLOOKUP(A66,'NHL PBP'!A:AH,21,FALSE)),3,IF(ISBLANK(VLOOKUP(A66,'NHL PBP'!A:AH,23,FALSE)),4,5)),IF(ISBLANK(VLOOKUP(A66,'NHL PBP'!A:AH,32,FALSE)),3,IF(ISBLANK(VLOOKUP(A66,'NHL PBP'!A:AH,34,FALSE)),4,5)))</f>
        <v>5</v>
      </c>
      <c r="L66">
        <f>IF(OR(EXACT(D66,"C"),EXACT(D66,"P"),EXACT(D66,"D"),EXACT(D66,"T"),EXACT(D66,"X"),EXACT(E66,"DZF"),EXACT(E66,"OZF"),EXACT(D66,"N"),EXACT(D66,"F")),1,0)</f>
        <v>0</v>
      </c>
      <c r="M66" t="str">
        <f t="shared" ref="M66:M129" si="4">IF(OR(EXACT(D66,"C"),EXACT(D66,"P")),E66,"")</f>
        <v/>
      </c>
      <c r="N66">
        <f t="shared" ref="N66:N129" si="5">IF(OR(EXACT(D66,"GOAL"),EXACT(D66,"SHOT"),EXACT(D66,"MISS")),1,0)+IF(L67=0,N67,0)</f>
        <v>0</v>
      </c>
      <c r="O66">
        <f t="shared" ref="O66:O129" si="6">IF(EXACT(D66,"GOAL"),1,0)+IF(L67=0,O67,0)</f>
        <v>0</v>
      </c>
      <c r="P66" t="str">
        <f t="shared" si="3"/>
        <v/>
      </c>
    </row>
    <row r="67" spans="1:16" x14ac:dyDescent="0.25">
      <c r="A67">
        <v>52</v>
      </c>
      <c r="B67">
        <f>IF($A67&gt;$A$1,"",VLOOKUP($A67,'NHL PBP'!$A:$L,8,FALSE))</f>
        <v>1</v>
      </c>
      <c r="C67">
        <f>IF($A67&gt;$A$1,"",IF(B67&gt;3,5/24,20/24)-VLOOKUP($A67,'NHL PBP'!$A:$L,10,FALSE))</f>
        <v>0.54652777777777783</v>
      </c>
      <c r="D67" t="str">
        <f>IF($A67&gt;$A$1,"",VLOOKUP($A67,'NHL PBP'!$A:$L,11,FALSE))</f>
        <v>FAC</v>
      </c>
      <c r="E67" t="str">
        <f>IF(AND(EXACT(D67,"FAC"),NOT(EXACT(MID(F67,9,3),"Neu"))),IF(OR(AND(EXACT(MID(F67,9,3),"Off"),EXACT(LEFT(F67,3),UPPER('Entry data'!$C$2))),AND(EXACT(MID(F67,9,3),"Def"),NOT(EXACT(LEFT(F67,3),UPPER('Entry data'!$C$2))))),"DZF","OZF"),"")</f>
        <v>OZF</v>
      </c>
      <c r="F67" t="str">
        <f>IF($A67&gt;$A$1,"",VLOOKUP($A67,'NHL PBP'!$A:$L,12,FALSE))</f>
        <v>DET won Off. Zone - NSH #10 SISSONS vs DET #40 ZETTERBERG</v>
      </c>
      <c r="J67">
        <f>IF(EXACT('Entry data'!$C$3,"Road"),IF(ISBLANK(VLOOKUP(A67,'NHL PBP'!A:AH,21,FALSE)),3,IF(ISBLANK(VLOOKUP(A67,'NHL PBP'!A:AH,23,FALSE)),4,5)),IF(ISBLANK(VLOOKUP(A67,'NHL PBP'!A:AH,32,FALSE)),3,IF(ISBLANK(VLOOKUP(A67,'NHL PBP'!A:AH,34,FALSE)),4,5)))</f>
        <v>5</v>
      </c>
      <c r="K67">
        <f>IF(EXACT('Entry data'!$C$3,"Home"),IF(ISBLANK(VLOOKUP(A67,'NHL PBP'!A:AH,21,FALSE)),3,IF(ISBLANK(VLOOKUP(A67,'NHL PBP'!A:AH,23,FALSE)),4,5)),IF(ISBLANK(VLOOKUP(A67,'NHL PBP'!A:AH,32,FALSE)),3,IF(ISBLANK(VLOOKUP(A67,'NHL PBP'!A:AH,34,FALSE)),4,5)))</f>
        <v>4</v>
      </c>
      <c r="L67">
        <f>IF(OR(EXACT(D67,"C"),EXACT(D67,"P"),EXACT(D67,"D"),EXACT(D67,"T"),EXACT(D67,"X"),EXACT(E67,"DZF"),EXACT(E67,"OZF"),EXACT(D67,"N"),EXACT(D67,"F")),1,0)</f>
        <v>1</v>
      </c>
      <c r="M67" t="str">
        <f t="shared" si="4"/>
        <v/>
      </c>
      <c r="N67">
        <f t="shared" si="5"/>
        <v>1</v>
      </c>
      <c r="O67">
        <f t="shared" si="6"/>
        <v>0</v>
      </c>
      <c r="P67" t="str">
        <f t="shared" ref="P67:P130" si="7">IF(EXACT(D67,"F"),E67,"")</f>
        <v/>
      </c>
    </row>
    <row r="68" spans="1:16" x14ac:dyDescent="0.25">
      <c r="A68">
        <v>53</v>
      </c>
      <c r="B68">
        <f>IF($A68&gt;$A$1,"",VLOOKUP($A68,'NHL PBP'!$A:$L,8,FALSE))</f>
        <v>1</v>
      </c>
      <c r="C68">
        <f>IF($A68&gt;$A$1,"",IF(B68&gt;3,5/24,20/24)-VLOOKUP($A68,'NHL PBP'!$A:$L,10,FALSE))</f>
        <v>0.53819444444444442</v>
      </c>
      <c r="D68" t="str">
        <f>IF($A68&gt;$A$1,"",VLOOKUP($A68,'NHL PBP'!$A:$L,11,FALSE))</f>
        <v>BLOCK</v>
      </c>
      <c r="E68" t="str">
        <f>IF(AND(EXACT(D68,"FAC"),NOT(EXACT(MID(F68,9,3),"Neu"))),IF(OR(AND(EXACT(MID(F68,9,3),"Off"),EXACT(LEFT(F68,3),UPPER('Entry data'!$C$2))),AND(EXACT(MID(F68,9,3),"Def"),NOT(EXACT(LEFT(F68,3),UPPER('Entry data'!$C$2))))),"DZF","OZF"),"")</f>
        <v/>
      </c>
      <c r="F68" t="str">
        <f>IF($A68&gt;$A$1,"",VLOOKUP($A68,'NHL PBP'!$A:$L,12,FALSE))</f>
        <v>DET #21 TATAR BLOCKED BY NSH #4 ELLIS, Snap, Def. Zone</v>
      </c>
      <c r="J68">
        <f>IF(EXACT('Entry data'!$C$3,"Road"),IF(ISBLANK(VLOOKUP(A68,'NHL PBP'!A:AH,21,FALSE)),3,IF(ISBLANK(VLOOKUP(A68,'NHL PBP'!A:AH,23,FALSE)),4,5)),IF(ISBLANK(VLOOKUP(A68,'NHL PBP'!A:AH,32,FALSE)),3,IF(ISBLANK(VLOOKUP(A68,'NHL PBP'!A:AH,34,FALSE)),4,5)))</f>
        <v>5</v>
      </c>
      <c r="K68">
        <f>IF(EXACT('Entry data'!$C$3,"Home"),IF(ISBLANK(VLOOKUP(A68,'NHL PBP'!A:AH,21,FALSE)),3,IF(ISBLANK(VLOOKUP(A68,'NHL PBP'!A:AH,23,FALSE)),4,5)),IF(ISBLANK(VLOOKUP(A68,'NHL PBP'!A:AH,32,FALSE)),3,IF(ISBLANK(VLOOKUP(A68,'NHL PBP'!A:AH,34,FALSE)),4,5)))</f>
        <v>4</v>
      </c>
      <c r="L68">
        <f>IF(OR(EXACT(D68,"C"),EXACT(D68,"P"),EXACT(D68,"D"),EXACT(D68,"T"),EXACT(D68,"X"),EXACT(E68,"DZF"),EXACT(E68,"OZF"),EXACT(D68,"N"),EXACT(D68,"F")),1,0)</f>
        <v>0</v>
      </c>
      <c r="M68" t="str">
        <f t="shared" si="4"/>
        <v/>
      </c>
      <c r="N68">
        <f t="shared" si="5"/>
        <v>1</v>
      </c>
      <c r="O68">
        <f t="shared" si="6"/>
        <v>0</v>
      </c>
      <c r="P68" t="str">
        <f t="shared" si="7"/>
        <v/>
      </c>
    </row>
    <row r="69" spans="1:16" x14ac:dyDescent="0.25">
      <c r="A69">
        <v>54</v>
      </c>
      <c r="B69">
        <f>IF($A69&gt;$A$1,"",VLOOKUP($A69,'NHL PBP'!$A:$L,8,FALSE))</f>
        <v>1</v>
      </c>
      <c r="C69">
        <f>IF($A69&gt;$A$1,"",IF(B69&gt;3,5/24,20/24)-VLOOKUP($A69,'NHL PBP'!$A:$L,10,FALSE))</f>
        <v>0.52708333333333335</v>
      </c>
      <c r="D69" t="str">
        <f>IF($A69&gt;$A$1,"",VLOOKUP($A69,'NHL PBP'!$A:$L,11,FALSE))</f>
        <v>MISS</v>
      </c>
      <c r="E69" t="str">
        <f>IF(AND(EXACT(D69,"FAC"),NOT(EXACT(MID(F69,9,3),"Neu"))),IF(OR(AND(EXACT(MID(F69,9,3),"Off"),EXACT(LEFT(F69,3),UPPER('Entry data'!$C$2))),AND(EXACT(MID(F69,9,3),"Def"),NOT(EXACT(LEFT(F69,3),UPPER('Entry data'!$C$2))))),"DZF","OZF"),"")</f>
        <v/>
      </c>
      <c r="F69" t="str">
        <f>IF($A69&gt;$A$1,"",VLOOKUP($A69,'NHL PBP'!$A:$L,12,FALSE))</f>
        <v>DET #25 GREEN, Wrist, Wide of Net, Off. Zone, 52 ft.</v>
      </c>
      <c r="J69">
        <f>IF(EXACT('Entry data'!$C$3,"Road"),IF(ISBLANK(VLOOKUP(A69,'NHL PBP'!A:AH,21,FALSE)),3,IF(ISBLANK(VLOOKUP(A69,'NHL PBP'!A:AH,23,FALSE)),4,5)),IF(ISBLANK(VLOOKUP(A69,'NHL PBP'!A:AH,32,FALSE)),3,IF(ISBLANK(VLOOKUP(A69,'NHL PBP'!A:AH,34,FALSE)),4,5)))</f>
        <v>5</v>
      </c>
      <c r="K69">
        <f>IF(EXACT('Entry data'!$C$3,"Home"),IF(ISBLANK(VLOOKUP(A69,'NHL PBP'!A:AH,21,FALSE)),3,IF(ISBLANK(VLOOKUP(A69,'NHL PBP'!A:AH,23,FALSE)),4,5)),IF(ISBLANK(VLOOKUP(A69,'NHL PBP'!A:AH,32,FALSE)),3,IF(ISBLANK(VLOOKUP(A69,'NHL PBP'!A:AH,34,FALSE)),4,5)))</f>
        <v>4</v>
      </c>
      <c r="L69">
        <f>IF(OR(EXACT(D69,"C"),EXACT(D69,"P"),EXACT(D69,"D"),EXACT(D69,"T"),EXACT(D69,"X"),EXACT(E69,"DZF"),EXACT(E69,"OZF"),EXACT(D69,"N"),EXACT(D69,"F")),1,0)</f>
        <v>0</v>
      </c>
      <c r="M69" t="str">
        <f t="shared" si="4"/>
        <v/>
      </c>
      <c r="N69">
        <f t="shared" si="5"/>
        <v>1</v>
      </c>
      <c r="O69">
        <f t="shared" si="6"/>
        <v>0</v>
      </c>
      <c r="P69" t="str">
        <f t="shared" si="7"/>
        <v/>
      </c>
    </row>
    <row r="70" spans="1:16" x14ac:dyDescent="0.25">
      <c r="A70">
        <v>15</v>
      </c>
      <c r="B70">
        <f>IF(ISBLANK(VLOOKUP($A70,'Entry data'!$A:$K,2,FALSE)),"",VLOOKUP($A70,'Entry data'!$A:$K,2,FALSE))</f>
        <v>1</v>
      </c>
      <c r="C70">
        <f>IF(ISBLANK(VLOOKUP($A70,'Entry data'!$A:$K,3,FALSE)),"",VLOOKUP($A70,'Entry data'!$A:$K,3,FALSE))</f>
        <v>0.50138888888888888</v>
      </c>
      <c r="D70" t="str">
        <f>IF(ISBLANK(VLOOKUP($A70,'Entry data'!$A:$K,4,FALSE)),"",VLOOKUP($A70,'Entry data'!$A:$K,4,FALSE))</f>
        <v>C</v>
      </c>
      <c r="E70" t="str">
        <f>IF(ISBLANK(VLOOKUP($A70,'Entry data'!$A:$K,5,FALSE)),"",VLOOKUP($A70,'Entry data'!$A:$K,5,FALSE))</f>
        <v>14DET</v>
      </c>
      <c r="F70" t="str">
        <f>IF(ISBLANK(VLOOKUP($A70,'Entry data'!$A:$K,6,FALSE)),"",VLOOKUP($A70,'Entry data'!$A:$K,6,FALSE))</f>
        <v>12NSH</v>
      </c>
      <c r="G70" t="str">
        <f>IF(ISBLANK(VLOOKUP($A70,'Entry data'!$A:$K,7,FALSE)),"",VLOOKUP($A70,'Entry data'!$A:$K,7,FALSE))</f>
        <v>Y</v>
      </c>
      <c r="H70" t="str">
        <f>IF(ISBLANK(VLOOKUP($A70,'Entry data'!$A:$K,8,FALSE)),"",VLOOKUP($A70,'Entry data'!$A:$K,8,FALSE))</f>
        <v>R</v>
      </c>
      <c r="I70" t="str">
        <f>IF(ISBLANK(VLOOKUP($A70,'Entry data'!$A:$K,9,FALSE)),"",VLOOKUP($A70,'Entry data'!$A:$K,9,FALSE))</f>
        <v>N</v>
      </c>
      <c r="J70">
        <f>IF(ISBLANK(VLOOKUP($A70,'Entry data'!$A:$K,10,FALSE)),"",VLOOKUP($A70,'Entry data'!$A:$K,10,FALSE))</f>
        <v>4</v>
      </c>
      <c r="K70">
        <f>IF(ISBLANK(VLOOKUP($A70,'Entry data'!$A:$K,11,FALSE)),"",VLOOKUP($A70,'Entry data'!$A:$K,11,FALSE))</f>
        <v>5</v>
      </c>
      <c r="L70">
        <f>IF(OR(EXACT(D70,"C"),EXACT(D70,"P"),EXACT(D70,"D"),EXACT(D70,"T"),EXACT(D70,"X"),EXACT(E70,"DZF"),EXACT(E70,"OZF"),EXACT(D70,"N"),EXACT(D70,"F")),1,0)</f>
        <v>1</v>
      </c>
      <c r="M70" t="str">
        <f t="shared" si="4"/>
        <v>14DET</v>
      </c>
      <c r="N70">
        <f t="shared" si="5"/>
        <v>1</v>
      </c>
      <c r="O70">
        <f t="shared" si="6"/>
        <v>0</v>
      </c>
      <c r="P70" t="str">
        <f t="shared" si="7"/>
        <v/>
      </c>
    </row>
    <row r="71" spans="1:16" x14ac:dyDescent="0.25">
      <c r="A71">
        <v>55</v>
      </c>
      <c r="B71">
        <f>IF($A71&gt;$A$1,"",VLOOKUP($A71,'NHL PBP'!$A:$L,8,FALSE))</f>
        <v>1</v>
      </c>
      <c r="C71">
        <f>IF($A71&gt;$A$1,"",IF(B71&gt;3,5/24,20/24)-VLOOKUP($A71,'NHL PBP'!$A:$L,10,FALSE))</f>
        <v>0.48472222222222222</v>
      </c>
      <c r="D71" t="str">
        <f>IF($A71&gt;$A$1,"",VLOOKUP($A71,'NHL PBP'!$A:$L,11,FALSE))</f>
        <v>MISS</v>
      </c>
      <c r="E71" t="str">
        <f>IF(AND(EXACT(D71,"FAC"),NOT(EXACT(MID(F71,9,3),"Neu"))),IF(OR(AND(EXACT(MID(F71,9,3),"Off"),EXACT(LEFT(F71,3),UPPER('Entry data'!$C$2))),AND(EXACT(MID(F71,9,3),"Def"),NOT(EXACT(LEFT(F71,3),UPPER('Entry data'!$C$2))))),"DZF","OZF"),"")</f>
        <v/>
      </c>
      <c r="F71" t="str">
        <f>IF($A71&gt;$A$1,"",VLOOKUP($A71,'NHL PBP'!$A:$L,12,FALSE))</f>
        <v>DET #48 SPROUL, Slap, Wide of Net, Off. Zone, 50 ft.</v>
      </c>
      <c r="J71">
        <f>IF(EXACT('Entry data'!$C$3,"Road"),IF(ISBLANK(VLOOKUP(A71,'NHL PBP'!A:AH,21,FALSE)),3,IF(ISBLANK(VLOOKUP(A71,'NHL PBP'!A:AH,23,FALSE)),4,5)),IF(ISBLANK(VLOOKUP(A71,'NHL PBP'!A:AH,32,FALSE)),3,IF(ISBLANK(VLOOKUP(A71,'NHL PBP'!A:AH,34,FALSE)),4,5)))</f>
        <v>5</v>
      </c>
      <c r="K71">
        <f>IF(EXACT('Entry data'!$C$3,"Home"),IF(ISBLANK(VLOOKUP(A71,'NHL PBP'!A:AH,21,FALSE)),3,IF(ISBLANK(VLOOKUP(A71,'NHL PBP'!A:AH,23,FALSE)),4,5)),IF(ISBLANK(VLOOKUP(A71,'NHL PBP'!A:AH,32,FALSE)),3,IF(ISBLANK(VLOOKUP(A71,'NHL PBP'!A:AH,34,FALSE)),4,5)))</f>
        <v>4</v>
      </c>
      <c r="L71">
        <f>IF(OR(EXACT(D71,"C"),EXACT(D71,"P"),EXACT(D71,"D"),EXACT(D71,"T"),EXACT(D71,"X"),EXACT(E71,"DZF"),EXACT(E71,"OZF"),EXACT(D71,"N"),EXACT(D71,"F")),1,0)</f>
        <v>0</v>
      </c>
      <c r="M71" t="str">
        <f t="shared" si="4"/>
        <v/>
      </c>
      <c r="N71">
        <f t="shared" si="5"/>
        <v>1</v>
      </c>
      <c r="O71">
        <f t="shared" si="6"/>
        <v>0</v>
      </c>
      <c r="P71" t="str">
        <f t="shared" si="7"/>
        <v/>
      </c>
    </row>
    <row r="72" spans="1:16" x14ac:dyDescent="0.25">
      <c r="A72">
        <v>16</v>
      </c>
      <c r="B72">
        <f>IF(ISBLANK(VLOOKUP($A72,'Entry data'!$A:$K,2,FALSE)),"",VLOOKUP($A72,'Entry data'!$A:$K,2,FALSE))</f>
        <v>1</v>
      </c>
      <c r="C72">
        <f>IF(ISBLANK(VLOOKUP($A72,'Entry data'!$A:$K,3,FALSE)),"",VLOOKUP($A72,'Entry data'!$A:$K,3,FALSE))</f>
        <v>0.46666666666666662</v>
      </c>
      <c r="D72" t="str">
        <f>IF(ISBLANK(VLOOKUP($A72,'Entry data'!$A:$K,4,FALSE)),"",VLOOKUP($A72,'Entry data'!$A:$K,4,FALSE))</f>
        <v>D</v>
      </c>
      <c r="E72" t="str">
        <f>IF(ISBLANK(VLOOKUP($A72,'Entry data'!$A:$K,5,FALSE)),"",VLOOKUP($A72,'Entry data'!$A:$K,5,FALSE))</f>
        <v>53DET</v>
      </c>
      <c r="F72" t="str">
        <f>IF(ISBLANK(VLOOKUP($A72,'Entry data'!$A:$K,6,FALSE)),"",VLOOKUP($A72,'Entry data'!$A:$K,6,FALSE))</f>
        <v>N</v>
      </c>
      <c r="G72" t="str">
        <f>IF(ISBLANK(VLOOKUP($A72,'Entry data'!$A:$K,7,FALSE)),"",VLOOKUP($A72,'Entry data'!$A:$K,7,FALSE))</f>
        <v/>
      </c>
      <c r="H72" t="str">
        <f>IF(ISBLANK(VLOOKUP($A72,'Entry data'!$A:$K,8,FALSE)),"",VLOOKUP($A72,'Entry data'!$A:$K,8,FALSE))</f>
        <v>C</v>
      </c>
      <c r="I72" t="str">
        <f>IF(ISBLANK(VLOOKUP($A72,'Entry data'!$A:$K,9,FALSE)),"",VLOOKUP($A72,'Entry data'!$A:$K,9,FALSE))</f>
        <v>41DET</v>
      </c>
      <c r="J72">
        <f>IF(ISBLANK(VLOOKUP($A72,'Entry data'!$A:$K,10,FALSE)),"",VLOOKUP($A72,'Entry data'!$A:$K,10,FALSE))</f>
        <v>4</v>
      </c>
      <c r="K72">
        <f>IF(ISBLANK(VLOOKUP($A72,'Entry data'!$A:$K,11,FALSE)),"",VLOOKUP($A72,'Entry data'!$A:$K,11,FALSE))</f>
        <v>5</v>
      </c>
      <c r="L72">
        <f>IF(OR(EXACT(D72,"C"),EXACT(D72,"P"),EXACT(D72,"D"),EXACT(D72,"T"),EXACT(D72,"X"),EXACT(E72,"DZF"),EXACT(E72,"OZF"),EXACT(D72,"N"),EXACT(D72,"F")),1,0)</f>
        <v>1</v>
      </c>
      <c r="M72" t="str">
        <f t="shared" si="4"/>
        <v/>
      </c>
      <c r="N72">
        <f t="shared" si="5"/>
        <v>1</v>
      </c>
      <c r="O72">
        <f t="shared" si="6"/>
        <v>0</v>
      </c>
      <c r="P72" t="str">
        <f t="shared" si="7"/>
        <v/>
      </c>
    </row>
    <row r="73" spans="1:16" x14ac:dyDescent="0.25">
      <c r="A73">
        <v>56</v>
      </c>
      <c r="B73">
        <f>IF($A73&gt;$A$1,"",VLOOKUP($A73,'NHL PBP'!$A:$L,8,FALSE))</f>
        <v>1</v>
      </c>
      <c r="C73">
        <f>IF($A73&gt;$A$1,"",IF(B73&gt;3,5/24,20/24)-VLOOKUP($A73,'NHL PBP'!$A:$L,10,FALSE))</f>
        <v>0.45902777777777787</v>
      </c>
      <c r="D73" t="str">
        <f>IF($A73&gt;$A$1,"",VLOOKUP($A73,'NHL PBP'!$A:$L,11,FALSE))</f>
        <v>SHOT</v>
      </c>
      <c r="E73" t="str">
        <f>IF(AND(EXACT(D73,"FAC"),NOT(EXACT(MID(F73,9,3),"Neu"))),IF(OR(AND(EXACT(MID(F73,9,3),"Off"),EXACT(LEFT(F73,3),UPPER('Entry data'!$C$2))),AND(EXACT(MID(F73,9,3),"Def"),NOT(EXACT(LEFT(F73,3),UPPER('Entry data'!$C$2))))),"DZF","OZF"),"")</f>
        <v/>
      </c>
      <c r="F73" t="str">
        <f>IF($A73&gt;$A$1,"",VLOOKUP($A73,'NHL PBP'!$A:$L,12,FALSE))</f>
        <v>DET ONGOAL - #53 MARCHENKO, Slap, Off. Zone, 56 ft.</v>
      </c>
      <c r="J73">
        <f>IF(EXACT('Entry data'!$C$3,"Road"),IF(ISBLANK(VLOOKUP(A73,'NHL PBP'!A:AH,21,FALSE)),3,IF(ISBLANK(VLOOKUP(A73,'NHL PBP'!A:AH,23,FALSE)),4,5)),IF(ISBLANK(VLOOKUP(A73,'NHL PBP'!A:AH,32,FALSE)),3,IF(ISBLANK(VLOOKUP(A73,'NHL PBP'!A:AH,34,FALSE)),4,5)))</f>
        <v>5</v>
      </c>
      <c r="K73">
        <f>IF(EXACT('Entry data'!$C$3,"Home"),IF(ISBLANK(VLOOKUP(A73,'NHL PBP'!A:AH,21,FALSE)),3,IF(ISBLANK(VLOOKUP(A73,'NHL PBP'!A:AH,23,FALSE)),4,5)),IF(ISBLANK(VLOOKUP(A73,'NHL PBP'!A:AH,32,FALSE)),3,IF(ISBLANK(VLOOKUP(A73,'NHL PBP'!A:AH,34,FALSE)),4,5)))</f>
        <v>5</v>
      </c>
      <c r="L73">
        <f>IF(OR(EXACT(D73,"C"),EXACT(D73,"P"),EXACT(D73,"D"),EXACT(D73,"T"),EXACT(D73,"X"),EXACT(E73,"DZF"),EXACT(E73,"OZF"),EXACT(D73,"N"),EXACT(D73,"F")),1,0)</f>
        <v>0</v>
      </c>
      <c r="M73" t="str">
        <f t="shared" si="4"/>
        <v/>
      </c>
      <c r="N73">
        <f t="shared" si="5"/>
        <v>1</v>
      </c>
      <c r="O73">
        <f t="shared" si="6"/>
        <v>0</v>
      </c>
      <c r="P73" t="str">
        <f t="shared" si="7"/>
        <v/>
      </c>
    </row>
    <row r="74" spans="1:16" x14ac:dyDescent="0.25">
      <c r="A74">
        <v>57</v>
      </c>
      <c r="B74">
        <f>IF($A74&gt;$A$1,"",VLOOKUP($A74,'NHL PBP'!$A:$L,8,FALSE))</f>
        <v>1</v>
      </c>
      <c r="C74">
        <f>IF($A74&gt;$A$1,"",IF(B74&gt;3,5/24,20/24)-VLOOKUP($A74,'NHL PBP'!$A:$L,10,FALSE))</f>
        <v>0.4555555555555556</v>
      </c>
      <c r="D74" t="str">
        <f>IF($A74&gt;$A$1,"",VLOOKUP($A74,'NHL PBP'!$A:$L,11,FALSE))</f>
        <v>HIT</v>
      </c>
      <c r="E74" t="str">
        <f>IF(AND(EXACT(D74,"FAC"),NOT(EXACT(MID(F74,9,3),"Neu"))),IF(OR(AND(EXACT(MID(F74,9,3),"Off"),EXACT(LEFT(F74,3),UPPER('Entry data'!$C$2))),AND(EXACT(MID(F74,9,3),"Def"),NOT(EXACT(LEFT(F74,3),UPPER('Entry data'!$C$2))))),"DZF","OZF"),"")</f>
        <v/>
      </c>
      <c r="F74" t="str">
        <f>IF($A74&gt;$A$1,"",VLOOKUP($A74,'NHL PBP'!$A:$L,12,FALSE))</f>
        <v>DET #20 MILLER HIT NSH #38 ARVIDSSON, Off. Zone</v>
      </c>
      <c r="J74">
        <f>IF(EXACT('Entry data'!$C$3,"Road"),IF(ISBLANK(VLOOKUP(A74,'NHL PBP'!A:AH,21,FALSE)),3,IF(ISBLANK(VLOOKUP(A74,'NHL PBP'!A:AH,23,FALSE)),4,5)),IF(ISBLANK(VLOOKUP(A74,'NHL PBP'!A:AH,32,FALSE)),3,IF(ISBLANK(VLOOKUP(A74,'NHL PBP'!A:AH,34,FALSE)),4,5)))</f>
        <v>5</v>
      </c>
      <c r="K74">
        <f>IF(EXACT('Entry data'!$C$3,"Home"),IF(ISBLANK(VLOOKUP(A74,'NHL PBP'!A:AH,21,FALSE)),3,IF(ISBLANK(VLOOKUP(A74,'NHL PBP'!A:AH,23,FALSE)),4,5)),IF(ISBLANK(VLOOKUP(A74,'NHL PBP'!A:AH,32,FALSE)),3,IF(ISBLANK(VLOOKUP(A74,'NHL PBP'!A:AH,34,FALSE)),4,5)))</f>
        <v>5</v>
      </c>
      <c r="L74">
        <f>IF(OR(EXACT(D74,"C"),EXACT(D74,"P"),EXACT(D74,"D"),EXACT(D74,"T"),EXACT(D74,"X"),EXACT(E74,"DZF"),EXACT(E74,"OZF"),EXACT(D74,"N"),EXACT(D74,"F")),1,0)</f>
        <v>0</v>
      </c>
      <c r="M74" t="str">
        <f t="shared" si="4"/>
        <v/>
      </c>
      <c r="N74">
        <f t="shared" si="5"/>
        <v>0</v>
      </c>
      <c r="O74">
        <f t="shared" si="6"/>
        <v>0</v>
      </c>
      <c r="P74" t="str">
        <f t="shared" si="7"/>
        <v/>
      </c>
    </row>
    <row r="75" spans="1:16" x14ac:dyDescent="0.25">
      <c r="A75">
        <v>17</v>
      </c>
      <c r="B75">
        <f>IF(ISBLANK(VLOOKUP($A75,'Entry data'!$A:$K,2,FALSE)),"",VLOOKUP($A75,'Entry data'!$A:$K,2,FALSE))</f>
        <v>1</v>
      </c>
      <c r="C75">
        <f>IF(ISBLANK(VLOOKUP($A75,'Entry data'!$A:$K,3,FALSE)),"",VLOOKUP($A75,'Entry data'!$A:$K,3,FALSE))</f>
        <v>0.45416666666666666</v>
      </c>
      <c r="D75" t="str">
        <f>IF(ISBLANK(VLOOKUP($A75,'Entry data'!$A:$K,4,FALSE)),"",VLOOKUP($A75,'Entry data'!$A:$K,4,FALSE))</f>
        <v>D</v>
      </c>
      <c r="E75" t="str">
        <f>IF(ISBLANK(VLOOKUP($A75,'Entry data'!$A:$K,5,FALSE)),"",VLOOKUP($A75,'Entry data'!$A:$K,5,FALSE))</f>
        <v>16NSH</v>
      </c>
      <c r="F75" t="str">
        <f>IF(ISBLANK(VLOOKUP($A75,'Entry data'!$A:$K,6,FALSE)),"",VLOOKUP($A75,'Entry data'!$A:$K,6,FALSE))</f>
        <v>65DET</v>
      </c>
      <c r="G75" t="str">
        <f>IF(ISBLANK(VLOOKUP($A75,'Entry data'!$A:$K,7,FALSE)),"",VLOOKUP($A75,'Entry data'!$A:$K,7,FALSE))</f>
        <v/>
      </c>
      <c r="H75" t="str">
        <f>IF(ISBLANK(VLOOKUP($A75,'Entry data'!$A:$K,8,FALSE)),"",VLOOKUP($A75,'Entry data'!$A:$K,8,FALSE))</f>
        <v>R</v>
      </c>
      <c r="I75" t="str">
        <f>IF(ISBLANK(VLOOKUP($A75,'Entry data'!$A:$K,9,FALSE)),"",VLOOKUP($A75,'Entry data'!$A:$K,9,FALSE))</f>
        <v>33NSH</v>
      </c>
      <c r="J75">
        <f>IF(ISBLANK(VLOOKUP($A75,'Entry data'!$A:$K,10,FALSE)),"",VLOOKUP($A75,'Entry data'!$A:$K,10,FALSE))</f>
        <v>5</v>
      </c>
      <c r="K75">
        <f>IF(ISBLANK(VLOOKUP($A75,'Entry data'!$A:$K,11,FALSE)),"",VLOOKUP($A75,'Entry data'!$A:$K,11,FALSE))</f>
        <v>5</v>
      </c>
      <c r="L75">
        <f>IF(OR(EXACT(D75,"C"),EXACT(D75,"P"),EXACT(D75,"D"),EXACT(D75,"T"),EXACT(D75,"X"),EXACT(E75,"DZF"),EXACT(E75,"OZF"),EXACT(D75,"N"),EXACT(D75,"F")),1,0)</f>
        <v>1</v>
      </c>
      <c r="M75" t="str">
        <f t="shared" si="4"/>
        <v/>
      </c>
      <c r="N75">
        <f t="shared" si="5"/>
        <v>0</v>
      </c>
      <c r="O75">
        <f t="shared" si="6"/>
        <v>0</v>
      </c>
      <c r="P75" t="str">
        <f t="shared" si="7"/>
        <v/>
      </c>
    </row>
    <row r="76" spans="1:16" x14ac:dyDescent="0.25">
      <c r="A76">
        <v>18</v>
      </c>
      <c r="B76">
        <f>IF(ISBLANK(VLOOKUP($A76,'Entry data'!$A:$K,2,FALSE)),"",VLOOKUP($A76,'Entry data'!$A:$K,2,FALSE))</f>
        <v>1</v>
      </c>
      <c r="C76">
        <f>IF(ISBLANK(VLOOKUP($A76,'Entry data'!$A:$K,3,FALSE)),"",VLOOKUP($A76,'Entry data'!$A:$K,3,FALSE))</f>
        <v>0.4458333333333333</v>
      </c>
      <c r="D76" t="str">
        <f>IF(ISBLANK(VLOOKUP($A76,'Entry data'!$A:$K,4,FALSE)),"",VLOOKUP($A76,'Entry data'!$A:$K,4,FALSE))</f>
        <v>C</v>
      </c>
      <c r="E76" t="str">
        <f>IF(ISBLANK(VLOOKUP($A76,'Entry data'!$A:$K,5,FALSE)),"",VLOOKUP($A76,'Entry data'!$A:$K,5,FALSE))</f>
        <v>92NSH</v>
      </c>
      <c r="F76" t="str">
        <f>IF(ISBLANK(VLOOKUP($A76,'Entry data'!$A:$K,6,FALSE)),"",VLOOKUP($A76,'Entry data'!$A:$K,6,FALSE))</f>
        <v>65DET</v>
      </c>
      <c r="G76" t="str">
        <f>IF(ISBLANK(VLOOKUP($A76,'Entry data'!$A:$K,7,FALSE)),"",VLOOKUP($A76,'Entry data'!$A:$K,7,FALSE))</f>
        <v>N</v>
      </c>
      <c r="H76" t="str">
        <f>IF(ISBLANK(VLOOKUP($A76,'Entry data'!$A:$K,8,FALSE)),"",VLOOKUP($A76,'Entry data'!$A:$K,8,FALSE))</f>
        <v>R</v>
      </c>
      <c r="I76" t="str">
        <f>IF(ISBLANK(VLOOKUP($A76,'Entry data'!$A:$K,9,FALSE)),"",VLOOKUP($A76,'Entry data'!$A:$K,9,FALSE))</f>
        <v>N</v>
      </c>
      <c r="J76">
        <f>IF(ISBLANK(VLOOKUP($A76,'Entry data'!$A:$K,10,FALSE)),"",VLOOKUP($A76,'Entry data'!$A:$K,10,FALSE))</f>
        <v>5</v>
      </c>
      <c r="K76">
        <f>IF(ISBLANK(VLOOKUP($A76,'Entry data'!$A:$K,11,FALSE)),"",VLOOKUP($A76,'Entry data'!$A:$K,11,FALSE))</f>
        <v>5</v>
      </c>
      <c r="L76">
        <f>IF(OR(EXACT(D76,"C"),EXACT(D76,"P"),EXACT(D76,"D"),EXACT(D76,"T"),EXACT(D76,"X"),EXACT(E76,"DZF"),EXACT(E76,"OZF"),EXACT(D76,"N"),EXACT(D76,"F")),1,0)</f>
        <v>1</v>
      </c>
      <c r="M76" t="str">
        <f t="shared" si="4"/>
        <v>92NSH</v>
      </c>
      <c r="N76">
        <f t="shared" si="5"/>
        <v>2</v>
      </c>
      <c r="O76">
        <f t="shared" si="6"/>
        <v>0</v>
      </c>
      <c r="P76" t="str">
        <f t="shared" si="7"/>
        <v/>
      </c>
    </row>
    <row r="77" spans="1:16" x14ac:dyDescent="0.25">
      <c r="A77">
        <v>58</v>
      </c>
      <c r="B77">
        <f>IF($A77&gt;$A$1,"",VLOOKUP($A77,'NHL PBP'!$A:$L,8,FALSE))</f>
        <v>1</v>
      </c>
      <c r="C77">
        <f>IF($A77&gt;$A$1,"",IF(B77&gt;3,5/24,20/24)-VLOOKUP($A77,'NHL PBP'!$A:$L,10,FALSE))</f>
        <v>0.44305555555555559</v>
      </c>
      <c r="D77" t="str">
        <f>IF($A77&gt;$A$1,"",VLOOKUP($A77,'NHL PBP'!$A:$L,11,FALSE))</f>
        <v>SHOT</v>
      </c>
      <c r="E77" t="str">
        <f>IF(AND(EXACT(D77,"FAC"),NOT(EXACT(MID(F77,9,3),"Neu"))),IF(OR(AND(EXACT(MID(F77,9,3),"Off"),EXACT(LEFT(F77,3),UPPER('Entry data'!$C$2))),AND(EXACT(MID(F77,9,3),"Def"),NOT(EXACT(LEFT(F77,3),UPPER('Entry data'!$C$2))))),"DZF","OZF"),"")</f>
        <v/>
      </c>
      <c r="F77" t="str">
        <f>IF($A77&gt;$A$1,"",VLOOKUP($A77,'NHL PBP'!$A:$L,12,FALSE))</f>
        <v>NSH ONGOAL - #92 JOHANSEN, Wrist, Off. Zone, 31 ft.</v>
      </c>
      <c r="J77">
        <f>IF(EXACT('Entry data'!$C$3,"Road"),IF(ISBLANK(VLOOKUP(A77,'NHL PBP'!A:AH,21,FALSE)),3,IF(ISBLANK(VLOOKUP(A77,'NHL PBP'!A:AH,23,FALSE)),4,5)),IF(ISBLANK(VLOOKUP(A77,'NHL PBP'!A:AH,32,FALSE)),3,IF(ISBLANK(VLOOKUP(A77,'NHL PBP'!A:AH,34,FALSE)),4,5)))</f>
        <v>5</v>
      </c>
      <c r="K77">
        <f>IF(EXACT('Entry data'!$C$3,"Home"),IF(ISBLANK(VLOOKUP(A77,'NHL PBP'!A:AH,21,FALSE)),3,IF(ISBLANK(VLOOKUP(A77,'NHL PBP'!A:AH,23,FALSE)),4,5)),IF(ISBLANK(VLOOKUP(A77,'NHL PBP'!A:AH,32,FALSE)),3,IF(ISBLANK(VLOOKUP(A77,'NHL PBP'!A:AH,34,FALSE)),4,5)))</f>
        <v>5</v>
      </c>
      <c r="L77">
        <f>IF(OR(EXACT(D77,"C"),EXACT(D77,"P"),EXACT(D77,"D"),EXACT(D77,"T"),EXACT(D77,"X"),EXACT(E77,"DZF"),EXACT(E77,"OZF"),EXACT(D77,"N"),EXACT(D77,"F")),1,0)</f>
        <v>0</v>
      </c>
      <c r="M77" t="str">
        <f t="shared" si="4"/>
        <v/>
      </c>
      <c r="N77">
        <f t="shared" si="5"/>
        <v>2</v>
      </c>
      <c r="O77">
        <f t="shared" si="6"/>
        <v>0</v>
      </c>
      <c r="P77" t="str">
        <f t="shared" si="7"/>
        <v/>
      </c>
    </row>
    <row r="78" spans="1:16" x14ac:dyDescent="0.25">
      <c r="A78">
        <v>59</v>
      </c>
      <c r="B78">
        <f>IF($A78&gt;$A$1,"",VLOOKUP($A78,'NHL PBP'!$A:$L,8,FALSE))</f>
        <v>1</v>
      </c>
      <c r="C78">
        <f>IF($A78&gt;$A$1,"",IF(B78&gt;3,5/24,20/24)-VLOOKUP($A78,'NHL PBP'!$A:$L,10,FALSE))</f>
        <v>0.44166666666666671</v>
      </c>
      <c r="D78" t="str">
        <f>IF($A78&gt;$A$1,"",VLOOKUP($A78,'NHL PBP'!$A:$L,11,FALSE))</f>
        <v>STOP</v>
      </c>
      <c r="E78" t="str">
        <f>IF(AND(EXACT(D78,"FAC"),NOT(EXACT(MID(F78,9,3),"Neu"))),IF(OR(AND(EXACT(MID(F78,9,3),"Off"),EXACT(LEFT(F78,3),UPPER('Entry data'!$C$2))),AND(EXACT(MID(F78,9,3),"Def"),NOT(EXACT(LEFT(F78,3),UPPER('Entry data'!$C$2))))),"DZF","OZF"),"")</f>
        <v/>
      </c>
      <c r="F78" t="str">
        <f>IF($A78&gt;$A$1,"",VLOOKUP($A78,'NHL PBP'!$A:$L,12,FALSE))</f>
        <v>GOALIE STOPPED</v>
      </c>
      <c r="J78">
        <f>IF(EXACT('Entry data'!$C$3,"Road"),IF(ISBLANK(VLOOKUP(A78,'NHL PBP'!A:AH,21,FALSE)),3,IF(ISBLANK(VLOOKUP(A78,'NHL PBP'!A:AH,23,FALSE)),4,5)),IF(ISBLANK(VLOOKUP(A78,'NHL PBP'!A:AH,32,FALSE)),3,IF(ISBLANK(VLOOKUP(A78,'NHL PBP'!A:AH,34,FALSE)),4,5)))</f>
        <v>5</v>
      </c>
      <c r="K78">
        <f>IF(EXACT('Entry data'!$C$3,"Home"),IF(ISBLANK(VLOOKUP(A78,'NHL PBP'!A:AH,21,FALSE)),3,IF(ISBLANK(VLOOKUP(A78,'NHL PBP'!A:AH,23,FALSE)),4,5)),IF(ISBLANK(VLOOKUP(A78,'NHL PBP'!A:AH,32,FALSE)),3,IF(ISBLANK(VLOOKUP(A78,'NHL PBP'!A:AH,34,FALSE)),4,5)))</f>
        <v>5</v>
      </c>
      <c r="L78">
        <f>IF(OR(EXACT(D78,"C"),EXACT(D78,"P"),EXACT(D78,"D"),EXACT(D78,"T"),EXACT(D78,"X"),EXACT(E78,"DZF"),EXACT(E78,"OZF"),EXACT(D78,"N"),EXACT(D78,"F")),1,0)</f>
        <v>0</v>
      </c>
      <c r="M78" t="str">
        <f t="shared" si="4"/>
        <v/>
      </c>
      <c r="N78">
        <f t="shared" si="5"/>
        <v>1</v>
      </c>
      <c r="O78">
        <f t="shared" si="6"/>
        <v>0</v>
      </c>
      <c r="P78" t="str">
        <f t="shared" si="7"/>
        <v/>
      </c>
    </row>
    <row r="79" spans="1:16" x14ac:dyDescent="0.25">
      <c r="A79">
        <v>60</v>
      </c>
      <c r="B79">
        <f>IF($A79&gt;$A$1,"",VLOOKUP($A79,'NHL PBP'!$A:$L,8,FALSE))</f>
        <v>1</v>
      </c>
      <c r="C79">
        <f>IF($A79&gt;$A$1,"",IF(B79&gt;3,5/24,20/24)-VLOOKUP($A79,'NHL PBP'!$A:$L,10,FALSE))</f>
        <v>0.44166666666666671</v>
      </c>
      <c r="D79" t="str">
        <f>IF($A79&gt;$A$1,"",VLOOKUP($A79,'NHL PBP'!$A:$L,11,FALSE))</f>
        <v>SHOT</v>
      </c>
      <c r="E79" t="str">
        <f>IF(AND(EXACT(D79,"FAC"),NOT(EXACT(MID(F79,9,3),"Neu"))),IF(OR(AND(EXACT(MID(F79,9,3),"Off"),EXACT(LEFT(F79,3),UPPER('Entry data'!$C$2))),AND(EXACT(MID(F79,9,3),"Def"),NOT(EXACT(LEFT(F79,3),UPPER('Entry data'!$C$2))))),"DZF","OZF"),"")</f>
        <v/>
      </c>
      <c r="F79" t="str">
        <f>IF($A79&gt;$A$1,"",VLOOKUP($A79,'NHL PBP'!$A:$L,12,FALSE))</f>
        <v>NSH ONGOAL - #18 NEAL, Backhand, Off. Zone, 14 ft.</v>
      </c>
      <c r="J79">
        <f>IF(EXACT('Entry data'!$C$3,"Road"),IF(ISBLANK(VLOOKUP(A79,'NHL PBP'!A:AH,21,FALSE)),3,IF(ISBLANK(VLOOKUP(A79,'NHL PBP'!A:AH,23,FALSE)),4,5)),IF(ISBLANK(VLOOKUP(A79,'NHL PBP'!A:AH,32,FALSE)),3,IF(ISBLANK(VLOOKUP(A79,'NHL PBP'!A:AH,34,FALSE)),4,5)))</f>
        <v>5</v>
      </c>
      <c r="K79">
        <f>IF(EXACT('Entry data'!$C$3,"Home"),IF(ISBLANK(VLOOKUP(A79,'NHL PBP'!A:AH,21,FALSE)),3,IF(ISBLANK(VLOOKUP(A79,'NHL PBP'!A:AH,23,FALSE)),4,5)),IF(ISBLANK(VLOOKUP(A79,'NHL PBP'!A:AH,32,FALSE)),3,IF(ISBLANK(VLOOKUP(A79,'NHL PBP'!A:AH,34,FALSE)),4,5)))</f>
        <v>5</v>
      </c>
      <c r="L79">
        <f>IF(OR(EXACT(D79,"C"),EXACT(D79,"P"),EXACT(D79,"D"),EXACT(D79,"T"),EXACT(D79,"X"),EXACT(E79,"DZF"),EXACT(E79,"OZF"),EXACT(D79,"N"),EXACT(D79,"F")),1,0)</f>
        <v>0</v>
      </c>
      <c r="M79" t="str">
        <f t="shared" si="4"/>
        <v/>
      </c>
      <c r="N79">
        <f t="shared" si="5"/>
        <v>1</v>
      </c>
      <c r="O79">
        <f t="shared" si="6"/>
        <v>0</v>
      </c>
      <c r="P79" t="str">
        <f t="shared" si="7"/>
        <v/>
      </c>
    </row>
    <row r="80" spans="1:16" x14ac:dyDescent="0.25">
      <c r="A80">
        <v>61</v>
      </c>
      <c r="B80">
        <f>IF($A80&gt;$A$1,"",VLOOKUP($A80,'NHL PBP'!$A:$L,8,FALSE))</f>
        <v>1</v>
      </c>
      <c r="C80">
        <f>IF($A80&gt;$A$1,"",IF(B80&gt;3,5/24,20/24)-VLOOKUP($A80,'NHL PBP'!$A:$L,10,FALSE))</f>
        <v>0.44166666666666671</v>
      </c>
      <c r="D80" t="str">
        <f>IF($A80&gt;$A$1,"",VLOOKUP($A80,'NHL PBP'!$A:$L,11,FALSE))</f>
        <v>FAC</v>
      </c>
      <c r="E80" t="str">
        <f>IF(AND(EXACT(D80,"FAC"),NOT(EXACT(MID(F80,9,3),"Neu"))),IF(OR(AND(EXACT(MID(F80,9,3),"Off"),EXACT(LEFT(F80,3),UPPER('Entry data'!$C$2))),AND(EXACT(MID(F80,9,3),"Def"),NOT(EXACT(LEFT(F80,3),UPPER('Entry data'!$C$2))))),"DZF","OZF"),"")</f>
        <v>DZF</v>
      </c>
      <c r="F80" t="str">
        <f>IF($A80&gt;$A$1,"",VLOOKUP($A80,'NHL PBP'!$A:$L,12,FALSE))</f>
        <v>DET won Def. Zone - NSH #92 JOHANSEN vs DET #71 LARKIN</v>
      </c>
      <c r="J80">
        <f>IF(EXACT('Entry data'!$C$3,"Road"),IF(ISBLANK(VLOOKUP(A80,'NHL PBP'!A:AH,21,FALSE)),3,IF(ISBLANK(VLOOKUP(A80,'NHL PBP'!A:AH,23,FALSE)),4,5)),IF(ISBLANK(VLOOKUP(A80,'NHL PBP'!A:AH,32,FALSE)),3,IF(ISBLANK(VLOOKUP(A80,'NHL PBP'!A:AH,34,FALSE)),4,5)))</f>
        <v>5</v>
      </c>
      <c r="K80">
        <f>IF(EXACT('Entry data'!$C$3,"Home"),IF(ISBLANK(VLOOKUP(A80,'NHL PBP'!A:AH,21,FALSE)),3,IF(ISBLANK(VLOOKUP(A80,'NHL PBP'!A:AH,23,FALSE)),4,5)),IF(ISBLANK(VLOOKUP(A80,'NHL PBP'!A:AH,32,FALSE)),3,IF(ISBLANK(VLOOKUP(A80,'NHL PBP'!A:AH,34,FALSE)),4,5)))</f>
        <v>5</v>
      </c>
      <c r="L80">
        <f>IF(OR(EXACT(D80,"C"),EXACT(D80,"P"),EXACT(D80,"D"),EXACT(D80,"T"),EXACT(D80,"X"),EXACT(E80,"DZF"),EXACT(E80,"OZF"),EXACT(D80,"N"),EXACT(D80,"F")),1,0)</f>
        <v>1</v>
      </c>
      <c r="M80" t="str">
        <f t="shared" si="4"/>
        <v/>
      </c>
      <c r="N80">
        <f t="shared" si="5"/>
        <v>1</v>
      </c>
      <c r="O80">
        <f t="shared" si="6"/>
        <v>0</v>
      </c>
      <c r="P80" t="str">
        <f t="shared" si="7"/>
        <v/>
      </c>
    </row>
    <row r="81" spans="1:16" x14ac:dyDescent="0.25">
      <c r="A81">
        <v>62</v>
      </c>
      <c r="B81">
        <f>IF($A81&gt;$A$1,"",VLOOKUP($A81,'NHL PBP'!$A:$L,8,FALSE))</f>
        <v>1</v>
      </c>
      <c r="C81">
        <f>IF($A81&gt;$A$1,"",IF(B81&gt;3,5/24,20/24)-VLOOKUP($A81,'NHL PBP'!$A:$L,10,FALSE))</f>
        <v>0.43402777777777779</v>
      </c>
      <c r="D81" t="str">
        <f>IF($A81&gt;$A$1,"",VLOOKUP($A81,'NHL PBP'!$A:$L,11,FALSE))</f>
        <v>SHOT</v>
      </c>
      <c r="E81" t="str">
        <f>IF(AND(EXACT(D81,"FAC"),NOT(EXACT(MID(F81,9,3),"Neu"))),IF(OR(AND(EXACT(MID(F81,9,3),"Off"),EXACT(LEFT(F81,3),UPPER('Entry data'!$C$2))),AND(EXACT(MID(F81,9,3),"Def"),NOT(EXACT(LEFT(F81,3),UPPER('Entry data'!$C$2))))),"DZF","OZF"),"")</f>
        <v/>
      </c>
      <c r="F81" t="str">
        <f>IF($A81&gt;$A$1,"",VLOOKUP($A81,'NHL PBP'!$A:$L,12,FALSE))</f>
        <v>NSH ONGOAL - #92 JOHANSEN, Snap, Off. Zone, 16 ft.</v>
      </c>
      <c r="J81">
        <f>IF(EXACT('Entry data'!$C$3,"Road"),IF(ISBLANK(VLOOKUP(A81,'NHL PBP'!A:AH,21,FALSE)),3,IF(ISBLANK(VLOOKUP(A81,'NHL PBP'!A:AH,23,FALSE)),4,5)),IF(ISBLANK(VLOOKUP(A81,'NHL PBP'!A:AH,32,FALSE)),3,IF(ISBLANK(VLOOKUP(A81,'NHL PBP'!A:AH,34,FALSE)),4,5)))</f>
        <v>5</v>
      </c>
      <c r="K81">
        <f>IF(EXACT('Entry data'!$C$3,"Home"),IF(ISBLANK(VLOOKUP(A81,'NHL PBP'!A:AH,21,FALSE)),3,IF(ISBLANK(VLOOKUP(A81,'NHL PBP'!A:AH,23,FALSE)),4,5)),IF(ISBLANK(VLOOKUP(A81,'NHL PBP'!A:AH,32,FALSE)),3,IF(ISBLANK(VLOOKUP(A81,'NHL PBP'!A:AH,34,FALSE)),4,5)))</f>
        <v>5</v>
      </c>
      <c r="L81">
        <f>IF(OR(EXACT(D81,"C"),EXACT(D81,"P"),EXACT(D81,"D"),EXACT(D81,"T"),EXACT(D81,"X"),EXACT(E81,"DZF"),EXACT(E81,"OZF"),EXACT(D81,"N"),EXACT(D81,"F")),1,0)</f>
        <v>0</v>
      </c>
      <c r="M81" t="str">
        <f t="shared" si="4"/>
        <v/>
      </c>
      <c r="N81">
        <f t="shared" si="5"/>
        <v>1</v>
      </c>
      <c r="O81">
        <f t="shared" si="6"/>
        <v>0</v>
      </c>
      <c r="P81" t="str">
        <f t="shared" si="7"/>
        <v/>
      </c>
    </row>
    <row r="82" spans="1:16" x14ac:dyDescent="0.25">
      <c r="A82">
        <v>19</v>
      </c>
      <c r="B82">
        <f>IF(ISBLANK(VLOOKUP($A82,'Entry data'!$A:$K,2,FALSE)),"",VLOOKUP($A82,'Entry data'!$A:$K,2,FALSE))</f>
        <v>1</v>
      </c>
      <c r="C82">
        <f>IF(ISBLANK(VLOOKUP($A82,'Entry data'!$A:$K,3,FALSE)),"",VLOOKUP($A82,'Entry data'!$A:$K,3,FALSE))</f>
        <v>0.43124999999999997</v>
      </c>
      <c r="D82" t="str">
        <f>IF(ISBLANK(VLOOKUP($A82,'Entry data'!$A:$K,4,FALSE)),"",VLOOKUP($A82,'Entry data'!$A:$K,4,FALSE))</f>
        <v>C</v>
      </c>
      <c r="E82" t="str">
        <f>IF(ISBLANK(VLOOKUP($A82,'Entry data'!$A:$K,5,FALSE)),"",VLOOKUP($A82,'Entry data'!$A:$K,5,FALSE))</f>
        <v>51DET</v>
      </c>
      <c r="F82" t="str">
        <f>IF(ISBLANK(VLOOKUP($A82,'Entry data'!$A:$K,6,FALSE)),"",VLOOKUP($A82,'Entry data'!$A:$K,6,FALSE))</f>
        <v>4NSH</v>
      </c>
      <c r="G82" t="str">
        <f>IF(ISBLANK(VLOOKUP($A82,'Entry data'!$A:$K,7,FALSE)),"",VLOOKUP($A82,'Entry data'!$A:$K,7,FALSE))</f>
        <v>Y</v>
      </c>
      <c r="H82" t="str">
        <f>IF(ISBLANK(VLOOKUP($A82,'Entry data'!$A:$K,8,FALSE)),"",VLOOKUP($A82,'Entry data'!$A:$K,8,FALSE))</f>
        <v>C</v>
      </c>
      <c r="I82" t="str">
        <f>IF(ISBLANK(VLOOKUP($A82,'Entry data'!$A:$K,9,FALSE)),"",VLOOKUP($A82,'Entry data'!$A:$K,9,FALSE))</f>
        <v>N</v>
      </c>
      <c r="J82">
        <f>IF(ISBLANK(VLOOKUP($A82,'Entry data'!$A:$K,10,FALSE)),"",VLOOKUP($A82,'Entry data'!$A:$K,10,FALSE))</f>
        <v>5</v>
      </c>
      <c r="K82">
        <f>IF(ISBLANK(VLOOKUP($A82,'Entry data'!$A:$K,11,FALSE)),"",VLOOKUP($A82,'Entry data'!$A:$K,11,FALSE))</f>
        <v>5</v>
      </c>
      <c r="L82">
        <f>IF(OR(EXACT(D82,"C"),EXACT(D82,"P"),EXACT(D82,"D"),EXACT(D82,"T"),EXACT(D82,"X"),EXACT(E82,"DZF"),EXACT(E82,"OZF"),EXACT(D82,"N"),EXACT(D82,"F")),1,0)</f>
        <v>1</v>
      </c>
      <c r="M82" t="str">
        <f t="shared" si="4"/>
        <v>51DET</v>
      </c>
      <c r="N82">
        <f t="shared" si="5"/>
        <v>0</v>
      </c>
      <c r="O82">
        <f t="shared" si="6"/>
        <v>0</v>
      </c>
      <c r="P82" t="str">
        <f t="shared" si="7"/>
        <v/>
      </c>
    </row>
    <row r="83" spans="1:16" x14ac:dyDescent="0.25">
      <c r="A83">
        <v>20</v>
      </c>
      <c r="B83">
        <f>IF(ISBLANK(VLOOKUP($A83,'Entry data'!$A:$K,2,FALSE)),"",VLOOKUP($A83,'Entry data'!$A:$K,2,FALSE))</f>
        <v>1</v>
      </c>
      <c r="C83">
        <f>IF(ISBLANK(VLOOKUP($A83,'Entry data'!$A:$K,3,FALSE)),"",VLOOKUP($A83,'Entry data'!$A:$K,3,FALSE))</f>
        <v>0.41388888888888892</v>
      </c>
      <c r="D83" t="str">
        <f>IF(ISBLANK(VLOOKUP($A83,'Entry data'!$A:$K,4,FALSE)),"",VLOOKUP($A83,'Entry data'!$A:$K,4,FALSE))</f>
        <v>D</v>
      </c>
      <c r="E83" t="str">
        <f>IF(ISBLANK(VLOOKUP($A83,'Entry data'!$A:$K,5,FALSE)),"",VLOOKUP($A83,'Entry data'!$A:$K,5,FALSE))</f>
        <v>9NSH</v>
      </c>
      <c r="F83" t="str">
        <f>IF(ISBLANK(VLOOKUP($A83,'Entry data'!$A:$K,6,FALSE)),"",VLOOKUP($A83,'Entry data'!$A:$K,6,FALSE))</f>
        <v>N</v>
      </c>
      <c r="G83" t="str">
        <f>IF(ISBLANK(VLOOKUP($A83,'Entry data'!$A:$K,7,FALSE)),"",VLOOKUP($A83,'Entry data'!$A:$K,7,FALSE))</f>
        <v/>
      </c>
      <c r="H83" t="str">
        <f>IF(ISBLANK(VLOOKUP($A83,'Entry data'!$A:$K,8,FALSE)),"",VLOOKUP($A83,'Entry data'!$A:$K,8,FALSE))</f>
        <v>L</v>
      </c>
      <c r="I83" t="str">
        <f>IF(ISBLANK(VLOOKUP($A83,'Entry data'!$A:$K,9,FALSE)),"",VLOOKUP($A83,'Entry data'!$A:$K,9,FALSE))</f>
        <v>9NSH</v>
      </c>
      <c r="J83">
        <f>IF(ISBLANK(VLOOKUP($A83,'Entry data'!$A:$K,10,FALSE)),"",VLOOKUP($A83,'Entry data'!$A:$K,10,FALSE))</f>
        <v>5</v>
      </c>
      <c r="K83">
        <f>IF(ISBLANK(VLOOKUP($A83,'Entry data'!$A:$K,11,FALSE)),"",VLOOKUP($A83,'Entry data'!$A:$K,11,FALSE))</f>
        <v>5</v>
      </c>
      <c r="L83">
        <f>IF(OR(EXACT(D83,"C"),EXACT(D83,"P"),EXACT(D83,"D"),EXACT(D83,"T"),EXACT(D83,"X"),EXACT(E83,"DZF"),EXACT(E83,"OZF"),EXACT(D83,"N"),EXACT(D83,"F")),1,0)</f>
        <v>1</v>
      </c>
      <c r="M83" t="str">
        <f t="shared" si="4"/>
        <v/>
      </c>
      <c r="N83">
        <f t="shared" si="5"/>
        <v>1</v>
      </c>
      <c r="O83">
        <f t="shared" si="6"/>
        <v>0</v>
      </c>
      <c r="P83" t="str">
        <f t="shared" si="7"/>
        <v/>
      </c>
    </row>
    <row r="84" spans="1:16" x14ac:dyDescent="0.25">
      <c r="A84">
        <v>63</v>
      </c>
      <c r="B84">
        <f>IF($A84&gt;$A$1,"",VLOOKUP($A84,'NHL PBP'!$A:$L,8,FALSE))</f>
        <v>1</v>
      </c>
      <c r="C84">
        <f>IF($A84&gt;$A$1,"",IF(B84&gt;3,5/24,20/24)-VLOOKUP($A84,'NHL PBP'!$A:$L,10,FALSE))</f>
        <v>0.41180555555555559</v>
      </c>
      <c r="D84" t="str">
        <f>IF($A84&gt;$A$1,"",VLOOKUP($A84,'NHL PBP'!$A:$L,11,FALSE))</f>
        <v>SHOT</v>
      </c>
      <c r="E84" t="str">
        <f>IF(AND(EXACT(D84,"FAC"),NOT(EXACT(MID(F84,9,3),"Neu"))),IF(OR(AND(EXACT(MID(F84,9,3),"Off"),EXACT(LEFT(F84,3),UPPER('Entry data'!$C$2))),AND(EXACT(MID(F84,9,3),"Def"),NOT(EXACT(LEFT(F84,3),UPPER('Entry data'!$C$2))))),"DZF","OZF"),"")</f>
        <v/>
      </c>
      <c r="F84" t="str">
        <f>IF($A84&gt;$A$1,"",VLOOKUP($A84,'NHL PBP'!$A:$L,12,FALSE))</f>
        <v>NSH ONGOAL - #18 NEAL, Deflected, Off. Zone, 22 ft.</v>
      </c>
      <c r="J84">
        <f>IF(EXACT('Entry data'!$C$3,"Road"),IF(ISBLANK(VLOOKUP(A84,'NHL PBP'!A:AH,21,FALSE)),3,IF(ISBLANK(VLOOKUP(A84,'NHL PBP'!A:AH,23,FALSE)),4,5)),IF(ISBLANK(VLOOKUP(A84,'NHL PBP'!A:AH,32,FALSE)),3,IF(ISBLANK(VLOOKUP(A84,'NHL PBP'!A:AH,34,FALSE)),4,5)))</f>
        <v>5</v>
      </c>
      <c r="K84">
        <f>IF(EXACT('Entry data'!$C$3,"Home"),IF(ISBLANK(VLOOKUP(A84,'NHL PBP'!A:AH,21,FALSE)),3,IF(ISBLANK(VLOOKUP(A84,'NHL PBP'!A:AH,23,FALSE)),4,5)),IF(ISBLANK(VLOOKUP(A84,'NHL PBP'!A:AH,32,FALSE)),3,IF(ISBLANK(VLOOKUP(A84,'NHL PBP'!A:AH,34,FALSE)),4,5)))</f>
        <v>5</v>
      </c>
      <c r="L84">
        <f>IF(OR(EXACT(D84,"C"),EXACT(D84,"P"),EXACT(D84,"D"),EXACT(D84,"T"),EXACT(D84,"X"),EXACT(E84,"DZF"),EXACT(E84,"OZF"),EXACT(D84,"N"),EXACT(D84,"F")),1,0)</f>
        <v>0</v>
      </c>
      <c r="M84" t="str">
        <f t="shared" si="4"/>
        <v/>
      </c>
      <c r="N84">
        <f t="shared" si="5"/>
        <v>1</v>
      </c>
      <c r="O84">
        <f t="shared" si="6"/>
        <v>0</v>
      </c>
      <c r="P84" t="str">
        <f t="shared" si="7"/>
        <v/>
      </c>
    </row>
    <row r="85" spans="1:16" x14ac:dyDescent="0.25">
      <c r="A85">
        <v>21</v>
      </c>
      <c r="B85">
        <f>IF(ISBLANK(VLOOKUP($A85,'Entry data'!$A:$K,2,FALSE)),"",VLOOKUP($A85,'Entry data'!$A:$K,2,FALSE))</f>
        <v>1</v>
      </c>
      <c r="C85">
        <f>IF(ISBLANK(VLOOKUP($A85,'Entry data'!$A:$K,3,FALSE)),"",VLOOKUP($A85,'Entry data'!$A:$K,3,FALSE))</f>
        <v>0.4055555555555555</v>
      </c>
      <c r="D85" t="str">
        <f>IF(ISBLANK(VLOOKUP($A85,'Entry data'!$A:$K,4,FALSE)),"",VLOOKUP($A85,'Entry data'!$A:$K,4,FALSE))</f>
        <v>C</v>
      </c>
      <c r="E85" t="str">
        <f>IF(ISBLANK(VLOOKUP($A85,'Entry data'!$A:$K,5,FALSE)),"",VLOOKUP($A85,'Entry data'!$A:$K,5,FALSE))</f>
        <v>18NSH</v>
      </c>
      <c r="F85" t="str">
        <f>IF(ISBLANK(VLOOKUP($A85,'Entry data'!$A:$K,6,FALSE)),"",VLOOKUP($A85,'Entry data'!$A:$K,6,FALSE))</f>
        <v>53DET</v>
      </c>
      <c r="G85" t="str">
        <f>IF(ISBLANK(VLOOKUP($A85,'Entry data'!$A:$K,7,FALSE)),"",VLOOKUP($A85,'Entry data'!$A:$K,7,FALSE))</f>
        <v>N</v>
      </c>
      <c r="H85" t="str">
        <f>IF(ISBLANK(VLOOKUP($A85,'Entry data'!$A:$K,8,FALSE)),"",VLOOKUP($A85,'Entry data'!$A:$K,8,FALSE))</f>
        <v>L</v>
      </c>
      <c r="I85" t="str">
        <f>IF(ISBLANK(VLOOKUP($A85,'Entry data'!$A:$K,9,FALSE)),"",VLOOKUP($A85,'Entry data'!$A:$K,9,FALSE))</f>
        <v>N</v>
      </c>
      <c r="J85">
        <f>IF(ISBLANK(VLOOKUP($A85,'Entry data'!$A:$K,10,FALSE)),"",VLOOKUP($A85,'Entry data'!$A:$K,10,FALSE))</f>
        <v>5</v>
      </c>
      <c r="K85">
        <f>IF(ISBLANK(VLOOKUP($A85,'Entry data'!$A:$K,11,FALSE)),"",VLOOKUP($A85,'Entry data'!$A:$K,11,FALSE))</f>
        <v>5</v>
      </c>
      <c r="L85">
        <f>IF(OR(EXACT(D85,"C"),EXACT(D85,"P"),EXACT(D85,"D"),EXACT(D85,"T"),EXACT(D85,"X"),EXACT(E85,"DZF"),EXACT(E85,"OZF"),EXACT(D85,"N"),EXACT(D85,"F")),1,0)</f>
        <v>1</v>
      </c>
      <c r="M85" t="str">
        <f t="shared" si="4"/>
        <v>18NSH</v>
      </c>
      <c r="N85">
        <f t="shared" si="5"/>
        <v>1</v>
      </c>
      <c r="O85">
        <f t="shared" si="6"/>
        <v>0</v>
      </c>
      <c r="P85" t="str">
        <f t="shared" si="7"/>
        <v/>
      </c>
    </row>
    <row r="86" spans="1:16" x14ac:dyDescent="0.25">
      <c r="A86">
        <v>64</v>
      </c>
      <c r="B86">
        <f>IF($A86&gt;$A$1,"",VLOOKUP($A86,'NHL PBP'!$A:$L,8,FALSE))</f>
        <v>1</v>
      </c>
      <c r="C86">
        <f>IF($A86&gt;$A$1,"",IF(B86&gt;3,5/24,20/24)-VLOOKUP($A86,'NHL PBP'!$A:$L,10,FALSE))</f>
        <v>0.40277777777777779</v>
      </c>
      <c r="D86" t="str">
        <f>IF($A86&gt;$A$1,"",VLOOKUP($A86,'NHL PBP'!$A:$L,11,FALSE))</f>
        <v>SHOT</v>
      </c>
      <c r="E86" t="str">
        <f>IF(AND(EXACT(D86,"FAC"),NOT(EXACT(MID(F86,9,3),"Neu"))),IF(OR(AND(EXACT(MID(F86,9,3),"Off"),EXACT(LEFT(F86,3),UPPER('Entry data'!$C$2))),AND(EXACT(MID(F86,9,3),"Def"),NOT(EXACT(LEFT(F86,3),UPPER('Entry data'!$C$2))))),"DZF","OZF"),"")</f>
        <v/>
      </c>
      <c r="F86" t="str">
        <f>IF($A86&gt;$A$1,"",VLOOKUP($A86,'NHL PBP'!$A:$L,12,FALSE))</f>
        <v>NSH ONGOAL - #18 NEAL, Wrist, Off. Zone, 41 ft.</v>
      </c>
      <c r="J86">
        <f>IF(EXACT('Entry data'!$C$3,"Road"),IF(ISBLANK(VLOOKUP(A86,'NHL PBP'!A:AH,21,FALSE)),3,IF(ISBLANK(VLOOKUP(A86,'NHL PBP'!A:AH,23,FALSE)),4,5)),IF(ISBLANK(VLOOKUP(A86,'NHL PBP'!A:AH,32,FALSE)),3,IF(ISBLANK(VLOOKUP(A86,'NHL PBP'!A:AH,34,FALSE)),4,5)))</f>
        <v>5</v>
      </c>
      <c r="K86">
        <f>IF(EXACT('Entry data'!$C$3,"Home"),IF(ISBLANK(VLOOKUP(A86,'NHL PBP'!A:AH,21,FALSE)),3,IF(ISBLANK(VLOOKUP(A86,'NHL PBP'!A:AH,23,FALSE)),4,5)),IF(ISBLANK(VLOOKUP(A86,'NHL PBP'!A:AH,32,FALSE)),3,IF(ISBLANK(VLOOKUP(A86,'NHL PBP'!A:AH,34,FALSE)),4,5)))</f>
        <v>5</v>
      </c>
      <c r="L86">
        <f>IF(OR(EXACT(D86,"C"),EXACT(D86,"P"),EXACT(D86,"D"),EXACT(D86,"T"),EXACT(D86,"X"),EXACT(E86,"DZF"),EXACT(E86,"OZF"),EXACT(D86,"N"),EXACT(D86,"F")),1,0)</f>
        <v>0</v>
      </c>
      <c r="M86" t="str">
        <f t="shared" si="4"/>
        <v/>
      </c>
      <c r="N86">
        <f t="shared" si="5"/>
        <v>1</v>
      </c>
      <c r="O86">
        <f t="shared" si="6"/>
        <v>0</v>
      </c>
      <c r="P86" t="str">
        <f t="shared" si="7"/>
        <v/>
      </c>
    </row>
    <row r="87" spans="1:16" x14ac:dyDescent="0.25">
      <c r="A87">
        <v>65</v>
      </c>
      <c r="B87">
        <f>IF($A87&gt;$A$1,"",VLOOKUP($A87,'NHL PBP'!$A:$L,8,FALSE))</f>
        <v>1</v>
      </c>
      <c r="C87">
        <f>IF($A87&gt;$A$1,"",IF(B87&gt;3,5/24,20/24)-VLOOKUP($A87,'NHL PBP'!$A:$L,10,FALSE))</f>
        <v>0.39791666666666675</v>
      </c>
      <c r="D87" t="str">
        <f>IF($A87&gt;$A$1,"",VLOOKUP($A87,'NHL PBP'!$A:$L,11,FALSE))</f>
        <v>HIT</v>
      </c>
      <c r="E87" t="str">
        <f>IF(AND(EXACT(D87,"FAC"),NOT(EXACT(MID(F87,9,3),"Neu"))),IF(OR(AND(EXACT(MID(F87,9,3),"Off"),EXACT(LEFT(F87,3),UPPER('Entry data'!$C$2))),AND(EXACT(MID(F87,9,3),"Def"),NOT(EXACT(LEFT(F87,3),UPPER('Entry data'!$C$2))))),"DZF","OZF"),"")</f>
        <v/>
      </c>
      <c r="F87" t="str">
        <f>IF($A87&gt;$A$1,"",VLOOKUP($A87,'NHL PBP'!$A:$L,12,FALSE))</f>
        <v>NSH #9 FORSBERG HIT DET #15 SHEAHAN, Off. Zone</v>
      </c>
      <c r="J87">
        <f>IF(EXACT('Entry data'!$C$3,"Road"),IF(ISBLANK(VLOOKUP(A87,'NHL PBP'!A:AH,21,FALSE)),3,IF(ISBLANK(VLOOKUP(A87,'NHL PBP'!A:AH,23,FALSE)),4,5)),IF(ISBLANK(VLOOKUP(A87,'NHL PBP'!A:AH,32,FALSE)),3,IF(ISBLANK(VLOOKUP(A87,'NHL PBP'!A:AH,34,FALSE)),4,5)))</f>
        <v>5</v>
      </c>
      <c r="K87">
        <f>IF(EXACT('Entry data'!$C$3,"Home"),IF(ISBLANK(VLOOKUP(A87,'NHL PBP'!A:AH,21,FALSE)),3,IF(ISBLANK(VLOOKUP(A87,'NHL PBP'!A:AH,23,FALSE)),4,5)),IF(ISBLANK(VLOOKUP(A87,'NHL PBP'!A:AH,32,FALSE)),3,IF(ISBLANK(VLOOKUP(A87,'NHL PBP'!A:AH,34,FALSE)),4,5)))</f>
        <v>5</v>
      </c>
      <c r="L87">
        <f>IF(OR(EXACT(D87,"C"),EXACT(D87,"P"),EXACT(D87,"D"),EXACT(D87,"T"),EXACT(D87,"X"),EXACT(E87,"DZF"),EXACT(E87,"OZF"),EXACT(D87,"N"),EXACT(D87,"F")),1,0)</f>
        <v>0</v>
      </c>
      <c r="M87" t="str">
        <f t="shared" si="4"/>
        <v/>
      </c>
      <c r="N87">
        <f t="shared" si="5"/>
        <v>0</v>
      </c>
      <c r="O87">
        <f t="shared" si="6"/>
        <v>0</v>
      </c>
      <c r="P87" t="str">
        <f t="shared" si="7"/>
        <v/>
      </c>
    </row>
    <row r="88" spans="1:16" x14ac:dyDescent="0.25">
      <c r="A88">
        <v>22</v>
      </c>
      <c r="B88">
        <f>IF(ISBLANK(VLOOKUP($A88,'Entry data'!$A:$K,2,FALSE)),"",VLOOKUP($A88,'Entry data'!$A:$K,2,FALSE))</f>
        <v>1</v>
      </c>
      <c r="C88">
        <f>IF(ISBLANK(VLOOKUP($A88,'Entry data'!$A:$K,3,FALSE)),"",VLOOKUP($A88,'Entry data'!$A:$K,3,FALSE))</f>
        <v>0.39305555555555555</v>
      </c>
      <c r="D88" t="str">
        <f>IF(ISBLANK(VLOOKUP($A88,'Entry data'!$A:$K,4,FALSE)),"",VLOOKUP($A88,'Entry data'!$A:$K,4,FALSE))</f>
        <v>D</v>
      </c>
      <c r="E88" t="str">
        <f>IF(ISBLANK(VLOOKUP($A88,'Entry data'!$A:$K,5,FALSE)),"",VLOOKUP($A88,'Entry data'!$A:$K,5,FALSE))</f>
        <v>21DET</v>
      </c>
      <c r="F88" t="str">
        <f>IF(ISBLANK(VLOOKUP($A88,'Entry data'!$A:$K,6,FALSE)),"",VLOOKUP($A88,'Entry data'!$A:$K,6,FALSE))</f>
        <v>N</v>
      </c>
      <c r="G88" t="str">
        <f>IF(ISBLANK(VLOOKUP($A88,'Entry data'!$A:$K,7,FALSE)),"",VLOOKUP($A88,'Entry data'!$A:$K,7,FALSE))</f>
        <v/>
      </c>
      <c r="H88" t="str">
        <f>IF(ISBLANK(VLOOKUP($A88,'Entry data'!$A:$K,8,FALSE)),"",VLOOKUP($A88,'Entry data'!$A:$K,8,FALSE))</f>
        <v>C</v>
      </c>
      <c r="I88" t="str">
        <f>IF(ISBLANK(VLOOKUP($A88,'Entry data'!$A:$K,9,FALSE)),"",VLOOKUP($A88,'Entry data'!$A:$K,9,FALSE))</f>
        <v>N</v>
      </c>
      <c r="J88">
        <f>IF(ISBLANK(VLOOKUP($A88,'Entry data'!$A:$K,10,FALSE)),"",VLOOKUP($A88,'Entry data'!$A:$K,10,FALSE))</f>
        <v>5</v>
      </c>
      <c r="K88">
        <f>IF(ISBLANK(VLOOKUP($A88,'Entry data'!$A:$K,11,FALSE)),"",VLOOKUP($A88,'Entry data'!$A:$K,11,FALSE))</f>
        <v>5</v>
      </c>
      <c r="L88">
        <f>IF(OR(EXACT(D88,"C"),EXACT(D88,"P"),EXACT(D88,"D"),EXACT(D88,"T"),EXACT(D88,"X"),EXACT(E88,"DZF"),EXACT(E88,"OZF"),EXACT(D88,"N"),EXACT(D88,"F")),1,0)</f>
        <v>1</v>
      </c>
      <c r="M88" t="str">
        <f t="shared" si="4"/>
        <v/>
      </c>
      <c r="N88">
        <f t="shared" si="5"/>
        <v>0</v>
      </c>
      <c r="O88">
        <f t="shared" si="6"/>
        <v>0</v>
      </c>
      <c r="P88" t="str">
        <f t="shared" si="7"/>
        <v/>
      </c>
    </row>
    <row r="89" spans="1:16" x14ac:dyDescent="0.25">
      <c r="A89">
        <v>23</v>
      </c>
      <c r="B89">
        <f>IF(ISBLANK(VLOOKUP($A89,'Entry data'!$A:$K,2,FALSE)),"",VLOOKUP($A89,'Entry data'!$A:$K,2,FALSE))</f>
        <v>1</v>
      </c>
      <c r="C89">
        <f>IF(ISBLANK(VLOOKUP($A89,'Entry data'!$A:$K,3,FALSE)),"",VLOOKUP($A89,'Entry data'!$A:$K,3,FALSE))</f>
        <v>0.36527777777777781</v>
      </c>
      <c r="D89" t="str">
        <f>IF(ISBLANK(VLOOKUP($A89,'Entry data'!$A:$K,4,FALSE)),"",VLOOKUP($A89,'Entry data'!$A:$K,4,FALSE))</f>
        <v>X</v>
      </c>
      <c r="E89" t="str">
        <f>IF(ISBLANK(VLOOKUP($A89,'Entry data'!$A:$K,5,FALSE)),"",VLOOKUP($A89,'Entry data'!$A:$K,5,FALSE))</f>
        <v>DET</v>
      </c>
      <c r="F89" t="str">
        <f>IF(ISBLANK(VLOOKUP($A89,'Entry data'!$A:$K,6,FALSE)),"",VLOOKUP($A89,'Entry data'!$A:$K,6,FALSE))</f>
        <v/>
      </c>
      <c r="G89" t="str">
        <f>IF(ISBLANK(VLOOKUP($A89,'Entry data'!$A:$K,7,FALSE)),"",VLOOKUP($A89,'Entry data'!$A:$K,7,FALSE))</f>
        <v/>
      </c>
      <c r="H89" t="str">
        <f>IF(ISBLANK(VLOOKUP($A89,'Entry data'!$A:$K,8,FALSE)),"",VLOOKUP($A89,'Entry data'!$A:$K,8,FALSE))</f>
        <v/>
      </c>
      <c r="I89" t="str">
        <f>IF(ISBLANK(VLOOKUP($A89,'Entry data'!$A:$K,9,FALSE)),"",VLOOKUP($A89,'Entry data'!$A:$K,9,FALSE))</f>
        <v>N</v>
      </c>
      <c r="J89">
        <f>IF(ISBLANK(VLOOKUP($A89,'Entry data'!$A:$K,10,FALSE)),"",VLOOKUP($A89,'Entry data'!$A:$K,10,FALSE))</f>
        <v>5</v>
      </c>
      <c r="K89">
        <f>IF(ISBLANK(VLOOKUP($A89,'Entry data'!$A:$K,11,FALSE)),"",VLOOKUP($A89,'Entry data'!$A:$K,11,FALSE))</f>
        <v>5</v>
      </c>
      <c r="L89">
        <f>IF(OR(EXACT(D89,"C"),EXACT(D89,"P"),EXACT(D89,"D"),EXACT(D89,"T"),EXACT(D89,"X"),EXACT(E89,"DZF"),EXACT(E89,"OZF"),EXACT(D89,"N"),EXACT(D89,"F")),1,0)</f>
        <v>1</v>
      </c>
      <c r="M89" t="str">
        <f t="shared" si="4"/>
        <v/>
      </c>
      <c r="N89">
        <f t="shared" si="5"/>
        <v>0</v>
      </c>
      <c r="O89">
        <f t="shared" si="6"/>
        <v>0</v>
      </c>
      <c r="P89" t="str">
        <f t="shared" si="7"/>
        <v/>
      </c>
    </row>
    <row r="90" spans="1:16" x14ac:dyDescent="0.25">
      <c r="A90">
        <v>66</v>
      </c>
      <c r="B90">
        <f>IF($A90&gt;$A$1,"",VLOOKUP($A90,'NHL PBP'!$A:$L,8,FALSE))</f>
        <v>1</v>
      </c>
      <c r="C90">
        <f>IF($A90&gt;$A$1,"",IF(B90&gt;3,5/24,20/24)-VLOOKUP($A90,'NHL PBP'!$A:$L,10,FALSE))</f>
        <v>0.36458333333333337</v>
      </c>
      <c r="D90" t="str">
        <f>IF($A90&gt;$A$1,"",VLOOKUP($A90,'NHL PBP'!$A:$L,11,FALSE))</f>
        <v>GIVE</v>
      </c>
      <c r="E90" t="str">
        <f>IF(AND(EXACT(D90,"FAC"),NOT(EXACT(MID(F90,9,3),"Neu"))),IF(OR(AND(EXACT(MID(F90,9,3),"Off"),EXACT(LEFT(F90,3),UPPER('Entry data'!$C$2))),AND(EXACT(MID(F90,9,3),"Def"),NOT(EXACT(LEFT(F90,3),UPPER('Entry data'!$C$2))))),"DZF","OZF"),"")</f>
        <v/>
      </c>
      <c r="F90" t="str">
        <f>IF($A90&gt;$A$1,"",VLOOKUP($A90,'NHL PBP'!$A:$L,12,FALSE))</f>
        <v>NSH GIVEAWAY - #25 CARLE, Def. Zone</v>
      </c>
      <c r="J90">
        <f>IF(EXACT('Entry data'!$C$3,"Road"),IF(ISBLANK(VLOOKUP(A90,'NHL PBP'!A:AH,21,FALSE)),3,IF(ISBLANK(VLOOKUP(A90,'NHL PBP'!A:AH,23,FALSE)),4,5)),IF(ISBLANK(VLOOKUP(A90,'NHL PBP'!A:AH,32,FALSE)),3,IF(ISBLANK(VLOOKUP(A90,'NHL PBP'!A:AH,34,FALSE)),4,5)))</f>
        <v>5</v>
      </c>
      <c r="K90">
        <f>IF(EXACT('Entry data'!$C$3,"Home"),IF(ISBLANK(VLOOKUP(A90,'NHL PBP'!A:AH,21,FALSE)),3,IF(ISBLANK(VLOOKUP(A90,'NHL PBP'!A:AH,23,FALSE)),4,5)),IF(ISBLANK(VLOOKUP(A90,'NHL PBP'!A:AH,32,FALSE)),3,IF(ISBLANK(VLOOKUP(A90,'NHL PBP'!A:AH,34,FALSE)),4,5)))</f>
        <v>5</v>
      </c>
      <c r="L90">
        <f>IF(OR(EXACT(D90,"C"),EXACT(D90,"P"),EXACT(D90,"D"),EXACT(D90,"T"),EXACT(D90,"X"),EXACT(E90,"DZF"),EXACT(E90,"OZF"),EXACT(D90,"N"),EXACT(D90,"F")),1,0)</f>
        <v>0</v>
      </c>
      <c r="M90" t="str">
        <f t="shared" si="4"/>
        <v/>
      </c>
      <c r="N90">
        <f t="shared" si="5"/>
        <v>0</v>
      </c>
      <c r="O90">
        <f t="shared" si="6"/>
        <v>0</v>
      </c>
      <c r="P90" t="str">
        <f t="shared" si="7"/>
        <v/>
      </c>
    </row>
    <row r="91" spans="1:16" x14ac:dyDescent="0.25">
      <c r="A91">
        <v>67</v>
      </c>
      <c r="B91">
        <f>IF($A91&gt;$A$1,"",VLOOKUP($A91,'NHL PBP'!$A:$L,8,FALSE))</f>
        <v>1</v>
      </c>
      <c r="C91">
        <f>IF($A91&gt;$A$1,"",IF(B91&gt;3,5/24,20/24)-VLOOKUP($A91,'NHL PBP'!$A:$L,10,FALSE))</f>
        <v>0.35972222222222222</v>
      </c>
      <c r="D91" t="str">
        <f>IF($A91&gt;$A$1,"",VLOOKUP($A91,'NHL PBP'!$A:$L,11,FALSE))</f>
        <v>BLOCK</v>
      </c>
      <c r="E91" t="str">
        <f>IF(AND(EXACT(D91,"FAC"),NOT(EXACT(MID(F91,9,3),"Neu"))),IF(OR(AND(EXACT(MID(F91,9,3),"Off"),EXACT(LEFT(F91,3),UPPER('Entry data'!$C$2))),AND(EXACT(MID(F91,9,3),"Def"),NOT(EXACT(LEFT(F91,3),UPPER('Entry data'!$C$2))))),"DZF","OZF"),"")</f>
        <v/>
      </c>
      <c r="F91" t="str">
        <f>IF($A91&gt;$A$1,"",VLOOKUP($A91,'NHL PBP'!$A:$L,12,FALSE))</f>
        <v>DET #62 VANEK BLOCKED BY NSH #7 WEBER, Wrist, Def. Zone</v>
      </c>
      <c r="J91">
        <f>IF(EXACT('Entry data'!$C$3,"Road"),IF(ISBLANK(VLOOKUP(A91,'NHL PBP'!A:AH,21,FALSE)),3,IF(ISBLANK(VLOOKUP(A91,'NHL PBP'!A:AH,23,FALSE)),4,5)),IF(ISBLANK(VLOOKUP(A91,'NHL PBP'!A:AH,32,FALSE)),3,IF(ISBLANK(VLOOKUP(A91,'NHL PBP'!A:AH,34,FALSE)),4,5)))</f>
        <v>5</v>
      </c>
      <c r="K91">
        <f>IF(EXACT('Entry data'!$C$3,"Home"),IF(ISBLANK(VLOOKUP(A91,'NHL PBP'!A:AH,21,FALSE)),3,IF(ISBLANK(VLOOKUP(A91,'NHL PBP'!A:AH,23,FALSE)),4,5)),IF(ISBLANK(VLOOKUP(A91,'NHL PBP'!A:AH,32,FALSE)),3,IF(ISBLANK(VLOOKUP(A91,'NHL PBP'!A:AH,34,FALSE)),4,5)))</f>
        <v>5</v>
      </c>
      <c r="L91">
        <f>IF(OR(EXACT(D91,"C"),EXACT(D91,"P"),EXACT(D91,"D"),EXACT(D91,"T"),EXACT(D91,"X"),EXACT(E91,"DZF"),EXACT(E91,"OZF"),EXACT(D91,"N"),EXACT(D91,"F")),1,0)</f>
        <v>0</v>
      </c>
      <c r="M91" t="str">
        <f t="shared" si="4"/>
        <v/>
      </c>
      <c r="N91">
        <f t="shared" si="5"/>
        <v>0</v>
      </c>
      <c r="O91">
        <f t="shared" si="6"/>
        <v>0</v>
      </c>
      <c r="P91" t="str">
        <f t="shared" si="7"/>
        <v/>
      </c>
    </row>
    <row r="92" spans="1:16" x14ac:dyDescent="0.25">
      <c r="A92">
        <v>24</v>
      </c>
      <c r="B92">
        <f>IF(ISBLANK(VLOOKUP($A92,'Entry data'!$A:$K,2,FALSE)),"",VLOOKUP($A92,'Entry data'!$A:$K,2,FALSE))</f>
        <v>1</v>
      </c>
      <c r="C92">
        <f>IF(ISBLANK(VLOOKUP($A92,'Entry data'!$A:$K,3,FALSE)),"",VLOOKUP($A92,'Entry data'!$A:$K,3,FALSE))</f>
        <v>0.35069444444444442</v>
      </c>
      <c r="D92" t="str">
        <f>IF(ISBLANK(VLOOKUP($A92,'Entry data'!$A:$K,4,FALSE)),"",VLOOKUP($A92,'Entry data'!$A:$K,4,FALSE))</f>
        <v>X</v>
      </c>
      <c r="E92" t="str">
        <f>IF(ISBLANK(VLOOKUP($A92,'Entry data'!$A:$K,5,FALSE)),"",VLOOKUP($A92,'Entry data'!$A:$K,5,FALSE))</f>
        <v>41DET</v>
      </c>
      <c r="F92" t="str">
        <f>IF(ISBLANK(VLOOKUP($A92,'Entry data'!$A:$K,6,FALSE)),"",VLOOKUP($A92,'Entry data'!$A:$K,6,FALSE))</f>
        <v>25NSH</v>
      </c>
      <c r="G92" t="str">
        <f>IF(ISBLANK(VLOOKUP($A92,'Entry data'!$A:$K,7,FALSE)),"",VLOOKUP($A92,'Entry data'!$A:$K,7,FALSE))</f>
        <v>Y</v>
      </c>
      <c r="H92" t="str">
        <f>IF(ISBLANK(VLOOKUP($A92,'Entry data'!$A:$K,8,FALSE)),"",VLOOKUP($A92,'Entry data'!$A:$K,8,FALSE))</f>
        <v>C</v>
      </c>
      <c r="I92" t="str">
        <f>IF(ISBLANK(VLOOKUP($A92,'Entry data'!$A:$K,9,FALSE)),"",VLOOKUP($A92,'Entry data'!$A:$K,9,FALSE))</f>
        <v>N</v>
      </c>
      <c r="J92">
        <f>IF(ISBLANK(VLOOKUP($A92,'Entry data'!$A:$K,10,FALSE)),"",VLOOKUP($A92,'Entry data'!$A:$K,10,FALSE))</f>
        <v>5</v>
      </c>
      <c r="K92">
        <f>IF(ISBLANK(VLOOKUP($A92,'Entry data'!$A:$K,11,FALSE)),"",VLOOKUP($A92,'Entry data'!$A:$K,11,FALSE))</f>
        <v>5</v>
      </c>
      <c r="L92">
        <f>IF(OR(EXACT(D92,"C"),EXACT(D92,"P"),EXACT(D92,"D"),EXACT(D92,"T"),EXACT(D92,"X"),EXACT(E92,"DZF"),EXACT(E92,"OZF"),EXACT(D92,"N"),EXACT(D92,"F")),1,0)</f>
        <v>1</v>
      </c>
      <c r="M92" t="str">
        <f t="shared" si="4"/>
        <v/>
      </c>
      <c r="N92">
        <f t="shared" si="5"/>
        <v>1</v>
      </c>
      <c r="O92">
        <f t="shared" si="6"/>
        <v>0</v>
      </c>
      <c r="P92" t="str">
        <f t="shared" si="7"/>
        <v/>
      </c>
    </row>
    <row r="93" spans="1:16" x14ac:dyDescent="0.25">
      <c r="A93">
        <v>68</v>
      </c>
      <c r="B93">
        <f>IF($A93&gt;$A$1,"",VLOOKUP($A93,'NHL PBP'!$A:$L,8,FALSE))</f>
        <v>1</v>
      </c>
      <c r="C93">
        <f>IF($A93&gt;$A$1,"",IF(B93&gt;3,5/24,20/24)-VLOOKUP($A93,'NHL PBP'!$A:$L,10,FALSE))</f>
        <v>0.34791666666666671</v>
      </c>
      <c r="D93" t="str">
        <f>IF($A93&gt;$A$1,"",VLOOKUP($A93,'NHL PBP'!$A:$L,11,FALSE))</f>
        <v>MISS</v>
      </c>
      <c r="E93" t="str">
        <f>IF(AND(EXACT(D93,"FAC"),NOT(EXACT(MID(F93,9,3),"Neu"))),IF(OR(AND(EXACT(MID(F93,9,3),"Off"),EXACT(LEFT(F93,3),UPPER('Entry data'!$C$2))),AND(EXACT(MID(F93,9,3),"Def"),NOT(EXACT(LEFT(F93,3),UPPER('Entry data'!$C$2))))),"DZF","OZF"),"")</f>
        <v/>
      </c>
      <c r="F93" t="str">
        <f>IF($A93&gt;$A$1,"",VLOOKUP($A93,'NHL PBP'!$A:$L,12,FALSE))</f>
        <v>DET #14 NYQUIST, Wrist, Wide of Net, Off. Zone, 23 ft.</v>
      </c>
      <c r="J93">
        <f>IF(EXACT('Entry data'!$C$3,"Road"),IF(ISBLANK(VLOOKUP(A93,'NHL PBP'!A:AH,21,FALSE)),3,IF(ISBLANK(VLOOKUP(A93,'NHL PBP'!A:AH,23,FALSE)),4,5)),IF(ISBLANK(VLOOKUP(A93,'NHL PBP'!A:AH,32,FALSE)),3,IF(ISBLANK(VLOOKUP(A93,'NHL PBP'!A:AH,34,FALSE)),4,5)))</f>
        <v>5</v>
      </c>
      <c r="K93">
        <f>IF(EXACT('Entry data'!$C$3,"Home"),IF(ISBLANK(VLOOKUP(A93,'NHL PBP'!A:AH,21,FALSE)),3,IF(ISBLANK(VLOOKUP(A93,'NHL PBP'!A:AH,23,FALSE)),4,5)),IF(ISBLANK(VLOOKUP(A93,'NHL PBP'!A:AH,32,FALSE)),3,IF(ISBLANK(VLOOKUP(A93,'NHL PBP'!A:AH,34,FALSE)),4,5)))</f>
        <v>5</v>
      </c>
      <c r="L93">
        <f>IF(OR(EXACT(D93,"C"),EXACT(D93,"P"),EXACT(D93,"D"),EXACT(D93,"T"),EXACT(D93,"X"),EXACT(E93,"DZF"),EXACT(E93,"OZF"),EXACT(D93,"N"),EXACT(D93,"F")),1,0)</f>
        <v>0</v>
      </c>
      <c r="M93" t="str">
        <f t="shared" si="4"/>
        <v/>
      </c>
      <c r="N93">
        <f t="shared" si="5"/>
        <v>1</v>
      </c>
      <c r="O93">
        <f t="shared" si="6"/>
        <v>0</v>
      </c>
      <c r="P93" t="str">
        <f t="shared" si="7"/>
        <v/>
      </c>
    </row>
    <row r="94" spans="1:16" x14ac:dyDescent="0.25">
      <c r="A94">
        <v>69</v>
      </c>
      <c r="B94">
        <f>IF($A94&gt;$A$1,"",VLOOKUP($A94,'NHL PBP'!$A:$L,8,FALSE))</f>
        <v>1</v>
      </c>
      <c r="C94">
        <f>IF($A94&gt;$A$1,"",IF(B94&gt;3,5/24,20/24)-VLOOKUP($A94,'NHL PBP'!$A:$L,10,FALSE))</f>
        <v>0.34722222222222227</v>
      </c>
      <c r="D94" t="str">
        <f>IF($A94&gt;$A$1,"",VLOOKUP($A94,'NHL PBP'!$A:$L,11,FALSE))</f>
        <v>HIT</v>
      </c>
      <c r="E94" t="str">
        <f>IF(AND(EXACT(D94,"FAC"),NOT(EXACT(MID(F94,9,3),"Neu"))),IF(OR(AND(EXACT(MID(F94,9,3),"Off"),EXACT(LEFT(F94,3),UPPER('Entry data'!$C$2))),AND(EXACT(MID(F94,9,3),"Def"),NOT(EXACT(LEFT(F94,3),UPPER('Entry data'!$C$2))))),"DZF","OZF"),"")</f>
        <v/>
      </c>
      <c r="F94" t="str">
        <f>IF($A94&gt;$A$1,"",VLOOKUP($A94,'NHL PBP'!$A:$L,12,FALSE))</f>
        <v>NSH #25 CARLE HIT DET #41 GLENDENING, Def. Zone</v>
      </c>
      <c r="J94">
        <f>IF(EXACT('Entry data'!$C$3,"Road"),IF(ISBLANK(VLOOKUP(A94,'NHL PBP'!A:AH,21,FALSE)),3,IF(ISBLANK(VLOOKUP(A94,'NHL PBP'!A:AH,23,FALSE)),4,5)),IF(ISBLANK(VLOOKUP(A94,'NHL PBP'!A:AH,32,FALSE)),3,IF(ISBLANK(VLOOKUP(A94,'NHL PBP'!A:AH,34,FALSE)),4,5)))</f>
        <v>5</v>
      </c>
      <c r="K94">
        <f>IF(EXACT('Entry data'!$C$3,"Home"),IF(ISBLANK(VLOOKUP(A94,'NHL PBP'!A:AH,21,FALSE)),3,IF(ISBLANK(VLOOKUP(A94,'NHL PBP'!A:AH,23,FALSE)),4,5)),IF(ISBLANK(VLOOKUP(A94,'NHL PBP'!A:AH,32,FALSE)),3,IF(ISBLANK(VLOOKUP(A94,'NHL PBP'!A:AH,34,FALSE)),4,5)))</f>
        <v>5</v>
      </c>
      <c r="L94">
        <f>IF(OR(EXACT(D94,"C"),EXACT(D94,"P"),EXACT(D94,"D"),EXACT(D94,"T"),EXACT(D94,"X"),EXACT(E94,"DZF"),EXACT(E94,"OZF"),EXACT(D94,"N"),EXACT(D94,"F")),1,0)</f>
        <v>0</v>
      </c>
      <c r="M94" t="str">
        <f t="shared" si="4"/>
        <v/>
      </c>
      <c r="N94">
        <f t="shared" si="5"/>
        <v>0</v>
      </c>
      <c r="O94">
        <f t="shared" si="6"/>
        <v>0</v>
      </c>
      <c r="P94" t="str">
        <f t="shared" si="7"/>
        <v/>
      </c>
    </row>
    <row r="95" spans="1:16" x14ac:dyDescent="0.25">
      <c r="A95">
        <v>25</v>
      </c>
      <c r="B95">
        <f>IF(ISBLANK(VLOOKUP($A95,'Entry data'!$A:$K,2,FALSE)),"",VLOOKUP($A95,'Entry data'!$A:$K,2,FALSE))</f>
        <v>1</v>
      </c>
      <c r="C95">
        <f>IF(ISBLANK(VLOOKUP($A95,'Entry data'!$A:$K,3,FALSE)),"",VLOOKUP($A95,'Entry data'!$A:$K,3,FALSE))</f>
        <v>0.33958333333333335</v>
      </c>
      <c r="D95" t="str">
        <f>IF(ISBLANK(VLOOKUP($A95,'Entry data'!$A:$K,4,FALSE)),"",VLOOKUP($A95,'Entry data'!$A:$K,4,FALSE))</f>
        <v>C</v>
      </c>
      <c r="E95" t="str">
        <f>IF(ISBLANK(VLOOKUP($A95,'Entry data'!$A:$K,5,FALSE)),"",VLOOKUP($A95,'Entry data'!$A:$K,5,FALSE))</f>
        <v>33NSH</v>
      </c>
      <c r="F95" t="str">
        <f>IF(ISBLANK(VLOOKUP($A95,'Entry data'!$A:$K,6,FALSE)),"",VLOOKUP($A95,'Entry data'!$A:$K,6,FALSE))</f>
        <v>65DET</v>
      </c>
      <c r="G95" t="str">
        <f>IF(ISBLANK(VLOOKUP($A95,'Entry data'!$A:$K,7,FALSE)),"",VLOOKUP($A95,'Entry data'!$A:$K,7,FALSE))</f>
        <v>N</v>
      </c>
      <c r="H95" t="str">
        <f>IF(ISBLANK(VLOOKUP($A95,'Entry data'!$A:$K,8,FALSE)),"",VLOOKUP($A95,'Entry data'!$A:$K,8,FALSE))</f>
        <v>R</v>
      </c>
      <c r="I95" t="str">
        <f>IF(ISBLANK(VLOOKUP($A95,'Entry data'!$A:$K,9,FALSE)),"",VLOOKUP($A95,'Entry data'!$A:$K,9,FALSE))</f>
        <v>N</v>
      </c>
      <c r="J95">
        <f>IF(ISBLANK(VLOOKUP($A95,'Entry data'!$A:$K,10,FALSE)),"",VLOOKUP($A95,'Entry data'!$A:$K,10,FALSE))</f>
        <v>5</v>
      </c>
      <c r="K95">
        <f>IF(ISBLANK(VLOOKUP($A95,'Entry data'!$A:$K,11,FALSE)),"",VLOOKUP($A95,'Entry data'!$A:$K,11,FALSE))</f>
        <v>5</v>
      </c>
      <c r="L95">
        <f>IF(OR(EXACT(D95,"C"),EXACT(D95,"P"),EXACT(D95,"D"),EXACT(D95,"T"),EXACT(D95,"X"),EXACT(E95,"DZF"),EXACT(E95,"OZF"),EXACT(D95,"N"),EXACT(D95,"F")),1,0)</f>
        <v>1</v>
      </c>
      <c r="M95" t="str">
        <f t="shared" si="4"/>
        <v>33NSH</v>
      </c>
      <c r="N95">
        <f t="shared" si="5"/>
        <v>0</v>
      </c>
      <c r="O95">
        <f t="shared" si="6"/>
        <v>0</v>
      </c>
      <c r="P95" t="str">
        <f t="shared" si="7"/>
        <v/>
      </c>
    </row>
    <row r="96" spans="1:16" x14ac:dyDescent="0.25">
      <c r="A96">
        <v>26</v>
      </c>
      <c r="B96">
        <f>IF(ISBLANK(VLOOKUP($A96,'Entry data'!$A:$K,2,FALSE)),"",VLOOKUP($A96,'Entry data'!$A:$K,2,FALSE))</f>
        <v>1</v>
      </c>
      <c r="C96">
        <f>IF(ISBLANK(VLOOKUP($A96,'Entry data'!$A:$K,3,FALSE)),"",VLOOKUP($A96,'Entry data'!$A:$K,3,FALSE))</f>
        <v>0.33333333333333331</v>
      </c>
      <c r="D96" t="str">
        <f>IF(ISBLANK(VLOOKUP($A96,'Entry data'!$A:$K,4,FALSE)),"",VLOOKUP($A96,'Entry data'!$A:$K,4,FALSE))</f>
        <v>F</v>
      </c>
      <c r="E96" t="str">
        <f>IF(ISBLANK(VLOOKUP($A96,'Entry data'!$A:$K,5,FALSE)),"",VLOOKUP($A96,'Entry data'!$A:$K,5,FALSE))</f>
        <v>29DET</v>
      </c>
      <c r="F96" t="str">
        <f>IF(ISBLANK(VLOOKUP($A96,'Entry data'!$A:$K,6,FALSE)),"",VLOOKUP($A96,'Entry data'!$A:$K,6,FALSE))</f>
        <v>4NSH</v>
      </c>
      <c r="G96" t="str">
        <f>IF(ISBLANK(VLOOKUP($A96,'Entry data'!$A:$K,7,FALSE)),"",VLOOKUP($A96,'Entry data'!$A:$K,7,FALSE))</f>
        <v/>
      </c>
      <c r="H96" t="str">
        <f>IF(ISBLANK(VLOOKUP($A96,'Entry data'!$A:$K,8,FALSE)),"",VLOOKUP($A96,'Entry data'!$A:$K,8,FALSE))</f>
        <v>L</v>
      </c>
      <c r="I96" t="str">
        <f>IF(ISBLANK(VLOOKUP($A96,'Entry data'!$A:$K,9,FALSE)),"",VLOOKUP($A96,'Entry data'!$A:$K,9,FALSE))</f>
        <v>N</v>
      </c>
      <c r="J96">
        <f>IF(ISBLANK(VLOOKUP($A96,'Entry data'!$A:$K,10,FALSE)),"",VLOOKUP($A96,'Entry data'!$A:$K,10,FALSE))</f>
        <v>5</v>
      </c>
      <c r="K96">
        <f>IF(ISBLANK(VLOOKUP($A96,'Entry data'!$A:$K,11,FALSE)),"",VLOOKUP($A96,'Entry data'!$A:$K,11,FALSE))</f>
        <v>5</v>
      </c>
      <c r="L96">
        <f>IF(OR(EXACT(D96,"C"),EXACT(D96,"P"),EXACT(D96,"D"),EXACT(D96,"T"),EXACT(D96,"X"),EXACT(E96,"DZF"),EXACT(E96,"OZF"),EXACT(D96,"N"),EXACT(D96,"F")),1,0)</f>
        <v>1</v>
      </c>
      <c r="M96" t="str">
        <f t="shared" si="4"/>
        <v/>
      </c>
      <c r="N96">
        <f t="shared" si="5"/>
        <v>0</v>
      </c>
      <c r="O96">
        <f t="shared" si="6"/>
        <v>0</v>
      </c>
      <c r="P96" t="str">
        <f t="shared" si="7"/>
        <v>29DET</v>
      </c>
    </row>
    <row r="97" spans="1:16" x14ac:dyDescent="0.25">
      <c r="A97">
        <v>70</v>
      </c>
      <c r="B97">
        <f>IF($A97&gt;$A$1,"",VLOOKUP($A97,'NHL PBP'!$A:$L,8,FALSE))</f>
        <v>1</v>
      </c>
      <c r="C97">
        <f>IF($A97&gt;$A$1,"",IF(B97&gt;3,5/24,20/24)-VLOOKUP($A97,'NHL PBP'!$A:$L,10,FALSE))</f>
        <v>0.32708333333333339</v>
      </c>
      <c r="D97" t="str">
        <f>IF($A97&gt;$A$1,"",VLOOKUP($A97,'NHL PBP'!$A:$L,11,FALSE))</f>
        <v>HIT</v>
      </c>
      <c r="E97" t="str">
        <f>IF(AND(EXACT(D97,"FAC"),NOT(EXACT(MID(F97,9,3),"Neu"))),IF(OR(AND(EXACT(MID(F97,9,3),"Off"),EXACT(LEFT(F97,3),UPPER('Entry data'!$C$2))),AND(EXACT(MID(F97,9,3),"Def"),NOT(EXACT(LEFT(F97,3),UPPER('Entry data'!$C$2))))),"DZF","OZF"),"")</f>
        <v/>
      </c>
      <c r="F97" t="str">
        <f>IF($A97&gt;$A$1,"",VLOOKUP($A97,'NHL PBP'!$A:$L,12,FALSE))</f>
        <v>DET #20 MILLER HIT NSH #38 ARVIDSSON, Neu. Zone</v>
      </c>
      <c r="J97">
        <f>IF(EXACT('Entry data'!$C$3,"Road"),IF(ISBLANK(VLOOKUP(A97,'NHL PBP'!A:AH,21,FALSE)),3,IF(ISBLANK(VLOOKUP(A97,'NHL PBP'!A:AH,23,FALSE)),4,5)),IF(ISBLANK(VLOOKUP(A97,'NHL PBP'!A:AH,32,FALSE)),3,IF(ISBLANK(VLOOKUP(A97,'NHL PBP'!A:AH,34,FALSE)),4,5)))</f>
        <v>5</v>
      </c>
      <c r="K97">
        <f>IF(EXACT('Entry data'!$C$3,"Home"),IF(ISBLANK(VLOOKUP(A97,'NHL PBP'!A:AH,21,FALSE)),3,IF(ISBLANK(VLOOKUP(A97,'NHL PBP'!A:AH,23,FALSE)),4,5)),IF(ISBLANK(VLOOKUP(A97,'NHL PBP'!A:AH,32,FALSE)),3,IF(ISBLANK(VLOOKUP(A97,'NHL PBP'!A:AH,34,FALSE)),4,5)))</f>
        <v>5</v>
      </c>
      <c r="L97">
        <f>IF(OR(EXACT(D97,"C"),EXACT(D97,"P"),EXACT(D97,"D"),EXACT(D97,"T"),EXACT(D97,"X"),EXACT(E97,"DZF"),EXACT(E97,"OZF"),EXACT(D97,"N"),EXACT(D97,"F")),1,0)</f>
        <v>0</v>
      </c>
      <c r="M97" t="str">
        <f t="shared" si="4"/>
        <v/>
      </c>
      <c r="N97">
        <f t="shared" si="5"/>
        <v>0</v>
      </c>
      <c r="O97">
        <f t="shared" si="6"/>
        <v>0</v>
      </c>
      <c r="P97" t="str">
        <f t="shared" si="7"/>
        <v/>
      </c>
    </row>
    <row r="98" spans="1:16" x14ac:dyDescent="0.25">
      <c r="A98">
        <v>27</v>
      </c>
      <c r="B98">
        <f>IF(ISBLANK(VLOOKUP($A98,'Entry data'!$A:$K,2,FALSE)),"",VLOOKUP($A98,'Entry data'!$A:$K,2,FALSE))</f>
        <v>1</v>
      </c>
      <c r="C98">
        <f>IF(ISBLANK(VLOOKUP($A98,'Entry data'!$A:$K,3,FALSE)),"",VLOOKUP($A98,'Entry data'!$A:$K,3,FALSE))</f>
        <v>0.32430555555555557</v>
      </c>
      <c r="D98" t="str">
        <f>IF(ISBLANK(VLOOKUP($A98,'Entry data'!$A:$K,4,FALSE)),"",VLOOKUP($A98,'Entry data'!$A:$K,4,FALSE))</f>
        <v>D</v>
      </c>
      <c r="E98" t="str">
        <f>IF(ISBLANK(VLOOKUP($A98,'Entry data'!$A:$K,5,FALSE)),"",VLOOKUP($A98,'Entry data'!$A:$K,5,FALSE))</f>
        <v>25DET</v>
      </c>
      <c r="F98" t="str">
        <f>IF(ISBLANK(VLOOKUP($A98,'Entry data'!$A:$K,6,FALSE)),"",VLOOKUP($A98,'Entry data'!$A:$K,6,FALSE))</f>
        <v>N</v>
      </c>
      <c r="G98" t="str">
        <f>IF(ISBLANK(VLOOKUP($A98,'Entry data'!$A:$K,7,FALSE)),"",VLOOKUP($A98,'Entry data'!$A:$K,7,FALSE))</f>
        <v/>
      </c>
      <c r="H98" t="str">
        <f>IF(ISBLANK(VLOOKUP($A98,'Entry data'!$A:$K,8,FALSE)),"",VLOOKUP($A98,'Entry data'!$A:$K,8,FALSE))</f>
        <v>R</v>
      </c>
      <c r="I98" t="str">
        <f>IF(ISBLANK(VLOOKUP($A98,'Entry data'!$A:$K,9,FALSE)),"",VLOOKUP($A98,'Entry data'!$A:$K,9,FALSE))</f>
        <v>N</v>
      </c>
      <c r="J98">
        <f>IF(ISBLANK(VLOOKUP($A98,'Entry data'!$A:$K,10,FALSE)),"",VLOOKUP($A98,'Entry data'!$A:$K,10,FALSE))</f>
        <v>5</v>
      </c>
      <c r="K98">
        <f>IF(ISBLANK(VLOOKUP($A98,'Entry data'!$A:$K,11,FALSE)),"",VLOOKUP($A98,'Entry data'!$A:$K,11,FALSE))</f>
        <v>5</v>
      </c>
      <c r="L98">
        <f>IF(OR(EXACT(D98,"C"),EXACT(D98,"P"),EXACT(D98,"D"),EXACT(D98,"T"),EXACT(D98,"X"),EXACT(E98,"DZF"),EXACT(E98,"OZF"),EXACT(D98,"N"),EXACT(D98,"F")),1,0)</f>
        <v>1</v>
      </c>
      <c r="M98" t="str">
        <f t="shared" si="4"/>
        <v/>
      </c>
      <c r="N98">
        <f t="shared" si="5"/>
        <v>0</v>
      </c>
      <c r="O98">
        <f t="shared" si="6"/>
        <v>0</v>
      </c>
      <c r="P98" t="str">
        <f t="shared" si="7"/>
        <v/>
      </c>
    </row>
    <row r="99" spans="1:16" x14ac:dyDescent="0.25">
      <c r="A99">
        <v>28</v>
      </c>
      <c r="B99">
        <f>IF(ISBLANK(VLOOKUP($A99,'Entry data'!$A:$K,2,FALSE)),"",VLOOKUP($A99,'Entry data'!$A:$K,2,FALSE))</f>
        <v>1</v>
      </c>
      <c r="C99">
        <f>IF(ISBLANK(VLOOKUP($A99,'Entry data'!$A:$K,3,FALSE)),"",VLOOKUP($A99,'Entry data'!$A:$K,3,FALSE))</f>
        <v>0.31805555555555554</v>
      </c>
      <c r="D99" t="str">
        <f>IF(ISBLANK(VLOOKUP($A99,'Entry data'!$A:$K,4,FALSE)),"",VLOOKUP($A99,'Entry data'!$A:$K,4,FALSE))</f>
        <v>F</v>
      </c>
      <c r="E99" t="str">
        <f>IF(ISBLANK(VLOOKUP($A99,'Entry data'!$A:$K,5,FALSE)),"",VLOOKUP($A99,'Entry data'!$A:$K,5,FALSE))</f>
        <v>92NSH</v>
      </c>
      <c r="F99" t="str">
        <f>IF(ISBLANK(VLOOKUP($A99,'Entry data'!$A:$K,6,FALSE)),"",VLOOKUP($A99,'Entry data'!$A:$K,6,FALSE))</f>
        <v>52DET</v>
      </c>
      <c r="G99" t="str">
        <f>IF(ISBLANK(VLOOKUP($A99,'Entry data'!$A:$K,7,FALSE)),"",VLOOKUP($A99,'Entry data'!$A:$K,7,FALSE))</f>
        <v/>
      </c>
      <c r="H99" t="str">
        <f>IF(ISBLANK(VLOOKUP($A99,'Entry data'!$A:$K,8,FALSE)),"",VLOOKUP($A99,'Entry data'!$A:$K,8,FALSE))</f>
        <v>R</v>
      </c>
      <c r="I99" t="str">
        <f>IF(ISBLANK(VLOOKUP($A99,'Entry data'!$A:$K,9,FALSE)),"",VLOOKUP($A99,'Entry data'!$A:$K,9,FALSE))</f>
        <v>N</v>
      </c>
      <c r="J99">
        <f>IF(ISBLANK(VLOOKUP($A99,'Entry data'!$A:$K,10,FALSE)),"",VLOOKUP($A99,'Entry data'!$A:$K,10,FALSE))</f>
        <v>5</v>
      </c>
      <c r="K99">
        <f>IF(ISBLANK(VLOOKUP($A99,'Entry data'!$A:$K,11,FALSE)),"",VLOOKUP($A99,'Entry data'!$A:$K,11,FALSE))</f>
        <v>5</v>
      </c>
      <c r="L99">
        <f>IF(OR(EXACT(D99,"C"),EXACT(D99,"P"),EXACT(D99,"D"),EXACT(D99,"T"),EXACT(D99,"X"),EXACT(E99,"DZF"),EXACT(E99,"OZF"),EXACT(D99,"N"),EXACT(D99,"F")),1,0)</f>
        <v>1</v>
      </c>
      <c r="M99" t="str">
        <f t="shared" si="4"/>
        <v/>
      </c>
      <c r="N99">
        <f t="shared" si="5"/>
        <v>0</v>
      </c>
      <c r="O99">
        <f t="shared" si="6"/>
        <v>0</v>
      </c>
      <c r="P99" t="str">
        <f t="shared" si="7"/>
        <v>92NSH</v>
      </c>
    </row>
    <row r="100" spans="1:16" x14ac:dyDescent="0.25">
      <c r="A100">
        <v>29</v>
      </c>
      <c r="B100">
        <f>IF(ISBLANK(VLOOKUP($A100,'Entry data'!$A:$K,2,FALSE)),"",VLOOKUP($A100,'Entry data'!$A:$K,2,FALSE))</f>
        <v>1</v>
      </c>
      <c r="C100">
        <f>IF(ISBLANK(VLOOKUP($A100,'Entry data'!$A:$K,3,FALSE)),"",VLOOKUP($A100,'Entry data'!$A:$K,3,FALSE))</f>
        <v>0.31527777777777777</v>
      </c>
      <c r="D100" t="str">
        <f>IF(ISBLANK(VLOOKUP($A100,'Entry data'!$A:$K,4,FALSE)),"",VLOOKUP($A100,'Entry data'!$A:$K,4,FALSE))</f>
        <v>C</v>
      </c>
      <c r="E100" t="str">
        <f>IF(ISBLANK(VLOOKUP($A100,'Entry data'!$A:$K,5,FALSE)),"",VLOOKUP($A100,'Entry data'!$A:$K,5,FALSE))</f>
        <v>8DET</v>
      </c>
      <c r="F100" t="str">
        <f>IF(ISBLANK(VLOOKUP($A100,'Entry data'!$A:$K,6,FALSE)),"",VLOOKUP($A100,'Entry data'!$A:$K,6,FALSE))</f>
        <v>14NSH</v>
      </c>
      <c r="G100" t="str">
        <f>IF(ISBLANK(VLOOKUP($A100,'Entry data'!$A:$K,7,FALSE)),"",VLOOKUP($A100,'Entry data'!$A:$K,7,FALSE))</f>
        <v>N</v>
      </c>
      <c r="H100" t="str">
        <f>IF(ISBLANK(VLOOKUP($A100,'Entry data'!$A:$K,8,FALSE)),"",VLOOKUP($A100,'Entry data'!$A:$K,8,FALSE))</f>
        <v>R</v>
      </c>
      <c r="I100" t="str">
        <f>IF(ISBLANK(VLOOKUP($A100,'Entry data'!$A:$K,9,FALSE)),"",VLOOKUP($A100,'Entry data'!$A:$K,9,FALSE))</f>
        <v>N</v>
      </c>
      <c r="J100">
        <f>IF(ISBLANK(VLOOKUP($A100,'Entry data'!$A:$K,10,FALSE)),"",VLOOKUP($A100,'Entry data'!$A:$K,10,FALSE))</f>
        <v>5</v>
      </c>
      <c r="K100">
        <f>IF(ISBLANK(VLOOKUP($A100,'Entry data'!$A:$K,11,FALSE)),"",VLOOKUP($A100,'Entry data'!$A:$K,11,FALSE))</f>
        <v>5</v>
      </c>
      <c r="L100">
        <f>IF(OR(EXACT(D100,"C"),EXACT(D100,"P"),EXACT(D100,"D"),EXACT(D100,"T"),EXACT(D100,"X"),EXACT(E100,"DZF"),EXACT(E100,"OZF"),EXACT(D100,"N"),EXACT(D100,"F")),1,0)</f>
        <v>1</v>
      </c>
      <c r="M100" t="str">
        <f t="shared" si="4"/>
        <v>8DET</v>
      </c>
      <c r="N100">
        <f t="shared" si="5"/>
        <v>1</v>
      </c>
      <c r="O100">
        <f t="shared" si="6"/>
        <v>0</v>
      </c>
      <c r="P100" t="str">
        <f t="shared" si="7"/>
        <v/>
      </c>
    </row>
    <row r="101" spans="1:16" x14ac:dyDescent="0.25">
      <c r="A101">
        <v>71</v>
      </c>
      <c r="B101">
        <f>IF($A101&gt;$A$1,"",VLOOKUP($A101,'NHL PBP'!$A:$L,8,FALSE))</f>
        <v>1</v>
      </c>
      <c r="C101">
        <f>IF($A101&gt;$A$1,"",IF(B101&gt;3,5/24,20/24)-VLOOKUP($A101,'NHL PBP'!$A:$L,10,FALSE))</f>
        <v>0.31319444444444455</v>
      </c>
      <c r="D101" t="str">
        <f>IF($A101&gt;$A$1,"",VLOOKUP($A101,'NHL PBP'!$A:$L,11,FALSE))</f>
        <v>MISS</v>
      </c>
      <c r="E101" t="str">
        <f>IF(AND(EXACT(D101,"FAC"),NOT(EXACT(MID(F101,9,3),"Neu"))),IF(OR(AND(EXACT(MID(F101,9,3),"Off"),EXACT(LEFT(F101,3),UPPER('Entry data'!$C$2))),AND(EXACT(MID(F101,9,3),"Def"),NOT(EXACT(LEFT(F101,3),UPPER('Entry data'!$C$2))))),"DZF","OZF"),"")</f>
        <v/>
      </c>
      <c r="F101" t="str">
        <f>IF($A101&gt;$A$1,"",VLOOKUP($A101,'NHL PBP'!$A:$L,12,FALSE))</f>
        <v>DET #8 ABDELKADER, Snap, Wide of Net, Off. Zone, 28 ft.</v>
      </c>
      <c r="J101">
        <f>IF(EXACT('Entry data'!$C$3,"Road"),IF(ISBLANK(VLOOKUP(A101,'NHL PBP'!A:AH,21,FALSE)),3,IF(ISBLANK(VLOOKUP(A101,'NHL PBP'!A:AH,23,FALSE)),4,5)),IF(ISBLANK(VLOOKUP(A101,'NHL PBP'!A:AH,32,FALSE)),3,IF(ISBLANK(VLOOKUP(A101,'NHL PBP'!A:AH,34,FALSE)),4,5)))</f>
        <v>5</v>
      </c>
      <c r="K101">
        <f>IF(EXACT('Entry data'!$C$3,"Home"),IF(ISBLANK(VLOOKUP(A101,'NHL PBP'!A:AH,21,FALSE)),3,IF(ISBLANK(VLOOKUP(A101,'NHL PBP'!A:AH,23,FALSE)),4,5)),IF(ISBLANK(VLOOKUP(A101,'NHL PBP'!A:AH,32,FALSE)),3,IF(ISBLANK(VLOOKUP(A101,'NHL PBP'!A:AH,34,FALSE)),4,5)))</f>
        <v>5</v>
      </c>
      <c r="L101">
        <f>IF(OR(EXACT(D101,"C"),EXACT(D101,"P"),EXACT(D101,"D"),EXACT(D101,"T"),EXACT(D101,"X"),EXACT(E101,"DZF"),EXACT(E101,"OZF"),EXACT(D101,"N"),EXACT(D101,"F")),1,0)</f>
        <v>0</v>
      </c>
      <c r="M101" t="str">
        <f t="shared" si="4"/>
        <v/>
      </c>
      <c r="N101">
        <f t="shared" si="5"/>
        <v>1</v>
      </c>
      <c r="O101">
        <f t="shared" si="6"/>
        <v>0</v>
      </c>
      <c r="P101" t="str">
        <f t="shared" si="7"/>
        <v/>
      </c>
    </row>
    <row r="102" spans="1:16" x14ac:dyDescent="0.25">
      <c r="A102">
        <v>30</v>
      </c>
      <c r="B102">
        <f>IF(ISBLANK(VLOOKUP($A102,'Entry data'!$A:$K,2,FALSE)),"",VLOOKUP($A102,'Entry data'!$A:$K,2,FALSE))</f>
        <v>1</v>
      </c>
      <c r="C102">
        <f>IF(ISBLANK(VLOOKUP($A102,'Entry data'!$A:$K,3,FALSE)),"",VLOOKUP($A102,'Entry data'!$A:$K,3,FALSE))</f>
        <v>0.30833333333333335</v>
      </c>
      <c r="D102" t="str">
        <f>IF(ISBLANK(VLOOKUP($A102,'Entry data'!$A:$K,4,FALSE)),"",VLOOKUP($A102,'Entry data'!$A:$K,4,FALSE))</f>
        <v>D</v>
      </c>
      <c r="E102" t="str">
        <f>IF(ISBLANK(VLOOKUP($A102,'Entry data'!$A:$K,5,FALSE)),"",VLOOKUP($A102,'Entry data'!$A:$K,5,FALSE))</f>
        <v>19NSH</v>
      </c>
      <c r="F102" t="str">
        <f>IF(ISBLANK(VLOOKUP($A102,'Entry data'!$A:$K,6,FALSE)),"",VLOOKUP($A102,'Entry data'!$A:$K,6,FALSE))</f>
        <v>52DET</v>
      </c>
      <c r="G102" t="str">
        <f>IF(ISBLANK(VLOOKUP($A102,'Entry data'!$A:$K,7,FALSE)),"",VLOOKUP($A102,'Entry data'!$A:$K,7,FALSE))</f>
        <v/>
      </c>
      <c r="H102" t="str">
        <f>IF(ISBLANK(VLOOKUP($A102,'Entry data'!$A:$K,8,FALSE)),"",VLOOKUP($A102,'Entry data'!$A:$K,8,FALSE))</f>
        <v>R</v>
      </c>
      <c r="I102" t="str">
        <f>IF(ISBLANK(VLOOKUP($A102,'Entry data'!$A:$K,9,FALSE)),"",VLOOKUP($A102,'Entry data'!$A:$K,9,FALSE))</f>
        <v>N</v>
      </c>
      <c r="J102">
        <f>IF(ISBLANK(VLOOKUP($A102,'Entry data'!$A:$K,10,FALSE)),"",VLOOKUP($A102,'Entry data'!$A:$K,10,FALSE))</f>
        <v>5</v>
      </c>
      <c r="K102">
        <f>IF(ISBLANK(VLOOKUP($A102,'Entry data'!$A:$K,11,FALSE)),"",VLOOKUP($A102,'Entry data'!$A:$K,11,FALSE))</f>
        <v>5</v>
      </c>
      <c r="L102">
        <f>IF(OR(EXACT(D102,"C"),EXACT(D102,"P"),EXACT(D102,"D"),EXACT(D102,"T"),EXACT(D102,"X"),EXACT(E102,"DZF"),EXACT(E102,"OZF"),EXACT(D102,"N"),EXACT(D102,"F")),1,0)</f>
        <v>1</v>
      </c>
      <c r="M102" t="str">
        <f t="shared" si="4"/>
        <v/>
      </c>
      <c r="N102">
        <f t="shared" si="5"/>
        <v>0</v>
      </c>
      <c r="O102">
        <f t="shared" si="6"/>
        <v>0</v>
      </c>
      <c r="P102" t="str">
        <f t="shared" si="7"/>
        <v/>
      </c>
    </row>
    <row r="103" spans="1:16" x14ac:dyDescent="0.25">
      <c r="A103">
        <v>31</v>
      </c>
      <c r="B103">
        <f>IF(ISBLANK(VLOOKUP($A103,'Entry data'!$A:$K,2,FALSE)),"",VLOOKUP($A103,'Entry data'!$A:$K,2,FALSE))</f>
        <v>1</v>
      </c>
      <c r="C103">
        <f>IF(ISBLANK(VLOOKUP($A103,'Entry data'!$A:$K,3,FALSE)),"",VLOOKUP($A103,'Entry data'!$A:$K,3,FALSE))</f>
        <v>0.29097222222222224</v>
      </c>
      <c r="D103" t="str">
        <f>IF(ISBLANK(VLOOKUP($A103,'Entry data'!$A:$K,4,FALSE)),"",VLOOKUP($A103,'Entry data'!$A:$K,4,FALSE))</f>
        <v>C</v>
      </c>
      <c r="E103" t="str">
        <f>IF(ISBLANK(VLOOKUP($A103,'Entry data'!$A:$K,5,FALSE)),"",VLOOKUP($A103,'Entry data'!$A:$K,5,FALSE))</f>
        <v>71DET</v>
      </c>
      <c r="F103" t="str">
        <f>IF(ISBLANK(VLOOKUP($A103,'Entry data'!$A:$K,6,FALSE)),"",VLOOKUP($A103,'Entry data'!$A:$K,6,FALSE))</f>
        <v>59NSH</v>
      </c>
      <c r="G103" t="str">
        <f>IF(ISBLANK(VLOOKUP($A103,'Entry data'!$A:$K,7,FALSE)),"",VLOOKUP($A103,'Entry data'!$A:$K,7,FALSE))</f>
        <v>N</v>
      </c>
      <c r="H103" t="str">
        <f>IF(ISBLANK(VLOOKUP($A103,'Entry data'!$A:$K,8,FALSE)),"",VLOOKUP($A103,'Entry data'!$A:$K,8,FALSE))</f>
        <v>C</v>
      </c>
      <c r="I103" t="str">
        <f>IF(ISBLANK(VLOOKUP($A103,'Entry data'!$A:$K,9,FALSE)),"",VLOOKUP($A103,'Entry data'!$A:$K,9,FALSE))</f>
        <v>N</v>
      </c>
      <c r="J103">
        <f>IF(ISBLANK(VLOOKUP($A103,'Entry data'!$A:$K,10,FALSE)),"",VLOOKUP($A103,'Entry data'!$A:$K,10,FALSE))</f>
        <v>5</v>
      </c>
      <c r="K103">
        <f>IF(ISBLANK(VLOOKUP($A103,'Entry data'!$A:$K,11,FALSE)),"",VLOOKUP($A103,'Entry data'!$A:$K,11,FALSE))</f>
        <v>5</v>
      </c>
      <c r="L103">
        <f>IF(OR(EXACT(D103,"C"),EXACT(D103,"P"),EXACT(D103,"D"),EXACT(D103,"T"),EXACT(D103,"X"),EXACT(E103,"DZF"),EXACT(E103,"OZF"),EXACT(D103,"N"),EXACT(D103,"F")),1,0)</f>
        <v>1</v>
      </c>
      <c r="M103" t="str">
        <f t="shared" si="4"/>
        <v>71DET</v>
      </c>
      <c r="N103">
        <f t="shared" si="5"/>
        <v>0</v>
      </c>
      <c r="O103">
        <f t="shared" si="6"/>
        <v>0</v>
      </c>
      <c r="P103" t="str">
        <f t="shared" si="7"/>
        <v/>
      </c>
    </row>
    <row r="104" spans="1:16" x14ac:dyDescent="0.25">
      <c r="A104">
        <v>72</v>
      </c>
      <c r="B104">
        <f>IF($A104&gt;$A$1,"",VLOOKUP($A104,'NHL PBP'!$A:$L,8,FALSE))</f>
        <v>1</v>
      </c>
      <c r="C104">
        <f>IF($A104&gt;$A$1,"",IF(B104&gt;3,5/24,20/24)-VLOOKUP($A104,'NHL PBP'!$A:$L,10,FALSE))</f>
        <v>0.2861111111111112</v>
      </c>
      <c r="D104" t="str">
        <f>IF($A104&gt;$A$1,"",VLOOKUP($A104,'NHL PBP'!$A:$L,11,FALSE))</f>
        <v>TAKE</v>
      </c>
      <c r="E104" t="str">
        <f>IF(AND(EXACT(D104,"FAC"),NOT(EXACT(MID(F104,9,3),"Neu"))),IF(OR(AND(EXACT(MID(F104,9,3),"Off"),EXACT(LEFT(F104,3),UPPER('Entry data'!$C$2))),AND(EXACT(MID(F104,9,3),"Def"),NOT(EXACT(LEFT(F104,3),UPPER('Entry data'!$C$2))))),"DZF","OZF"),"")</f>
        <v/>
      </c>
      <c r="F104" t="str">
        <f>IF($A104&gt;$A$1,"",VLOOKUP($A104,'NHL PBP'!$A:$L,12,FALSE))</f>
        <v>DET TAKEAWAY - #71 LARKIN, Off. Zone</v>
      </c>
      <c r="J104">
        <f>IF(EXACT('Entry data'!$C$3,"Road"),IF(ISBLANK(VLOOKUP(A104,'NHL PBP'!A:AH,21,FALSE)),3,IF(ISBLANK(VLOOKUP(A104,'NHL PBP'!A:AH,23,FALSE)),4,5)),IF(ISBLANK(VLOOKUP(A104,'NHL PBP'!A:AH,32,FALSE)),3,IF(ISBLANK(VLOOKUP(A104,'NHL PBP'!A:AH,34,FALSE)),4,5)))</f>
        <v>5</v>
      </c>
      <c r="K104">
        <f>IF(EXACT('Entry data'!$C$3,"Home"),IF(ISBLANK(VLOOKUP(A104,'NHL PBP'!A:AH,21,FALSE)),3,IF(ISBLANK(VLOOKUP(A104,'NHL PBP'!A:AH,23,FALSE)),4,5)),IF(ISBLANK(VLOOKUP(A104,'NHL PBP'!A:AH,32,FALSE)),3,IF(ISBLANK(VLOOKUP(A104,'NHL PBP'!A:AH,34,FALSE)),4,5)))</f>
        <v>5</v>
      </c>
      <c r="L104">
        <f>IF(OR(EXACT(D104,"C"),EXACT(D104,"P"),EXACT(D104,"D"),EXACT(D104,"T"),EXACT(D104,"X"),EXACT(E104,"DZF"),EXACT(E104,"OZF"),EXACT(D104,"N"),EXACT(D104,"F")),1,0)</f>
        <v>0</v>
      </c>
      <c r="M104" t="str">
        <f t="shared" si="4"/>
        <v/>
      </c>
      <c r="N104">
        <f t="shared" si="5"/>
        <v>0</v>
      </c>
      <c r="O104">
        <f t="shared" si="6"/>
        <v>0</v>
      </c>
      <c r="P104" t="str">
        <f t="shared" si="7"/>
        <v/>
      </c>
    </row>
    <row r="105" spans="1:16" x14ac:dyDescent="0.25">
      <c r="A105">
        <v>32</v>
      </c>
      <c r="B105">
        <f>IF(ISBLANK(VLOOKUP($A105,'Entry data'!$A:$K,2,FALSE)),"",VLOOKUP($A105,'Entry data'!$A:$K,2,FALSE))</f>
        <v>1</v>
      </c>
      <c r="C105">
        <f>IF(ISBLANK(VLOOKUP($A105,'Entry data'!$A:$K,3,FALSE)),"",VLOOKUP($A105,'Entry data'!$A:$K,3,FALSE))</f>
        <v>0.28402777777777777</v>
      </c>
      <c r="D105" t="str">
        <f>IF(ISBLANK(VLOOKUP($A105,'Entry data'!$A:$K,4,FALSE)),"",VLOOKUP($A105,'Entry data'!$A:$K,4,FALSE))</f>
        <v>C</v>
      </c>
      <c r="E105" t="str">
        <f>IF(ISBLANK(VLOOKUP($A105,'Entry data'!$A:$K,5,FALSE)),"",VLOOKUP($A105,'Entry data'!$A:$K,5,FALSE))</f>
        <v>63NSH</v>
      </c>
      <c r="F105" t="str">
        <f>IF(ISBLANK(VLOOKUP($A105,'Entry data'!$A:$K,6,FALSE)),"",VLOOKUP($A105,'Entry data'!$A:$K,6,FALSE))</f>
        <v>2DET</v>
      </c>
      <c r="G105" t="str">
        <f>IF(ISBLANK(VLOOKUP($A105,'Entry data'!$A:$K,7,FALSE)),"",VLOOKUP($A105,'Entry data'!$A:$K,7,FALSE))</f>
        <v>Y</v>
      </c>
      <c r="H105" t="str">
        <f>IF(ISBLANK(VLOOKUP($A105,'Entry data'!$A:$K,8,FALSE)),"",VLOOKUP($A105,'Entry data'!$A:$K,8,FALSE))</f>
        <v>R</v>
      </c>
      <c r="I105" t="str">
        <f>IF(ISBLANK(VLOOKUP($A105,'Entry data'!$A:$K,9,FALSE)),"",VLOOKUP($A105,'Entry data'!$A:$K,9,FALSE))</f>
        <v>N</v>
      </c>
      <c r="J105">
        <f>IF(ISBLANK(VLOOKUP($A105,'Entry data'!$A:$K,10,FALSE)),"",VLOOKUP($A105,'Entry data'!$A:$K,10,FALSE))</f>
        <v>5</v>
      </c>
      <c r="K105">
        <f>IF(ISBLANK(VLOOKUP($A105,'Entry data'!$A:$K,11,FALSE)),"",VLOOKUP($A105,'Entry data'!$A:$K,11,FALSE))</f>
        <v>5</v>
      </c>
      <c r="L105">
        <f>IF(OR(EXACT(D105,"C"),EXACT(D105,"P"),EXACT(D105,"D"),EXACT(D105,"T"),EXACT(D105,"X"),EXACT(E105,"DZF"),EXACT(E105,"OZF"),EXACT(D105,"N"),EXACT(D105,"F")),1,0)</f>
        <v>1</v>
      </c>
      <c r="M105" t="str">
        <f t="shared" si="4"/>
        <v>63NSH</v>
      </c>
      <c r="N105">
        <f t="shared" si="5"/>
        <v>1</v>
      </c>
      <c r="O105">
        <f t="shared" si="6"/>
        <v>0</v>
      </c>
      <c r="P105" t="str">
        <f t="shared" si="7"/>
        <v/>
      </c>
    </row>
    <row r="106" spans="1:16" x14ac:dyDescent="0.25">
      <c r="A106">
        <v>73</v>
      </c>
      <c r="B106">
        <f>IF($A106&gt;$A$1,"",VLOOKUP($A106,'NHL PBP'!$A:$L,8,FALSE))</f>
        <v>1</v>
      </c>
      <c r="C106">
        <f>IF($A106&gt;$A$1,"",IF(B106&gt;3,5/24,20/24)-VLOOKUP($A106,'NHL PBP'!$A:$L,10,FALSE))</f>
        <v>0.28125</v>
      </c>
      <c r="D106" t="str">
        <f>IF($A106&gt;$A$1,"",VLOOKUP($A106,'NHL PBP'!$A:$L,11,FALSE))</f>
        <v>SHOT</v>
      </c>
      <c r="E106" t="str">
        <f>IF(AND(EXACT(D106,"FAC"),NOT(EXACT(MID(F106,9,3),"Neu"))),IF(OR(AND(EXACT(MID(F106,9,3),"Off"),EXACT(LEFT(F106,3),UPPER('Entry data'!$C$2))),AND(EXACT(MID(F106,9,3),"Def"),NOT(EXACT(LEFT(F106,3),UPPER('Entry data'!$C$2))))),"DZF","OZF"),"")</f>
        <v/>
      </c>
      <c r="F106" t="str">
        <f>IF($A106&gt;$A$1,"",VLOOKUP($A106,'NHL PBP'!$A:$L,12,FALSE))</f>
        <v>NSH ONGOAL - #15 SMITH, Deflected, Off. Zone, 13 ft.</v>
      </c>
      <c r="J106">
        <f>IF(EXACT('Entry data'!$C$3,"Road"),IF(ISBLANK(VLOOKUP(A106,'NHL PBP'!A:AH,21,FALSE)),3,IF(ISBLANK(VLOOKUP(A106,'NHL PBP'!A:AH,23,FALSE)),4,5)),IF(ISBLANK(VLOOKUP(A106,'NHL PBP'!A:AH,32,FALSE)),3,IF(ISBLANK(VLOOKUP(A106,'NHL PBP'!A:AH,34,FALSE)),4,5)))</f>
        <v>5</v>
      </c>
      <c r="K106">
        <f>IF(EXACT('Entry data'!$C$3,"Home"),IF(ISBLANK(VLOOKUP(A106,'NHL PBP'!A:AH,21,FALSE)),3,IF(ISBLANK(VLOOKUP(A106,'NHL PBP'!A:AH,23,FALSE)),4,5)),IF(ISBLANK(VLOOKUP(A106,'NHL PBP'!A:AH,32,FALSE)),3,IF(ISBLANK(VLOOKUP(A106,'NHL PBP'!A:AH,34,FALSE)),4,5)))</f>
        <v>5</v>
      </c>
      <c r="L106">
        <f>IF(OR(EXACT(D106,"C"),EXACT(D106,"P"),EXACT(D106,"D"),EXACT(D106,"T"),EXACT(D106,"X"),EXACT(E106,"DZF"),EXACT(E106,"OZF"),EXACT(D106,"N"),EXACT(D106,"F")),1,0)</f>
        <v>0</v>
      </c>
      <c r="M106" t="str">
        <f t="shared" si="4"/>
        <v/>
      </c>
      <c r="N106">
        <f t="shared" si="5"/>
        <v>1</v>
      </c>
      <c r="O106">
        <f t="shared" si="6"/>
        <v>0</v>
      </c>
      <c r="P106" t="str">
        <f t="shared" si="7"/>
        <v/>
      </c>
    </row>
    <row r="107" spans="1:16" x14ac:dyDescent="0.25">
      <c r="A107">
        <v>33</v>
      </c>
      <c r="B107">
        <f>IF(ISBLANK(VLOOKUP($A107,'Entry data'!$A:$K,2,FALSE)),"",VLOOKUP($A107,'Entry data'!$A:$K,2,FALSE))</f>
        <v>1</v>
      </c>
      <c r="C107">
        <f>IF(ISBLANK(VLOOKUP($A107,'Entry data'!$A:$K,3,FALSE)),"",VLOOKUP($A107,'Entry data'!$A:$K,3,FALSE))</f>
        <v>0.27847222222222223</v>
      </c>
      <c r="D107" t="str">
        <f>IF(ISBLANK(VLOOKUP($A107,'Entry data'!$A:$K,4,FALSE)),"",VLOOKUP($A107,'Entry data'!$A:$K,4,FALSE))</f>
        <v>C</v>
      </c>
      <c r="E107" t="str">
        <f>IF(ISBLANK(VLOOKUP($A107,'Entry data'!$A:$K,5,FALSE)),"",VLOOKUP($A107,'Entry data'!$A:$K,5,FALSE))</f>
        <v>71DET</v>
      </c>
      <c r="F107" t="str">
        <f>IF(ISBLANK(VLOOKUP($A107,'Entry data'!$A:$K,6,FALSE)),"",VLOOKUP($A107,'Entry data'!$A:$K,6,FALSE))</f>
        <v>59NSH</v>
      </c>
      <c r="G107" t="str">
        <f>IF(ISBLANK(VLOOKUP($A107,'Entry data'!$A:$K,7,FALSE)),"",VLOOKUP($A107,'Entry data'!$A:$K,7,FALSE))</f>
        <v>N</v>
      </c>
      <c r="H107" t="str">
        <f>IF(ISBLANK(VLOOKUP($A107,'Entry data'!$A:$K,8,FALSE)),"",VLOOKUP($A107,'Entry data'!$A:$K,8,FALSE))</f>
        <v>L</v>
      </c>
      <c r="I107" t="str">
        <f>IF(ISBLANK(VLOOKUP($A107,'Entry data'!$A:$K,9,FALSE)),"",VLOOKUP($A107,'Entry data'!$A:$K,9,FALSE))</f>
        <v>N</v>
      </c>
      <c r="J107">
        <f>IF(ISBLANK(VLOOKUP($A107,'Entry data'!$A:$K,10,FALSE)),"",VLOOKUP($A107,'Entry data'!$A:$K,10,FALSE))</f>
        <v>5</v>
      </c>
      <c r="K107">
        <f>IF(ISBLANK(VLOOKUP($A107,'Entry data'!$A:$K,11,FALSE)),"",VLOOKUP($A107,'Entry data'!$A:$K,11,FALSE))</f>
        <v>5</v>
      </c>
      <c r="L107">
        <f>IF(OR(EXACT(D107,"C"),EXACT(D107,"P"),EXACT(D107,"D"),EXACT(D107,"T"),EXACT(D107,"X"),EXACT(E107,"DZF"),EXACT(E107,"OZF"),EXACT(D107,"N"),EXACT(D107,"F")),1,0)</f>
        <v>1</v>
      </c>
      <c r="M107" t="str">
        <f t="shared" si="4"/>
        <v>71DET</v>
      </c>
      <c r="N107">
        <f t="shared" si="5"/>
        <v>0</v>
      </c>
      <c r="O107">
        <f t="shared" si="6"/>
        <v>0</v>
      </c>
      <c r="P107" t="str">
        <f t="shared" si="7"/>
        <v/>
      </c>
    </row>
    <row r="108" spans="1:16" x14ac:dyDescent="0.25">
      <c r="A108">
        <v>34</v>
      </c>
      <c r="B108">
        <f>IF(ISBLANK(VLOOKUP($A108,'Entry data'!$A:$K,2,FALSE)),"",VLOOKUP($A108,'Entry data'!$A:$K,2,FALSE))</f>
        <v>1</v>
      </c>
      <c r="C108">
        <f>IF(ISBLANK(VLOOKUP($A108,'Entry data'!$A:$K,3,FALSE)),"",VLOOKUP($A108,'Entry data'!$A:$K,3,FALSE))</f>
        <v>0.27152777777777776</v>
      </c>
      <c r="D108" t="str">
        <f>IF(ISBLANK(VLOOKUP($A108,'Entry data'!$A:$K,4,FALSE)),"",VLOOKUP($A108,'Entry data'!$A:$K,4,FALSE))</f>
        <v>D</v>
      </c>
      <c r="E108" t="str">
        <f>IF(ISBLANK(VLOOKUP($A108,'Entry data'!$A:$K,5,FALSE)),"",VLOOKUP($A108,'Entry data'!$A:$K,5,FALSE))</f>
        <v>21DET</v>
      </c>
      <c r="F108" t="str">
        <f>IF(ISBLANK(VLOOKUP($A108,'Entry data'!$A:$K,6,FALSE)),"",VLOOKUP($A108,'Entry data'!$A:$K,6,FALSE))</f>
        <v>15NSH</v>
      </c>
      <c r="G108" t="str">
        <f>IF(ISBLANK(VLOOKUP($A108,'Entry data'!$A:$K,7,FALSE)),"",VLOOKUP($A108,'Entry data'!$A:$K,7,FALSE))</f>
        <v/>
      </c>
      <c r="H108" t="str">
        <f>IF(ISBLANK(VLOOKUP($A108,'Entry data'!$A:$K,8,FALSE)),"",VLOOKUP($A108,'Entry data'!$A:$K,8,FALSE))</f>
        <v>C</v>
      </c>
      <c r="I108" t="str">
        <f>IF(ISBLANK(VLOOKUP($A108,'Entry data'!$A:$K,9,FALSE)),"",VLOOKUP($A108,'Entry data'!$A:$K,9,FALSE))</f>
        <v>N</v>
      </c>
      <c r="J108">
        <f>IF(ISBLANK(VLOOKUP($A108,'Entry data'!$A:$K,10,FALSE)),"",VLOOKUP($A108,'Entry data'!$A:$K,10,FALSE))</f>
        <v>5</v>
      </c>
      <c r="K108">
        <f>IF(ISBLANK(VLOOKUP($A108,'Entry data'!$A:$K,11,FALSE)),"",VLOOKUP($A108,'Entry data'!$A:$K,11,FALSE))</f>
        <v>5</v>
      </c>
      <c r="L108">
        <f>IF(OR(EXACT(D108,"C"),EXACT(D108,"P"),EXACT(D108,"D"),EXACT(D108,"T"),EXACT(D108,"X"),EXACT(E108,"DZF"),EXACT(E108,"OZF"),EXACT(D108,"N"),EXACT(D108,"F")),1,0)</f>
        <v>1</v>
      </c>
      <c r="M108" t="str">
        <f t="shared" si="4"/>
        <v/>
      </c>
      <c r="N108">
        <f t="shared" si="5"/>
        <v>0</v>
      </c>
      <c r="O108">
        <f t="shared" si="6"/>
        <v>0</v>
      </c>
      <c r="P108" t="str">
        <f t="shared" si="7"/>
        <v/>
      </c>
    </row>
    <row r="109" spans="1:16" x14ac:dyDescent="0.25">
      <c r="A109">
        <v>35</v>
      </c>
      <c r="B109">
        <f>IF(ISBLANK(VLOOKUP($A109,'Entry data'!$A:$K,2,FALSE)),"",VLOOKUP($A109,'Entry data'!$A:$K,2,FALSE))</f>
        <v>1</v>
      </c>
      <c r="C109">
        <f>IF(ISBLANK(VLOOKUP($A109,'Entry data'!$A:$K,3,FALSE)),"",VLOOKUP($A109,'Entry data'!$A:$K,3,FALSE))</f>
        <v>0.26666666666666666</v>
      </c>
      <c r="D109" t="str">
        <f>IF(ISBLANK(VLOOKUP($A109,'Entry data'!$A:$K,4,FALSE)),"",VLOOKUP($A109,'Entry data'!$A:$K,4,FALSE))</f>
        <v>D</v>
      </c>
      <c r="E109" t="str">
        <f>IF(ISBLANK(VLOOKUP($A109,'Entry data'!$A:$K,5,FALSE)),"",VLOOKUP($A109,'Entry data'!$A:$K,5,FALSE))</f>
        <v>15NSH</v>
      </c>
      <c r="F109" t="str">
        <f>IF(ISBLANK(VLOOKUP($A109,'Entry data'!$A:$K,6,FALSE)),"",VLOOKUP($A109,'Entry data'!$A:$K,6,FALSE))</f>
        <v>25DET</v>
      </c>
      <c r="G109" t="str">
        <f>IF(ISBLANK(VLOOKUP($A109,'Entry data'!$A:$K,7,FALSE)),"",VLOOKUP($A109,'Entry data'!$A:$K,7,FALSE))</f>
        <v/>
      </c>
      <c r="H109" t="str">
        <f>IF(ISBLANK(VLOOKUP($A109,'Entry data'!$A:$K,8,FALSE)),"",VLOOKUP($A109,'Entry data'!$A:$K,8,FALSE))</f>
        <v>L</v>
      </c>
      <c r="I109" t="str">
        <f>IF(ISBLANK(VLOOKUP($A109,'Entry data'!$A:$K,9,FALSE)),"",VLOOKUP($A109,'Entry data'!$A:$K,9,FALSE))</f>
        <v>N</v>
      </c>
      <c r="J109">
        <f>IF(ISBLANK(VLOOKUP($A109,'Entry data'!$A:$K,10,FALSE)),"",VLOOKUP($A109,'Entry data'!$A:$K,10,FALSE))</f>
        <v>5</v>
      </c>
      <c r="K109">
        <f>IF(ISBLANK(VLOOKUP($A109,'Entry data'!$A:$K,11,FALSE)),"",VLOOKUP($A109,'Entry data'!$A:$K,11,FALSE))</f>
        <v>5</v>
      </c>
      <c r="L109">
        <f>IF(OR(EXACT(D109,"C"),EXACT(D109,"P"),EXACT(D109,"D"),EXACT(D109,"T"),EXACT(D109,"X"),EXACT(E109,"DZF"),EXACT(E109,"OZF"),EXACT(D109,"N"),EXACT(D109,"F")),1,0)</f>
        <v>1</v>
      </c>
      <c r="M109" t="str">
        <f t="shared" si="4"/>
        <v/>
      </c>
      <c r="N109">
        <f t="shared" si="5"/>
        <v>1</v>
      </c>
      <c r="O109">
        <f t="shared" si="6"/>
        <v>0</v>
      </c>
      <c r="P109" t="str">
        <f t="shared" si="7"/>
        <v/>
      </c>
    </row>
    <row r="110" spans="1:16" x14ac:dyDescent="0.25">
      <c r="A110">
        <v>74</v>
      </c>
      <c r="B110">
        <f>IF($A110&gt;$A$1,"",VLOOKUP($A110,'NHL PBP'!$A:$L,8,FALSE))</f>
        <v>1</v>
      </c>
      <c r="C110">
        <f>IF($A110&gt;$A$1,"",IF(B110&gt;3,5/24,20/24)-VLOOKUP($A110,'NHL PBP'!$A:$L,10,FALSE))</f>
        <v>0.26041666666666674</v>
      </c>
      <c r="D110" t="str">
        <f>IF($A110&gt;$A$1,"",VLOOKUP($A110,'NHL PBP'!$A:$L,11,FALSE))</f>
        <v>HIT</v>
      </c>
      <c r="E110" t="str">
        <f>IF(AND(EXACT(D110,"FAC"),NOT(EXACT(MID(F110,9,3),"Neu"))),IF(OR(AND(EXACT(MID(F110,9,3),"Off"),EXACT(LEFT(F110,3),UPPER('Entry data'!$C$2))),AND(EXACT(MID(F110,9,3),"Def"),NOT(EXACT(LEFT(F110,3),UPPER('Entry data'!$C$2))))),"DZF","OZF"),"")</f>
        <v/>
      </c>
      <c r="F110" t="str">
        <f>IF($A110&gt;$A$1,"",VLOOKUP($A110,'NHL PBP'!$A:$L,12,FALSE))</f>
        <v>NSH #12 FISHER HIT DET #21 TATAR, Off. Zone</v>
      </c>
      <c r="J110">
        <f>IF(EXACT('Entry data'!$C$3,"Road"),IF(ISBLANK(VLOOKUP(A110,'NHL PBP'!A:AH,21,FALSE)),3,IF(ISBLANK(VLOOKUP(A110,'NHL PBP'!A:AH,23,FALSE)),4,5)),IF(ISBLANK(VLOOKUP(A110,'NHL PBP'!A:AH,32,FALSE)),3,IF(ISBLANK(VLOOKUP(A110,'NHL PBP'!A:AH,34,FALSE)),4,5)))</f>
        <v>5</v>
      </c>
      <c r="K110">
        <f>IF(EXACT('Entry data'!$C$3,"Home"),IF(ISBLANK(VLOOKUP(A110,'NHL PBP'!A:AH,21,FALSE)),3,IF(ISBLANK(VLOOKUP(A110,'NHL PBP'!A:AH,23,FALSE)),4,5)),IF(ISBLANK(VLOOKUP(A110,'NHL PBP'!A:AH,32,FALSE)),3,IF(ISBLANK(VLOOKUP(A110,'NHL PBP'!A:AH,34,FALSE)),4,5)))</f>
        <v>5</v>
      </c>
      <c r="L110">
        <f>IF(OR(EXACT(D110,"C"),EXACT(D110,"P"),EXACT(D110,"D"),EXACT(D110,"T"),EXACT(D110,"X"),EXACT(E110,"DZF"),EXACT(E110,"OZF"),EXACT(D110,"N"),EXACT(D110,"F")),1,0)</f>
        <v>0</v>
      </c>
      <c r="M110" t="str">
        <f t="shared" si="4"/>
        <v/>
      </c>
      <c r="N110">
        <f t="shared" si="5"/>
        <v>1</v>
      </c>
      <c r="O110">
        <f t="shared" si="6"/>
        <v>0</v>
      </c>
      <c r="P110" t="str">
        <f t="shared" si="7"/>
        <v/>
      </c>
    </row>
    <row r="111" spans="1:16" x14ac:dyDescent="0.25">
      <c r="A111">
        <v>75</v>
      </c>
      <c r="B111">
        <f>IF($A111&gt;$A$1,"",VLOOKUP($A111,'NHL PBP'!$A:$L,8,FALSE))</f>
        <v>1</v>
      </c>
      <c r="C111">
        <f>IF($A111&gt;$A$1,"",IF(B111&gt;3,5/24,20/24)-VLOOKUP($A111,'NHL PBP'!$A:$L,10,FALSE))</f>
        <v>0.26041666666666674</v>
      </c>
      <c r="D111" t="str">
        <f>IF($A111&gt;$A$1,"",VLOOKUP($A111,'NHL PBP'!$A:$L,11,FALSE))</f>
        <v>SHOT</v>
      </c>
      <c r="E111" t="str">
        <f>IF(AND(EXACT(D111,"FAC"),NOT(EXACT(MID(F111,9,3),"Neu"))),IF(OR(AND(EXACT(MID(F111,9,3),"Off"),EXACT(LEFT(F111,3),UPPER('Entry data'!$C$2))),AND(EXACT(MID(F111,9,3),"Def"),NOT(EXACT(LEFT(F111,3),UPPER('Entry data'!$C$2))))),"DZF","OZF"),"")</f>
        <v/>
      </c>
      <c r="F111" t="str">
        <f>IF($A111&gt;$A$1,"",VLOOKUP($A111,'NHL PBP'!$A:$L,12,FALSE))</f>
        <v>NSH ONGOAL - #7 WEBER, Wrist, Off. Zone, 24 ft.</v>
      </c>
      <c r="J111">
        <f>IF(EXACT('Entry data'!$C$3,"Road"),IF(ISBLANK(VLOOKUP(A111,'NHL PBP'!A:AH,21,FALSE)),3,IF(ISBLANK(VLOOKUP(A111,'NHL PBP'!A:AH,23,FALSE)),4,5)),IF(ISBLANK(VLOOKUP(A111,'NHL PBP'!A:AH,32,FALSE)),3,IF(ISBLANK(VLOOKUP(A111,'NHL PBP'!A:AH,34,FALSE)),4,5)))</f>
        <v>5</v>
      </c>
      <c r="K111">
        <f>IF(EXACT('Entry data'!$C$3,"Home"),IF(ISBLANK(VLOOKUP(A111,'NHL PBP'!A:AH,21,FALSE)),3,IF(ISBLANK(VLOOKUP(A111,'NHL PBP'!A:AH,23,FALSE)),4,5)),IF(ISBLANK(VLOOKUP(A111,'NHL PBP'!A:AH,32,FALSE)),3,IF(ISBLANK(VLOOKUP(A111,'NHL PBP'!A:AH,34,FALSE)),4,5)))</f>
        <v>5</v>
      </c>
      <c r="L111">
        <f>IF(OR(EXACT(D111,"C"),EXACT(D111,"P"),EXACT(D111,"D"),EXACT(D111,"T"),EXACT(D111,"X"),EXACT(E111,"DZF"),EXACT(E111,"OZF"),EXACT(D111,"N"),EXACT(D111,"F")),1,0)</f>
        <v>0</v>
      </c>
      <c r="M111" t="str">
        <f t="shared" si="4"/>
        <v/>
      </c>
      <c r="N111">
        <f t="shared" si="5"/>
        <v>1</v>
      </c>
      <c r="O111">
        <f t="shared" si="6"/>
        <v>0</v>
      </c>
      <c r="P111" t="str">
        <f t="shared" si="7"/>
        <v/>
      </c>
    </row>
    <row r="112" spans="1:16" x14ac:dyDescent="0.25">
      <c r="A112">
        <v>36</v>
      </c>
      <c r="B112">
        <f>IF(ISBLANK(VLOOKUP($A112,'Entry data'!$A:$K,2,FALSE)),"",VLOOKUP($A112,'Entry data'!$A:$K,2,FALSE))</f>
        <v>1</v>
      </c>
      <c r="C112">
        <f>IF(ISBLANK(VLOOKUP($A112,'Entry data'!$A:$K,3,FALSE)),"",VLOOKUP($A112,'Entry data'!$A:$K,3,FALSE))</f>
        <v>0.25833333333333336</v>
      </c>
      <c r="D112" t="str">
        <f>IF(ISBLANK(VLOOKUP($A112,'Entry data'!$A:$K,4,FALSE)),"",VLOOKUP($A112,'Entry data'!$A:$K,4,FALSE))</f>
        <v>D</v>
      </c>
      <c r="E112" t="str">
        <f>IF(ISBLANK(VLOOKUP($A112,'Entry data'!$A:$K,5,FALSE)),"",VLOOKUP($A112,'Entry data'!$A:$K,5,FALSE))</f>
        <v>15DET</v>
      </c>
      <c r="F112" t="str">
        <f>IF(ISBLANK(VLOOKUP($A112,'Entry data'!$A:$K,6,FALSE)),"",VLOOKUP($A112,'Entry data'!$A:$K,6,FALSE))</f>
        <v>N</v>
      </c>
      <c r="G112" t="str">
        <f>IF(ISBLANK(VLOOKUP($A112,'Entry data'!$A:$K,7,FALSE)),"",VLOOKUP($A112,'Entry data'!$A:$K,7,FALSE))</f>
        <v/>
      </c>
      <c r="H112" t="str">
        <f>IF(ISBLANK(VLOOKUP($A112,'Entry data'!$A:$K,8,FALSE)),"",VLOOKUP($A112,'Entry data'!$A:$K,8,FALSE))</f>
        <v>R</v>
      </c>
      <c r="I112" t="str">
        <f>IF(ISBLANK(VLOOKUP($A112,'Entry data'!$A:$K,9,FALSE)),"",VLOOKUP($A112,'Entry data'!$A:$K,9,FALSE))</f>
        <v>N</v>
      </c>
      <c r="J112">
        <f>IF(ISBLANK(VLOOKUP($A112,'Entry data'!$A:$K,10,FALSE)),"",VLOOKUP($A112,'Entry data'!$A:$K,10,FALSE))</f>
        <v>5</v>
      </c>
      <c r="K112">
        <f>IF(ISBLANK(VLOOKUP($A112,'Entry data'!$A:$K,11,FALSE)),"",VLOOKUP($A112,'Entry data'!$A:$K,11,FALSE))</f>
        <v>5</v>
      </c>
      <c r="L112">
        <f>IF(OR(EXACT(D112,"C"),EXACT(D112,"P"),EXACT(D112,"D"),EXACT(D112,"T"),EXACT(D112,"X"),EXACT(E112,"DZF"),EXACT(E112,"OZF"),EXACT(D112,"N"),EXACT(D112,"F")),1,0)</f>
        <v>1</v>
      </c>
      <c r="M112" t="str">
        <f t="shared" si="4"/>
        <v/>
      </c>
      <c r="N112">
        <f t="shared" si="5"/>
        <v>0</v>
      </c>
      <c r="O112">
        <f t="shared" si="6"/>
        <v>0</v>
      </c>
      <c r="P112" t="str">
        <f t="shared" si="7"/>
        <v/>
      </c>
    </row>
    <row r="113" spans="1:16" x14ac:dyDescent="0.25">
      <c r="A113">
        <v>76</v>
      </c>
      <c r="B113">
        <f>IF($A113&gt;$A$1,"",VLOOKUP($A113,'NHL PBP'!$A:$L,8,FALSE))</f>
        <v>1</v>
      </c>
      <c r="C113">
        <f>IF($A113&gt;$A$1,"",IF(B113&gt;3,5/24,20/24)-VLOOKUP($A113,'NHL PBP'!$A:$L,10,FALSE))</f>
        <v>0.25277777777777777</v>
      </c>
      <c r="D113" t="str">
        <f>IF($A113&gt;$A$1,"",VLOOKUP($A113,'NHL PBP'!$A:$L,11,FALSE))</f>
        <v>HIT</v>
      </c>
      <c r="E113" t="str">
        <f>IF(AND(EXACT(D113,"FAC"),NOT(EXACT(MID(F113,9,3),"Neu"))),IF(OR(AND(EXACT(MID(F113,9,3),"Off"),EXACT(LEFT(F113,3),UPPER('Entry data'!$C$2))),AND(EXACT(MID(F113,9,3),"Def"),NOT(EXACT(LEFT(F113,3),UPPER('Entry data'!$C$2))))),"DZF","OZF"),"")</f>
        <v/>
      </c>
      <c r="F113" t="str">
        <f>IF($A113&gt;$A$1,"",VLOOKUP($A113,'NHL PBP'!$A:$L,12,FALSE))</f>
        <v>DET #21 TATAR HIT NSH #7 WEBER, Off. Zone</v>
      </c>
      <c r="J113">
        <f>IF(EXACT('Entry data'!$C$3,"Road"),IF(ISBLANK(VLOOKUP(A113,'NHL PBP'!A:AH,21,FALSE)),3,IF(ISBLANK(VLOOKUP(A113,'NHL PBP'!A:AH,23,FALSE)),4,5)),IF(ISBLANK(VLOOKUP(A113,'NHL PBP'!A:AH,32,FALSE)),3,IF(ISBLANK(VLOOKUP(A113,'NHL PBP'!A:AH,34,FALSE)),4,5)))</f>
        <v>5</v>
      </c>
      <c r="K113">
        <f>IF(EXACT('Entry data'!$C$3,"Home"),IF(ISBLANK(VLOOKUP(A113,'NHL PBP'!A:AH,21,FALSE)),3,IF(ISBLANK(VLOOKUP(A113,'NHL PBP'!A:AH,23,FALSE)),4,5)),IF(ISBLANK(VLOOKUP(A113,'NHL PBP'!A:AH,32,FALSE)),3,IF(ISBLANK(VLOOKUP(A113,'NHL PBP'!A:AH,34,FALSE)),4,5)))</f>
        <v>5</v>
      </c>
      <c r="L113">
        <f>IF(OR(EXACT(D113,"C"),EXACT(D113,"P"),EXACT(D113,"D"),EXACT(D113,"T"),EXACT(D113,"X"),EXACT(E113,"DZF"),EXACT(E113,"OZF"),EXACT(D113,"N"),EXACT(D113,"F")),1,0)</f>
        <v>0</v>
      </c>
      <c r="M113" t="str">
        <f t="shared" si="4"/>
        <v/>
      </c>
      <c r="N113">
        <f t="shared" si="5"/>
        <v>0</v>
      </c>
      <c r="O113">
        <f t="shared" si="6"/>
        <v>0</v>
      </c>
      <c r="P113" t="str">
        <f t="shared" si="7"/>
        <v/>
      </c>
    </row>
    <row r="114" spans="1:16" x14ac:dyDescent="0.25">
      <c r="A114">
        <v>37</v>
      </c>
      <c r="B114">
        <f>IF(ISBLANK(VLOOKUP($A114,'Entry data'!$A:$K,2,FALSE)),"",VLOOKUP($A114,'Entry data'!$A:$K,2,FALSE))</f>
        <v>1</v>
      </c>
      <c r="C114">
        <f>IF(ISBLANK(VLOOKUP($A114,'Entry data'!$A:$K,3,FALSE)),"",VLOOKUP($A114,'Entry data'!$A:$K,3,FALSE))</f>
        <v>0.23541666666666669</v>
      </c>
      <c r="D114" t="str">
        <f>IF(ISBLANK(VLOOKUP($A114,'Entry data'!$A:$K,4,FALSE)),"",VLOOKUP($A114,'Entry data'!$A:$K,4,FALSE))</f>
        <v>C</v>
      </c>
      <c r="E114" t="str">
        <f>IF(ISBLANK(VLOOKUP($A114,'Entry data'!$A:$K,5,FALSE)),"",VLOOKUP($A114,'Entry data'!$A:$K,5,FALSE))</f>
        <v>62DET</v>
      </c>
      <c r="F114" t="str">
        <f>IF(ISBLANK(VLOOKUP($A114,'Entry data'!$A:$K,6,FALSE)),"",VLOOKUP($A114,'Entry data'!$A:$K,6,FALSE))</f>
        <v>4NSH</v>
      </c>
      <c r="G114" t="str">
        <f>IF(ISBLANK(VLOOKUP($A114,'Entry data'!$A:$K,7,FALSE)),"",VLOOKUP($A114,'Entry data'!$A:$K,7,FALSE))</f>
        <v>N</v>
      </c>
      <c r="H114" t="str">
        <f>IF(ISBLANK(VLOOKUP($A114,'Entry data'!$A:$K,8,FALSE)),"",VLOOKUP($A114,'Entry data'!$A:$K,8,FALSE))</f>
        <v>R</v>
      </c>
      <c r="I114" t="str">
        <f>IF(ISBLANK(VLOOKUP($A114,'Entry data'!$A:$K,9,FALSE)),"",VLOOKUP($A114,'Entry data'!$A:$K,9,FALSE))</f>
        <v>N</v>
      </c>
      <c r="J114">
        <f>IF(ISBLANK(VLOOKUP($A114,'Entry data'!$A:$K,10,FALSE)),"",VLOOKUP($A114,'Entry data'!$A:$K,10,FALSE))</f>
        <v>5</v>
      </c>
      <c r="K114">
        <f>IF(ISBLANK(VLOOKUP($A114,'Entry data'!$A:$K,11,FALSE)),"",VLOOKUP($A114,'Entry data'!$A:$K,11,FALSE))</f>
        <v>5</v>
      </c>
      <c r="L114">
        <f>IF(OR(EXACT(D114,"C"),EXACT(D114,"P"),EXACT(D114,"D"),EXACT(D114,"T"),EXACT(D114,"X"),EXACT(E114,"DZF"),EXACT(E114,"OZF"),EXACT(D114,"N"),EXACT(D114,"F")),1,0)</f>
        <v>1</v>
      </c>
      <c r="M114" t="str">
        <f t="shared" si="4"/>
        <v>62DET</v>
      </c>
      <c r="N114">
        <f t="shared" si="5"/>
        <v>2</v>
      </c>
      <c r="O114">
        <f t="shared" si="6"/>
        <v>0</v>
      </c>
      <c r="P114" t="str">
        <f t="shared" si="7"/>
        <v/>
      </c>
    </row>
    <row r="115" spans="1:16" x14ac:dyDescent="0.25">
      <c r="A115">
        <v>77</v>
      </c>
      <c r="B115">
        <f>IF($A115&gt;$A$1,"",VLOOKUP($A115,'NHL PBP'!$A:$L,8,FALSE))</f>
        <v>1</v>
      </c>
      <c r="C115">
        <f>IF($A115&gt;$A$1,"",IF(B115&gt;3,5/24,20/24)-VLOOKUP($A115,'NHL PBP'!$A:$L,10,FALSE))</f>
        <v>0.23263888888888895</v>
      </c>
      <c r="D115" t="str">
        <f>IF($A115&gt;$A$1,"",VLOOKUP($A115,'NHL PBP'!$A:$L,11,FALSE))</f>
        <v>SHOT</v>
      </c>
      <c r="E115" t="str">
        <f>IF(AND(EXACT(D115,"FAC"),NOT(EXACT(MID(F115,9,3),"Neu"))),IF(OR(AND(EXACT(MID(F115,9,3),"Off"),EXACT(LEFT(F115,3),UPPER('Entry data'!$C$2))),AND(EXACT(MID(F115,9,3),"Def"),NOT(EXACT(LEFT(F115,3),UPPER('Entry data'!$C$2))))),"DZF","OZF"),"")</f>
        <v/>
      </c>
      <c r="F115" t="str">
        <f>IF($A115&gt;$A$1,"",VLOOKUP($A115,'NHL PBP'!$A:$L,12,FALSE))</f>
        <v>DET ONGOAL - #62 VANEK, Slap, Off. Zone, 28 ft.</v>
      </c>
      <c r="J115">
        <f>IF(EXACT('Entry data'!$C$3,"Road"),IF(ISBLANK(VLOOKUP(A115,'NHL PBP'!A:AH,21,FALSE)),3,IF(ISBLANK(VLOOKUP(A115,'NHL PBP'!A:AH,23,FALSE)),4,5)),IF(ISBLANK(VLOOKUP(A115,'NHL PBP'!A:AH,32,FALSE)),3,IF(ISBLANK(VLOOKUP(A115,'NHL PBP'!A:AH,34,FALSE)),4,5)))</f>
        <v>5</v>
      </c>
      <c r="K115">
        <f>IF(EXACT('Entry data'!$C$3,"Home"),IF(ISBLANK(VLOOKUP(A115,'NHL PBP'!A:AH,21,FALSE)),3,IF(ISBLANK(VLOOKUP(A115,'NHL PBP'!A:AH,23,FALSE)),4,5)),IF(ISBLANK(VLOOKUP(A115,'NHL PBP'!A:AH,32,FALSE)),3,IF(ISBLANK(VLOOKUP(A115,'NHL PBP'!A:AH,34,FALSE)),4,5)))</f>
        <v>5</v>
      </c>
      <c r="L115">
        <f>IF(OR(EXACT(D115,"C"),EXACT(D115,"P"),EXACT(D115,"D"),EXACT(D115,"T"),EXACT(D115,"X"),EXACT(E115,"DZF"),EXACT(E115,"OZF"),EXACT(D115,"N"),EXACT(D115,"F")),1,0)</f>
        <v>0</v>
      </c>
      <c r="M115" t="str">
        <f t="shared" si="4"/>
        <v/>
      </c>
      <c r="N115">
        <f t="shared" si="5"/>
        <v>2</v>
      </c>
      <c r="O115">
        <f t="shared" si="6"/>
        <v>0</v>
      </c>
      <c r="P115" t="str">
        <f t="shared" si="7"/>
        <v/>
      </c>
    </row>
    <row r="116" spans="1:16" x14ac:dyDescent="0.25">
      <c r="A116">
        <v>78</v>
      </c>
      <c r="B116">
        <f>IF($A116&gt;$A$1,"",VLOOKUP($A116,'NHL PBP'!$A:$L,8,FALSE))</f>
        <v>1</v>
      </c>
      <c r="C116">
        <f>IF($A116&gt;$A$1,"",IF(B116&gt;3,5/24,20/24)-VLOOKUP($A116,'NHL PBP'!$A:$L,10,FALSE))</f>
        <v>0.22638888888888897</v>
      </c>
      <c r="D116" t="str">
        <f>IF($A116&gt;$A$1,"",VLOOKUP($A116,'NHL PBP'!$A:$L,11,FALSE))</f>
        <v>SHOT</v>
      </c>
      <c r="E116" t="str">
        <f>IF(AND(EXACT(D116,"FAC"),NOT(EXACT(MID(F116,9,3),"Neu"))),IF(OR(AND(EXACT(MID(F116,9,3),"Off"),EXACT(LEFT(F116,3),UPPER('Entry data'!$C$2))),AND(EXACT(MID(F116,9,3),"Def"),NOT(EXACT(LEFT(F116,3),UPPER('Entry data'!$C$2))))),"DZF","OZF"),"")</f>
        <v/>
      </c>
      <c r="F116" t="str">
        <f>IF($A116&gt;$A$1,"",VLOOKUP($A116,'NHL PBP'!$A:$L,12,FALSE))</f>
        <v>DET ONGOAL - #43 HELM, Wrist, Off. Zone, 22 ft.</v>
      </c>
      <c r="J116">
        <f>IF(EXACT('Entry data'!$C$3,"Road"),IF(ISBLANK(VLOOKUP(A116,'NHL PBP'!A:AH,21,FALSE)),3,IF(ISBLANK(VLOOKUP(A116,'NHL PBP'!A:AH,23,FALSE)),4,5)),IF(ISBLANK(VLOOKUP(A116,'NHL PBP'!A:AH,32,FALSE)),3,IF(ISBLANK(VLOOKUP(A116,'NHL PBP'!A:AH,34,FALSE)),4,5)))</f>
        <v>5</v>
      </c>
      <c r="K116">
        <f>IF(EXACT('Entry data'!$C$3,"Home"),IF(ISBLANK(VLOOKUP(A116,'NHL PBP'!A:AH,21,FALSE)),3,IF(ISBLANK(VLOOKUP(A116,'NHL PBP'!A:AH,23,FALSE)),4,5)),IF(ISBLANK(VLOOKUP(A116,'NHL PBP'!A:AH,32,FALSE)),3,IF(ISBLANK(VLOOKUP(A116,'NHL PBP'!A:AH,34,FALSE)),4,5)))</f>
        <v>5</v>
      </c>
      <c r="L116">
        <f>IF(OR(EXACT(D116,"C"),EXACT(D116,"P"),EXACT(D116,"D"),EXACT(D116,"T"),EXACT(D116,"X"),EXACT(E116,"DZF"),EXACT(E116,"OZF"),EXACT(D116,"N"),EXACT(D116,"F")),1,0)</f>
        <v>0</v>
      </c>
      <c r="M116" t="str">
        <f t="shared" si="4"/>
        <v/>
      </c>
      <c r="N116">
        <f t="shared" si="5"/>
        <v>1</v>
      </c>
      <c r="O116">
        <f t="shared" si="6"/>
        <v>0</v>
      </c>
      <c r="P116" t="str">
        <f t="shared" si="7"/>
        <v/>
      </c>
    </row>
    <row r="117" spans="1:16" x14ac:dyDescent="0.25">
      <c r="A117">
        <v>79</v>
      </c>
      <c r="B117">
        <f>IF($A117&gt;$A$1,"",VLOOKUP($A117,'NHL PBP'!$A:$L,8,FALSE))</f>
        <v>1</v>
      </c>
      <c r="C117">
        <f>IF($A117&gt;$A$1,"",IF(B117&gt;3,5/24,20/24)-VLOOKUP($A117,'NHL PBP'!$A:$L,10,FALSE))</f>
        <v>0.22638888888888897</v>
      </c>
      <c r="D117" t="str">
        <f>IF($A117&gt;$A$1,"",VLOOKUP($A117,'NHL PBP'!$A:$L,11,FALSE))</f>
        <v>STOP</v>
      </c>
      <c r="E117" t="str">
        <f>IF(AND(EXACT(D117,"FAC"),NOT(EXACT(MID(F117,9,3),"Neu"))),IF(OR(AND(EXACT(MID(F117,9,3),"Off"),EXACT(LEFT(F117,3),UPPER('Entry data'!$C$2))),AND(EXACT(MID(F117,9,3),"Def"),NOT(EXACT(LEFT(F117,3),UPPER('Entry data'!$C$2))))),"DZF","OZF"),"")</f>
        <v/>
      </c>
      <c r="F117" t="str">
        <f>IF($A117&gt;$A$1,"",VLOOKUP($A117,'NHL PBP'!$A:$L,12,FALSE))</f>
        <v>GOALIE STOPPED,TV TIMEOUT</v>
      </c>
      <c r="J117">
        <f>IF(EXACT('Entry data'!$C$3,"Road"),IF(ISBLANK(VLOOKUP(A117,'NHL PBP'!A:AH,21,FALSE)),3,IF(ISBLANK(VLOOKUP(A117,'NHL PBP'!A:AH,23,FALSE)),4,5)),IF(ISBLANK(VLOOKUP(A117,'NHL PBP'!A:AH,32,FALSE)),3,IF(ISBLANK(VLOOKUP(A117,'NHL PBP'!A:AH,34,FALSE)),4,5)))</f>
        <v>5</v>
      </c>
      <c r="K117">
        <f>IF(EXACT('Entry data'!$C$3,"Home"),IF(ISBLANK(VLOOKUP(A117,'NHL PBP'!A:AH,21,FALSE)),3,IF(ISBLANK(VLOOKUP(A117,'NHL PBP'!A:AH,23,FALSE)),4,5)),IF(ISBLANK(VLOOKUP(A117,'NHL PBP'!A:AH,32,FALSE)),3,IF(ISBLANK(VLOOKUP(A117,'NHL PBP'!A:AH,34,FALSE)),4,5)))</f>
        <v>5</v>
      </c>
      <c r="L117">
        <f>IF(OR(EXACT(D117,"C"),EXACT(D117,"P"),EXACT(D117,"D"),EXACT(D117,"T"),EXACT(D117,"X"),EXACT(E117,"DZF"),EXACT(E117,"OZF"),EXACT(D117,"N"),EXACT(D117,"F")),1,0)</f>
        <v>0</v>
      </c>
      <c r="M117" t="str">
        <f t="shared" si="4"/>
        <v/>
      </c>
      <c r="N117">
        <f t="shared" si="5"/>
        <v>0</v>
      </c>
      <c r="O117">
        <f t="shared" si="6"/>
        <v>0</v>
      </c>
      <c r="P117" t="str">
        <f t="shared" si="7"/>
        <v/>
      </c>
    </row>
    <row r="118" spans="1:16" x14ac:dyDescent="0.25">
      <c r="A118">
        <v>80</v>
      </c>
      <c r="B118">
        <f>IF($A118&gt;$A$1,"",VLOOKUP($A118,'NHL PBP'!$A:$L,8,FALSE))</f>
        <v>1</v>
      </c>
      <c r="C118">
        <f>IF($A118&gt;$A$1,"",IF(B118&gt;3,5/24,20/24)-VLOOKUP($A118,'NHL PBP'!$A:$L,10,FALSE))</f>
        <v>0.22638888888888897</v>
      </c>
      <c r="D118" t="str">
        <f>IF($A118&gt;$A$1,"",VLOOKUP($A118,'NHL PBP'!$A:$L,11,FALSE))</f>
        <v>STOP</v>
      </c>
      <c r="E118" t="str">
        <f>IF(AND(EXACT(D118,"FAC"),NOT(EXACT(MID(F118,9,3),"Neu"))),IF(OR(AND(EXACT(MID(F118,9,3),"Off"),EXACT(LEFT(F118,3),UPPER('Entry data'!$C$2))),AND(EXACT(MID(F118,9,3),"Def"),NOT(EXACT(LEFT(F118,3),UPPER('Entry data'!$C$2))))),"DZF","OZF"),"")</f>
        <v/>
      </c>
      <c r="F118" t="str">
        <f>IF($A118&gt;$A$1,"",VLOOKUP($A118,'NHL PBP'!$A:$L,12,FALSE))</f>
        <v>ICE PROBLEM</v>
      </c>
      <c r="J118">
        <f>IF(EXACT('Entry data'!$C$3,"Road"),IF(ISBLANK(VLOOKUP(A118,'NHL PBP'!A:AH,21,FALSE)),3,IF(ISBLANK(VLOOKUP(A118,'NHL PBP'!A:AH,23,FALSE)),4,5)),IF(ISBLANK(VLOOKUP(A118,'NHL PBP'!A:AH,32,FALSE)),3,IF(ISBLANK(VLOOKUP(A118,'NHL PBP'!A:AH,34,FALSE)),4,5)))</f>
        <v>5</v>
      </c>
      <c r="K118">
        <f>IF(EXACT('Entry data'!$C$3,"Home"),IF(ISBLANK(VLOOKUP(A118,'NHL PBP'!A:AH,21,FALSE)),3,IF(ISBLANK(VLOOKUP(A118,'NHL PBP'!A:AH,23,FALSE)),4,5)),IF(ISBLANK(VLOOKUP(A118,'NHL PBP'!A:AH,32,FALSE)),3,IF(ISBLANK(VLOOKUP(A118,'NHL PBP'!A:AH,34,FALSE)),4,5)))</f>
        <v>5</v>
      </c>
      <c r="L118">
        <f>IF(OR(EXACT(D118,"C"),EXACT(D118,"P"),EXACT(D118,"D"),EXACT(D118,"T"),EXACT(D118,"X"),EXACT(E118,"DZF"),EXACT(E118,"OZF"),EXACT(D118,"N"),EXACT(D118,"F")),1,0)</f>
        <v>0</v>
      </c>
      <c r="M118" t="str">
        <f t="shared" si="4"/>
        <v/>
      </c>
      <c r="N118">
        <f t="shared" si="5"/>
        <v>0</v>
      </c>
      <c r="O118">
        <f t="shared" si="6"/>
        <v>0</v>
      </c>
      <c r="P118" t="str">
        <f t="shared" si="7"/>
        <v/>
      </c>
    </row>
    <row r="119" spans="1:16" x14ac:dyDescent="0.25">
      <c r="A119">
        <v>81</v>
      </c>
      <c r="B119">
        <f>IF($A119&gt;$A$1,"",VLOOKUP($A119,'NHL PBP'!$A:$L,8,FALSE))</f>
        <v>1</v>
      </c>
      <c r="C119">
        <f>IF($A119&gt;$A$1,"",IF(B119&gt;3,5/24,20/24)-VLOOKUP($A119,'NHL PBP'!$A:$L,10,FALSE))</f>
        <v>0.22638888888888897</v>
      </c>
      <c r="D119" t="str">
        <f>IF($A119&gt;$A$1,"",VLOOKUP($A119,'NHL PBP'!$A:$L,11,FALSE))</f>
        <v>FAC</v>
      </c>
      <c r="E119" t="str">
        <f>IF(AND(EXACT(D119,"FAC"),NOT(EXACT(MID(F119,9,3),"Neu"))),IF(OR(AND(EXACT(MID(F119,9,3),"Off"),EXACT(LEFT(F119,3),UPPER('Entry data'!$C$2))),AND(EXACT(MID(F119,9,3),"Def"),NOT(EXACT(LEFT(F119,3),UPPER('Entry data'!$C$2))))),"DZF","OZF"),"")</f>
        <v>OZF</v>
      </c>
      <c r="F119" t="str">
        <f>IF($A119&gt;$A$1,"",VLOOKUP($A119,'NHL PBP'!$A:$L,12,FALSE))</f>
        <v>NSH won Def. Zone - NSH #92 JOHANSEN vs DET #41 GLENDENING</v>
      </c>
      <c r="J119">
        <f>IF(EXACT('Entry data'!$C$3,"Road"),IF(ISBLANK(VLOOKUP(A119,'NHL PBP'!A:AH,21,FALSE)),3,IF(ISBLANK(VLOOKUP(A119,'NHL PBP'!A:AH,23,FALSE)),4,5)),IF(ISBLANK(VLOOKUP(A119,'NHL PBP'!A:AH,32,FALSE)),3,IF(ISBLANK(VLOOKUP(A119,'NHL PBP'!A:AH,34,FALSE)),4,5)))</f>
        <v>5</v>
      </c>
      <c r="K119">
        <f>IF(EXACT('Entry data'!$C$3,"Home"),IF(ISBLANK(VLOOKUP(A119,'NHL PBP'!A:AH,21,FALSE)),3,IF(ISBLANK(VLOOKUP(A119,'NHL PBP'!A:AH,23,FALSE)),4,5)),IF(ISBLANK(VLOOKUP(A119,'NHL PBP'!A:AH,32,FALSE)),3,IF(ISBLANK(VLOOKUP(A119,'NHL PBP'!A:AH,34,FALSE)),4,5)))</f>
        <v>5</v>
      </c>
      <c r="L119">
        <f>IF(OR(EXACT(D119,"C"),EXACT(D119,"P"),EXACT(D119,"D"),EXACT(D119,"T"),EXACT(D119,"X"),EXACT(E119,"DZF"),EXACT(E119,"OZF"),EXACT(D119,"N"),EXACT(D119,"F")),1,0)</f>
        <v>1</v>
      </c>
      <c r="M119" t="str">
        <f t="shared" si="4"/>
        <v/>
      </c>
      <c r="N119">
        <f t="shared" si="5"/>
        <v>0</v>
      </c>
      <c r="O119">
        <f t="shared" si="6"/>
        <v>0</v>
      </c>
      <c r="P119" t="str">
        <f t="shared" si="7"/>
        <v/>
      </c>
    </row>
    <row r="120" spans="1:16" x14ac:dyDescent="0.25">
      <c r="A120">
        <v>82</v>
      </c>
      <c r="B120">
        <f>IF($A120&gt;$A$1,"",VLOOKUP($A120,'NHL PBP'!$A:$L,8,FALSE))</f>
        <v>1</v>
      </c>
      <c r="C120">
        <f>IF($A120&gt;$A$1,"",IF(B120&gt;3,5/24,20/24)-VLOOKUP($A120,'NHL PBP'!$A:$L,10,FALSE))</f>
        <v>0.20694444444444449</v>
      </c>
      <c r="D120" t="str">
        <f>IF($A120&gt;$A$1,"",VLOOKUP($A120,'NHL PBP'!$A:$L,11,FALSE))</f>
        <v>STOP</v>
      </c>
      <c r="E120" t="str">
        <f>IF(AND(EXACT(D120,"FAC"),NOT(EXACT(MID(F120,9,3),"Neu"))),IF(OR(AND(EXACT(MID(F120,9,3),"Off"),EXACT(LEFT(F120,3),UPPER('Entry data'!$C$2))),AND(EXACT(MID(F120,9,3),"Def"),NOT(EXACT(LEFT(F120,3),UPPER('Entry data'!$C$2))))),"DZF","OZF"),"")</f>
        <v/>
      </c>
      <c r="F120" t="str">
        <f>IF($A120&gt;$A$1,"",VLOOKUP($A120,'NHL PBP'!$A:$L,12,FALSE))</f>
        <v>ICING</v>
      </c>
      <c r="J120">
        <f>IF(EXACT('Entry data'!$C$3,"Road"),IF(ISBLANK(VLOOKUP(A120,'NHL PBP'!A:AH,21,FALSE)),3,IF(ISBLANK(VLOOKUP(A120,'NHL PBP'!A:AH,23,FALSE)),4,5)),IF(ISBLANK(VLOOKUP(A120,'NHL PBP'!A:AH,32,FALSE)),3,IF(ISBLANK(VLOOKUP(A120,'NHL PBP'!A:AH,34,FALSE)),4,5)))</f>
        <v>5</v>
      </c>
      <c r="K120">
        <f>IF(EXACT('Entry data'!$C$3,"Home"),IF(ISBLANK(VLOOKUP(A120,'NHL PBP'!A:AH,21,FALSE)),3,IF(ISBLANK(VLOOKUP(A120,'NHL PBP'!A:AH,23,FALSE)),4,5)),IF(ISBLANK(VLOOKUP(A120,'NHL PBP'!A:AH,32,FALSE)),3,IF(ISBLANK(VLOOKUP(A120,'NHL PBP'!A:AH,34,FALSE)),4,5)))</f>
        <v>5</v>
      </c>
      <c r="L120">
        <f>IF(OR(EXACT(D120,"C"),EXACT(D120,"P"),EXACT(D120,"D"),EXACT(D120,"T"),EXACT(D120,"X"),EXACT(E120,"DZF"),EXACT(E120,"OZF"),EXACT(D120,"N"),EXACT(D120,"F")),1,0)</f>
        <v>0</v>
      </c>
      <c r="M120" t="str">
        <f t="shared" si="4"/>
        <v/>
      </c>
      <c r="N120">
        <f t="shared" si="5"/>
        <v>0</v>
      </c>
      <c r="O120">
        <f t="shared" si="6"/>
        <v>0</v>
      </c>
      <c r="P120" t="str">
        <f t="shared" si="7"/>
        <v/>
      </c>
    </row>
    <row r="121" spans="1:16" x14ac:dyDescent="0.25">
      <c r="A121">
        <v>83</v>
      </c>
      <c r="B121">
        <f>IF($A121&gt;$A$1,"",VLOOKUP($A121,'NHL PBP'!$A:$L,8,FALSE))</f>
        <v>1</v>
      </c>
      <c r="C121">
        <f>IF($A121&gt;$A$1,"",IF(B121&gt;3,5/24,20/24)-VLOOKUP($A121,'NHL PBP'!$A:$L,10,FALSE))</f>
        <v>0.20694444444444449</v>
      </c>
      <c r="D121" t="str">
        <f>IF($A121&gt;$A$1,"",VLOOKUP($A121,'NHL PBP'!$A:$L,11,FALSE))</f>
        <v>FAC</v>
      </c>
      <c r="E121" t="str">
        <f>IF(AND(EXACT(D121,"FAC"),NOT(EXACT(MID(F121,9,3),"Neu"))),IF(OR(AND(EXACT(MID(F121,9,3),"Off"),EXACT(LEFT(F121,3),UPPER('Entry data'!$C$2))),AND(EXACT(MID(F121,9,3),"Def"),NOT(EXACT(LEFT(F121,3),UPPER('Entry data'!$C$2))))),"DZF","OZF"),"")</f>
        <v>DZF</v>
      </c>
      <c r="F121" t="str">
        <f>IF($A121&gt;$A$1,"",VLOOKUP($A121,'NHL PBP'!$A:$L,12,FALSE))</f>
        <v>NSH won Off. Zone - NSH #63 RIBEIRO vs DET #41 GLENDENING</v>
      </c>
      <c r="J121">
        <f>IF(EXACT('Entry data'!$C$3,"Road"),IF(ISBLANK(VLOOKUP(A121,'NHL PBP'!A:AH,21,FALSE)),3,IF(ISBLANK(VLOOKUP(A121,'NHL PBP'!A:AH,23,FALSE)),4,5)),IF(ISBLANK(VLOOKUP(A121,'NHL PBP'!A:AH,32,FALSE)),3,IF(ISBLANK(VLOOKUP(A121,'NHL PBP'!A:AH,34,FALSE)),4,5)))</f>
        <v>5</v>
      </c>
      <c r="K121">
        <f>IF(EXACT('Entry data'!$C$3,"Home"),IF(ISBLANK(VLOOKUP(A121,'NHL PBP'!A:AH,21,FALSE)),3,IF(ISBLANK(VLOOKUP(A121,'NHL PBP'!A:AH,23,FALSE)),4,5)),IF(ISBLANK(VLOOKUP(A121,'NHL PBP'!A:AH,32,FALSE)),3,IF(ISBLANK(VLOOKUP(A121,'NHL PBP'!A:AH,34,FALSE)),4,5)))</f>
        <v>5</v>
      </c>
      <c r="L121">
        <f>IF(OR(EXACT(D121,"C"),EXACT(D121,"P"),EXACT(D121,"D"),EXACT(D121,"T"),EXACT(D121,"X"),EXACT(E121,"DZF"),EXACT(E121,"OZF"),EXACT(D121,"N"),EXACT(D121,"F")),1,0)</f>
        <v>1</v>
      </c>
      <c r="M121" t="str">
        <f t="shared" si="4"/>
        <v/>
      </c>
      <c r="N121">
        <f t="shared" si="5"/>
        <v>0</v>
      </c>
      <c r="O121">
        <f t="shared" si="6"/>
        <v>0</v>
      </c>
      <c r="P121" t="str">
        <f t="shared" si="7"/>
        <v/>
      </c>
    </row>
    <row r="122" spans="1:16" x14ac:dyDescent="0.25">
      <c r="A122">
        <v>84</v>
      </c>
      <c r="B122">
        <f>IF($A122&gt;$A$1,"",VLOOKUP($A122,'NHL PBP'!$A:$L,8,FALSE))</f>
        <v>1</v>
      </c>
      <c r="C122">
        <f>IF($A122&gt;$A$1,"",IF(B122&gt;3,5/24,20/24)-VLOOKUP($A122,'NHL PBP'!$A:$L,10,FALSE))</f>
        <v>0.19930555555555562</v>
      </c>
      <c r="D122" t="str">
        <f>IF($A122&gt;$A$1,"",VLOOKUP($A122,'NHL PBP'!$A:$L,11,FALSE))</f>
        <v>BLOCK</v>
      </c>
      <c r="E122" t="str">
        <f>IF(AND(EXACT(D122,"FAC"),NOT(EXACT(MID(F122,9,3),"Neu"))),IF(OR(AND(EXACT(MID(F122,9,3),"Off"),EXACT(LEFT(F122,3),UPPER('Entry data'!$C$2))),AND(EXACT(MID(F122,9,3),"Def"),NOT(EXACT(LEFT(F122,3),UPPER('Entry data'!$C$2))))),"DZF","OZF"),"")</f>
        <v/>
      </c>
      <c r="F122" t="str">
        <f>IF($A122&gt;$A$1,"",VLOOKUP($A122,'NHL PBP'!$A:$L,12,FALSE))</f>
        <v>NSH #76 SUBBAN BLOCKED BY DET #20 MILLER, Wrist, Def. Zone</v>
      </c>
      <c r="J122">
        <f>IF(EXACT('Entry data'!$C$3,"Road"),IF(ISBLANK(VLOOKUP(A122,'NHL PBP'!A:AH,21,FALSE)),3,IF(ISBLANK(VLOOKUP(A122,'NHL PBP'!A:AH,23,FALSE)),4,5)),IF(ISBLANK(VLOOKUP(A122,'NHL PBP'!A:AH,32,FALSE)),3,IF(ISBLANK(VLOOKUP(A122,'NHL PBP'!A:AH,34,FALSE)),4,5)))</f>
        <v>5</v>
      </c>
      <c r="K122">
        <f>IF(EXACT('Entry data'!$C$3,"Home"),IF(ISBLANK(VLOOKUP(A122,'NHL PBP'!A:AH,21,FALSE)),3,IF(ISBLANK(VLOOKUP(A122,'NHL PBP'!A:AH,23,FALSE)),4,5)),IF(ISBLANK(VLOOKUP(A122,'NHL PBP'!A:AH,32,FALSE)),3,IF(ISBLANK(VLOOKUP(A122,'NHL PBP'!A:AH,34,FALSE)),4,5)))</f>
        <v>5</v>
      </c>
      <c r="L122">
        <f>IF(OR(EXACT(D122,"C"),EXACT(D122,"P"),EXACT(D122,"D"),EXACT(D122,"T"),EXACT(D122,"X"),EXACT(E122,"DZF"),EXACT(E122,"OZF"),EXACT(D122,"N"),EXACT(D122,"F")),1,0)</f>
        <v>0</v>
      </c>
      <c r="M122" t="str">
        <f t="shared" si="4"/>
        <v/>
      </c>
      <c r="N122">
        <f t="shared" si="5"/>
        <v>0</v>
      </c>
      <c r="O122">
        <f t="shared" si="6"/>
        <v>0</v>
      </c>
      <c r="P122" t="str">
        <f t="shared" si="7"/>
        <v/>
      </c>
    </row>
    <row r="123" spans="1:16" x14ac:dyDescent="0.25">
      <c r="A123">
        <v>85</v>
      </c>
      <c r="B123">
        <f>IF($A123&gt;$A$1,"",VLOOKUP($A123,'NHL PBP'!$A:$L,8,FALSE))</f>
        <v>1</v>
      </c>
      <c r="C123">
        <f>IF($A123&gt;$A$1,"",IF(B123&gt;3,5/24,20/24)-VLOOKUP($A123,'NHL PBP'!$A:$L,10,FALSE))</f>
        <v>0.19513888888888897</v>
      </c>
      <c r="D123" t="str">
        <f>IF($A123&gt;$A$1,"",VLOOKUP($A123,'NHL PBP'!$A:$L,11,FALSE))</f>
        <v>STOP</v>
      </c>
      <c r="E123" t="str">
        <f>IF(AND(EXACT(D123,"FAC"),NOT(EXACT(MID(F123,9,3),"Neu"))),IF(OR(AND(EXACT(MID(F123,9,3),"Off"),EXACT(LEFT(F123,3),UPPER('Entry data'!$C$2))),AND(EXACT(MID(F123,9,3),"Def"),NOT(EXACT(LEFT(F123,3),UPPER('Entry data'!$C$2))))),"DZF","OZF"),"")</f>
        <v/>
      </c>
      <c r="F123" t="str">
        <f>IF($A123&gt;$A$1,"",VLOOKUP($A123,'NHL PBP'!$A:$L,12,FALSE))</f>
        <v>PUCK FROZEN</v>
      </c>
      <c r="J123">
        <f>IF(EXACT('Entry data'!$C$3,"Road"),IF(ISBLANK(VLOOKUP(A123,'NHL PBP'!A:AH,21,FALSE)),3,IF(ISBLANK(VLOOKUP(A123,'NHL PBP'!A:AH,23,FALSE)),4,5)),IF(ISBLANK(VLOOKUP(A123,'NHL PBP'!A:AH,32,FALSE)),3,IF(ISBLANK(VLOOKUP(A123,'NHL PBP'!A:AH,34,FALSE)),4,5)))</f>
        <v>5</v>
      </c>
      <c r="K123">
        <f>IF(EXACT('Entry data'!$C$3,"Home"),IF(ISBLANK(VLOOKUP(A123,'NHL PBP'!A:AH,21,FALSE)),3,IF(ISBLANK(VLOOKUP(A123,'NHL PBP'!A:AH,23,FALSE)),4,5)),IF(ISBLANK(VLOOKUP(A123,'NHL PBP'!A:AH,32,FALSE)),3,IF(ISBLANK(VLOOKUP(A123,'NHL PBP'!A:AH,34,FALSE)),4,5)))</f>
        <v>5</v>
      </c>
      <c r="L123">
        <f>IF(OR(EXACT(D123,"C"),EXACT(D123,"P"),EXACT(D123,"D"),EXACT(D123,"T"),EXACT(D123,"X"),EXACT(E123,"DZF"),EXACT(E123,"OZF"),EXACT(D123,"N"),EXACT(D123,"F")),1,0)</f>
        <v>0</v>
      </c>
      <c r="M123" t="str">
        <f t="shared" si="4"/>
        <v/>
      </c>
      <c r="N123">
        <f t="shared" si="5"/>
        <v>0</v>
      </c>
      <c r="O123">
        <f t="shared" si="6"/>
        <v>0</v>
      </c>
      <c r="P123" t="str">
        <f t="shared" si="7"/>
        <v/>
      </c>
    </row>
    <row r="124" spans="1:16" x14ac:dyDescent="0.25">
      <c r="A124">
        <v>86</v>
      </c>
      <c r="B124">
        <f>IF($A124&gt;$A$1,"",VLOOKUP($A124,'NHL PBP'!$A:$L,8,FALSE))</f>
        <v>1</v>
      </c>
      <c r="C124">
        <f>IF($A124&gt;$A$1,"",IF(B124&gt;3,5/24,20/24)-VLOOKUP($A124,'NHL PBP'!$A:$L,10,FALSE))</f>
        <v>0.19513888888888897</v>
      </c>
      <c r="D124" t="str">
        <f>IF($A124&gt;$A$1,"",VLOOKUP($A124,'NHL PBP'!$A:$L,11,FALSE))</f>
        <v>FAC</v>
      </c>
      <c r="E124" t="str">
        <f>IF(AND(EXACT(D124,"FAC"),NOT(EXACT(MID(F124,9,3),"Neu"))),IF(OR(AND(EXACT(MID(F124,9,3),"Off"),EXACT(LEFT(F124,3),UPPER('Entry data'!$C$2))),AND(EXACT(MID(F124,9,3),"Def"),NOT(EXACT(LEFT(F124,3),UPPER('Entry data'!$C$2))))),"DZF","OZF"),"")</f>
        <v>DZF</v>
      </c>
      <c r="F124" t="str">
        <f>IF($A124&gt;$A$1,"",VLOOKUP($A124,'NHL PBP'!$A:$L,12,FALSE))</f>
        <v>DET won Def. Zone - NSH #15 SMITH vs DET #51 NIELSEN</v>
      </c>
      <c r="J124">
        <f>IF(EXACT('Entry data'!$C$3,"Road"),IF(ISBLANK(VLOOKUP(A124,'NHL PBP'!A:AH,21,FALSE)),3,IF(ISBLANK(VLOOKUP(A124,'NHL PBP'!A:AH,23,FALSE)),4,5)),IF(ISBLANK(VLOOKUP(A124,'NHL PBP'!A:AH,32,FALSE)),3,IF(ISBLANK(VLOOKUP(A124,'NHL PBP'!A:AH,34,FALSE)),4,5)))</f>
        <v>5</v>
      </c>
      <c r="K124">
        <f>IF(EXACT('Entry data'!$C$3,"Home"),IF(ISBLANK(VLOOKUP(A124,'NHL PBP'!A:AH,21,FALSE)),3,IF(ISBLANK(VLOOKUP(A124,'NHL PBP'!A:AH,23,FALSE)),4,5)),IF(ISBLANK(VLOOKUP(A124,'NHL PBP'!A:AH,32,FALSE)),3,IF(ISBLANK(VLOOKUP(A124,'NHL PBP'!A:AH,34,FALSE)),4,5)))</f>
        <v>5</v>
      </c>
      <c r="L124">
        <f>IF(OR(EXACT(D124,"C"),EXACT(D124,"P"),EXACT(D124,"D"),EXACT(D124,"T"),EXACT(D124,"X"),EXACT(E124,"DZF"),EXACT(E124,"OZF"),EXACT(D124,"N"),EXACT(D124,"F")),1,0)</f>
        <v>1</v>
      </c>
      <c r="M124" t="str">
        <f t="shared" si="4"/>
        <v/>
      </c>
      <c r="N124">
        <f t="shared" si="5"/>
        <v>0</v>
      </c>
      <c r="O124">
        <f t="shared" si="6"/>
        <v>0</v>
      </c>
      <c r="P124" t="str">
        <f t="shared" si="7"/>
        <v/>
      </c>
    </row>
    <row r="125" spans="1:16" x14ac:dyDescent="0.25">
      <c r="A125">
        <v>38</v>
      </c>
      <c r="B125">
        <f>IF(ISBLANK(VLOOKUP($A125,'Entry data'!$A:$K,2,FALSE)),"",VLOOKUP($A125,'Entry data'!$A:$K,2,FALSE))</f>
        <v>1</v>
      </c>
      <c r="C125">
        <f>IF(ISBLANK(VLOOKUP($A125,'Entry data'!$A:$K,3,FALSE)),"",VLOOKUP($A125,'Entry data'!$A:$K,3,FALSE))</f>
        <v>0.18263888888888891</v>
      </c>
      <c r="D125" t="str">
        <f>IF(ISBLANK(VLOOKUP($A125,'Entry data'!$A:$K,4,FALSE)),"",VLOOKUP($A125,'Entry data'!$A:$K,4,FALSE))</f>
        <v>C</v>
      </c>
      <c r="E125" t="str">
        <f>IF(ISBLANK(VLOOKUP($A125,'Entry data'!$A:$K,5,FALSE)),"",VLOOKUP($A125,'Entry data'!$A:$K,5,FALSE))</f>
        <v>53DET</v>
      </c>
      <c r="F125" t="str">
        <f>IF(ISBLANK(VLOOKUP($A125,'Entry data'!$A:$K,6,FALSE)),"",VLOOKUP($A125,'Entry data'!$A:$K,6,FALSE))</f>
        <v>76NSH</v>
      </c>
      <c r="G125" t="str">
        <f>IF(ISBLANK(VLOOKUP($A125,'Entry data'!$A:$K,7,FALSE)),"",VLOOKUP($A125,'Entry data'!$A:$K,7,FALSE))</f>
        <v>N</v>
      </c>
      <c r="H125" t="str">
        <f>IF(ISBLANK(VLOOKUP($A125,'Entry data'!$A:$K,8,FALSE)),"",VLOOKUP($A125,'Entry data'!$A:$K,8,FALSE))</f>
        <v>R</v>
      </c>
      <c r="I125" t="str">
        <f>IF(ISBLANK(VLOOKUP($A125,'Entry data'!$A:$K,9,FALSE)),"",VLOOKUP($A125,'Entry data'!$A:$K,9,FALSE))</f>
        <v>N</v>
      </c>
      <c r="J125">
        <f>IF(ISBLANK(VLOOKUP($A125,'Entry data'!$A:$K,10,FALSE)),"",VLOOKUP($A125,'Entry data'!$A:$K,10,FALSE))</f>
        <v>5</v>
      </c>
      <c r="K125">
        <f>IF(ISBLANK(VLOOKUP($A125,'Entry data'!$A:$K,11,FALSE)),"",VLOOKUP($A125,'Entry data'!$A:$K,11,FALSE))</f>
        <v>5</v>
      </c>
      <c r="L125">
        <f>IF(OR(EXACT(D125,"C"),EXACT(D125,"P"),EXACT(D125,"D"),EXACT(D125,"T"),EXACT(D125,"X"),EXACT(E125,"DZF"),EXACT(E125,"OZF"),EXACT(D125,"N"),EXACT(D125,"F")),1,0)</f>
        <v>1</v>
      </c>
      <c r="M125" t="str">
        <f t="shared" si="4"/>
        <v>53DET</v>
      </c>
      <c r="N125">
        <f t="shared" si="5"/>
        <v>0</v>
      </c>
      <c r="O125">
        <f t="shared" si="6"/>
        <v>0</v>
      </c>
      <c r="P125" t="str">
        <f t="shared" si="7"/>
        <v/>
      </c>
    </row>
    <row r="126" spans="1:16" x14ac:dyDescent="0.25">
      <c r="A126">
        <v>39</v>
      </c>
      <c r="B126">
        <f>IF(ISBLANK(VLOOKUP($A126,'Entry data'!$A:$K,2,FALSE)),"",VLOOKUP($A126,'Entry data'!$A:$K,2,FALSE))</f>
        <v>1</v>
      </c>
      <c r="C126">
        <f>IF(ISBLANK(VLOOKUP($A126,'Entry data'!$A:$K,3,FALSE)),"",VLOOKUP($A126,'Entry data'!$A:$K,3,FALSE))</f>
        <v>0.16666666666666666</v>
      </c>
      <c r="D126" t="str">
        <f>IF(ISBLANK(VLOOKUP($A126,'Entry data'!$A:$K,4,FALSE)),"",VLOOKUP($A126,'Entry data'!$A:$K,4,FALSE))</f>
        <v>D</v>
      </c>
      <c r="E126" t="str">
        <f>IF(ISBLANK(VLOOKUP($A126,'Entry data'!$A:$K,5,FALSE)),"",VLOOKUP($A126,'Entry data'!$A:$K,5,FALSE))</f>
        <v>40DET</v>
      </c>
      <c r="F126" t="str">
        <f>IF(ISBLANK(VLOOKUP($A126,'Entry data'!$A:$K,6,FALSE)),"",VLOOKUP($A126,'Entry data'!$A:$K,6,FALSE))</f>
        <v>N</v>
      </c>
      <c r="G126" t="str">
        <f>IF(ISBLANK(VLOOKUP($A126,'Entry data'!$A:$K,7,FALSE)),"",VLOOKUP($A126,'Entry data'!$A:$K,7,FALSE))</f>
        <v/>
      </c>
      <c r="H126" t="str">
        <f>IF(ISBLANK(VLOOKUP($A126,'Entry data'!$A:$K,8,FALSE)),"",VLOOKUP($A126,'Entry data'!$A:$K,8,FALSE))</f>
        <v>L</v>
      </c>
      <c r="I126" t="str">
        <f>IF(ISBLANK(VLOOKUP($A126,'Entry data'!$A:$K,9,FALSE)),"",VLOOKUP($A126,'Entry data'!$A:$K,9,FALSE))</f>
        <v>N</v>
      </c>
      <c r="J126">
        <f>IF(ISBLANK(VLOOKUP($A126,'Entry data'!$A:$K,10,FALSE)),"",VLOOKUP($A126,'Entry data'!$A:$K,10,FALSE))</f>
        <v>5</v>
      </c>
      <c r="K126">
        <f>IF(ISBLANK(VLOOKUP($A126,'Entry data'!$A:$K,11,FALSE)),"",VLOOKUP($A126,'Entry data'!$A:$K,11,FALSE))</f>
        <v>5</v>
      </c>
      <c r="L126">
        <f>IF(OR(EXACT(D126,"C"),EXACT(D126,"P"),EXACT(D126,"D"),EXACT(D126,"T"),EXACT(D126,"X"),EXACT(E126,"DZF"),EXACT(E126,"OZF"),EXACT(D126,"N"),EXACT(D126,"F")),1,0)</f>
        <v>1</v>
      </c>
      <c r="M126" t="str">
        <f t="shared" si="4"/>
        <v/>
      </c>
      <c r="N126">
        <f t="shared" si="5"/>
        <v>0</v>
      </c>
      <c r="O126">
        <f t="shared" si="6"/>
        <v>0</v>
      </c>
      <c r="P126" t="str">
        <f t="shared" si="7"/>
        <v/>
      </c>
    </row>
    <row r="127" spans="1:16" x14ac:dyDescent="0.25">
      <c r="A127">
        <v>87</v>
      </c>
      <c r="B127">
        <f>IF($A127&gt;$A$1,"",VLOOKUP($A127,'NHL PBP'!$A:$L,8,FALSE))</f>
        <v>1</v>
      </c>
      <c r="C127">
        <f>IF($A127&gt;$A$1,"",IF(B127&gt;3,5/24,20/24)-VLOOKUP($A127,'NHL PBP'!$A:$L,10,FALSE))</f>
        <v>0.16041666666666676</v>
      </c>
      <c r="D127" t="str">
        <f>IF($A127&gt;$A$1,"",VLOOKUP($A127,'NHL PBP'!$A:$L,11,FALSE))</f>
        <v>TAKE</v>
      </c>
      <c r="E127" t="str">
        <f>IF(AND(EXACT(D127,"FAC"),NOT(EXACT(MID(F127,9,3),"Neu"))),IF(OR(AND(EXACT(MID(F127,9,3),"Off"),EXACT(LEFT(F127,3),UPPER('Entry data'!$C$2))),AND(EXACT(MID(F127,9,3),"Def"),NOT(EXACT(LEFT(F127,3),UPPER('Entry data'!$C$2))))),"DZF","OZF"),"")</f>
        <v/>
      </c>
      <c r="F127" t="str">
        <f>IF($A127&gt;$A$1,"",VLOOKUP($A127,'NHL PBP'!$A:$L,12,FALSE))</f>
        <v>DET TAKEAWAY - #15 SHEAHAN, Off. Zone</v>
      </c>
      <c r="J127">
        <f>IF(EXACT('Entry data'!$C$3,"Road"),IF(ISBLANK(VLOOKUP(A127,'NHL PBP'!A:AH,21,FALSE)),3,IF(ISBLANK(VLOOKUP(A127,'NHL PBP'!A:AH,23,FALSE)),4,5)),IF(ISBLANK(VLOOKUP(A127,'NHL PBP'!A:AH,32,FALSE)),3,IF(ISBLANK(VLOOKUP(A127,'NHL PBP'!A:AH,34,FALSE)),4,5)))</f>
        <v>5</v>
      </c>
      <c r="K127">
        <f>IF(EXACT('Entry data'!$C$3,"Home"),IF(ISBLANK(VLOOKUP(A127,'NHL PBP'!A:AH,21,FALSE)),3,IF(ISBLANK(VLOOKUP(A127,'NHL PBP'!A:AH,23,FALSE)),4,5)),IF(ISBLANK(VLOOKUP(A127,'NHL PBP'!A:AH,32,FALSE)),3,IF(ISBLANK(VLOOKUP(A127,'NHL PBP'!A:AH,34,FALSE)),4,5)))</f>
        <v>5</v>
      </c>
      <c r="L127">
        <f>IF(OR(EXACT(D127,"C"),EXACT(D127,"P"),EXACT(D127,"D"),EXACT(D127,"T"),EXACT(D127,"X"),EXACT(E127,"DZF"),EXACT(E127,"OZF"),EXACT(D127,"N"),EXACT(D127,"F")),1,0)</f>
        <v>0</v>
      </c>
      <c r="M127" t="str">
        <f t="shared" si="4"/>
        <v/>
      </c>
      <c r="N127">
        <f t="shared" si="5"/>
        <v>0</v>
      </c>
      <c r="O127">
        <f t="shared" si="6"/>
        <v>0</v>
      </c>
      <c r="P127" t="str">
        <f t="shared" si="7"/>
        <v/>
      </c>
    </row>
    <row r="128" spans="1:16" x14ac:dyDescent="0.25">
      <c r="A128">
        <v>40</v>
      </c>
      <c r="B128">
        <f>IF(ISBLANK(VLOOKUP($A128,'Entry data'!$A:$K,2,FALSE)),"",VLOOKUP($A128,'Entry data'!$A:$K,2,FALSE))</f>
        <v>1</v>
      </c>
      <c r="C128">
        <f>IF(ISBLANK(VLOOKUP($A128,'Entry data'!$A:$K,3,FALSE)),"",VLOOKUP($A128,'Entry data'!$A:$K,3,FALSE))</f>
        <v>0.15277777777777776</v>
      </c>
      <c r="D128" t="str">
        <f>IF(ISBLANK(VLOOKUP($A128,'Entry data'!$A:$K,4,FALSE)),"",VLOOKUP($A128,'Entry data'!$A:$K,4,FALSE))</f>
        <v>C</v>
      </c>
      <c r="E128" t="str">
        <f>IF(ISBLANK(VLOOKUP($A128,'Entry data'!$A:$K,5,FALSE)),"",VLOOKUP($A128,'Entry data'!$A:$K,5,FALSE))</f>
        <v>38NSH</v>
      </c>
      <c r="F128" t="str">
        <f>IF(ISBLANK(VLOOKUP($A128,'Entry data'!$A:$K,6,FALSE)),"",VLOOKUP($A128,'Entry data'!$A:$K,6,FALSE))</f>
        <v>2DET</v>
      </c>
      <c r="G128" t="str">
        <f>IF(ISBLANK(VLOOKUP($A128,'Entry data'!$A:$K,7,FALSE)),"",VLOOKUP($A128,'Entry data'!$A:$K,7,FALSE))</f>
        <v>N</v>
      </c>
      <c r="H128" t="str">
        <f>IF(ISBLANK(VLOOKUP($A128,'Entry data'!$A:$K,8,FALSE)),"",VLOOKUP($A128,'Entry data'!$A:$K,8,FALSE))</f>
        <v>R</v>
      </c>
      <c r="I128" t="str">
        <f>IF(ISBLANK(VLOOKUP($A128,'Entry data'!$A:$K,9,FALSE)),"",VLOOKUP($A128,'Entry data'!$A:$K,9,FALSE))</f>
        <v>N</v>
      </c>
      <c r="J128">
        <f>IF(ISBLANK(VLOOKUP($A128,'Entry data'!$A:$K,10,FALSE)),"",VLOOKUP($A128,'Entry data'!$A:$K,10,FALSE))</f>
        <v>5</v>
      </c>
      <c r="K128">
        <f>IF(ISBLANK(VLOOKUP($A128,'Entry data'!$A:$K,11,FALSE)),"",VLOOKUP($A128,'Entry data'!$A:$K,11,FALSE))</f>
        <v>5</v>
      </c>
      <c r="L128">
        <f>IF(OR(EXACT(D128,"C"),EXACT(D128,"P"),EXACT(D128,"D"),EXACT(D128,"T"),EXACT(D128,"X"),EXACT(E128,"DZF"),EXACT(E128,"OZF"),EXACT(D128,"N"),EXACT(D128,"F")),1,0)</f>
        <v>1</v>
      </c>
      <c r="M128" t="str">
        <f t="shared" si="4"/>
        <v>38NSH</v>
      </c>
      <c r="N128">
        <f t="shared" si="5"/>
        <v>0</v>
      </c>
      <c r="O128">
        <f t="shared" si="6"/>
        <v>0</v>
      </c>
      <c r="P128" t="str">
        <f t="shared" si="7"/>
        <v/>
      </c>
    </row>
    <row r="129" spans="1:16" x14ac:dyDescent="0.25">
      <c r="A129">
        <v>88</v>
      </c>
      <c r="B129">
        <f>IF($A129&gt;$A$1,"",VLOOKUP($A129,'NHL PBP'!$A:$L,8,FALSE))</f>
        <v>1</v>
      </c>
      <c r="C129">
        <f>IF($A129&gt;$A$1,"",IF(B129&gt;3,5/24,20/24)-VLOOKUP($A129,'NHL PBP'!$A:$L,10,FALSE))</f>
        <v>0.14722222222222237</v>
      </c>
      <c r="D129" t="str">
        <f>IF($A129&gt;$A$1,"",VLOOKUP($A129,'NHL PBP'!$A:$L,11,FALSE))</f>
        <v>HIT</v>
      </c>
      <c r="E129" t="str">
        <f>IF(AND(EXACT(D129,"FAC"),NOT(EXACT(MID(F129,9,3),"Neu"))),IF(OR(AND(EXACT(MID(F129,9,3),"Off"),EXACT(LEFT(F129,3),UPPER('Entry data'!$C$2))),AND(EXACT(MID(F129,9,3),"Def"),NOT(EXACT(LEFT(F129,3),UPPER('Entry data'!$C$2))))),"DZF","OZF"),"")</f>
        <v/>
      </c>
      <c r="F129" t="str">
        <f>IF($A129&gt;$A$1,"",VLOOKUP($A129,'NHL PBP'!$A:$L,12,FALSE))</f>
        <v>NSH #12 FISHER HIT DET #21 TATAR, Off. Zone</v>
      </c>
      <c r="J129">
        <f>IF(EXACT('Entry data'!$C$3,"Road"),IF(ISBLANK(VLOOKUP(A129,'NHL PBP'!A:AH,21,FALSE)),3,IF(ISBLANK(VLOOKUP(A129,'NHL PBP'!A:AH,23,FALSE)),4,5)),IF(ISBLANK(VLOOKUP(A129,'NHL PBP'!A:AH,32,FALSE)),3,IF(ISBLANK(VLOOKUP(A129,'NHL PBP'!A:AH,34,FALSE)),4,5)))</f>
        <v>5</v>
      </c>
      <c r="K129">
        <f>IF(EXACT('Entry data'!$C$3,"Home"),IF(ISBLANK(VLOOKUP(A129,'NHL PBP'!A:AH,21,FALSE)),3,IF(ISBLANK(VLOOKUP(A129,'NHL PBP'!A:AH,23,FALSE)),4,5)),IF(ISBLANK(VLOOKUP(A129,'NHL PBP'!A:AH,32,FALSE)),3,IF(ISBLANK(VLOOKUP(A129,'NHL PBP'!A:AH,34,FALSE)),4,5)))</f>
        <v>5</v>
      </c>
      <c r="L129">
        <f>IF(OR(EXACT(D129,"C"),EXACT(D129,"P"),EXACT(D129,"D"),EXACT(D129,"T"),EXACT(D129,"X"),EXACT(E129,"DZF"),EXACT(E129,"OZF"),EXACT(D129,"N"),EXACT(D129,"F")),1,0)</f>
        <v>0</v>
      </c>
      <c r="M129" t="str">
        <f t="shared" si="4"/>
        <v/>
      </c>
      <c r="N129">
        <f t="shared" si="5"/>
        <v>0</v>
      </c>
      <c r="O129">
        <f t="shared" si="6"/>
        <v>0</v>
      </c>
      <c r="P129" t="str">
        <f t="shared" si="7"/>
        <v/>
      </c>
    </row>
    <row r="130" spans="1:16" x14ac:dyDescent="0.25">
      <c r="A130">
        <v>41</v>
      </c>
      <c r="B130">
        <f>IF(ISBLANK(VLOOKUP($A130,'Entry data'!$A:$K,2,FALSE)),"",VLOOKUP($A130,'Entry data'!$A:$K,2,FALSE))</f>
        <v>1</v>
      </c>
      <c r="C130">
        <f>IF(ISBLANK(VLOOKUP($A130,'Entry data'!$A:$K,3,FALSE)),"",VLOOKUP($A130,'Entry data'!$A:$K,3,FALSE))</f>
        <v>0.1423611111111111</v>
      </c>
      <c r="D130" t="str">
        <f>IF(ISBLANK(VLOOKUP($A130,'Entry data'!$A:$K,4,FALSE)),"",VLOOKUP($A130,'Entry data'!$A:$K,4,FALSE))</f>
        <v>C</v>
      </c>
      <c r="E130" t="str">
        <f>IF(ISBLANK(VLOOKUP($A130,'Entry data'!$A:$K,5,FALSE)),"",VLOOKUP($A130,'Entry data'!$A:$K,5,FALSE))</f>
        <v>21DET</v>
      </c>
      <c r="F130" t="str">
        <f>IF(ISBLANK(VLOOKUP($A130,'Entry data'!$A:$K,6,FALSE)),"",VLOOKUP($A130,'Entry data'!$A:$K,6,FALSE))</f>
        <v>7NSH</v>
      </c>
      <c r="G130" t="str">
        <f>IF(ISBLANK(VLOOKUP($A130,'Entry data'!$A:$K,7,FALSE)),"",VLOOKUP($A130,'Entry data'!$A:$K,7,FALSE))</f>
        <v>Y</v>
      </c>
      <c r="H130" t="str">
        <f>IF(ISBLANK(VLOOKUP($A130,'Entry data'!$A:$K,8,FALSE)),"",VLOOKUP($A130,'Entry data'!$A:$K,8,FALSE))</f>
        <v>C</v>
      </c>
      <c r="I130" t="str">
        <f>IF(ISBLANK(VLOOKUP($A130,'Entry data'!$A:$K,9,FALSE)),"",VLOOKUP($A130,'Entry data'!$A:$K,9,FALSE))</f>
        <v>N</v>
      </c>
      <c r="J130">
        <f>IF(ISBLANK(VLOOKUP($A130,'Entry data'!$A:$K,10,FALSE)),"",VLOOKUP($A130,'Entry data'!$A:$K,10,FALSE))</f>
        <v>5</v>
      </c>
      <c r="K130">
        <f>IF(ISBLANK(VLOOKUP($A130,'Entry data'!$A:$K,11,FALSE)),"",VLOOKUP($A130,'Entry data'!$A:$K,11,FALSE))</f>
        <v>5</v>
      </c>
      <c r="L130">
        <f>IF(OR(EXACT(D130,"C"),EXACT(D130,"P"),EXACT(D130,"D"),EXACT(D130,"T"),EXACT(D130,"X"),EXACT(E130,"DZF"),EXACT(E130,"OZF"),EXACT(D130,"N"),EXACT(D130,"F")),1,0)</f>
        <v>1</v>
      </c>
      <c r="M130" t="str">
        <f t="shared" ref="M130:M193" si="8">IF(OR(EXACT(D130,"C"),EXACT(D130,"P")),E130,"")</f>
        <v>21DET</v>
      </c>
      <c r="N130">
        <f t="shared" ref="N130:N193" si="9">IF(OR(EXACT(D130,"GOAL"),EXACT(D130,"SHOT"),EXACT(D130,"MISS")),1,0)+IF(L131=0,N131,0)</f>
        <v>1</v>
      </c>
      <c r="O130">
        <f t="shared" ref="O130:O193" si="10">IF(EXACT(D130,"GOAL"),1,0)+IF(L131=0,O131,0)</f>
        <v>0</v>
      </c>
      <c r="P130" t="str">
        <f t="shared" si="7"/>
        <v/>
      </c>
    </row>
    <row r="131" spans="1:16" x14ac:dyDescent="0.25">
      <c r="A131">
        <v>89</v>
      </c>
      <c r="B131">
        <f>IF($A131&gt;$A$1,"",VLOOKUP($A131,'NHL PBP'!$A:$L,8,FALSE))</f>
        <v>1</v>
      </c>
      <c r="C131">
        <f>IF($A131&gt;$A$1,"",IF(B131&gt;3,5/24,20/24)-VLOOKUP($A131,'NHL PBP'!$A:$L,10,FALSE))</f>
        <v>0.13958333333333339</v>
      </c>
      <c r="D131" t="str">
        <f>IF($A131&gt;$A$1,"",VLOOKUP($A131,'NHL PBP'!$A:$L,11,FALSE))</f>
        <v>SHOT</v>
      </c>
      <c r="E131" t="str">
        <f>IF(AND(EXACT(D131,"FAC"),NOT(EXACT(MID(F131,9,3),"Neu"))),IF(OR(AND(EXACT(MID(F131,9,3),"Off"),EXACT(LEFT(F131,3),UPPER('Entry data'!$C$2))),AND(EXACT(MID(F131,9,3),"Def"),NOT(EXACT(LEFT(F131,3),UPPER('Entry data'!$C$2))))),"DZF","OZF"),"")</f>
        <v/>
      </c>
      <c r="F131" t="str">
        <f>IF($A131&gt;$A$1,"",VLOOKUP($A131,'NHL PBP'!$A:$L,12,FALSE))</f>
        <v>DET ONGOAL - #15 SHEAHAN, Wrist, Off. Zone, 12 ft.</v>
      </c>
      <c r="J131">
        <f>IF(EXACT('Entry data'!$C$3,"Road"),IF(ISBLANK(VLOOKUP(A131,'NHL PBP'!A:AH,21,FALSE)),3,IF(ISBLANK(VLOOKUP(A131,'NHL PBP'!A:AH,23,FALSE)),4,5)),IF(ISBLANK(VLOOKUP(A131,'NHL PBP'!A:AH,32,FALSE)),3,IF(ISBLANK(VLOOKUP(A131,'NHL PBP'!A:AH,34,FALSE)),4,5)))</f>
        <v>5</v>
      </c>
      <c r="K131">
        <f>IF(EXACT('Entry data'!$C$3,"Home"),IF(ISBLANK(VLOOKUP(A131,'NHL PBP'!A:AH,21,FALSE)),3,IF(ISBLANK(VLOOKUP(A131,'NHL PBP'!A:AH,23,FALSE)),4,5)),IF(ISBLANK(VLOOKUP(A131,'NHL PBP'!A:AH,32,FALSE)),3,IF(ISBLANK(VLOOKUP(A131,'NHL PBP'!A:AH,34,FALSE)),4,5)))</f>
        <v>5</v>
      </c>
      <c r="L131">
        <f>IF(OR(EXACT(D131,"C"),EXACT(D131,"P"),EXACT(D131,"D"),EXACT(D131,"T"),EXACT(D131,"X"),EXACT(E131,"DZF"),EXACT(E131,"OZF"),EXACT(D131,"N"),EXACT(D131,"F")),1,0)</f>
        <v>0</v>
      </c>
      <c r="M131" t="str">
        <f t="shared" si="8"/>
        <v/>
      </c>
      <c r="N131">
        <f t="shared" si="9"/>
        <v>1</v>
      </c>
      <c r="O131">
        <f t="shared" si="10"/>
        <v>0</v>
      </c>
      <c r="P131" t="str">
        <f t="shared" ref="P131:P194" si="11">IF(EXACT(D131,"F"),E131,"")</f>
        <v/>
      </c>
    </row>
    <row r="132" spans="1:16" x14ac:dyDescent="0.25">
      <c r="A132">
        <v>42</v>
      </c>
      <c r="B132">
        <f>IF(ISBLANK(VLOOKUP($A132,'Entry data'!$A:$K,2,FALSE)),"",VLOOKUP($A132,'Entry data'!$A:$K,2,FALSE))</f>
        <v>1</v>
      </c>
      <c r="C132">
        <f>IF(ISBLANK(VLOOKUP($A132,'Entry data'!$A:$K,3,FALSE)),"",VLOOKUP($A132,'Entry data'!$A:$K,3,FALSE))</f>
        <v>0.13333333333333333</v>
      </c>
      <c r="D132" t="str">
        <f>IF(ISBLANK(VLOOKUP($A132,'Entry data'!$A:$K,4,FALSE)),"",VLOOKUP($A132,'Entry data'!$A:$K,4,FALSE))</f>
        <v>C</v>
      </c>
      <c r="E132" t="str">
        <f>IF(ISBLANK(VLOOKUP($A132,'Entry data'!$A:$K,5,FALSE)),"",VLOOKUP($A132,'Entry data'!$A:$K,5,FALSE))</f>
        <v>21DET</v>
      </c>
      <c r="F132" t="str">
        <f>IF(ISBLANK(VLOOKUP($A132,'Entry data'!$A:$K,6,FALSE)),"",VLOOKUP($A132,'Entry data'!$A:$K,6,FALSE))</f>
        <v>7NSH</v>
      </c>
      <c r="G132" t="str">
        <f>IF(ISBLANK(VLOOKUP($A132,'Entry data'!$A:$K,7,FALSE)),"",VLOOKUP($A132,'Entry data'!$A:$K,7,FALSE))</f>
        <v>N</v>
      </c>
      <c r="H132" t="str">
        <f>IF(ISBLANK(VLOOKUP($A132,'Entry data'!$A:$K,8,FALSE)),"",VLOOKUP($A132,'Entry data'!$A:$K,8,FALSE))</f>
        <v>L</v>
      </c>
      <c r="I132" t="str">
        <f>IF(ISBLANK(VLOOKUP($A132,'Entry data'!$A:$K,9,FALSE)),"",VLOOKUP($A132,'Entry data'!$A:$K,9,FALSE))</f>
        <v>N</v>
      </c>
      <c r="J132">
        <f>IF(ISBLANK(VLOOKUP($A132,'Entry data'!$A:$K,10,FALSE)),"",VLOOKUP($A132,'Entry data'!$A:$K,10,FALSE))</f>
        <v>5</v>
      </c>
      <c r="K132">
        <f>IF(ISBLANK(VLOOKUP($A132,'Entry data'!$A:$K,11,FALSE)),"",VLOOKUP($A132,'Entry data'!$A:$K,11,FALSE))</f>
        <v>5</v>
      </c>
      <c r="L132">
        <f>IF(OR(EXACT(D132,"C"),EXACT(D132,"P"),EXACT(D132,"D"),EXACT(D132,"T"),EXACT(D132,"X"),EXACT(E132,"DZF"),EXACT(E132,"OZF"),EXACT(D132,"N"),EXACT(D132,"F")),1,0)</f>
        <v>1</v>
      </c>
      <c r="M132" t="str">
        <f t="shared" si="8"/>
        <v>21DET</v>
      </c>
      <c r="N132">
        <f t="shared" si="9"/>
        <v>1</v>
      </c>
      <c r="O132">
        <f t="shared" si="10"/>
        <v>0</v>
      </c>
      <c r="P132" t="str">
        <f t="shared" si="11"/>
        <v/>
      </c>
    </row>
    <row r="133" spans="1:16" x14ac:dyDescent="0.25">
      <c r="A133">
        <v>90</v>
      </c>
      <c r="B133">
        <f>IF($A133&gt;$A$1,"",VLOOKUP($A133,'NHL PBP'!$A:$L,8,FALSE))</f>
        <v>1</v>
      </c>
      <c r="C133">
        <f>IF($A133&gt;$A$1,"",IF(B133&gt;3,5/24,20/24)-VLOOKUP($A133,'NHL PBP'!$A:$L,10,FALSE))</f>
        <v>0.13124999999999998</v>
      </c>
      <c r="D133" t="str">
        <f>IF($A133&gt;$A$1,"",VLOOKUP($A133,'NHL PBP'!$A:$L,11,FALSE))</f>
        <v>SHOT</v>
      </c>
      <c r="E133" t="str">
        <f>IF(AND(EXACT(D133,"FAC"),NOT(EXACT(MID(F133,9,3),"Neu"))),IF(OR(AND(EXACT(MID(F133,9,3),"Off"),EXACT(LEFT(F133,3),UPPER('Entry data'!$C$2))),AND(EXACT(MID(F133,9,3),"Def"),NOT(EXACT(LEFT(F133,3),UPPER('Entry data'!$C$2))))),"DZF","OZF"),"")</f>
        <v/>
      </c>
      <c r="F133" t="str">
        <f>IF($A133&gt;$A$1,"",VLOOKUP($A133,'NHL PBP'!$A:$L,12,FALSE))</f>
        <v>DET ONGOAL - #21 TATAR, Wrist, Off. Zone, 45 ft.</v>
      </c>
      <c r="J133">
        <f>IF(EXACT('Entry data'!$C$3,"Road"),IF(ISBLANK(VLOOKUP(A133,'NHL PBP'!A:AH,21,FALSE)),3,IF(ISBLANK(VLOOKUP(A133,'NHL PBP'!A:AH,23,FALSE)),4,5)),IF(ISBLANK(VLOOKUP(A133,'NHL PBP'!A:AH,32,FALSE)),3,IF(ISBLANK(VLOOKUP(A133,'NHL PBP'!A:AH,34,FALSE)),4,5)))</f>
        <v>5</v>
      </c>
      <c r="K133">
        <f>IF(EXACT('Entry data'!$C$3,"Home"),IF(ISBLANK(VLOOKUP(A133,'NHL PBP'!A:AH,21,FALSE)),3,IF(ISBLANK(VLOOKUP(A133,'NHL PBP'!A:AH,23,FALSE)),4,5)),IF(ISBLANK(VLOOKUP(A133,'NHL PBP'!A:AH,32,FALSE)),3,IF(ISBLANK(VLOOKUP(A133,'NHL PBP'!A:AH,34,FALSE)),4,5)))</f>
        <v>5</v>
      </c>
      <c r="L133">
        <f>IF(OR(EXACT(D133,"C"),EXACT(D133,"P"),EXACT(D133,"D"),EXACT(D133,"T"),EXACT(D133,"X"),EXACT(E133,"DZF"),EXACT(E133,"OZF"),EXACT(D133,"N"),EXACT(D133,"F")),1,0)</f>
        <v>0</v>
      </c>
      <c r="M133" t="str">
        <f t="shared" si="8"/>
        <v/>
      </c>
      <c r="N133">
        <f t="shared" si="9"/>
        <v>1</v>
      </c>
      <c r="O133">
        <f t="shared" si="10"/>
        <v>0</v>
      </c>
      <c r="P133" t="str">
        <f t="shared" si="11"/>
        <v/>
      </c>
    </row>
    <row r="134" spans="1:16" x14ac:dyDescent="0.25">
      <c r="A134">
        <v>91</v>
      </c>
      <c r="B134">
        <f>IF($A134&gt;$A$1,"",VLOOKUP($A134,'NHL PBP'!$A:$L,8,FALSE))</f>
        <v>1</v>
      </c>
      <c r="C134">
        <f>IF($A134&gt;$A$1,"",IF(B134&gt;3,5/24,20/24)-VLOOKUP($A134,'NHL PBP'!$A:$L,10,FALSE))</f>
        <v>0.13055555555555554</v>
      </c>
      <c r="D134" t="str">
        <f>IF($A134&gt;$A$1,"",VLOOKUP($A134,'NHL PBP'!$A:$L,11,FALSE))</f>
        <v>STOP</v>
      </c>
      <c r="E134" t="str">
        <f>IF(AND(EXACT(D134,"FAC"),NOT(EXACT(MID(F134,9,3),"Neu"))),IF(OR(AND(EXACT(MID(F134,9,3),"Off"),EXACT(LEFT(F134,3),UPPER('Entry data'!$C$2))),AND(EXACT(MID(F134,9,3),"Def"),NOT(EXACT(LEFT(F134,3),UPPER('Entry data'!$C$2))))),"DZF","OZF"),"")</f>
        <v/>
      </c>
      <c r="F134" t="str">
        <f>IF($A134&gt;$A$1,"",VLOOKUP($A134,'NHL PBP'!$A:$L,12,FALSE))</f>
        <v>GOALIE STOPPED,TV TIMEOUT</v>
      </c>
      <c r="J134">
        <f>IF(EXACT('Entry data'!$C$3,"Road"),IF(ISBLANK(VLOOKUP(A134,'NHL PBP'!A:AH,21,FALSE)),3,IF(ISBLANK(VLOOKUP(A134,'NHL PBP'!A:AH,23,FALSE)),4,5)),IF(ISBLANK(VLOOKUP(A134,'NHL PBP'!A:AH,32,FALSE)),3,IF(ISBLANK(VLOOKUP(A134,'NHL PBP'!A:AH,34,FALSE)),4,5)))</f>
        <v>5</v>
      </c>
      <c r="K134">
        <f>IF(EXACT('Entry data'!$C$3,"Home"),IF(ISBLANK(VLOOKUP(A134,'NHL PBP'!A:AH,21,FALSE)),3,IF(ISBLANK(VLOOKUP(A134,'NHL PBP'!A:AH,23,FALSE)),4,5)),IF(ISBLANK(VLOOKUP(A134,'NHL PBP'!A:AH,32,FALSE)),3,IF(ISBLANK(VLOOKUP(A134,'NHL PBP'!A:AH,34,FALSE)),4,5)))</f>
        <v>5</v>
      </c>
      <c r="L134">
        <f>IF(OR(EXACT(D134,"C"),EXACT(D134,"P"),EXACT(D134,"D"),EXACT(D134,"T"),EXACT(D134,"X"),EXACT(E134,"DZF"),EXACT(E134,"OZF"),EXACT(D134,"N"),EXACT(D134,"F")),1,0)</f>
        <v>0</v>
      </c>
      <c r="M134" t="str">
        <f t="shared" si="8"/>
        <v/>
      </c>
      <c r="N134">
        <f t="shared" si="9"/>
        <v>0</v>
      </c>
      <c r="O134">
        <f t="shared" si="10"/>
        <v>0</v>
      </c>
      <c r="P134" t="str">
        <f t="shared" si="11"/>
        <v/>
      </c>
    </row>
    <row r="135" spans="1:16" x14ac:dyDescent="0.25">
      <c r="A135">
        <v>92</v>
      </c>
      <c r="B135">
        <f>IF($A135&gt;$A$1,"",VLOOKUP($A135,'NHL PBP'!$A:$L,8,FALSE))</f>
        <v>1</v>
      </c>
      <c r="C135">
        <f>IF($A135&gt;$A$1,"",IF(B135&gt;3,5/24,20/24)-VLOOKUP($A135,'NHL PBP'!$A:$L,10,FALSE))</f>
        <v>0.13055555555555554</v>
      </c>
      <c r="D135" t="str">
        <f>IF($A135&gt;$A$1,"",VLOOKUP($A135,'NHL PBP'!$A:$L,11,FALSE))</f>
        <v>FAC</v>
      </c>
      <c r="E135" t="str">
        <f>IF(AND(EXACT(D135,"FAC"),NOT(EXACT(MID(F135,9,3),"Neu"))),IF(OR(AND(EXACT(MID(F135,9,3),"Off"),EXACT(LEFT(F135,3),UPPER('Entry data'!$C$2))),AND(EXACT(MID(F135,9,3),"Def"),NOT(EXACT(LEFT(F135,3),UPPER('Entry data'!$C$2))))),"DZF","OZF"),"")</f>
        <v>OZF</v>
      </c>
      <c r="F135" t="str">
        <f>IF($A135&gt;$A$1,"",VLOOKUP($A135,'NHL PBP'!$A:$L,12,FALSE))</f>
        <v>DET won Off. Zone - NSH #10 SISSONS vs DET #43 HELM</v>
      </c>
      <c r="J135">
        <f>IF(EXACT('Entry data'!$C$3,"Road"),IF(ISBLANK(VLOOKUP(A135,'NHL PBP'!A:AH,21,FALSE)),3,IF(ISBLANK(VLOOKUP(A135,'NHL PBP'!A:AH,23,FALSE)),4,5)),IF(ISBLANK(VLOOKUP(A135,'NHL PBP'!A:AH,32,FALSE)),3,IF(ISBLANK(VLOOKUP(A135,'NHL PBP'!A:AH,34,FALSE)),4,5)))</f>
        <v>5</v>
      </c>
      <c r="K135">
        <f>IF(EXACT('Entry data'!$C$3,"Home"),IF(ISBLANK(VLOOKUP(A135,'NHL PBP'!A:AH,21,FALSE)),3,IF(ISBLANK(VLOOKUP(A135,'NHL PBP'!A:AH,23,FALSE)),4,5)),IF(ISBLANK(VLOOKUP(A135,'NHL PBP'!A:AH,32,FALSE)),3,IF(ISBLANK(VLOOKUP(A135,'NHL PBP'!A:AH,34,FALSE)),4,5)))</f>
        <v>5</v>
      </c>
      <c r="L135">
        <f>IF(OR(EXACT(D135,"C"),EXACT(D135,"P"),EXACT(D135,"D"),EXACT(D135,"T"),EXACT(D135,"X"),EXACT(E135,"DZF"),EXACT(E135,"OZF"),EXACT(D135,"N"),EXACT(D135,"F")),1,0)</f>
        <v>1</v>
      </c>
      <c r="M135" t="str">
        <f t="shared" si="8"/>
        <v/>
      </c>
      <c r="N135">
        <f t="shared" si="9"/>
        <v>0</v>
      </c>
      <c r="O135">
        <f t="shared" si="10"/>
        <v>0</v>
      </c>
      <c r="P135" t="str">
        <f t="shared" si="11"/>
        <v/>
      </c>
    </row>
    <row r="136" spans="1:16" x14ac:dyDescent="0.25">
      <c r="A136">
        <v>43</v>
      </c>
      <c r="B136">
        <f>IF(ISBLANK(VLOOKUP($A136,'Entry data'!$A:$K,2,FALSE)),"",VLOOKUP($A136,'Entry data'!$A:$K,2,FALSE))</f>
        <v>1</v>
      </c>
      <c r="C136">
        <f>IF(ISBLANK(VLOOKUP($A136,'Entry data'!$A:$K,3,FALSE)),"",VLOOKUP($A136,'Entry data'!$A:$K,3,FALSE))</f>
        <v>0.1111111111111111</v>
      </c>
      <c r="D136" t="str">
        <f>IF(ISBLANK(VLOOKUP($A136,'Entry data'!$A:$K,4,FALSE)),"",VLOOKUP($A136,'Entry data'!$A:$K,4,FALSE))</f>
        <v>C</v>
      </c>
      <c r="E136" t="str">
        <f>IF(ISBLANK(VLOOKUP($A136,'Entry data'!$A:$K,5,FALSE)),"",VLOOKUP($A136,'Entry data'!$A:$K,5,FALSE))</f>
        <v>56NSH</v>
      </c>
      <c r="F136" t="str">
        <f>IF(ISBLANK(VLOOKUP($A136,'Entry data'!$A:$K,6,FALSE)),"",VLOOKUP($A136,'Entry data'!$A:$K,6,FALSE))</f>
        <v>48DET</v>
      </c>
      <c r="G136" t="str">
        <f>IF(ISBLANK(VLOOKUP($A136,'Entry data'!$A:$K,7,FALSE)),"",VLOOKUP($A136,'Entry data'!$A:$K,7,FALSE))</f>
        <v>Y</v>
      </c>
      <c r="H136" t="str">
        <f>IF(ISBLANK(VLOOKUP($A136,'Entry data'!$A:$K,8,FALSE)),"",VLOOKUP($A136,'Entry data'!$A:$K,8,FALSE))</f>
        <v>C</v>
      </c>
      <c r="I136" t="str">
        <f>IF(ISBLANK(VLOOKUP($A136,'Entry data'!$A:$K,9,FALSE)),"",VLOOKUP($A136,'Entry data'!$A:$K,9,FALSE))</f>
        <v>N</v>
      </c>
      <c r="J136">
        <f>IF(ISBLANK(VLOOKUP($A136,'Entry data'!$A:$K,10,FALSE)),"",VLOOKUP($A136,'Entry data'!$A:$K,10,FALSE))</f>
        <v>5</v>
      </c>
      <c r="K136">
        <f>IF(ISBLANK(VLOOKUP($A136,'Entry data'!$A:$K,11,FALSE)),"",VLOOKUP($A136,'Entry data'!$A:$K,11,FALSE))</f>
        <v>5</v>
      </c>
      <c r="L136">
        <f>IF(OR(EXACT(D136,"C"),EXACT(D136,"P"),EXACT(D136,"D"),EXACT(D136,"T"),EXACT(D136,"X"),EXACT(E136,"DZF"),EXACT(E136,"OZF"),EXACT(D136,"N"),EXACT(D136,"F")),1,0)</f>
        <v>1</v>
      </c>
      <c r="M136" t="str">
        <f t="shared" si="8"/>
        <v>56NSH</v>
      </c>
      <c r="N136">
        <f t="shared" si="9"/>
        <v>1</v>
      </c>
      <c r="O136">
        <f t="shared" si="10"/>
        <v>0</v>
      </c>
      <c r="P136" t="str">
        <f t="shared" si="11"/>
        <v/>
      </c>
    </row>
    <row r="137" spans="1:16" x14ac:dyDescent="0.25">
      <c r="A137">
        <v>93</v>
      </c>
      <c r="B137">
        <f>IF($A137&gt;$A$1,"",VLOOKUP($A137,'NHL PBP'!$A:$L,8,FALSE))</f>
        <v>1</v>
      </c>
      <c r="C137">
        <f>IF($A137&gt;$A$1,"",IF(B137&gt;3,5/24,20/24)-VLOOKUP($A137,'NHL PBP'!$A:$L,10,FALSE))</f>
        <v>0.10972222222222228</v>
      </c>
      <c r="D137" t="str">
        <f>IF($A137&gt;$A$1,"",VLOOKUP($A137,'NHL PBP'!$A:$L,11,FALSE))</f>
        <v>SHOT</v>
      </c>
      <c r="E137" t="str">
        <f>IF(AND(EXACT(D137,"FAC"),NOT(EXACT(MID(F137,9,3),"Neu"))),IF(OR(AND(EXACT(MID(F137,9,3),"Off"),EXACT(LEFT(F137,3),UPPER('Entry data'!$C$2))),AND(EXACT(MID(F137,9,3),"Def"),NOT(EXACT(LEFT(F137,3),UPPER('Entry data'!$C$2))))),"DZF","OZF"),"")</f>
        <v/>
      </c>
      <c r="F137" t="str">
        <f>IF($A137&gt;$A$1,"",VLOOKUP($A137,'NHL PBP'!$A:$L,12,FALSE))</f>
        <v>NSH ONGOAL - #4 ELLIS, Backhand, Off. Zone, 29 ft.</v>
      </c>
      <c r="J137">
        <f>IF(EXACT('Entry data'!$C$3,"Road"),IF(ISBLANK(VLOOKUP(A137,'NHL PBP'!A:AH,21,FALSE)),3,IF(ISBLANK(VLOOKUP(A137,'NHL PBP'!A:AH,23,FALSE)),4,5)),IF(ISBLANK(VLOOKUP(A137,'NHL PBP'!A:AH,32,FALSE)),3,IF(ISBLANK(VLOOKUP(A137,'NHL PBP'!A:AH,34,FALSE)),4,5)))</f>
        <v>5</v>
      </c>
      <c r="K137">
        <f>IF(EXACT('Entry data'!$C$3,"Home"),IF(ISBLANK(VLOOKUP(A137,'NHL PBP'!A:AH,21,FALSE)),3,IF(ISBLANK(VLOOKUP(A137,'NHL PBP'!A:AH,23,FALSE)),4,5)),IF(ISBLANK(VLOOKUP(A137,'NHL PBP'!A:AH,32,FALSE)),3,IF(ISBLANK(VLOOKUP(A137,'NHL PBP'!A:AH,34,FALSE)),4,5)))</f>
        <v>5</v>
      </c>
      <c r="L137">
        <f>IF(OR(EXACT(D137,"C"),EXACT(D137,"P"),EXACT(D137,"D"),EXACT(D137,"T"),EXACT(D137,"X"),EXACT(E137,"DZF"),EXACT(E137,"OZF"),EXACT(D137,"N"),EXACT(D137,"F")),1,0)</f>
        <v>0</v>
      </c>
      <c r="M137" t="str">
        <f t="shared" si="8"/>
        <v/>
      </c>
      <c r="N137">
        <f t="shared" si="9"/>
        <v>1</v>
      </c>
      <c r="O137">
        <f t="shared" si="10"/>
        <v>0</v>
      </c>
      <c r="P137" t="str">
        <f t="shared" si="11"/>
        <v/>
      </c>
    </row>
    <row r="138" spans="1:16" x14ac:dyDescent="0.25">
      <c r="A138">
        <v>94</v>
      </c>
      <c r="B138">
        <f>IF($A138&gt;$A$1,"",VLOOKUP($A138,'NHL PBP'!$A:$L,8,FALSE))</f>
        <v>1</v>
      </c>
      <c r="C138">
        <f>IF($A138&gt;$A$1,"",IF(B138&gt;3,5/24,20/24)-VLOOKUP($A138,'NHL PBP'!$A:$L,10,FALSE))</f>
        <v>0.10416666666666674</v>
      </c>
      <c r="D138" t="str">
        <f>IF($A138&gt;$A$1,"",VLOOKUP($A138,'NHL PBP'!$A:$L,11,FALSE))</f>
        <v>GIVE</v>
      </c>
      <c r="E138" t="str">
        <f>IF(AND(EXACT(D138,"FAC"),NOT(EXACT(MID(F138,9,3),"Neu"))),IF(OR(AND(EXACT(MID(F138,9,3),"Off"),EXACT(LEFT(F138,3),UPPER('Entry data'!$C$2))),AND(EXACT(MID(F138,9,3),"Def"),NOT(EXACT(LEFT(F138,3),UPPER('Entry data'!$C$2))))),"DZF","OZF"),"")</f>
        <v/>
      </c>
      <c r="F138" t="str">
        <f>IF($A138&gt;$A$1,"",VLOOKUP($A138,'NHL PBP'!$A:$L,12,FALSE))</f>
        <v>NSH GIVEAWAY - #56 FIALA, Off. Zone</v>
      </c>
      <c r="J138">
        <f>IF(EXACT('Entry data'!$C$3,"Road"),IF(ISBLANK(VLOOKUP(A138,'NHL PBP'!A:AH,21,FALSE)),3,IF(ISBLANK(VLOOKUP(A138,'NHL PBP'!A:AH,23,FALSE)),4,5)),IF(ISBLANK(VLOOKUP(A138,'NHL PBP'!A:AH,32,FALSE)),3,IF(ISBLANK(VLOOKUP(A138,'NHL PBP'!A:AH,34,FALSE)),4,5)))</f>
        <v>5</v>
      </c>
      <c r="K138">
        <f>IF(EXACT('Entry data'!$C$3,"Home"),IF(ISBLANK(VLOOKUP(A138,'NHL PBP'!A:AH,21,FALSE)),3,IF(ISBLANK(VLOOKUP(A138,'NHL PBP'!A:AH,23,FALSE)),4,5)),IF(ISBLANK(VLOOKUP(A138,'NHL PBP'!A:AH,32,FALSE)),3,IF(ISBLANK(VLOOKUP(A138,'NHL PBP'!A:AH,34,FALSE)),4,5)))</f>
        <v>5</v>
      </c>
      <c r="L138">
        <f>IF(OR(EXACT(D138,"C"),EXACT(D138,"P"),EXACT(D138,"D"),EXACT(D138,"T"),EXACT(D138,"X"),EXACT(E138,"DZF"),EXACT(E138,"OZF"),EXACT(D138,"N"),EXACT(D138,"F")),1,0)</f>
        <v>0</v>
      </c>
      <c r="M138" t="str">
        <f t="shared" si="8"/>
        <v/>
      </c>
      <c r="N138">
        <f t="shared" si="9"/>
        <v>0</v>
      </c>
      <c r="O138">
        <f t="shared" si="10"/>
        <v>0</v>
      </c>
      <c r="P138" t="str">
        <f t="shared" si="11"/>
        <v/>
      </c>
    </row>
    <row r="139" spans="1:16" x14ac:dyDescent="0.25">
      <c r="A139">
        <v>44</v>
      </c>
      <c r="B139">
        <f>IF(ISBLANK(VLOOKUP($A139,'Entry data'!$A:$K,2,FALSE)),"",VLOOKUP($A139,'Entry data'!$A:$K,2,FALSE))</f>
        <v>1</v>
      </c>
      <c r="C139">
        <f>IF(ISBLANK(VLOOKUP($A139,'Entry data'!$A:$K,3,FALSE)),"",VLOOKUP($A139,'Entry data'!$A:$K,3,FALSE))</f>
        <v>9.7222222222222224E-2</v>
      </c>
      <c r="D139" t="str">
        <f>IF(ISBLANK(VLOOKUP($A139,'Entry data'!$A:$K,4,FALSE)),"",VLOOKUP($A139,'Entry data'!$A:$K,4,FALSE))</f>
        <v>D</v>
      </c>
      <c r="E139" t="str">
        <f>IF(ISBLANK(VLOOKUP($A139,'Entry data'!$A:$K,5,FALSE)),"",VLOOKUP($A139,'Entry data'!$A:$K,5,FALSE))</f>
        <v>92NSH</v>
      </c>
      <c r="F139" t="str">
        <f>IF(ISBLANK(VLOOKUP($A139,'Entry data'!$A:$K,6,FALSE)),"",VLOOKUP($A139,'Entry data'!$A:$K,6,FALSE))</f>
        <v>N</v>
      </c>
      <c r="G139" t="str">
        <f>IF(ISBLANK(VLOOKUP($A139,'Entry data'!$A:$K,7,FALSE)),"",VLOOKUP($A139,'Entry data'!$A:$K,7,FALSE))</f>
        <v/>
      </c>
      <c r="H139" t="str">
        <f>IF(ISBLANK(VLOOKUP($A139,'Entry data'!$A:$K,8,FALSE)),"",VLOOKUP($A139,'Entry data'!$A:$K,8,FALSE))</f>
        <v>R</v>
      </c>
      <c r="I139" t="str">
        <f>IF(ISBLANK(VLOOKUP($A139,'Entry data'!$A:$K,9,FALSE)),"",VLOOKUP($A139,'Entry data'!$A:$K,9,FALSE))</f>
        <v>N</v>
      </c>
      <c r="J139">
        <f>IF(ISBLANK(VLOOKUP($A139,'Entry data'!$A:$K,10,FALSE)),"",VLOOKUP($A139,'Entry data'!$A:$K,10,FALSE))</f>
        <v>5</v>
      </c>
      <c r="K139">
        <f>IF(ISBLANK(VLOOKUP($A139,'Entry data'!$A:$K,11,FALSE)),"",VLOOKUP($A139,'Entry data'!$A:$K,11,FALSE))</f>
        <v>5</v>
      </c>
      <c r="L139">
        <f>IF(OR(EXACT(D139,"C"),EXACT(D139,"P"),EXACT(D139,"D"),EXACT(D139,"T"),EXACT(D139,"X"),EXACT(E139,"DZF"),EXACT(E139,"OZF"),EXACT(D139,"N"),EXACT(D139,"F")),1,0)</f>
        <v>1</v>
      </c>
      <c r="M139" t="str">
        <f t="shared" si="8"/>
        <v/>
      </c>
      <c r="N139">
        <f t="shared" si="9"/>
        <v>4</v>
      </c>
      <c r="O139">
        <f t="shared" si="10"/>
        <v>0</v>
      </c>
      <c r="P139" t="str">
        <f t="shared" si="11"/>
        <v/>
      </c>
    </row>
    <row r="140" spans="1:16" x14ac:dyDescent="0.25">
      <c r="A140">
        <v>95</v>
      </c>
      <c r="B140">
        <f>IF($A140&gt;$A$1,"",VLOOKUP($A140,'NHL PBP'!$A:$L,8,FALSE))</f>
        <v>1</v>
      </c>
      <c r="C140">
        <f>IF($A140&gt;$A$1,"",IF(B140&gt;3,5/24,20/24)-VLOOKUP($A140,'NHL PBP'!$A:$L,10,FALSE))</f>
        <v>8.8194444444444464E-2</v>
      </c>
      <c r="D140" t="str">
        <f>IF($A140&gt;$A$1,"",VLOOKUP($A140,'NHL PBP'!$A:$L,11,FALSE))</f>
        <v>SHOT</v>
      </c>
      <c r="E140" t="str">
        <f>IF(AND(EXACT(D140,"FAC"),NOT(EXACT(MID(F140,9,3),"Neu"))),IF(OR(AND(EXACT(MID(F140,9,3),"Off"),EXACT(LEFT(F140,3),UPPER('Entry data'!$C$2))),AND(EXACT(MID(F140,9,3),"Def"),NOT(EXACT(LEFT(F140,3),UPPER('Entry data'!$C$2))))),"DZF","OZF"),"")</f>
        <v/>
      </c>
      <c r="F140" t="str">
        <f>IF($A140&gt;$A$1,"",VLOOKUP($A140,'NHL PBP'!$A:$L,12,FALSE))</f>
        <v>NSH ONGOAL - #92 JOHANSEN, Wrist, Off. Zone, 25 ft.</v>
      </c>
      <c r="J140">
        <f>IF(EXACT('Entry data'!$C$3,"Road"),IF(ISBLANK(VLOOKUP(A140,'NHL PBP'!A:AH,21,FALSE)),3,IF(ISBLANK(VLOOKUP(A140,'NHL PBP'!A:AH,23,FALSE)),4,5)),IF(ISBLANK(VLOOKUP(A140,'NHL PBP'!A:AH,32,FALSE)),3,IF(ISBLANK(VLOOKUP(A140,'NHL PBP'!A:AH,34,FALSE)),4,5)))</f>
        <v>5</v>
      </c>
      <c r="K140">
        <f>IF(EXACT('Entry data'!$C$3,"Home"),IF(ISBLANK(VLOOKUP(A140,'NHL PBP'!A:AH,21,FALSE)),3,IF(ISBLANK(VLOOKUP(A140,'NHL PBP'!A:AH,23,FALSE)),4,5)),IF(ISBLANK(VLOOKUP(A140,'NHL PBP'!A:AH,32,FALSE)),3,IF(ISBLANK(VLOOKUP(A140,'NHL PBP'!A:AH,34,FALSE)),4,5)))</f>
        <v>5</v>
      </c>
      <c r="L140">
        <f>IF(OR(EXACT(D140,"C"),EXACT(D140,"P"),EXACT(D140,"D"),EXACT(D140,"T"),EXACT(D140,"X"),EXACT(E140,"DZF"),EXACT(E140,"OZF"),EXACT(D140,"N"),EXACT(D140,"F")),1,0)</f>
        <v>0</v>
      </c>
      <c r="M140" t="str">
        <f t="shared" si="8"/>
        <v/>
      </c>
      <c r="N140">
        <f t="shared" si="9"/>
        <v>4</v>
      </c>
      <c r="O140">
        <f t="shared" si="10"/>
        <v>0</v>
      </c>
      <c r="P140" t="str">
        <f t="shared" si="11"/>
        <v/>
      </c>
    </row>
    <row r="141" spans="1:16" x14ac:dyDescent="0.25">
      <c r="A141">
        <v>96</v>
      </c>
      <c r="B141">
        <f>IF($A141&gt;$A$1,"",VLOOKUP($A141,'NHL PBP'!$A:$L,8,FALSE))</f>
        <v>1</v>
      </c>
      <c r="C141">
        <f>IF($A141&gt;$A$1,"",IF(B141&gt;3,5/24,20/24)-VLOOKUP($A141,'NHL PBP'!$A:$L,10,FALSE))</f>
        <v>8.1944444444444375E-2</v>
      </c>
      <c r="D141" t="str">
        <f>IF($A141&gt;$A$1,"",VLOOKUP($A141,'NHL PBP'!$A:$L,11,FALSE))</f>
        <v>MISS</v>
      </c>
      <c r="E141" t="str">
        <f>IF(AND(EXACT(D141,"FAC"),NOT(EXACT(MID(F141,9,3),"Neu"))),IF(OR(AND(EXACT(MID(F141,9,3),"Off"),EXACT(LEFT(F141,3),UPPER('Entry data'!$C$2))),AND(EXACT(MID(F141,9,3),"Def"),NOT(EXACT(LEFT(F141,3),UPPER('Entry data'!$C$2))))),"DZF","OZF"),"")</f>
        <v/>
      </c>
      <c r="F141" t="str">
        <f>IF($A141&gt;$A$1,"",VLOOKUP($A141,'NHL PBP'!$A:$L,12,FALSE))</f>
        <v>NSH #92 JOHANSEN, Wrist, Over Net, Off. Zone, 28 ft.</v>
      </c>
      <c r="J141">
        <f>IF(EXACT('Entry data'!$C$3,"Road"),IF(ISBLANK(VLOOKUP(A141,'NHL PBP'!A:AH,21,FALSE)),3,IF(ISBLANK(VLOOKUP(A141,'NHL PBP'!A:AH,23,FALSE)),4,5)),IF(ISBLANK(VLOOKUP(A141,'NHL PBP'!A:AH,32,FALSE)),3,IF(ISBLANK(VLOOKUP(A141,'NHL PBP'!A:AH,34,FALSE)),4,5)))</f>
        <v>5</v>
      </c>
      <c r="K141">
        <f>IF(EXACT('Entry data'!$C$3,"Home"),IF(ISBLANK(VLOOKUP(A141,'NHL PBP'!A:AH,21,FALSE)),3,IF(ISBLANK(VLOOKUP(A141,'NHL PBP'!A:AH,23,FALSE)),4,5)),IF(ISBLANK(VLOOKUP(A141,'NHL PBP'!A:AH,32,FALSE)),3,IF(ISBLANK(VLOOKUP(A141,'NHL PBP'!A:AH,34,FALSE)),4,5)))</f>
        <v>5</v>
      </c>
      <c r="L141">
        <f>IF(OR(EXACT(D141,"C"),EXACT(D141,"P"),EXACT(D141,"D"),EXACT(D141,"T"),EXACT(D141,"X"),EXACT(E141,"DZF"),EXACT(E141,"OZF"),EXACT(D141,"N"),EXACT(D141,"F")),1,0)</f>
        <v>0</v>
      </c>
      <c r="M141" t="str">
        <f t="shared" si="8"/>
        <v/>
      </c>
      <c r="N141">
        <f t="shared" si="9"/>
        <v>3</v>
      </c>
      <c r="O141">
        <f t="shared" si="10"/>
        <v>0</v>
      </c>
      <c r="P141" t="str">
        <f t="shared" si="11"/>
        <v/>
      </c>
    </row>
    <row r="142" spans="1:16" x14ac:dyDescent="0.25">
      <c r="A142">
        <v>97</v>
      </c>
      <c r="B142">
        <f>IF($A142&gt;$A$1,"",VLOOKUP($A142,'NHL PBP'!$A:$L,8,FALSE))</f>
        <v>1</v>
      </c>
      <c r="C142">
        <f>IF($A142&gt;$A$1,"",IF(B142&gt;3,5/24,20/24)-VLOOKUP($A142,'NHL PBP'!$A:$L,10,FALSE))</f>
        <v>6.8055555555555536E-2</v>
      </c>
      <c r="D142" t="str">
        <f>IF($A142&gt;$A$1,"",VLOOKUP($A142,'NHL PBP'!$A:$L,11,FALSE))</f>
        <v>GIVE</v>
      </c>
      <c r="E142" t="str">
        <f>IF(AND(EXACT(D142,"FAC"),NOT(EXACT(MID(F142,9,3),"Neu"))),IF(OR(AND(EXACT(MID(F142,9,3),"Off"),EXACT(LEFT(F142,3),UPPER('Entry data'!$C$2))),AND(EXACT(MID(F142,9,3),"Def"),NOT(EXACT(LEFT(F142,3),UPPER('Entry data'!$C$2))))),"DZF","OZF"),"")</f>
        <v/>
      </c>
      <c r="F142" t="str">
        <f>IF($A142&gt;$A$1,"",VLOOKUP($A142,'NHL PBP'!$A:$L,12,FALSE))</f>
        <v>DET GIVEAWAY - #65 DEKEYSER, Def. Zone</v>
      </c>
      <c r="J142">
        <f>IF(EXACT('Entry data'!$C$3,"Road"),IF(ISBLANK(VLOOKUP(A142,'NHL PBP'!A:AH,21,FALSE)),3,IF(ISBLANK(VLOOKUP(A142,'NHL PBP'!A:AH,23,FALSE)),4,5)),IF(ISBLANK(VLOOKUP(A142,'NHL PBP'!A:AH,32,FALSE)),3,IF(ISBLANK(VLOOKUP(A142,'NHL PBP'!A:AH,34,FALSE)),4,5)))</f>
        <v>5</v>
      </c>
      <c r="K142">
        <f>IF(EXACT('Entry data'!$C$3,"Home"),IF(ISBLANK(VLOOKUP(A142,'NHL PBP'!A:AH,21,FALSE)),3,IF(ISBLANK(VLOOKUP(A142,'NHL PBP'!A:AH,23,FALSE)),4,5)),IF(ISBLANK(VLOOKUP(A142,'NHL PBP'!A:AH,32,FALSE)),3,IF(ISBLANK(VLOOKUP(A142,'NHL PBP'!A:AH,34,FALSE)),4,5)))</f>
        <v>5</v>
      </c>
      <c r="L142">
        <f>IF(OR(EXACT(D142,"C"),EXACT(D142,"P"),EXACT(D142,"D"),EXACT(D142,"T"),EXACT(D142,"X"),EXACT(E142,"DZF"),EXACT(E142,"OZF"),EXACT(D142,"N"),EXACT(D142,"F")),1,0)</f>
        <v>0</v>
      </c>
      <c r="M142" t="str">
        <f t="shared" si="8"/>
        <v/>
      </c>
      <c r="N142">
        <f t="shared" si="9"/>
        <v>2</v>
      </c>
      <c r="O142">
        <f t="shared" si="10"/>
        <v>0</v>
      </c>
      <c r="P142" t="str">
        <f t="shared" si="11"/>
        <v/>
      </c>
    </row>
    <row r="143" spans="1:16" x14ac:dyDescent="0.25">
      <c r="A143">
        <v>98</v>
      </c>
      <c r="B143">
        <f>IF($A143&gt;$A$1,"",VLOOKUP($A143,'NHL PBP'!$A:$L,8,FALSE))</f>
        <v>1</v>
      </c>
      <c r="C143">
        <f>IF($A143&gt;$A$1,"",IF(B143&gt;3,5/24,20/24)-VLOOKUP($A143,'NHL PBP'!$A:$L,10,FALSE))</f>
        <v>6.7361111111111205E-2</v>
      </c>
      <c r="D143" t="str">
        <f>IF($A143&gt;$A$1,"",VLOOKUP($A143,'NHL PBP'!$A:$L,11,FALSE))</f>
        <v>SHOT</v>
      </c>
      <c r="E143" t="str">
        <f>IF(AND(EXACT(D143,"FAC"),NOT(EXACT(MID(F143,9,3),"Neu"))),IF(OR(AND(EXACT(MID(F143,9,3),"Off"),EXACT(LEFT(F143,3),UPPER('Entry data'!$C$2))),AND(EXACT(MID(F143,9,3),"Def"),NOT(EXACT(LEFT(F143,3),UPPER('Entry data'!$C$2))))),"DZF","OZF"),"")</f>
        <v/>
      </c>
      <c r="F143" t="str">
        <f>IF($A143&gt;$A$1,"",VLOOKUP($A143,'NHL PBP'!$A:$L,12,FALSE))</f>
        <v>NSH ONGOAL - #19 JARNKROK, Wrist, Off. Zone, 6 ft.</v>
      </c>
      <c r="J143">
        <f>IF(EXACT('Entry data'!$C$3,"Road"),IF(ISBLANK(VLOOKUP(A143,'NHL PBP'!A:AH,21,FALSE)),3,IF(ISBLANK(VLOOKUP(A143,'NHL PBP'!A:AH,23,FALSE)),4,5)),IF(ISBLANK(VLOOKUP(A143,'NHL PBP'!A:AH,32,FALSE)),3,IF(ISBLANK(VLOOKUP(A143,'NHL PBP'!A:AH,34,FALSE)),4,5)))</f>
        <v>5</v>
      </c>
      <c r="K143">
        <f>IF(EXACT('Entry data'!$C$3,"Home"),IF(ISBLANK(VLOOKUP(A143,'NHL PBP'!A:AH,21,FALSE)),3,IF(ISBLANK(VLOOKUP(A143,'NHL PBP'!A:AH,23,FALSE)),4,5)),IF(ISBLANK(VLOOKUP(A143,'NHL PBP'!A:AH,32,FALSE)),3,IF(ISBLANK(VLOOKUP(A143,'NHL PBP'!A:AH,34,FALSE)),4,5)))</f>
        <v>5</v>
      </c>
      <c r="L143">
        <f>IF(OR(EXACT(D143,"C"),EXACT(D143,"P"),EXACT(D143,"D"),EXACT(D143,"T"),EXACT(D143,"X"),EXACT(E143,"DZF"),EXACT(E143,"OZF"),EXACT(D143,"N"),EXACT(D143,"F")),1,0)</f>
        <v>0</v>
      </c>
      <c r="M143" t="str">
        <f t="shared" si="8"/>
        <v/>
      </c>
      <c r="N143">
        <f t="shared" si="9"/>
        <v>2</v>
      </c>
      <c r="O143">
        <f t="shared" si="10"/>
        <v>0</v>
      </c>
      <c r="P143" t="str">
        <f t="shared" si="11"/>
        <v/>
      </c>
    </row>
    <row r="144" spans="1:16" x14ac:dyDescent="0.25">
      <c r="A144">
        <v>99</v>
      </c>
      <c r="B144">
        <f>IF($A144&gt;$A$1,"",VLOOKUP($A144,'NHL PBP'!$A:$L,8,FALSE))</f>
        <v>1</v>
      </c>
      <c r="C144">
        <f>IF($A144&gt;$A$1,"",IF(B144&gt;3,5/24,20/24)-VLOOKUP($A144,'NHL PBP'!$A:$L,10,FALSE))</f>
        <v>5.9722222222222232E-2</v>
      </c>
      <c r="D144" t="str">
        <f>IF($A144&gt;$A$1,"",VLOOKUP($A144,'NHL PBP'!$A:$L,11,FALSE))</f>
        <v>SHOT</v>
      </c>
      <c r="E144" t="str">
        <f>IF(AND(EXACT(D144,"FAC"),NOT(EXACT(MID(F144,9,3),"Neu"))),IF(OR(AND(EXACT(MID(F144,9,3),"Off"),EXACT(LEFT(F144,3),UPPER('Entry data'!$C$2))),AND(EXACT(MID(F144,9,3),"Def"),NOT(EXACT(LEFT(F144,3),UPPER('Entry data'!$C$2))))),"DZF","OZF"),"")</f>
        <v/>
      </c>
      <c r="F144" t="str">
        <f>IF($A144&gt;$A$1,"",VLOOKUP($A144,'NHL PBP'!$A:$L,12,FALSE))</f>
        <v>NSH ONGOAL - #18 NEAL, Snap, Off. Zone, 20 ft.</v>
      </c>
      <c r="J144">
        <f>IF(EXACT('Entry data'!$C$3,"Road"),IF(ISBLANK(VLOOKUP(A144,'NHL PBP'!A:AH,21,FALSE)),3,IF(ISBLANK(VLOOKUP(A144,'NHL PBP'!A:AH,23,FALSE)),4,5)),IF(ISBLANK(VLOOKUP(A144,'NHL PBP'!A:AH,32,FALSE)),3,IF(ISBLANK(VLOOKUP(A144,'NHL PBP'!A:AH,34,FALSE)),4,5)))</f>
        <v>5</v>
      </c>
      <c r="K144">
        <f>IF(EXACT('Entry data'!$C$3,"Home"),IF(ISBLANK(VLOOKUP(A144,'NHL PBP'!A:AH,21,FALSE)),3,IF(ISBLANK(VLOOKUP(A144,'NHL PBP'!A:AH,23,FALSE)),4,5)),IF(ISBLANK(VLOOKUP(A144,'NHL PBP'!A:AH,32,FALSE)),3,IF(ISBLANK(VLOOKUP(A144,'NHL PBP'!A:AH,34,FALSE)),4,5)))</f>
        <v>5</v>
      </c>
      <c r="L144">
        <f>IF(OR(EXACT(D144,"C"),EXACT(D144,"P"),EXACT(D144,"D"),EXACT(D144,"T"),EXACT(D144,"X"),EXACT(E144,"DZF"),EXACT(E144,"OZF"),EXACT(D144,"N"),EXACT(D144,"F")),1,0)</f>
        <v>0</v>
      </c>
      <c r="M144" t="str">
        <f t="shared" si="8"/>
        <v/>
      </c>
      <c r="N144">
        <f t="shared" si="9"/>
        <v>1</v>
      </c>
      <c r="O144">
        <f t="shared" si="10"/>
        <v>0</v>
      </c>
      <c r="P144" t="str">
        <f t="shared" si="11"/>
        <v/>
      </c>
    </row>
    <row r="145" spans="1:16" x14ac:dyDescent="0.25">
      <c r="A145">
        <v>45</v>
      </c>
      <c r="B145">
        <f>IF(ISBLANK(VLOOKUP($A145,'Entry data'!$A:$K,2,FALSE)),"",VLOOKUP($A145,'Entry data'!$A:$K,2,FALSE))</f>
        <v>1</v>
      </c>
      <c r="C145">
        <f>IF(ISBLANK(VLOOKUP($A145,'Entry data'!$A:$K,3,FALSE)),"",VLOOKUP($A145,'Entry data'!$A:$K,3,FALSE))</f>
        <v>4.4444444444444446E-2</v>
      </c>
      <c r="D145" t="str">
        <f>IF(ISBLANK(VLOOKUP($A145,'Entry data'!$A:$K,4,FALSE)),"",VLOOKUP($A145,'Entry data'!$A:$K,4,FALSE))</f>
        <v>C</v>
      </c>
      <c r="E145" t="str">
        <f>IF(ISBLANK(VLOOKUP($A145,'Entry data'!$A:$K,5,FALSE)),"",VLOOKUP($A145,'Entry data'!$A:$K,5,FALSE))</f>
        <v>8DET</v>
      </c>
      <c r="F145" t="str">
        <f>IF(ISBLANK(VLOOKUP($A145,'Entry data'!$A:$K,6,FALSE)),"",VLOOKUP($A145,'Entry data'!$A:$K,6,FALSE))</f>
        <v>4NSH</v>
      </c>
      <c r="G145" t="str">
        <f>IF(ISBLANK(VLOOKUP($A145,'Entry data'!$A:$K,7,FALSE)),"",VLOOKUP($A145,'Entry data'!$A:$K,7,FALSE))</f>
        <v>N</v>
      </c>
      <c r="H145" t="str">
        <f>IF(ISBLANK(VLOOKUP($A145,'Entry data'!$A:$K,8,FALSE)),"",VLOOKUP($A145,'Entry data'!$A:$K,8,FALSE))</f>
        <v>C</v>
      </c>
      <c r="I145" t="str">
        <f>IF(ISBLANK(VLOOKUP($A145,'Entry data'!$A:$K,9,FALSE)),"",VLOOKUP($A145,'Entry data'!$A:$K,9,FALSE))</f>
        <v>N</v>
      </c>
      <c r="J145">
        <f>IF(ISBLANK(VLOOKUP($A145,'Entry data'!$A:$K,10,FALSE)),"",VLOOKUP($A145,'Entry data'!$A:$K,10,FALSE))</f>
        <v>5</v>
      </c>
      <c r="K145">
        <f>IF(ISBLANK(VLOOKUP($A145,'Entry data'!$A:$K,11,FALSE)),"",VLOOKUP($A145,'Entry data'!$A:$K,11,FALSE))</f>
        <v>5</v>
      </c>
      <c r="L145">
        <f>IF(OR(EXACT(D145,"C"),EXACT(D145,"P"),EXACT(D145,"D"),EXACT(D145,"T"),EXACT(D145,"X"),EXACT(E145,"DZF"),EXACT(E145,"OZF"),EXACT(D145,"N"),EXACT(D145,"F")),1,0)</f>
        <v>1</v>
      </c>
      <c r="M145" t="str">
        <f t="shared" si="8"/>
        <v>8DET</v>
      </c>
      <c r="N145">
        <f t="shared" si="9"/>
        <v>0</v>
      </c>
      <c r="O145">
        <f t="shared" si="10"/>
        <v>0</v>
      </c>
      <c r="P145" t="str">
        <f t="shared" si="11"/>
        <v/>
      </c>
    </row>
    <row r="146" spans="1:16" x14ac:dyDescent="0.25">
      <c r="A146">
        <v>46</v>
      </c>
      <c r="B146">
        <f>IF(ISBLANK(VLOOKUP($A146,'Entry data'!$A:$K,2,FALSE)),"",VLOOKUP($A146,'Entry data'!$A:$K,2,FALSE))</f>
        <v>1</v>
      </c>
      <c r="C146">
        <f>IF(ISBLANK(VLOOKUP($A146,'Entry data'!$A:$K,3,FALSE)),"",VLOOKUP($A146,'Entry data'!$A:$K,3,FALSE))</f>
        <v>3.888888888888889E-2</v>
      </c>
      <c r="D146" t="str">
        <f>IF(ISBLANK(VLOOKUP($A146,'Entry data'!$A:$K,4,FALSE)),"",VLOOKUP($A146,'Entry data'!$A:$K,4,FALSE))</f>
        <v>F</v>
      </c>
      <c r="E146" t="str">
        <f>IF(ISBLANK(VLOOKUP($A146,'Entry data'!$A:$K,5,FALSE)),"",VLOOKUP($A146,'Entry data'!$A:$K,5,FALSE))</f>
        <v>63NSH</v>
      </c>
      <c r="F146" t="str">
        <f>IF(ISBLANK(VLOOKUP($A146,'Entry data'!$A:$K,6,FALSE)),"",VLOOKUP($A146,'Entry data'!$A:$K,6,FALSE))</f>
        <v>53DET</v>
      </c>
      <c r="G146" t="str">
        <f>IF(ISBLANK(VLOOKUP($A146,'Entry data'!$A:$K,7,FALSE)),"",VLOOKUP($A146,'Entry data'!$A:$K,7,FALSE))</f>
        <v/>
      </c>
      <c r="H146" t="str">
        <f>IF(ISBLANK(VLOOKUP($A146,'Entry data'!$A:$K,8,FALSE)),"",VLOOKUP($A146,'Entry data'!$A:$K,8,FALSE))</f>
        <v>L</v>
      </c>
      <c r="I146" t="str">
        <f>IF(ISBLANK(VLOOKUP($A146,'Entry data'!$A:$K,9,FALSE)),"",VLOOKUP($A146,'Entry data'!$A:$K,9,FALSE))</f>
        <v>N</v>
      </c>
      <c r="J146">
        <f>IF(ISBLANK(VLOOKUP($A146,'Entry data'!$A:$K,10,FALSE)),"",VLOOKUP($A146,'Entry data'!$A:$K,10,FALSE))</f>
        <v>5</v>
      </c>
      <c r="K146">
        <f>IF(ISBLANK(VLOOKUP($A146,'Entry data'!$A:$K,11,FALSE)),"",VLOOKUP($A146,'Entry data'!$A:$K,11,FALSE))</f>
        <v>5</v>
      </c>
      <c r="L146">
        <f>IF(OR(EXACT(D146,"C"),EXACT(D146,"P"),EXACT(D146,"D"),EXACT(D146,"T"),EXACT(D146,"X"),EXACT(E146,"DZF"),EXACT(E146,"OZF"),EXACT(D146,"N"),EXACT(D146,"F")),1,0)</f>
        <v>1</v>
      </c>
      <c r="M146" t="str">
        <f t="shared" si="8"/>
        <v/>
      </c>
      <c r="N146">
        <f t="shared" si="9"/>
        <v>0</v>
      </c>
      <c r="O146">
        <f t="shared" si="10"/>
        <v>0</v>
      </c>
      <c r="P146" t="str">
        <f t="shared" si="11"/>
        <v>63NSH</v>
      </c>
    </row>
    <row r="147" spans="1:16" x14ac:dyDescent="0.25">
      <c r="A147">
        <v>47</v>
      </c>
      <c r="B147">
        <f>IF(ISBLANK(VLOOKUP($A147,'Entry data'!$A:$K,2,FALSE)),"",VLOOKUP($A147,'Entry data'!$A:$K,2,FALSE))</f>
        <v>1</v>
      </c>
      <c r="C147">
        <f>IF(ISBLANK(VLOOKUP($A147,'Entry data'!$A:$K,3,FALSE)),"",VLOOKUP($A147,'Entry data'!$A:$K,3,FALSE))</f>
        <v>3.6805555555555557E-2</v>
      </c>
      <c r="D147" t="str">
        <f>IF(ISBLANK(VLOOKUP($A147,'Entry data'!$A:$K,4,FALSE)),"",VLOOKUP($A147,'Entry data'!$A:$K,4,FALSE))</f>
        <v>D</v>
      </c>
      <c r="E147" t="str">
        <f>IF(ISBLANK(VLOOKUP($A147,'Entry data'!$A:$K,5,FALSE)),"",VLOOKUP($A147,'Entry data'!$A:$K,5,FALSE))</f>
        <v>40DET</v>
      </c>
      <c r="F147" t="str">
        <f>IF(ISBLANK(VLOOKUP($A147,'Entry data'!$A:$K,6,FALSE)),"",VLOOKUP($A147,'Entry data'!$A:$K,6,FALSE))</f>
        <v>4NSH</v>
      </c>
      <c r="G147" t="str">
        <f>IF(ISBLANK(VLOOKUP($A147,'Entry data'!$A:$K,7,FALSE)),"",VLOOKUP($A147,'Entry data'!$A:$K,7,FALSE))</f>
        <v/>
      </c>
      <c r="H147" t="str">
        <f>IF(ISBLANK(VLOOKUP($A147,'Entry data'!$A:$K,8,FALSE)),"",VLOOKUP($A147,'Entry data'!$A:$K,8,FALSE))</f>
        <v>L</v>
      </c>
      <c r="I147" t="str">
        <f>IF(ISBLANK(VLOOKUP($A147,'Entry data'!$A:$K,9,FALSE)),"",VLOOKUP($A147,'Entry data'!$A:$K,9,FALSE))</f>
        <v>N</v>
      </c>
      <c r="J147">
        <f>IF(ISBLANK(VLOOKUP($A147,'Entry data'!$A:$K,10,FALSE)),"",VLOOKUP($A147,'Entry data'!$A:$K,10,FALSE))</f>
        <v>5</v>
      </c>
      <c r="K147">
        <f>IF(ISBLANK(VLOOKUP($A147,'Entry data'!$A:$K,11,FALSE)),"",VLOOKUP($A147,'Entry data'!$A:$K,11,FALSE))</f>
        <v>5</v>
      </c>
      <c r="L147">
        <f>IF(OR(EXACT(D147,"C"),EXACT(D147,"P"),EXACT(D147,"D"),EXACT(D147,"T"),EXACT(D147,"X"),EXACT(E147,"DZF"),EXACT(E147,"OZF"),EXACT(D147,"N"),EXACT(D147,"F")),1,0)</f>
        <v>1</v>
      </c>
      <c r="M147" t="str">
        <f t="shared" si="8"/>
        <v/>
      </c>
      <c r="N147">
        <f t="shared" si="9"/>
        <v>1</v>
      </c>
      <c r="O147">
        <f t="shared" si="10"/>
        <v>0</v>
      </c>
      <c r="P147" t="str">
        <f t="shared" si="11"/>
        <v/>
      </c>
    </row>
    <row r="148" spans="1:16" x14ac:dyDescent="0.25">
      <c r="A148">
        <v>100</v>
      </c>
      <c r="B148">
        <f>IF($A148&gt;$A$1,"",VLOOKUP($A148,'NHL PBP'!$A:$L,8,FALSE))</f>
        <v>1</v>
      </c>
      <c r="C148">
        <f>IF($A148&gt;$A$1,"",IF(B148&gt;3,5/24,20/24)-VLOOKUP($A148,'NHL PBP'!$A:$L,10,FALSE))</f>
        <v>2.7777777777777901E-2</v>
      </c>
      <c r="D148" t="str">
        <f>IF($A148&gt;$A$1,"",VLOOKUP($A148,'NHL PBP'!$A:$L,11,FALSE))</f>
        <v>BLOCK</v>
      </c>
      <c r="E148" t="str">
        <f>IF(AND(EXACT(D148,"FAC"),NOT(EXACT(MID(F148,9,3),"Neu"))),IF(OR(AND(EXACT(MID(F148,9,3),"Off"),EXACT(LEFT(F148,3),UPPER('Entry data'!$C$2))),AND(EXACT(MID(F148,9,3),"Def"),NOT(EXACT(LEFT(F148,3),UPPER('Entry data'!$C$2))))),"DZF","OZF"),"")</f>
        <v/>
      </c>
      <c r="F148" t="str">
        <f>IF($A148&gt;$A$1,"",VLOOKUP($A148,'NHL PBP'!$A:$L,12,FALSE))</f>
        <v>DET #15 SHEAHAN BLOCKED BY NSH #14 EKHOLM, Wrist, Def. Zone</v>
      </c>
      <c r="J148">
        <f>IF(EXACT('Entry data'!$C$3,"Road"),IF(ISBLANK(VLOOKUP(A148,'NHL PBP'!A:AH,21,FALSE)),3,IF(ISBLANK(VLOOKUP(A148,'NHL PBP'!A:AH,23,FALSE)),4,5)),IF(ISBLANK(VLOOKUP(A148,'NHL PBP'!A:AH,32,FALSE)),3,IF(ISBLANK(VLOOKUP(A148,'NHL PBP'!A:AH,34,FALSE)),4,5)))</f>
        <v>5</v>
      </c>
      <c r="K148">
        <f>IF(EXACT('Entry data'!$C$3,"Home"),IF(ISBLANK(VLOOKUP(A148,'NHL PBP'!A:AH,21,FALSE)),3,IF(ISBLANK(VLOOKUP(A148,'NHL PBP'!A:AH,23,FALSE)),4,5)),IF(ISBLANK(VLOOKUP(A148,'NHL PBP'!A:AH,32,FALSE)),3,IF(ISBLANK(VLOOKUP(A148,'NHL PBP'!A:AH,34,FALSE)),4,5)))</f>
        <v>5</v>
      </c>
      <c r="L148">
        <f>IF(OR(EXACT(D148,"C"),EXACT(D148,"P"),EXACT(D148,"D"),EXACT(D148,"T"),EXACT(D148,"X"),EXACT(E148,"DZF"),EXACT(E148,"OZF"),EXACT(D148,"N"),EXACT(D148,"F")),1,0)</f>
        <v>0</v>
      </c>
      <c r="M148" t="str">
        <f t="shared" si="8"/>
        <v/>
      </c>
      <c r="N148">
        <f t="shared" si="9"/>
        <v>1</v>
      </c>
      <c r="O148">
        <f t="shared" si="10"/>
        <v>0</v>
      </c>
      <c r="P148" t="str">
        <f t="shared" si="11"/>
        <v/>
      </c>
    </row>
    <row r="149" spans="1:16" x14ac:dyDescent="0.25">
      <c r="A149">
        <v>101</v>
      </c>
      <c r="B149">
        <f>IF($A149&gt;$A$1,"",VLOOKUP($A149,'NHL PBP'!$A:$L,8,FALSE))</f>
        <v>1</v>
      </c>
      <c r="C149">
        <f>IF($A149&gt;$A$1,"",IF(B149&gt;3,5/24,20/24)-VLOOKUP($A149,'NHL PBP'!$A:$L,10,FALSE))</f>
        <v>2.6388888888888906E-2</v>
      </c>
      <c r="D149" t="str">
        <f>IF($A149&gt;$A$1,"",VLOOKUP($A149,'NHL PBP'!$A:$L,11,FALSE))</f>
        <v>HIT</v>
      </c>
      <c r="E149" t="str">
        <f>IF(AND(EXACT(D149,"FAC"),NOT(EXACT(MID(F149,9,3),"Neu"))),IF(OR(AND(EXACT(MID(F149,9,3),"Off"),EXACT(LEFT(F149,3),UPPER('Entry data'!$C$2))),AND(EXACT(MID(F149,9,3),"Def"),NOT(EXACT(LEFT(F149,3),UPPER('Entry data'!$C$2))))),"DZF","OZF"),"")</f>
        <v/>
      </c>
      <c r="F149" t="str">
        <f>IF($A149&gt;$A$1,"",VLOOKUP($A149,'NHL PBP'!$A:$L,12,FALSE))</f>
        <v>NSH #9 FORSBERG HIT DET #53 MARCHENKO, Def. Zone</v>
      </c>
      <c r="J149">
        <f>IF(EXACT('Entry data'!$C$3,"Road"),IF(ISBLANK(VLOOKUP(A149,'NHL PBP'!A:AH,21,FALSE)),3,IF(ISBLANK(VLOOKUP(A149,'NHL PBP'!A:AH,23,FALSE)),4,5)),IF(ISBLANK(VLOOKUP(A149,'NHL PBP'!A:AH,32,FALSE)),3,IF(ISBLANK(VLOOKUP(A149,'NHL PBP'!A:AH,34,FALSE)),4,5)))</f>
        <v>5</v>
      </c>
      <c r="K149">
        <f>IF(EXACT('Entry data'!$C$3,"Home"),IF(ISBLANK(VLOOKUP(A149,'NHL PBP'!A:AH,21,FALSE)),3,IF(ISBLANK(VLOOKUP(A149,'NHL PBP'!A:AH,23,FALSE)),4,5)),IF(ISBLANK(VLOOKUP(A149,'NHL PBP'!A:AH,32,FALSE)),3,IF(ISBLANK(VLOOKUP(A149,'NHL PBP'!A:AH,34,FALSE)),4,5)))</f>
        <v>5</v>
      </c>
      <c r="L149">
        <f>IF(OR(EXACT(D149,"C"),EXACT(D149,"P"),EXACT(D149,"D"),EXACT(D149,"T"),EXACT(D149,"X"),EXACT(E149,"DZF"),EXACT(E149,"OZF"),EXACT(D149,"N"),EXACT(D149,"F")),1,0)</f>
        <v>0</v>
      </c>
      <c r="M149" t="str">
        <f t="shared" si="8"/>
        <v/>
      </c>
      <c r="N149">
        <f t="shared" si="9"/>
        <v>1</v>
      </c>
      <c r="O149">
        <f t="shared" si="10"/>
        <v>0</v>
      </c>
      <c r="P149" t="str">
        <f t="shared" si="11"/>
        <v/>
      </c>
    </row>
    <row r="150" spans="1:16" x14ac:dyDescent="0.25">
      <c r="A150">
        <v>102</v>
      </c>
      <c r="B150">
        <f>IF($A150&gt;$A$1,"",VLOOKUP($A150,'NHL PBP'!$A:$L,8,FALSE))</f>
        <v>1</v>
      </c>
      <c r="C150">
        <f>IF($A150&gt;$A$1,"",IF(B150&gt;3,5/24,20/24)-VLOOKUP($A150,'NHL PBP'!$A:$L,10,FALSE))</f>
        <v>2.2222222222222365E-2</v>
      </c>
      <c r="D150" t="str">
        <f>IF($A150&gt;$A$1,"",VLOOKUP($A150,'NHL PBP'!$A:$L,11,FALSE))</f>
        <v>MISS</v>
      </c>
      <c r="E150" t="str">
        <f>IF(AND(EXACT(D150,"FAC"),NOT(EXACT(MID(F150,9,3),"Neu"))),IF(OR(AND(EXACT(MID(F150,9,3),"Off"),EXACT(LEFT(F150,3),UPPER('Entry data'!$C$2))),AND(EXACT(MID(F150,9,3),"Def"),NOT(EXACT(LEFT(F150,3),UPPER('Entry data'!$C$2))))),"DZF","OZF"),"")</f>
        <v/>
      </c>
      <c r="F150" t="str">
        <f>IF($A150&gt;$A$1,"",VLOOKUP($A150,'NHL PBP'!$A:$L,12,FALSE))</f>
        <v>DET #21 TATAR, Wrist, Wide of Net, Off. Zone, 28 ft.</v>
      </c>
      <c r="J150">
        <f>IF(EXACT('Entry data'!$C$3,"Road"),IF(ISBLANK(VLOOKUP(A150,'NHL PBP'!A:AH,21,FALSE)),3,IF(ISBLANK(VLOOKUP(A150,'NHL PBP'!A:AH,23,FALSE)),4,5)),IF(ISBLANK(VLOOKUP(A150,'NHL PBP'!A:AH,32,FALSE)),3,IF(ISBLANK(VLOOKUP(A150,'NHL PBP'!A:AH,34,FALSE)),4,5)))</f>
        <v>5</v>
      </c>
      <c r="K150">
        <f>IF(EXACT('Entry data'!$C$3,"Home"),IF(ISBLANK(VLOOKUP(A150,'NHL PBP'!A:AH,21,FALSE)),3,IF(ISBLANK(VLOOKUP(A150,'NHL PBP'!A:AH,23,FALSE)),4,5)),IF(ISBLANK(VLOOKUP(A150,'NHL PBP'!A:AH,32,FALSE)),3,IF(ISBLANK(VLOOKUP(A150,'NHL PBP'!A:AH,34,FALSE)),4,5)))</f>
        <v>5</v>
      </c>
      <c r="L150">
        <f>IF(OR(EXACT(D150,"C"),EXACT(D150,"P"),EXACT(D150,"D"),EXACT(D150,"T"),EXACT(D150,"X"),EXACT(E150,"DZF"),EXACT(E150,"OZF"),EXACT(D150,"N"),EXACT(D150,"F")),1,0)</f>
        <v>0</v>
      </c>
      <c r="M150" t="str">
        <f t="shared" si="8"/>
        <v/>
      </c>
      <c r="N150">
        <f t="shared" si="9"/>
        <v>1</v>
      </c>
      <c r="O150">
        <f t="shared" si="10"/>
        <v>0</v>
      </c>
      <c r="P150" t="str">
        <f t="shared" si="11"/>
        <v/>
      </c>
    </row>
    <row r="151" spans="1:16" x14ac:dyDescent="0.25">
      <c r="A151">
        <v>48</v>
      </c>
      <c r="B151">
        <f>IF(ISBLANK(VLOOKUP($A151,'Entry data'!$A:$K,2,FALSE)),"",VLOOKUP($A151,'Entry data'!$A:$K,2,FALSE))</f>
        <v>1</v>
      </c>
      <c r="C151">
        <f>IF(ISBLANK(VLOOKUP($A151,'Entry data'!$A:$K,3,FALSE)),"",VLOOKUP($A151,'Entry data'!$A:$K,3,FALSE))</f>
        <v>1.6666666666666666E-2</v>
      </c>
      <c r="D151" t="str">
        <f>IF(ISBLANK(VLOOKUP($A151,'Entry data'!$A:$K,4,FALSE)),"",VLOOKUP($A151,'Entry data'!$A:$K,4,FALSE))</f>
        <v>D</v>
      </c>
      <c r="E151" t="str">
        <f>IF(ISBLANK(VLOOKUP($A151,'Entry data'!$A:$K,5,FALSE)),"",VLOOKUP($A151,'Entry data'!$A:$K,5,FALSE))</f>
        <v>15NSH</v>
      </c>
      <c r="F151" t="str">
        <f>IF(ISBLANK(VLOOKUP($A151,'Entry data'!$A:$K,6,FALSE)),"",VLOOKUP($A151,'Entry data'!$A:$K,6,FALSE))</f>
        <v>71DET</v>
      </c>
      <c r="G151" t="str">
        <f>IF(ISBLANK(VLOOKUP($A151,'Entry data'!$A:$K,7,FALSE)),"",VLOOKUP($A151,'Entry data'!$A:$K,7,FALSE))</f>
        <v/>
      </c>
      <c r="H151" t="str">
        <f>IF(ISBLANK(VLOOKUP($A151,'Entry data'!$A:$K,8,FALSE)),"",VLOOKUP($A151,'Entry data'!$A:$K,8,FALSE))</f>
        <v>C</v>
      </c>
      <c r="I151" t="str">
        <f>IF(ISBLANK(VLOOKUP($A151,'Entry data'!$A:$K,9,FALSE)),"",VLOOKUP($A151,'Entry data'!$A:$K,9,FALSE))</f>
        <v>N</v>
      </c>
      <c r="J151">
        <f>IF(ISBLANK(VLOOKUP($A151,'Entry data'!$A:$K,10,FALSE)),"",VLOOKUP($A151,'Entry data'!$A:$K,10,FALSE))</f>
        <v>5</v>
      </c>
      <c r="K151">
        <f>IF(ISBLANK(VLOOKUP($A151,'Entry data'!$A:$K,11,FALSE)),"",VLOOKUP($A151,'Entry data'!$A:$K,11,FALSE))</f>
        <v>5</v>
      </c>
      <c r="L151">
        <f>IF(OR(EXACT(D151,"C"),EXACT(D151,"P"),EXACT(D151,"D"),EXACT(D151,"T"),EXACT(D151,"X"),EXACT(E151,"DZF"),EXACT(E151,"OZF"),EXACT(D151,"N"),EXACT(D151,"F")),1,0)</f>
        <v>1</v>
      </c>
      <c r="M151" t="str">
        <f t="shared" si="8"/>
        <v/>
      </c>
      <c r="N151">
        <f t="shared" si="9"/>
        <v>0</v>
      </c>
      <c r="O151">
        <f t="shared" si="10"/>
        <v>0</v>
      </c>
      <c r="P151" t="str">
        <f t="shared" si="11"/>
        <v/>
      </c>
    </row>
    <row r="152" spans="1:16" x14ac:dyDescent="0.25">
      <c r="A152">
        <v>49</v>
      </c>
      <c r="B152">
        <f>IF(ISBLANK(VLOOKUP($A152,'Entry data'!$A:$K,2,FALSE)),"",VLOOKUP($A152,'Entry data'!$A:$K,2,FALSE))</f>
        <v>1</v>
      </c>
      <c r="C152">
        <f>IF(ISBLANK(VLOOKUP($A152,'Entry data'!$A:$K,3,FALSE)),"",VLOOKUP($A152,'Entry data'!$A:$K,3,FALSE))</f>
        <v>9.0277777777777787E-3</v>
      </c>
      <c r="D152" t="str">
        <f>IF(ISBLANK(VLOOKUP($A152,'Entry data'!$A:$K,4,FALSE)),"",VLOOKUP($A152,'Entry data'!$A:$K,4,FALSE))</f>
        <v>D</v>
      </c>
      <c r="E152" t="str">
        <f>IF(ISBLANK(VLOOKUP($A152,'Entry data'!$A:$K,5,FALSE)),"",VLOOKUP($A152,'Entry data'!$A:$K,5,FALSE))</f>
        <v>12NSH</v>
      </c>
      <c r="F152" t="str">
        <f>IF(ISBLANK(VLOOKUP($A152,'Entry data'!$A:$K,6,FALSE)),"",VLOOKUP($A152,'Entry data'!$A:$K,6,FALSE))</f>
        <v>N</v>
      </c>
      <c r="G152" t="str">
        <f>IF(ISBLANK(VLOOKUP($A152,'Entry data'!$A:$K,7,FALSE)),"",VLOOKUP($A152,'Entry data'!$A:$K,7,FALSE))</f>
        <v/>
      </c>
      <c r="H152" t="str">
        <f>IF(ISBLANK(VLOOKUP($A152,'Entry data'!$A:$K,8,FALSE)),"",VLOOKUP($A152,'Entry data'!$A:$K,8,FALSE))</f>
        <v>R</v>
      </c>
      <c r="I152" t="str">
        <f>IF(ISBLANK(VLOOKUP($A152,'Entry data'!$A:$K,9,FALSE)),"",VLOOKUP($A152,'Entry data'!$A:$K,9,FALSE))</f>
        <v>N</v>
      </c>
      <c r="J152">
        <f>IF(ISBLANK(VLOOKUP($A152,'Entry data'!$A:$K,10,FALSE)),"",VLOOKUP($A152,'Entry data'!$A:$K,10,FALSE))</f>
        <v>5</v>
      </c>
      <c r="K152">
        <f>IF(ISBLANK(VLOOKUP($A152,'Entry data'!$A:$K,11,FALSE)),"",VLOOKUP($A152,'Entry data'!$A:$K,11,FALSE))</f>
        <v>5</v>
      </c>
      <c r="L152">
        <f>IF(OR(EXACT(D152,"C"),EXACT(D152,"P"),EXACT(D152,"D"),EXACT(D152,"T"),EXACT(D152,"X"),EXACT(E152,"DZF"),EXACT(E152,"OZF"),EXACT(D152,"N"),EXACT(D152,"F")),1,0)</f>
        <v>1</v>
      </c>
      <c r="M152" t="str">
        <f t="shared" si="8"/>
        <v/>
      </c>
      <c r="N152">
        <f t="shared" si="9"/>
        <v>0</v>
      </c>
      <c r="O152">
        <f t="shared" si="10"/>
        <v>0</v>
      </c>
      <c r="P152" t="str">
        <f t="shared" si="11"/>
        <v/>
      </c>
    </row>
    <row r="153" spans="1:16" x14ac:dyDescent="0.25">
      <c r="A153">
        <v>103</v>
      </c>
      <c r="B153">
        <f>IF($A153&gt;$A$1,"",VLOOKUP($A153,'NHL PBP'!$A:$L,8,FALSE))</f>
        <v>1</v>
      </c>
      <c r="C153">
        <f>IF($A153&gt;$A$1,"",IF(B153&gt;3,5/24,20/24)-VLOOKUP($A153,'NHL PBP'!$A:$L,10,FALSE))</f>
        <v>1.388888888888995E-3</v>
      </c>
      <c r="D153" t="str">
        <f>IF($A153&gt;$A$1,"",VLOOKUP($A153,'NHL PBP'!$A:$L,11,FALSE))</f>
        <v>HIT</v>
      </c>
      <c r="E153" t="str">
        <f>IF(AND(EXACT(D153,"FAC"),NOT(EXACT(MID(F153,9,3),"Neu"))),IF(OR(AND(EXACT(MID(F153,9,3),"Off"),EXACT(LEFT(F153,3),UPPER('Entry data'!$C$2))),AND(EXACT(MID(F153,9,3),"Def"),NOT(EXACT(LEFT(F153,3),UPPER('Entry data'!$C$2))))),"DZF","OZF"),"")</f>
        <v/>
      </c>
      <c r="F153" t="str">
        <f>IF($A153&gt;$A$1,"",VLOOKUP($A153,'NHL PBP'!$A:$L,12,FALSE))</f>
        <v>NSH #12 FISHER HIT DET #29 OTT, Neu. Zone</v>
      </c>
      <c r="J153">
        <f>IF(EXACT('Entry data'!$C$3,"Road"),IF(ISBLANK(VLOOKUP(A153,'NHL PBP'!A:AH,21,FALSE)),3,IF(ISBLANK(VLOOKUP(A153,'NHL PBP'!A:AH,23,FALSE)),4,5)),IF(ISBLANK(VLOOKUP(A153,'NHL PBP'!A:AH,32,FALSE)),3,IF(ISBLANK(VLOOKUP(A153,'NHL PBP'!A:AH,34,FALSE)),4,5)))</f>
        <v>5</v>
      </c>
      <c r="K153">
        <f>IF(EXACT('Entry data'!$C$3,"Home"),IF(ISBLANK(VLOOKUP(A153,'NHL PBP'!A:AH,21,FALSE)),3,IF(ISBLANK(VLOOKUP(A153,'NHL PBP'!A:AH,23,FALSE)),4,5)),IF(ISBLANK(VLOOKUP(A153,'NHL PBP'!A:AH,32,FALSE)),3,IF(ISBLANK(VLOOKUP(A153,'NHL PBP'!A:AH,34,FALSE)),4,5)))</f>
        <v>5</v>
      </c>
      <c r="L153">
        <f>IF(OR(EXACT(D153,"C"),EXACT(D153,"P"),EXACT(D153,"D"),EXACT(D153,"T"),EXACT(D153,"X"),EXACT(E153,"DZF"),EXACT(E153,"OZF"),EXACT(D153,"N"),EXACT(D153,"F")),1,0)</f>
        <v>0</v>
      </c>
      <c r="M153" t="str">
        <f t="shared" si="8"/>
        <v/>
      </c>
      <c r="N153">
        <f t="shared" si="9"/>
        <v>0</v>
      </c>
      <c r="O153">
        <f t="shared" si="10"/>
        <v>0</v>
      </c>
      <c r="P153" t="str">
        <f t="shared" si="11"/>
        <v/>
      </c>
    </row>
    <row r="154" spans="1:16" x14ac:dyDescent="0.25">
      <c r="A154">
        <v>104</v>
      </c>
      <c r="B154">
        <f>IF($A154&gt;$A$1,"",VLOOKUP($A154,'NHL PBP'!$A:$L,8,FALSE))</f>
        <v>1</v>
      </c>
      <c r="C154">
        <f>IF($A154&gt;$A$1,"",IF(B154&gt;3,5/24,20/24)-VLOOKUP($A154,'NHL PBP'!$A:$L,10,FALSE))</f>
        <v>0</v>
      </c>
      <c r="D154" t="str">
        <f>IF($A154&gt;$A$1,"",VLOOKUP($A154,'NHL PBP'!$A:$L,11,FALSE))</f>
        <v>PEND</v>
      </c>
      <c r="E154" t="str">
        <f>IF(AND(EXACT(D154,"FAC"),NOT(EXACT(MID(F154,9,3),"Neu"))),IF(OR(AND(EXACT(MID(F154,9,3),"Off"),EXACT(LEFT(F154,3),UPPER('Entry data'!$C$2))),AND(EXACT(MID(F154,9,3),"Def"),NOT(EXACT(LEFT(F154,3),UPPER('Entry data'!$C$2))))),"DZF","OZF"),"")</f>
        <v/>
      </c>
      <c r="F154" t="str">
        <f>IF($A154&gt;$A$1,"",VLOOKUP($A154,'NHL PBP'!$A:$L,12,FALSE))</f>
        <v>Period End- Local time: 8:14 EDT</v>
      </c>
      <c r="J154">
        <f>IF(EXACT('Entry data'!$C$3,"Road"),IF(ISBLANK(VLOOKUP(A154,'NHL PBP'!A:AH,21,FALSE)),3,IF(ISBLANK(VLOOKUP(A154,'NHL PBP'!A:AH,23,FALSE)),4,5)),IF(ISBLANK(VLOOKUP(A154,'NHL PBP'!A:AH,32,FALSE)),3,IF(ISBLANK(VLOOKUP(A154,'NHL PBP'!A:AH,34,FALSE)),4,5)))</f>
        <v>5</v>
      </c>
      <c r="K154">
        <f>IF(EXACT('Entry data'!$C$3,"Home"),IF(ISBLANK(VLOOKUP(A154,'NHL PBP'!A:AH,21,FALSE)),3,IF(ISBLANK(VLOOKUP(A154,'NHL PBP'!A:AH,23,FALSE)),4,5)),IF(ISBLANK(VLOOKUP(A154,'NHL PBP'!A:AH,32,FALSE)),3,IF(ISBLANK(VLOOKUP(A154,'NHL PBP'!A:AH,34,FALSE)),4,5)))</f>
        <v>5</v>
      </c>
      <c r="L154">
        <f>IF(OR(EXACT(D154,"C"),EXACT(D154,"P"),EXACT(D154,"D"),EXACT(D154,"T"),EXACT(D154,"X"),EXACT(E154,"DZF"),EXACT(E154,"OZF"),EXACT(D154,"N"),EXACT(D154,"F")),1,0)</f>
        <v>0</v>
      </c>
      <c r="M154" t="str">
        <f t="shared" si="8"/>
        <v/>
      </c>
      <c r="N154">
        <f t="shared" si="9"/>
        <v>0</v>
      </c>
      <c r="O154">
        <f t="shared" si="10"/>
        <v>0</v>
      </c>
      <c r="P154" t="str">
        <f t="shared" si="11"/>
        <v/>
      </c>
    </row>
    <row r="155" spans="1:16" x14ac:dyDescent="0.25">
      <c r="A155">
        <v>105</v>
      </c>
      <c r="B155">
        <f>IF($A155&gt;$A$1,"",VLOOKUP($A155,'NHL PBP'!$A:$L,8,FALSE))</f>
        <v>2</v>
      </c>
      <c r="C155">
        <f>IF($A155&gt;$A$1,"",IF(B155&gt;3,5/24,20/24)-VLOOKUP($A155,'NHL PBP'!$A:$L,10,FALSE))</f>
        <v>0.83333333333333337</v>
      </c>
      <c r="D155" t="str">
        <f>IF($A155&gt;$A$1,"",VLOOKUP($A155,'NHL PBP'!$A:$L,11,FALSE))</f>
        <v>PSTR</v>
      </c>
      <c r="E155" t="str">
        <f>IF(AND(EXACT(D155,"FAC"),NOT(EXACT(MID(F155,9,3),"Neu"))),IF(OR(AND(EXACT(MID(F155,9,3),"Off"),EXACT(LEFT(F155,3),UPPER('Entry data'!$C$2))),AND(EXACT(MID(F155,9,3),"Def"),NOT(EXACT(LEFT(F155,3),UPPER('Entry data'!$C$2))))),"DZF","OZF"),"")</f>
        <v/>
      </c>
      <c r="F155" t="str">
        <f>IF($A155&gt;$A$1,"",VLOOKUP($A155,'NHL PBP'!$A:$L,12,FALSE))</f>
        <v>Period Start- Local time: 8:32 EDT</v>
      </c>
      <c r="J155">
        <f>IF(EXACT('Entry data'!$C$3,"Road"),IF(ISBLANK(VLOOKUP(A155,'NHL PBP'!A:AH,21,FALSE)),3,IF(ISBLANK(VLOOKUP(A155,'NHL PBP'!A:AH,23,FALSE)),4,5)),IF(ISBLANK(VLOOKUP(A155,'NHL PBP'!A:AH,32,FALSE)),3,IF(ISBLANK(VLOOKUP(A155,'NHL PBP'!A:AH,34,FALSE)),4,5)))</f>
        <v>3</v>
      </c>
      <c r="K155">
        <f>IF(EXACT('Entry data'!$C$3,"Home"),IF(ISBLANK(VLOOKUP(A155,'NHL PBP'!A:AH,21,FALSE)),3,IF(ISBLANK(VLOOKUP(A155,'NHL PBP'!A:AH,23,FALSE)),4,5)),IF(ISBLANK(VLOOKUP(A155,'NHL PBP'!A:AH,32,FALSE)),3,IF(ISBLANK(VLOOKUP(A155,'NHL PBP'!A:AH,34,FALSE)),4,5)))</f>
        <v>3</v>
      </c>
      <c r="L155">
        <f>IF(OR(EXACT(D155,"C"),EXACT(D155,"P"),EXACT(D155,"D"),EXACT(D155,"T"),EXACT(D155,"X"),EXACT(E155,"DZF"),EXACT(E155,"OZF"),EXACT(D155,"N"),EXACT(D155,"F")),1,0)</f>
        <v>0</v>
      </c>
      <c r="M155" t="str">
        <f t="shared" si="8"/>
        <v/>
      </c>
      <c r="N155">
        <f t="shared" si="9"/>
        <v>0</v>
      </c>
      <c r="O155">
        <f t="shared" si="10"/>
        <v>0</v>
      </c>
      <c r="P155" t="str">
        <f t="shared" si="11"/>
        <v/>
      </c>
    </row>
    <row r="156" spans="1:16" x14ac:dyDescent="0.25">
      <c r="A156">
        <v>106</v>
      </c>
      <c r="B156">
        <f>IF($A156&gt;$A$1,"",VLOOKUP($A156,'NHL PBP'!$A:$L,8,FALSE))</f>
        <v>2</v>
      </c>
      <c r="C156">
        <f>IF($A156&gt;$A$1,"",IF(B156&gt;3,5/24,20/24)-VLOOKUP($A156,'NHL PBP'!$A:$L,10,FALSE))</f>
        <v>0.83333333333333337</v>
      </c>
      <c r="D156" t="str">
        <f>IF($A156&gt;$A$1,"",VLOOKUP($A156,'NHL PBP'!$A:$L,11,FALSE))</f>
        <v>FAC</v>
      </c>
      <c r="E156" t="str">
        <f>IF(AND(EXACT(D156,"FAC"),NOT(EXACT(MID(F156,9,3),"Neu"))),IF(OR(AND(EXACT(MID(F156,9,3),"Off"),EXACT(LEFT(F156,3),UPPER('Entry data'!$C$2))),AND(EXACT(MID(F156,9,3),"Def"),NOT(EXACT(LEFT(F156,3),UPPER('Entry data'!$C$2))))),"DZF","OZF"),"")</f>
        <v/>
      </c>
      <c r="F156" t="str">
        <f>IF($A156&gt;$A$1,"",VLOOKUP($A156,'NHL PBP'!$A:$L,12,FALSE))</f>
        <v>DET won Neu. Zone - NSH #19 JARNKROK vs DET #51 NIELSEN</v>
      </c>
      <c r="J156">
        <f>IF(EXACT('Entry data'!$C$3,"Road"),IF(ISBLANK(VLOOKUP(A156,'NHL PBP'!A:AH,21,FALSE)),3,IF(ISBLANK(VLOOKUP(A156,'NHL PBP'!A:AH,23,FALSE)),4,5)),IF(ISBLANK(VLOOKUP(A156,'NHL PBP'!A:AH,32,FALSE)),3,IF(ISBLANK(VLOOKUP(A156,'NHL PBP'!A:AH,34,FALSE)),4,5)))</f>
        <v>5</v>
      </c>
      <c r="K156">
        <f>IF(EXACT('Entry data'!$C$3,"Home"),IF(ISBLANK(VLOOKUP(A156,'NHL PBP'!A:AH,21,FALSE)),3,IF(ISBLANK(VLOOKUP(A156,'NHL PBP'!A:AH,23,FALSE)),4,5)),IF(ISBLANK(VLOOKUP(A156,'NHL PBP'!A:AH,32,FALSE)),3,IF(ISBLANK(VLOOKUP(A156,'NHL PBP'!A:AH,34,FALSE)),4,5)))</f>
        <v>5</v>
      </c>
      <c r="L156">
        <f>IF(OR(EXACT(D156,"C"),EXACT(D156,"P"),EXACT(D156,"D"),EXACT(D156,"T"),EXACT(D156,"X"),EXACT(E156,"DZF"),EXACT(E156,"OZF"),EXACT(D156,"N"),EXACT(D156,"F")),1,0)</f>
        <v>0</v>
      </c>
      <c r="M156" t="str">
        <f t="shared" si="8"/>
        <v/>
      </c>
      <c r="N156">
        <f t="shared" si="9"/>
        <v>0</v>
      </c>
      <c r="O156">
        <f t="shared" si="10"/>
        <v>0</v>
      </c>
      <c r="P156" t="str">
        <f t="shared" si="11"/>
        <v/>
      </c>
    </row>
    <row r="157" spans="1:16" x14ac:dyDescent="0.25">
      <c r="A157">
        <v>50</v>
      </c>
      <c r="B157">
        <f>IF(ISBLANK(VLOOKUP($A157,'Entry data'!$A:$K,2,FALSE)),"",VLOOKUP($A157,'Entry data'!$A:$K,2,FALSE))</f>
        <v>2</v>
      </c>
      <c r="C157">
        <f>IF(ISBLANK(VLOOKUP($A157,'Entry data'!$A:$K,3,FALSE)),"",VLOOKUP($A157,'Entry data'!$A:$K,3,FALSE))</f>
        <v>0.82847222222222217</v>
      </c>
      <c r="D157" t="str">
        <f>IF(ISBLANK(VLOOKUP($A157,'Entry data'!$A:$K,4,FALSE)),"",VLOOKUP($A157,'Entry data'!$A:$K,4,FALSE))</f>
        <v>C</v>
      </c>
      <c r="E157" t="str">
        <f>IF(ISBLANK(VLOOKUP($A157,'Entry data'!$A:$K,5,FALSE)),"",VLOOKUP($A157,'Entry data'!$A:$K,5,FALSE))</f>
        <v>56NSH</v>
      </c>
      <c r="F157" t="str">
        <f>IF(ISBLANK(VLOOKUP($A157,'Entry data'!$A:$K,6,FALSE)),"",VLOOKUP($A157,'Entry data'!$A:$K,6,FALSE))</f>
        <v>25DET</v>
      </c>
      <c r="G157" t="str">
        <f>IF(ISBLANK(VLOOKUP($A157,'Entry data'!$A:$K,7,FALSE)),"",VLOOKUP($A157,'Entry data'!$A:$K,7,FALSE))</f>
        <v>N</v>
      </c>
      <c r="H157" t="str">
        <f>IF(ISBLANK(VLOOKUP($A157,'Entry data'!$A:$K,8,FALSE)),"",VLOOKUP($A157,'Entry data'!$A:$K,8,FALSE))</f>
        <v>C</v>
      </c>
      <c r="I157" t="str">
        <f>IF(ISBLANK(VLOOKUP($A157,'Entry data'!$A:$K,9,FALSE)),"",VLOOKUP($A157,'Entry data'!$A:$K,9,FALSE))</f>
        <v>N</v>
      </c>
      <c r="J157">
        <f>IF(ISBLANK(VLOOKUP($A157,'Entry data'!$A:$K,10,FALSE)),"",VLOOKUP($A157,'Entry data'!$A:$K,10,FALSE))</f>
        <v>5</v>
      </c>
      <c r="K157">
        <f>IF(ISBLANK(VLOOKUP($A157,'Entry data'!$A:$K,11,FALSE)),"",VLOOKUP($A157,'Entry data'!$A:$K,11,FALSE))</f>
        <v>5</v>
      </c>
      <c r="L157">
        <f>IF(OR(EXACT(D157,"C"),EXACT(D157,"P"),EXACT(D157,"D"),EXACT(D157,"T"),EXACT(D157,"X"),EXACT(E157,"DZF"),EXACT(E157,"OZF"),EXACT(D157,"N"),EXACT(D157,"F")),1,0)</f>
        <v>1</v>
      </c>
      <c r="M157" t="str">
        <f t="shared" si="8"/>
        <v>56NSH</v>
      </c>
      <c r="N157">
        <f t="shared" si="9"/>
        <v>0</v>
      </c>
      <c r="O157">
        <f t="shared" si="10"/>
        <v>0</v>
      </c>
      <c r="P157" t="str">
        <f t="shared" si="11"/>
        <v/>
      </c>
    </row>
    <row r="158" spans="1:16" x14ac:dyDescent="0.25">
      <c r="A158">
        <v>107</v>
      </c>
      <c r="B158">
        <f>IF($A158&gt;$A$1,"",VLOOKUP($A158,'NHL PBP'!$A:$L,8,FALSE))</f>
        <v>2</v>
      </c>
      <c r="C158">
        <f>IF($A158&gt;$A$1,"",IF(B158&gt;3,5/24,20/24)-VLOOKUP($A158,'NHL PBP'!$A:$L,10,FALSE))</f>
        <v>0.82638888888888895</v>
      </c>
      <c r="D158" t="str">
        <f>IF($A158&gt;$A$1,"",VLOOKUP($A158,'NHL PBP'!$A:$L,11,FALSE))</f>
        <v>BLOCK</v>
      </c>
      <c r="E158" t="str">
        <f>IF(AND(EXACT(D158,"FAC"),NOT(EXACT(MID(F158,9,3),"Neu"))),IF(OR(AND(EXACT(MID(F158,9,3),"Off"),EXACT(LEFT(F158,3),UPPER('Entry data'!$C$2))),AND(EXACT(MID(F158,9,3),"Def"),NOT(EXACT(LEFT(F158,3),UPPER('Entry data'!$C$2))))),"DZF","OZF"),"")</f>
        <v/>
      </c>
      <c r="F158" t="str">
        <f>IF($A158&gt;$A$1,"",VLOOKUP($A158,'NHL PBP'!$A:$L,12,FALSE))</f>
        <v>NSH #56 FIALA BLOCKED BY DET #25 GREEN, Wrist, Def. Zone</v>
      </c>
      <c r="J158">
        <f>IF(EXACT('Entry data'!$C$3,"Road"),IF(ISBLANK(VLOOKUP(A158,'NHL PBP'!A:AH,21,FALSE)),3,IF(ISBLANK(VLOOKUP(A158,'NHL PBP'!A:AH,23,FALSE)),4,5)),IF(ISBLANK(VLOOKUP(A158,'NHL PBP'!A:AH,32,FALSE)),3,IF(ISBLANK(VLOOKUP(A158,'NHL PBP'!A:AH,34,FALSE)),4,5)))</f>
        <v>5</v>
      </c>
      <c r="K158">
        <f>IF(EXACT('Entry data'!$C$3,"Home"),IF(ISBLANK(VLOOKUP(A158,'NHL PBP'!A:AH,21,FALSE)),3,IF(ISBLANK(VLOOKUP(A158,'NHL PBP'!A:AH,23,FALSE)),4,5)),IF(ISBLANK(VLOOKUP(A158,'NHL PBP'!A:AH,32,FALSE)),3,IF(ISBLANK(VLOOKUP(A158,'NHL PBP'!A:AH,34,FALSE)),4,5)))</f>
        <v>5</v>
      </c>
      <c r="L158">
        <f>IF(OR(EXACT(D158,"C"),EXACT(D158,"P"),EXACT(D158,"D"),EXACT(D158,"T"),EXACT(D158,"X"),EXACT(E158,"DZF"),EXACT(E158,"OZF"),EXACT(D158,"N"),EXACT(D158,"F")),1,0)</f>
        <v>0</v>
      </c>
      <c r="M158" t="str">
        <f t="shared" si="8"/>
        <v/>
      </c>
      <c r="N158">
        <f t="shared" si="9"/>
        <v>0</v>
      </c>
      <c r="O158">
        <f t="shared" si="10"/>
        <v>0</v>
      </c>
      <c r="P158" t="str">
        <f t="shared" si="11"/>
        <v/>
      </c>
    </row>
    <row r="159" spans="1:16" x14ac:dyDescent="0.25">
      <c r="A159">
        <v>108</v>
      </c>
      <c r="B159">
        <f>IF($A159&gt;$A$1,"",VLOOKUP($A159,'NHL PBP'!$A:$L,8,FALSE))</f>
        <v>2</v>
      </c>
      <c r="C159">
        <f>IF($A159&gt;$A$1,"",IF(B159&gt;3,5/24,20/24)-VLOOKUP($A159,'NHL PBP'!$A:$L,10,FALSE))</f>
        <v>0.81805555555555565</v>
      </c>
      <c r="D159" t="str">
        <f>IF($A159&gt;$A$1,"",VLOOKUP($A159,'NHL PBP'!$A:$L,11,FALSE))</f>
        <v>GIVE</v>
      </c>
      <c r="E159" t="str">
        <f>IF(AND(EXACT(D159,"FAC"),NOT(EXACT(MID(F159,9,3),"Neu"))),IF(OR(AND(EXACT(MID(F159,9,3),"Off"),EXACT(LEFT(F159,3),UPPER('Entry data'!$C$2))),AND(EXACT(MID(F159,9,3),"Def"),NOT(EXACT(LEFT(F159,3),UPPER('Entry data'!$C$2))))),"DZF","OZF"),"")</f>
        <v/>
      </c>
      <c r="F159" t="str">
        <f>IF($A159&gt;$A$1,"",VLOOKUP($A159,'NHL PBP'!$A:$L,12,FALSE))</f>
        <v>NSH GIVEAWAY - #56 FIALA, Off. Zone</v>
      </c>
      <c r="J159">
        <f>IF(EXACT('Entry data'!$C$3,"Road"),IF(ISBLANK(VLOOKUP(A159,'NHL PBP'!A:AH,21,FALSE)),3,IF(ISBLANK(VLOOKUP(A159,'NHL PBP'!A:AH,23,FALSE)),4,5)),IF(ISBLANK(VLOOKUP(A159,'NHL PBP'!A:AH,32,FALSE)),3,IF(ISBLANK(VLOOKUP(A159,'NHL PBP'!A:AH,34,FALSE)),4,5)))</f>
        <v>5</v>
      </c>
      <c r="K159">
        <f>IF(EXACT('Entry data'!$C$3,"Home"),IF(ISBLANK(VLOOKUP(A159,'NHL PBP'!A:AH,21,FALSE)),3,IF(ISBLANK(VLOOKUP(A159,'NHL PBP'!A:AH,23,FALSE)),4,5)),IF(ISBLANK(VLOOKUP(A159,'NHL PBP'!A:AH,32,FALSE)),3,IF(ISBLANK(VLOOKUP(A159,'NHL PBP'!A:AH,34,FALSE)),4,5)))</f>
        <v>5</v>
      </c>
      <c r="L159">
        <f>IF(OR(EXACT(D159,"C"),EXACT(D159,"P"),EXACT(D159,"D"),EXACT(D159,"T"),EXACT(D159,"X"),EXACT(E159,"DZF"),EXACT(E159,"OZF"),EXACT(D159,"N"),EXACT(D159,"F")),1,0)</f>
        <v>0</v>
      </c>
      <c r="M159" t="str">
        <f t="shared" si="8"/>
        <v/>
      </c>
      <c r="N159">
        <f t="shared" si="9"/>
        <v>0</v>
      </c>
      <c r="O159">
        <f t="shared" si="10"/>
        <v>0</v>
      </c>
      <c r="P159" t="str">
        <f t="shared" si="11"/>
        <v/>
      </c>
    </row>
    <row r="160" spans="1:16" x14ac:dyDescent="0.25">
      <c r="A160">
        <v>51</v>
      </c>
      <c r="B160">
        <f>IF(ISBLANK(VLOOKUP($A160,'Entry data'!$A:$K,2,FALSE)),"",VLOOKUP($A160,'Entry data'!$A:$K,2,FALSE))</f>
        <v>2</v>
      </c>
      <c r="C160">
        <f>IF(ISBLANK(VLOOKUP($A160,'Entry data'!$A:$K,3,FALSE)),"",VLOOKUP($A160,'Entry data'!$A:$K,3,FALSE))</f>
        <v>0.8125</v>
      </c>
      <c r="D160" t="str">
        <f>IF(ISBLANK(VLOOKUP($A160,'Entry data'!$A:$K,4,FALSE)),"",VLOOKUP($A160,'Entry data'!$A:$K,4,FALSE))</f>
        <v>C</v>
      </c>
      <c r="E160" t="str">
        <f>IF(ISBLANK(VLOOKUP($A160,'Entry data'!$A:$K,5,FALSE)),"",VLOOKUP($A160,'Entry data'!$A:$K,5,FALSE))</f>
        <v>51DET</v>
      </c>
      <c r="F160" t="str">
        <f>IF(ISBLANK(VLOOKUP($A160,'Entry data'!$A:$K,6,FALSE)),"",VLOOKUP($A160,'Entry data'!$A:$K,6,FALSE))</f>
        <v>4NSH</v>
      </c>
      <c r="G160" t="str">
        <f>IF(ISBLANK(VLOOKUP($A160,'Entry data'!$A:$K,7,FALSE)),"",VLOOKUP($A160,'Entry data'!$A:$K,7,FALSE))</f>
        <v>Y</v>
      </c>
      <c r="H160" t="str">
        <f>IF(ISBLANK(VLOOKUP($A160,'Entry data'!$A:$K,8,FALSE)),"",VLOOKUP($A160,'Entry data'!$A:$K,8,FALSE))</f>
        <v>C</v>
      </c>
      <c r="I160" t="str">
        <f>IF(ISBLANK(VLOOKUP($A160,'Entry data'!$A:$K,9,FALSE)),"",VLOOKUP($A160,'Entry data'!$A:$K,9,FALSE))</f>
        <v>N</v>
      </c>
      <c r="J160">
        <f>IF(ISBLANK(VLOOKUP($A160,'Entry data'!$A:$K,10,FALSE)),"",VLOOKUP($A160,'Entry data'!$A:$K,10,FALSE))</f>
        <v>5</v>
      </c>
      <c r="K160">
        <f>IF(ISBLANK(VLOOKUP($A160,'Entry data'!$A:$K,11,FALSE)),"",VLOOKUP($A160,'Entry data'!$A:$K,11,FALSE))</f>
        <v>5</v>
      </c>
      <c r="L160">
        <f>IF(OR(EXACT(D160,"C"),EXACT(D160,"P"),EXACT(D160,"D"),EXACT(D160,"T"),EXACT(D160,"X"),EXACT(E160,"DZF"),EXACT(E160,"OZF"),EXACT(D160,"N"),EXACT(D160,"F")),1,0)</f>
        <v>1</v>
      </c>
      <c r="M160" t="str">
        <f t="shared" si="8"/>
        <v>51DET</v>
      </c>
      <c r="N160">
        <f t="shared" si="9"/>
        <v>2</v>
      </c>
      <c r="O160">
        <f t="shared" si="10"/>
        <v>0</v>
      </c>
      <c r="P160" t="str">
        <f t="shared" si="11"/>
        <v/>
      </c>
    </row>
    <row r="161" spans="1:16" x14ac:dyDescent="0.25">
      <c r="A161">
        <v>109</v>
      </c>
      <c r="B161">
        <f>IF($A161&gt;$A$1,"",VLOOKUP($A161,'NHL PBP'!$A:$L,8,FALSE))</f>
        <v>2</v>
      </c>
      <c r="C161">
        <f>IF($A161&gt;$A$1,"",IF(B161&gt;3,5/24,20/24)-VLOOKUP($A161,'NHL PBP'!$A:$L,10,FALSE))</f>
        <v>0.81041666666666667</v>
      </c>
      <c r="D161" t="str">
        <f>IF($A161&gt;$A$1,"",VLOOKUP($A161,'NHL PBP'!$A:$L,11,FALSE))</f>
        <v>SHOT</v>
      </c>
      <c r="E161" t="str">
        <f>IF(AND(EXACT(D161,"FAC"),NOT(EXACT(MID(F161,9,3),"Neu"))),IF(OR(AND(EXACT(MID(F161,9,3),"Off"),EXACT(LEFT(F161,3),UPPER('Entry data'!$C$2))),AND(EXACT(MID(F161,9,3),"Def"),NOT(EXACT(LEFT(F161,3),UPPER('Entry data'!$C$2))))),"DZF","OZF"),"")</f>
        <v/>
      </c>
      <c r="F161" t="str">
        <f>IF($A161&gt;$A$1,"",VLOOKUP($A161,'NHL PBP'!$A:$L,12,FALSE))</f>
        <v>DET ONGOAL - #8 ABDELKADER, Wrist, Off. Zone, 22 ft.</v>
      </c>
      <c r="J161">
        <f>IF(EXACT('Entry data'!$C$3,"Road"),IF(ISBLANK(VLOOKUP(A161,'NHL PBP'!A:AH,21,FALSE)),3,IF(ISBLANK(VLOOKUP(A161,'NHL PBP'!A:AH,23,FALSE)),4,5)),IF(ISBLANK(VLOOKUP(A161,'NHL PBP'!A:AH,32,FALSE)),3,IF(ISBLANK(VLOOKUP(A161,'NHL PBP'!A:AH,34,FALSE)),4,5)))</f>
        <v>5</v>
      </c>
      <c r="K161">
        <f>IF(EXACT('Entry data'!$C$3,"Home"),IF(ISBLANK(VLOOKUP(A161,'NHL PBP'!A:AH,21,FALSE)),3,IF(ISBLANK(VLOOKUP(A161,'NHL PBP'!A:AH,23,FALSE)),4,5)),IF(ISBLANK(VLOOKUP(A161,'NHL PBP'!A:AH,32,FALSE)),3,IF(ISBLANK(VLOOKUP(A161,'NHL PBP'!A:AH,34,FALSE)),4,5)))</f>
        <v>5</v>
      </c>
      <c r="L161">
        <f>IF(OR(EXACT(D161,"C"),EXACT(D161,"P"),EXACT(D161,"D"),EXACT(D161,"T"),EXACT(D161,"X"),EXACT(E161,"DZF"),EXACT(E161,"OZF"),EXACT(D161,"N"),EXACT(D161,"F")),1,0)</f>
        <v>0</v>
      </c>
      <c r="M161" t="str">
        <f t="shared" si="8"/>
        <v/>
      </c>
      <c r="N161">
        <f t="shared" si="9"/>
        <v>2</v>
      </c>
      <c r="O161">
        <f t="shared" si="10"/>
        <v>0</v>
      </c>
      <c r="P161" t="str">
        <f t="shared" si="11"/>
        <v/>
      </c>
    </row>
    <row r="162" spans="1:16" x14ac:dyDescent="0.25">
      <c r="A162">
        <v>110</v>
      </c>
      <c r="B162">
        <f>IF($A162&gt;$A$1,"",VLOOKUP($A162,'NHL PBP'!$A:$L,8,FALSE))</f>
        <v>2</v>
      </c>
      <c r="C162">
        <f>IF($A162&gt;$A$1,"",IF(B162&gt;3,5/24,20/24)-VLOOKUP($A162,'NHL PBP'!$A:$L,10,FALSE))</f>
        <v>0.80625000000000002</v>
      </c>
      <c r="D162" t="str">
        <f>IF($A162&gt;$A$1,"",VLOOKUP($A162,'NHL PBP'!$A:$L,11,FALSE))</f>
        <v>MISS</v>
      </c>
      <c r="E162" t="str">
        <f>IF(AND(EXACT(D162,"FAC"),NOT(EXACT(MID(F162,9,3),"Neu"))),IF(OR(AND(EXACT(MID(F162,9,3),"Off"),EXACT(LEFT(F162,3),UPPER('Entry data'!$C$2))),AND(EXACT(MID(F162,9,3),"Def"),NOT(EXACT(LEFT(F162,3),UPPER('Entry data'!$C$2))))),"DZF","OZF"),"")</f>
        <v/>
      </c>
      <c r="F162" t="str">
        <f>IF($A162&gt;$A$1,"",VLOOKUP($A162,'NHL PBP'!$A:$L,12,FALSE))</f>
        <v>DET #52 ERICSSON, Slap, Wide of Net, Off. Zone, 62 ft.</v>
      </c>
      <c r="J162">
        <f>IF(EXACT('Entry data'!$C$3,"Road"),IF(ISBLANK(VLOOKUP(A162,'NHL PBP'!A:AH,21,FALSE)),3,IF(ISBLANK(VLOOKUP(A162,'NHL PBP'!A:AH,23,FALSE)),4,5)),IF(ISBLANK(VLOOKUP(A162,'NHL PBP'!A:AH,32,FALSE)),3,IF(ISBLANK(VLOOKUP(A162,'NHL PBP'!A:AH,34,FALSE)),4,5)))</f>
        <v>5</v>
      </c>
      <c r="K162">
        <f>IF(EXACT('Entry data'!$C$3,"Home"),IF(ISBLANK(VLOOKUP(A162,'NHL PBP'!A:AH,21,FALSE)),3,IF(ISBLANK(VLOOKUP(A162,'NHL PBP'!A:AH,23,FALSE)),4,5)),IF(ISBLANK(VLOOKUP(A162,'NHL PBP'!A:AH,32,FALSE)),3,IF(ISBLANK(VLOOKUP(A162,'NHL PBP'!A:AH,34,FALSE)),4,5)))</f>
        <v>5</v>
      </c>
      <c r="L162">
        <f>IF(OR(EXACT(D162,"C"),EXACT(D162,"P"),EXACT(D162,"D"),EXACT(D162,"T"),EXACT(D162,"X"),EXACT(E162,"DZF"),EXACT(E162,"OZF"),EXACT(D162,"N"),EXACT(D162,"F")),1,0)</f>
        <v>0</v>
      </c>
      <c r="M162" t="str">
        <f t="shared" si="8"/>
        <v/>
      </c>
      <c r="N162">
        <f t="shared" si="9"/>
        <v>1</v>
      </c>
      <c r="O162">
        <f t="shared" si="10"/>
        <v>0</v>
      </c>
      <c r="P162" t="str">
        <f t="shared" si="11"/>
        <v/>
      </c>
    </row>
    <row r="163" spans="1:16" x14ac:dyDescent="0.25">
      <c r="A163">
        <v>111</v>
      </c>
      <c r="B163">
        <f>IF($A163&gt;$A$1,"",VLOOKUP($A163,'NHL PBP'!$A:$L,8,FALSE))</f>
        <v>2</v>
      </c>
      <c r="C163">
        <f>IF($A163&gt;$A$1,"",IF(B163&gt;3,5/24,20/24)-VLOOKUP($A163,'NHL PBP'!$A:$L,10,FALSE))</f>
        <v>0.79791666666666672</v>
      </c>
      <c r="D163" t="str">
        <f>IF($A163&gt;$A$1,"",VLOOKUP($A163,'NHL PBP'!$A:$L,11,FALSE))</f>
        <v>HIT</v>
      </c>
      <c r="E163" t="str">
        <f>IF(AND(EXACT(D163,"FAC"),NOT(EXACT(MID(F163,9,3),"Neu"))),IF(OR(AND(EXACT(MID(F163,9,3),"Off"),EXACT(LEFT(F163,3),UPPER('Entry data'!$C$2))),AND(EXACT(MID(F163,9,3),"Def"),NOT(EXACT(LEFT(F163,3),UPPER('Entry data'!$C$2))))),"DZF","OZF"),"")</f>
        <v/>
      </c>
      <c r="F163" t="str">
        <f>IF($A163&gt;$A$1,"",VLOOKUP($A163,'NHL PBP'!$A:$L,12,FALSE))</f>
        <v>NSH #4 ELLIS HIT DET #71 LARKIN, Def. Zone</v>
      </c>
      <c r="J163">
        <f>IF(EXACT('Entry data'!$C$3,"Road"),IF(ISBLANK(VLOOKUP(A163,'NHL PBP'!A:AH,21,FALSE)),3,IF(ISBLANK(VLOOKUP(A163,'NHL PBP'!A:AH,23,FALSE)),4,5)),IF(ISBLANK(VLOOKUP(A163,'NHL PBP'!A:AH,32,FALSE)),3,IF(ISBLANK(VLOOKUP(A163,'NHL PBP'!A:AH,34,FALSE)),4,5)))</f>
        <v>5</v>
      </c>
      <c r="K163">
        <f>IF(EXACT('Entry data'!$C$3,"Home"),IF(ISBLANK(VLOOKUP(A163,'NHL PBP'!A:AH,21,FALSE)),3,IF(ISBLANK(VLOOKUP(A163,'NHL PBP'!A:AH,23,FALSE)),4,5)),IF(ISBLANK(VLOOKUP(A163,'NHL PBP'!A:AH,32,FALSE)),3,IF(ISBLANK(VLOOKUP(A163,'NHL PBP'!A:AH,34,FALSE)),4,5)))</f>
        <v>5</v>
      </c>
      <c r="L163">
        <f>IF(OR(EXACT(D163,"C"),EXACT(D163,"P"),EXACT(D163,"D"),EXACT(D163,"T"),EXACT(D163,"X"),EXACT(E163,"DZF"),EXACT(E163,"OZF"),EXACT(D163,"N"),EXACT(D163,"F")),1,0)</f>
        <v>0</v>
      </c>
      <c r="M163" t="str">
        <f t="shared" si="8"/>
        <v/>
      </c>
      <c r="N163">
        <f t="shared" si="9"/>
        <v>0</v>
      </c>
      <c r="O163">
        <f t="shared" si="10"/>
        <v>0</v>
      </c>
      <c r="P163" t="str">
        <f t="shared" si="11"/>
        <v/>
      </c>
    </row>
    <row r="164" spans="1:16" x14ac:dyDescent="0.25">
      <c r="A164">
        <v>52</v>
      </c>
      <c r="B164">
        <f>IF(ISBLANK(VLOOKUP($A164,'Entry data'!$A:$K,2,FALSE)),"",VLOOKUP($A164,'Entry data'!$A:$K,2,FALSE))</f>
        <v>2</v>
      </c>
      <c r="C164">
        <f>IF(ISBLANK(VLOOKUP($A164,'Entry data'!$A:$K,3,FALSE)),"",VLOOKUP($A164,'Entry data'!$A:$K,3,FALSE))</f>
        <v>0.79652777777777783</v>
      </c>
      <c r="D164" t="str">
        <f>IF(ISBLANK(VLOOKUP($A164,'Entry data'!$A:$K,4,FALSE)),"",VLOOKUP($A164,'Entry data'!$A:$K,4,FALSE))</f>
        <v>C</v>
      </c>
      <c r="E164" t="str">
        <f>IF(ISBLANK(VLOOKUP($A164,'Entry data'!$A:$K,5,FALSE)),"",VLOOKUP($A164,'Entry data'!$A:$K,5,FALSE))</f>
        <v>18NSH</v>
      </c>
      <c r="F164" t="str">
        <f>IF(ISBLANK(VLOOKUP($A164,'Entry data'!$A:$K,6,FALSE)),"",VLOOKUP($A164,'Entry data'!$A:$K,6,FALSE))</f>
        <v>52DET</v>
      </c>
      <c r="G164" t="str">
        <f>IF(ISBLANK(VLOOKUP($A164,'Entry data'!$A:$K,7,FALSE)),"",VLOOKUP($A164,'Entry data'!$A:$K,7,FALSE))</f>
        <v>Y</v>
      </c>
      <c r="H164" t="str">
        <f>IF(ISBLANK(VLOOKUP($A164,'Entry data'!$A:$K,8,FALSE)),"",VLOOKUP($A164,'Entry data'!$A:$K,8,FALSE))</f>
        <v>C</v>
      </c>
      <c r="I164" t="str">
        <f>IF(ISBLANK(VLOOKUP($A164,'Entry data'!$A:$K,9,FALSE)),"",VLOOKUP($A164,'Entry data'!$A:$K,9,FALSE))</f>
        <v>N</v>
      </c>
      <c r="J164">
        <f>IF(ISBLANK(VLOOKUP($A164,'Entry data'!$A:$K,10,FALSE)),"",VLOOKUP($A164,'Entry data'!$A:$K,10,FALSE))</f>
        <v>5</v>
      </c>
      <c r="K164">
        <f>IF(ISBLANK(VLOOKUP($A164,'Entry data'!$A:$K,11,FALSE)),"",VLOOKUP($A164,'Entry data'!$A:$K,11,FALSE))</f>
        <v>5</v>
      </c>
      <c r="L164">
        <f>IF(OR(EXACT(D164,"C"),EXACT(D164,"P"),EXACT(D164,"D"),EXACT(D164,"T"),EXACT(D164,"X"),EXACT(E164,"DZF"),EXACT(E164,"OZF"),EXACT(D164,"N"),EXACT(D164,"F")),1,0)</f>
        <v>1</v>
      </c>
      <c r="M164" t="str">
        <f t="shared" si="8"/>
        <v>18NSH</v>
      </c>
      <c r="N164">
        <f t="shared" si="9"/>
        <v>1</v>
      </c>
      <c r="O164">
        <f t="shared" si="10"/>
        <v>0</v>
      </c>
      <c r="P164" t="str">
        <f t="shared" si="11"/>
        <v/>
      </c>
    </row>
    <row r="165" spans="1:16" x14ac:dyDescent="0.25">
      <c r="A165">
        <v>112</v>
      </c>
      <c r="B165">
        <f>IF($A165&gt;$A$1,"",VLOOKUP($A165,'NHL PBP'!$A:$L,8,FALSE))</f>
        <v>2</v>
      </c>
      <c r="C165">
        <f>IF($A165&gt;$A$1,"",IF(B165&gt;3,5/24,20/24)-VLOOKUP($A165,'NHL PBP'!$A:$L,10,FALSE))</f>
        <v>0.77708333333333335</v>
      </c>
      <c r="D165" t="str">
        <f>IF($A165&gt;$A$1,"",VLOOKUP($A165,'NHL PBP'!$A:$L,11,FALSE))</f>
        <v>SHOT</v>
      </c>
      <c r="E165" t="str">
        <f>IF(AND(EXACT(D165,"FAC"),NOT(EXACT(MID(F165,9,3),"Neu"))),IF(OR(AND(EXACT(MID(F165,9,3),"Off"),EXACT(LEFT(F165,3),UPPER('Entry data'!$C$2))),AND(EXACT(MID(F165,9,3),"Def"),NOT(EXACT(LEFT(F165,3),UPPER('Entry data'!$C$2))))),"DZF","OZF"),"")</f>
        <v/>
      </c>
      <c r="F165" t="str">
        <f>IF($A165&gt;$A$1,"",VLOOKUP($A165,'NHL PBP'!$A:$L,12,FALSE))</f>
        <v>NSH ONGOAL - #15 SMITH, Wrist, Off. Zone, 44 ft.</v>
      </c>
      <c r="J165">
        <f>IF(EXACT('Entry data'!$C$3,"Road"),IF(ISBLANK(VLOOKUP(A165,'NHL PBP'!A:AH,21,FALSE)),3,IF(ISBLANK(VLOOKUP(A165,'NHL PBP'!A:AH,23,FALSE)),4,5)),IF(ISBLANK(VLOOKUP(A165,'NHL PBP'!A:AH,32,FALSE)),3,IF(ISBLANK(VLOOKUP(A165,'NHL PBP'!A:AH,34,FALSE)),4,5)))</f>
        <v>5</v>
      </c>
      <c r="K165">
        <f>IF(EXACT('Entry data'!$C$3,"Home"),IF(ISBLANK(VLOOKUP(A165,'NHL PBP'!A:AH,21,FALSE)),3,IF(ISBLANK(VLOOKUP(A165,'NHL PBP'!A:AH,23,FALSE)),4,5)),IF(ISBLANK(VLOOKUP(A165,'NHL PBP'!A:AH,32,FALSE)),3,IF(ISBLANK(VLOOKUP(A165,'NHL PBP'!A:AH,34,FALSE)),4,5)))</f>
        <v>5</v>
      </c>
      <c r="L165">
        <f>IF(OR(EXACT(D165,"C"),EXACT(D165,"P"),EXACT(D165,"D"),EXACT(D165,"T"),EXACT(D165,"X"),EXACT(E165,"DZF"),EXACT(E165,"OZF"),EXACT(D165,"N"),EXACT(D165,"F")),1,0)</f>
        <v>0</v>
      </c>
      <c r="M165" t="str">
        <f t="shared" si="8"/>
        <v/>
      </c>
      <c r="N165">
        <f t="shared" si="9"/>
        <v>1</v>
      </c>
      <c r="O165">
        <f t="shared" si="10"/>
        <v>0</v>
      </c>
      <c r="P165" t="str">
        <f t="shared" si="11"/>
        <v/>
      </c>
    </row>
    <row r="166" spans="1:16" x14ac:dyDescent="0.25">
      <c r="A166">
        <v>53</v>
      </c>
      <c r="B166">
        <f>IF(ISBLANK(VLOOKUP($A166,'Entry data'!$A:$K,2,FALSE)),"",VLOOKUP($A166,'Entry data'!$A:$K,2,FALSE))</f>
        <v>2</v>
      </c>
      <c r="C166">
        <f>IF(ISBLANK(VLOOKUP($A166,'Entry data'!$A:$K,3,FALSE)),"",VLOOKUP($A166,'Entry data'!$A:$K,3,FALSE))</f>
        <v>0.77083333333333337</v>
      </c>
      <c r="D166" t="str">
        <f>IF(ISBLANK(VLOOKUP($A166,'Entry data'!$A:$K,4,FALSE)),"",VLOOKUP($A166,'Entry data'!$A:$K,4,FALSE))</f>
        <v>D</v>
      </c>
      <c r="E166" t="str">
        <f>IF(ISBLANK(VLOOKUP($A166,'Entry data'!$A:$K,5,FALSE)),"",VLOOKUP($A166,'Entry data'!$A:$K,5,FALSE))</f>
        <v>15DET</v>
      </c>
      <c r="F166" t="str">
        <f>IF(ISBLANK(VLOOKUP($A166,'Entry data'!$A:$K,6,FALSE)),"",VLOOKUP($A166,'Entry data'!$A:$K,6,FALSE))</f>
        <v>15NSH</v>
      </c>
      <c r="G166" t="str">
        <f>IF(ISBLANK(VLOOKUP($A166,'Entry data'!$A:$K,7,FALSE)),"",VLOOKUP($A166,'Entry data'!$A:$K,7,FALSE))</f>
        <v/>
      </c>
      <c r="H166" t="str">
        <f>IF(ISBLANK(VLOOKUP($A166,'Entry data'!$A:$K,8,FALSE)),"",VLOOKUP($A166,'Entry data'!$A:$K,8,FALSE))</f>
        <v>C</v>
      </c>
      <c r="I166" t="str">
        <f>IF(ISBLANK(VLOOKUP($A166,'Entry data'!$A:$K,9,FALSE)),"",VLOOKUP($A166,'Entry data'!$A:$K,9,FALSE))</f>
        <v>21DET</v>
      </c>
      <c r="J166">
        <f>IF(ISBLANK(VLOOKUP($A166,'Entry data'!$A:$K,10,FALSE)),"",VLOOKUP($A166,'Entry data'!$A:$K,10,FALSE))</f>
        <v>5</v>
      </c>
      <c r="K166">
        <f>IF(ISBLANK(VLOOKUP($A166,'Entry data'!$A:$K,11,FALSE)),"",VLOOKUP($A166,'Entry data'!$A:$K,11,FALSE))</f>
        <v>5</v>
      </c>
      <c r="L166">
        <f>IF(OR(EXACT(D166,"C"),EXACT(D166,"P"),EXACT(D166,"D"),EXACT(D166,"T"),EXACT(D166,"X"),EXACT(E166,"DZF"),EXACT(E166,"OZF"),EXACT(D166,"N"),EXACT(D166,"F")),1,0)</f>
        <v>1</v>
      </c>
      <c r="M166" t="str">
        <f t="shared" si="8"/>
        <v/>
      </c>
      <c r="N166">
        <f t="shared" si="9"/>
        <v>1</v>
      </c>
      <c r="O166">
        <f t="shared" si="10"/>
        <v>0</v>
      </c>
      <c r="P166" t="str">
        <f t="shared" si="11"/>
        <v/>
      </c>
    </row>
    <row r="167" spans="1:16" x14ac:dyDescent="0.25">
      <c r="A167">
        <v>113</v>
      </c>
      <c r="B167">
        <f>IF($A167&gt;$A$1,"",VLOOKUP($A167,'NHL PBP'!$A:$L,8,FALSE))</f>
        <v>2</v>
      </c>
      <c r="C167">
        <f>IF($A167&gt;$A$1,"",IF(B167&gt;3,5/24,20/24)-VLOOKUP($A167,'NHL PBP'!$A:$L,10,FALSE))</f>
        <v>0.76458333333333339</v>
      </c>
      <c r="D167" t="str">
        <f>IF($A167&gt;$A$1,"",VLOOKUP($A167,'NHL PBP'!$A:$L,11,FALSE))</f>
        <v>HIT</v>
      </c>
      <c r="E167" t="str">
        <f>IF(AND(EXACT(D167,"FAC"),NOT(EXACT(MID(F167,9,3),"Neu"))),IF(OR(AND(EXACT(MID(F167,9,3),"Off"),EXACT(LEFT(F167,3),UPPER('Entry data'!$C$2))),AND(EXACT(MID(F167,9,3),"Def"),NOT(EXACT(LEFT(F167,3),UPPER('Entry data'!$C$2))))),"DZF","OZF"),"")</f>
        <v/>
      </c>
      <c r="F167" t="str">
        <f>IF($A167&gt;$A$1,"",VLOOKUP($A167,'NHL PBP'!$A:$L,12,FALSE))</f>
        <v>NSH #76 SUBBAN HIT DET #15 SHEAHAN, Def. Zone</v>
      </c>
      <c r="J167">
        <f>IF(EXACT('Entry data'!$C$3,"Road"),IF(ISBLANK(VLOOKUP(A167,'NHL PBP'!A:AH,21,FALSE)),3,IF(ISBLANK(VLOOKUP(A167,'NHL PBP'!A:AH,23,FALSE)),4,5)),IF(ISBLANK(VLOOKUP(A167,'NHL PBP'!A:AH,32,FALSE)),3,IF(ISBLANK(VLOOKUP(A167,'NHL PBP'!A:AH,34,FALSE)),4,5)))</f>
        <v>5</v>
      </c>
      <c r="K167">
        <f>IF(EXACT('Entry data'!$C$3,"Home"),IF(ISBLANK(VLOOKUP(A167,'NHL PBP'!A:AH,21,FALSE)),3,IF(ISBLANK(VLOOKUP(A167,'NHL PBP'!A:AH,23,FALSE)),4,5)),IF(ISBLANK(VLOOKUP(A167,'NHL PBP'!A:AH,32,FALSE)),3,IF(ISBLANK(VLOOKUP(A167,'NHL PBP'!A:AH,34,FALSE)),4,5)))</f>
        <v>5</v>
      </c>
      <c r="L167">
        <f>IF(OR(EXACT(D167,"C"),EXACT(D167,"P"),EXACT(D167,"D"),EXACT(D167,"T"),EXACT(D167,"X"),EXACT(E167,"DZF"),EXACT(E167,"OZF"),EXACT(D167,"N"),EXACT(D167,"F")),1,0)</f>
        <v>0</v>
      </c>
      <c r="M167" t="str">
        <f t="shared" si="8"/>
        <v/>
      </c>
      <c r="N167">
        <f t="shared" si="9"/>
        <v>1</v>
      </c>
      <c r="O167">
        <f t="shared" si="10"/>
        <v>0</v>
      </c>
      <c r="P167" t="str">
        <f t="shared" si="11"/>
        <v/>
      </c>
    </row>
    <row r="168" spans="1:16" x14ac:dyDescent="0.25">
      <c r="A168">
        <v>114</v>
      </c>
      <c r="B168">
        <f>IF($A168&gt;$A$1,"",VLOOKUP($A168,'NHL PBP'!$A:$L,8,FALSE))</f>
        <v>2</v>
      </c>
      <c r="C168">
        <f>IF($A168&gt;$A$1,"",IF(B168&gt;3,5/24,20/24)-VLOOKUP($A168,'NHL PBP'!$A:$L,10,FALSE))</f>
        <v>0.76319444444444451</v>
      </c>
      <c r="D168" t="str">
        <f>IF($A168&gt;$A$1,"",VLOOKUP($A168,'NHL PBP'!$A:$L,11,FALSE))</f>
        <v>MISS</v>
      </c>
      <c r="E168" t="str">
        <f>IF(AND(EXACT(D168,"FAC"),NOT(EXACT(MID(F168,9,3),"Neu"))),IF(OR(AND(EXACT(MID(F168,9,3),"Off"),EXACT(LEFT(F168,3),UPPER('Entry data'!$C$2))),AND(EXACT(MID(F168,9,3),"Def"),NOT(EXACT(LEFT(F168,3),UPPER('Entry data'!$C$2))))),"DZF","OZF"),"")</f>
        <v/>
      </c>
      <c r="F168" t="str">
        <f>IF($A168&gt;$A$1,"",VLOOKUP($A168,'NHL PBP'!$A:$L,12,FALSE))</f>
        <v>DET #2 SMITH, Slap, Wide of Net, Off. Zone, 55 ft.</v>
      </c>
      <c r="J168">
        <f>IF(EXACT('Entry data'!$C$3,"Road"),IF(ISBLANK(VLOOKUP(A168,'NHL PBP'!A:AH,21,FALSE)),3,IF(ISBLANK(VLOOKUP(A168,'NHL PBP'!A:AH,23,FALSE)),4,5)),IF(ISBLANK(VLOOKUP(A168,'NHL PBP'!A:AH,32,FALSE)),3,IF(ISBLANK(VLOOKUP(A168,'NHL PBP'!A:AH,34,FALSE)),4,5)))</f>
        <v>5</v>
      </c>
      <c r="K168">
        <f>IF(EXACT('Entry data'!$C$3,"Home"),IF(ISBLANK(VLOOKUP(A168,'NHL PBP'!A:AH,21,FALSE)),3,IF(ISBLANK(VLOOKUP(A168,'NHL PBP'!A:AH,23,FALSE)),4,5)),IF(ISBLANK(VLOOKUP(A168,'NHL PBP'!A:AH,32,FALSE)),3,IF(ISBLANK(VLOOKUP(A168,'NHL PBP'!A:AH,34,FALSE)),4,5)))</f>
        <v>5</v>
      </c>
      <c r="L168">
        <f>IF(OR(EXACT(D168,"C"),EXACT(D168,"P"),EXACT(D168,"D"),EXACT(D168,"T"),EXACT(D168,"X"),EXACT(E168,"DZF"),EXACT(E168,"OZF"),EXACT(D168,"N"),EXACT(D168,"F")),1,0)</f>
        <v>0</v>
      </c>
      <c r="M168" t="str">
        <f t="shared" si="8"/>
        <v/>
      </c>
      <c r="N168">
        <f t="shared" si="9"/>
        <v>1</v>
      </c>
      <c r="O168">
        <f t="shared" si="10"/>
        <v>0</v>
      </c>
      <c r="P168" t="str">
        <f t="shared" si="11"/>
        <v/>
      </c>
    </row>
    <row r="169" spans="1:16" x14ac:dyDescent="0.25">
      <c r="A169">
        <v>54</v>
      </c>
      <c r="B169">
        <f>IF(ISBLANK(VLOOKUP($A169,'Entry data'!$A:$K,2,FALSE)),"",VLOOKUP($A169,'Entry data'!$A:$K,2,FALSE))</f>
        <v>2</v>
      </c>
      <c r="C169">
        <f>IF(ISBLANK(VLOOKUP($A169,'Entry data'!$A:$K,3,FALSE)),"",VLOOKUP($A169,'Entry data'!$A:$K,3,FALSE))</f>
        <v>0.7583333333333333</v>
      </c>
      <c r="D169" t="str">
        <f>IF(ISBLANK(VLOOKUP($A169,'Entry data'!$A:$K,4,FALSE)),"",VLOOKUP($A169,'Entry data'!$A:$K,4,FALSE))</f>
        <v>D</v>
      </c>
      <c r="E169" t="str">
        <f>IF(ISBLANK(VLOOKUP($A169,'Entry data'!$A:$K,5,FALSE)),"",VLOOKUP($A169,'Entry data'!$A:$K,5,FALSE))</f>
        <v>59NSH</v>
      </c>
      <c r="F169" t="str">
        <f>IF(ISBLANK(VLOOKUP($A169,'Entry data'!$A:$K,6,FALSE)),"",VLOOKUP($A169,'Entry data'!$A:$K,6,FALSE))</f>
        <v>48DET</v>
      </c>
      <c r="G169" t="str">
        <f>IF(ISBLANK(VLOOKUP($A169,'Entry data'!$A:$K,7,FALSE)),"",VLOOKUP($A169,'Entry data'!$A:$K,7,FALSE))</f>
        <v/>
      </c>
      <c r="H169" t="str">
        <f>IF(ISBLANK(VLOOKUP($A169,'Entry data'!$A:$K,8,FALSE)),"",VLOOKUP($A169,'Entry data'!$A:$K,8,FALSE))</f>
        <v>L</v>
      </c>
      <c r="I169" t="str">
        <f>IF(ISBLANK(VLOOKUP($A169,'Entry data'!$A:$K,9,FALSE)),"",VLOOKUP($A169,'Entry data'!$A:$K,9,FALSE))</f>
        <v>N</v>
      </c>
      <c r="J169">
        <f>IF(ISBLANK(VLOOKUP($A169,'Entry data'!$A:$K,10,FALSE)),"",VLOOKUP($A169,'Entry data'!$A:$K,10,FALSE))</f>
        <v>5</v>
      </c>
      <c r="K169">
        <f>IF(ISBLANK(VLOOKUP($A169,'Entry data'!$A:$K,11,FALSE)),"",VLOOKUP($A169,'Entry data'!$A:$K,11,FALSE))</f>
        <v>5</v>
      </c>
      <c r="L169">
        <f>IF(OR(EXACT(D169,"C"),EXACT(D169,"P"),EXACT(D169,"D"),EXACT(D169,"T"),EXACT(D169,"X"),EXACT(E169,"DZF"),EXACT(E169,"OZF"),EXACT(D169,"N"),EXACT(D169,"F")),1,0)</f>
        <v>1</v>
      </c>
      <c r="M169" t="str">
        <f t="shared" si="8"/>
        <v/>
      </c>
      <c r="N169">
        <f t="shared" si="9"/>
        <v>0</v>
      </c>
      <c r="O169">
        <f t="shared" si="10"/>
        <v>0</v>
      </c>
      <c r="P169" t="str">
        <f t="shared" si="11"/>
        <v/>
      </c>
    </row>
    <row r="170" spans="1:16" x14ac:dyDescent="0.25">
      <c r="A170">
        <v>55</v>
      </c>
      <c r="B170">
        <f>IF(ISBLANK(VLOOKUP($A170,'Entry data'!$A:$K,2,FALSE)),"",VLOOKUP($A170,'Entry data'!$A:$K,2,FALSE))</f>
        <v>2</v>
      </c>
      <c r="C170">
        <f>IF(ISBLANK(VLOOKUP($A170,'Entry data'!$A:$K,3,FALSE)),"",VLOOKUP($A170,'Entry data'!$A:$K,3,FALSE))</f>
        <v>0.73541666666666661</v>
      </c>
      <c r="D170" t="str">
        <f>IF(ISBLANK(VLOOKUP($A170,'Entry data'!$A:$K,4,FALSE)),"",VLOOKUP($A170,'Entry data'!$A:$K,4,FALSE))</f>
        <v>C</v>
      </c>
      <c r="E170" t="str">
        <f>IF(ISBLANK(VLOOKUP($A170,'Entry data'!$A:$K,5,FALSE)),"",VLOOKUP($A170,'Entry data'!$A:$K,5,FALSE))</f>
        <v>38NSH</v>
      </c>
      <c r="F170" t="str">
        <f>IF(ISBLANK(VLOOKUP($A170,'Entry data'!$A:$K,6,FALSE)),"",VLOOKUP($A170,'Entry data'!$A:$K,6,FALSE))</f>
        <v>2DET</v>
      </c>
      <c r="G170" t="str">
        <f>IF(ISBLANK(VLOOKUP($A170,'Entry data'!$A:$K,7,FALSE)),"",VLOOKUP($A170,'Entry data'!$A:$K,7,FALSE))</f>
        <v>N</v>
      </c>
      <c r="H170" t="str">
        <f>IF(ISBLANK(VLOOKUP($A170,'Entry data'!$A:$K,8,FALSE)),"",VLOOKUP($A170,'Entry data'!$A:$K,8,FALSE))</f>
        <v>C</v>
      </c>
      <c r="I170" t="str">
        <f>IF(ISBLANK(VLOOKUP($A170,'Entry data'!$A:$K,9,FALSE)),"",VLOOKUP($A170,'Entry data'!$A:$K,9,FALSE))</f>
        <v>N</v>
      </c>
      <c r="J170">
        <f>IF(ISBLANK(VLOOKUP($A170,'Entry data'!$A:$K,10,FALSE)),"",VLOOKUP($A170,'Entry data'!$A:$K,10,FALSE))</f>
        <v>5</v>
      </c>
      <c r="K170">
        <f>IF(ISBLANK(VLOOKUP($A170,'Entry data'!$A:$K,11,FALSE)),"",VLOOKUP($A170,'Entry data'!$A:$K,11,FALSE))</f>
        <v>5</v>
      </c>
      <c r="L170">
        <f>IF(OR(EXACT(D170,"C"),EXACT(D170,"P"),EXACT(D170,"D"),EXACT(D170,"T"),EXACT(D170,"X"),EXACT(E170,"DZF"),EXACT(E170,"OZF"),EXACT(D170,"N"),EXACT(D170,"F")),1,0)</f>
        <v>1</v>
      </c>
      <c r="M170" t="str">
        <f t="shared" si="8"/>
        <v>38NSH</v>
      </c>
      <c r="N170">
        <f t="shared" si="9"/>
        <v>1</v>
      </c>
      <c r="O170">
        <f t="shared" si="10"/>
        <v>0</v>
      </c>
      <c r="P170" t="str">
        <f t="shared" si="11"/>
        <v/>
      </c>
    </row>
    <row r="171" spans="1:16" x14ac:dyDescent="0.25">
      <c r="A171">
        <v>115</v>
      </c>
      <c r="B171">
        <f>IF($A171&gt;$A$1,"",VLOOKUP($A171,'NHL PBP'!$A:$L,8,FALSE))</f>
        <v>2</v>
      </c>
      <c r="C171">
        <f>IF($A171&gt;$A$1,"",IF(B171&gt;3,5/24,20/24)-VLOOKUP($A171,'NHL PBP'!$A:$L,10,FALSE))</f>
        <v>0.73333333333333339</v>
      </c>
      <c r="D171" t="str">
        <f>IF($A171&gt;$A$1,"",VLOOKUP($A171,'NHL PBP'!$A:$L,11,FALSE))</f>
        <v>SHOT</v>
      </c>
      <c r="E171" t="str">
        <f>IF(AND(EXACT(D171,"FAC"),NOT(EXACT(MID(F171,9,3),"Neu"))),IF(OR(AND(EXACT(MID(F171,9,3),"Off"),EXACT(LEFT(F171,3),UPPER('Entry data'!$C$2))),AND(EXACT(MID(F171,9,3),"Def"),NOT(EXACT(LEFT(F171,3),UPPER('Entry data'!$C$2))))),"DZF","OZF"),"")</f>
        <v/>
      </c>
      <c r="F171" t="str">
        <f>IF($A171&gt;$A$1,"",VLOOKUP($A171,'NHL PBP'!$A:$L,12,FALSE))</f>
        <v>NSH ONGOAL - #38 ARVIDSSON, Wrist, Off. Zone, 30 ft.</v>
      </c>
      <c r="J171">
        <f>IF(EXACT('Entry data'!$C$3,"Road"),IF(ISBLANK(VLOOKUP(A171,'NHL PBP'!A:AH,21,FALSE)),3,IF(ISBLANK(VLOOKUP(A171,'NHL PBP'!A:AH,23,FALSE)),4,5)),IF(ISBLANK(VLOOKUP(A171,'NHL PBP'!A:AH,32,FALSE)),3,IF(ISBLANK(VLOOKUP(A171,'NHL PBP'!A:AH,34,FALSE)),4,5)))</f>
        <v>5</v>
      </c>
      <c r="K171">
        <f>IF(EXACT('Entry data'!$C$3,"Home"),IF(ISBLANK(VLOOKUP(A171,'NHL PBP'!A:AH,21,FALSE)),3,IF(ISBLANK(VLOOKUP(A171,'NHL PBP'!A:AH,23,FALSE)),4,5)),IF(ISBLANK(VLOOKUP(A171,'NHL PBP'!A:AH,32,FALSE)),3,IF(ISBLANK(VLOOKUP(A171,'NHL PBP'!A:AH,34,FALSE)),4,5)))</f>
        <v>5</v>
      </c>
      <c r="L171">
        <f>IF(OR(EXACT(D171,"C"),EXACT(D171,"P"),EXACT(D171,"D"),EXACT(D171,"T"),EXACT(D171,"X"),EXACT(E171,"DZF"),EXACT(E171,"OZF"),EXACT(D171,"N"),EXACT(D171,"F")),1,0)</f>
        <v>0</v>
      </c>
      <c r="M171" t="str">
        <f t="shared" si="8"/>
        <v/>
      </c>
      <c r="N171">
        <f t="shared" si="9"/>
        <v>1</v>
      </c>
      <c r="O171">
        <f t="shared" si="10"/>
        <v>0</v>
      </c>
      <c r="P171" t="str">
        <f t="shared" si="11"/>
        <v/>
      </c>
    </row>
    <row r="172" spans="1:16" x14ac:dyDescent="0.25">
      <c r="A172">
        <v>116</v>
      </c>
      <c r="B172">
        <f>IF($A172&gt;$A$1,"",VLOOKUP($A172,'NHL PBP'!$A:$L,8,FALSE))</f>
        <v>2</v>
      </c>
      <c r="C172">
        <f>IF($A172&gt;$A$1,"",IF(B172&gt;3,5/24,20/24)-VLOOKUP($A172,'NHL PBP'!$A:$L,10,FALSE))</f>
        <v>0.72291666666666665</v>
      </c>
      <c r="D172" t="str">
        <f>IF($A172&gt;$A$1,"",VLOOKUP($A172,'NHL PBP'!$A:$L,11,FALSE))</f>
        <v>TAKE</v>
      </c>
      <c r="E172" t="str">
        <f>IF(AND(EXACT(D172,"FAC"),NOT(EXACT(MID(F172,9,3),"Neu"))),IF(OR(AND(EXACT(MID(F172,9,3),"Off"),EXACT(LEFT(F172,3),UPPER('Entry data'!$C$2))),AND(EXACT(MID(F172,9,3),"Def"),NOT(EXACT(LEFT(F172,3),UPPER('Entry data'!$C$2))))),"DZF","OZF"),"")</f>
        <v/>
      </c>
      <c r="F172" t="str">
        <f>IF($A172&gt;$A$1,"",VLOOKUP($A172,'NHL PBP'!$A:$L,12,FALSE))</f>
        <v>DET TAKEAWAY - #62 VANEK, Off. Zone</v>
      </c>
      <c r="J172">
        <f>IF(EXACT('Entry data'!$C$3,"Road"),IF(ISBLANK(VLOOKUP(A172,'NHL PBP'!A:AH,21,FALSE)),3,IF(ISBLANK(VLOOKUP(A172,'NHL PBP'!A:AH,23,FALSE)),4,5)),IF(ISBLANK(VLOOKUP(A172,'NHL PBP'!A:AH,32,FALSE)),3,IF(ISBLANK(VLOOKUP(A172,'NHL PBP'!A:AH,34,FALSE)),4,5)))</f>
        <v>5</v>
      </c>
      <c r="K172">
        <f>IF(EXACT('Entry data'!$C$3,"Home"),IF(ISBLANK(VLOOKUP(A172,'NHL PBP'!A:AH,21,FALSE)),3,IF(ISBLANK(VLOOKUP(A172,'NHL PBP'!A:AH,23,FALSE)),4,5)),IF(ISBLANK(VLOOKUP(A172,'NHL PBP'!A:AH,32,FALSE)),3,IF(ISBLANK(VLOOKUP(A172,'NHL PBP'!A:AH,34,FALSE)),4,5)))</f>
        <v>5</v>
      </c>
      <c r="L172">
        <f>IF(OR(EXACT(D172,"C"),EXACT(D172,"P"),EXACT(D172,"D"),EXACT(D172,"T"),EXACT(D172,"X"),EXACT(E172,"DZF"),EXACT(E172,"OZF"),EXACT(D172,"N"),EXACT(D172,"F")),1,0)</f>
        <v>0</v>
      </c>
      <c r="M172" t="str">
        <f t="shared" si="8"/>
        <v/>
      </c>
      <c r="N172">
        <f t="shared" si="9"/>
        <v>0</v>
      </c>
      <c r="O172">
        <f t="shared" si="10"/>
        <v>0</v>
      </c>
      <c r="P172" t="str">
        <f t="shared" si="11"/>
        <v/>
      </c>
    </row>
    <row r="173" spans="1:16" x14ac:dyDescent="0.25">
      <c r="A173">
        <v>56</v>
      </c>
      <c r="B173">
        <f>IF(ISBLANK(VLOOKUP($A173,'Entry data'!$A:$K,2,FALSE)),"",VLOOKUP($A173,'Entry data'!$A:$K,2,FALSE))</f>
        <v>2</v>
      </c>
      <c r="C173">
        <f>IF(ISBLANK(VLOOKUP($A173,'Entry data'!$A:$K,3,FALSE)),"",VLOOKUP($A173,'Entry data'!$A:$K,3,FALSE))</f>
        <v>0.72083333333333333</v>
      </c>
      <c r="D173" t="str">
        <f>IF(ISBLANK(VLOOKUP($A173,'Entry data'!$A:$K,4,FALSE)),"",VLOOKUP($A173,'Entry data'!$A:$K,4,FALSE))</f>
        <v>C</v>
      </c>
      <c r="E173" t="str">
        <f>IF(ISBLANK(VLOOKUP($A173,'Entry data'!$A:$K,5,FALSE)),"",VLOOKUP($A173,'Entry data'!$A:$K,5,FALSE))</f>
        <v>10NSH</v>
      </c>
      <c r="F173" t="str">
        <f>IF(ISBLANK(VLOOKUP($A173,'Entry data'!$A:$K,6,FALSE)),"",VLOOKUP($A173,'Entry data'!$A:$K,6,FALSE))</f>
        <v>52DET</v>
      </c>
      <c r="G173" t="str">
        <f>IF(ISBLANK(VLOOKUP($A173,'Entry data'!$A:$K,7,FALSE)),"",VLOOKUP($A173,'Entry data'!$A:$K,7,FALSE))</f>
        <v>Y</v>
      </c>
      <c r="H173" t="str">
        <f>IF(ISBLANK(VLOOKUP($A173,'Entry data'!$A:$K,8,FALSE)),"",VLOOKUP($A173,'Entry data'!$A:$K,8,FALSE))</f>
        <v>R</v>
      </c>
      <c r="I173" t="str">
        <f>IF(ISBLANK(VLOOKUP($A173,'Entry data'!$A:$K,9,FALSE)),"",VLOOKUP($A173,'Entry data'!$A:$K,9,FALSE))</f>
        <v>N</v>
      </c>
      <c r="J173">
        <f>IF(ISBLANK(VLOOKUP($A173,'Entry data'!$A:$K,10,FALSE)),"",VLOOKUP($A173,'Entry data'!$A:$K,10,FALSE))</f>
        <v>5</v>
      </c>
      <c r="K173">
        <f>IF(ISBLANK(VLOOKUP($A173,'Entry data'!$A:$K,11,FALSE)),"",VLOOKUP($A173,'Entry data'!$A:$K,11,FALSE))</f>
        <v>5</v>
      </c>
      <c r="L173">
        <f>IF(OR(EXACT(D173,"C"),EXACT(D173,"P"),EXACT(D173,"D"),EXACT(D173,"T"),EXACT(D173,"X"),EXACT(E173,"DZF"),EXACT(E173,"OZF"),EXACT(D173,"N"),EXACT(D173,"F")),1,0)</f>
        <v>1</v>
      </c>
      <c r="M173" t="str">
        <f t="shared" si="8"/>
        <v>10NSH</v>
      </c>
      <c r="N173">
        <f t="shared" si="9"/>
        <v>0</v>
      </c>
      <c r="O173">
        <f t="shared" si="10"/>
        <v>0</v>
      </c>
      <c r="P173" t="str">
        <f t="shared" si="11"/>
        <v/>
      </c>
    </row>
    <row r="174" spans="1:16" x14ac:dyDescent="0.25">
      <c r="A174">
        <v>57</v>
      </c>
      <c r="B174">
        <f>IF(ISBLANK(VLOOKUP($A174,'Entry data'!$A:$K,2,FALSE)),"",VLOOKUP($A174,'Entry data'!$A:$K,2,FALSE))</f>
        <v>2</v>
      </c>
      <c r="C174">
        <f>IF(ISBLANK(VLOOKUP($A174,'Entry data'!$A:$K,3,FALSE)),"",VLOOKUP($A174,'Entry data'!$A:$K,3,FALSE))</f>
        <v>0.71180555555555547</v>
      </c>
      <c r="D174" t="str">
        <f>IF(ISBLANK(VLOOKUP($A174,'Entry data'!$A:$K,4,FALSE)),"",VLOOKUP($A174,'Entry data'!$A:$K,4,FALSE))</f>
        <v>X</v>
      </c>
      <c r="E174" t="str">
        <f>IF(ISBLANK(VLOOKUP($A174,'Entry data'!$A:$K,5,FALSE)),"",VLOOKUP($A174,'Entry data'!$A:$K,5,FALSE))</f>
        <v>DET</v>
      </c>
      <c r="F174" t="str">
        <f>IF(ISBLANK(VLOOKUP($A174,'Entry data'!$A:$K,6,FALSE)),"",VLOOKUP($A174,'Entry data'!$A:$K,6,FALSE))</f>
        <v/>
      </c>
      <c r="G174" t="str">
        <f>IF(ISBLANK(VLOOKUP($A174,'Entry data'!$A:$K,7,FALSE)),"",VLOOKUP($A174,'Entry data'!$A:$K,7,FALSE))</f>
        <v/>
      </c>
      <c r="H174" t="str">
        <f>IF(ISBLANK(VLOOKUP($A174,'Entry data'!$A:$K,8,FALSE)),"",VLOOKUP($A174,'Entry data'!$A:$K,8,FALSE))</f>
        <v/>
      </c>
      <c r="I174" t="str">
        <f>IF(ISBLANK(VLOOKUP($A174,'Entry data'!$A:$K,9,FALSE)),"",VLOOKUP($A174,'Entry data'!$A:$K,9,FALSE))</f>
        <v>N</v>
      </c>
      <c r="J174">
        <f>IF(ISBLANK(VLOOKUP($A174,'Entry data'!$A:$K,10,FALSE)),"",VLOOKUP($A174,'Entry data'!$A:$K,10,FALSE))</f>
        <v>5</v>
      </c>
      <c r="K174">
        <f>IF(ISBLANK(VLOOKUP($A174,'Entry data'!$A:$K,11,FALSE)),"",VLOOKUP($A174,'Entry data'!$A:$K,11,FALSE))</f>
        <v>5</v>
      </c>
      <c r="L174">
        <f>IF(OR(EXACT(D174,"C"),EXACT(D174,"P"),EXACT(D174,"D"),EXACT(D174,"T"),EXACT(D174,"X"),EXACT(E174,"DZF"),EXACT(E174,"OZF"),EXACT(D174,"N"),EXACT(D174,"F")),1,0)</f>
        <v>1</v>
      </c>
      <c r="M174" t="str">
        <f t="shared" si="8"/>
        <v/>
      </c>
      <c r="N174">
        <f t="shared" si="9"/>
        <v>3</v>
      </c>
      <c r="O174">
        <f t="shared" si="10"/>
        <v>0</v>
      </c>
      <c r="P174" t="str">
        <f t="shared" si="11"/>
        <v/>
      </c>
    </row>
    <row r="175" spans="1:16" x14ac:dyDescent="0.25">
      <c r="A175">
        <v>117</v>
      </c>
      <c r="B175">
        <f>IF($A175&gt;$A$1,"",VLOOKUP($A175,'NHL PBP'!$A:$L,8,FALSE))</f>
        <v>2</v>
      </c>
      <c r="C175">
        <f>IF($A175&gt;$A$1,"",IF(B175&gt;3,5/24,20/24)-VLOOKUP($A175,'NHL PBP'!$A:$L,10,FALSE))</f>
        <v>0.71111111111111114</v>
      </c>
      <c r="D175" t="str">
        <f>IF($A175&gt;$A$1,"",VLOOKUP($A175,'NHL PBP'!$A:$L,11,FALSE))</f>
        <v>HIT</v>
      </c>
      <c r="E175" t="str">
        <f>IF(AND(EXACT(D175,"FAC"),NOT(EXACT(MID(F175,9,3),"Neu"))),IF(OR(AND(EXACT(MID(F175,9,3),"Off"),EXACT(LEFT(F175,3),UPPER('Entry data'!$C$2))),AND(EXACT(MID(F175,9,3),"Def"),NOT(EXACT(LEFT(F175,3),UPPER('Entry data'!$C$2))))),"DZF","OZF"),"")</f>
        <v/>
      </c>
      <c r="F175" t="str">
        <f>IF($A175&gt;$A$1,"",VLOOKUP($A175,'NHL PBP'!$A:$L,12,FALSE))</f>
        <v>DET #41 GLENDENING HIT NSH #14 EKHOLM, Off. Zone</v>
      </c>
      <c r="J175">
        <f>IF(EXACT('Entry data'!$C$3,"Road"),IF(ISBLANK(VLOOKUP(A175,'NHL PBP'!A:AH,21,FALSE)),3,IF(ISBLANK(VLOOKUP(A175,'NHL PBP'!A:AH,23,FALSE)),4,5)),IF(ISBLANK(VLOOKUP(A175,'NHL PBP'!A:AH,32,FALSE)),3,IF(ISBLANK(VLOOKUP(A175,'NHL PBP'!A:AH,34,FALSE)),4,5)))</f>
        <v>5</v>
      </c>
      <c r="K175">
        <f>IF(EXACT('Entry data'!$C$3,"Home"),IF(ISBLANK(VLOOKUP(A175,'NHL PBP'!A:AH,21,FALSE)),3,IF(ISBLANK(VLOOKUP(A175,'NHL PBP'!A:AH,23,FALSE)),4,5)),IF(ISBLANK(VLOOKUP(A175,'NHL PBP'!A:AH,32,FALSE)),3,IF(ISBLANK(VLOOKUP(A175,'NHL PBP'!A:AH,34,FALSE)),4,5)))</f>
        <v>5</v>
      </c>
      <c r="L175">
        <f>IF(OR(EXACT(D175,"C"),EXACT(D175,"P"),EXACT(D175,"D"),EXACT(D175,"T"),EXACT(D175,"X"),EXACT(E175,"DZF"),EXACT(E175,"OZF"),EXACT(D175,"N"),EXACT(D175,"F")),1,0)</f>
        <v>0</v>
      </c>
      <c r="M175" t="str">
        <f t="shared" si="8"/>
        <v/>
      </c>
      <c r="N175">
        <f t="shared" si="9"/>
        <v>3</v>
      </c>
      <c r="O175">
        <f t="shared" si="10"/>
        <v>0</v>
      </c>
      <c r="P175" t="str">
        <f t="shared" si="11"/>
        <v/>
      </c>
    </row>
    <row r="176" spans="1:16" x14ac:dyDescent="0.25">
      <c r="A176">
        <v>118</v>
      </c>
      <c r="B176">
        <f>IF($A176&gt;$A$1,"",VLOOKUP($A176,'NHL PBP'!$A:$L,8,FALSE))</f>
        <v>2</v>
      </c>
      <c r="C176">
        <f>IF($A176&gt;$A$1,"",IF(B176&gt;3,5/24,20/24)-VLOOKUP($A176,'NHL PBP'!$A:$L,10,FALSE))</f>
        <v>0.70486111111111116</v>
      </c>
      <c r="D176" t="str">
        <f>IF($A176&gt;$A$1,"",VLOOKUP($A176,'NHL PBP'!$A:$L,11,FALSE))</f>
        <v>BLOCK</v>
      </c>
      <c r="E176" t="str">
        <f>IF(AND(EXACT(D176,"FAC"),NOT(EXACT(MID(F176,9,3),"Neu"))),IF(OR(AND(EXACT(MID(F176,9,3),"Off"),EXACT(LEFT(F176,3),UPPER('Entry data'!$C$2))),AND(EXACT(MID(F176,9,3),"Def"),NOT(EXACT(LEFT(F176,3),UPPER('Entry data'!$C$2))))),"DZF","OZF"),"")</f>
        <v/>
      </c>
      <c r="F176" t="str">
        <f>IF($A176&gt;$A$1,"",VLOOKUP($A176,'NHL PBP'!$A:$L,12,FALSE))</f>
        <v>DET #53 MARCHENKO BLOCKED BY NSH #10 SISSONS, Slap, Def. Zone</v>
      </c>
      <c r="J176">
        <f>IF(EXACT('Entry data'!$C$3,"Road"),IF(ISBLANK(VLOOKUP(A176,'NHL PBP'!A:AH,21,FALSE)),3,IF(ISBLANK(VLOOKUP(A176,'NHL PBP'!A:AH,23,FALSE)),4,5)),IF(ISBLANK(VLOOKUP(A176,'NHL PBP'!A:AH,32,FALSE)),3,IF(ISBLANK(VLOOKUP(A176,'NHL PBP'!A:AH,34,FALSE)),4,5)))</f>
        <v>5</v>
      </c>
      <c r="K176">
        <f>IF(EXACT('Entry data'!$C$3,"Home"),IF(ISBLANK(VLOOKUP(A176,'NHL PBP'!A:AH,21,FALSE)),3,IF(ISBLANK(VLOOKUP(A176,'NHL PBP'!A:AH,23,FALSE)),4,5)),IF(ISBLANK(VLOOKUP(A176,'NHL PBP'!A:AH,32,FALSE)),3,IF(ISBLANK(VLOOKUP(A176,'NHL PBP'!A:AH,34,FALSE)),4,5)))</f>
        <v>5</v>
      </c>
      <c r="L176">
        <f>IF(OR(EXACT(D176,"C"),EXACT(D176,"P"),EXACT(D176,"D"),EXACT(D176,"T"),EXACT(D176,"X"),EXACT(E176,"DZF"),EXACT(E176,"OZF"),EXACT(D176,"N"),EXACT(D176,"F")),1,0)</f>
        <v>0</v>
      </c>
      <c r="M176" t="str">
        <f t="shared" si="8"/>
        <v/>
      </c>
      <c r="N176">
        <f t="shared" si="9"/>
        <v>3</v>
      </c>
      <c r="O176">
        <f t="shared" si="10"/>
        <v>0</v>
      </c>
      <c r="P176" t="str">
        <f t="shared" si="11"/>
        <v/>
      </c>
    </row>
    <row r="177" spans="1:16" x14ac:dyDescent="0.25">
      <c r="A177">
        <v>119</v>
      </c>
      <c r="B177">
        <f>IF($A177&gt;$A$1,"",VLOOKUP($A177,'NHL PBP'!$A:$L,8,FALSE))</f>
        <v>2</v>
      </c>
      <c r="C177">
        <f>IF($A177&gt;$A$1,"",IF(B177&gt;3,5/24,20/24)-VLOOKUP($A177,'NHL PBP'!$A:$L,10,FALSE))</f>
        <v>0.70000000000000007</v>
      </c>
      <c r="D177" t="str">
        <f>IF($A177&gt;$A$1,"",VLOOKUP($A177,'NHL PBP'!$A:$L,11,FALSE))</f>
        <v>SHOT</v>
      </c>
      <c r="E177" t="str">
        <f>IF(AND(EXACT(D177,"FAC"),NOT(EXACT(MID(F177,9,3),"Neu"))),IF(OR(AND(EXACT(MID(F177,9,3),"Off"),EXACT(LEFT(F177,3),UPPER('Entry data'!$C$2))),AND(EXACT(MID(F177,9,3),"Def"),NOT(EXACT(LEFT(F177,3),UPPER('Entry data'!$C$2))))),"DZF","OZF"),"")</f>
        <v/>
      </c>
      <c r="F177" t="str">
        <f>IF($A177&gt;$A$1,"",VLOOKUP($A177,'NHL PBP'!$A:$L,12,FALSE))</f>
        <v>DET ONGOAL - #20 MILLER, Wrist, Off. Zone, 14 ft.</v>
      </c>
      <c r="J177">
        <f>IF(EXACT('Entry data'!$C$3,"Road"),IF(ISBLANK(VLOOKUP(A177,'NHL PBP'!A:AH,21,FALSE)),3,IF(ISBLANK(VLOOKUP(A177,'NHL PBP'!A:AH,23,FALSE)),4,5)),IF(ISBLANK(VLOOKUP(A177,'NHL PBP'!A:AH,32,FALSE)),3,IF(ISBLANK(VLOOKUP(A177,'NHL PBP'!A:AH,34,FALSE)),4,5)))</f>
        <v>5</v>
      </c>
      <c r="K177">
        <f>IF(EXACT('Entry data'!$C$3,"Home"),IF(ISBLANK(VLOOKUP(A177,'NHL PBP'!A:AH,21,FALSE)),3,IF(ISBLANK(VLOOKUP(A177,'NHL PBP'!A:AH,23,FALSE)),4,5)),IF(ISBLANK(VLOOKUP(A177,'NHL PBP'!A:AH,32,FALSE)),3,IF(ISBLANK(VLOOKUP(A177,'NHL PBP'!A:AH,34,FALSE)),4,5)))</f>
        <v>5</v>
      </c>
      <c r="L177">
        <f>IF(OR(EXACT(D177,"C"),EXACT(D177,"P"),EXACT(D177,"D"),EXACT(D177,"T"),EXACT(D177,"X"),EXACT(E177,"DZF"),EXACT(E177,"OZF"),EXACT(D177,"N"),EXACT(D177,"F")),1,0)</f>
        <v>0</v>
      </c>
      <c r="M177" t="str">
        <f t="shared" si="8"/>
        <v/>
      </c>
      <c r="N177">
        <f t="shared" si="9"/>
        <v>3</v>
      </c>
      <c r="O177">
        <f t="shared" si="10"/>
        <v>0</v>
      </c>
      <c r="P177" t="str">
        <f t="shared" si="11"/>
        <v/>
      </c>
    </row>
    <row r="178" spans="1:16" x14ac:dyDescent="0.25">
      <c r="A178">
        <v>120</v>
      </c>
      <c r="B178">
        <f>IF($A178&gt;$A$1,"",VLOOKUP($A178,'NHL PBP'!$A:$L,8,FALSE))</f>
        <v>2</v>
      </c>
      <c r="C178">
        <f>IF($A178&gt;$A$1,"",IF(B178&gt;3,5/24,20/24)-VLOOKUP($A178,'NHL PBP'!$A:$L,10,FALSE))</f>
        <v>0.69652777777777786</v>
      </c>
      <c r="D178" t="str">
        <f>IF($A178&gt;$A$1,"",VLOOKUP($A178,'NHL PBP'!$A:$L,11,FALSE))</f>
        <v>SHOT</v>
      </c>
      <c r="E178" t="str">
        <f>IF(AND(EXACT(D178,"FAC"),NOT(EXACT(MID(F178,9,3),"Neu"))),IF(OR(AND(EXACT(MID(F178,9,3),"Off"),EXACT(LEFT(F178,3),UPPER('Entry data'!$C$2))),AND(EXACT(MID(F178,9,3),"Def"),NOT(EXACT(LEFT(F178,3),UPPER('Entry data'!$C$2))))),"DZF","OZF"),"")</f>
        <v/>
      </c>
      <c r="F178" t="str">
        <f>IF($A178&gt;$A$1,"",VLOOKUP($A178,'NHL PBP'!$A:$L,12,FALSE))</f>
        <v>DET ONGOAL - #29 OTT, Deflected, Off. Zone, 12 ft.</v>
      </c>
      <c r="J178">
        <f>IF(EXACT('Entry data'!$C$3,"Road"),IF(ISBLANK(VLOOKUP(A178,'NHL PBP'!A:AH,21,FALSE)),3,IF(ISBLANK(VLOOKUP(A178,'NHL PBP'!A:AH,23,FALSE)),4,5)),IF(ISBLANK(VLOOKUP(A178,'NHL PBP'!A:AH,32,FALSE)),3,IF(ISBLANK(VLOOKUP(A178,'NHL PBP'!A:AH,34,FALSE)),4,5)))</f>
        <v>5</v>
      </c>
      <c r="K178">
        <f>IF(EXACT('Entry data'!$C$3,"Home"),IF(ISBLANK(VLOOKUP(A178,'NHL PBP'!A:AH,21,FALSE)),3,IF(ISBLANK(VLOOKUP(A178,'NHL PBP'!A:AH,23,FALSE)),4,5)),IF(ISBLANK(VLOOKUP(A178,'NHL PBP'!A:AH,32,FALSE)),3,IF(ISBLANK(VLOOKUP(A178,'NHL PBP'!A:AH,34,FALSE)),4,5)))</f>
        <v>5</v>
      </c>
      <c r="L178">
        <f>IF(OR(EXACT(D178,"C"),EXACT(D178,"P"),EXACT(D178,"D"),EXACT(D178,"T"),EXACT(D178,"X"),EXACT(E178,"DZF"),EXACT(E178,"OZF"),EXACT(D178,"N"),EXACT(D178,"F")),1,0)</f>
        <v>0</v>
      </c>
      <c r="M178" t="str">
        <f t="shared" si="8"/>
        <v/>
      </c>
      <c r="N178">
        <f t="shared" si="9"/>
        <v>2</v>
      </c>
      <c r="O178">
        <f t="shared" si="10"/>
        <v>0</v>
      </c>
      <c r="P178" t="str">
        <f t="shared" si="11"/>
        <v/>
      </c>
    </row>
    <row r="179" spans="1:16" x14ac:dyDescent="0.25">
      <c r="A179">
        <v>121</v>
      </c>
      <c r="B179">
        <f>IF($A179&gt;$A$1,"",VLOOKUP($A179,'NHL PBP'!$A:$L,8,FALSE))</f>
        <v>2</v>
      </c>
      <c r="C179">
        <f>IF($A179&gt;$A$1,"",IF(B179&gt;3,5/24,20/24)-VLOOKUP($A179,'NHL PBP'!$A:$L,10,FALSE))</f>
        <v>0.69444444444444442</v>
      </c>
      <c r="D179" t="str">
        <f>IF($A179&gt;$A$1,"",VLOOKUP($A179,'NHL PBP'!$A:$L,11,FALSE))</f>
        <v>HIT</v>
      </c>
      <c r="E179" t="str">
        <f>IF(AND(EXACT(D179,"FAC"),NOT(EXACT(MID(F179,9,3),"Neu"))),IF(OR(AND(EXACT(MID(F179,9,3),"Off"),EXACT(LEFT(F179,3),UPPER('Entry data'!$C$2))),AND(EXACT(MID(F179,9,3),"Def"),NOT(EXACT(LEFT(F179,3),UPPER('Entry data'!$C$2))))),"DZF","OZF"),"")</f>
        <v/>
      </c>
      <c r="F179" t="str">
        <f>IF($A179&gt;$A$1,"",VLOOKUP($A179,'NHL PBP'!$A:$L,12,FALSE))</f>
        <v>NSH #9 FORSBERG HIT DET #29 OTT, Def. Zone</v>
      </c>
      <c r="J179">
        <f>IF(EXACT('Entry data'!$C$3,"Road"),IF(ISBLANK(VLOOKUP(A179,'NHL PBP'!A:AH,21,FALSE)),3,IF(ISBLANK(VLOOKUP(A179,'NHL PBP'!A:AH,23,FALSE)),4,5)),IF(ISBLANK(VLOOKUP(A179,'NHL PBP'!A:AH,32,FALSE)),3,IF(ISBLANK(VLOOKUP(A179,'NHL PBP'!A:AH,34,FALSE)),4,5)))</f>
        <v>5</v>
      </c>
      <c r="K179">
        <f>IF(EXACT('Entry data'!$C$3,"Home"),IF(ISBLANK(VLOOKUP(A179,'NHL PBP'!A:AH,21,FALSE)),3,IF(ISBLANK(VLOOKUP(A179,'NHL PBP'!A:AH,23,FALSE)),4,5)),IF(ISBLANK(VLOOKUP(A179,'NHL PBP'!A:AH,32,FALSE)),3,IF(ISBLANK(VLOOKUP(A179,'NHL PBP'!A:AH,34,FALSE)),4,5)))</f>
        <v>5</v>
      </c>
      <c r="L179">
        <f>IF(OR(EXACT(D179,"C"),EXACT(D179,"P"),EXACT(D179,"D"),EXACT(D179,"T"),EXACT(D179,"X"),EXACT(E179,"DZF"),EXACT(E179,"OZF"),EXACT(D179,"N"),EXACT(D179,"F")),1,0)</f>
        <v>0</v>
      </c>
      <c r="M179" t="str">
        <f t="shared" si="8"/>
        <v/>
      </c>
      <c r="N179">
        <f t="shared" si="9"/>
        <v>1</v>
      </c>
      <c r="O179">
        <f t="shared" si="10"/>
        <v>0</v>
      </c>
      <c r="P179" t="str">
        <f t="shared" si="11"/>
        <v/>
      </c>
    </row>
    <row r="180" spans="1:16" x14ac:dyDescent="0.25">
      <c r="A180">
        <v>122</v>
      </c>
      <c r="B180">
        <f>IF($A180&gt;$A$1,"",VLOOKUP($A180,'NHL PBP'!$A:$L,8,FALSE))</f>
        <v>2</v>
      </c>
      <c r="C180">
        <f>IF($A180&gt;$A$1,"",IF(B180&gt;3,5/24,20/24)-VLOOKUP($A180,'NHL PBP'!$A:$L,10,FALSE))</f>
        <v>0.6875</v>
      </c>
      <c r="D180" t="str">
        <f>IF($A180&gt;$A$1,"",VLOOKUP($A180,'NHL PBP'!$A:$L,11,FALSE))</f>
        <v>SHOT</v>
      </c>
      <c r="E180" t="str">
        <f>IF(AND(EXACT(D180,"FAC"),NOT(EXACT(MID(F180,9,3),"Neu"))),IF(OR(AND(EXACT(MID(F180,9,3),"Off"),EXACT(LEFT(F180,3),UPPER('Entry data'!$C$2))),AND(EXACT(MID(F180,9,3),"Def"),NOT(EXACT(LEFT(F180,3),UPPER('Entry data'!$C$2))))),"DZF","OZF"),"")</f>
        <v/>
      </c>
      <c r="F180" t="str">
        <f>IF($A180&gt;$A$1,"",VLOOKUP($A180,'NHL PBP'!$A:$L,12,FALSE))</f>
        <v>DET ONGOAL - #29 OTT, Deflected, Off. Zone, 13 ft.</v>
      </c>
      <c r="J180">
        <f>IF(EXACT('Entry data'!$C$3,"Road"),IF(ISBLANK(VLOOKUP(A180,'NHL PBP'!A:AH,21,FALSE)),3,IF(ISBLANK(VLOOKUP(A180,'NHL PBP'!A:AH,23,FALSE)),4,5)),IF(ISBLANK(VLOOKUP(A180,'NHL PBP'!A:AH,32,FALSE)),3,IF(ISBLANK(VLOOKUP(A180,'NHL PBP'!A:AH,34,FALSE)),4,5)))</f>
        <v>5</v>
      </c>
      <c r="K180">
        <f>IF(EXACT('Entry data'!$C$3,"Home"),IF(ISBLANK(VLOOKUP(A180,'NHL PBP'!A:AH,21,FALSE)),3,IF(ISBLANK(VLOOKUP(A180,'NHL PBP'!A:AH,23,FALSE)),4,5)),IF(ISBLANK(VLOOKUP(A180,'NHL PBP'!A:AH,32,FALSE)),3,IF(ISBLANK(VLOOKUP(A180,'NHL PBP'!A:AH,34,FALSE)),4,5)))</f>
        <v>5</v>
      </c>
      <c r="L180">
        <f>IF(OR(EXACT(D180,"C"),EXACT(D180,"P"),EXACT(D180,"D"),EXACT(D180,"T"),EXACT(D180,"X"),EXACT(E180,"DZF"),EXACT(E180,"OZF"),EXACT(D180,"N"),EXACT(D180,"F")),1,0)</f>
        <v>0</v>
      </c>
      <c r="M180" t="str">
        <f t="shared" si="8"/>
        <v/>
      </c>
      <c r="N180">
        <f t="shared" si="9"/>
        <v>1</v>
      </c>
      <c r="O180">
        <f t="shared" si="10"/>
        <v>0</v>
      </c>
      <c r="P180" t="str">
        <f t="shared" si="11"/>
        <v/>
      </c>
    </row>
    <row r="181" spans="1:16" x14ac:dyDescent="0.25">
      <c r="A181">
        <v>123</v>
      </c>
      <c r="B181">
        <f>IF($A181&gt;$A$1,"",VLOOKUP($A181,'NHL PBP'!$A:$L,8,FALSE))</f>
        <v>2</v>
      </c>
      <c r="C181">
        <f>IF($A181&gt;$A$1,"",IF(B181&gt;3,5/24,20/24)-VLOOKUP($A181,'NHL PBP'!$A:$L,10,FALSE))</f>
        <v>0.68680555555555556</v>
      </c>
      <c r="D181" t="str">
        <f>IF($A181&gt;$A$1,"",VLOOKUP($A181,'NHL PBP'!$A:$L,11,FALSE))</f>
        <v>STOP</v>
      </c>
      <c r="E181" t="str">
        <f>IF(AND(EXACT(D181,"FAC"),NOT(EXACT(MID(F181,9,3),"Neu"))),IF(OR(AND(EXACT(MID(F181,9,3),"Off"),EXACT(LEFT(F181,3),UPPER('Entry data'!$C$2))),AND(EXACT(MID(F181,9,3),"Def"),NOT(EXACT(LEFT(F181,3),UPPER('Entry data'!$C$2))))),"DZF","OZF"),"")</f>
        <v/>
      </c>
      <c r="F181" t="str">
        <f>IF($A181&gt;$A$1,"",VLOOKUP($A181,'NHL PBP'!$A:$L,12,FALSE))</f>
        <v>GOALIE STOPPED,RINK REPAIR</v>
      </c>
      <c r="J181">
        <f>IF(EXACT('Entry data'!$C$3,"Road"),IF(ISBLANK(VLOOKUP(A181,'NHL PBP'!A:AH,21,FALSE)),3,IF(ISBLANK(VLOOKUP(A181,'NHL PBP'!A:AH,23,FALSE)),4,5)),IF(ISBLANK(VLOOKUP(A181,'NHL PBP'!A:AH,32,FALSE)),3,IF(ISBLANK(VLOOKUP(A181,'NHL PBP'!A:AH,34,FALSE)),4,5)))</f>
        <v>5</v>
      </c>
      <c r="K181">
        <f>IF(EXACT('Entry data'!$C$3,"Home"),IF(ISBLANK(VLOOKUP(A181,'NHL PBP'!A:AH,21,FALSE)),3,IF(ISBLANK(VLOOKUP(A181,'NHL PBP'!A:AH,23,FALSE)),4,5)),IF(ISBLANK(VLOOKUP(A181,'NHL PBP'!A:AH,32,FALSE)),3,IF(ISBLANK(VLOOKUP(A181,'NHL PBP'!A:AH,34,FALSE)),4,5)))</f>
        <v>5</v>
      </c>
      <c r="L181">
        <f>IF(OR(EXACT(D181,"C"),EXACT(D181,"P"),EXACT(D181,"D"),EXACT(D181,"T"),EXACT(D181,"X"),EXACT(E181,"DZF"),EXACT(E181,"OZF"),EXACT(D181,"N"),EXACT(D181,"F")),1,0)</f>
        <v>0</v>
      </c>
      <c r="M181" t="str">
        <f t="shared" si="8"/>
        <v/>
      </c>
      <c r="N181">
        <f t="shared" si="9"/>
        <v>0</v>
      </c>
      <c r="O181">
        <f t="shared" si="10"/>
        <v>0</v>
      </c>
      <c r="P181" t="str">
        <f t="shared" si="11"/>
        <v/>
      </c>
    </row>
    <row r="182" spans="1:16" x14ac:dyDescent="0.25">
      <c r="A182">
        <v>124</v>
      </c>
      <c r="B182">
        <f>IF($A182&gt;$A$1,"",VLOOKUP($A182,'NHL PBP'!$A:$L,8,FALSE))</f>
        <v>2</v>
      </c>
      <c r="C182">
        <f>IF($A182&gt;$A$1,"",IF(B182&gt;3,5/24,20/24)-VLOOKUP($A182,'NHL PBP'!$A:$L,10,FALSE))</f>
        <v>0.68680555555555556</v>
      </c>
      <c r="D182" t="str">
        <f>IF($A182&gt;$A$1,"",VLOOKUP($A182,'NHL PBP'!$A:$L,11,FALSE))</f>
        <v>FAC</v>
      </c>
      <c r="E182" t="str">
        <f>IF(AND(EXACT(D182,"FAC"),NOT(EXACT(MID(F182,9,3),"Neu"))),IF(OR(AND(EXACT(MID(F182,9,3),"Off"),EXACT(LEFT(F182,3),UPPER('Entry data'!$C$2))),AND(EXACT(MID(F182,9,3),"Def"),NOT(EXACT(LEFT(F182,3),UPPER('Entry data'!$C$2))))),"DZF","OZF"),"")</f>
        <v>OZF</v>
      </c>
      <c r="F182" t="str">
        <f>IF($A182&gt;$A$1,"",VLOOKUP($A182,'NHL PBP'!$A:$L,12,FALSE))</f>
        <v>NSH won Def. Zone - NSH #19 JARNKROK vs DET #51 NIELSEN</v>
      </c>
      <c r="J182">
        <f>IF(EXACT('Entry data'!$C$3,"Road"),IF(ISBLANK(VLOOKUP(A182,'NHL PBP'!A:AH,21,FALSE)),3,IF(ISBLANK(VLOOKUP(A182,'NHL PBP'!A:AH,23,FALSE)),4,5)),IF(ISBLANK(VLOOKUP(A182,'NHL PBP'!A:AH,32,FALSE)),3,IF(ISBLANK(VLOOKUP(A182,'NHL PBP'!A:AH,34,FALSE)),4,5)))</f>
        <v>5</v>
      </c>
      <c r="K182">
        <f>IF(EXACT('Entry data'!$C$3,"Home"),IF(ISBLANK(VLOOKUP(A182,'NHL PBP'!A:AH,21,FALSE)),3,IF(ISBLANK(VLOOKUP(A182,'NHL PBP'!A:AH,23,FALSE)),4,5)),IF(ISBLANK(VLOOKUP(A182,'NHL PBP'!A:AH,32,FALSE)),3,IF(ISBLANK(VLOOKUP(A182,'NHL PBP'!A:AH,34,FALSE)),4,5)))</f>
        <v>5</v>
      </c>
      <c r="L182">
        <f>IF(OR(EXACT(D182,"C"),EXACT(D182,"P"),EXACT(D182,"D"),EXACT(D182,"T"),EXACT(D182,"X"),EXACT(E182,"DZF"),EXACT(E182,"OZF"),EXACT(D182,"N"),EXACT(D182,"F")),1,0)</f>
        <v>1</v>
      </c>
      <c r="M182" t="str">
        <f t="shared" si="8"/>
        <v/>
      </c>
      <c r="N182">
        <f t="shared" si="9"/>
        <v>0</v>
      </c>
      <c r="O182">
        <f t="shared" si="10"/>
        <v>0</v>
      </c>
      <c r="P182" t="str">
        <f t="shared" si="11"/>
        <v/>
      </c>
    </row>
    <row r="183" spans="1:16" x14ac:dyDescent="0.25">
      <c r="A183">
        <v>58</v>
      </c>
      <c r="B183">
        <f>IF(ISBLANK(VLOOKUP($A183,'Entry data'!$A:$K,2,FALSE)),"",VLOOKUP($A183,'Entry data'!$A:$K,2,FALSE))</f>
        <v>2</v>
      </c>
      <c r="C183">
        <f>IF(ISBLANK(VLOOKUP($A183,'Entry data'!$A:$K,3,FALSE)),"",VLOOKUP($A183,'Entry data'!$A:$K,3,FALSE))</f>
        <v>0.68333333333333324</v>
      </c>
      <c r="D183" t="str">
        <f>IF(ISBLANK(VLOOKUP($A183,'Entry data'!$A:$K,4,FALSE)),"",VLOOKUP($A183,'Entry data'!$A:$K,4,FALSE))</f>
        <v>D</v>
      </c>
      <c r="E183" t="str">
        <f>IF(ISBLANK(VLOOKUP($A183,'Entry data'!$A:$K,5,FALSE)),"",VLOOKUP($A183,'Entry data'!$A:$K,5,FALSE))</f>
        <v>56NSH</v>
      </c>
      <c r="F183" t="str">
        <f>IF(ISBLANK(VLOOKUP($A183,'Entry data'!$A:$K,6,FALSE)),"",VLOOKUP($A183,'Entry data'!$A:$K,6,FALSE))</f>
        <v>N</v>
      </c>
      <c r="G183" t="str">
        <f>IF(ISBLANK(VLOOKUP($A183,'Entry data'!$A:$K,7,FALSE)),"",VLOOKUP($A183,'Entry data'!$A:$K,7,FALSE))</f>
        <v/>
      </c>
      <c r="H183" t="str">
        <f>IF(ISBLANK(VLOOKUP($A183,'Entry data'!$A:$K,8,FALSE)),"",VLOOKUP($A183,'Entry data'!$A:$K,8,FALSE))</f>
        <v>R</v>
      </c>
      <c r="I183" t="str">
        <f>IF(ISBLANK(VLOOKUP($A183,'Entry data'!$A:$K,9,FALSE)),"",VLOOKUP($A183,'Entry data'!$A:$K,9,FALSE))</f>
        <v>19NSH</v>
      </c>
      <c r="J183">
        <f>IF(ISBLANK(VLOOKUP($A183,'Entry data'!$A:$K,10,FALSE)),"",VLOOKUP($A183,'Entry data'!$A:$K,10,FALSE))</f>
        <v>5</v>
      </c>
      <c r="K183">
        <f>IF(ISBLANK(VLOOKUP($A183,'Entry data'!$A:$K,11,FALSE)),"",VLOOKUP($A183,'Entry data'!$A:$K,11,FALSE))</f>
        <v>5</v>
      </c>
      <c r="L183">
        <f>IF(OR(EXACT(D183,"C"),EXACT(D183,"P"),EXACT(D183,"D"),EXACT(D183,"T"),EXACT(D183,"X"),EXACT(E183,"DZF"),EXACT(E183,"OZF"),EXACT(D183,"N"),EXACT(D183,"F")),1,0)</f>
        <v>1</v>
      </c>
      <c r="M183" t="str">
        <f t="shared" si="8"/>
        <v/>
      </c>
      <c r="N183">
        <f t="shared" si="9"/>
        <v>0</v>
      </c>
      <c r="O183">
        <f t="shared" si="10"/>
        <v>0</v>
      </c>
      <c r="P183" t="str">
        <f t="shared" si="11"/>
        <v/>
      </c>
    </row>
    <row r="184" spans="1:16" x14ac:dyDescent="0.25">
      <c r="A184">
        <v>125</v>
      </c>
      <c r="B184">
        <f>IF($A184&gt;$A$1,"",VLOOKUP($A184,'NHL PBP'!$A:$L,8,FALSE))</f>
        <v>2</v>
      </c>
      <c r="C184">
        <f>IF($A184&gt;$A$1,"",IF(B184&gt;3,5/24,20/24)-VLOOKUP($A184,'NHL PBP'!$A:$L,10,FALSE))</f>
        <v>0.67361111111111116</v>
      </c>
      <c r="D184" t="str">
        <f>IF($A184&gt;$A$1,"",VLOOKUP($A184,'NHL PBP'!$A:$L,11,FALSE))</f>
        <v>HIT</v>
      </c>
      <c r="E184" t="str">
        <f>IF(AND(EXACT(D184,"FAC"),NOT(EXACT(MID(F184,9,3),"Neu"))),IF(OR(AND(EXACT(MID(F184,9,3),"Off"),EXACT(LEFT(F184,3),UPPER('Entry data'!$C$2))),AND(EXACT(MID(F184,9,3),"Def"),NOT(EXACT(LEFT(F184,3),UPPER('Entry data'!$C$2))))),"DZF","OZF"),"")</f>
        <v/>
      </c>
      <c r="F184" t="str">
        <f>IF($A184&gt;$A$1,"",VLOOKUP($A184,'NHL PBP'!$A:$L,12,FALSE))</f>
        <v>DET #71 LARKIN HIT NSH #19 JARNKROK, Def. Zone</v>
      </c>
      <c r="J184">
        <f>IF(EXACT('Entry data'!$C$3,"Road"),IF(ISBLANK(VLOOKUP(A184,'NHL PBP'!A:AH,21,FALSE)),3,IF(ISBLANK(VLOOKUP(A184,'NHL PBP'!A:AH,23,FALSE)),4,5)),IF(ISBLANK(VLOOKUP(A184,'NHL PBP'!A:AH,32,FALSE)),3,IF(ISBLANK(VLOOKUP(A184,'NHL PBP'!A:AH,34,FALSE)),4,5)))</f>
        <v>5</v>
      </c>
      <c r="K184">
        <f>IF(EXACT('Entry data'!$C$3,"Home"),IF(ISBLANK(VLOOKUP(A184,'NHL PBP'!A:AH,21,FALSE)),3,IF(ISBLANK(VLOOKUP(A184,'NHL PBP'!A:AH,23,FALSE)),4,5)),IF(ISBLANK(VLOOKUP(A184,'NHL PBP'!A:AH,32,FALSE)),3,IF(ISBLANK(VLOOKUP(A184,'NHL PBP'!A:AH,34,FALSE)),4,5)))</f>
        <v>5</v>
      </c>
      <c r="L184">
        <f>IF(OR(EXACT(D184,"C"),EXACT(D184,"P"),EXACT(D184,"D"),EXACT(D184,"T"),EXACT(D184,"X"),EXACT(E184,"DZF"),EXACT(E184,"OZF"),EXACT(D184,"N"),EXACT(D184,"F")),1,0)</f>
        <v>0</v>
      </c>
      <c r="M184" t="str">
        <f t="shared" si="8"/>
        <v/>
      </c>
      <c r="N184">
        <f t="shared" si="9"/>
        <v>0</v>
      </c>
      <c r="O184">
        <f t="shared" si="10"/>
        <v>0</v>
      </c>
      <c r="P184" t="str">
        <f t="shared" si="11"/>
        <v/>
      </c>
    </row>
    <row r="185" spans="1:16" x14ac:dyDescent="0.25">
      <c r="A185">
        <v>59</v>
      </c>
      <c r="B185">
        <f>IF(ISBLANK(VLOOKUP($A185,'Entry data'!$A:$K,2,FALSE)),"",VLOOKUP($A185,'Entry data'!$A:$K,2,FALSE))</f>
        <v>2</v>
      </c>
      <c r="C185">
        <f>IF(ISBLANK(VLOOKUP($A185,'Entry data'!$A:$K,3,FALSE)),"",VLOOKUP($A185,'Entry data'!$A:$K,3,FALSE))</f>
        <v>0.67013888888888884</v>
      </c>
      <c r="D185" t="str">
        <f>IF(ISBLANK(VLOOKUP($A185,'Entry data'!$A:$K,4,FALSE)),"",VLOOKUP($A185,'Entry data'!$A:$K,4,FALSE))</f>
        <v>C</v>
      </c>
      <c r="E185" t="str">
        <f>IF(ISBLANK(VLOOKUP($A185,'Entry data'!$A:$K,5,FALSE)),"",VLOOKUP($A185,'Entry data'!$A:$K,5,FALSE))</f>
        <v>71DET</v>
      </c>
      <c r="F185" t="str">
        <f>IF(ISBLANK(VLOOKUP($A185,'Entry data'!$A:$K,6,FALSE)),"",VLOOKUP($A185,'Entry data'!$A:$K,6,FALSE))</f>
        <v>76NSH</v>
      </c>
      <c r="G185" t="str">
        <f>IF(ISBLANK(VLOOKUP($A185,'Entry data'!$A:$K,7,FALSE)),"",VLOOKUP($A185,'Entry data'!$A:$K,7,FALSE))</f>
        <v>N</v>
      </c>
      <c r="H185" t="str">
        <f>IF(ISBLANK(VLOOKUP($A185,'Entry data'!$A:$K,8,FALSE)),"",VLOOKUP($A185,'Entry data'!$A:$K,8,FALSE))</f>
        <v>L</v>
      </c>
      <c r="I185" t="str">
        <f>IF(ISBLANK(VLOOKUP($A185,'Entry data'!$A:$K,9,FALSE)),"",VLOOKUP($A185,'Entry data'!$A:$K,9,FALSE))</f>
        <v>N</v>
      </c>
      <c r="J185">
        <f>IF(ISBLANK(VLOOKUP($A185,'Entry data'!$A:$K,10,FALSE)),"",VLOOKUP($A185,'Entry data'!$A:$K,10,FALSE))</f>
        <v>5</v>
      </c>
      <c r="K185">
        <f>IF(ISBLANK(VLOOKUP($A185,'Entry data'!$A:$K,11,FALSE)),"",VLOOKUP($A185,'Entry data'!$A:$K,11,FALSE))</f>
        <v>5</v>
      </c>
      <c r="L185">
        <f>IF(OR(EXACT(D185,"C"),EXACT(D185,"P"),EXACT(D185,"D"),EXACT(D185,"T"),EXACT(D185,"X"),EXACT(E185,"DZF"),EXACT(E185,"OZF"),EXACT(D185,"N"),EXACT(D185,"F")),1,0)</f>
        <v>1</v>
      </c>
      <c r="M185" t="str">
        <f t="shared" si="8"/>
        <v>71DET</v>
      </c>
      <c r="N185">
        <f t="shared" si="9"/>
        <v>1</v>
      </c>
      <c r="O185">
        <f t="shared" si="10"/>
        <v>0</v>
      </c>
      <c r="P185" t="str">
        <f t="shared" si="11"/>
        <v/>
      </c>
    </row>
    <row r="186" spans="1:16" x14ac:dyDescent="0.25">
      <c r="A186">
        <v>126</v>
      </c>
      <c r="B186">
        <f>IF($A186&gt;$A$1,"",VLOOKUP($A186,'NHL PBP'!$A:$L,8,FALSE))</f>
        <v>2</v>
      </c>
      <c r="C186">
        <f>IF($A186&gt;$A$1,"",IF(B186&gt;3,5/24,20/24)-VLOOKUP($A186,'NHL PBP'!$A:$L,10,FALSE))</f>
        <v>0.66944444444444451</v>
      </c>
      <c r="D186" t="str">
        <f>IF($A186&gt;$A$1,"",VLOOKUP($A186,'NHL PBP'!$A:$L,11,FALSE))</f>
        <v>SHOT</v>
      </c>
      <c r="E186" t="str">
        <f>IF(AND(EXACT(D186,"FAC"),NOT(EXACT(MID(F186,9,3),"Neu"))),IF(OR(AND(EXACT(MID(F186,9,3),"Off"),EXACT(LEFT(F186,3),UPPER('Entry data'!$C$2))),AND(EXACT(MID(F186,9,3),"Def"),NOT(EXACT(LEFT(F186,3),UPPER('Entry data'!$C$2))))),"DZF","OZF"),"")</f>
        <v/>
      </c>
      <c r="F186" t="str">
        <f>IF($A186&gt;$A$1,"",VLOOKUP($A186,'NHL PBP'!$A:$L,12,FALSE))</f>
        <v>DET ONGOAL - #71 LARKIN, Wrist, Off. Zone, 59 ft.</v>
      </c>
      <c r="J186">
        <f>IF(EXACT('Entry data'!$C$3,"Road"),IF(ISBLANK(VLOOKUP(A186,'NHL PBP'!A:AH,21,FALSE)),3,IF(ISBLANK(VLOOKUP(A186,'NHL PBP'!A:AH,23,FALSE)),4,5)),IF(ISBLANK(VLOOKUP(A186,'NHL PBP'!A:AH,32,FALSE)),3,IF(ISBLANK(VLOOKUP(A186,'NHL PBP'!A:AH,34,FALSE)),4,5)))</f>
        <v>5</v>
      </c>
      <c r="K186">
        <f>IF(EXACT('Entry data'!$C$3,"Home"),IF(ISBLANK(VLOOKUP(A186,'NHL PBP'!A:AH,21,FALSE)),3,IF(ISBLANK(VLOOKUP(A186,'NHL PBP'!A:AH,23,FALSE)),4,5)),IF(ISBLANK(VLOOKUP(A186,'NHL PBP'!A:AH,32,FALSE)),3,IF(ISBLANK(VLOOKUP(A186,'NHL PBP'!A:AH,34,FALSE)),4,5)))</f>
        <v>5</v>
      </c>
      <c r="L186">
        <f>IF(OR(EXACT(D186,"C"),EXACT(D186,"P"),EXACT(D186,"D"),EXACT(D186,"T"),EXACT(D186,"X"),EXACT(E186,"DZF"),EXACT(E186,"OZF"),EXACT(D186,"N"),EXACT(D186,"F")),1,0)</f>
        <v>0</v>
      </c>
      <c r="M186" t="str">
        <f t="shared" si="8"/>
        <v/>
      </c>
      <c r="N186">
        <f t="shared" si="9"/>
        <v>1</v>
      </c>
      <c r="O186">
        <f t="shared" si="10"/>
        <v>0</v>
      </c>
      <c r="P186" t="str">
        <f t="shared" si="11"/>
        <v/>
      </c>
    </row>
    <row r="187" spans="1:16" x14ac:dyDescent="0.25">
      <c r="A187">
        <v>60</v>
      </c>
      <c r="B187">
        <f>IF(ISBLANK(VLOOKUP($A187,'Entry data'!$A:$K,2,FALSE)),"",VLOOKUP($A187,'Entry data'!$A:$K,2,FALSE))</f>
        <v>2</v>
      </c>
      <c r="C187">
        <f>IF(ISBLANK(VLOOKUP($A187,'Entry data'!$A:$K,3,FALSE)),"",VLOOKUP($A187,'Entry data'!$A:$K,3,FALSE))</f>
        <v>0.65138888888888891</v>
      </c>
      <c r="D187" t="str">
        <f>IF(ISBLANK(VLOOKUP($A187,'Entry data'!$A:$K,4,FALSE)),"",VLOOKUP($A187,'Entry data'!$A:$K,4,FALSE))</f>
        <v>C</v>
      </c>
      <c r="E187" t="str">
        <f>IF(ISBLANK(VLOOKUP($A187,'Entry data'!$A:$K,5,FALSE)),"",VLOOKUP($A187,'Entry data'!$A:$K,5,FALSE))</f>
        <v>8DET</v>
      </c>
      <c r="F187" t="str">
        <f>IF(ISBLANK(VLOOKUP($A187,'Entry data'!$A:$K,6,FALSE)),"",VLOOKUP($A187,'Entry data'!$A:$K,6,FALSE))</f>
        <v>59NSH</v>
      </c>
      <c r="G187" t="str">
        <f>IF(ISBLANK(VLOOKUP($A187,'Entry data'!$A:$K,7,FALSE)),"",VLOOKUP($A187,'Entry data'!$A:$K,7,FALSE))</f>
        <v>Y</v>
      </c>
      <c r="H187" t="str">
        <f>IF(ISBLANK(VLOOKUP($A187,'Entry data'!$A:$K,8,FALSE)),"",VLOOKUP($A187,'Entry data'!$A:$K,8,FALSE))</f>
        <v>R</v>
      </c>
      <c r="I187" t="str">
        <f>IF(ISBLANK(VLOOKUP($A187,'Entry data'!$A:$K,9,FALSE)),"",VLOOKUP($A187,'Entry data'!$A:$K,9,FALSE))</f>
        <v>N</v>
      </c>
      <c r="J187">
        <f>IF(ISBLANK(VLOOKUP($A187,'Entry data'!$A:$K,10,FALSE)),"",VLOOKUP($A187,'Entry data'!$A:$K,10,FALSE))</f>
        <v>5</v>
      </c>
      <c r="K187">
        <f>IF(ISBLANK(VLOOKUP($A187,'Entry data'!$A:$K,11,FALSE)),"",VLOOKUP($A187,'Entry data'!$A:$K,11,FALSE))</f>
        <v>5</v>
      </c>
      <c r="L187">
        <f>IF(OR(EXACT(D187,"C"),EXACT(D187,"P"),EXACT(D187,"D"),EXACT(D187,"T"),EXACT(D187,"X"),EXACT(E187,"DZF"),EXACT(E187,"OZF"),EXACT(D187,"N"),EXACT(D187,"F")),1,0)</f>
        <v>1</v>
      </c>
      <c r="M187" t="str">
        <f t="shared" si="8"/>
        <v>8DET</v>
      </c>
      <c r="N187">
        <f t="shared" si="9"/>
        <v>1</v>
      </c>
      <c r="O187">
        <f t="shared" si="10"/>
        <v>0</v>
      </c>
      <c r="P187" t="str">
        <f t="shared" si="11"/>
        <v/>
      </c>
    </row>
    <row r="188" spans="1:16" x14ac:dyDescent="0.25">
      <c r="A188">
        <v>127</v>
      </c>
      <c r="B188">
        <f>IF($A188&gt;$A$1,"",VLOOKUP($A188,'NHL PBP'!$A:$L,8,FALSE))</f>
        <v>2</v>
      </c>
      <c r="C188">
        <f>IF($A188&gt;$A$1,"",IF(B188&gt;3,5/24,20/24)-VLOOKUP($A188,'NHL PBP'!$A:$L,10,FALSE))</f>
        <v>0.64861111111111114</v>
      </c>
      <c r="D188" t="str">
        <f>IF($A188&gt;$A$1,"",VLOOKUP($A188,'NHL PBP'!$A:$L,11,FALSE))</f>
        <v>SHOT</v>
      </c>
      <c r="E188" t="str">
        <f>IF(AND(EXACT(D188,"FAC"),NOT(EXACT(MID(F188,9,3),"Neu"))),IF(OR(AND(EXACT(MID(F188,9,3),"Off"),EXACT(LEFT(F188,3),UPPER('Entry data'!$C$2))),AND(EXACT(MID(F188,9,3),"Def"),NOT(EXACT(LEFT(F188,3),UPPER('Entry data'!$C$2))))),"DZF","OZF"),"")</f>
        <v/>
      </c>
      <c r="F188" t="str">
        <f>IF($A188&gt;$A$1,"",VLOOKUP($A188,'NHL PBP'!$A:$L,12,FALSE))</f>
        <v>DET ONGOAL - #71 LARKIN, Wrist, Off. Zone, 22 ft.</v>
      </c>
      <c r="J188">
        <f>IF(EXACT('Entry data'!$C$3,"Road"),IF(ISBLANK(VLOOKUP(A188,'NHL PBP'!A:AH,21,FALSE)),3,IF(ISBLANK(VLOOKUP(A188,'NHL PBP'!A:AH,23,FALSE)),4,5)),IF(ISBLANK(VLOOKUP(A188,'NHL PBP'!A:AH,32,FALSE)),3,IF(ISBLANK(VLOOKUP(A188,'NHL PBP'!A:AH,34,FALSE)),4,5)))</f>
        <v>5</v>
      </c>
      <c r="K188">
        <f>IF(EXACT('Entry data'!$C$3,"Home"),IF(ISBLANK(VLOOKUP(A188,'NHL PBP'!A:AH,21,FALSE)),3,IF(ISBLANK(VLOOKUP(A188,'NHL PBP'!A:AH,23,FALSE)),4,5)),IF(ISBLANK(VLOOKUP(A188,'NHL PBP'!A:AH,32,FALSE)),3,IF(ISBLANK(VLOOKUP(A188,'NHL PBP'!A:AH,34,FALSE)),4,5)))</f>
        <v>5</v>
      </c>
      <c r="L188">
        <f>IF(OR(EXACT(D188,"C"),EXACT(D188,"P"),EXACT(D188,"D"),EXACT(D188,"T"),EXACT(D188,"X"),EXACT(E188,"DZF"),EXACT(E188,"OZF"),EXACT(D188,"N"),EXACT(D188,"F")),1,0)</f>
        <v>0</v>
      </c>
      <c r="M188" t="str">
        <f t="shared" si="8"/>
        <v/>
      </c>
      <c r="N188">
        <f t="shared" si="9"/>
        <v>1</v>
      </c>
      <c r="O188">
        <f t="shared" si="10"/>
        <v>0</v>
      </c>
      <c r="P188" t="str">
        <f t="shared" si="11"/>
        <v/>
      </c>
    </row>
    <row r="189" spans="1:16" x14ac:dyDescent="0.25">
      <c r="A189">
        <v>128</v>
      </c>
      <c r="B189">
        <f>IF($A189&gt;$A$1,"",VLOOKUP($A189,'NHL PBP'!$A:$L,8,FALSE))</f>
        <v>2</v>
      </c>
      <c r="C189">
        <f>IF($A189&gt;$A$1,"",IF(B189&gt;3,5/24,20/24)-VLOOKUP($A189,'NHL PBP'!$A:$L,10,FALSE))</f>
        <v>0.63333333333333341</v>
      </c>
      <c r="D189" t="str">
        <f>IF($A189&gt;$A$1,"",VLOOKUP($A189,'NHL PBP'!$A:$L,11,FALSE))</f>
        <v>GIVE</v>
      </c>
      <c r="E189" t="str">
        <f>IF(AND(EXACT(D189,"FAC"),NOT(EXACT(MID(F189,9,3),"Neu"))),IF(OR(AND(EXACT(MID(F189,9,3),"Off"),EXACT(LEFT(F189,3),UPPER('Entry data'!$C$2))),AND(EXACT(MID(F189,9,3),"Def"),NOT(EXACT(LEFT(F189,3),UPPER('Entry data'!$C$2))))),"DZF","OZF"),"")</f>
        <v/>
      </c>
      <c r="F189" t="str">
        <f>IF($A189&gt;$A$1,"",VLOOKUP($A189,'NHL PBP'!$A:$L,12,FALSE))</f>
        <v>DET GIVEAWAY - #2 SMITH, Off. Zone</v>
      </c>
      <c r="J189">
        <f>IF(EXACT('Entry data'!$C$3,"Road"),IF(ISBLANK(VLOOKUP(A189,'NHL PBP'!A:AH,21,FALSE)),3,IF(ISBLANK(VLOOKUP(A189,'NHL PBP'!A:AH,23,FALSE)),4,5)),IF(ISBLANK(VLOOKUP(A189,'NHL PBP'!A:AH,32,FALSE)),3,IF(ISBLANK(VLOOKUP(A189,'NHL PBP'!A:AH,34,FALSE)),4,5)))</f>
        <v>5</v>
      </c>
      <c r="K189">
        <f>IF(EXACT('Entry data'!$C$3,"Home"),IF(ISBLANK(VLOOKUP(A189,'NHL PBP'!A:AH,21,FALSE)),3,IF(ISBLANK(VLOOKUP(A189,'NHL PBP'!A:AH,23,FALSE)),4,5)),IF(ISBLANK(VLOOKUP(A189,'NHL PBP'!A:AH,32,FALSE)),3,IF(ISBLANK(VLOOKUP(A189,'NHL PBP'!A:AH,34,FALSE)),4,5)))</f>
        <v>5</v>
      </c>
      <c r="L189">
        <f>IF(OR(EXACT(D189,"C"),EXACT(D189,"P"),EXACT(D189,"D"),EXACT(D189,"T"),EXACT(D189,"X"),EXACT(E189,"DZF"),EXACT(E189,"OZF"),EXACT(D189,"N"),EXACT(D189,"F")),1,0)</f>
        <v>0</v>
      </c>
      <c r="M189" t="str">
        <f t="shared" si="8"/>
        <v/>
      </c>
      <c r="N189">
        <f t="shared" si="9"/>
        <v>0</v>
      </c>
      <c r="O189">
        <f t="shared" si="10"/>
        <v>0</v>
      </c>
      <c r="P189" t="str">
        <f t="shared" si="11"/>
        <v/>
      </c>
    </row>
    <row r="190" spans="1:16" x14ac:dyDescent="0.25">
      <c r="A190">
        <v>61</v>
      </c>
      <c r="B190">
        <f>IF(ISBLANK(VLOOKUP($A190,'Entry data'!$A:$K,2,FALSE)),"",VLOOKUP($A190,'Entry data'!$A:$K,2,FALSE))</f>
        <v>2</v>
      </c>
      <c r="C190">
        <f>IF(ISBLANK(VLOOKUP($A190,'Entry data'!$A:$K,3,FALSE)),"",VLOOKUP($A190,'Entry data'!$A:$K,3,FALSE))</f>
        <v>0.63124999999999998</v>
      </c>
      <c r="D190" t="str">
        <f>IF(ISBLANK(VLOOKUP($A190,'Entry data'!$A:$K,4,FALSE)),"",VLOOKUP($A190,'Entry data'!$A:$K,4,FALSE))</f>
        <v>C</v>
      </c>
      <c r="E190" t="str">
        <f>IF(ISBLANK(VLOOKUP($A190,'Entry data'!$A:$K,5,FALSE)),"",VLOOKUP($A190,'Entry data'!$A:$K,5,FALSE))</f>
        <v>15DET</v>
      </c>
      <c r="F190" t="str">
        <f>IF(ISBLANK(VLOOKUP($A190,'Entry data'!$A:$K,6,FALSE)),"",VLOOKUP($A190,'Entry data'!$A:$K,6,FALSE))</f>
        <v>59NSH</v>
      </c>
      <c r="G190" t="str">
        <f>IF(ISBLANK(VLOOKUP($A190,'Entry data'!$A:$K,7,FALSE)),"",VLOOKUP($A190,'Entry data'!$A:$K,7,FALSE))</f>
        <v>N</v>
      </c>
      <c r="H190" t="str">
        <f>IF(ISBLANK(VLOOKUP($A190,'Entry data'!$A:$K,8,FALSE)),"",VLOOKUP($A190,'Entry data'!$A:$K,8,FALSE))</f>
        <v>R</v>
      </c>
      <c r="I190" t="str">
        <f>IF(ISBLANK(VLOOKUP($A190,'Entry data'!$A:$K,9,FALSE)),"",VLOOKUP($A190,'Entry data'!$A:$K,9,FALSE))</f>
        <v>N</v>
      </c>
      <c r="J190">
        <f>IF(ISBLANK(VLOOKUP($A190,'Entry data'!$A:$K,10,FALSE)),"",VLOOKUP($A190,'Entry data'!$A:$K,10,FALSE))</f>
        <v>5</v>
      </c>
      <c r="K190">
        <f>IF(ISBLANK(VLOOKUP($A190,'Entry data'!$A:$K,11,FALSE)),"",VLOOKUP($A190,'Entry data'!$A:$K,11,FALSE))</f>
        <v>5</v>
      </c>
      <c r="L190">
        <f>IF(OR(EXACT(D190,"C"),EXACT(D190,"P"),EXACT(D190,"D"),EXACT(D190,"T"),EXACT(D190,"X"),EXACT(E190,"DZF"),EXACT(E190,"OZF"),EXACT(D190,"N"),EXACT(D190,"F")),1,0)</f>
        <v>1</v>
      </c>
      <c r="M190" t="str">
        <f t="shared" si="8"/>
        <v>15DET</v>
      </c>
      <c r="N190">
        <f t="shared" si="9"/>
        <v>1</v>
      </c>
      <c r="O190">
        <f t="shared" si="10"/>
        <v>0</v>
      </c>
      <c r="P190" t="str">
        <f t="shared" si="11"/>
        <v/>
      </c>
    </row>
    <row r="191" spans="1:16" x14ac:dyDescent="0.25">
      <c r="A191">
        <v>129</v>
      </c>
      <c r="B191">
        <f>IF($A191&gt;$A$1,"",VLOOKUP($A191,'NHL PBP'!$A:$L,8,FALSE))</f>
        <v>2</v>
      </c>
      <c r="C191">
        <f>IF($A191&gt;$A$1,"",IF(B191&gt;3,5/24,20/24)-VLOOKUP($A191,'NHL PBP'!$A:$L,10,FALSE))</f>
        <v>0.62291666666666667</v>
      </c>
      <c r="D191" t="str">
        <f>IF($A191&gt;$A$1,"",VLOOKUP($A191,'NHL PBP'!$A:$L,11,FALSE))</f>
        <v>MISS</v>
      </c>
      <c r="E191" t="str">
        <f>IF(AND(EXACT(D191,"FAC"),NOT(EXACT(MID(F191,9,3),"Neu"))),IF(OR(AND(EXACT(MID(F191,9,3),"Off"),EXACT(LEFT(F191,3),UPPER('Entry data'!$C$2))),AND(EXACT(MID(F191,9,3),"Def"),NOT(EXACT(LEFT(F191,3),UPPER('Entry data'!$C$2))))),"DZF","OZF"),"")</f>
        <v/>
      </c>
      <c r="F191" t="str">
        <f>IF($A191&gt;$A$1,"",VLOOKUP($A191,'NHL PBP'!$A:$L,12,FALSE))</f>
        <v>DET #21 TATAR, Slap, Goalpost, Off. Zone, 55 ft.</v>
      </c>
      <c r="J191">
        <f>IF(EXACT('Entry data'!$C$3,"Road"),IF(ISBLANK(VLOOKUP(A191,'NHL PBP'!A:AH,21,FALSE)),3,IF(ISBLANK(VLOOKUP(A191,'NHL PBP'!A:AH,23,FALSE)),4,5)),IF(ISBLANK(VLOOKUP(A191,'NHL PBP'!A:AH,32,FALSE)),3,IF(ISBLANK(VLOOKUP(A191,'NHL PBP'!A:AH,34,FALSE)),4,5)))</f>
        <v>5</v>
      </c>
      <c r="K191">
        <f>IF(EXACT('Entry data'!$C$3,"Home"),IF(ISBLANK(VLOOKUP(A191,'NHL PBP'!A:AH,21,FALSE)),3,IF(ISBLANK(VLOOKUP(A191,'NHL PBP'!A:AH,23,FALSE)),4,5)),IF(ISBLANK(VLOOKUP(A191,'NHL PBP'!A:AH,32,FALSE)),3,IF(ISBLANK(VLOOKUP(A191,'NHL PBP'!A:AH,34,FALSE)),4,5)))</f>
        <v>5</v>
      </c>
      <c r="L191">
        <f>IF(OR(EXACT(D191,"C"),EXACT(D191,"P"),EXACT(D191,"D"),EXACT(D191,"T"),EXACT(D191,"X"),EXACT(E191,"DZF"),EXACT(E191,"OZF"),EXACT(D191,"N"),EXACT(D191,"F")),1,0)</f>
        <v>0</v>
      </c>
      <c r="M191" t="str">
        <f t="shared" si="8"/>
        <v/>
      </c>
      <c r="N191">
        <f t="shared" si="9"/>
        <v>1</v>
      </c>
      <c r="O191">
        <f t="shared" si="10"/>
        <v>0</v>
      </c>
      <c r="P191" t="str">
        <f t="shared" si="11"/>
        <v/>
      </c>
    </row>
    <row r="192" spans="1:16" x14ac:dyDescent="0.25">
      <c r="A192">
        <v>130</v>
      </c>
      <c r="B192">
        <f>IF($A192&gt;$A$1,"",VLOOKUP($A192,'NHL PBP'!$A:$L,8,FALSE))</f>
        <v>2</v>
      </c>
      <c r="C192">
        <f>IF($A192&gt;$A$1,"",IF(B192&gt;3,5/24,20/24)-VLOOKUP($A192,'NHL PBP'!$A:$L,10,FALSE))</f>
        <v>0.6166666666666667</v>
      </c>
      <c r="D192" t="str">
        <f>IF($A192&gt;$A$1,"",VLOOKUP($A192,'NHL PBP'!$A:$L,11,FALSE))</f>
        <v>PENL</v>
      </c>
      <c r="E192" t="str">
        <f>IF(AND(EXACT(D192,"FAC"),NOT(EXACT(MID(F192,9,3),"Neu"))),IF(OR(AND(EXACT(MID(F192,9,3),"Off"),EXACT(LEFT(F192,3),UPPER('Entry data'!$C$2))),AND(EXACT(MID(F192,9,3),"Def"),NOT(EXACT(LEFT(F192,3),UPPER('Entry data'!$C$2))))),"DZF","OZF"),"")</f>
        <v/>
      </c>
      <c r="F192" t="str">
        <f>IF($A192&gt;$A$1,"",VLOOKUP($A192,'NHL PBP'!$A:$L,12,FALSE))</f>
        <v>NSH #9 FORSBERG Holding(2 min), Def. Zone Drawn By: DET #40 ZETTERBERG</v>
      </c>
      <c r="J192">
        <f>IF(EXACT('Entry data'!$C$3,"Road"),IF(ISBLANK(VLOOKUP(A192,'NHL PBP'!A:AH,21,FALSE)),3,IF(ISBLANK(VLOOKUP(A192,'NHL PBP'!A:AH,23,FALSE)),4,5)),IF(ISBLANK(VLOOKUP(A192,'NHL PBP'!A:AH,32,FALSE)),3,IF(ISBLANK(VLOOKUP(A192,'NHL PBP'!A:AH,34,FALSE)),4,5)))</f>
        <v>5</v>
      </c>
      <c r="K192">
        <f>IF(EXACT('Entry data'!$C$3,"Home"),IF(ISBLANK(VLOOKUP(A192,'NHL PBP'!A:AH,21,FALSE)),3,IF(ISBLANK(VLOOKUP(A192,'NHL PBP'!A:AH,23,FALSE)),4,5)),IF(ISBLANK(VLOOKUP(A192,'NHL PBP'!A:AH,32,FALSE)),3,IF(ISBLANK(VLOOKUP(A192,'NHL PBP'!A:AH,34,FALSE)),4,5)))</f>
        <v>5</v>
      </c>
      <c r="L192">
        <f>IF(OR(EXACT(D192,"C"),EXACT(D192,"P"),EXACT(D192,"D"),EXACT(D192,"T"),EXACT(D192,"X"),EXACT(E192,"DZF"),EXACT(E192,"OZF"),EXACT(D192,"N"),EXACT(D192,"F")),1,0)</f>
        <v>0</v>
      </c>
      <c r="M192" t="str">
        <f t="shared" si="8"/>
        <v/>
      </c>
      <c r="N192">
        <f t="shared" si="9"/>
        <v>0</v>
      </c>
      <c r="O192">
        <f t="shared" si="10"/>
        <v>0</v>
      </c>
      <c r="P192" t="str">
        <f t="shared" si="11"/>
        <v/>
      </c>
    </row>
    <row r="193" spans="1:16" x14ac:dyDescent="0.25">
      <c r="A193">
        <v>131</v>
      </c>
      <c r="B193">
        <f>IF($A193&gt;$A$1,"",VLOOKUP($A193,'NHL PBP'!$A:$L,8,FALSE))</f>
        <v>2</v>
      </c>
      <c r="C193">
        <f>IF($A193&gt;$A$1,"",IF(B193&gt;3,5/24,20/24)-VLOOKUP($A193,'NHL PBP'!$A:$L,10,FALSE))</f>
        <v>0.6166666666666667</v>
      </c>
      <c r="D193" t="str">
        <f>IF($A193&gt;$A$1,"",VLOOKUP($A193,'NHL PBP'!$A:$L,11,FALSE))</f>
        <v>FAC</v>
      </c>
      <c r="E193" t="str">
        <f>IF(AND(EXACT(D193,"FAC"),NOT(EXACT(MID(F193,9,3),"Neu"))),IF(OR(AND(EXACT(MID(F193,9,3),"Off"),EXACT(LEFT(F193,3),UPPER('Entry data'!$C$2))),AND(EXACT(MID(F193,9,3),"Def"),NOT(EXACT(LEFT(F193,3),UPPER('Entry data'!$C$2))))),"DZF","OZF"),"")</f>
        <v>OZF</v>
      </c>
      <c r="F193" t="str">
        <f>IF($A193&gt;$A$1,"",VLOOKUP($A193,'NHL PBP'!$A:$L,12,FALSE))</f>
        <v>DET won Off. Zone - NSH #10 SISSONS vs DET #43 HELM</v>
      </c>
      <c r="J193">
        <f>IF(EXACT('Entry data'!$C$3,"Road"),IF(ISBLANK(VLOOKUP(A193,'NHL PBP'!A:AH,21,FALSE)),3,IF(ISBLANK(VLOOKUP(A193,'NHL PBP'!A:AH,23,FALSE)),4,5)),IF(ISBLANK(VLOOKUP(A193,'NHL PBP'!A:AH,32,FALSE)),3,IF(ISBLANK(VLOOKUP(A193,'NHL PBP'!A:AH,34,FALSE)),4,5)))</f>
        <v>5</v>
      </c>
      <c r="K193">
        <f>IF(EXACT('Entry data'!$C$3,"Home"),IF(ISBLANK(VLOOKUP(A193,'NHL PBP'!A:AH,21,FALSE)),3,IF(ISBLANK(VLOOKUP(A193,'NHL PBP'!A:AH,23,FALSE)),4,5)),IF(ISBLANK(VLOOKUP(A193,'NHL PBP'!A:AH,32,FALSE)),3,IF(ISBLANK(VLOOKUP(A193,'NHL PBP'!A:AH,34,FALSE)),4,5)))</f>
        <v>4</v>
      </c>
      <c r="L193">
        <f>IF(OR(EXACT(D193,"C"),EXACT(D193,"P"),EXACT(D193,"D"),EXACT(D193,"T"),EXACT(D193,"X"),EXACT(E193,"DZF"),EXACT(E193,"OZF"),EXACT(D193,"N"),EXACT(D193,"F")),1,0)</f>
        <v>1</v>
      </c>
      <c r="M193" t="str">
        <f t="shared" si="8"/>
        <v/>
      </c>
      <c r="N193">
        <f t="shared" si="9"/>
        <v>2</v>
      </c>
      <c r="O193">
        <f t="shared" si="10"/>
        <v>1</v>
      </c>
      <c r="P193" t="str">
        <f t="shared" si="11"/>
        <v/>
      </c>
    </row>
    <row r="194" spans="1:16" x14ac:dyDescent="0.25">
      <c r="A194">
        <v>132</v>
      </c>
      <c r="B194">
        <f>IF($A194&gt;$A$1,"",VLOOKUP($A194,'NHL PBP'!$A:$L,8,FALSE))</f>
        <v>2</v>
      </c>
      <c r="C194">
        <f>IF($A194&gt;$A$1,"",IF(B194&gt;3,5/24,20/24)-VLOOKUP($A194,'NHL PBP'!$A:$L,10,FALSE))</f>
        <v>0.61388888888888893</v>
      </c>
      <c r="D194" t="str">
        <f>IF($A194&gt;$A$1,"",VLOOKUP($A194,'NHL PBP'!$A:$L,11,FALSE))</f>
        <v>SHOT</v>
      </c>
      <c r="E194" t="str">
        <f>IF(AND(EXACT(D194,"FAC"),NOT(EXACT(MID(F194,9,3),"Neu"))),IF(OR(AND(EXACT(MID(F194,9,3),"Off"),EXACT(LEFT(F194,3),UPPER('Entry data'!$C$2))),AND(EXACT(MID(F194,9,3),"Def"),NOT(EXACT(LEFT(F194,3),UPPER('Entry data'!$C$2))))),"DZF","OZF"),"")</f>
        <v/>
      </c>
      <c r="F194" t="str">
        <f>IF($A194&gt;$A$1,"",VLOOKUP($A194,'NHL PBP'!$A:$L,12,FALSE))</f>
        <v>DET ONGOAL - #48 SPROUL, Slap, Off. Zone, 56 ft.</v>
      </c>
      <c r="J194">
        <f>IF(EXACT('Entry data'!$C$3,"Road"),IF(ISBLANK(VLOOKUP(A194,'NHL PBP'!A:AH,21,FALSE)),3,IF(ISBLANK(VLOOKUP(A194,'NHL PBP'!A:AH,23,FALSE)),4,5)),IF(ISBLANK(VLOOKUP(A194,'NHL PBP'!A:AH,32,FALSE)),3,IF(ISBLANK(VLOOKUP(A194,'NHL PBP'!A:AH,34,FALSE)),4,5)))</f>
        <v>5</v>
      </c>
      <c r="K194">
        <f>IF(EXACT('Entry data'!$C$3,"Home"),IF(ISBLANK(VLOOKUP(A194,'NHL PBP'!A:AH,21,FALSE)),3,IF(ISBLANK(VLOOKUP(A194,'NHL PBP'!A:AH,23,FALSE)),4,5)),IF(ISBLANK(VLOOKUP(A194,'NHL PBP'!A:AH,32,FALSE)),3,IF(ISBLANK(VLOOKUP(A194,'NHL PBP'!A:AH,34,FALSE)),4,5)))</f>
        <v>4</v>
      </c>
      <c r="L194">
        <f>IF(OR(EXACT(D194,"C"),EXACT(D194,"P"),EXACT(D194,"D"),EXACT(D194,"T"),EXACT(D194,"X"),EXACT(E194,"DZF"),EXACT(E194,"OZF"),EXACT(D194,"N"),EXACT(D194,"F")),1,0)</f>
        <v>0</v>
      </c>
      <c r="M194" t="str">
        <f t="shared" ref="M194:M257" si="12">IF(OR(EXACT(D194,"C"),EXACT(D194,"P")),E194,"")</f>
        <v/>
      </c>
      <c r="N194">
        <f t="shared" ref="N194:N257" si="13">IF(OR(EXACT(D194,"GOAL"),EXACT(D194,"SHOT"),EXACT(D194,"MISS")),1,0)+IF(L195=0,N195,0)</f>
        <v>2</v>
      </c>
      <c r="O194">
        <f t="shared" ref="O194:O257" si="14">IF(EXACT(D194,"GOAL"),1,0)+IF(L195=0,O195,0)</f>
        <v>1</v>
      </c>
      <c r="P194" t="str">
        <f t="shared" si="11"/>
        <v/>
      </c>
    </row>
    <row r="195" spans="1:16" x14ac:dyDescent="0.25">
      <c r="A195">
        <v>133</v>
      </c>
      <c r="B195">
        <f>IF($A195&gt;$A$1,"",VLOOKUP($A195,'NHL PBP'!$A:$L,8,FALSE))</f>
        <v>2</v>
      </c>
      <c r="C195">
        <f>IF($A195&gt;$A$1,"",IF(B195&gt;3,5/24,20/24)-VLOOKUP($A195,'NHL PBP'!$A:$L,10,FALSE))</f>
        <v>0.61319444444444449</v>
      </c>
      <c r="D195" t="str">
        <f>IF($A195&gt;$A$1,"",VLOOKUP($A195,'NHL PBP'!$A:$L,11,FALSE))</f>
        <v>GOAL</v>
      </c>
      <c r="E195" t="str">
        <f>IF(AND(EXACT(D195,"FAC"),NOT(EXACT(MID(F195,9,3),"Neu"))),IF(OR(AND(EXACT(MID(F195,9,3),"Off"),EXACT(LEFT(F195,3),UPPER('Entry data'!$C$2))),AND(EXACT(MID(F195,9,3),"Def"),NOT(EXACT(LEFT(F195,3),UPPER('Entry data'!$C$2))))),"DZF","OZF"),"")</f>
        <v/>
      </c>
      <c r="F195" t="str">
        <f>IF($A195&gt;$A$1,"",VLOOKUP($A195,'NHL PBP'!$A:$L,12,FALSE))</f>
        <v>DET #8 ABDELKADER(1), Deflected, Off. Zone, 7 ft.</v>
      </c>
      <c r="J195">
        <f>IF(EXACT('Entry data'!$C$3,"Road"),IF(ISBLANK(VLOOKUP(A195,'NHL PBP'!A:AH,21,FALSE)),3,IF(ISBLANK(VLOOKUP(A195,'NHL PBP'!A:AH,23,FALSE)),4,5)),IF(ISBLANK(VLOOKUP(A195,'NHL PBP'!A:AH,32,FALSE)),3,IF(ISBLANK(VLOOKUP(A195,'NHL PBP'!A:AH,34,FALSE)),4,5)))</f>
        <v>5</v>
      </c>
      <c r="K195">
        <f>IF(EXACT('Entry data'!$C$3,"Home"),IF(ISBLANK(VLOOKUP(A195,'NHL PBP'!A:AH,21,FALSE)),3,IF(ISBLANK(VLOOKUP(A195,'NHL PBP'!A:AH,23,FALSE)),4,5)),IF(ISBLANK(VLOOKUP(A195,'NHL PBP'!A:AH,32,FALSE)),3,IF(ISBLANK(VLOOKUP(A195,'NHL PBP'!A:AH,34,FALSE)),4,5)))</f>
        <v>4</v>
      </c>
      <c r="L195">
        <f>IF(OR(EXACT(D195,"C"),EXACT(D195,"P"),EXACT(D195,"D"),EXACT(D195,"T"),EXACT(D195,"X"),EXACT(E195,"DZF"),EXACT(E195,"OZF"),EXACT(D195,"N"),EXACT(D195,"F")),1,0)</f>
        <v>0</v>
      </c>
      <c r="M195" t="str">
        <f t="shared" si="12"/>
        <v/>
      </c>
      <c r="N195">
        <f t="shared" si="13"/>
        <v>1</v>
      </c>
      <c r="O195">
        <f t="shared" si="14"/>
        <v>1</v>
      </c>
      <c r="P195" t="str">
        <f t="shared" ref="P195:P258" si="15">IF(EXACT(D195,"F"),E195,"")</f>
        <v/>
      </c>
    </row>
    <row r="196" spans="1:16" x14ac:dyDescent="0.25">
      <c r="A196">
        <v>134</v>
      </c>
      <c r="B196">
        <f>IF($A196&gt;$A$1,"",VLOOKUP($A196,'NHL PBP'!$A:$L,8,FALSE))</f>
        <v>2</v>
      </c>
      <c r="C196">
        <f>IF($A196&gt;$A$1,"",IF(B196&gt;3,5/24,20/24)-VLOOKUP($A196,'NHL PBP'!$A:$L,10,FALSE))</f>
        <v>0.61319444444444449</v>
      </c>
      <c r="D196" t="str">
        <f>IF($A196&gt;$A$1,"",VLOOKUP($A196,'NHL PBP'!$A:$L,11,FALSE))</f>
        <v>STOP</v>
      </c>
      <c r="E196" t="str">
        <f>IF(AND(EXACT(D196,"FAC"),NOT(EXACT(MID(F196,9,3),"Neu"))),IF(OR(AND(EXACT(MID(F196,9,3),"Off"),EXACT(LEFT(F196,3),UPPER('Entry data'!$C$2))),AND(EXACT(MID(F196,9,3),"Def"),NOT(EXACT(LEFT(F196,3),UPPER('Entry data'!$C$2))))),"DZF","OZF"),"")</f>
        <v/>
      </c>
      <c r="F196" t="str">
        <f>IF($A196&gt;$A$1,"",VLOOKUP($A196,'NHL PBP'!$A:$L,12,FALSE))</f>
        <v>CHLG VIS - GOAL INTERFERENCE</v>
      </c>
      <c r="J196">
        <f>IF(EXACT('Entry data'!$C$3,"Road"),IF(ISBLANK(VLOOKUP(A196,'NHL PBP'!A:AH,21,FALSE)),3,IF(ISBLANK(VLOOKUP(A196,'NHL PBP'!A:AH,23,FALSE)),4,5)),IF(ISBLANK(VLOOKUP(A196,'NHL PBP'!A:AH,32,FALSE)),3,IF(ISBLANK(VLOOKUP(A196,'NHL PBP'!A:AH,34,FALSE)),4,5)))</f>
        <v>5</v>
      </c>
      <c r="K196">
        <f>IF(EXACT('Entry data'!$C$3,"Home"),IF(ISBLANK(VLOOKUP(A196,'NHL PBP'!A:AH,21,FALSE)),3,IF(ISBLANK(VLOOKUP(A196,'NHL PBP'!A:AH,23,FALSE)),4,5)),IF(ISBLANK(VLOOKUP(A196,'NHL PBP'!A:AH,32,FALSE)),3,IF(ISBLANK(VLOOKUP(A196,'NHL PBP'!A:AH,34,FALSE)),4,5)))</f>
        <v>5</v>
      </c>
      <c r="L196">
        <f>IF(OR(EXACT(D196,"C"),EXACT(D196,"P"),EXACT(D196,"D"),EXACT(D196,"T"),EXACT(D196,"X"),EXACT(E196,"DZF"),EXACT(E196,"OZF"),EXACT(D196,"N"),EXACT(D196,"F")),1,0)</f>
        <v>0</v>
      </c>
      <c r="M196" t="str">
        <f t="shared" si="12"/>
        <v/>
      </c>
      <c r="N196">
        <f t="shared" si="13"/>
        <v>0</v>
      </c>
      <c r="O196">
        <f t="shared" si="14"/>
        <v>0</v>
      </c>
      <c r="P196" t="str">
        <f t="shared" si="15"/>
        <v/>
      </c>
    </row>
    <row r="197" spans="1:16" x14ac:dyDescent="0.25">
      <c r="A197">
        <v>135</v>
      </c>
      <c r="B197">
        <f>IF($A197&gt;$A$1,"",VLOOKUP($A197,'NHL PBP'!$A:$L,8,FALSE))</f>
        <v>2</v>
      </c>
      <c r="C197">
        <f>IF($A197&gt;$A$1,"",IF(B197&gt;3,5/24,20/24)-VLOOKUP($A197,'NHL PBP'!$A:$L,10,FALSE))</f>
        <v>0.61319444444444449</v>
      </c>
      <c r="D197" t="str">
        <f>IF($A197&gt;$A$1,"",VLOOKUP($A197,'NHL PBP'!$A:$L,11,FALSE))</f>
        <v>STOP</v>
      </c>
      <c r="E197" t="str">
        <f>IF(AND(EXACT(D197,"FAC"),NOT(EXACT(MID(F197,9,3),"Neu"))),IF(OR(AND(EXACT(MID(F197,9,3),"Off"),EXACT(LEFT(F197,3),UPPER('Entry data'!$C$2))),AND(EXACT(MID(F197,9,3),"Def"),NOT(EXACT(LEFT(F197,3),UPPER('Entry data'!$C$2))))),"DZF","OZF"),"")</f>
        <v/>
      </c>
      <c r="F197" t="str">
        <f>IF($A197&gt;$A$1,"",VLOOKUP($A197,'NHL PBP'!$A:$L,12,FALSE))</f>
        <v>VISITOR TIMEOUT</v>
      </c>
      <c r="J197">
        <f>IF(EXACT('Entry data'!$C$3,"Road"),IF(ISBLANK(VLOOKUP(A197,'NHL PBP'!A:AH,21,FALSE)),3,IF(ISBLANK(VLOOKUP(A197,'NHL PBP'!A:AH,23,FALSE)),4,5)),IF(ISBLANK(VLOOKUP(A197,'NHL PBP'!A:AH,32,FALSE)),3,IF(ISBLANK(VLOOKUP(A197,'NHL PBP'!A:AH,34,FALSE)),4,5)))</f>
        <v>5</v>
      </c>
      <c r="K197">
        <f>IF(EXACT('Entry data'!$C$3,"Home"),IF(ISBLANK(VLOOKUP(A197,'NHL PBP'!A:AH,21,FALSE)),3,IF(ISBLANK(VLOOKUP(A197,'NHL PBP'!A:AH,23,FALSE)),4,5)),IF(ISBLANK(VLOOKUP(A197,'NHL PBP'!A:AH,32,FALSE)),3,IF(ISBLANK(VLOOKUP(A197,'NHL PBP'!A:AH,34,FALSE)),4,5)))</f>
        <v>5</v>
      </c>
      <c r="L197">
        <f>IF(OR(EXACT(D197,"C"),EXACT(D197,"P"),EXACT(D197,"D"),EXACT(D197,"T"),EXACT(D197,"X"),EXACT(E197,"DZF"),EXACT(E197,"OZF"),EXACT(D197,"N"),EXACT(D197,"F")),1,0)</f>
        <v>0</v>
      </c>
      <c r="M197" t="str">
        <f t="shared" si="12"/>
        <v/>
      </c>
      <c r="N197">
        <f t="shared" si="13"/>
        <v>0</v>
      </c>
      <c r="O197">
        <f t="shared" si="14"/>
        <v>0</v>
      </c>
      <c r="P197" t="str">
        <f t="shared" si="15"/>
        <v/>
      </c>
    </row>
    <row r="198" spans="1:16" x14ac:dyDescent="0.25">
      <c r="A198">
        <v>136</v>
      </c>
      <c r="B198">
        <f>IF($A198&gt;$A$1,"",VLOOKUP($A198,'NHL PBP'!$A:$L,8,FALSE))</f>
        <v>2</v>
      </c>
      <c r="C198">
        <f>IF($A198&gt;$A$1,"",IF(B198&gt;3,5/24,20/24)-VLOOKUP($A198,'NHL PBP'!$A:$L,10,FALSE))</f>
        <v>0.61319444444444449</v>
      </c>
      <c r="D198" t="str">
        <f>IF($A198&gt;$A$1,"",VLOOKUP($A198,'NHL PBP'!$A:$L,11,FALSE))</f>
        <v>FAC</v>
      </c>
      <c r="E198" t="str">
        <f>IF(AND(EXACT(D198,"FAC"),NOT(EXACT(MID(F198,9,3),"Neu"))),IF(OR(AND(EXACT(MID(F198,9,3),"Off"),EXACT(LEFT(F198,3),UPPER('Entry data'!$C$2))),AND(EXACT(MID(F198,9,3),"Def"),NOT(EXACT(LEFT(F198,3),UPPER('Entry data'!$C$2))))),"DZF","OZF"),"")</f>
        <v/>
      </c>
      <c r="F198" t="str">
        <f>IF($A198&gt;$A$1,"",VLOOKUP($A198,'NHL PBP'!$A:$L,12,FALSE))</f>
        <v>NSH won Neu. Zone - NSH #63 RIBEIRO vs DET #51 NIELSEN</v>
      </c>
      <c r="J198">
        <f>IF(EXACT('Entry data'!$C$3,"Road"),IF(ISBLANK(VLOOKUP(A198,'NHL PBP'!A:AH,21,FALSE)),3,IF(ISBLANK(VLOOKUP(A198,'NHL PBP'!A:AH,23,FALSE)),4,5)),IF(ISBLANK(VLOOKUP(A198,'NHL PBP'!A:AH,32,FALSE)),3,IF(ISBLANK(VLOOKUP(A198,'NHL PBP'!A:AH,34,FALSE)),4,5)))</f>
        <v>5</v>
      </c>
      <c r="K198">
        <f>IF(EXACT('Entry data'!$C$3,"Home"),IF(ISBLANK(VLOOKUP(A198,'NHL PBP'!A:AH,21,FALSE)),3,IF(ISBLANK(VLOOKUP(A198,'NHL PBP'!A:AH,23,FALSE)),4,5)),IF(ISBLANK(VLOOKUP(A198,'NHL PBP'!A:AH,32,FALSE)),3,IF(ISBLANK(VLOOKUP(A198,'NHL PBP'!A:AH,34,FALSE)),4,5)))</f>
        <v>5</v>
      </c>
      <c r="L198">
        <f>IF(OR(EXACT(D198,"C"),EXACT(D198,"P"),EXACT(D198,"D"),EXACT(D198,"T"),EXACT(D198,"X"),EXACT(E198,"DZF"),EXACT(E198,"OZF"),EXACT(D198,"N"),EXACT(D198,"F")),1,0)</f>
        <v>0</v>
      </c>
      <c r="M198" t="str">
        <f t="shared" si="12"/>
        <v/>
      </c>
      <c r="N198">
        <f t="shared" si="13"/>
        <v>0</v>
      </c>
      <c r="O198">
        <f t="shared" si="14"/>
        <v>0</v>
      </c>
      <c r="P198" t="str">
        <f t="shared" si="15"/>
        <v/>
      </c>
    </row>
    <row r="199" spans="1:16" x14ac:dyDescent="0.25">
      <c r="A199">
        <v>62</v>
      </c>
      <c r="B199">
        <f>IF(ISBLANK(VLOOKUP($A199,'Entry data'!$A:$K,2,FALSE)),"",VLOOKUP($A199,'Entry data'!$A:$K,2,FALSE))</f>
        <v>2</v>
      </c>
      <c r="C199">
        <f>IF(ISBLANK(VLOOKUP($A199,'Entry data'!$A:$K,3,FALSE)),"",VLOOKUP($A199,'Entry data'!$A:$K,3,FALSE))</f>
        <v>0.61111111111111105</v>
      </c>
      <c r="D199" t="str">
        <f>IF(ISBLANK(VLOOKUP($A199,'Entry data'!$A:$K,4,FALSE)),"",VLOOKUP($A199,'Entry data'!$A:$K,4,FALSE))</f>
        <v>D</v>
      </c>
      <c r="E199" t="str">
        <f>IF(ISBLANK(VLOOKUP($A199,'Entry data'!$A:$K,5,FALSE)),"",VLOOKUP($A199,'Entry data'!$A:$K,5,FALSE))</f>
        <v>14NSH</v>
      </c>
      <c r="F199" t="str">
        <f>IF(ISBLANK(VLOOKUP($A199,'Entry data'!$A:$K,6,FALSE)),"",VLOOKUP($A199,'Entry data'!$A:$K,6,FALSE))</f>
        <v>N</v>
      </c>
      <c r="G199" t="str">
        <f>IF(ISBLANK(VLOOKUP($A199,'Entry data'!$A:$K,7,FALSE)),"",VLOOKUP($A199,'Entry data'!$A:$K,7,FALSE))</f>
        <v/>
      </c>
      <c r="H199" t="str">
        <f>IF(ISBLANK(VLOOKUP($A199,'Entry data'!$A:$K,8,FALSE)),"",VLOOKUP($A199,'Entry data'!$A:$K,8,FALSE))</f>
        <v>L</v>
      </c>
      <c r="I199" t="str">
        <f>IF(ISBLANK(VLOOKUP($A199,'Entry data'!$A:$K,9,FALSE)),"",VLOOKUP($A199,'Entry data'!$A:$K,9,FALSE))</f>
        <v>N</v>
      </c>
      <c r="J199">
        <f>IF(ISBLANK(VLOOKUP($A199,'Entry data'!$A:$K,10,FALSE)),"",VLOOKUP($A199,'Entry data'!$A:$K,10,FALSE))</f>
        <v>5</v>
      </c>
      <c r="K199">
        <f>IF(ISBLANK(VLOOKUP($A199,'Entry data'!$A:$K,11,FALSE)),"",VLOOKUP($A199,'Entry data'!$A:$K,11,FALSE))</f>
        <v>5</v>
      </c>
      <c r="L199">
        <f>IF(OR(EXACT(D199,"C"),EXACT(D199,"P"),EXACT(D199,"D"),EXACT(D199,"T"),EXACT(D199,"X"),EXACT(E199,"DZF"),EXACT(E199,"OZF"),EXACT(D199,"N"),EXACT(D199,"F")),1,0)</f>
        <v>1</v>
      </c>
      <c r="M199" t="str">
        <f t="shared" si="12"/>
        <v/>
      </c>
      <c r="N199">
        <f t="shared" si="13"/>
        <v>0</v>
      </c>
      <c r="O199">
        <f t="shared" si="14"/>
        <v>0</v>
      </c>
      <c r="P199" t="str">
        <f t="shared" si="15"/>
        <v/>
      </c>
    </row>
    <row r="200" spans="1:16" x14ac:dyDescent="0.25">
      <c r="A200">
        <v>63</v>
      </c>
      <c r="B200">
        <f>IF(ISBLANK(VLOOKUP($A200,'Entry data'!$A:$K,2,FALSE)),"",VLOOKUP($A200,'Entry data'!$A:$K,2,FALSE))</f>
        <v>2</v>
      </c>
      <c r="C200">
        <f>IF(ISBLANK(VLOOKUP($A200,'Entry data'!$A:$K,3,FALSE)),"",VLOOKUP($A200,'Entry data'!$A:$K,3,FALSE))</f>
        <v>0.60347222222222219</v>
      </c>
      <c r="D200" t="str">
        <f>IF(ISBLANK(VLOOKUP($A200,'Entry data'!$A:$K,4,FALSE)),"",VLOOKUP($A200,'Entry data'!$A:$K,4,FALSE))</f>
        <v>C</v>
      </c>
      <c r="E200" t="str">
        <f>IF(ISBLANK(VLOOKUP($A200,'Entry data'!$A:$K,5,FALSE)),"",VLOOKUP($A200,'Entry data'!$A:$K,5,FALSE))</f>
        <v>51DET</v>
      </c>
      <c r="F200" t="str">
        <f>IF(ISBLANK(VLOOKUP($A200,'Entry data'!$A:$K,6,FALSE)),"",VLOOKUP($A200,'Entry data'!$A:$K,6,FALSE))</f>
        <v>14NSH</v>
      </c>
      <c r="G200" t="str">
        <f>IF(ISBLANK(VLOOKUP($A200,'Entry data'!$A:$K,7,FALSE)),"",VLOOKUP($A200,'Entry data'!$A:$K,7,FALSE))</f>
        <v>N</v>
      </c>
      <c r="H200" t="str">
        <f>IF(ISBLANK(VLOOKUP($A200,'Entry data'!$A:$K,8,FALSE)),"",VLOOKUP($A200,'Entry data'!$A:$K,8,FALSE))</f>
        <v>C</v>
      </c>
      <c r="I200" t="str">
        <f>IF(ISBLANK(VLOOKUP($A200,'Entry data'!$A:$K,9,FALSE)),"",VLOOKUP($A200,'Entry data'!$A:$K,9,FALSE))</f>
        <v>N</v>
      </c>
      <c r="J200">
        <f>IF(ISBLANK(VLOOKUP($A200,'Entry data'!$A:$K,10,FALSE)),"",VLOOKUP($A200,'Entry data'!$A:$K,10,FALSE))</f>
        <v>5</v>
      </c>
      <c r="K200">
        <f>IF(ISBLANK(VLOOKUP($A200,'Entry data'!$A:$K,11,FALSE)),"",VLOOKUP($A200,'Entry data'!$A:$K,11,FALSE))</f>
        <v>5</v>
      </c>
      <c r="L200">
        <f>IF(OR(EXACT(D200,"C"),EXACT(D200,"P"),EXACT(D200,"D"),EXACT(D200,"T"),EXACT(D200,"X"),EXACT(E200,"DZF"),EXACT(E200,"OZF"),EXACT(D200,"N"),EXACT(D200,"F")),1,0)</f>
        <v>1</v>
      </c>
      <c r="M200" t="str">
        <f t="shared" si="12"/>
        <v>51DET</v>
      </c>
      <c r="N200">
        <f t="shared" si="13"/>
        <v>0</v>
      </c>
      <c r="O200">
        <f t="shared" si="14"/>
        <v>0</v>
      </c>
      <c r="P200" t="str">
        <f t="shared" si="15"/>
        <v/>
      </c>
    </row>
    <row r="201" spans="1:16" x14ac:dyDescent="0.25">
      <c r="A201">
        <v>137</v>
      </c>
      <c r="B201">
        <f>IF($A201&gt;$A$1,"",VLOOKUP($A201,'NHL PBP'!$A:$L,8,FALSE))</f>
        <v>2</v>
      </c>
      <c r="C201">
        <f>IF($A201&gt;$A$1,"",IF(B201&gt;3,5/24,20/24)-VLOOKUP($A201,'NHL PBP'!$A:$L,10,FALSE))</f>
        <v>0.58819444444444446</v>
      </c>
      <c r="D201" t="str">
        <f>IF($A201&gt;$A$1,"",VLOOKUP($A201,'NHL PBP'!$A:$L,11,FALSE))</f>
        <v>HIT</v>
      </c>
      <c r="E201" t="str">
        <f>IF(AND(EXACT(D201,"FAC"),NOT(EXACT(MID(F201,9,3),"Neu"))),IF(OR(AND(EXACT(MID(F201,9,3),"Off"),EXACT(LEFT(F201,3),UPPER('Entry data'!$C$2))),AND(EXACT(MID(F201,9,3),"Def"),NOT(EXACT(LEFT(F201,3),UPPER('Entry data'!$C$2))))),"DZF","OZF"),"")</f>
        <v/>
      </c>
      <c r="F201" t="str">
        <f>IF($A201&gt;$A$1,"",VLOOKUP($A201,'NHL PBP'!$A:$L,12,FALSE))</f>
        <v>NSH #9 FORSBERG HIT DET #53 MARCHENKO, Off. Zone</v>
      </c>
      <c r="J201">
        <f>IF(EXACT('Entry data'!$C$3,"Road"),IF(ISBLANK(VLOOKUP(A201,'NHL PBP'!A:AH,21,FALSE)),3,IF(ISBLANK(VLOOKUP(A201,'NHL PBP'!A:AH,23,FALSE)),4,5)),IF(ISBLANK(VLOOKUP(A201,'NHL PBP'!A:AH,32,FALSE)),3,IF(ISBLANK(VLOOKUP(A201,'NHL PBP'!A:AH,34,FALSE)),4,5)))</f>
        <v>5</v>
      </c>
      <c r="K201">
        <f>IF(EXACT('Entry data'!$C$3,"Home"),IF(ISBLANK(VLOOKUP(A201,'NHL PBP'!A:AH,21,FALSE)),3,IF(ISBLANK(VLOOKUP(A201,'NHL PBP'!A:AH,23,FALSE)),4,5)),IF(ISBLANK(VLOOKUP(A201,'NHL PBP'!A:AH,32,FALSE)),3,IF(ISBLANK(VLOOKUP(A201,'NHL PBP'!A:AH,34,FALSE)),4,5)))</f>
        <v>5</v>
      </c>
      <c r="L201">
        <f>IF(OR(EXACT(D201,"C"),EXACT(D201,"P"),EXACT(D201,"D"),EXACT(D201,"T"),EXACT(D201,"X"),EXACT(E201,"DZF"),EXACT(E201,"OZF"),EXACT(D201,"N"),EXACT(D201,"F")),1,0)</f>
        <v>0</v>
      </c>
      <c r="M201" t="str">
        <f t="shared" si="12"/>
        <v/>
      </c>
      <c r="N201">
        <f t="shared" si="13"/>
        <v>0</v>
      </c>
      <c r="O201">
        <f t="shared" si="14"/>
        <v>0</v>
      </c>
      <c r="P201" t="str">
        <f t="shared" si="15"/>
        <v/>
      </c>
    </row>
    <row r="202" spans="1:16" x14ac:dyDescent="0.25">
      <c r="A202">
        <v>64</v>
      </c>
      <c r="B202">
        <f>IF(ISBLANK(VLOOKUP($A202,'Entry data'!$A:$K,2,FALSE)),"",VLOOKUP($A202,'Entry data'!$A:$K,2,FALSE))</f>
        <v>2</v>
      </c>
      <c r="C202">
        <f>IF(ISBLANK(VLOOKUP($A202,'Entry data'!$A:$K,3,FALSE)),"",VLOOKUP($A202,'Entry data'!$A:$K,3,FALSE))</f>
        <v>0.58611111111111114</v>
      </c>
      <c r="D202" t="str">
        <f>IF(ISBLANK(VLOOKUP($A202,'Entry data'!$A:$K,4,FALSE)),"",VLOOKUP($A202,'Entry data'!$A:$K,4,FALSE))</f>
        <v>D</v>
      </c>
      <c r="E202" t="str">
        <f>IF(ISBLANK(VLOOKUP($A202,'Entry data'!$A:$K,5,FALSE)),"",VLOOKUP($A202,'Entry data'!$A:$K,5,FALSE))</f>
        <v>38NSH</v>
      </c>
      <c r="F202" t="str">
        <f>IF(ISBLANK(VLOOKUP($A202,'Entry data'!$A:$K,6,FALSE)),"",VLOOKUP($A202,'Entry data'!$A:$K,6,FALSE))</f>
        <v>52DET</v>
      </c>
      <c r="G202" t="str">
        <f>IF(ISBLANK(VLOOKUP($A202,'Entry data'!$A:$K,7,FALSE)),"",VLOOKUP($A202,'Entry data'!$A:$K,7,FALSE))</f>
        <v/>
      </c>
      <c r="H202" t="str">
        <f>IF(ISBLANK(VLOOKUP($A202,'Entry data'!$A:$K,8,FALSE)),"",VLOOKUP($A202,'Entry data'!$A:$K,8,FALSE))</f>
        <v>C</v>
      </c>
      <c r="I202" t="str">
        <f>IF(ISBLANK(VLOOKUP($A202,'Entry data'!$A:$K,9,FALSE)),"",VLOOKUP($A202,'Entry data'!$A:$K,9,FALSE))</f>
        <v>N</v>
      </c>
      <c r="J202">
        <f>IF(ISBLANK(VLOOKUP($A202,'Entry data'!$A:$K,10,FALSE)),"",VLOOKUP($A202,'Entry data'!$A:$K,10,FALSE))</f>
        <v>5</v>
      </c>
      <c r="K202">
        <f>IF(ISBLANK(VLOOKUP($A202,'Entry data'!$A:$K,11,FALSE)),"",VLOOKUP($A202,'Entry data'!$A:$K,11,FALSE))</f>
        <v>5</v>
      </c>
      <c r="L202">
        <f>IF(OR(EXACT(D202,"C"),EXACT(D202,"P"),EXACT(D202,"D"),EXACT(D202,"T"),EXACT(D202,"X"),EXACT(E202,"DZF"),EXACT(E202,"OZF"),EXACT(D202,"N"),EXACT(D202,"F")),1,0)</f>
        <v>1</v>
      </c>
      <c r="M202" t="str">
        <f t="shared" si="12"/>
        <v/>
      </c>
      <c r="N202">
        <f t="shared" si="13"/>
        <v>0</v>
      </c>
      <c r="O202">
        <f t="shared" si="14"/>
        <v>0</v>
      </c>
      <c r="P202" t="str">
        <f t="shared" si="15"/>
        <v/>
      </c>
    </row>
    <row r="203" spans="1:16" x14ac:dyDescent="0.25">
      <c r="A203">
        <v>138</v>
      </c>
      <c r="B203">
        <f>IF($A203&gt;$A$1,"",VLOOKUP($A203,'NHL PBP'!$A:$L,8,FALSE))</f>
        <v>2</v>
      </c>
      <c r="C203">
        <f>IF($A203&gt;$A$1,"",IF(B203&gt;3,5/24,20/24)-VLOOKUP($A203,'NHL PBP'!$A:$L,10,FALSE))</f>
        <v>0.57361111111111107</v>
      </c>
      <c r="D203" t="str">
        <f>IF($A203&gt;$A$1,"",VLOOKUP($A203,'NHL PBP'!$A:$L,11,FALSE))</f>
        <v>HIT</v>
      </c>
      <c r="E203" t="str">
        <f>IF(AND(EXACT(D203,"FAC"),NOT(EXACT(MID(F203,9,3),"Neu"))),IF(OR(AND(EXACT(MID(F203,9,3),"Off"),EXACT(LEFT(F203,3),UPPER('Entry data'!$C$2))),AND(EXACT(MID(F203,9,3),"Def"),NOT(EXACT(LEFT(F203,3),UPPER('Entry data'!$C$2))))),"DZF","OZF"),"")</f>
        <v/>
      </c>
      <c r="F203" t="str">
        <f>IF($A203&gt;$A$1,"",VLOOKUP($A203,'NHL PBP'!$A:$L,12,FALSE))</f>
        <v>NSH #12 FISHER HIT DET #52 ERICSSON, Off. Zone</v>
      </c>
      <c r="J203">
        <f>IF(EXACT('Entry data'!$C$3,"Road"),IF(ISBLANK(VLOOKUP(A203,'NHL PBP'!A:AH,21,FALSE)),3,IF(ISBLANK(VLOOKUP(A203,'NHL PBP'!A:AH,23,FALSE)),4,5)),IF(ISBLANK(VLOOKUP(A203,'NHL PBP'!A:AH,32,FALSE)),3,IF(ISBLANK(VLOOKUP(A203,'NHL PBP'!A:AH,34,FALSE)),4,5)))</f>
        <v>5</v>
      </c>
      <c r="K203">
        <f>IF(EXACT('Entry data'!$C$3,"Home"),IF(ISBLANK(VLOOKUP(A203,'NHL PBP'!A:AH,21,FALSE)),3,IF(ISBLANK(VLOOKUP(A203,'NHL PBP'!A:AH,23,FALSE)),4,5)),IF(ISBLANK(VLOOKUP(A203,'NHL PBP'!A:AH,32,FALSE)),3,IF(ISBLANK(VLOOKUP(A203,'NHL PBP'!A:AH,34,FALSE)),4,5)))</f>
        <v>5</v>
      </c>
      <c r="L203">
        <f>IF(OR(EXACT(D203,"C"),EXACT(D203,"P"),EXACT(D203,"D"),EXACT(D203,"T"),EXACT(D203,"X"),EXACT(E203,"DZF"),EXACT(E203,"OZF"),EXACT(D203,"N"),EXACT(D203,"F")),1,0)</f>
        <v>0</v>
      </c>
      <c r="M203" t="str">
        <f t="shared" si="12"/>
        <v/>
      </c>
      <c r="N203">
        <f t="shared" si="13"/>
        <v>0</v>
      </c>
      <c r="O203">
        <f t="shared" si="14"/>
        <v>0</v>
      </c>
      <c r="P203" t="str">
        <f t="shared" si="15"/>
        <v/>
      </c>
    </row>
    <row r="204" spans="1:16" x14ac:dyDescent="0.25">
      <c r="A204">
        <v>65</v>
      </c>
      <c r="B204">
        <f>IF(ISBLANK(VLOOKUP($A204,'Entry data'!$A:$K,2,FALSE)),"",VLOOKUP($A204,'Entry data'!$A:$K,2,FALSE))</f>
        <v>2</v>
      </c>
      <c r="C204">
        <f>IF(ISBLANK(VLOOKUP($A204,'Entry data'!$A:$K,3,FALSE)),"",VLOOKUP($A204,'Entry data'!$A:$K,3,FALSE))</f>
        <v>0.56944444444444442</v>
      </c>
      <c r="D204" t="str">
        <f>IF(ISBLANK(VLOOKUP($A204,'Entry data'!$A:$K,4,FALSE)),"",VLOOKUP($A204,'Entry data'!$A:$K,4,FALSE))</f>
        <v>D</v>
      </c>
      <c r="E204" t="str">
        <f>IF(ISBLANK(VLOOKUP($A204,'Entry data'!$A:$K,5,FALSE)),"",VLOOKUP($A204,'Entry data'!$A:$K,5,FALSE))</f>
        <v>43DET</v>
      </c>
      <c r="F204" t="str">
        <f>IF(ISBLANK(VLOOKUP($A204,'Entry data'!$A:$K,6,FALSE)),"",VLOOKUP($A204,'Entry data'!$A:$K,6,FALSE))</f>
        <v>59NSH</v>
      </c>
      <c r="G204" t="str">
        <f>IF(ISBLANK(VLOOKUP($A204,'Entry data'!$A:$K,7,FALSE)),"",VLOOKUP($A204,'Entry data'!$A:$K,7,FALSE))</f>
        <v/>
      </c>
      <c r="H204" t="str">
        <f>IF(ISBLANK(VLOOKUP($A204,'Entry data'!$A:$K,8,FALSE)),"",VLOOKUP($A204,'Entry data'!$A:$K,8,FALSE))</f>
        <v>C</v>
      </c>
      <c r="I204" t="str">
        <f>IF(ISBLANK(VLOOKUP($A204,'Entry data'!$A:$K,9,FALSE)),"",VLOOKUP($A204,'Entry data'!$A:$K,9,FALSE))</f>
        <v>N</v>
      </c>
      <c r="J204">
        <f>IF(ISBLANK(VLOOKUP($A204,'Entry data'!$A:$K,10,FALSE)),"",VLOOKUP($A204,'Entry data'!$A:$K,10,FALSE))</f>
        <v>5</v>
      </c>
      <c r="K204">
        <f>IF(ISBLANK(VLOOKUP($A204,'Entry data'!$A:$K,11,FALSE)),"",VLOOKUP($A204,'Entry data'!$A:$K,11,FALSE))</f>
        <v>5</v>
      </c>
      <c r="L204">
        <f>IF(OR(EXACT(D204,"C"),EXACT(D204,"P"),EXACT(D204,"D"),EXACT(D204,"T"),EXACT(D204,"X"),EXACT(E204,"DZF"),EXACT(E204,"OZF"),EXACT(D204,"N"),EXACT(D204,"F")),1,0)</f>
        <v>1</v>
      </c>
      <c r="M204" t="str">
        <f t="shared" si="12"/>
        <v/>
      </c>
      <c r="N204">
        <f t="shared" si="13"/>
        <v>0</v>
      </c>
      <c r="O204">
        <f t="shared" si="14"/>
        <v>0</v>
      </c>
      <c r="P204" t="str">
        <f t="shared" si="15"/>
        <v/>
      </c>
    </row>
    <row r="205" spans="1:16" x14ac:dyDescent="0.25">
      <c r="A205">
        <v>139</v>
      </c>
      <c r="B205">
        <f>IF($A205&gt;$A$1,"",VLOOKUP($A205,'NHL PBP'!$A:$L,8,FALSE))</f>
        <v>2</v>
      </c>
      <c r="C205">
        <f>IF($A205&gt;$A$1,"",IF(B205&gt;3,5/24,20/24)-VLOOKUP($A205,'NHL PBP'!$A:$L,10,FALSE))</f>
        <v>0.5625</v>
      </c>
      <c r="D205" t="str">
        <f>IF($A205&gt;$A$1,"",VLOOKUP($A205,'NHL PBP'!$A:$L,11,FALSE))</f>
        <v>HIT</v>
      </c>
      <c r="E205" t="str">
        <f>IF(AND(EXACT(D205,"FAC"),NOT(EXACT(MID(F205,9,3),"Neu"))),IF(OR(AND(EXACT(MID(F205,9,3),"Off"),EXACT(LEFT(F205,3),UPPER('Entry data'!$C$2))),AND(EXACT(MID(F205,9,3),"Def"),NOT(EXACT(LEFT(F205,3),UPPER('Entry data'!$C$2))))),"DZF","OZF"),"")</f>
        <v/>
      </c>
      <c r="F205" t="str">
        <f>IF($A205&gt;$A$1,"",VLOOKUP($A205,'NHL PBP'!$A:$L,12,FALSE))</f>
        <v>DET #48 SPROUL HIT NSH #38 ARVIDSSON, Neu. Zone</v>
      </c>
      <c r="J205">
        <f>IF(EXACT('Entry data'!$C$3,"Road"),IF(ISBLANK(VLOOKUP(A205,'NHL PBP'!A:AH,21,FALSE)),3,IF(ISBLANK(VLOOKUP(A205,'NHL PBP'!A:AH,23,FALSE)),4,5)),IF(ISBLANK(VLOOKUP(A205,'NHL PBP'!A:AH,32,FALSE)),3,IF(ISBLANK(VLOOKUP(A205,'NHL PBP'!A:AH,34,FALSE)),4,5)))</f>
        <v>5</v>
      </c>
      <c r="K205">
        <f>IF(EXACT('Entry data'!$C$3,"Home"),IF(ISBLANK(VLOOKUP(A205,'NHL PBP'!A:AH,21,FALSE)),3,IF(ISBLANK(VLOOKUP(A205,'NHL PBP'!A:AH,23,FALSE)),4,5)),IF(ISBLANK(VLOOKUP(A205,'NHL PBP'!A:AH,32,FALSE)),3,IF(ISBLANK(VLOOKUP(A205,'NHL PBP'!A:AH,34,FALSE)),4,5)))</f>
        <v>5</v>
      </c>
      <c r="L205">
        <f>IF(OR(EXACT(D205,"C"),EXACT(D205,"P"),EXACT(D205,"D"),EXACT(D205,"T"),EXACT(D205,"X"),EXACT(E205,"DZF"),EXACT(E205,"OZF"),EXACT(D205,"N"),EXACT(D205,"F")),1,0)</f>
        <v>0</v>
      </c>
      <c r="M205" t="str">
        <f t="shared" si="12"/>
        <v/>
      </c>
      <c r="N205">
        <f t="shared" si="13"/>
        <v>0</v>
      </c>
      <c r="O205">
        <f t="shared" si="14"/>
        <v>0</v>
      </c>
      <c r="P205" t="str">
        <f t="shared" si="15"/>
        <v/>
      </c>
    </row>
    <row r="206" spans="1:16" x14ac:dyDescent="0.25">
      <c r="A206">
        <v>66</v>
      </c>
      <c r="B206">
        <f>IF(ISBLANK(VLOOKUP($A206,'Entry data'!$A:$K,2,FALSE)),"",VLOOKUP($A206,'Entry data'!$A:$K,2,FALSE))</f>
        <v>2</v>
      </c>
      <c r="C206">
        <f>IF(ISBLANK(VLOOKUP($A206,'Entry data'!$A:$K,3,FALSE)),"",VLOOKUP($A206,'Entry data'!$A:$K,3,FALSE))</f>
        <v>0.5625</v>
      </c>
      <c r="D206" t="str">
        <f>IF(ISBLANK(VLOOKUP($A206,'Entry data'!$A:$K,4,FALSE)),"",VLOOKUP($A206,'Entry data'!$A:$K,4,FALSE))</f>
        <v>D</v>
      </c>
      <c r="E206" t="str">
        <f>IF(ISBLANK(VLOOKUP($A206,'Entry data'!$A:$K,5,FALSE)),"",VLOOKUP($A206,'Entry data'!$A:$K,5,FALSE))</f>
        <v>43DET</v>
      </c>
      <c r="F206" t="str">
        <f>IF(ISBLANK(VLOOKUP($A206,'Entry data'!$A:$K,6,FALSE)),"",VLOOKUP($A206,'Entry data'!$A:$K,6,FALSE))</f>
        <v>12NSH</v>
      </c>
      <c r="G206" t="str">
        <f>IF(ISBLANK(VLOOKUP($A206,'Entry data'!$A:$K,7,FALSE)),"",VLOOKUP($A206,'Entry data'!$A:$K,7,FALSE))</f>
        <v/>
      </c>
      <c r="H206" t="str">
        <f>IF(ISBLANK(VLOOKUP($A206,'Entry data'!$A:$K,8,FALSE)),"",VLOOKUP($A206,'Entry data'!$A:$K,8,FALSE))</f>
        <v>C</v>
      </c>
      <c r="I206" t="str">
        <f>IF(ISBLANK(VLOOKUP($A206,'Entry data'!$A:$K,9,FALSE)),"",VLOOKUP($A206,'Entry data'!$A:$K,9,FALSE))</f>
        <v>N</v>
      </c>
      <c r="J206">
        <f>IF(ISBLANK(VLOOKUP($A206,'Entry data'!$A:$K,10,FALSE)),"",VLOOKUP($A206,'Entry data'!$A:$K,10,FALSE))</f>
        <v>5</v>
      </c>
      <c r="K206">
        <f>IF(ISBLANK(VLOOKUP($A206,'Entry data'!$A:$K,11,FALSE)),"",VLOOKUP($A206,'Entry data'!$A:$K,11,FALSE))</f>
        <v>5</v>
      </c>
      <c r="L206">
        <f>IF(OR(EXACT(D206,"C"),EXACT(D206,"P"),EXACT(D206,"D"),EXACT(D206,"T"),EXACT(D206,"X"),EXACT(E206,"DZF"),EXACT(E206,"OZF"),EXACT(D206,"N"),EXACT(D206,"F")),1,0)</f>
        <v>1</v>
      </c>
      <c r="M206" t="str">
        <f t="shared" si="12"/>
        <v/>
      </c>
      <c r="N206">
        <f t="shared" si="13"/>
        <v>0</v>
      </c>
      <c r="O206">
        <f t="shared" si="14"/>
        <v>0</v>
      </c>
      <c r="P206" t="str">
        <f t="shared" si="15"/>
        <v/>
      </c>
    </row>
    <row r="207" spans="1:16" x14ac:dyDescent="0.25">
      <c r="A207">
        <v>67</v>
      </c>
      <c r="B207">
        <f>IF(ISBLANK(VLOOKUP($A207,'Entry data'!$A:$K,2,FALSE)),"",VLOOKUP($A207,'Entry data'!$A:$K,2,FALSE))</f>
        <v>2</v>
      </c>
      <c r="C207">
        <f>IF(ISBLANK(VLOOKUP($A207,'Entry data'!$A:$K,3,FALSE)),"",VLOOKUP($A207,'Entry data'!$A:$K,3,FALSE))</f>
        <v>0.55347222222222225</v>
      </c>
      <c r="D207" t="str">
        <f>IF(ISBLANK(VLOOKUP($A207,'Entry data'!$A:$K,4,FALSE)),"",VLOOKUP($A207,'Entry data'!$A:$K,4,FALSE))</f>
        <v>D</v>
      </c>
      <c r="E207" t="str">
        <f>IF(ISBLANK(VLOOKUP($A207,'Entry data'!$A:$K,5,FALSE)),"",VLOOKUP($A207,'Entry data'!$A:$K,5,FALSE))</f>
        <v>12NSH</v>
      </c>
      <c r="F207" t="str">
        <f>IF(ISBLANK(VLOOKUP($A207,'Entry data'!$A:$K,6,FALSE)),"",VLOOKUP($A207,'Entry data'!$A:$K,6,FALSE))</f>
        <v>48DET</v>
      </c>
      <c r="G207" t="str">
        <f>IF(ISBLANK(VLOOKUP($A207,'Entry data'!$A:$K,7,FALSE)),"",VLOOKUP($A207,'Entry data'!$A:$K,7,FALSE))</f>
        <v/>
      </c>
      <c r="H207" t="str">
        <f>IF(ISBLANK(VLOOKUP($A207,'Entry data'!$A:$K,8,FALSE)),"",VLOOKUP($A207,'Entry data'!$A:$K,8,FALSE))</f>
        <v>L</v>
      </c>
      <c r="I207" t="str">
        <f>IF(ISBLANK(VLOOKUP($A207,'Entry data'!$A:$K,9,FALSE)),"",VLOOKUP($A207,'Entry data'!$A:$K,9,FALSE))</f>
        <v>56NSH</v>
      </c>
      <c r="J207">
        <f>IF(ISBLANK(VLOOKUP($A207,'Entry data'!$A:$K,10,FALSE)),"",VLOOKUP($A207,'Entry data'!$A:$K,10,FALSE))</f>
        <v>5</v>
      </c>
      <c r="K207">
        <f>IF(ISBLANK(VLOOKUP($A207,'Entry data'!$A:$K,11,FALSE)),"",VLOOKUP($A207,'Entry data'!$A:$K,11,FALSE))</f>
        <v>5</v>
      </c>
      <c r="L207">
        <f>IF(OR(EXACT(D207,"C"),EXACT(D207,"P"),EXACT(D207,"D"),EXACT(D207,"T"),EXACT(D207,"X"),EXACT(E207,"DZF"),EXACT(E207,"OZF"),EXACT(D207,"N"),EXACT(D207,"F")),1,0)</f>
        <v>1</v>
      </c>
      <c r="M207" t="str">
        <f t="shared" si="12"/>
        <v/>
      </c>
      <c r="N207">
        <f t="shared" si="13"/>
        <v>0</v>
      </c>
      <c r="O207">
        <f t="shared" si="14"/>
        <v>0</v>
      </c>
      <c r="P207" t="str">
        <f t="shared" si="15"/>
        <v/>
      </c>
    </row>
    <row r="208" spans="1:16" x14ac:dyDescent="0.25">
      <c r="A208">
        <v>140</v>
      </c>
      <c r="B208">
        <f>IF($A208&gt;$A$1,"",VLOOKUP($A208,'NHL PBP'!$A:$L,8,FALSE))</f>
        <v>2</v>
      </c>
      <c r="C208">
        <f>IF($A208&gt;$A$1,"",IF(B208&gt;3,5/24,20/24)-VLOOKUP($A208,'NHL PBP'!$A:$L,10,FALSE))</f>
        <v>0.54861111111111116</v>
      </c>
      <c r="D208" t="str">
        <f>IF($A208&gt;$A$1,"",VLOOKUP($A208,'NHL PBP'!$A:$L,11,FALSE))</f>
        <v>BLOCK</v>
      </c>
      <c r="E208" t="str">
        <f>IF(AND(EXACT(D208,"FAC"),NOT(EXACT(MID(F208,9,3),"Neu"))),IF(OR(AND(EXACT(MID(F208,9,3),"Off"),EXACT(LEFT(F208,3),UPPER('Entry data'!$C$2))),AND(EXACT(MID(F208,9,3),"Def"),NOT(EXACT(LEFT(F208,3),UPPER('Entry data'!$C$2))))),"DZF","OZF"),"")</f>
        <v/>
      </c>
      <c r="F208" t="str">
        <f>IF($A208&gt;$A$1,"",VLOOKUP($A208,'NHL PBP'!$A:$L,12,FALSE))</f>
        <v>NSH #56 FIALA BLOCKED BY DET #48 SPROUL, Wrist, Def. Zone</v>
      </c>
      <c r="J208">
        <f>IF(EXACT('Entry data'!$C$3,"Road"),IF(ISBLANK(VLOOKUP(A208,'NHL PBP'!A:AH,21,FALSE)),3,IF(ISBLANK(VLOOKUP(A208,'NHL PBP'!A:AH,23,FALSE)),4,5)),IF(ISBLANK(VLOOKUP(A208,'NHL PBP'!A:AH,32,FALSE)),3,IF(ISBLANK(VLOOKUP(A208,'NHL PBP'!A:AH,34,FALSE)),4,5)))</f>
        <v>5</v>
      </c>
      <c r="K208">
        <f>IF(EXACT('Entry data'!$C$3,"Home"),IF(ISBLANK(VLOOKUP(A208,'NHL PBP'!A:AH,21,FALSE)),3,IF(ISBLANK(VLOOKUP(A208,'NHL PBP'!A:AH,23,FALSE)),4,5)),IF(ISBLANK(VLOOKUP(A208,'NHL PBP'!A:AH,32,FALSE)),3,IF(ISBLANK(VLOOKUP(A208,'NHL PBP'!A:AH,34,FALSE)),4,5)))</f>
        <v>5</v>
      </c>
      <c r="L208">
        <f>IF(OR(EXACT(D208,"C"),EXACT(D208,"P"),EXACT(D208,"D"),EXACT(D208,"T"),EXACT(D208,"X"),EXACT(E208,"DZF"),EXACT(E208,"OZF"),EXACT(D208,"N"),EXACT(D208,"F")),1,0)</f>
        <v>0</v>
      </c>
      <c r="M208" t="str">
        <f t="shared" si="12"/>
        <v/>
      </c>
      <c r="N208">
        <f t="shared" si="13"/>
        <v>0</v>
      </c>
      <c r="O208">
        <f t="shared" si="14"/>
        <v>0</v>
      </c>
      <c r="P208" t="str">
        <f t="shared" si="15"/>
        <v/>
      </c>
    </row>
    <row r="209" spans="1:16" x14ac:dyDescent="0.25">
      <c r="A209">
        <v>141</v>
      </c>
      <c r="B209">
        <f>IF($A209&gt;$A$1,"",VLOOKUP($A209,'NHL PBP'!$A:$L,8,FALSE))</f>
        <v>2</v>
      </c>
      <c r="C209">
        <f>IF($A209&gt;$A$1,"",IF(B209&gt;3,5/24,20/24)-VLOOKUP($A209,'NHL PBP'!$A:$L,10,FALSE))</f>
        <v>0.54791666666666672</v>
      </c>
      <c r="D209" t="str">
        <f>IF($A209&gt;$A$1,"",VLOOKUP($A209,'NHL PBP'!$A:$L,11,FALSE))</f>
        <v>STOP</v>
      </c>
      <c r="E209" t="str">
        <f>IF(AND(EXACT(D209,"FAC"),NOT(EXACT(MID(F209,9,3),"Neu"))),IF(OR(AND(EXACT(MID(F209,9,3),"Off"),EXACT(LEFT(F209,3),UPPER('Entry data'!$C$2))),AND(EXACT(MID(F209,9,3),"Def"),NOT(EXACT(LEFT(F209,3),UPPER('Entry data'!$C$2))))),"DZF","OZF"),"")</f>
        <v/>
      </c>
      <c r="F209" t="str">
        <f>IF($A209&gt;$A$1,"",VLOOKUP($A209,'NHL PBP'!$A:$L,12,FALSE))</f>
        <v>PUCK IN NETTING,TV TIMEOUT</v>
      </c>
      <c r="J209">
        <f>IF(EXACT('Entry data'!$C$3,"Road"),IF(ISBLANK(VLOOKUP(A209,'NHL PBP'!A:AH,21,FALSE)),3,IF(ISBLANK(VLOOKUP(A209,'NHL PBP'!A:AH,23,FALSE)),4,5)),IF(ISBLANK(VLOOKUP(A209,'NHL PBP'!A:AH,32,FALSE)),3,IF(ISBLANK(VLOOKUP(A209,'NHL PBP'!A:AH,34,FALSE)),4,5)))</f>
        <v>5</v>
      </c>
      <c r="K209">
        <f>IF(EXACT('Entry data'!$C$3,"Home"),IF(ISBLANK(VLOOKUP(A209,'NHL PBP'!A:AH,21,FALSE)),3,IF(ISBLANK(VLOOKUP(A209,'NHL PBP'!A:AH,23,FALSE)),4,5)),IF(ISBLANK(VLOOKUP(A209,'NHL PBP'!A:AH,32,FALSE)),3,IF(ISBLANK(VLOOKUP(A209,'NHL PBP'!A:AH,34,FALSE)),4,5)))</f>
        <v>5</v>
      </c>
      <c r="L209">
        <f>IF(OR(EXACT(D209,"C"),EXACT(D209,"P"),EXACT(D209,"D"),EXACT(D209,"T"),EXACT(D209,"X"),EXACT(E209,"DZF"),EXACT(E209,"OZF"),EXACT(D209,"N"),EXACT(D209,"F")),1,0)</f>
        <v>0</v>
      </c>
      <c r="M209" t="str">
        <f t="shared" si="12"/>
        <v/>
      </c>
      <c r="N209">
        <f t="shared" si="13"/>
        <v>0</v>
      </c>
      <c r="O209">
        <f t="shared" si="14"/>
        <v>0</v>
      </c>
      <c r="P209" t="str">
        <f t="shared" si="15"/>
        <v/>
      </c>
    </row>
    <row r="210" spans="1:16" x14ac:dyDescent="0.25">
      <c r="A210">
        <v>142</v>
      </c>
      <c r="B210">
        <f>IF($A210&gt;$A$1,"",VLOOKUP($A210,'NHL PBP'!$A:$L,8,FALSE))</f>
        <v>2</v>
      </c>
      <c r="C210">
        <f>IF($A210&gt;$A$1,"",IF(B210&gt;3,5/24,20/24)-VLOOKUP($A210,'NHL PBP'!$A:$L,10,FALSE))</f>
        <v>0.54791666666666672</v>
      </c>
      <c r="D210" t="str">
        <f>IF($A210&gt;$A$1,"",VLOOKUP($A210,'NHL PBP'!$A:$L,11,FALSE))</f>
        <v>FAC</v>
      </c>
      <c r="E210" t="str">
        <f>IF(AND(EXACT(D210,"FAC"),NOT(EXACT(MID(F210,9,3),"Neu"))),IF(OR(AND(EXACT(MID(F210,9,3),"Off"),EXACT(LEFT(F210,3),UPPER('Entry data'!$C$2))),AND(EXACT(MID(F210,9,3),"Def"),NOT(EXACT(LEFT(F210,3),UPPER('Entry data'!$C$2))))),"DZF","OZF"),"")</f>
        <v>DZF</v>
      </c>
      <c r="F210" t="str">
        <f>IF($A210&gt;$A$1,"",VLOOKUP($A210,'NHL PBP'!$A:$L,12,FALSE))</f>
        <v>DET won Def. Zone - NSH #19 JARNKROK vs DET #40 ZETTERBERG</v>
      </c>
      <c r="J210">
        <f>IF(EXACT('Entry data'!$C$3,"Road"),IF(ISBLANK(VLOOKUP(A210,'NHL PBP'!A:AH,21,FALSE)),3,IF(ISBLANK(VLOOKUP(A210,'NHL PBP'!A:AH,23,FALSE)),4,5)),IF(ISBLANK(VLOOKUP(A210,'NHL PBP'!A:AH,32,FALSE)),3,IF(ISBLANK(VLOOKUP(A210,'NHL PBP'!A:AH,34,FALSE)),4,5)))</f>
        <v>5</v>
      </c>
      <c r="K210">
        <f>IF(EXACT('Entry data'!$C$3,"Home"),IF(ISBLANK(VLOOKUP(A210,'NHL PBP'!A:AH,21,FALSE)),3,IF(ISBLANK(VLOOKUP(A210,'NHL PBP'!A:AH,23,FALSE)),4,5)),IF(ISBLANK(VLOOKUP(A210,'NHL PBP'!A:AH,32,FALSE)),3,IF(ISBLANK(VLOOKUP(A210,'NHL PBP'!A:AH,34,FALSE)),4,5)))</f>
        <v>5</v>
      </c>
      <c r="L210">
        <f>IF(OR(EXACT(D210,"C"),EXACT(D210,"P"),EXACT(D210,"D"),EXACT(D210,"T"),EXACT(D210,"X"),EXACT(E210,"DZF"),EXACT(E210,"OZF"),EXACT(D210,"N"),EXACT(D210,"F")),1,0)</f>
        <v>1</v>
      </c>
      <c r="M210" t="str">
        <f t="shared" si="12"/>
        <v/>
      </c>
      <c r="N210">
        <f t="shared" si="13"/>
        <v>0</v>
      </c>
      <c r="O210">
        <f t="shared" si="14"/>
        <v>0</v>
      </c>
      <c r="P210" t="str">
        <f t="shared" si="15"/>
        <v/>
      </c>
    </row>
    <row r="211" spans="1:16" x14ac:dyDescent="0.25">
      <c r="A211">
        <v>143</v>
      </c>
      <c r="B211">
        <f>IF($A211&gt;$A$1,"",VLOOKUP($A211,'NHL PBP'!$A:$L,8,FALSE))</f>
        <v>2</v>
      </c>
      <c r="C211">
        <f>IF($A211&gt;$A$1,"",IF(B211&gt;3,5/24,20/24)-VLOOKUP($A211,'NHL PBP'!$A:$L,10,FALSE))</f>
        <v>0.54166666666666674</v>
      </c>
      <c r="D211" t="str">
        <f>IF($A211&gt;$A$1,"",VLOOKUP($A211,'NHL PBP'!$A:$L,11,FALSE))</f>
        <v>HIT</v>
      </c>
      <c r="E211" t="str">
        <f>IF(AND(EXACT(D211,"FAC"),NOT(EXACT(MID(F211,9,3),"Neu"))),IF(OR(AND(EXACT(MID(F211,9,3),"Off"),EXACT(LEFT(F211,3),UPPER('Entry data'!$C$2))),AND(EXACT(MID(F211,9,3),"Def"),NOT(EXACT(LEFT(F211,3),UPPER('Entry data'!$C$2))))),"DZF","OZF"),"")</f>
        <v/>
      </c>
      <c r="F211" t="str">
        <f>IF($A211&gt;$A$1,"",VLOOKUP($A211,'NHL PBP'!$A:$L,12,FALSE))</f>
        <v>NSH #56 FIALA HIT DET #25 GREEN, Off. Zone</v>
      </c>
      <c r="J211">
        <f>IF(EXACT('Entry data'!$C$3,"Road"),IF(ISBLANK(VLOOKUP(A211,'NHL PBP'!A:AH,21,FALSE)),3,IF(ISBLANK(VLOOKUP(A211,'NHL PBP'!A:AH,23,FALSE)),4,5)),IF(ISBLANK(VLOOKUP(A211,'NHL PBP'!A:AH,32,FALSE)),3,IF(ISBLANK(VLOOKUP(A211,'NHL PBP'!A:AH,34,FALSE)),4,5)))</f>
        <v>5</v>
      </c>
      <c r="K211">
        <f>IF(EXACT('Entry data'!$C$3,"Home"),IF(ISBLANK(VLOOKUP(A211,'NHL PBP'!A:AH,21,FALSE)),3,IF(ISBLANK(VLOOKUP(A211,'NHL PBP'!A:AH,23,FALSE)),4,5)),IF(ISBLANK(VLOOKUP(A211,'NHL PBP'!A:AH,32,FALSE)),3,IF(ISBLANK(VLOOKUP(A211,'NHL PBP'!A:AH,34,FALSE)),4,5)))</f>
        <v>5</v>
      </c>
      <c r="L211">
        <f>IF(OR(EXACT(D211,"C"),EXACT(D211,"P"),EXACT(D211,"D"),EXACT(D211,"T"),EXACT(D211,"X"),EXACT(E211,"DZF"),EXACT(E211,"OZF"),EXACT(D211,"N"),EXACT(D211,"F")),1,0)</f>
        <v>0</v>
      </c>
      <c r="M211" t="str">
        <f t="shared" si="12"/>
        <v/>
      </c>
      <c r="N211">
        <f t="shared" si="13"/>
        <v>0</v>
      </c>
      <c r="O211">
        <f t="shared" si="14"/>
        <v>0</v>
      </c>
      <c r="P211" t="str">
        <f t="shared" si="15"/>
        <v/>
      </c>
    </row>
    <row r="212" spans="1:16" x14ac:dyDescent="0.25">
      <c r="A212">
        <v>144</v>
      </c>
      <c r="B212">
        <f>IF($A212&gt;$A$1,"",VLOOKUP($A212,'NHL PBP'!$A:$L,8,FALSE))</f>
        <v>2</v>
      </c>
      <c r="C212">
        <f>IF($A212&gt;$A$1,"",IF(B212&gt;3,5/24,20/24)-VLOOKUP($A212,'NHL PBP'!$A:$L,10,FALSE))</f>
        <v>0.53680555555555554</v>
      </c>
      <c r="D212" t="str">
        <f>IF($A212&gt;$A$1,"",VLOOKUP($A212,'NHL PBP'!$A:$L,11,FALSE))</f>
        <v>HIT</v>
      </c>
      <c r="E212" t="str">
        <f>IF(AND(EXACT(D212,"FAC"),NOT(EXACT(MID(F212,9,3),"Neu"))),IF(OR(AND(EXACT(MID(F212,9,3),"Off"),EXACT(LEFT(F212,3),UPPER('Entry data'!$C$2))),AND(EXACT(MID(F212,9,3),"Def"),NOT(EXACT(LEFT(F212,3),UPPER('Entry data'!$C$2))))),"DZF","OZF"),"")</f>
        <v/>
      </c>
      <c r="F212" t="str">
        <f>IF($A212&gt;$A$1,"",VLOOKUP($A212,'NHL PBP'!$A:$L,12,FALSE))</f>
        <v>DET #25 GREEN HIT NSH #18 NEAL, Def. Zone</v>
      </c>
      <c r="J212">
        <f>IF(EXACT('Entry data'!$C$3,"Road"),IF(ISBLANK(VLOOKUP(A212,'NHL PBP'!A:AH,21,FALSE)),3,IF(ISBLANK(VLOOKUP(A212,'NHL PBP'!A:AH,23,FALSE)),4,5)),IF(ISBLANK(VLOOKUP(A212,'NHL PBP'!A:AH,32,FALSE)),3,IF(ISBLANK(VLOOKUP(A212,'NHL PBP'!A:AH,34,FALSE)),4,5)))</f>
        <v>5</v>
      </c>
      <c r="K212">
        <f>IF(EXACT('Entry data'!$C$3,"Home"),IF(ISBLANK(VLOOKUP(A212,'NHL PBP'!A:AH,21,FALSE)),3,IF(ISBLANK(VLOOKUP(A212,'NHL PBP'!A:AH,23,FALSE)),4,5)),IF(ISBLANK(VLOOKUP(A212,'NHL PBP'!A:AH,32,FALSE)),3,IF(ISBLANK(VLOOKUP(A212,'NHL PBP'!A:AH,34,FALSE)),4,5)))</f>
        <v>5</v>
      </c>
      <c r="L212">
        <f>IF(OR(EXACT(D212,"C"),EXACT(D212,"P"),EXACT(D212,"D"),EXACT(D212,"T"),EXACT(D212,"X"),EXACT(E212,"DZF"),EXACT(E212,"OZF"),EXACT(D212,"N"),EXACT(D212,"F")),1,0)</f>
        <v>0</v>
      </c>
      <c r="M212" t="str">
        <f t="shared" si="12"/>
        <v/>
      </c>
      <c r="N212">
        <f t="shared" si="13"/>
        <v>0</v>
      </c>
      <c r="O212">
        <f t="shared" si="14"/>
        <v>0</v>
      </c>
      <c r="P212" t="str">
        <f t="shared" si="15"/>
        <v/>
      </c>
    </row>
    <row r="213" spans="1:16" x14ac:dyDescent="0.25">
      <c r="A213">
        <v>68</v>
      </c>
      <c r="B213">
        <f>IF(ISBLANK(VLOOKUP($A213,'Entry data'!$A:$K,2,FALSE)),"",VLOOKUP($A213,'Entry data'!$A:$K,2,FALSE))</f>
        <v>2</v>
      </c>
      <c r="C213">
        <f>IF(ISBLANK(VLOOKUP($A213,'Entry data'!$A:$K,3,FALSE)),"",VLOOKUP($A213,'Entry data'!$A:$K,3,FALSE))</f>
        <v>0.53194444444444444</v>
      </c>
      <c r="D213" t="str">
        <f>IF(ISBLANK(VLOOKUP($A213,'Entry data'!$A:$K,4,FALSE)),"",VLOOKUP($A213,'Entry data'!$A:$K,4,FALSE))</f>
        <v>C</v>
      </c>
      <c r="E213" t="str">
        <f>IF(ISBLANK(VLOOKUP($A213,'Entry data'!$A:$K,5,FALSE)),"",VLOOKUP($A213,'Entry data'!$A:$K,5,FALSE))</f>
        <v>21DET</v>
      </c>
      <c r="F213" t="str">
        <f>IF(ISBLANK(VLOOKUP($A213,'Entry data'!$A:$K,6,FALSE)),"",VLOOKUP($A213,'Entry data'!$A:$K,6,FALSE))</f>
        <v>19NSH</v>
      </c>
      <c r="G213" t="str">
        <f>IF(ISBLANK(VLOOKUP($A213,'Entry data'!$A:$K,7,FALSE)),"",VLOOKUP($A213,'Entry data'!$A:$K,7,FALSE))</f>
        <v>N</v>
      </c>
      <c r="H213" t="str">
        <f>IF(ISBLANK(VLOOKUP($A213,'Entry data'!$A:$K,8,FALSE)),"",VLOOKUP($A213,'Entry data'!$A:$K,8,FALSE))</f>
        <v>C</v>
      </c>
      <c r="I213" t="str">
        <f>IF(ISBLANK(VLOOKUP($A213,'Entry data'!$A:$K,9,FALSE)),"",VLOOKUP($A213,'Entry data'!$A:$K,9,FALSE))</f>
        <v>N</v>
      </c>
      <c r="J213">
        <f>IF(ISBLANK(VLOOKUP($A213,'Entry data'!$A:$K,10,FALSE)),"",VLOOKUP($A213,'Entry data'!$A:$K,10,FALSE))</f>
        <v>5</v>
      </c>
      <c r="K213">
        <f>IF(ISBLANK(VLOOKUP($A213,'Entry data'!$A:$K,11,FALSE)),"",VLOOKUP($A213,'Entry data'!$A:$K,11,FALSE))</f>
        <v>5</v>
      </c>
      <c r="L213">
        <f>IF(OR(EXACT(D213,"C"),EXACT(D213,"P"),EXACT(D213,"D"),EXACT(D213,"T"),EXACT(D213,"X"),EXACT(E213,"DZF"),EXACT(E213,"OZF"),EXACT(D213,"N"),EXACT(D213,"F")),1,0)</f>
        <v>1</v>
      </c>
      <c r="M213" t="str">
        <f t="shared" si="12"/>
        <v>21DET</v>
      </c>
      <c r="N213">
        <f t="shared" si="13"/>
        <v>1</v>
      </c>
      <c r="O213">
        <f t="shared" si="14"/>
        <v>0</v>
      </c>
      <c r="P213" t="str">
        <f t="shared" si="15"/>
        <v/>
      </c>
    </row>
    <row r="214" spans="1:16" x14ac:dyDescent="0.25">
      <c r="A214">
        <v>145</v>
      </c>
      <c r="B214">
        <f>IF($A214&gt;$A$1,"",VLOOKUP($A214,'NHL PBP'!$A:$L,8,FALSE))</f>
        <v>2</v>
      </c>
      <c r="C214">
        <f>IF($A214&gt;$A$1,"",IF(B214&gt;3,5/24,20/24)-VLOOKUP($A214,'NHL PBP'!$A:$L,10,FALSE))</f>
        <v>0.52638888888888902</v>
      </c>
      <c r="D214" t="str">
        <f>IF($A214&gt;$A$1,"",VLOOKUP($A214,'NHL PBP'!$A:$L,11,FALSE))</f>
        <v>MISS</v>
      </c>
      <c r="E214" t="str">
        <f>IF(AND(EXACT(D214,"FAC"),NOT(EXACT(MID(F214,9,3),"Neu"))),IF(OR(AND(EXACT(MID(F214,9,3),"Off"),EXACT(LEFT(F214,3),UPPER('Entry data'!$C$2))),AND(EXACT(MID(F214,9,3),"Def"),NOT(EXACT(LEFT(F214,3),UPPER('Entry data'!$C$2))))),"DZF","OZF"),"")</f>
        <v/>
      </c>
      <c r="F214" t="str">
        <f>IF($A214&gt;$A$1,"",VLOOKUP($A214,'NHL PBP'!$A:$L,12,FALSE))</f>
        <v>DET #65 DEKEYSER, Wrist, Wide of Net, Off. Zone, 53 ft.</v>
      </c>
      <c r="J214">
        <f>IF(EXACT('Entry data'!$C$3,"Road"),IF(ISBLANK(VLOOKUP(A214,'NHL PBP'!A:AH,21,FALSE)),3,IF(ISBLANK(VLOOKUP(A214,'NHL PBP'!A:AH,23,FALSE)),4,5)),IF(ISBLANK(VLOOKUP(A214,'NHL PBP'!A:AH,32,FALSE)),3,IF(ISBLANK(VLOOKUP(A214,'NHL PBP'!A:AH,34,FALSE)),4,5)))</f>
        <v>5</v>
      </c>
      <c r="K214">
        <f>IF(EXACT('Entry data'!$C$3,"Home"),IF(ISBLANK(VLOOKUP(A214,'NHL PBP'!A:AH,21,FALSE)),3,IF(ISBLANK(VLOOKUP(A214,'NHL PBP'!A:AH,23,FALSE)),4,5)),IF(ISBLANK(VLOOKUP(A214,'NHL PBP'!A:AH,32,FALSE)),3,IF(ISBLANK(VLOOKUP(A214,'NHL PBP'!A:AH,34,FALSE)),4,5)))</f>
        <v>5</v>
      </c>
      <c r="L214">
        <f>IF(OR(EXACT(D214,"C"),EXACT(D214,"P"),EXACT(D214,"D"),EXACT(D214,"T"),EXACT(D214,"X"),EXACT(E214,"DZF"),EXACT(E214,"OZF"),EXACT(D214,"N"),EXACT(D214,"F")),1,0)</f>
        <v>0</v>
      </c>
      <c r="M214" t="str">
        <f t="shared" si="12"/>
        <v/>
      </c>
      <c r="N214">
        <f t="shared" si="13"/>
        <v>1</v>
      </c>
      <c r="O214">
        <f t="shared" si="14"/>
        <v>0</v>
      </c>
      <c r="P214" t="str">
        <f t="shared" si="15"/>
        <v/>
      </c>
    </row>
    <row r="215" spans="1:16" x14ac:dyDescent="0.25">
      <c r="A215">
        <v>146</v>
      </c>
      <c r="B215">
        <f>IF($A215&gt;$A$1,"",VLOOKUP($A215,'NHL PBP'!$A:$L,8,FALSE))</f>
        <v>2</v>
      </c>
      <c r="C215">
        <f>IF($A215&gt;$A$1,"",IF(B215&gt;3,5/24,20/24)-VLOOKUP($A215,'NHL PBP'!$A:$L,10,FALSE))</f>
        <v>0.52638888888888902</v>
      </c>
      <c r="D215" t="str">
        <f>IF($A215&gt;$A$1,"",VLOOKUP($A215,'NHL PBP'!$A:$L,11,FALSE))</f>
        <v>STOP</v>
      </c>
      <c r="E215" t="str">
        <f>IF(AND(EXACT(D215,"FAC"),NOT(EXACT(MID(F215,9,3),"Neu"))),IF(OR(AND(EXACT(MID(F215,9,3),"Off"),EXACT(LEFT(F215,3),UPPER('Entry data'!$C$2))),AND(EXACT(MID(F215,9,3),"Def"),NOT(EXACT(LEFT(F215,3),UPPER('Entry data'!$C$2))))),"DZF","OZF"),"")</f>
        <v/>
      </c>
      <c r="F215" t="str">
        <f>IF($A215&gt;$A$1,"",VLOOKUP($A215,'NHL PBP'!$A:$L,12,FALSE))</f>
        <v>PUCK FROZEN</v>
      </c>
      <c r="J215">
        <f>IF(EXACT('Entry data'!$C$3,"Road"),IF(ISBLANK(VLOOKUP(A215,'NHL PBP'!A:AH,21,FALSE)),3,IF(ISBLANK(VLOOKUP(A215,'NHL PBP'!A:AH,23,FALSE)),4,5)),IF(ISBLANK(VLOOKUP(A215,'NHL PBP'!A:AH,32,FALSE)),3,IF(ISBLANK(VLOOKUP(A215,'NHL PBP'!A:AH,34,FALSE)),4,5)))</f>
        <v>5</v>
      </c>
      <c r="K215">
        <f>IF(EXACT('Entry data'!$C$3,"Home"),IF(ISBLANK(VLOOKUP(A215,'NHL PBP'!A:AH,21,FALSE)),3,IF(ISBLANK(VLOOKUP(A215,'NHL PBP'!A:AH,23,FALSE)),4,5)),IF(ISBLANK(VLOOKUP(A215,'NHL PBP'!A:AH,32,FALSE)),3,IF(ISBLANK(VLOOKUP(A215,'NHL PBP'!A:AH,34,FALSE)),4,5)))</f>
        <v>5</v>
      </c>
      <c r="L215">
        <f>IF(OR(EXACT(D215,"C"),EXACT(D215,"P"),EXACT(D215,"D"),EXACT(D215,"T"),EXACT(D215,"X"),EXACT(E215,"DZF"),EXACT(E215,"OZF"),EXACT(D215,"N"),EXACT(D215,"F")),1,0)</f>
        <v>0</v>
      </c>
      <c r="M215" t="str">
        <f t="shared" si="12"/>
        <v/>
      </c>
      <c r="N215">
        <f t="shared" si="13"/>
        <v>0</v>
      </c>
      <c r="O215">
        <f t="shared" si="14"/>
        <v>0</v>
      </c>
      <c r="P215" t="str">
        <f t="shared" si="15"/>
        <v/>
      </c>
    </row>
    <row r="216" spans="1:16" x14ac:dyDescent="0.25">
      <c r="A216">
        <v>147</v>
      </c>
      <c r="B216">
        <f>IF($A216&gt;$A$1,"",VLOOKUP($A216,'NHL PBP'!$A:$L,8,FALSE))</f>
        <v>2</v>
      </c>
      <c r="C216">
        <f>IF($A216&gt;$A$1,"",IF(B216&gt;3,5/24,20/24)-VLOOKUP($A216,'NHL PBP'!$A:$L,10,FALSE))</f>
        <v>0.52638888888888902</v>
      </c>
      <c r="D216" t="str">
        <f>IF($A216&gt;$A$1,"",VLOOKUP($A216,'NHL PBP'!$A:$L,11,FALSE))</f>
        <v>FAC</v>
      </c>
      <c r="E216" t="str">
        <f>IF(AND(EXACT(D216,"FAC"),NOT(EXACT(MID(F216,9,3),"Neu"))),IF(OR(AND(EXACT(MID(F216,9,3),"Off"),EXACT(LEFT(F216,3),UPPER('Entry data'!$C$2))),AND(EXACT(MID(F216,9,3),"Def"),NOT(EXACT(LEFT(F216,3),UPPER('Entry data'!$C$2))))),"DZF","OZF"),"")</f>
        <v>OZF</v>
      </c>
      <c r="F216" t="str">
        <f>IF($A216&gt;$A$1,"",VLOOKUP($A216,'NHL PBP'!$A:$L,12,FALSE))</f>
        <v>DET won Off. Zone - NSH #10 SISSONS vs DET #41 GLENDENING</v>
      </c>
      <c r="J216">
        <f>IF(EXACT('Entry data'!$C$3,"Road"),IF(ISBLANK(VLOOKUP(A216,'NHL PBP'!A:AH,21,FALSE)),3,IF(ISBLANK(VLOOKUP(A216,'NHL PBP'!A:AH,23,FALSE)),4,5)),IF(ISBLANK(VLOOKUP(A216,'NHL PBP'!A:AH,32,FALSE)),3,IF(ISBLANK(VLOOKUP(A216,'NHL PBP'!A:AH,34,FALSE)),4,5)))</f>
        <v>5</v>
      </c>
      <c r="K216">
        <f>IF(EXACT('Entry data'!$C$3,"Home"),IF(ISBLANK(VLOOKUP(A216,'NHL PBP'!A:AH,21,FALSE)),3,IF(ISBLANK(VLOOKUP(A216,'NHL PBP'!A:AH,23,FALSE)),4,5)),IF(ISBLANK(VLOOKUP(A216,'NHL PBP'!A:AH,32,FALSE)),3,IF(ISBLANK(VLOOKUP(A216,'NHL PBP'!A:AH,34,FALSE)),4,5)))</f>
        <v>5</v>
      </c>
      <c r="L216">
        <f>IF(OR(EXACT(D216,"C"),EXACT(D216,"P"),EXACT(D216,"D"),EXACT(D216,"T"),EXACT(D216,"X"),EXACT(E216,"DZF"),EXACT(E216,"OZF"),EXACT(D216,"N"),EXACT(D216,"F")),1,0)</f>
        <v>1</v>
      </c>
      <c r="M216" t="str">
        <f t="shared" si="12"/>
        <v/>
      </c>
      <c r="N216">
        <f t="shared" si="13"/>
        <v>0</v>
      </c>
      <c r="O216">
        <f t="shared" si="14"/>
        <v>0</v>
      </c>
      <c r="P216" t="str">
        <f t="shared" si="15"/>
        <v/>
      </c>
    </row>
    <row r="217" spans="1:16" x14ac:dyDescent="0.25">
      <c r="A217">
        <v>69</v>
      </c>
      <c r="B217">
        <f>IF(ISBLANK(VLOOKUP($A217,'Entry data'!$A:$K,2,FALSE)),"",VLOOKUP($A217,'Entry data'!$A:$K,2,FALSE))</f>
        <v>2</v>
      </c>
      <c r="C217">
        <f>IF(ISBLANK(VLOOKUP($A217,'Entry data'!$A:$K,3,FALSE)),"",VLOOKUP($A217,'Entry data'!$A:$K,3,FALSE))</f>
        <v>0.51666666666666672</v>
      </c>
      <c r="D217" t="str">
        <f>IF(ISBLANK(VLOOKUP($A217,'Entry data'!$A:$K,4,FALSE)),"",VLOOKUP($A217,'Entry data'!$A:$K,4,FALSE))</f>
        <v>D</v>
      </c>
      <c r="E217" t="str">
        <f>IF(ISBLANK(VLOOKUP($A217,'Entry data'!$A:$K,5,FALSE)),"",VLOOKUP($A217,'Entry data'!$A:$K,5,FALSE))</f>
        <v>41DET</v>
      </c>
      <c r="F217" t="str">
        <f>IF(ISBLANK(VLOOKUP($A217,'Entry data'!$A:$K,6,FALSE)),"",VLOOKUP($A217,'Entry data'!$A:$K,6,FALSE))</f>
        <v>25NSH</v>
      </c>
      <c r="G217" t="str">
        <f>IF(ISBLANK(VLOOKUP($A217,'Entry data'!$A:$K,7,FALSE)),"",VLOOKUP($A217,'Entry data'!$A:$K,7,FALSE))</f>
        <v/>
      </c>
      <c r="H217" t="str">
        <f>IF(ISBLANK(VLOOKUP($A217,'Entry data'!$A:$K,8,FALSE)),"",VLOOKUP($A217,'Entry data'!$A:$K,8,FALSE))</f>
        <v>C</v>
      </c>
      <c r="I217" t="str">
        <f>IF(ISBLANK(VLOOKUP($A217,'Entry data'!$A:$K,9,FALSE)),"",VLOOKUP($A217,'Entry data'!$A:$K,9,FALSE))</f>
        <v>20DET</v>
      </c>
      <c r="J217">
        <f>IF(ISBLANK(VLOOKUP($A217,'Entry data'!$A:$K,10,FALSE)),"",VLOOKUP($A217,'Entry data'!$A:$K,10,FALSE))</f>
        <v>5</v>
      </c>
      <c r="K217">
        <f>IF(ISBLANK(VLOOKUP($A217,'Entry data'!$A:$K,11,FALSE)),"",VLOOKUP($A217,'Entry data'!$A:$K,11,FALSE))</f>
        <v>5</v>
      </c>
      <c r="L217">
        <f>IF(OR(EXACT(D217,"C"),EXACT(D217,"P"),EXACT(D217,"D"),EXACT(D217,"T"),EXACT(D217,"X"),EXACT(E217,"DZF"),EXACT(E217,"OZF"),EXACT(D217,"N"),EXACT(D217,"F")),1,0)</f>
        <v>1</v>
      </c>
      <c r="M217" t="str">
        <f t="shared" si="12"/>
        <v/>
      </c>
      <c r="N217">
        <f t="shared" si="13"/>
        <v>1</v>
      </c>
      <c r="O217">
        <f t="shared" si="14"/>
        <v>0</v>
      </c>
      <c r="P217" t="str">
        <f t="shared" si="15"/>
        <v/>
      </c>
    </row>
    <row r="218" spans="1:16" x14ac:dyDescent="0.25">
      <c r="A218">
        <v>148</v>
      </c>
      <c r="B218">
        <f>IF($A218&gt;$A$1,"",VLOOKUP($A218,'NHL PBP'!$A:$L,8,FALSE))</f>
        <v>2</v>
      </c>
      <c r="C218">
        <f>IF($A218&gt;$A$1,"",IF(B218&gt;3,5/24,20/24)-VLOOKUP($A218,'NHL PBP'!$A:$L,10,FALSE))</f>
        <v>0.50763888888888897</v>
      </c>
      <c r="D218" t="str">
        <f>IF($A218&gt;$A$1,"",VLOOKUP($A218,'NHL PBP'!$A:$L,11,FALSE))</f>
        <v>SHOT</v>
      </c>
      <c r="E218" t="str">
        <f>IF(AND(EXACT(D218,"FAC"),NOT(EXACT(MID(F218,9,3),"Neu"))),IF(OR(AND(EXACT(MID(F218,9,3),"Off"),EXACT(LEFT(F218,3),UPPER('Entry data'!$C$2))),AND(EXACT(MID(F218,9,3),"Def"),NOT(EXACT(LEFT(F218,3),UPPER('Entry data'!$C$2))))),"DZF","OZF"),"")</f>
        <v/>
      </c>
      <c r="F218" t="str">
        <f>IF($A218&gt;$A$1,"",VLOOKUP($A218,'NHL PBP'!$A:$L,12,FALSE))</f>
        <v>DET ONGOAL - #41 GLENDENING, Snap, Off. Zone, 23 ft.</v>
      </c>
      <c r="J218">
        <f>IF(EXACT('Entry data'!$C$3,"Road"),IF(ISBLANK(VLOOKUP(A218,'NHL PBP'!A:AH,21,FALSE)),3,IF(ISBLANK(VLOOKUP(A218,'NHL PBP'!A:AH,23,FALSE)),4,5)),IF(ISBLANK(VLOOKUP(A218,'NHL PBP'!A:AH,32,FALSE)),3,IF(ISBLANK(VLOOKUP(A218,'NHL PBP'!A:AH,34,FALSE)),4,5)))</f>
        <v>5</v>
      </c>
      <c r="K218">
        <f>IF(EXACT('Entry data'!$C$3,"Home"),IF(ISBLANK(VLOOKUP(A218,'NHL PBP'!A:AH,21,FALSE)),3,IF(ISBLANK(VLOOKUP(A218,'NHL PBP'!A:AH,23,FALSE)),4,5)),IF(ISBLANK(VLOOKUP(A218,'NHL PBP'!A:AH,32,FALSE)),3,IF(ISBLANK(VLOOKUP(A218,'NHL PBP'!A:AH,34,FALSE)),4,5)))</f>
        <v>5</v>
      </c>
      <c r="L218">
        <f>IF(OR(EXACT(D218,"C"),EXACT(D218,"P"),EXACT(D218,"D"),EXACT(D218,"T"),EXACT(D218,"X"),EXACT(E218,"DZF"),EXACT(E218,"OZF"),EXACT(D218,"N"),EXACT(D218,"F")),1,0)</f>
        <v>0</v>
      </c>
      <c r="M218" t="str">
        <f t="shared" si="12"/>
        <v/>
      </c>
      <c r="N218">
        <f t="shared" si="13"/>
        <v>1</v>
      </c>
      <c r="O218">
        <f t="shared" si="14"/>
        <v>0</v>
      </c>
      <c r="P218" t="str">
        <f t="shared" si="15"/>
        <v/>
      </c>
    </row>
    <row r="219" spans="1:16" x14ac:dyDescent="0.25">
      <c r="A219">
        <v>149</v>
      </c>
      <c r="B219">
        <f>IF($A219&gt;$A$1,"",VLOOKUP($A219,'NHL PBP'!$A:$L,8,FALSE))</f>
        <v>2</v>
      </c>
      <c r="C219">
        <f>IF($A219&gt;$A$1,"",IF(B219&gt;3,5/24,20/24)-VLOOKUP($A219,'NHL PBP'!$A:$L,10,FALSE))</f>
        <v>0.50416666666666665</v>
      </c>
      <c r="D219" t="str">
        <f>IF($A219&gt;$A$1,"",VLOOKUP($A219,'NHL PBP'!$A:$L,11,FALSE))</f>
        <v>HIT</v>
      </c>
      <c r="E219" t="str">
        <f>IF(AND(EXACT(D219,"FAC"),NOT(EXACT(MID(F219,9,3),"Neu"))),IF(OR(AND(EXACT(MID(F219,9,3),"Off"),EXACT(LEFT(F219,3),UPPER('Entry data'!$C$2))),AND(EXACT(MID(F219,9,3),"Def"),NOT(EXACT(LEFT(F219,3),UPPER('Entry data'!$C$2))))),"DZF","OZF"),"")</f>
        <v/>
      </c>
      <c r="F219" t="str">
        <f>IF($A219&gt;$A$1,"",VLOOKUP($A219,'NHL PBP'!$A:$L,12,FALSE))</f>
        <v>DET #41 GLENDENING HIT NSH #9 FORSBERG, Off. Zone</v>
      </c>
      <c r="J219">
        <f>IF(EXACT('Entry data'!$C$3,"Road"),IF(ISBLANK(VLOOKUP(A219,'NHL PBP'!A:AH,21,FALSE)),3,IF(ISBLANK(VLOOKUP(A219,'NHL PBP'!A:AH,23,FALSE)),4,5)),IF(ISBLANK(VLOOKUP(A219,'NHL PBP'!A:AH,32,FALSE)),3,IF(ISBLANK(VLOOKUP(A219,'NHL PBP'!A:AH,34,FALSE)),4,5)))</f>
        <v>5</v>
      </c>
      <c r="K219">
        <f>IF(EXACT('Entry data'!$C$3,"Home"),IF(ISBLANK(VLOOKUP(A219,'NHL PBP'!A:AH,21,FALSE)),3,IF(ISBLANK(VLOOKUP(A219,'NHL PBP'!A:AH,23,FALSE)),4,5)),IF(ISBLANK(VLOOKUP(A219,'NHL PBP'!A:AH,32,FALSE)),3,IF(ISBLANK(VLOOKUP(A219,'NHL PBP'!A:AH,34,FALSE)),4,5)))</f>
        <v>5</v>
      </c>
      <c r="L219">
        <f>IF(OR(EXACT(D219,"C"),EXACT(D219,"P"),EXACT(D219,"D"),EXACT(D219,"T"),EXACT(D219,"X"),EXACT(E219,"DZF"),EXACT(E219,"OZF"),EXACT(D219,"N"),EXACT(D219,"F")),1,0)</f>
        <v>0</v>
      </c>
      <c r="M219" t="str">
        <f t="shared" si="12"/>
        <v/>
      </c>
      <c r="N219">
        <f t="shared" si="13"/>
        <v>0</v>
      </c>
      <c r="O219">
        <f t="shared" si="14"/>
        <v>0</v>
      </c>
      <c r="P219" t="str">
        <f t="shared" si="15"/>
        <v/>
      </c>
    </row>
    <row r="220" spans="1:16" x14ac:dyDescent="0.25">
      <c r="A220">
        <v>150</v>
      </c>
      <c r="B220">
        <f>IF($A220&gt;$A$1,"",VLOOKUP($A220,'NHL PBP'!$A:$L,8,FALSE))</f>
        <v>2</v>
      </c>
      <c r="C220">
        <f>IF($A220&gt;$A$1,"",IF(B220&gt;3,5/24,20/24)-VLOOKUP($A220,'NHL PBP'!$A:$L,10,FALSE))</f>
        <v>0.50069444444444455</v>
      </c>
      <c r="D220" t="str">
        <f>IF($A220&gt;$A$1,"",VLOOKUP($A220,'NHL PBP'!$A:$L,11,FALSE))</f>
        <v>BLOCK</v>
      </c>
      <c r="E220" t="str">
        <f>IF(AND(EXACT(D220,"FAC"),NOT(EXACT(MID(F220,9,3),"Neu"))),IF(OR(AND(EXACT(MID(F220,9,3),"Off"),EXACT(LEFT(F220,3),UPPER('Entry data'!$C$2))),AND(EXACT(MID(F220,9,3),"Def"),NOT(EXACT(LEFT(F220,3),UPPER('Entry data'!$C$2))))),"DZF","OZF"),"")</f>
        <v/>
      </c>
      <c r="F220" t="str">
        <f>IF($A220&gt;$A$1,"",VLOOKUP($A220,'NHL PBP'!$A:$L,12,FALSE))</f>
        <v>DET #20 MILLER BLOCKED BY NSH #25 CARLE, Wrist, Def. Zone</v>
      </c>
      <c r="J220">
        <f>IF(EXACT('Entry data'!$C$3,"Road"),IF(ISBLANK(VLOOKUP(A220,'NHL PBP'!A:AH,21,FALSE)),3,IF(ISBLANK(VLOOKUP(A220,'NHL PBP'!A:AH,23,FALSE)),4,5)),IF(ISBLANK(VLOOKUP(A220,'NHL PBP'!A:AH,32,FALSE)),3,IF(ISBLANK(VLOOKUP(A220,'NHL PBP'!A:AH,34,FALSE)),4,5)))</f>
        <v>5</v>
      </c>
      <c r="K220">
        <f>IF(EXACT('Entry data'!$C$3,"Home"),IF(ISBLANK(VLOOKUP(A220,'NHL PBP'!A:AH,21,FALSE)),3,IF(ISBLANK(VLOOKUP(A220,'NHL PBP'!A:AH,23,FALSE)),4,5)),IF(ISBLANK(VLOOKUP(A220,'NHL PBP'!A:AH,32,FALSE)),3,IF(ISBLANK(VLOOKUP(A220,'NHL PBP'!A:AH,34,FALSE)),4,5)))</f>
        <v>5</v>
      </c>
      <c r="L220">
        <f>IF(OR(EXACT(D220,"C"),EXACT(D220,"P"),EXACT(D220,"D"),EXACT(D220,"T"),EXACT(D220,"X"),EXACT(E220,"DZF"),EXACT(E220,"OZF"),EXACT(D220,"N"),EXACT(D220,"F")),1,0)</f>
        <v>0</v>
      </c>
      <c r="M220" t="str">
        <f t="shared" si="12"/>
        <v/>
      </c>
      <c r="N220">
        <f t="shared" si="13"/>
        <v>0</v>
      </c>
      <c r="O220">
        <f t="shared" si="14"/>
        <v>0</v>
      </c>
      <c r="P220" t="str">
        <f t="shared" si="15"/>
        <v/>
      </c>
    </row>
    <row r="221" spans="1:16" x14ac:dyDescent="0.25">
      <c r="A221">
        <v>70</v>
      </c>
      <c r="B221">
        <f>IF(ISBLANK(VLOOKUP($A221,'Entry data'!$A:$K,2,FALSE)),"",VLOOKUP($A221,'Entry data'!$A:$K,2,FALSE))</f>
        <v>2</v>
      </c>
      <c r="C221">
        <f>IF(ISBLANK(VLOOKUP($A221,'Entry data'!$A:$K,3,FALSE)),"",VLOOKUP($A221,'Entry data'!$A:$K,3,FALSE))</f>
        <v>0.49861111111111112</v>
      </c>
      <c r="D221" t="str">
        <f>IF(ISBLANK(VLOOKUP($A221,'Entry data'!$A:$K,4,FALSE)),"",VLOOKUP($A221,'Entry data'!$A:$K,4,FALSE))</f>
        <v>D</v>
      </c>
      <c r="E221" t="str">
        <f>IF(ISBLANK(VLOOKUP($A221,'Entry data'!$A:$K,5,FALSE)),"",VLOOKUP($A221,'Entry data'!$A:$K,5,FALSE))</f>
        <v>7NSH</v>
      </c>
      <c r="F221" t="str">
        <f>IF(ISBLANK(VLOOKUP($A221,'Entry data'!$A:$K,6,FALSE)),"",VLOOKUP($A221,'Entry data'!$A:$K,6,FALSE))</f>
        <v>N</v>
      </c>
      <c r="G221" t="str">
        <f>IF(ISBLANK(VLOOKUP($A221,'Entry data'!$A:$K,7,FALSE)),"",VLOOKUP($A221,'Entry data'!$A:$K,7,FALSE))</f>
        <v/>
      </c>
      <c r="H221" t="str">
        <f>IF(ISBLANK(VLOOKUP($A221,'Entry data'!$A:$K,8,FALSE)),"",VLOOKUP($A221,'Entry data'!$A:$K,8,FALSE))</f>
        <v>R</v>
      </c>
      <c r="I221" t="str">
        <f>IF(ISBLANK(VLOOKUP($A221,'Entry data'!$A:$K,9,FALSE)),"",VLOOKUP($A221,'Entry data'!$A:$K,9,FALSE))</f>
        <v>N</v>
      </c>
      <c r="J221">
        <f>IF(ISBLANK(VLOOKUP($A221,'Entry data'!$A:$K,10,FALSE)),"",VLOOKUP($A221,'Entry data'!$A:$K,10,FALSE))</f>
        <v>5</v>
      </c>
      <c r="K221">
        <f>IF(ISBLANK(VLOOKUP($A221,'Entry data'!$A:$K,11,FALSE)),"",VLOOKUP($A221,'Entry data'!$A:$K,11,FALSE))</f>
        <v>5</v>
      </c>
      <c r="L221">
        <f>IF(OR(EXACT(D221,"C"),EXACT(D221,"P"),EXACT(D221,"D"),EXACT(D221,"T"),EXACT(D221,"X"),EXACT(E221,"DZF"),EXACT(E221,"OZF"),EXACT(D221,"N"),EXACT(D221,"F")),1,0)</f>
        <v>1</v>
      </c>
      <c r="M221" t="str">
        <f t="shared" si="12"/>
        <v/>
      </c>
      <c r="N221">
        <f t="shared" si="13"/>
        <v>0</v>
      </c>
      <c r="O221">
        <f t="shared" si="14"/>
        <v>0</v>
      </c>
      <c r="P221" t="str">
        <f t="shared" si="15"/>
        <v/>
      </c>
    </row>
    <row r="222" spans="1:16" x14ac:dyDescent="0.25">
      <c r="A222">
        <v>71</v>
      </c>
      <c r="B222">
        <f>IF(ISBLANK(VLOOKUP($A222,'Entry data'!$A:$K,2,FALSE)),"",VLOOKUP($A222,'Entry data'!$A:$K,2,FALSE))</f>
        <v>2</v>
      </c>
      <c r="C222">
        <f>IF(ISBLANK(VLOOKUP($A222,'Entry data'!$A:$K,3,FALSE)),"",VLOOKUP($A222,'Entry data'!$A:$K,3,FALSE))</f>
        <v>0.49236111111111108</v>
      </c>
      <c r="D222" t="str">
        <f>IF(ISBLANK(VLOOKUP($A222,'Entry data'!$A:$K,4,FALSE)),"",VLOOKUP($A222,'Entry data'!$A:$K,4,FALSE))</f>
        <v>C</v>
      </c>
      <c r="E222" t="str">
        <f>IF(ISBLANK(VLOOKUP($A222,'Entry data'!$A:$K,5,FALSE)),"",VLOOKUP($A222,'Entry data'!$A:$K,5,FALSE))</f>
        <v>41DET</v>
      </c>
      <c r="F222" t="str">
        <f>IF(ISBLANK(VLOOKUP($A222,'Entry data'!$A:$K,6,FALSE)),"",VLOOKUP($A222,'Entry data'!$A:$K,6,FALSE))</f>
        <v>14NSH</v>
      </c>
      <c r="G222" t="str">
        <f>IF(ISBLANK(VLOOKUP($A222,'Entry data'!$A:$K,7,FALSE)),"",VLOOKUP($A222,'Entry data'!$A:$K,7,FALSE))</f>
        <v>N</v>
      </c>
      <c r="H222" t="str">
        <f>IF(ISBLANK(VLOOKUP($A222,'Entry data'!$A:$K,8,FALSE)),"",VLOOKUP($A222,'Entry data'!$A:$K,8,FALSE))</f>
        <v>R</v>
      </c>
      <c r="I222" t="str">
        <f>IF(ISBLANK(VLOOKUP($A222,'Entry data'!$A:$K,9,FALSE)),"",VLOOKUP($A222,'Entry data'!$A:$K,9,FALSE))</f>
        <v>N</v>
      </c>
      <c r="J222">
        <f>IF(ISBLANK(VLOOKUP($A222,'Entry data'!$A:$K,10,FALSE)),"",VLOOKUP($A222,'Entry data'!$A:$K,10,FALSE))</f>
        <v>5</v>
      </c>
      <c r="K222">
        <f>IF(ISBLANK(VLOOKUP($A222,'Entry data'!$A:$K,11,FALSE)),"",VLOOKUP($A222,'Entry data'!$A:$K,11,FALSE))</f>
        <v>5</v>
      </c>
      <c r="L222">
        <f>IF(OR(EXACT(D222,"C"),EXACT(D222,"P"),EXACT(D222,"D"),EXACT(D222,"T"),EXACT(D222,"X"),EXACT(E222,"DZF"),EXACT(E222,"OZF"),EXACT(D222,"N"),EXACT(D222,"F")),1,0)</f>
        <v>1</v>
      </c>
      <c r="M222" t="str">
        <f t="shared" si="12"/>
        <v>41DET</v>
      </c>
      <c r="N222">
        <f t="shared" si="13"/>
        <v>1</v>
      </c>
      <c r="O222">
        <f t="shared" si="14"/>
        <v>0</v>
      </c>
      <c r="P222" t="str">
        <f t="shared" si="15"/>
        <v/>
      </c>
    </row>
    <row r="223" spans="1:16" x14ac:dyDescent="0.25">
      <c r="A223">
        <v>151</v>
      </c>
      <c r="B223">
        <f>IF($A223&gt;$A$1,"",VLOOKUP($A223,'NHL PBP'!$A:$L,8,FALSE))</f>
        <v>2</v>
      </c>
      <c r="C223">
        <f>IF($A223&gt;$A$1,"",IF(B223&gt;3,5/24,20/24)-VLOOKUP($A223,'NHL PBP'!$A:$L,10,FALSE))</f>
        <v>0.49027777777777787</v>
      </c>
      <c r="D223" t="str">
        <f>IF($A223&gt;$A$1,"",VLOOKUP($A223,'NHL PBP'!$A:$L,11,FALSE))</f>
        <v>SHOT</v>
      </c>
      <c r="E223" t="str">
        <f>IF(AND(EXACT(D223,"FAC"),NOT(EXACT(MID(F223,9,3),"Neu"))),IF(OR(AND(EXACT(MID(F223,9,3),"Off"),EXACT(LEFT(F223,3),UPPER('Entry data'!$C$2))),AND(EXACT(MID(F223,9,3),"Def"),NOT(EXACT(LEFT(F223,3),UPPER('Entry data'!$C$2))))),"DZF","OZF"),"")</f>
        <v/>
      </c>
      <c r="F223" t="str">
        <f>IF($A223&gt;$A$1,"",VLOOKUP($A223,'NHL PBP'!$A:$L,12,FALSE))</f>
        <v>DET ONGOAL - #41 GLENDENING, Wrist, Off. Zone, 40 ft.</v>
      </c>
      <c r="J223">
        <f>IF(EXACT('Entry data'!$C$3,"Road"),IF(ISBLANK(VLOOKUP(A223,'NHL PBP'!A:AH,21,FALSE)),3,IF(ISBLANK(VLOOKUP(A223,'NHL PBP'!A:AH,23,FALSE)),4,5)),IF(ISBLANK(VLOOKUP(A223,'NHL PBP'!A:AH,32,FALSE)),3,IF(ISBLANK(VLOOKUP(A223,'NHL PBP'!A:AH,34,FALSE)),4,5)))</f>
        <v>5</v>
      </c>
      <c r="K223">
        <f>IF(EXACT('Entry data'!$C$3,"Home"),IF(ISBLANK(VLOOKUP(A223,'NHL PBP'!A:AH,21,FALSE)),3,IF(ISBLANK(VLOOKUP(A223,'NHL PBP'!A:AH,23,FALSE)),4,5)),IF(ISBLANK(VLOOKUP(A223,'NHL PBP'!A:AH,32,FALSE)),3,IF(ISBLANK(VLOOKUP(A223,'NHL PBP'!A:AH,34,FALSE)),4,5)))</f>
        <v>5</v>
      </c>
      <c r="L223">
        <f>IF(OR(EXACT(D223,"C"),EXACT(D223,"P"),EXACT(D223,"D"),EXACT(D223,"T"),EXACT(D223,"X"),EXACT(E223,"DZF"),EXACT(E223,"OZF"),EXACT(D223,"N"),EXACT(D223,"F")),1,0)</f>
        <v>0</v>
      </c>
      <c r="M223" t="str">
        <f t="shared" si="12"/>
        <v/>
      </c>
      <c r="N223">
        <f t="shared" si="13"/>
        <v>1</v>
      </c>
      <c r="O223">
        <f t="shared" si="14"/>
        <v>0</v>
      </c>
      <c r="P223" t="str">
        <f t="shared" si="15"/>
        <v/>
      </c>
    </row>
    <row r="224" spans="1:16" x14ac:dyDescent="0.25">
      <c r="A224">
        <v>152</v>
      </c>
      <c r="B224">
        <f>IF($A224&gt;$A$1,"",VLOOKUP($A224,'NHL PBP'!$A:$L,8,FALSE))</f>
        <v>2</v>
      </c>
      <c r="C224">
        <f>IF($A224&gt;$A$1,"",IF(B224&gt;3,5/24,20/24)-VLOOKUP($A224,'NHL PBP'!$A:$L,10,FALSE))</f>
        <v>0.48888888888888887</v>
      </c>
      <c r="D224" t="str">
        <f>IF($A224&gt;$A$1,"",VLOOKUP($A224,'NHL PBP'!$A:$L,11,FALSE))</f>
        <v>HIT</v>
      </c>
      <c r="E224" t="str">
        <f>IF(AND(EXACT(D224,"FAC"),NOT(EXACT(MID(F224,9,3),"Neu"))),IF(OR(AND(EXACT(MID(F224,9,3),"Off"),EXACT(LEFT(F224,3),UPPER('Entry data'!$C$2))),AND(EXACT(MID(F224,9,3),"Def"),NOT(EXACT(LEFT(F224,3),UPPER('Entry data'!$C$2))))),"DZF","OZF"),"")</f>
        <v/>
      </c>
      <c r="F224" t="str">
        <f>IF($A224&gt;$A$1,"",VLOOKUP($A224,'NHL PBP'!$A:$L,12,FALSE))</f>
        <v>NSH #14 EKHOLM HIT DET #41 GLENDENING, Def. Zone</v>
      </c>
      <c r="J224">
        <f>IF(EXACT('Entry data'!$C$3,"Road"),IF(ISBLANK(VLOOKUP(A224,'NHL PBP'!A:AH,21,FALSE)),3,IF(ISBLANK(VLOOKUP(A224,'NHL PBP'!A:AH,23,FALSE)),4,5)),IF(ISBLANK(VLOOKUP(A224,'NHL PBP'!A:AH,32,FALSE)),3,IF(ISBLANK(VLOOKUP(A224,'NHL PBP'!A:AH,34,FALSE)),4,5)))</f>
        <v>5</v>
      </c>
      <c r="K224">
        <f>IF(EXACT('Entry data'!$C$3,"Home"),IF(ISBLANK(VLOOKUP(A224,'NHL PBP'!A:AH,21,FALSE)),3,IF(ISBLANK(VLOOKUP(A224,'NHL PBP'!A:AH,23,FALSE)),4,5)),IF(ISBLANK(VLOOKUP(A224,'NHL PBP'!A:AH,32,FALSE)),3,IF(ISBLANK(VLOOKUP(A224,'NHL PBP'!A:AH,34,FALSE)),4,5)))</f>
        <v>5</v>
      </c>
      <c r="L224">
        <f>IF(OR(EXACT(D224,"C"),EXACT(D224,"P"),EXACT(D224,"D"),EXACT(D224,"T"),EXACT(D224,"X"),EXACT(E224,"DZF"),EXACT(E224,"OZF"),EXACT(D224,"N"),EXACT(D224,"F")),1,0)</f>
        <v>0</v>
      </c>
      <c r="M224" t="str">
        <f t="shared" si="12"/>
        <v/>
      </c>
      <c r="N224">
        <f t="shared" si="13"/>
        <v>0</v>
      </c>
      <c r="O224">
        <f t="shared" si="14"/>
        <v>0</v>
      </c>
      <c r="P224" t="str">
        <f t="shared" si="15"/>
        <v/>
      </c>
    </row>
    <row r="225" spans="1:16" x14ac:dyDescent="0.25">
      <c r="A225">
        <v>153</v>
      </c>
      <c r="B225">
        <f>IF($A225&gt;$A$1,"",VLOOKUP($A225,'NHL PBP'!$A:$L,8,FALSE))</f>
        <v>2</v>
      </c>
      <c r="C225">
        <f>IF($A225&gt;$A$1,"",IF(B225&gt;3,5/24,20/24)-VLOOKUP($A225,'NHL PBP'!$A:$L,10,FALSE))</f>
        <v>0.48819444444444449</v>
      </c>
      <c r="D225" t="str">
        <f>IF($A225&gt;$A$1,"",VLOOKUP($A225,'NHL PBP'!$A:$L,11,FALSE))</f>
        <v>PENL</v>
      </c>
      <c r="E225" t="str">
        <f>IF(AND(EXACT(D225,"FAC"),NOT(EXACT(MID(F225,9,3),"Neu"))),IF(OR(AND(EXACT(MID(F225,9,3),"Off"),EXACT(LEFT(F225,3),UPPER('Entry data'!$C$2))),AND(EXACT(MID(F225,9,3),"Def"),NOT(EXACT(LEFT(F225,3),UPPER('Entry data'!$C$2))))),"DZF","OZF"),"")</f>
        <v/>
      </c>
      <c r="F225" t="str">
        <f>IF($A225&gt;$A$1,"",VLOOKUP($A225,'NHL PBP'!$A:$L,12,FALSE))</f>
        <v>NSH #38 ARVIDSSON Delaying Game-Puck over glass(2 min)</v>
      </c>
      <c r="J225">
        <f>IF(EXACT('Entry data'!$C$3,"Road"),IF(ISBLANK(VLOOKUP(A225,'NHL PBP'!A:AH,21,FALSE)),3,IF(ISBLANK(VLOOKUP(A225,'NHL PBP'!A:AH,23,FALSE)),4,5)),IF(ISBLANK(VLOOKUP(A225,'NHL PBP'!A:AH,32,FALSE)),3,IF(ISBLANK(VLOOKUP(A225,'NHL PBP'!A:AH,34,FALSE)),4,5)))</f>
        <v>5</v>
      </c>
      <c r="K225">
        <f>IF(EXACT('Entry data'!$C$3,"Home"),IF(ISBLANK(VLOOKUP(A225,'NHL PBP'!A:AH,21,FALSE)),3,IF(ISBLANK(VLOOKUP(A225,'NHL PBP'!A:AH,23,FALSE)),4,5)),IF(ISBLANK(VLOOKUP(A225,'NHL PBP'!A:AH,32,FALSE)),3,IF(ISBLANK(VLOOKUP(A225,'NHL PBP'!A:AH,34,FALSE)),4,5)))</f>
        <v>5</v>
      </c>
      <c r="L225">
        <f>IF(OR(EXACT(D225,"C"),EXACT(D225,"P"),EXACT(D225,"D"),EXACT(D225,"T"),EXACT(D225,"X"),EXACT(E225,"DZF"),EXACT(E225,"OZF"),EXACT(D225,"N"),EXACT(D225,"F")),1,0)</f>
        <v>0</v>
      </c>
      <c r="M225" t="str">
        <f t="shared" si="12"/>
        <v/>
      </c>
      <c r="N225">
        <f t="shared" si="13"/>
        <v>0</v>
      </c>
      <c r="O225">
        <f t="shared" si="14"/>
        <v>0</v>
      </c>
      <c r="P225" t="str">
        <f t="shared" si="15"/>
        <v/>
      </c>
    </row>
    <row r="226" spans="1:16" x14ac:dyDescent="0.25">
      <c r="A226">
        <v>154</v>
      </c>
      <c r="B226">
        <f>IF($A226&gt;$A$1,"",VLOOKUP($A226,'NHL PBP'!$A:$L,8,FALSE))</f>
        <v>2</v>
      </c>
      <c r="C226">
        <f>IF($A226&gt;$A$1,"",IF(B226&gt;3,5/24,20/24)-VLOOKUP($A226,'NHL PBP'!$A:$L,10,FALSE))</f>
        <v>0.48819444444444449</v>
      </c>
      <c r="D226" t="str">
        <f>IF($A226&gt;$A$1,"",VLOOKUP($A226,'NHL PBP'!$A:$L,11,FALSE))</f>
        <v>FAC</v>
      </c>
      <c r="E226" t="str">
        <f>IF(AND(EXACT(D226,"FAC"),NOT(EXACT(MID(F226,9,3),"Neu"))),IF(OR(AND(EXACT(MID(F226,9,3),"Off"),EXACT(LEFT(F226,3),UPPER('Entry data'!$C$2))),AND(EXACT(MID(F226,9,3),"Def"),NOT(EXACT(LEFT(F226,3),UPPER('Entry data'!$C$2))))),"DZF","OZF"),"")</f>
        <v>OZF</v>
      </c>
      <c r="F226" t="str">
        <f>IF($A226&gt;$A$1,"",VLOOKUP($A226,'NHL PBP'!$A:$L,12,FALSE))</f>
        <v>NSH won Def. Zone - NSH #19 JARNKROK vs DET #71 LARKIN</v>
      </c>
      <c r="J226">
        <f>IF(EXACT('Entry data'!$C$3,"Road"),IF(ISBLANK(VLOOKUP(A226,'NHL PBP'!A:AH,21,FALSE)),3,IF(ISBLANK(VLOOKUP(A226,'NHL PBP'!A:AH,23,FALSE)),4,5)),IF(ISBLANK(VLOOKUP(A226,'NHL PBP'!A:AH,32,FALSE)),3,IF(ISBLANK(VLOOKUP(A226,'NHL PBP'!A:AH,34,FALSE)),4,5)))</f>
        <v>5</v>
      </c>
      <c r="K226">
        <f>IF(EXACT('Entry data'!$C$3,"Home"),IF(ISBLANK(VLOOKUP(A226,'NHL PBP'!A:AH,21,FALSE)),3,IF(ISBLANK(VLOOKUP(A226,'NHL PBP'!A:AH,23,FALSE)),4,5)),IF(ISBLANK(VLOOKUP(A226,'NHL PBP'!A:AH,32,FALSE)),3,IF(ISBLANK(VLOOKUP(A226,'NHL PBP'!A:AH,34,FALSE)),4,5)))</f>
        <v>4</v>
      </c>
      <c r="L226">
        <f>IF(OR(EXACT(D226,"C"),EXACT(D226,"P"),EXACT(D226,"D"),EXACT(D226,"T"),EXACT(D226,"X"),EXACT(E226,"DZF"),EXACT(E226,"OZF"),EXACT(D226,"N"),EXACT(D226,"F")),1,0)</f>
        <v>1</v>
      </c>
      <c r="M226" t="str">
        <f t="shared" si="12"/>
        <v/>
      </c>
      <c r="N226">
        <f t="shared" si="13"/>
        <v>0</v>
      </c>
      <c r="O226">
        <f t="shared" si="14"/>
        <v>0</v>
      </c>
      <c r="P226" t="str">
        <f t="shared" si="15"/>
        <v/>
      </c>
    </row>
    <row r="227" spans="1:16" x14ac:dyDescent="0.25">
      <c r="A227">
        <v>72</v>
      </c>
      <c r="B227">
        <f>IF(ISBLANK(VLOOKUP($A227,'Entry data'!$A:$K,2,FALSE)),"",VLOOKUP($A227,'Entry data'!$A:$K,2,FALSE))</f>
        <v>2</v>
      </c>
      <c r="C227">
        <f>IF(ISBLANK(VLOOKUP($A227,'Entry data'!$A:$K,3,FALSE)),"",VLOOKUP($A227,'Entry data'!$A:$K,3,FALSE))</f>
        <v>0.47916666666666669</v>
      </c>
      <c r="D227" t="str">
        <f>IF(ISBLANK(VLOOKUP($A227,'Entry data'!$A:$K,4,FALSE)),"",VLOOKUP($A227,'Entry data'!$A:$K,4,FALSE))</f>
        <v>C</v>
      </c>
      <c r="E227" t="str">
        <f>IF(ISBLANK(VLOOKUP($A227,'Entry data'!$A:$K,5,FALSE)),"",VLOOKUP($A227,'Entry data'!$A:$K,5,FALSE))</f>
        <v>48DET</v>
      </c>
      <c r="F227" t="str">
        <f>IF(ISBLANK(VLOOKUP($A227,'Entry data'!$A:$K,6,FALSE)),"",VLOOKUP($A227,'Entry data'!$A:$K,6,FALSE))</f>
        <v>59NSH</v>
      </c>
      <c r="G227" t="str">
        <f>IF(ISBLANK(VLOOKUP($A227,'Entry data'!$A:$K,7,FALSE)),"",VLOOKUP($A227,'Entry data'!$A:$K,7,FALSE))</f>
        <v>Y</v>
      </c>
      <c r="H227" t="str">
        <f>IF(ISBLANK(VLOOKUP($A227,'Entry data'!$A:$K,8,FALSE)),"",VLOOKUP($A227,'Entry data'!$A:$K,8,FALSE))</f>
        <v>C</v>
      </c>
      <c r="I227" t="str">
        <f>IF(ISBLANK(VLOOKUP($A227,'Entry data'!$A:$K,9,FALSE)),"",VLOOKUP($A227,'Entry data'!$A:$K,9,FALSE))</f>
        <v>N</v>
      </c>
      <c r="J227">
        <f>IF(ISBLANK(VLOOKUP($A227,'Entry data'!$A:$K,10,FALSE)),"",VLOOKUP($A227,'Entry data'!$A:$K,10,FALSE))</f>
        <v>5</v>
      </c>
      <c r="K227">
        <f>IF(ISBLANK(VLOOKUP($A227,'Entry data'!$A:$K,11,FALSE)),"",VLOOKUP($A227,'Entry data'!$A:$K,11,FALSE))</f>
        <v>4</v>
      </c>
      <c r="L227">
        <f>IF(OR(EXACT(D227,"C"),EXACT(D227,"P"),EXACT(D227,"D"),EXACT(D227,"T"),EXACT(D227,"X"),EXACT(E227,"DZF"),EXACT(E227,"OZF"),EXACT(D227,"N"),EXACT(D227,"F")),1,0)</f>
        <v>1</v>
      </c>
      <c r="M227" t="str">
        <f t="shared" si="12"/>
        <v>48DET</v>
      </c>
      <c r="N227">
        <f t="shared" si="13"/>
        <v>0</v>
      </c>
      <c r="O227">
        <f t="shared" si="14"/>
        <v>0</v>
      </c>
      <c r="P227" t="str">
        <f t="shared" si="15"/>
        <v/>
      </c>
    </row>
    <row r="228" spans="1:16" x14ac:dyDescent="0.25">
      <c r="A228">
        <v>73</v>
      </c>
      <c r="B228">
        <f>IF(ISBLANK(VLOOKUP($A228,'Entry data'!$A:$K,2,FALSE)),"",VLOOKUP($A228,'Entry data'!$A:$K,2,FALSE))</f>
        <v>2</v>
      </c>
      <c r="C228">
        <f>IF(ISBLANK(VLOOKUP($A228,'Entry data'!$A:$K,3,FALSE)),"",VLOOKUP($A228,'Entry data'!$A:$K,3,FALSE))</f>
        <v>0.46111111111111108</v>
      </c>
      <c r="D228" t="str">
        <f>IF(ISBLANK(VLOOKUP($A228,'Entry data'!$A:$K,4,FALSE)),"",VLOOKUP($A228,'Entry data'!$A:$K,4,FALSE))</f>
        <v>C</v>
      </c>
      <c r="E228" t="str">
        <f>IF(ISBLANK(VLOOKUP($A228,'Entry data'!$A:$K,5,FALSE)),"",VLOOKUP($A228,'Entry data'!$A:$K,5,FALSE))</f>
        <v>14DET</v>
      </c>
      <c r="F228" t="str">
        <f>IF(ISBLANK(VLOOKUP($A228,'Entry data'!$A:$K,6,FALSE)),"",VLOOKUP($A228,'Entry data'!$A:$K,6,FALSE))</f>
        <v>14NSH</v>
      </c>
      <c r="G228" t="str">
        <f>IF(ISBLANK(VLOOKUP($A228,'Entry data'!$A:$K,7,FALSE)),"",VLOOKUP($A228,'Entry data'!$A:$K,7,FALSE))</f>
        <v>N</v>
      </c>
      <c r="H228" t="str">
        <f>IF(ISBLANK(VLOOKUP($A228,'Entry data'!$A:$K,8,FALSE)),"",VLOOKUP($A228,'Entry data'!$A:$K,8,FALSE))</f>
        <v>C</v>
      </c>
      <c r="I228" t="str">
        <f>IF(ISBLANK(VLOOKUP($A228,'Entry data'!$A:$K,9,FALSE)),"",VLOOKUP($A228,'Entry data'!$A:$K,9,FALSE))</f>
        <v>N</v>
      </c>
      <c r="J228">
        <f>IF(ISBLANK(VLOOKUP($A228,'Entry data'!$A:$K,10,FALSE)),"",VLOOKUP($A228,'Entry data'!$A:$K,10,FALSE))</f>
        <v>5</v>
      </c>
      <c r="K228">
        <f>IF(ISBLANK(VLOOKUP($A228,'Entry data'!$A:$K,11,FALSE)),"",VLOOKUP($A228,'Entry data'!$A:$K,11,FALSE))</f>
        <v>4</v>
      </c>
      <c r="L228">
        <f>IF(OR(EXACT(D228,"C"),EXACT(D228,"P"),EXACT(D228,"D"),EXACT(D228,"T"),EXACT(D228,"X"),EXACT(E228,"DZF"),EXACT(E228,"OZF"),EXACT(D228,"N"),EXACT(D228,"F")),1,0)</f>
        <v>1</v>
      </c>
      <c r="M228" t="str">
        <f t="shared" si="12"/>
        <v>14DET</v>
      </c>
      <c r="N228">
        <f t="shared" si="13"/>
        <v>0</v>
      </c>
      <c r="O228">
        <f t="shared" si="14"/>
        <v>0</v>
      </c>
      <c r="P228" t="str">
        <f t="shared" si="15"/>
        <v/>
      </c>
    </row>
    <row r="229" spans="1:16" x14ac:dyDescent="0.25">
      <c r="A229">
        <v>155</v>
      </c>
      <c r="B229">
        <f>IF($A229&gt;$A$1,"",VLOOKUP($A229,'NHL PBP'!$A:$L,8,FALSE))</f>
        <v>2</v>
      </c>
      <c r="C229">
        <f>IF($A229&gt;$A$1,"",IF(B229&gt;3,5/24,20/24)-VLOOKUP($A229,'NHL PBP'!$A:$L,10,FALSE))</f>
        <v>0.4465277777777778</v>
      </c>
      <c r="D229" t="str">
        <f>IF($A229&gt;$A$1,"",VLOOKUP($A229,'NHL PBP'!$A:$L,11,FALSE))</f>
        <v>HIT</v>
      </c>
      <c r="E229" t="str">
        <f>IF(AND(EXACT(D229,"FAC"),NOT(EXACT(MID(F229,9,3),"Neu"))),IF(OR(AND(EXACT(MID(F229,9,3),"Off"),EXACT(LEFT(F229,3),UPPER('Entry data'!$C$2))),AND(EXACT(MID(F229,9,3),"Def"),NOT(EXACT(LEFT(F229,3),UPPER('Entry data'!$C$2))))),"DZF","OZF"),"")</f>
        <v/>
      </c>
      <c r="F229" t="str">
        <f>IF($A229&gt;$A$1,"",VLOOKUP($A229,'NHL PBP'!$A:$L,12,FALSE))</f>
        <v>NSH #4 ELLIS HIT DET #71 LARKIN, Def. Zone</v>
      </c>
      <c r="J229">
        <f>IF(EXACT('Entry data'!$C$3,"Road"),IF(ISBLANK(VLOOKUP(A229,'NHL PBP'!A:AH,21,FALSE)),3,IF(ISBLANK(VLOOKUP(A229,'NHL PBP'!A:AH,23,FALSE)),4,5)),IF(ISBLANK(VLOOKUP(A229,'NHL PBP'!A:AH,32,FALSE)),3,IF(ISBLANK(VLOOKUP(A229,'NHL PBP'!A:AH,34,FALSE)),4,5)))</f>
        <v>5</v>
      </c>
      <c r="K229">
        <f>IF(EXACT('Entry data'!$C$3,"Home"),IF(ISBLANK(VLOOKUP(A229,'NHL PBP'!A:AH,21,FALSE)),3,IF(ISBLANK(VLOOKUP(A229,'NHL PBP'!A:AH,23,FALSE)),4,5)),IF(ISBLANK(VLOOKUP(A229,'NHL PBP'!A:AH,32,FALSE)),3,IF(ISBLANK(VLOOKUP(A229,'NHL PBP'!A:AH,34,FALSE)),4,5)))</f>
        <v>4</v>
      </c>
      <c r="L229">
        <f>IF(OR(EXACT(D229,"C"),EXACT(D229,"P"),EXACT(D229,"D"),EXACT(D229,"T"),EXACT(D229,"X"),EXACT(E229,"DZF"),EXACT(E229,"OZF"),EXACT(D229,"N"),EXACT(D229,"F")),1,0)</f>
        <v>0</v>
      </c>
      <c r="M229" t="str">
        <f t="shared" si="12"/>
        <v/>
      </c>
      <c r="N229">
        <f t="shared" si="13"/>
        <v>0</v>
      </c>
      <c r="O229">
        <f t="shared" si="14"/>
        <v>0</v>
      </c>
      <c r="P229" t="str">
        <f t="shared" si="15"/>
        <v/>
      </c>
    </row>
    <row r="230" spans="1:16" x14ac:dyDescent="0.25">
      <c r="A230">
        <v>156</v>
      </c>
      <c r="B230">
        <f>IF($A230&gt;$A$1,"",VLOOKUP($A230,'NHL PBP'!$A:$L,8,FALSE))</f>
        <v>2</v>
      </c>
      <c r="C230">
        <f>IF($A230&gt;$A$1,"",IF(B230&gt;3,5/24,20/24)-VLOOKUP($A230,'NHL PBP'!$A:$L,10,FALSE))</f>
        <v>0.44097222222222227</v>
      </c>
      <c r="D230" t="str">
        <f>IF($A230&gt;$A$1,"",VLOOKUP($A230,'NHL PBP'!$A:$L,11,FALSE))</f>
        <v>STOP</v>
      </c>
      <c r="E230" t="str">
        <f>IF(AND(EXACT(D230,"FAC"),NOT(EXACT(MID(F230,9,3),"Neu"))),IF(OR(AND(EXACT(MID(F230,9,3),"Off"),EXACT(LEFT(F230,3),UPPER('Entry data'!$C$2))),AND(EXACT(MID(F230,9,3),"Def"),NOT(EXACT(LEFT(F230,3),UPPER('Entry data'!$C$2))))),"DZF","OZF"),"")</f>
        <v/>
      </c>
      <c r="F230" t="str">
        <f>IF($A230&gt;$A$1,"",VLOOKUP($A230,'NHL PBP'!$A:$L,12,FALSE))</f>
        <v>OFFSIDE</v>
      </c>
      <c r="J230">
        <f>IF(EXACT('Entry data'!$C$3,"Road"),IF(ISBLANK(VLOOKUP(A230,'NHL PBP'!A:AH,21,FALSE)),3,IF(ISBLANK(VLOOKUP(A230,'NHL PBP'!A:AH,23,FALSE)),4,5)),IF(ISBLANK(VLOOKUP(A230,'NHL PBP'!A:AH,32,FALSE)),3,IF(ISBLANK(VLOOKUP(A230,'NHL PBP'!A:AH,34,FALSE)),4,5)))</f>
        <v>5</v>
      </c>
      <c r="K230">
        <f>IF(EXACT('Entry data'!$C$3,"Home"),IF(ISBLANK(VLOOKUP(A230,'NHL PBP'!A:AH,21,FALSE)),3,IF(ISBLANK(VLOOKUP(A230,'NHL PBP'!A:AH,23,FALSE)),4,5)),IF(ISBLANK(VLOOKUP(A230,'NHL PBP'!A:AH,32,FALSE)),3,IF(ISBLANK(VLOOKUP(A230,'NHL PBP'!A:AH,34,FALSE)),4,5)))</f>
        <v>4</v>
      </c>
      <c r="L230">
        <f>IF(OR(EXACT(D230,"C"),EXACT(D230,"P"),EXACT(D230,"D"),EXACT(D230,"T"),EXACT(D230,"X"),EXACT(E230,"DZF"),EXACT(E230,"OZF"),EXACT(D230,"N"),EXACT(D230,"F")),1,0)</f>
        <v>0</v>
      </c>
      <c r="M230" t="str">
        <f t="shared" si="12"/>
        <v/>
      </c>
      <c r="N230">
        <f t="shared" si="13"/>
        <v>0</v>
      </c>
      <c r="O230">
        <f t="shared" si="14"/>
        <v>0</v>
      </c>
      <c r="P230" t="str">
        <f t="shared" si="15"/>
        <v/>
      </c>
    </row>
    <row r="231" spans="1:16" x14ac:dyDescent="0.25">
      <c r="A231">
        <v>157</v>
      </c>
      <c r="B231">
        <f>IF($A231&gt;$A$1,"",VLOOKUP($A231,'NHL PBP'!$A:$L,8,FALSE))</f>
        <v>2</v>
      </c>
      <c r="C231">
        <f>IF($A231&gt;$A$1,"",IF(B231&gt;3,5/24,20/24)-VLOOKUP($A231,'NHL PBP'!$A:$L,10,FALSE))</f>
        <v>0.44097222222222227</v>
      </c>
      <c r="D231" t="str">
        <f>IF($A231&gt;$A$1,"",VLOOKUP($A231,'NHL PBP'!$A:$L,11,FALSE))</f>
        <v>FAC</v>
      </c>
      <c r="E231" t="str">
        <f>IF(AND(EXACT(D231,"FAC"),NOT(EXACT(MID(F231,9,3),"Neu"))),IF(OR(AND(EXACT(MID(F231,9,3),"Off"),EXACT(LEFT(F231,3),UPPER('Entry data'!$C$2))),AND(EXACT(MID(F231,9,3),"Def"),NOT(EXACT(LEFT(F231,3),UPPER('Entry data'!$C$2))))),"DZF","OZF"),"")</f>
        <v/>
      </c>
      <c r="F231" t="str">
        <f>IF($A231&gt;$A$1,"",VLOOKUP($A231,'NHL PBP'!$A:$L,12,FALSE))</f>
        <v>DET won Neu. Zone - NSH #16 BASS vs DET #51 NIELSEN</v>
      </c>
      <c r="J231">
        <f>IF(EXACT('Entry data'!$C$3,"Road"),IF(ISBLANK(VLOOKUP(A231,'NHL PBP'!A:AH,21,FALSE)),3,IF(ISBLANK(VLOOKUP(A231,'NHL PBP'!A:AH,23,FALSE)),4,5)),IF(ISBLANK(VLOOKUP(A231,'NHL PBP'!A:AH,32,FALSE)),3,IF(ISBLANK(VLOOKUP(A231,'NHL PBP'!A:AH,34,FALSE)),4,5)))</f>
        <v>5</v>
      </c>
      <c r="K231">
        <f>IF(EXACT('Entry data'!$C$3,"Home"),IF(ISBLANK(VLOOKUP(A231,'NHL PBP'!A:AH,21,FALSE)),3,IF(ISBLANK(VLOOKUP(A231,'NHL PBP'!A:AH,23,FALSE)),4,5)),IF(ISBLANK(VLOOKUP(A231,'NHL PBP'!A:AH,32,FALSE)),3,IF(ISBLANK(VLOOKUP(A231,'NHL PBP'!A:AH,34,FALSE)),4,5)))</f>
        <v>4</v>
      </c>
      <c r="L231">
        <f>IF(OR(EXACT(D231,"C"),EXACT(D231,"P"),EXACT(D231,"D"),EXACT(D231,"T"),EXACT(D231,"X"),EXACT(E231,"DZF"),EXACT(E231,"OZF"),EXACT(D231,"N"),EXACT(D231,"F")),1,0)</f>
        <v>0</v>
      </c>
      <c r="M231" t="str">
        <f t="shared" si="12"/>
        <v/>
      </c>
      <c r="N231">
        <f t="shared" si="13"/>
        <v>0</v>
      </c>
      <c r="O231">
        <f t="shared" si="14"/>
        <v>0</v>
      </c>
      <c r="P231" t="str">
        <f t="shared" si="15"/>
        <v/>
      </c>
    </row>
    <row r="232" spans="1:16" x14ac:dyDescent="0.25">
      <c r="A232">
        <v>74</v>
      </c>
      <c r="B232">
        <f>IF(ISBLANK(VLOOKUP($A232,'Entry data'!$A:$K,2,FALSE)),"",VLOOKUP($A232,'Entry data'!$A:$K,2,FALSE))</f>
        <v>2</v>
      </c>
      <c r="C232">
        <f>IF(ISBLANK(VLOOKUP($A232,'Entry data'!$A:$K,3,FALSE)),"",VLOOKUP($A232,'Entry data'!$A:$K,3,FALSE))</f>
        <v>0.43541666666666662</v>
      </c>
      <c r="D232" t="str">
        <f>IF(ISBLANK(VLOOKUP($A232,'Entry data'!$A:$K,4,FALSE)),"",VLOOKUP($A232,'Entry data'!$A:$K,4,FALSE))</f>
        <v>C</v>
      </c>
      <c r="E232" t="str">
        <f>IF(ISBLANK(VLOOKUP($A232,'Entry data'!$A:$K,5,FALSE)),"",VLOOKUP($A232,'Entry data'!$A:$K,5,FALSE))</f>
        <v>40DET</v>
      </c>
      <c r="F232" t="str">
        <f>IF(ISBLANK(VLOOKUP($A232,'Entry data'!$A:$K,6,FALSE)),"",VLOOKUP($A232,'Entry data'!$A:$K,6,FALSE))</f>
        <v>76NSH</v>
      </c>
      <c r="G232" t="str">
        <f>IF(ISBLANK(VLOOKUP($A232,'Entry data'!$A:$K,7,FALSE)),"",VLOOKUP($A232,'Entry data'!$A:$K,7,FALSE))</f>
        <v>Y</v>
      </c>
      <c r="H232" t="str">
        <f>IF(ISBLANK(VLOOKUP($A232,'Entry data'!$A:$K,8,FALSE)),"",VLOOKUP($A232,'Entry data'!$A:$K,8,FALSE))</f>
        <v>L</v>
      </c>
      <c r="I232" t="str">
        <f>IF(ISBLANK(VLOOKUP($A232,'Entry data'!$A:$K,9,FALSE)),"",VLOOKUP($A232,'Entry data'!$A:$K,9,FALSE))</f>
        <v>N</v>
      </c>
      <c r="J232">
        <f>IF(ISBLANK(VLOOKUP($A232,'Entry data'!$A:$K,10,FALSE)),"",VLOOKUP($A232,'Entry data'!$A:$K,10,FALSE))</f>
        <v>5</v>
      </c>
      <c r="K232">
        <f>IF(ISBLANK(VLOOKUP($A232,'Entry data'!$A:$K,11,FALSE)),"",VLOOKUP($A232,'Entry data'!$A:$K,11,FALSE))</f>
        <v>4</v>
      </c>
      <c r="L232">
        <f>IF(OR(EXACT(D232,"C"),EXACT(D232,"P"),EXACT(D232,"D"),EXACT(D232,"T"),EXACT(D232,"X"),EXACT(E232,"DZF"),EXACT(E232,"OZF"),EXACT(D232,"N"),EXACT(D232,"F")),1,0)</f>
        <v>1</v>
      </c>
      <c r="M232" t="str">
        <f t="shared" si="12"/>
        <v>40DET</v>
      </c>
      <c r="N232">
        <f t="shared" si="13"/>
        <v>1</v>
      </c>
      <c r="O232">
        <f t="shared" si="14"/>
        <v>0</v>
      </c>
      <c r="P232" t="str">
        <f t="shared" si="15"/>
        <v/>
      </c>
    </row>
    <row r="233" spans="1:16" x14ac:dyDescent="0.25">
      <c r="A233">
        <v>158</v>
      </c>
      <c r="B233">
        <f>IF($A233&gt;$A$1,"",VLOOKUP($A233,'NHL PBP'!$A:$L,8,FALSE))</f>
        <v>2</v>
      </c>
      <c r="C233">
        <f>IF($A233&gt;$A$1,"",IF(B233&gt;3,5/24,20/24)-VLOOKUP($A233,'NHL PBP'!$A:$L,10,FALSE))</f>
        <v>0.41041666666666671</v>
      </c>
      <c r="D233" t="str">
        <f>IF($A233&gt;$A$1,"",VLOOKUP($A233,'NHL PBP'!$A:$L,11,FALSE))</f>
        <v>SHOT</v>
      </c>
      <c r="E233" t="str">
        <f>IF(AND(EXACT(D233,"FAC"),NOT(EXACT(MID(F233,9,3),"Neu"))),IF(OR(AND(EXACT(MID(F233,9,3),"Off"),EXACT(LEFT(F233,3),UPPER('Entry data'!$C$2))),AND(EXACT(MID(F233,9,3),"Def"),NOT(EXACT(LEFT(F233,3),UPPER('Entry data'!$C$2))))),"DZF","OZF"),"")</f>
        <v/>
      </c>
      <c r="F233" t="str">
        <f>IF($A233&gt;$A$1,"",VLOOKUP($A233,'NHL PBP'!$A:$L,12,FALSE))</f>
        <v>DET ONGOAL - #62 VANEK, Slap, Off. Zone, 27 ft.</v>
      </c>
      <c r="J233">
        <f>IF(EXACT('Entry data'!$C$3,"Road"),IF(ISBLANK(VLOOKUP(A233,'NHL PBP'!A:AH,21,FALSE)),3,IF(ISBLANK(VLOOKUP(A233,'NHL PBP'!A:AH,23,FALSE)),4,5)),IF(ISBLANK(VLOOKUP(A233,'NHL PBP'!A:AH,32,FALSE)),3,IF(ISBLANK(VLOOKUP(A233,'NHL PBP'!A:AH,34,FALSE)),4,5)))</f>
        <v>5</v>
      </c>
      <c r="K233">
        <f>IF(EXACT('Entry data'!$C$3,"Home"),IF(ISBLANK(VLOOKUP(A233,'NHL PBP'!A:AH,21,FALSE)),3,IF(ISBLANK(VLOOKUP(A233,'NHL PBP'!A:AH,23,FALSE)),4,5)),IF(ISBLANK(VLOOKUP(A233,'NHL PBP'!A:AH,32,FALSE)),3,IF(ISBLANK(VLOOKUP(A233,'NHL PBP'!A:AH,34,FALSE)),4,5)))</f>
        <v>4</v>
      </c>
      <c r="L233">
        <f>IF(OR(EXACT(D233,"C"),EXACT(D233,"P"),EXACT(D233,"D"),EXACT(D233,"T"),EXACT(D233,"X"),EXACT(E233,"DZF"),EXACT(E233,"OZF"),EXACT(D233,"N"),EXACT(D233,"F")),1,0)</f>
        <v>0</v>
      </c>
      <c r="M233" t="str">
        <f t="shared" si="12"/>
        <v/>
      </c>
      <c r="N233">
        <f t="shared" si="13"/>
        <v>1</v>
      </c>
      <c r="O233">
        <f t="shared" si="14"/>
        <v>0</v>
      </c>
      <c r="P233" t="str">
        <f t="shared" si="15"/>
        <v/>
      </c>
    </row>
    <row r="234" spans="1:16" x14ac:dyDescent="0.25">
      <c r="A234">
        <v>75</v>
      </c>
      <c r="B234">
        <f>IF(ISBLANK(VLOOKUP($A234,'Entry data'!$A:$K,2,FALSE)),"",VLOOKUP($A234,'Entry data'!$A:$K,2,FALSE))</f>
        <v>2</v>
      </c>
      <c r="C234">
        <f>IF(ISBLANK(VLOOKUP($A234,'Entry data'!$A:$K,3,FALSE)),"",VLOOKUP($A234,'Entry data'!$A:$K,3,FALSE))</f>
        <v>0.40902777777777777</v>
      </c>
      <c r="D234" t="str">
        <f>IF(ISBLANK(VLOOKUP($A234,'Entry data'!$A:$K,4,FALSE)),"",VLOOKUP($A234,'Entry data'!$A:$K,4,FALSE))</f>
        <v>C</v>
      </c>
      <c r="E234" t="str">
        <f>IF(ISBLANK(VLOOKUP($A234,'Entry data'!$A:$K,5,FALSE)),"",VLOOKUP($A234,'Entry data'!$A:$K,5,FALSE))</f>
        <v>18NSH</v>
      </c>
      <c r="F234" t="str">
        <f>IF(ISBLANK(VLOOKUP($A234,'Entry data'!$A:$K,6,FALSE)),"",VLOOKUP($A234,'Entry data'!$A:$K,6,FALSE))</f>
        <v>25DET</v>
      </c>
      <c r="G234" t="str">
        <f>IF(ISBLANK(VLOOKUP($A234,'Entry data'!$A:$K,7,FALSE)),"",VLOOKUP($A234,'Entry data'!$A:$K,7,FALSE))</f>
        <v>Y</v>
      </c>
      <c r="H234" t="str">
        <f>IF(ISBLANK(VLOOKUP($A234,'Entry data'!$A:$K,8,FALSE)),"",VLOOKUP($A234,'Entry data'!$A:$K,8,FALSE))</f>
        <v>L</v>
      </c>
      <c r="I234" t="str">
        <f>IF(ISBLANK(VLOOKUP($A234,'Entry data'!$A:$K,9,FALSE)),"",VLOOKUP($A234,'Entry data'!$A:$K,9,FALSE))</f>
        <v>N</v>
      </c>
      <c r="J234">
        <f>IF(ISBLANK(VLOOKUP($A234,'Entry data'!$A:$K,10,FALSE)),"",VLOOKUP($A234,'Entry data'!$A:$K,10,FALSE))</f>
        <v>5</v>
      </c>
      <c r="K234">
        <f>IF(ISBLANK(VLOOKUP($A234,'Entry data'!$A:$K,11,FALSE)),"",VLOOKUP($A234,'Entry data'!$A:$K,11,FALSE))</f>
        <v>5</v>
      </c>
      <c r="L234">
        <f>IF(OR(EXACT(D234,"C"),EXACT(D234,"P"),EXACT(D234,"D"),EXACT(D234,"T"),EXACT(D234,"X"),EXACT(E234,"DZF"),EXACT(E234,"OZF"),EXACT(D234,"N"),EXACT(D234,"F")),1,0)</f>
        <v>1</v>
      </c>
      <c r="M234" t="str">
        <f t="shared" si="12"/>
        <v>18NSH</v>
      </c>
      <c r="N234">
        <f t="shared" si="13"/>
        <v>0</v>
      </c>
      <c r="O234">
        <f t="shared" si="14"/>
        <v>0</v>
      </c>
      <c r="P234" t="str">
        <f t="shared" si="15"/>
        <v/>
      </c>
    </row>
    <row r="235" spans="1:16" x14ac:dyDescent="0.25">
      <c r="A235">
        <v>159</v>
      </c>
      <c r="B235">
        <f>IF($A235&gt;$A$1,"",VLOOKUP($A235,'NHL PBP'!$A:$L,8,FALSE))</f>
        <v>2</v>
      </c>
      <c r="C235">
        <f>IF($A235&gt;$A$1,"",IF(B235&gt;3,5/24,20/24)-VLOOKUP($A235,'NHL PBP'!$A:$L,10,FALSE))</f>
        <v>0.40763888888888894</v>
      </c>
      <c r="D235" t="str">
        <f>IF($A235&gt;$A$1,"",VLOOKUP($A235,'NHL PBP'!$A:$L,11,FALSE))</f>
        <v>STOP</v>
      </c>
      <c r="E235" t="str">
        <f>IF(AND(EXACT(D235,"FAC"),NOT(EXACT(MID(F235,9,3),"Neu"))),IF(OR(AND(EXACT(MID(F235,9,3),"Off"),EXACT(LEFT(F235,3),UPPER('Entry data'!$C$2))),AND(EXACT(MID(F235,9,3),"Def"),NOT(EXACT(LEFT(F235,3),UPPER('Entry data'!$C$2))))),"DZF","OZF"),"")</f>
        <v/>
      </c>
      <c r="F235" t="str">
        <f>IF($A235&gt;$A$1,"",VLOOKUP($A235,'NHL PBP'!$A:$L,12,FALSE))</f>
        <v>CHLG VIS - GOAL INTERFERENCE</v>
      </c>
      <c r="J235">
        <f>IF(EXACT('Entry data'!$C$3,"Road"),IF(ISBLANK(VLOOKUP(A235,'NHL PBP'!A:AH,21,FALSE)),3,IF(ISBLANK(VLOOKUP(A235,'NHL PBP'!A:AH,23,FALSE)),4,5)),IF(ISBLANK(VLOOKUP(A235,'NHL PBP'!A:AH,32,FALSE)),3,IF(ISBLANK(VLOOKUP(A235,'NHL PBP'!A:AH,34,FALSE)),4,5)))</f>
        <v>5</v>
      </c>
      <c r="K235">
        <f>IF(EXACT('Entry data'!$C$3,"Home"),IF(ISBLANK(VLOOKUP(A235,'NHL PBP'!A:AH,21,FALSE)),3,IF(ISBLANK(VLOOKUP(A235,'NHL PBP'!A:AH,23,FALSE)),4,5)),IF(ISBLANK(VLOOKUP(A235,'NHL PBP'!A:AH,32,FALSE)),3,IF(ISBLANK(VLOOKUP(A235,'NHL PBP'!A:AH,34,FALSE)),4,5)))</f>
        <v>4</v>
      </c>
      <c r="L235">
        <f>IF(OR(EXACT(D235,"C"),EXACT(D235,"P"),EXACT(D235,"D"),EXACT(D235,"T"),EXACT(D235,"X"),EXACT(E235,"DZF"),EXACT(E235,"OZF"),EXACT(D235,"N"),EXACT(D235,"F")),1,0)</f>
        <v>0</v>
      </c>
      <c r="M235" t="str">
        <f t="shared" si="12"/>
        <v/>
      </c>
      <c r="N235">
        <f t="shared" si="13"/>
        <v>0</v>
      </c>
      <c r="O235">
        <f t="shared" si="14"/>
        <v>0</v>
      </c>
      <c r="P235" t="str">
        <f t="shared" si="15"/>
        <v/>
      </c>
    </row>
    <row r="236" spans="1:16" x14ac:dyDescent="0.25">
      <c r="A236">
        <v>160</v>
      </c>
      <c r="B236">
        <f>IF($A236&gt;$A$1,"",VLOOKUP($A236,'NHL PBP'!$A:$L,8,FALSE))</f>
        <v>2</v>
      </c>
      <c r="C236">
        <f>IF($A236&gt;$A$1,"",IF(B236&gt;3,5/24,20/24)-VLOOKUP($A236,'NHL PBP'!$A:$L,10,FALSE))</f>
        <v>0.38888888888888895</v>
      </c>
      <c r="D236" t="str">
        <f>IF($A236&gt;$A$1,"",VLOOKUP($A236,'NHL PBP'!$A:$L,11,FALSE))</f>
        <v>GIVE</v>
      </c>
      <c r="E236" t="str">
        <f>IF(AND(EXACT(D236,"FAC"),NOT(EXACT(MID(F236,9,3),"Neu"))),IF(OR(AND(EXACT(MID(F236,9,3),"Off"),EXACT(LEFT(F236,3),UPPER('Entry data'!$C$2))),AND(EXACT(MID(F236,9,3),"Def"),NOT(EXACT(LEFT(F236,3),UPPER('Entry data'!$C$2))))),"DZF","OZF"),"")</f>
        <v/>
      </c>
      <c r="F236" t="str">
        <f>IF($A236&gt;$A$1,"",VLOOKUP($A236,'NHL PBP'!$A:$L,12,FALSE))</f>
        <v>DET GIVEAWAY - #43 HELM, Def. Zone</v>
      </c>
      <c r="J236">
        <f>IF(EXACT('Entry data'!$C$3,"Road"),IF(ISBLANK(VLOOKUP(A236,'NHL PBP'!A:AH,21,FALSE)),3,IF(ISBLANK(VLOOKUP(A236,'NHL PBP'!A:AH,23,FALSE)),4,5)),IF(ISBLANK(VLOOKUP(A236,'NHL PBP'!A:AH,32,FALSE)),3,IF(ISBLANK(VLOOKUP(A236,'NHL PBP'!A:AH,34,FALSE)),4,5)))</f>
        <v>5</v>
      </c>
      <c r="K236">
        <f>IF(EXACT('Entry data'!$C$3,"Home"),IF(ISBLANK(VLOOKUP(A236,'NHL PBP'!A:AH,21,FALSE)),3,IF(ISBLANK(VLOOKUP(A236,'NHL PBP'!A:AH,23,FALSE)),4,5)),IF(ISBLANK(VLOOKUP(A236,'NHL PBP'!A:AH,32,FALSE)),3,IF(ISBLANK(VLOOKUP(A236,'NHL PBP'!A:AH,34,FALSE)),4,5)))</f>
        <v>5</v>
      </c>
      <c r="L236">
        <f>IF(OR(EXACT(D236,"C"),EXACT(D236,"P"),EXACT(D236,"D"),EXACT(D236,"T"),EXACT(D236,"X"),EXACT(E236,"DZF"),EXACT(E236,"OZF"),EXACT(D236,"N"),EXACT(D236,"F")),1,0)</f>
        <v>0</v>
      </c>
      <c r="M236" t="str">
        <f t="shared" si="12"/>
        <v/>
      </c>
      <c r="N236">
        <f t="shared" si="13"/>
        <v>0</v>
      </c>
      <c r="O236">
        <f t="shared" si="14"/>
        <v>0</v>
      </c>
      <c r="P236" t="str">
        <f t="shared" si="15"/>
        <v/>
      </c>
    </row>
    <row r="237" spans="1:16" x14ac:dyDescent="0.25">
      <c r="A237">
        <v>76</v>
      </c>
      <c r="B237">
        <f>IF(ISBLANK(VLOOKUP($A237,'Entry data'!$A:$K,2,FALSE)),"",VLOOKUP($A237,'Entry data'!$A:$K,2,FALSE))</f>
        <v>2</v>
      </c>
      <c r="C237">
        <f>IF(ISBLANK(VLOOKUP($A237,'Entry data'!$A:$K,3,FALSE)),"",VLOOKUP($A237,'Entry data'!$A:$K,3,FALSE))</f>
        <v>0.38541666666666669</v>
      </c>
      <c r="D237" t="str">
        <f>IF(ISBLANK(VLOOKUP($A237,'Entry data'!$A:$K,4,FALSE)),"",VLOOKUP($A237,'Entry data'!$A:$K,4,FALSE))</f>
        <v>D</v>
      </c>
      <c r="E237" t="str">
        <f>IF(ISBLANK(VLOOKUP($A237,'Entry data'!$A:$K,5,FALSE)),"",VLOOKUP($A237,'Entry data'!$A:$K,5,FALSE))</f>
        <v>18NSH</v>
      </c>
      <c r="F237" t="str">
        <f>IF(ISBLANK(VLOOKUP($A237,'Entry data'!$A:$K,6,FALSE)),"",VLOOKUP($A237,'Entry data'!$A:$K,6,FALSE))</f>
        <v>65DET</v>
      </c>
      <c r="G237" t="str">
        <f>IF(ISBLANK(VLOOKUP($A237,'Entry data'!$A:$K,7,FALSE)),"",VLOOKUP($A237,'Entry data'!$A:$K,7,FALSE))</f>
        <v/>
      </c>
      <c r="H237" t="str">
        <f>IF(ISBLANK(VLOOKUP($A237,'Entry data'!$A:$K,8,FALSE)),"",VLOOKUP($A237,'Entry data'!$A:$K,8,FALSE))</f>
        <v>R</v>
      </c>
      <c r="I237" t="str">
        <f>IF(ISBLANK(VLOOKUP($A237,'Entry data'!$A:$K,9,FALSE)),"",VLOOKUP($A237,'Entry data'!$A:$K,9,FALSE))</f>
        <v>18NSH</v>
      </c>
      <c r="J237">
        <f>IF(ISBLANK(VLOOKUP($A237,'Entry data'!$A:$K,10,FALSE)),"",VLOOKUP($A237,'Entry data'!$A:$K,10,FALSE))</f>
        <v>5</v>
      </c>
      <c r="K237">
        <f>IF(ISBLANK(VLOOKUP($A237,'Entry data'!$A:$K,11,FALSE)),"",VLOOKUP($A237,'Entry data'!$A:$K,11,FALSE))</f>
        <v>5</v>
      </c>
      <c r="L237">
        <f>IF(OR(EXACT(D237,"C"),EXACT(D237,"P"),EXACT(D237,"D"),EXACT(D237,"T"),EXACT(D237,"X"),EXACT(E237,"DZF"),EXACT(E237,"OZF"),EXACT(D237,"N"),EXACT(D237,"F")),1,0)</f>
        <v>1</v>
      </c>
      <c r="M237" t="str">
        <f t="shared" si="12"/>
        <v/>
      </c>
      <c r="N237">
        <f t="shared" si="13"/>
        <v>0</v>
      </c>
      <c r="O237">
        <f t="shared" si="14"/>
        <v>0</v>
      </c>
      <c r="P237" t="str">
        <f t="shared" si="15"/>
        <v/>
      </c>
    </row>
    <row r="238" spans="1:16" x14ac:dyDescent="0.25">
      <c r="A238">
        <v>161</v>
      </c>
      <c r="B238">
        <f>IF($A238&gt;$A$1,"",VLOOKUP($A238,'NHL PBP'!$A:$L,8,FALSE))</f>
        <v>2</v>
      </c>
      <c r="C238">
        <f>IF($A238&gt;$A$1,"",IF(B238&gt;3,5/24,20/24)-VLOOKUP($A238,'NHL PBP'!$A:$L,10,FALSE))</f>
        <v>0.38125000000000003</v>
      </c>
      <c r="D238" t="str">
        <f>IF($A238&gt;$A$1,"",VLOOKUP($A238,'NHL PBP'!$A:$L,11,FALSE))</f>
        <v>HIT</v>
      </c>
      <c r="E238" t="str">
        <f>IF(AND(EXACT(D238,"FAC"),NOT(EXACT(MID(F238,9,3),"Neu"))),IF(OR(AND(EXACT(MID(F238,9,3),"Off"),EXACT(LEFT(F238,3),UPPER('Entry data'!$C$2))),AND(EXACT(MID(F238,9,3),"Def"),NOT(EXACT(LEFT(F238,3),UPPER('Entry data'!$C$2))))),"DZF","OZF"),"")</f>
        <v/>
      </c>
      <c r="F238" t="str">
        <f>IF($A238&gt;$A$1,"",VLOOKUP($A238,'NHL PBP'!$A:$L,12,FALSE))</f>
        <v>DET #25 GREEN HIT NSH #18 NEAL, Def. Zone</v>
      </c>
      <c r="J238">
        <f>IF(EXACT('Entry data'!$C$3,"Road"),IF(ISBLANK(VLOOKUP(A238,'NHL PBP'!A:AH,21,FALSE)),3,IF(ISBLANK(VLOOKUP(A238,'NHL PBP'!A:AH,23,FALSE)),4,5)),IF(ISBLANK(VLOOKUP(A238,'NHL PBP'!A:AH,32,FALSE)),3,IF(ISBLANK(VLOOKUP(A238,'NHL PBP'!A:AH,34,FALSE)),4,5)))</f>
        <v>5</v>
      </c>
      <c r="K238">
        <f>IF(EXACT('Entry data'!$C$3,"Home"),IF(ISBLANK(VLOOKUP(A238,'NHL PBP'!A:AH,21,FALSE)),3,IF(ISBLANK(VLOOKUP(A238,'NHL PBP'!A:AH,23,FALSE)),4,5)),IF(ISBLANK(VLOOKUP(A238,'NHL PBP'!A:AH,32,FALSE)),3,IF(ISBLANK(VLOOKUP(A238,'NHL PBP'!A:AH,34,FALSE)),4,5)))</f>
        <v>5</v>
      </c>
      <c r="L238">
        <f>IF(OR(EXACT(D238,"C"),EXACT(D238,"P"),EXACT(D238,"D"),EXACT(D238,"T"),EXACT(D238,"X"),EXACT(E238,"DZF"),EXACT(E238,"OZF"),EXACT(D238,"N"),EXACT(D238,"F")),1,0)</f>
        <v>0</v>
      </c>
      <c r="M238" t="str">
        <f t="shared" si="12"/>
        <v/>
      </c>
      <c r="N238">
        <f t="shared" si="13"/>
        <v>0</v>
      </c>
      <c r="O238">
        <f t="shared" si="14"/>
        <v>0</v>
      </c>
      <c r="P238" t="str">
        <f t="shared" si="15"/>
        <v/>
      </c>
    </row>
    <row r="239" spans="1:16" x14ac:dyDescent="0.25">
      <c r="A239">
        <v>77</v>
      </c>
      <c r="B239">
        <f>IF(ISBLANK(VLOOKUP($A239,'Entry data'!$A:$K,2,FALSE)),"",VLOOKUP($A239,'Entry data'!$A:$K,2,FALSE))</f>
        <v>2</v>
      </c>
      <c r="C239">
        <f>IF(ISBLANK(VLOOKUP($A239,'Entry data'!$A:$K,3,FALSE)),"",VLOOKUP($A239,'Entry data'!$A:$K,3,FALSE))</f>
        <v>0.37222222222222223</v>
      </c>
      <c r="D239" t="str">
        <f>IF(ISBLANK(VLOOKUP($A239,'Entry data'!$A:$K,4,FALSE)),"",VLOOKUP($A239,'Entry data'!$A:$K,4,FALSE))</f>
        <v>C</v>
      </c>
      <c r="E239" t="str">
        <f>IF(ISBLANK(VLOOKUP($A239,'Entry data'!$A:$K,5,FALSE)),"",VLOOKUP($A239,'Entry data'!$A:$K,5,FALSE))</f>
        <v>41DET</v>
      </c>
      <c r="F239" t="str">
        <f>IF(ISBLANK(VLOOKUP($A239,'Entry data'!$A:$K,6,FALSE)),"",VLOOKUP($A239,'Entry data'!$A:$K,6,FALSE))</f>
        <v>7NSH</v>
      </c>
      <c r="G239" t="str">
        <f>IF(ISBLANK(VLOOKUP($A239,'Entry data'!$A:$K,7,FALSE)),"",VLOOKUP($A239,'Entry data'!$A:$K,7,FALSE))</f>
        <v>N</v>
      </c>
      <c r="H239" t="str">
        <f>IF(ISBLANK(VLOOKUP($A239,'Entry data'!$A:$K,8,FALSE)),"",VLOOKUP($A239,'Entry data'!$A:$K,8,FALSE))</f>
        <v>R</v>
      </c>
      <c r="I239" t="str">
        <f>IF(ISBLANK(VLOOKUP($A239,'Entry data'!$A:$K,9,FALSE)),"",VLOOKUP($A239,'Entry data'!$A:$K,9,FALSE))</f>
        <v>N</v>
      </c>
      <c r="J239">
        <f>IF(ISBLANK(VLOOKUP($A239,'Entry data'!$A:$K,10,FALSE)),"",VLOOKUP($A239,'Entry data'!$A:$K,10,FALSE))</f>
        <v>5</v>
      </c>
      <c r="K239">
        <f>IF(ISBLANK(VLOOKUP($A239,'Entry data'!$A:$K,11,FALSE)),"",VLOOKUP($A239,'Entry data'!$A:$K,11,FALSE))</f>
        <v>5</v>
      </c>
      <c r="L239">
        <f>IF(OR(EXACT(D239,"C"),EXACT(D239,"P"),EXACT(D239,"D"),EXACT(D239,"T"),EXACT(D239,"X"),EXACT(E239,"DZF"),EXACT(E239,"OZF"),EXACT(D239,"N"),EXACT(D239,"F")),1,0)</f>
        <v>1</v>
      </c>
      <c r="M239" t="str">
        <f t="shared" si="12"/>
        <v>41DET</v>
      </c>
      <c r="N239">
        <f t="shared" si="13"/>
        <v>1</v>
      </c>
      <c r="O239">
        <f t="shared" si="14"/>
        <v>0</v>
      </c>
      <c r="P239" t="str">
        <f t="shared" si="15"/>
        <v/>
      </c>
    </row>
    <row r="240" spans="1:16" x14ac:dyDescent="0.25">
      <c r="A240">
        <v>162</v>
      </c>
      <c r="B240">
        <f>IF($A240&gt;$A$1,"",VLOOKUP($A240,'NHL PBP'!$A:$L,8,FALSE))</f>
        <v>2</v>
      </c>
      <c r="C240">
        <f>IF($A240&gt;$A$1,"",IF(B240&gt;3,5/24,20/24)-VLOOKUP($A240,'NHL PBP'!$A:$L,10,FALSE))</f>
        <v>0.37013888888888891</v>
      </c>
      <c r="D240" t="str">
        <f>IF($A240&gt;$A$1,"",VLOOKUP($A240,'NHL PBP'!$A:$L,11,FALSE))</f>
        <v>SHOT</v>
      </c>
      <c r="E240" t="str">
        <f>IF(AND(EXACT(D240,"FAC"),NOT(EXACT(MID(F240,9,3),"Neu"))),IF(OR(AND(EXACT(MID(F240,9,3),"Off"),EXACT(LEFT(F240,3),UPPER('Entry data'!$C$2))),AND(EXACT(MID(F240,9,3),"Def"),NOT(EXACT(LEFT(F240,3),UPPER('Entry data'!$C$2))))),"DZF","OZF"),"")</f>
        <v/>
      </c>
      <c r="F240" t="str">
        <f>IF($A240&gt;$A$1,"",VLOOKUP($A240,'NHL PBP'!$A:$L,12,FALSE))</f>
        <v>DET ONGOAL - #41 GLENDENING, Wrist, Off. Zone, 29 ft.</v>
      </c>
      <c r="J240">
        <f>IF(EXACT('Entry data'!$C$3,"Road"),IF(ISBLANK(VLOOKUP(A240,'NHL PBP'!A:AH,21,FALSE)),3,IF(ISBLANK(VLOOKUP(A240,'NHL PBP'!A:AH,23,FALSE)),4,5)),IF(ISBLANK(VLOOKUP(A240,'NHL PBP'!A:AH,32,FALSE)),3,IF(ISBLANK(VLOOKUP(A240,'NHL PBP'!A:AH,34,FALSE)),4,5)))</f>
        <v>5</v>
      </c>
      <c r="K240">
        <f>IF(EXACT('Entry data'!$C$3,"Home"),IF(ISBLANK(VLOOKUP(A240,'NHL PBP'!A:AH,21,FALSE)),3,IF(ISBLANK(VLOOKUP(A240,'NHL PBP'!A:AH,23,FALSE)),4,5)),IF(ISBLANK(VLOOKUP(A240,'NHL PBP'!A:AH,32,FALSE)),3,IF(ISBLANK(VLOOKUP(A240,'NHL PBP'!A:AH,34,FALSE)),4,5)))</f>
        <v>5</v>
      </c>
      <c r="L240">
        <f>IF(OR(EXACT(D240,"C"),EXACT(D240,"P"),EXACT(D240,"D"),EXACT(D240,"T"),EXACT(D240,"X"),EXACT(E240,"DZF"),EXACT(E240,"OZF"),EXACT(D240,"N"),EXACT(D240,"F")),1,0)</f>
        <v>0</v>
      </c>
      <c r="M240" t="str">
        <f t="shared" si="12"/>
        <v/>
      </c>
      <c r="N240">
        <f t="shared" si="13"/>
        <v>1</v>
      </c>
      <c r="O240">
        <f t="shared" si="14"/>
        <v>0</v>
      </c>
      <c r="P240" t="str">
        <f t="shared" si="15"/>
        <v/>
      </c>
    </row>
    <row r="241" spans="1:16" x14ac:dyDescent="0.25">
      <c r="A241">
        <v>163</v>
      </c>
      <c r="B241">
        <f>IF($A241&gt;$A$1,"",VLOOKUP($A241,'NHL PBP'!$A:$L,8,FALSE))</f>
        <v>2</v>
      </c>
      <c r="C241">
        <f>IF($A241&gt;$A$1,"",IF(B241&gt;3,5/24,20/24)-VLOOKUP($A241,'NHL PBP'!$A:$L,10,FALSE))</f>
        <v>0.37013888888888891</v>
      </c>
      <c r="D241" t="str">
        <f>IF($A241&gt;$A$1,"",VLOOKUP($A241,'NHL PBP'!$A:$L,11,FALSE))</f>
        <v>STOP</v>
      </c>
      <c r="E241" t="str">
        <f>IF(AND(EXACT(D241,"FAC"),NOT(EXACT(MID(F241,9,3),"Neu"))),IF(OR(AND(EXACT(MID(F241,9,3),"Off"),EXACT(LEFT(F241,3),UPPER('Entry data'!$C$2))),AND(EXACT(MID(F241,9,3),"Def"),NOT(EXACT(LEFT(F241,3),UPPER('Entry data'!$C$2))))),"DZF","OZF"),"")</f>
        <v/>
      </c>
      <c r="F241" t="str">
        <f>IF($A241&gt;$A$1,"",VLOOKUP($A241,'NHL PBP'!$A:$L,12,FALSE))</f>
        <v>PUCK IN NETTING,TV TIMEOUT</v>
      </c>
      <c r="J241">
        <f>IF(EXACT('Entry data'!$C$3,"Road"),IF(ISBLANK(VLOOKUP(A241,'NHL PBP'!A:AH,21,FALSE)),3,IF(ISBLANK(VLOOKUP(A241,'NHL PBP'!A:AH,23,FALSE)),4,5)),IF(ISBLANK(VLOOKUP(A241,'NHL PBP'!A:AH,32,FALSE)),3,IF(ISBLANK(VLOOKUP(A241,'NHL PBP'!A:AH,34,FALSE)),4,5)))</f>
        <v>5</v>
      </c>
      <c r="K241">
        <f>IF(EXACT('Entry data'!$C$3,"Home"),IF(ISBLANK(VLOOKUP(A241,'NHL PBP'!A:AH,21,FALSE)),3,IF(ISBLANK(VLOOKUP(A241,'NHL PBP'!A:AH,23,FALSE)),4,5)),IF(ISBLANK(VLOOKUP(A241,'NHL PBP'!A:AH,32,FALSE)),3,IF(ISBLANK(VLOOKUP(A241,'NHL PBP'!A:AH,34,FALSE)),4,5)))</f>
        <v>5</v>
      </c>
      <c r="L241">
        <f>IF(OR(EXACT(D241,"C"),EXACT(D241,"P"),EXACT(D241,"D"),EXACT(D241,"T"),EXACT(D241,"X"),EXACT(E241,"DZF"),EXACT(E241,"OZF"),EXACT(D241,"N"),EXACT(D241,"F")),1,0)</f>
        <v>0</v>
      </c>
      <c r="M241" t="str">
        <f t="shared" si="12"/>
        <v/>
      </c>
      <c r="N241">
        <f t="shared" si="13"/>
        <v>0</v>
      </c>
      <c r="O241">
        <f t="shared" si="14"/>
        <v>0</v>
      </c>
      <c r="P241" t="str">
        <f t="shared" si="15"/>
        <v/>
      </c>
    </row>
    <row r="242" spans="1:16" x14ac:dyDescent="0.25">
      <c r="A242">
        <v>164</v>
      </c>
      <c r="B242">
        <f>IF($A242&gt;$A$1,"",VLOOKUP($A242,'NHL PBP'!$A:$L,8,FALSE))</f>
        <v>2</v>
      </c>
      <c r="C242">
        <f>IF($A242&gt;$A$1,"",IF(B242&gt;3,5/24,20/24)-VLOOKUP($A242,'NHL PBP'!$A:$L,10,FALSE))</f>
        <v>0.37013888888888891</v>
      </c>
      <c r="D242" t="str">
        <f>IF($A242&gt;$A$1,"",VLOOKUP($A242,'NHL PBP'!$A:$L,11,FALSE))</f>
        <v>FAC</v>
      </c>
      <c r="E242" t="str">
        <f>IF(AND(EXACT(D242,"FAC"),NOT(EXACT(MID(F242,9,3),"Neu"))),IF(OR(AND(EXACT(MID(F242,9,3),"Off"),EXACT(LEFT(F242,3),UPPER('Entry data'!$C$2))),AND(EXACT(MID(F242,9,3),"Def"),NOT(EXACT(LEFT(F242,3),UPPER('Entry data'!$C$2))))),"DZF","OZF"),"")</f>
        <v>OZF</v>
      </c>
      <c r="F242" t="str">
        <f>IF($A242&gt;$A$1,"",VLOOKUP($A242,'NHL PBP'!$A:$L,12,FALSE))</f>
        <v>NSH won Def. Zone - NSH #12 FISHER vs DET #51 NIELSEN</v>
      </c>
      <c r="J242">
        <f>IF(EXACT('Entry data'!$C$3,"Road"),IF(ISBLANK(VLOOKUP(A242,'NHL PBP'!A:AH,21,FALSE)),3,IF(ISBLANK(VLOOKUP(A242,'NHL PBP'!A:AH,23,FALSE)),4,5)),IF(ISBLANK(VLOOKUP(A242,'NHL PBP'!A:AH,32,FALSE)),3,IF(ISBLANK(VLOOKUP(A242,'NHL PBP'!A:AH,34,FALSE)),4,5)))</f>
        <v>5</v>
      </c>
      <c r="K242">
        <f>IF(EXACT('Entry data'!$C$3,"Home"),IF(ISBLANK(VLOOKUP(A242,'NHL PBP'!A:AH,21,FALSE)),3,IF(ISBLANK(VLOOKUP(A242,'NHL PBP'!A:AH,23,FALSE)),4,5)),IF(ISBLANK(VLOOKUP(A242,'NHL PBP'!A:AH,32,FALSE)),3,IF(ISBLANK(VLOOKUP(A242,'NHL PBP'!A:AH,34,FALSE)),4,5)))</f>
        <v>5</v>
      </c>
      <c r="L242">
        <f>IF(OR(EXACT(D242,"C"),EXACT(D242,"P"),EXACT(D242,"D"),EXACT(D242,"T"),EXACT(D242,"X"),EXACT(E242,"DZF"),EXACT(E242,"OZF"),EXACT(D242,"N"),EXACT(D242,"F")),1,0)</f>
        <v>1</v>
      </c>
      <c r="M242" t="str">
        <f t="shared" si="12"/>
        <v/>
      </c>
      <c r="N242">
        <f t="shared" si="13"/>
        <v>0</v>
      </c>
      <c r="O242">
        <f t="shared" si="14"/>
        <v>0</v>
      </c>
      <c r="P242" t="str">
        <f t="shared" si="15"/>
        <v/>
      </c>
    </row>
    <row r="243" spans="1:16" x14ac:dyDescent="0.25">
      <c r="A243">
        <v>78</v>
      </c>
      <c r="B243">
        <f>IF(ISBLANK(VLOOKUP($A243,'Entry data'!$A:$K,2,FALSE)),"",VLOOKUP($A243,'Entry data'!$A:$K,2,FALSE))</f>
        <v>2</v>
      </c>
      <c r="C243">
        <f>IF(ISBLANK(VLOOKUP($A243,'Entry data'!$A:$K,3,FALSE)),"",VLOOKUP($A243,'Entry data'!$A:$K,3,FALSE))</f>
        <v>0.36458333333333331</v>
      </c>
      <c r="D243" t="str">
        <f>IF(ISBLANK(VLOOKUP($A243,'Entry data'!$A:$K,4,FALSE)),"",VLOOKUP($A243,'Entry data'!$A:$K,4,FALSE))</f>
        <v>D</v>
      </c>
      <c r="E243" t="str">
        <f>IF(ISBLANK(VLOOKUP($A243,'Entry data'!$A:$K,5,FALSE)),"",VLOOKUP($A243,'Entry data'!$A:$K,5,FALSE))</f>
        <v>2DET</v>
      </c>
      <c r="F243" t="str">
        <f>IF(ISBLANK(VLOOKUP($A243,'Entry data'!$A:$K,6,FALSE)),"",VLOOKUP($A243,'Entry data'!$A:$K,6,FALSE))</f>
        <v>4NSH</v>
      </c>
      <c r="G243" t="str">
        <f>IF(ISBLANK(VLOOKUP($A243,'Entry data'!$A:$K,7,FALSE)),"",VLOOKUP($A243,'Entry data'!$A:$K,7,FALSE))</f>
        <v/>
      </c>
      <c r="H243" t="str">
        <f>IF(ISBLANK(VLOOKUP($A243,'Entry data'!$A:$K,8,FALSE)),"",VLOOKUP($A243,'Entry data'!$A:$K,8,FALSE))</f>
        <v>L</v>
      </c>
      <c r="I243" t="str">
        <f>IF(ISBLANK(VLOOKUP($A243,'Entry data'!$A:$K,9,FALSE)),"",VLOOKUP($A243,'Entry data'!$A:$K,9,FALSE))</f>
        <v>N</v>
      </c>
      <c r="J243">
        <f>IF(ISBLANK(VLOOKUP($A243,'Entry data'!$A:$K,10,FALSE)),"",VLOOKUP($A243,'Entry data'!$A:$K,10,FALSE))</f>
        <v>5</v>
      </c>
      <c r="K243">
        <f>IF(ISBLANK(VLOOKUP($A243,'Entry data'!$A:$K,11,FALSE)),"",VLOOKUP($A243,'Entry data'!$A:$K,11,FALSE))</f>
        <v>5</v>
      </c>
      <c r="L243">
        <f>IF(OR(EXACT(D243,"C"),EXACT(D243,"P"),EXACT(D243,"D"),EXACT(D243,"T"),EXACT(D243,"X"),EXACT(E243,"DZF"),EXACT(E243,"OZF"),EXACT(D243,"N"),EXACT(D243,"F")),1,0)</f>
        <v>1</v>
      </c>
      <c r="M243" t="str">
        <f t="shared" si="12"/>
        <v/>
      </c>
      <c r="N243">
        <f t="shared" si="13"/>
        <v>0</v>
      </c>
      <c r="O243">
        <f t="shared" si="14"/>
        <v>0</v>
      </c>
      <c r="P243" t="str">
        <f t="shared" si="15"/>
        <v/>
      </c>
    </row>
    <row r="244" spans="1:16" x14ac:dyDescent="0.25">
      <c r="A244">
        <v>79</v>
      </c>
      <c r="B244">
        <f>IF(ISBLANK(VLOOKUP($A244,'Entry data'!$A:$K,2,FALSE)),"",VLOOKUP($A244,'Entry data'!$A:$K,2,FALSE))</f>
        <v>2</v>
      </c>
      <c r="C244">
        <f>IF(ISBLANK(VLOOKUP($A244,'Entry data'!$A:$K,3,FALSE)),"",VLOOKUP($A244,'Entry data'!$A:$K,3,FALSE))</f>
        <v>0.35625000000000001</v>
      </c>
      <c r="D244" t="str">
        <f>IF(ISBLANK(VLOOKUP($A244,'Entry data'!$A:$K,4,FALSE)),"",VLOOKUP($A244,'Entry data'!$A:$K,4,FALSE))</f>
        <v>D</v>
      </c>
      <c r="E244" t="str">
        <f>IF(ISBLANK(VLOOKUP($A244,'Entry data'!$A:$K,5,FALSE)),"",VLOOKUP($A244,'Entry data'!$A:$K,5,FALSE))</f>
        <v>38NSH</v>
      </c>
      <c r="F244" t="str">
        <f>IF(ISBLANK(VLOOKUP($A244,'Entry data'!$A:$K,6,FALSE)),"",VLOOKUP($A244,'Entry data'!$A:$K,6,FALSE))</f>
        <v>N</v>
      </c>
      <c r="G244" t="str">
        <f>IF(ISBLANK(VLOOKUP($A244,'Entry data'!$A:$K,7,FALSE)),"",VLOOKUP($A244,'Entry data'!$A:$K,7,FALSE))</f>
        <v/>
      </c>
      <c r="H244" t="str">
        <f>IF(ISBLANK(VLOOKUP($A244,'Entry data'!$A:$K,8,FALSE)),"",VLOOKUP($A244,'Entry data'!$A:$K,8,FALSE))</f>
        <v>R</v>
      </c>
      <c r="I244" t="str">
        <f>IF(ISBLANK(VLOOKUP($A244,'Entry data'!$A:$K,9,FALSE)),"",VLOOKUP($A244,'Entry data'!$A:$K,9,FALSE))</f>
        <v>N</v>
      </c>
      <c r="J244">
        <f>IF(ISBLANK(VLOOKUP($A244,'Entry data'!$A:$K,10,FALSE)),"",VLOOKUP($A244,'Entry data'!$A:$K,10,FALSE))</f>
        <v>5</v>
      </c>
      <c r="K244">
        <f>IF(ISBLANK(VLOOKUP($A244,'Entry data'!$A:$K,11,FALSE)),"",VLOOKUP($A244,'Entry data'!$A:$K,11,FALSE))</f>
        <v>5</v>
      </c>
      <c r="L244">
        <f>IF(OR(EXACT(D244,"C"),EXACT(D244,"P"),EXACT(D244,"D"),EXACT(D244,"T"),EXACT(D244,"X"),EXACT(E244,"DZF"),EXACT(E244,"OZF"),EXACT(D244,"N"),EXACT(D244,"F")),1,0)</f>
        <v>1</v>
      </c>
      <c r="M244" t="str">
        <f t="shared" si="12"/>
        <v/>
      </c>
      <c r="N244">
        <f t="shared" si="13"/>
        <v>1</v>
      </c>
      <c r="O244">
        <f t="shared" si="14"/>
        <v>0</v>
      </c>
      <c r="P244" t="str">
        <f t="shared" si="15"/>
        <v/>
      </c>
    </row>
    <row r="245" spans="1:16" x14ac:dyDescent="0.25">
      <c r="A245">
        <v>165</v>
      </c>
      <c r="B245">
        <f>IF($A245&gt;$A$1,"",VLOOKUP($A245,'NHL PBP'!$A:$L,8,FALSE))</f>
        <v>2</v>
      </c>
      <c r="C245">
        <f>IF($A245&gt;$A$1,"",IF(B245&gt;3,5/24,20/24)-VLOOKUP($A245,'NHL PBP'!$A:$L,10,FALSE))</f>
        <v>0.35347222222222224</v>
      </c>
      <c r="D245" t="str">
        <f>IF($A245&gt;$A$1,"",VLOOKUP($A245,'NHL PBP'!$A:$L,11,FALSE))</f>
        <v>SHOT</v>
      </c>
      <c r="E245" t="str">
        <f>IF(AND(EXACT(D245,"FAC"),NOT(EXACT(MID(F245,9,3),"Neu"))),IF(OR(AND(EXACT(MID(F245,9,3),"Off"),EXACT(LEFT(F245,3),UPPER('Entry data'!$C$2))),AND(EXACT(MID(F245,9,3),"Def"),NOT(EXACT(LEFT(F245,3),UPPER('Entry data'!$C$2))))),"DZF","OZF"),"")</f>
        <v/>
      </c>
      <c r="F245" t="str">
        <f>IF($A245&gt;$A$1,"",VLOOKUP($A245,'NHL PBP'!$A:$L,12,FALSE))</f>
        <v>NSH ONGOAL - #12 FISHER, Backhand, Off. Zone, 11 ft.</v>
      </c>
      <c r="J245">
        <f>IF(EXACT('Entry data'!$C$3,"Road"),IF(ISBLANK(VLOOKUP(A245,'NHL PBP'!A:AH,21,FALSE)),3,IF(ISBLANK(VLOOKUP(A245,'NHL PBP'!A:AH,23,FALSE)),4,5)),IF(ISBLANK(VLOOKUP(A245,'NHL PBP'!A:AH,32,FALSE)),3,IF(ISBLANK(VLOOKUP(A245,'NHL PBP'!A:AH,34,FALSE)),4,5)))</f>
        <v>5</v>
      </c>
      <c r="K245">
        <f>IF(EXACT('Entry data'!$C$3,"Home"),IF(ISBLANK(VLOOKUP(A245,'NHL PBP'!A:AH,21,FALSE)),3,IF(ISBLANK(VLOOKUP(A245,'NHL PBP'!A:AH,23,FALSE)),4,5)),IF(ISBLANK(VLOOKUP(A245,'NHL PBP'!A:AH,32,FALSE)),3,IF(ISBLANK(VLOOKUP(A245,'NHL PBP'!A:AH,34,FALSE)),4,5)))</f>
        <v>5</v>
      </c>
      <c r="L245">
        <f>IF(OR(EXACT(D245,"C"),EXACT(D245,"P"),EXACT(D245,"D"),EXACT(D245,"T"),EXACT(D245,"X"),EXACT(E245,"DZF"),EXACT(E245,"OZF"),EXACT(D245,"N"),EXACT(D245,"F")),1,0)</f>
        <v>0</v>
      </c>
      <c r="M245" t="str">
        <f t="shared" si="12"/>
        <v/>
      </c>
      <c r="N245">
        <f t="shared" si="13"/>
        <v>1</v>
      </c>
      <c r="O245">
        <f t="shared" si="14"/>
        <v>0</v>
      </c>
      <c r="P245" t="str">
        <f t="shared" si="15"/>
        <v/>
      </c>
    </row>
    <row r="246" spans="1:16" x14ac:dyDescent="0.25">
      <c r="A246">
        <v>166</v>
      </c>
      <c r="B246">
        <f>IF($A246&gt;$A$1,"",VLOOKUP($A246,'NHL PBP'!$A:$L,8,FALSE))</f>
        <v>2</v>
      </c>
      <c r="C246">
        <f>IF($A246&gt;$A$1,"",IF(B246&gt;3,5/24,20/24)-VLOOKUP($A246,'NHL PBP'!$A:$L,10,FALSE))</f>
        <v>0.35347222222222224</v>
      </c>
      <c r="D246" t="str">
        <f>IF($A246&gt;$A$1,"",VLOOKUP($A246,'NHL PBP'!$A:$L,11,FALSE))</f>
        <v>STOP</v>
      </c>
      <c r="E246" t="str">
        <f>IF(AND(EXACT(D246,"FAC"),NOT(EXACT(MID(F246,9,3),"Neu"))),IF(OR(AND(EXACT(MID(F246,9,3),"Off"),EXACT(LEFT(F246,3),UPPER('Entry data'!$C$2))),AND(EXACT(MID(F246,9,3),"Def"),NOT(EXACT(LEFT(F246,3),UPPER('Entry data'!$C$2))))),"DZF","OZF"),"")</f>
        <v/>
      </c>
      <c r="F246" t="str">
        <f>IF($A246&gt;$A$1,"",VLOOKUP($A246,'NHL PBP'!$A:$L,12,FALSE))</f>
        <v>GOALIE STOPPED</v>
      </c>
      <c r="J246">
        <f>IF(EXACT('Entry data'!$C$3,"Road"),IF(ISBLANK(VLOOKUP(A246,'NHL PBP'!A:AH,21,FALSE)),3,IF(ISBLANK(VLOOKUP(A246,'NHL PBP'!A:AH,23,FALSE)),4,5)),IF(ISBLANK(VLOOKUP(A246,'NHL PBP'!A:AH,32,FALSE)),3,IF(ISBLANK(VLOOKUP(A246,'NHL PBP'!A:AH,34,FALSE)),4,5)))</f>
        <v>5</v>
      </c>
      <c r="K246">
        <f>IF(EXACT('Entry data'!$C$3,"Home"),IF(ISBLANK(VLOOKUP(A246,'NHL PBP'!A:AH,21,FALSE)),3,IF(ISBLANK(VLOOKUP(A246,'NHL PBP'!A:AH,23,FALSE)),4,5)),IF(ISBLANK(VLOOKUP(A246,'NHL PBP'!A:AH,32,FALSE)),3,IF(ISBLANK(VLOOKUP(A246,'NHL PBP'!A:AH,34,FALSE)),4,5)))</f>
        <v>5</v>
      </c>
      <c r="L246">
        <f>IF(OR(EXACT(D246,"C"),EXACT(D246,"P"),EXACT(D246,"D"),EXACT(D246,"T"),EXACT(D246,"X"),EXACT(E246,"DZF"),EXACT(E246,"OZF"),EXACT(D246,"N"),EXACT(D246,"F")),1,0)</f>
        <v>0</v>
      </c>
      <c r="M246" t="str">
        <f t="shared" si="12"/>
        <v/>
      </c>
      <c r="N246">
        <f t="shared" si="13"/>
        <v>0</v>
      </c>
      <c r="O246">
        <f t="shared" si="14"/>
        <v>0</v>
      </c>
      <c r="P246" t="str">
        <f t="shared" si="15"/>
        <v/>
      </c>
    </row>
    <row r="247" spans="1:16" x14ac:dyDescent="0.25">
      <c r="A247">
        <v>167</v>
      </c>
      <c r="B247">
        <f>IF($A247&gt;$A$1,"",VLOOKUP($A247,'NHL PBP'!$A:$L,8,FALSE))</f>
        <v>2</v>
      </c>
      <c r="C247">
        <f>IF($A247&gt;$A$1,"",IF(B247&gt;3,5/24,20/24)-VLOOKUP($A247,'NHL PBP'!$A:$L,10,FALSE))</f>
        <v>0.35347222222222224</v>
      </c>
      <c r="D247" t="str">
        <f>IF($A247&gt;$A$1,"",VLOOKUP($A247,'NHL PBP'!$A:$L,11,FALSE))</f>
        <v>FAC</v>
      </c>
      <c r="E247" t="str">
        <f>IF(AND(EXACT(D247,"FAC"),NOT(EXACT(MID(F247,9,3),"Neu"))),IF(OR(AND(EXACT(MID(F247,9,3),"Off"),EXACT(LEFT(F247,3),UPPER('Entry data'!$C$2))),AND(EXACT(MID(F247,9,3),"Def"),NOT(EXACT(LEFT(F247,3),UPPER('Entry data'!$C$2))))),"DZF","OZF"),"")</f>
        <v>DZF</v>
      </c>
      <c r="F247" t="str">
        <f>IF($A247&gt;$A$1,"",VLOOKUP($A247,'NHL PBP'!$A:$L,12,FALSE))</f>
        <v>DET won Def. Zone - NSH #10 SISSONS vs DET #40 ZETTERBERG</v>
      </c>
      <c r="J247">
        <f>IF(EXACT('Entry data'!$C$3,"Road"),IF(ISBLANK(VLOOKUP(A247,'NHL PBP'!A:AH,21,FALSE)),3,IF(ISBLANK(VLOOKUP(A247,'NHL PBP'!A:AH,23,FALSE)),4,5)),IF(ISBLANK(VLOOKUP(A247,'NHL PBP'!A:AH,32,FALSE)),3,IF(ISBLANK(VLOOKUP(A247,'NHL PBP'!A:AH,34,FALSE)),4,5)))</f>
        <v>5</v>
      </c>
      <c r="K247">
        <f>IF(EXACT('Entry data'!$C$3,"Home"),IF(ISBLANK(VLOOKUP(A247,'NHL PBP'!A:AH,21,FALSE)),3,IF(ISBLANK(VLOOKUP(A247,'NHL PBP'!A:AH,23,FALSE)),4,5)),IF(ISBLANK(VLOOKUP(A247,'NHL PBP'!A:AH,32,FALSE)),3,IF(ISBLANK(VLOOKUP(A247,'NHL PBP'!A:AH,34,FALSE)),4,5)))</f>
        <v>5</v>
      </c>
      <c r="L247">
        <f>IF(OR(EXACT(D247,"C"),EXACT(D247,"P"),EXACT(D247,"D"),EXACT(D247,"T"),EXACT(D247,"X"),EXACT(E247,"DZF"),EXACT(E247,"OZF"),EXACT(D247,"N"),EXACT(D247,"F")),1,0)</f>
        <v>1</v>
      </c>
      <c r="M247" t="str">
        <f t="shared" si="12"/>
        <v/>
      </c>
      <c r="N247">
        <f t="shared" si="13"/>
        <v>0</v>
      </c>
      <c r="O247">
        <f t="shared" si="14"/>
        <v>0</v>
      </c>
      <c r="P247" t="str">
        <f t="shared" si="15"/>
        <v/>
      </c>
    </row>
    <row r="248" spans="1:16" x14ac:dyDescent="0.25">
      <c r="A248">
        <v>80</v>
      </c>
      <c r="B248">
        <f>IF(ISBLANK(VLOOKUP($A248,'Entry data'!$A:$K,2,FALSE)),"",VLOOKUP($A248,'Entry data'!$A:$K,2,FALSE))</f>
        <v>2</v>
      </c>
      <c r="C248">
        <f>IF(ISBLANK(VLOOKUP($A248,'Entry data'!$A:$K,3,FALSE)),"",VLOOKUP($A248,'Entry data'!$A:$K,3,FALSE))</f>
        <v>0.34791666666666665</v>
      </c>
      <c r="D248" t="str">
        <f>IF(ISBLANK(VLOOKUP($A248,'Entry data'!$A:$K,4,FALSE)),"",VLOOKUP($A248,'Entry data'!$A:$K,4,FALSE))</f>
        <v>C</v>
      </c>
      <c r="E248" t="str">
        <f>IF(ISBLANK(VLOOKUP($A248,'Entry data'!$A:$K,5,FALSE)),"",VLOOKUP($A248,'Entry data'!$A:$K,5,FALSE))</f>
        <v>63NSH</v>
      </c>
      <c r="F248" t="str">
        <f>IF(ISBLANK(VLOOKUP($A248,'Entry data'!$A:$K,6,FALSE)),"",VLOOKUP($A248,'Entry data'!$A:$K,6,FALSE))</f>
        <v>52DET</v>
      </c>
      <c r="G248" t="str">
        <f>IF(ISBLANK(VLOOKUP($A248,'Entry data'!$A:$K,7,FALSE)),"",VLOOKUP($A248,'Entry data'!$A:$K,7,FALSE))</f>
        <v>N</v>
      </c>
      <c r="H248" t="str">
        <f>IF(ISBLANK(VLOOKUP($A248,'Entry data'!$A:$K,8,FALSE)),"",VLOOKUP($A248,'Entry data'!$A:$K,8,FALSE))</f>
        <v>C</v>
      </c>
      <c r="I248" t="str">
        <f>IF(ISBLANK(VLOOKUP($A248,'Entry data'!$A:$K,9,FALSE)),"",VLOOKUP($A248,'Entry data'!$A:$K,9,FALSE))</f>
        <v>N</v>
      </c>
      <c r="J248">
        <f>IF(ISBLANK(VLOOKUP($A248,'Entry data'!$A:$K,10,FALSE)),"",VLOOKUP($A248,'Entry data'!$A:$K,10,FALSE))</f>
        <v>5</v>
      </c>
      <c r="K248">
        <f>IF(ISBLANK(VLOOKUP($A248,'Entry data'!$A:$K,11,FALSE)),"",VLOOKUP($A248,'Entry data'!$A:$K,11,FALSE))</f>
        <v>5</v>
      </c>
      <c r="L248">
        <f>IF(OR(EXACT(D248,"C"),EXACT(D248,"P"),EXACT(D248,"D"),EXACT(D248,"T"),EXACT(D248,"X"),EXACT(E248,"DZF"),EXACT(E248,"OZF"),EXACT(D248,"N"),EXACT(D248,"F")),1,0)</f>
        <v>1</v>
      </c>
      <c r="M248" t="str">
        <f t="shared" si="12"/>
        <v>63NSH</v>
      </c>
      <c r="N248">
        <f t="shared" si="13"/>
        <v>0</v>
      </c>
      <c r="O248">
        <f t="shared" si="14"/>
        <v>0</v>
      </c>
      <c r="P248" t="str">
        <f t="shared" si="15"/>
        <v/>
      </c>
    </row>
    <row r="249" spans="1:16" x14ac:dyDescent="0.25">
      <c r="A249">
        <v>81</v>
      </c>
      <c r="B249">
        <f>IF(ISBLANK(VLOOKUP($A249,'Entry data'!$A:$K,2,FALSE)),"",VLOOKUP($A249,'Entry data'!$A:$K,2,FALSE))</f>
        <v>2</v>
      </c>
      <c r="C249">
        <f>IF(ISBLANK(VLOOKUP($A249,'Entry data'!$A:$K,3,FALSE)),"",VLOOKUP($A249,'Entry data'!$A:$K,3,FALSE))</f>
        <v>0.33749999999999997</v>
      </c>
      <c r="D249" t="str">
        <f>IF(ISBLANK(VLOOKUP($A249,'Entry data'!$A:$K,4,FALSE)),"",VLOOKUP($A249,'Entry data'!$A:$K,4,FALSE))</f>
        <v>D</v>
      </c>
      <c r="E249" t="str">
        <f>IF(ISBLANK(VLOOKUP($A249,'Entry data'!$A:$K,5,FALSE)),"",VLOOKUP($A249,'Entry data'!$A:$K,5,FALSE))</f>
        <v>21DET</v>
      </c>
      <c r="F249" t="str">
        <f>IF(ISBLANK(VLOOKUP($A249,'Entry data'!$A:$K,6,FALSE)),"",VLOOKUP($A249,'Entry data'!$A:$K,6,FALSE))</f>
        <v>76NSH</v>
      </c>
      <c r="G249" t="str">
        <f>IF(ISBLANK(VLOOKUP($A249,'Entry data'!$A:$K,7,FALSE)),"",VLOOKUP($A249,'Entry data'!$A:$K,7,FALSE))</f>
        <v/>
      </c>
      <c r="H249" t="str">
        <f>IF(ISBLANK(VLOOKUP($A249,'Entry data'!$A:$K,8,FALSE)),"",VLOOKUP($A249,'Entry data'!$A:$K,8,FALSE))</f>
        <v>R</v>
      </c>
      <c r="I249" t="str">
        <f>IF(ISBLANK(VLOOKUP($A249,'Entry data'!$A:$K,9,FALSE)),"",VLOOKUP($A249,'Entry data'!$A:$K,9,FALSE))</f>
        <v>N</v>
      </c>
      <c r="J249">
        <f>IF(ISBLANK(VLOOKUP($A249,'Entry data'!$A:$K,10,FALSE)),"",VLOOKUP($A249,'Entry data'!$A:$K,10,FALSE))</f>
        <v>5</v>
      </c>
      <c r="K249">
        <f>IF(ISBLANK(VLOOKUP($A249,'Entry data'!$A:$K,11,FALSE)),"",VLOOKUP($A249,'Entry data'!$A:$K,11,FALSE))</f>
        <v>5</v>
      </c>
      <c r="L249">
        <f>IF(OR(EXACT(D249,"C"),EXACT(D249,"P"),EXACT(D249,"D"),EXACT(D249,"T"),EXACT(D249,"X"),EXACT(E249,"DZF"),EXACT(E249,"OZF"),EXACT(D249,"N"),EXACT(D249,"F")),1,0)</f>
        <v>1</v>
      </c>
      <c r="M249" t="str">
        <f t="shared" si="12"/>
        <v/>
      </c>
      <c r="N249">
        <f t="shared" si="13"/>
        <v>0</v>
      </c>
      <c r="O249">
        <f t="shared" si="14"/>
        <v>0</v>
      </c>
      <c r="P249" t="str">
        <f t="shared" si="15"/>
        <v/>
      </c>
    </row>
    <row r="250" spans="1:16" x14ac:dyDescent="0.25">
      <c r="A250">
        <v>82</v>
      </c>
      <c r="B250">
        <f>IF(ISBLANK(VLOOKUP($A250,'Entry data'!$A:$K,2,FALSE)),"",VLOOKUP($A250,'Entry data'!$A:$K,2,FALSE))</f>
        <v>2</v>
      </c>
      <c r="C250">
        <f>IF(ISBLANK(VLOOKUP($A250,'Entry data'!$A:$K,3,FALSE)),"",VLOOKUP($A250,'Entry data'!$A:$K,3,FALSE))</f>
        <v>0.33333333333333331</v>
      </c>
      <c r="D250" t="str">
        <f>IF(ISBLANK(VLOOKUP($A250,'Entry data'!$A:$K,4,FALSE)),"",VLOOKUP($A250,'Entry data'!$A:$K,4,FALSE))</f>
        <v>C</v>
      </c>
      <c r="E250" t="str">
        <f>IF(ISBLANK(VLOOKUP($A250,'Entry data'!$A:$K,5,FALSE)),"",VLOOKUP($A250,'Entry data'!$A:$K,5,FALSE))</f>
        <v>10NSH</v>
      </c>
      <c r="F250" t="str">
        <f>IF(ISBLANK(VLOOKUP($A250,'Entry data'!$A:$K,6,FALSE)),"",VLOOKUP($A250,'Entry data'!$A:$K,6,FALSE))</f>
        <v>N</v>
      </c>
      <c r="G250" t="str">
        <f>IF(ISBLANK(VLOOKUP($A250,'Entry data'!$A:$K,7,FALSE)),"",VLOOKUP($A250,'Entry data'!$A:$K,7,FALSE))</f>
        <v>N</v>
      </c>
      <c r="H250" t="str">
        <f>IF(ISBLANK(VLOOKUP($A250,'Entry data'!$A:$K,8,FALSE)),"",VLOOKUP($A250,'Entry data'!$A:$K,8,FALSE))</f>
        <v>L</v>
      </c>
      <c r="I250" t="str">
        <f>IF(ISBLANK(VLOOKUP($A250,'Entry data'!$A:$K,9,FALSE)),"",VLOOKUP($A250,'Entry data'!$A:$K,9,FALSE))</f>
        <v>N</v>
      </c>
      <c r="J250">
        <f>IF(ISBLANK(VLOOKUP($A250,'Entry data'!$A:$K,10,FALSE)),"",VLOOKUP($A250,'Entry data'!$A:$K,10,FALSE))</f>
        <v>5</v>
      </c>
      <c r="K250">
        <f>IF(ISBLANK(VLOOKUP($A250,'Entry data'!$A:$K,11,FALSE)),"",VLOOKUP($A250,'Entry data'!$A:$K,11,FALSE))</f>
        <v>5</v>
      </c>
      <c r="L250">
        <f>IF(OR(EXACT(D250,"C"),EXACT(D250,"P"),EXACT(D250,"D"),EXACT(D250,"T"),EXACT(D250,"X"),EXACT(E250,"DZF"),EXACT(E250,"OZF"),EXACT(D250,"N"),EXACT(D250,"F")),1,0)</f>
        <v>1</v>
      </c>
      <c r="M250" t="str">
        <f t="shared" si="12"/>
        <v>10NSH</v>
      </c>
      <c r="N250">
        <f t="shared" si="13"/>
        <v>2</v>
      </c>
      <c r="O250">
        <f t="shared" si="14"/>
        <v>0</v>
      </c>
      <c r="P250" t="str">
        <f t="shared" si="15"/>
        <v/>
      </c>
    </row>
    <row r="251" spans="1:16" x14ac:dyDescent="0.25">
      <c r="A251">
        <v>168</v>
      </c>
      <c r="B251">
        <f>IF($A251&gt;$A$1,"",VLOOKUP($A251,'NHL PBP'!$A:$L,8,FALSE))</f>
        <v>2</v>
      </c>
      <c r="C251">
        <f>IF($A251&gt;$A$1,"",IF(B251&gt;3,5/24,20/24)-VLOOKUP($A251,'NHL PBP'!$A:$L,10,FALSE))</f>
        <v>0.33125000000000004</v>
      </c>
      <c r="D251" t="str">
        <f>IF($A251&gt;$A$1,"",VLOOKUP($A251,'NHL PBP'!$A:$L,11,FALSE))</f>
        <v>SHOT</v>
      </c>
      <c r="E251" t="str">
        <f>IF(AND(EXACT(D251,"FAC"),NOT(EXACT(MID(F251,9,3),"Neu"))),IF(OR(AND(EXACT(MID(F251,9,3),"Off"),EXACT(LEFT(F251,3),UPPER('Entry data'!$C$2))),AND(EXACT(MID(F251,9,3),"Def"),NOT(EXACT(LEFT(F251,3),UPPER('Entry data'!$C$2))))),"DZF","OZF"),"")</f>
        <v/>
      </c>
      <c r="F251" t="str">
        <f>IF($A251&gt;$A$1,"",VLOOKUP($A251,'NHL PBP'!$A:$L,12,FALSE))</f>
        <v>NSH ONGOAL - #10 SISSONS, Wrist, Off. Zone, 27 ft.</v>
      </c>
      <c r="J251">
        <f>IF(EXACT('Entry data'!$C$3,"Road"),IF(ISBLANK(VLOOKUP(A251,'NHL PBP'!A:AH,21,FALSE)),3,IF(ISBLANK(VLOOKUP(A251,'NHL PBP'!A:AH,23,FALSE)),4,5)),IF(ISBLANK(VLOOKUP(A251,'NHL PBP'!A:AH,32,FALSE)),3,IF(ISBLANK(VLOOKUP(A251,'NHL PBP'!A:AH,34,FALSE)),4,5)))</f>
        <v>5</v>
      </c>
      <c r="K251">
        <f>IF(EXACT('Entry data'!$C$3,"Home"),IF(ISBLANK(VLOOKUP(A251,'NHL PBP'!A:AH,21,FALSE)),3,IF(ISBLANK(VLOOKUP(A251,'NHL PBP'!A:AH,23,FALSE)),4,5)),IF(ISBLANK(VLOOKUP(A251,'NHL PBP'!A:AH,32,FALSE)),3,IF(ISBLANK(VLOOKUP(A251,'NHL PBP'!A:AH,34,FALSE)),4,5)))</f>
        <v>5</v>
      </c>
      <c r="L251">
        <f>IF(OR(EXACT(D251,"C"),EXACT(D251,"P"),EXACT(D251,"D"),EXACT(D251,"T"),EXACT(D251,"X"),EXACT(E251,"DZF"),EXACT(E251,"OZF"),EXACT(D251,"N"),EXACT(D251,"F")),1,0)</f>
        <v>0</v>
      </c>
      <c r="M251" t="str">
        <f t="shared" si="12"/>
        <v/>
      </c>
      <c r="N251">
        <f t="shared" si="13"/>
        <v>2</v>
      </c>
      <c r="O251">
        <f t="shared" si="14"/>
        <v>0</v>
      </c>
      <c r="P251" t="str">
        <f t="shared" si="15"/>
        <v/>
      </c>
    </row>
    <row r="252" spans="1:16" x14ac:dyDescent="0.25">
      <c r="A252">
        <v>169</v>
      </c>
      <c r="B252">
        <f>IF($A252&gt;$A$1,"",VLOOKUP($A252,'NHL PBP'!$A:$L,8,FALSE))</f>
        <v>2</v>
      </c>
      <c r="C252">
        <f>IF($A252&gt;$A$1,"",IF(B252&gt;3,5/24,20/24)-VLOOKUP($A252,'NHL PBP'!$A:$L,10,FALSE))</f>
        <v>0.32152777777777786</v>
      </c>
      <c r="D252" t="str">
        <f>IF($A252&gt;$A$1,"",VLOOKUP($A252,'NHL PBP'!$A:$L,11,FALSE))</f>
        <v>SHOT</v>
      </c>
      <c r="E252" t="str">
        <f>IF(AND(EXACT(D252,"FAC"),NOT(EXACT(MID(F252,9,3),"Neu"))),IF(OR(AND(EXACT(MID(F252,9,3),"Off"),EXACT(LEFT(F252,3),UPPER('Entry data'!$C$2))),AND(EXACT(MID(F252,9,3),"Def"),NOT(EXACT(LEFT(F252,3),UPPER('Entry data'!$C$2))))),"DZF","OZF"),"")</f>
        <v/>
      </c>
      <c r="F252" t="str">
        <f>IF($A252&gt;$A$1,"",VLOOKUP($A252,'NHL PBP'!$A:$L,12,FALSE))</f>
        <v>DET ONGOAL - #14 NYQUIST, Slap, Off. Zone, 57 ft.</v>
      </c>
      <c r="J252">
        <f>IF(EXACT('Entry data'!$C$3,"Road"),IF(ISBLANK(VLOOKUP(A252,'NHL PBP'!A:AH,21,FALSE)),3,IF(ISBLANK(VLOOKUP(A252,'NHL PBP'!A:AH,23,FALSE)),4,5)),IF(ISBLANK(VLOOKUP(A252,'NHL PBP'!A:AH,32,FALSE)),3,IF(ISBLANK(VLOOKUP(A252,'NHL PBP'!A:AH,34,FALSE)),4,5)))</f>
        <v>5</v>
      </c>
      <c r="K252">
        <f>IF(EXACT('Entry data'!$C$3,"Home"),IF(ISBLANK(VLOOKUP(A252,'NHL PBP'!A:AH,21,FALSE)),3,IF(ISBLANK(VLOOKUP(A252,'NHL PBP'!A:AH,23,FALSE)),4,5)),IF(ISBLANK(VLOOKUP(A252,'NHL PBP'!A:AH,32,FALSE)),3,IF(ISBLANK(VLOOKUP(A252,'NHL PBP'!A:AH,34,FALSE)),4,5)))</f>
        <v>5</v>
      </c>
      <c r="L252">
        <f>IF(OR(EXACT(D252,"C"),EXACT(D252,"P"),EXACT(D252,"D"),EXACT(D252,"T"),EXACT(D252,"X"),EXACT(E252,"DZF"),EXACT(E252,"OZF"),EXACT(D252,"N"),EXACT(D252,"F")),1,0)</f>
        <v>0</v>
      </c>
      <c r="M252" t="str">
        <f t="shared" si="12"/>
        <v/>
      </c>
      <c r="N252">
        <f t="shared" si="13"/>
        <v>1</v>
      </c>
      <c r="O252">
        <f t="shared" si="14"/>
        <v>0</v>
      </c>
      <c r="P252" t="str">
        <f t="shared" si="15"/>
        <v/>
      </c>
    </row>
    <row r="253" spans="1:16" x14ac:dyDescent="0.25">
      <c r="A253">
        <v>170</v>
      </c>
      <c r="B253">
        <f>IF($A253&gt;$A$1,"",VLOOKUP($A253,'NHL PBP'!$A:$L,8,FALSE))</f>
        <v>2</v>
      </c>
      <c r="C253">
        <f>IF($A253&gt;$A$1,"",IF(B253&gt;3,5/24,20/24)-VLOOKUP($A253,'NHL PBP'!$A:$L,10,FALSE))</f>
        <v>0.31666666666666665</v>
      </c>
      <c r="D253" t="str">
        <f>IF($A253&gt;$A$1,"",VLOOKUP($A253,'NHL PBP'!$A:$L,11,FALSE))</f>
        <v>TAKE</v>
      </c>
      <c r="E253" t="str">
        <f>IF(AND(EXACT(D253,"FAC"),NOT(EXACT(MID(F253,9,3),"Neu"))),IF(OR(AND(EXACT(MID(F253,9,3),"Off"),EXACT(LEFT(F253,3),UPPER('Entry data'!$C$2))),AND(EXACT(MID(F253,9,3),"Def"),NOT(EXACT(LEFT(F253,3),UPPER('Entry data'!$C$2))))),"DZF","OZF"),"")</f>
        <v/>
      </c>
      <c r="F253" t="str">
        <f>IF($A253&gt;$A$1,"",VLOOKUP($A253,'NHL PBP'!$A:$L,12,FALSE))</f>
        <v>DET TAKEAWAY - #14 NYQUIST, Off. Zone</v>
      </c>
      <c r="J253">
        <f>IF(EXACT('Entry data'!$C$3,"Road"),IF(ISBLANK(VLOOKUP(A253,'NHL PBP'!A:AH,21,FALSE)),3,IF(ISBLANK(VLOOKUP(A253,'NHL PBP'!A:AH,23,FALSE)),4,5)),IF(ISBLANK(VLOOKUP(A253,'NHL PBP'!A:AH,32,FALSE)),3,IF(ISBLANK(VLOOKUP(A253,'NHL PBP'!A:AH,34,FALSE)),4,5)))</f>
        <v>5</v>
      </c>
      <c r="K253">
        <f>IF(EXACT('Entry data'!$C$3,"Home"),IF(ISBLANK(VLOOKUP(A253,'NHL PBP'!A:AH,21,FALSE)),3,IF(ISBLANK(VLOOKUP(A253,'NHL PBP'!A:AH,23,FALSE)),4,5)),IF(ISBLANK(VLOOKUP(A253,'NHL PBP'!A:AH,32,FALSE)),3,IF(ISBLANK(VLOOKUP(A253,'NHL PBP'!A:AH,34,FALSE)),4,5)))</f>
        <v>5</v>
      </c>
      <c r="L253">
        <f>IF(OR(EXACT(D253,"C"),EXACT(D253,"P"),EXACT(D253,"D"),EXACT(D253,"T"),EXACT(D253,"X"),EXACT(E253,"DZF"),EXACT(E253,"OZF"),EXACT(D253,"N"),EXACT(D253,"F")),1,0)</f>
        <v>0</v>
      </c>
      <c r="M253" t="str">
        <f t="shared" si="12"/>
        <v/>
      </c>
      <c r="N253">
        <f t="shared" si="13"/>
        <v>0</v>
      </c>
      <c r="O253">
        <f t="shared" si="14"/>
        <v>0</v>
      </c>
      <c r="P253" t="str">
        <f t="shared" si="15"/>
        <v/>
      </c>
    </row>
    <row r="254" spans="1:16" x14ac:dyDescent="0.25">
      <c r="A254">
        <v>171</v>
      </c>
      <c r="B254">
        <f>IF($A254&gt;$A$1,"",VLOOKUP($A254,'NHL PBP'!$A:$L,8,FALSE))</f>
        <v>2</v>
      </c>
      <c r="C254">
        <f>IF($A254&gt;$A$1,"",IF(B254&gt;3,5/24,20/24)-VLOOKUP($A254,'NHL PBP'!$A:$L,10,FALSE))</f>
        <v>0.31041666666666667</v>
      </c>
      <c r="D254" t="str">
        <f>IF($A254&gt;$A$1,"",VLOOKUP($A254,'NHL PBP'!$A:$L,11,FALSE))</f>
        <v>PENL</v>
      </c>
      <c r="E254" t="str">
        <f>IF(AND(EXACT(D254,"FAC"),NOT(EXACT(MID(F254,9,3),"Neu"))),IF(OR(AND(EXACT(MID(F254,9,3),"Off"),EXACT(LEFT(F254,3),UPPER('Entry data'!$C$2))),AND(EXACT(MID(F254,9,3),"Def"),NOT(EXACT(LEFT(F254,3),UPPER('Entry data'!$C$2))))),"DZF","OZF"),"")</f>
        <v/>
      </c>
      <c r="F254" t="str">
        <f>IF($A254&gt;$A$1,"",VLOOKUP($A254,'NHL PBP'!$A:$L,12,FALSE))</f>
        <v>DET #21 TATAR Interference(2 min), Off. Zone Drawn By: NSH #63 RIBEIRO</v>
      </c>
      <c r="J254">
        <f>IF(EXACT('Entry data'!$C$3,"Road"),IF(ISBLANK(VLOOKUP(A254,'NHL PBP'!A:AH,21,FALSE)),3,IF(ISBLANK(VLOOKUP(A254,'NHL PBP'!A:AH,23,FALSE)),4,5)),IF(ISBLANK(VLOOKUP(A254,'NHL PBP'!A:AH,32,FALSE)),3,IF(ISBLANK(VLOOKUP(A254,'NHL PBP'!A:AH,34,FALSE)),4,5)))</f>
        <v>5</v>
      </c>
      <c r="K254">
        <f>IF(EXACT('Entry data'!$C$3,"Home"),IF(ISBLANK(VLOOKUP(A254,'NHL PBP'!A:AH,21,FALSE)),3,IF(ISBLANK(VLOOKUP(A254,'NHL PBP'!A:AH,23,FALSE)),4,5)),IF(ISBLANK(VLOOKUP(A254,'NHL PBP'!A:AH,32,FALSE)),3,IF(ISBLANK(VLOOKUP(A254,'NHL PBP'!A:AH,34,FALSE)),4,5)))</f>
        <v>5</v>
      </c>
      <c r="L254">
        <f>IF(OR(EXACT(D254,"C"),EXACT(D254,"P"),EXACT(D254,"D"),EXACT(D254,"T"),EXACT(D254,"X"),EXACT(E254,"DZF"),EXACT(E254,"OZF"),EXACT(D254,"N"),EXACT(D254,"F")),1,0)</f>
        <v>0</v>
      </c>
      <c r="M254" t="str">
        <f t="shared" si="12"/>
        <v/>
      </c>
      <c r="N254">
        <f t="shared" si="13"/>
        <v>0</v>
      </c>
      <c r="O254">
        <f t="shared" si="14"/>
        <v>0</v>
      </c>
      <c r="P254" t="str">
        <f t="shared" si="15"/>
        <v/>
      </c>
    </row>
    <row r="255" spans="1:16" x14ac:dyDescent="0.25">
      <c r="A255">
        <v>172</v>
      </c>
      <c r="B255">
        <f>IF($A255&gt;$A$1,"",VLOOKUP($A255,'NHL PBP'!$A:$L,8,FALSE))</f>
        <v>2</v>
      </c>
      <c r="C255">
        <f>IF($A255&gt;$A$1,"",IF(B255&gt;3,5/24,20/24)-VLOOKUP($A255,'NHL PBP'!$A:$L,10,FALSE))</f>
        <v>0.31041666666666667</v>
      </c>
      <c r="D255" t="str">
        <f>IF($A255&gt;$A$1,"",VLOOKUP($A255,'NHL PBP'!$A:$L,11,FALSE))</f>
        <v>FAC</v>
      </c>
      <c r="E255" t="str">
        <f>IF(AND(EXACT(D255,"FAC"),NOT(EXACT(MID(F255,9,3),"Neu"))),IF(OR(AND(EXACT(MID(F255,9,3),"Off"),EXACT(LEFT(F255,3),UPPER('Entry data'!$C$2))),AND(EXACT(MID(F255,9,3),"Def"),NOT(EXACT(LEFT(F255,3),UPPER('Entry data'!$C$2))))),"DZF","OZF"),"")</f>
        <v>DZF</v>
      </c>
      <c r="F255" t="str">
        <f>IF($A255&gt;$A$1,"",VLOOKUP($A255,'NHL PBP'!$A:$L,12,FALSE))</f>
        <v>DET won Def. Zone - NSH #12 FISHER vs DET #41 GLENDENING</v>
      </c>
      <c r="J255">
        <f>IF(EXACT('Entry data'!$C$3,"Road"),IF(ISBLANK(VLOOKUP(A255,'NHL PBP'!A:AH,21,FALSE)),3,IF(ISBLANK(VLOOKUP(A255,'NHL PBP'!A:AH,23,FALSE)),4,5)),IF(ISBLANK(VLOOKUP(A255,'NHL PBP'!A:AH,32,FALSE)),3,IF(ISBLANK(VLOOKUP(A255,'NHL PBP'!A:AH,34,FALSE)),4,5)))</f>
        <v>4</v>
      </c>
      <c r="K255">
        <f>IF(EXACT('Entry data'!$C$3,"Home"),IF(ISBLANK(VLOOKUP(A255,'NHL PBP'!A:AH,21,FALSE)),3,IF(ISBLANK(VLOOKUP(A255,'NHL PBP'!A:AH,23,FALSE)),4,5)),IF(ISBLANK(VLOOKUP(A255,'NHL PBP'!A:AH,32,FALSE)),3,IF(ISBLANK(VLOOKUP(A255,'NHL PBP'!A:AH,34,FALSE)),4,5)))</f>
        <v>5</v>
      </c>
      <c r="L255">
        <f>IF(OR(EXACT(D255,"C"),EXACT(D255,"P"),EXACT(D255,"D"),EXACT(D255,"T"),EXACT(D255,"X"),EXACT(E255,"DZF"),EXACT(E255,"OZF"),EXACT(D255,"N"),EXACT(D255,"F")),1,0)</f>
        <v>1</v>
      </c>
      <c r="M255" t="str">
        <f t="shared" si="12"/>
        <v/>
      </c>
      <c r="N255">
        <f t="shared" si="13"/>
        <v>0</v>
      </c>
      <c r="O255">
        <f t="shared" si="14"/>
        <v>0</v>
      </c>
      <c r="P255" t="str">
        <f t="shared" si="15"/>
        <v/>
      </c>
    </row>
    <row r="256" spans="1:16" x14ac:dyDescent="0.25">
      <c r="A256">
        <v>83</v>
      </c>
      <c r="B256">
        <f>IF(ISBLANK(VLOOKUP($A256,'Entry data'!$A:$K,2,FALSE)),"",VLOOKUP($A256,'Entry data'!$A:$K,2,FALSE))</f>
        <v>2</v>
      </c>
      <c r="C256">
        <f>IF(ISBLANK(VLOOKUP($A256,'Entry data'!$A:$K,3,FALSE)),"",VLOOKUP($A256,'Entry data'!$A:$K,3,FALSE))</f>
        <v>0.30555555555555552</v>
      </c>
      <c r="D256" t="str">
        <f>IF(ISBLANK(VLOOKUP($A256,'Entry data'!$A:$K,4,FALSE)),"",VLOOKUP($A256,'Entry data'!$A:$K,4,FALSE))</f>
        <v>C</v>
      </c>
      <c r="E256" t="str">
        <f>IF(ISBLANK(VLOOKUP($A256,'Entry data'!$A:$K,5,FALSE)),"",VLOOKUP($A256,'Entry data'!$A:$K,5,FALSE))</f>
        <v>41DET</v>
      </c>
      <c r="F256" t="str">
        <f>IF(ISBLANK(VLOOKUP($A256,'Entry data'!$A:$K,6,FALSE)),"",VLOOKUP($A256,'Entry data'!$A:$K,6,FALSE))</f>
        <v>N</v>
      </c>
      <c r="G256" t="str">
        <f>IF(ISBLANK(VLOOKUP($A256,'Entry data'!$A:$K,7,FALSE)),"",VLOOKUP($A256,'Entry data'!$A:$K,7,FALSE))</f>
        <v>N</v>
      </c>
      <c r="H256" t="str">
        <f>IF(ISBLANK(VLOOKUP($A256,'Entry data'!$A:$K,8,FALSE)),"",VLOOKUP($A256,'Entry data'!$A:$K,8,FALSE))</f>
        <v>C</v>
      </c>
      <c r="I256" t="str">
        <f>IF(ISBLANK(VLOOKUP($A256,'Entry data'!$A:$K,9,FALSE)),"",VLOOKUP($A256,'Entry data'!$A:$K,9,FALSE))</f>
        <v>N</v>
      </c>
      <c r="J256">
        <f>IF(ISBLANK(VLOOKUP($A256,'Entry data'!$A:$K,10,FALSE)),"",VLOOKUP($A256,'Entry data'!$A:$K,10,FALSE))</f>
        <v>4</v>
      </c>
      <c r="K256">
        <f>IF(ISBLANK(VLOOKUP($A256,'Entry data'!$A:$K,11,FALSE)),"",VLOOKUP($A256,'Entry data'!$A:$K,11,FALSE))</f>
        <v>5</v>
      </c>
      <c r="L256">
        <f>IF(OR(EXACT(D256,"C"),EXACT(D256,"P"),EXACT(D256,"D"),EXACT(D256,"T"),EXACT(D256,"X"),EXACT(E256,"DZF"),EXACT(E256,"OZF"),EXACT(D256,"N"),EXACT(D256,"F")),1,0)</f>
        <v>1</v>
      </c>
      <c r="M256" t="str">
        <f t="shared" si="12"/>
        <v>41DET</v>
      </c>
      <c r="N256">
        <f t="shared" si="13"/>
        <v>1</v>
      </c>
      <c r="O256">
        <f t="shared" si="14"/>
        <v>0</v>
      </c>
      <c r="P256" t="str">
        <f t="shared" si="15"/>
        <v/>
      </c>
    </row>
    <row r="257" spans="1:16" x14ac:dyDescent="0.25">
      <c r="A257">
        <v>173</v>
      </c>
      <c r="B257">
        <f>IF($A257&gt;$A$1,"",VLOOKUP($A257,'NHL PBP'!$A:$L,8,FALSE))</f>
        <v>2</v>
      </c>
      <c r="C257">
        <f>IF($A257&gt;$A$1,"",IF(B257&gt;3,5/24,20/24)-VLOOKUP($A257,'NHL PBP'!$A:$L,10,FALSE))</f>
        <v>0.30347222222222225</v>
      </c>
      <c r="D257" t="str">
        <f>IF($A257&gt;$A$1,"",VLOOKUP($A257,'NHL PBP'!$A:$L,11,FALSE))</f>
        <v>SHOT</v>
      </c>
      <c r="E257" t="str">
        <f>IF(AND(EXACT(D257,"FAC"),NOT(EXACT(MID(F257,9,3),"Neu"))),IF(OR(AND(EXACT(MID(F257,9,3),"Off"),EXACT(LEFT(F257,3),UPPER('Entry data'!$C$2))),AND(EXACT(MID(F257,9,3),"Def"),NOT(EXACT(LEFT(F257,3),UPPER('Entry data'!$C$2))))),"DZF","OZF"),"")</f>
        <v/>
      </c>
      <c r="F257" t="str">
        <f>IF($A257&gt;$A$1,"",VLOOKUP($A257,'NHL PBP'!$A:$L,12,FALSE))</f>
        <v>DET ONGOAL - #41 GLENDENING, Wrist, Off. Zone, 8 ft.</v>
      </c>
      <c r="J257">
        <f>IF(EXACT('Entry data'!$C$3,"Road"),IF(ISBLANK(VLOOKUP(A257,'NHL PBP'!A:AH,21,FALSE)),3,IF(ISBLANK(VLOOKUP(A257,'NHL PBP'!A:AH,23,FALSE)),4,5)),IF(ISBLANK(VLOOKUP(A257,'NHL PBP'!A:AH,32,FALSE)),3,IF(ISBLANK(VLOOKUP(A257,'NHL PBP'!A:AH,34,FALSE)),4,5)))</f>
        <v>4</v>
      </c>
      <c r="K257">
        <f>IF(EXACT('Entry data'!$C$3,"Home"),IF(ISBLANK(VLOOKUP(A257,'NHL PBP'!A:AH,21,FALSE)),3,IF(ISBLANK(VLOOKUP(A257,'NHL PBP'!A:AH,23,FALSE)),4,5)),IF(ISBLANK(VLOOKUP(A257,'NHL PBP'!A:AH,32,FALSE)),3,IF(ISBLANK(VLOOKUP(A257,'NHL PBP'!A:AH,34,FALSE)),4,5)))</f>
        <v>5</v>
      </c>
      <c r="L257">
        <f>IF(OR(EXACT(D257,"C"),EXACT(D257,"P"),EXACT(D257,"D"),EXACT(D257,"T"),EXACT(D257,"X"),EXACT(E257,"DZF"),EXACT(E257,"OZF"),EXACT(D257,"N"),EXACT(D257,"F")),1,0)</f>
        <v>0</v>
      </c>
      <c r="M257" t="str">
        <f t="shared" si="12"/>
        <v/>
      </c>
      <c r="N257">
        <f t="shared" si="13"/>
        <v>1</v>
      </c>
      <c r="O257">
        <f t="shared" si="14"/>
        <v>0</v>
      </c>
      <c r="P257" t="str">
        <f t="shared" si="15"/>
        <v/>
      </c>
    </row>
    <row r="258" spans="1:16" x14ac:dyDescent="0.25">
      <c r="A258">
        <v>84</v>
      </c>
      <c r="B258">
        <f>IF(ISBLANK(VLOOKUP($A258,'Entry data'!$A:$K,2,FALSE)),"",VLOOKUP($A258,'Entry data'!$A:$K,2,FALSE))</f>
        <v>2</v>
      </c>
      <c r="C258">
        <f>IF(ISBLANK(VLOOKUP($A258,'Entry data'!$A:$K,3,FALSE)),"",VLOOKUP($A258,'Entry data'!$A:$K,3,FALSE))</f>
        <v>0.29305555555555557</v>
      </c>
      <c r="D258" t="str">
        <f>IF(ISBLANK(VLOOKUP($A258,'Entry data'!$A:$K,4,FALSE)),"",VLOOKUP($A258,'Entry data'!$A:$K,4,FALSE))</f>
        <v>F</v>
      </c>
      <c r="E258" t="str">
        <f>IF(ISBLANK(VLOOKUP($A258,'Entry data'!$A:$K,5,FALSE)),"",VLOOKUP($A258,'Entry data'!$A:$K,5,FALSE))</f>
        <v>18NSH</v>
      </c>
      <c r="F258" t="str">
        <f>IF(ISBLANK(VLOOKUP($A258,'Entry data'!$A:$K,6,FALSE)),"",VLOOKUP($A258,'Entry data'!$A:$K,6,FALSE))</f>
        <v>53DET</v>
      </c>
      <c r="G258" t="str">
        <f>IF(ISBLANK(VLOOKUP($A258,'Entry data'!$A:$K,7,FALSE)),"",VLOOKUP($A258,'Entry data'!$A:$K,7,FALSE))</f>
        <v/>
      </c>
      <c r="H258" t="str">
        <f>IF(ISBLANK(VLOOKUP($A258,'Entry data'!$A:$K,8,FALSE)),"",VLOOKUP($A258,'Entry data'!$A:$K,8,FALSE))</f>
        <v>C</v>
      </c>
      <c r="I258" t="str">
        <f>IF(ISBLANK(VLOOKUP($A258,'Entry data'!$A:$K,9,FALSE)),"",VLOOKUP($A258,'Entry data'!$A:$K,9,FALSE))</f>
        <v>N</v>
      </c>
      <c r="J258">
        <f>IF(ISBLANK(VLOOKUP($A258,'Entry data'!$A:$K,10,FALSE)),"",VLOOKUP($A258,'Entry data'!$A:$K,10,FALSE))</f>
        <v>4</v>
      </c>
      <c r="K258">
        <f>IF(ISBLANK(VLOOKUP($A258,'Entry data'!$A:$K,11,FALSE)),"",VLOOKUP($A258,'Entry data'!$A:$K,11,FALSE))</f>
        <v>5</v>
      </c>
      <c r="L258">
        <f>IF(OR(EXACT(D258,"C"),EXACT(D258,"P"),EXACT(D258,"D"),EXACT(D258,"T"),EXACT(D258,"X"),EXACT(E258,"DZF"),EXACT(E258,"OZF"),EXACT(D258,"N"),EXACT(D258,"F")),1,0)</f>
        <v>1</v>
      </c>
      <c r="M258" t="str">
        <f t="shared" ref="M258:M321" si="16">IF(OR(EXACT(D258,"C"),EXACT(D258,"P")),E258,"")</f>
        <v/>
      </c>
      <c r="N258">
        <f t="shared" ref="N258:N321" si="17">IF(OR(EXACT(D258,"GOAL"),EXACT(D258,"SHOT"),EXACT(D258,"MISS")),1,0)+IF(L259=0,N259,0)</f>
        <v>0</v>
      </c>
      <c r="O258">
        <f t="shared" ref="O258:O321" si="18">IF(EXACT(D258,"GOAL"),1,0)+IF(L259=0,O259,0)</f>
        <v>0</v>
      </c>
      <c r="P258" t="str">
        <f t="shared" si="15"/>
        <v>18NSH</v>
      </c>
    </row>
    <row r="259" spans="1:16" x14ac:dyDescent="0.25">
      <c r="A259">
        <v>85</v>
      </c>
      <c r="B259">
        <f>IF(ISBLANK(VLOOKUP($A259,'Entry data'!$A:$K,2,FALSE)),"",VLOOKUP($A259,'Entry data'!$A:$K,2,FALSE))</f>
        <v>2</v>
      </c>
      <c r="C259">
        <f>IF(ISBLANK(VLOOKUP($A259,'Entry data'!$A:$K,3,FALSE)),"",VLOOKUP($A259,'Entry data'!$A:$K,3,FALSE))</f>
        <v>0.28055555555555556</v>
      </c>
      <c r="D259" t="str">
        <f>IF(ISBLANK(VLOOKUP($A259,'Entry data'!$A:$K,4,FALSE)),"",VLOOKUP($A259,'Entry data'!$A:$K,4,FALSE))</f>
        <v>D</v>
      </c>
      <c r="E259" t="str">
        <f>IF(ISBLANK(VLOOKUP($A259,'Entry data'!$A:$K,5,FALSE)),"",VLOOKUP($A259,'Entry data'!$A:$K,5,FALSE))</f>
        <v>56NSH</v>
      </c>
      <c r="F259" t="str">
        <f>IF(ISBLANK(VLOOKUP($A259,'Entry data'!$A:$K,6,FALSE)),"",VLOOKUP($A259,'Entry data'!$A:$K,6,FALSE))</f>
        <v>65DET</v>
      </c>
      <c r="G259" t="str">
        <f>IF(ISBLANK(VLOOKUP($A259,'Entry data'!$A:$K,7,FALSE)),"",VLOOKUP($A259,'Entry data'!$A:$K,7,FALSE))</f>
        <v/>
      </c>
      <c r="H259" t="str">
        <f>IF(ISBLANK(VLOOKUP($A259,'Entry data'!$A:$K,8,FALSE)),"",VLOOKUP($A259,'Entry data'!$A:$K,8,FALSE))</f>
        <v>R</v>
      </c>
      <c r="I259" t="str">
        <f>IF(ISBLANK(VLOOKUP($A259,'Entry data'!$A:$K,9,FALSE)),"",VLOOKUP($A259,'Entry data'!$A:$K,9,FALSE))</f>
        <v>N</v>
      </c>
      <c r="J259">
        <f>IF(ISBLANK(VLOOKUP($A259,'Entry data'!$A:$K,10,FALSE)),"",VLOOKUP($A259,'Entry data'!$A:$K,10,FALSE))</f>
        <v>4</v>
      </c>
      <c r="K259">
        <f>IF(ISBLANK(VLOOKUP($A259,'Entry data'!$A:$K,11,FALSE)),"",VLOOKUP($A259,'Entry data'!$A:$K,11,FALSE))</f>
        <v>5</v>
      </c>
      <c r="L259">
        <f>IF(OR(EXACT(D259,"C"),EXACT(D259,"P"),EXACT(D259,"D"),EXACT(D259,"T"),EXACT(D259,"X"),EXACT(E259,"DZF"),EXACT(E259,"OZF"),EXACT(D259,"N"),EXACT(D259,"F")),1,0)</f>
        <v>1</v>
      </c>
      <c r="M259" t="str">
        <f t="shared" si="16"/>
        <v/>
      </c>
      <c r="N259">
        <f t="shared" si="17"/>
        <v>0</v>
      </c>
      <c r="O259">
        <f t="shared" si="18"/>
        <v>0</v>
      </c>
      <c r="P259" t="str">
        <f t="shared" ref="P259:P322" si="19">IF(EXACT(D259,"F"),E259,"")</f>
        <v/>
      </c>
    </row>
    <row r="260" spans="1:16" x14ac:dyDescent="0.25">
      <c r="A260">
        <v>174</v>
      </c>
      <c r="B260">
        <f>IF($A260&gt;$A$1,"",VLOOKUP($A260,'NHL PBP'!$A:$L,8,FALSE))</f>
        <v>2</v>
      </c>
      <c r="C260">
        <f>IF($A260&gt;$A$1,"",IF(B260&gt;3,5/24,20/24)-VLOOKUP($A260,'NHL PBP'!$A:$L,10,FALSE))</f>
        <v>0.27569444444444446</v>
      </c>
      <c r="D260" t="str">
        <f>IF($A260&gt;$A$1,"",VLOOKUP($A260,'NHL PBP'!$A:$L,11,FALSE))</f>
        <v>FAC</v>
      </c>
      <c r="E260" t="str">
        <f>IF(AND(EXACT(D260,"FAC"),NOT(EXACT(MID(F260,9,3),"Neu"))),IF(OR(AND(EXACT(MID(F260,9,3),"Off"),EXACT(LEFT(F260,3),UPPER('Entry data'!$C$2))),AND(EXACT(MID(F260,9,3),"Def"),NOT(EXACT(LEFT(F260,3),UPPER('Entry data'!$C$2))))),"DZF","OZF"),"")</f>
        <v>DZF</v>
      </c>
      <c r="F260" t="str">
        <f>IF($A260&gt;$A$1,"",VLOOKUP($A260,'NHL PBP'!$A:$L,12,FALSE))</f>
        <v>NSH won Off. Zone - NSH #12 FISHER vs DET #51 NIELSEN</v>
      </c>
      <c r="J260">
        <f>IF(EXACT('Entry data'!$C$3,"Road"),IF(ISBLANK(VLOOKUP(A260,'NHL PBP'!A:AH,21,FALSE)),3,IF(ISBLANK(VLOOKUP(A260,'NHL PBP'!A:AH,23,FALSE)),4,5)),IF(ISBLANK(VLOOKUP(A260,'NHL PBP'!A:AH,32,FALSE)),3,IF(ISBLANK(VLOOKUP(A260,'NHL PBP'!A:AH,34,FALSE)),4,5)))</f>
        <v>4</v>
      </c>
      <c r="K260">
        <f>IF(EXACT('Entry data'!$C$3,"Home"),IF(ISBLANK(VLOOKUP(A260,'NHL PBP'!A:AH,21,FALSE)),3,IF(ISBLANK(VLOOKUP(A260,'NHL PBP'!A:AH,23,FALSE)),4,5)),IF(ISBLANK(VLOOKUP(A260,'NHL PBP'!A:AH,32,FALSE)),3,IF(ISBLANK(VLOOKUP(A260,'NHL PBP'!A:AH,34,FALSE)),4,5)))</f>
        <v>5</v>
      </c>
      <c r="L260">
        <f>IF(OR(EXACT(D260,"C"),EXACT(D260,"P"),EXACT(D260,"D"),EXACT(D260,"T"),EXACT(D260,"X"),EXACT(E260,"DZF"),EXACT(E260,"OZF"),EXACT(D260,"N"),EXACT(D260,"F")),1,0)</f>
        <v>1</v>
      </c>
      <c r="M260" t="str">
        <f t="shared" si="16"/>
        <v/>
      </c>
      <c r="N260">
        <f t="shared" si="17"/>
        <v>3</v>
      </c>
      <c r="O260">
        <f t="shared" si="18"/>
        <v>1</v>
      </c>
      <c r="P260" t="str">
        <f t="shared" si="19"/>
        <v/>
      </c>
    </row>
    <row r="261" spans="1:16" x14ac:dyDescent="0.25">
      <c r="A261">
        <v>175</v>
      </c>
      <c r="B261">
        <f>IF($A261&gt;$A$1,"",VLOOKUP($A261,'NHL PBP'!$A:$L,8,FALSE))</f>
        <v>2</v>
      </c>
      <c r="C261">
        <f>IF($A261&gt;$A$1,"",IF(B261&gt;3,5/24,20/24)-VLOOKUP($A261,'NHL PBP'!$A:$L,10,FALSE))</f>
        <v>0.27569444444444446</v>
      </c>
      <c r="D261" t="str">
        <f>IF($A261&gt;$A$1,"",VLOOKUP($A261,'NHL PBP'!$A:$L,11,FALSE))</f>
        <v>PENL</v>
      </c>
      <c r="E261" t="str">
        <f>IF(AND(EXACT(D261,"FAC"),NOT(EXACT(MID(F261,9,3),"Neu"))),IF(OR(AND(EXACT(MID(F261,9,3),"Off"),EXACT(LEFT(F261,3),UPPER('Entry data'!$C$2))),AND(EXACT(MID(F261,9,3),"Def"),NOT(EXACT(LEFT(F261,3),UPPER('Entry data'!$C$2))))),"DZF","OZF"),"")</f>
        <v/>
      </c>
      <c r="F261" t="str">
        <f>IF($A261&gt;$A$1,"",VLOOKUP($A261,'NHL PBP'!$A:$L,12,FALSE))</f>
        <v>DET #65 DEKEYSER Delaying Game-Puck over glass(2 min), Neu. Zone</v>
      </c>
      <c r="J261">
        <f>IF(EXACT('Entry data'!$C$3,"Road"),IF(ISBLANK(VLOOKUP(A261,'NHL PBP'!A:AH,21,FALSE)),3,IF(ISBLANK(VLOOKUP(A261,'NHL PBP'!A:AH,23,FALSE)),4,5)),IF(ISBLANK(VLOOKUP(A261,'NHL PBP'!A:AH,32,FALSE)),3,IF(ISBLANK(VLOOKUP(A261,'NHL PBP'!A:AH,34,FALSE)),4,5)))</f>
        <v>4</v>
      </c>
      <c r="K261">
        <f>IF(EXACT('Entry data'!$C$3,"Home"),IF(ISBLANK(VLOOKUP(A261,'NHL PBP'!A:AH,21,FALSE)),3,IF(ISBLANK(VLOOKUP(A261,'NHL PBP'!A:AH,23,FALSE)),4,5)),IF(ISBLANK(VLOOKUP(A261,'NHL PBP'!A:AH,32,FALSE)),3,IF(ISBLANK(VLOOKUP(A261,'NHL PBP'!A:AH,34,FALSE)),4,5)))</f>
        <v>5</v>
      </c>
      <c r="L261">
        <f>IF(OR(EXACT(D261,"C"),EXACT(D261,"P"),EXACT(D261,"D"),EXACT(D261,"T"),EXACT(D261,"X"),EXACT(E261,"DZF"),EXACT(E261,"OZF"),EXACT(D261,"N"),EXACT(D261,"F")),1,0)</f>
        <v>0</v>
      </c>
      <c r="M261" t="str">
        <f t="shared" si="16"/>
        <v/>
      </c>
      <c r="N261">
        <f t="shared" si="17"/>
        <v>3</v>
      </c>
      <c r="O261">
        <f t="shared" si="18"/>
        <v>1</v>
      </c>
      <c r="P261" t="str">
        <f t="shared" si="19"/>
        <v/>
      </c>
    </row>
    <row r="262" spans="1:16" x14ac:dyDescent="0.25">
      <c r="A262">
        <v>176</v>
      </c>
      <c r="B262">
        <f>IF($A262&gt;$A$1,"",VLOOKUP($A262,'NHL PBP'!$A:$L,8,FALSE))</f>
        <v>2</v>
      </c>
      <c r="C262">
        <f>IF($A262&gt;$A$1,"",IF(B262&gt;3,5/24,20/24)-VLOOKUP($A262,'NHL PBP'!$A:$L,10,FALSE))</f>
        <v>0.26527777777777783</v>
      </c>
      <c r="D262" t="str">
        <f>IF($A262&gt;$A$1,"",VLOOKUP($A262,'NHL PBP'!$A:$L,11,FALSE))</f>
        <v>BLOCK</v>
      </c>
      <c r="E262" t="str">
        <f>IF(AND(EXACT(D262,"FAC"),NOT(EXACT(MID(F262,9,3),"Neu"))),IF(OR(AND(EXACT(MID(F262,9,3),"Off"),EXACT(LEFT(F262,3),UPPER('Entry data'!$C$2))),AND(EXACT(MID(F262,9,3),"Def"),NOT(EXACT(LEFT(F262,3),UPPER('Entry data'!$C$2))))),"DZF","OZF"),"")</f>
        <v/>
      </c>
      <c r="F262" t="str">
        <f>IF($A262&gt;$A$1,"",VLOOKUP($A262,'NHL PBP'!$A:$L,12,FALSE))</f>
        <v>NSH #59 JOSI BLOCKED BY DET #53 MARCHENKO, Slap, Def. Zone</v>
      </c>
      <c r="J262">
        <f>IF(EXACT('Entry data'!$C$3,"Road"),IF(ISBLANK(VLOOKUP(A262,'NHL PBP'!A:AH,21,FALSE)),3,IF(ISBLANK(VLOOKUP(A262,'NHL PBP'!A:AH,23,FALSE)),4,5)),IF(ISBLANK(VLOOKUP(A262,'NHL PBP'!A:AH,32,FALSE)),3,IF(ISBLANK(VLOOKUP(A262,'NHL PBP'!A:AH,34,FALSE)),4,5)))</f>
        <v>3</v>
      </c>
      <c r="K262">
        <f>IF(EXACT('Entry data'!$C$3,"Home"),IF(ISBLANK(VLOOKUP(A262,'NHL PBP'!A:AH,21,FALSE)),3,IF(ISBLANK(VLOOKUP(A262,'NHL PBP'!A:AH,23,FALSE)),4,5)),IF(ISBLANK(VLOOKUP(A262,'NHL PBP'!A:AH,32,FALSE)),3,IF(ISBLANK(VLOOKUP(A262,'NHL PBP'!A:AH,34,FALSE)),4,5)))</f>
        <v>5</v>
      </c>
      <c r="L262">
        <f>IF(OR(EXACT(D262,"C"),EXACT(D262,"P"),EXACT(D262,"D"),EXACT(D262,"T"),EXACT(D262,"X"),EXACT(E262,"DZF"),EXACT(E262,"OZF"),EXACT(D262,"N"),EXACT(D262,"F")),1,0)</f>
        <v>0</v>
      </c>
      <c r="M262" t="str">
        <f t="shared" si="16"/>
        <v/>
      </c>
      <c r="N262">
        <f t="shared" si="17"/>
        <v>3</v>
      </c>
      <c r="O262">
        <f t="shared" si="18"/>
        <v>1</v>
      </c>
      <c r="P262" t="str">
        <f t="shared" si="19"/>
        <v/>
      </c>
    </row>
    <row r="263" spans="1:16" x14ac:dyDescent="0.25">
      <c r="A263">
        <v>177</v>
      </c>
      <c r="B263">
        <f>IF($A263&gt;$A$1,"",VLOOKUP($A263,'NHL PBP'!$A:$L,8,FALSE))</f>
        <v>2</v>
      </c>
      <c r="C263">
        <f>IF($A263&gt;$A$1,"",IF(B263&gt;3,5/24,20/24)-VLOOKUP($A263,'NHL PBP'!$A:$L,10,FALSE))</f>
        <v>0.25416666666666665</v>
      </c>
      <c r="D263" t="str">
        <f>IF($A263&gt;$A$1,"",VLOOKUP($A263,'NHL PBP'!$A:$L,11,FALSE))</f>
        <v>SHOT</v>
      </c>
      <c r="E263" t="str">
        <f>IF(AND(EXACT(D263,"FAC"),NOT(EXACT(MID(F263,9,3),"Neu"))),IF(OR(AND(EXACT(MID(F263,9,3),"Off"),EXACT(LEFT(F263,3),UPPER('Entry data'!$C$2))),AND(EXACT(MID(F263,9,3),"Def"),NOT(EXACT(LEFT(F263,3),UPPER('Entry data'!$C$2))))),"DZF","OZF"),"")</f>
        <v/>
      </c>
      <c r="F263" t="str">
        <f>IF($A263&gt;$A$1,"",VLOOKUP($A263,'NHL PBP'!$A:$L,12,FALSE))</f>
        <v>NSH ONGOAL - #76 SUBBAN, Slap, Off. Zone, 34 ft.</v>
      </c>
      <c r="J263">
        <f>IF(EXACT('Entry data'!$C$3,"Road"),IF(ISBLANK(VLOOKUP(A263,'NHL PBP'!A:AH,21,FALSE)),3,IF(ISBLANK(VLOOKUP(A263,'NHL PBP'!A:AH,23,FALSE)),4,5)),IF(ISBLANK(VLOOKUP(A263,'NHL PBP'!A:AH,32,FALSE)),3,IF(ISBLANK(VLOOKUP(A263,'NHL PBP'!A:AH,34,FALSE)),4,5)))</f>
        <v>3</v>
      </c>
      <c r="K263">
        <f>IF(EXACT('Entry data'!$C$3,"Home"),IF(ISBLANK(VLOOKUP(A263,'NHL PBP'!A:AH,21,FALSE)),3,IF(ISBLANK(VLOOKUP(A263,'NHL PBP'!A:AH,23,FALSE)),4,5)),IF(ISBLANK(VLOOKUP(A263,'NHL PBP'!A:AH,32,FALSE)),3,IF(ISBLANK(VLOOKUP(A263,'NHL PBP'!A:AH,34,FALSE)),4,5)))</f>
        <v>5</v>
      </c>
      <c r="L263">
        <f>IF(OR(EXACT(D263,"C"),EXACT(D263,"P"),EXACT(D263,"D"),EXACT(D263,"T"),EXACT(D263,"X"),EXACT(E263,"DZF"),EXACT(E263,"OZF"),EXACT(D263,"N"),EXACT(D263,"F")),1,0)</f>
        <v>0</v>
      </c>
      <c r="M263" t="str">
        <f t="shared" si="16"/>
        <v/>
      </c>
      <c r="N263">
        <f t="shared" si="17"/>
        <v>3</v>
      </c>
      <c r="O263">
        <f t="shared" si="18"/>
        <v>1</v>
      </c>
      <c r="P263" t="str">
        <f t="shared" si="19"/>
        <v/>
      </c>
    </row>
    <row r="264" spans="1:16" x14ac:dyDescent="0.25">
      <c r="A264">
        <v>178</v>
      </c>
      <c r="B264">
        <f>IF($A264&gt;$A$1,"",VLOOKUP($A264,'NHL PBP'!$A:$L,8,FALSE))</f>
        <v>2</v>
      </c>
      <c r="C264">
        <f>IF($A264&gt;$A$1,"",IF(B264&gt;3,5/24,20/24)-VLOOKUP($A264,'NHL PBP'!$A:$L,10,FALSE))</f>
        <v>0.24722222222222223</v>
      </c>
      <c r="D264" t="str">
        <f>IF($A264&gt;$A$1,"",VLOOKUP($A264,'NHL PBP'!$A:$L,11,FALSE))</f>
        <v>SHOT</v>
      </c>
      <c r="E264" t="str">
        <f>IF(AND(EXACT(D264,"FAC"),NOT(EXACT(MID(F264,9,3),"Neu"))),IF(OR(AND(EXACT(MID(F264,9,3),"Off"),EXACT(LEFT(F264,3),UPPER('Entry data'!$C$2))),AND(EXACT(MID(F264,9,3),"Def"),NOT(EXACT(LEFT(F264,3),UPPER('Entry data'!$C$2))))),"DZF","OZF"),"")</f>
        <v/>
      </c>
      <c r="F264" t="str">
        <f>IF($A264&gt;$A$1,"",VLOOKUP($A264,'NHL PBP'!$A:$L,12,FALSE))</f>
        <v>NSH ONGOAL - #59 JOSI, Slap, Off. Zone, 39 ft.</v>
      </c>
      <c r="J264">
        <f>IF(EXACT('Entry data'!$C$3,"Road"),IF(ISBLANK(VLOOKUP(A264,'NHL PBP'!A:AH,21,FALSE)),3,IF(ISBLANK(VLOOKUP(A264,'NHL PBP'!A:AH,23,FALSE)),4,5)),IF(ISBLANK(VLOOKUP(A264,'NHL PBP'!A:AH,32,FALSE)),3,IF(ISBLANK(VLOOKUP(A264,'NHL PBP'!A:AH,34,FALSE)),4,5)))</f>
        <v>3</v>
      </c>
      <c r="K264">
        <f>IF(EXACT('Entry data'!$C$3,"Home"),IF(ISBLANK(VLOOKUP(A264,'NHL PBP'!A:AH,21,FALSE)),3,IF(ISBLANK(VLOOKUP(A264,'NHL PBP'!A:AH,23,FALSE)),4,5)),IF(ISBLANK(VLOOKUP(A264,'NHL PBP'!A:AH,32,FALSE)),3,IF(ISBLANK(VLOOKUP(A264,'NHL PBP'!A:AH,34,FALSE)),4,5)))</f>
        <v>5</v>
      </c>
      <c r="L264">
        <f>IF(OR(EXACT(D264,"C"),EXACT(D264,"P"),EXACT(D264,"D"),EXACT(D264,"T"),EXACT(D264,"X"),EXACT(E264,"DZF"),EXACT(E264,"OZF"),EXACT(D264,"N"),EXACT(D264,"F")),1,0)</f>
        <v>0</v>
      </c>
      <c r="M264" t="str">
        <f t="shared" si="16"/>
        <v/>
      </c>
      <c r="N264">
        <f t="shared" si="17"/>
        <v>2</v>
      </c>
      <c r="O264">
        <f t="shared" si="18"/>
        <v>1</v>
      </c>
      <c r="P264" t="str">
        <f t="shared" si="19"/>
        <v/>
      </c>
    </row>
    <row r="265" spans="1:16" x14ac:dyDescent="0.25">
      <c r="A265">
        <v>179</v>
      </c>
      <c r="B265">
        <f>IF($A265&gt;$A$1,"",VLOOKUP($A265,'NHL PBP'!$A:$L,8,FALSE))</f>
        <v>2</v>
      </c>
      <c r="C265">
        <f>IF($A265&gt;$A$1,"",IF(B265&gt;3,5/24,20/24)-VLOOKUP($A265,'NHL PBP'!$A:$L,10,FALSE))</f>
        <v>0.24097222222222225</v>
      </c>
      <c r="D265" t="str">
        <f>IF($A265&gt;$A$1,"",VLOOKUP($A265,'NHL PBP'!$A:$L,11,FALSE))</f>
        <v>GOAL</v>
      </c>
      <c r="E265" t="str">
        <f>IF(AND(EXACT(D265,"FAC"),NOT(EXACT(MID(F265,9,3),"Neu"))),IF(OR(AND(EXACT(MID(F265,9,3),"Off"),EXACT(LEFT(F265,3),UPPER('Entry data'!$C$2))),AND(EXACT(MID(F265,9,3),"Def"),NOT(EXACT(LEFT(F265,3),UPPER('Entry data'!$C$2))))),"DZF","OZF"),"")</f>
        <v/>
      </c>
      <c r="F265" t="str">
        <f>IF($A265&gt;$A$1,"",VLOOKUP($A265,'NHL PBP'!$A:$L,12,FALSE))</f>
        <v>NSH #76 SUBBAN(2), Slap, Off. Zone, 45 ft.</v>
      </c>
      <c r="J265">
        <f>IF(EXACT('Entry data'!$C$3,"Road"),IF(ISBLANK(VLOOKUP(A265,'NHL PBP'!A:AH,21,FALSE)),3,IF(ISBLANK(VLOOKUP(A265,'NHL PBP'!A:AH,23,FALSE)),4,5)),IF(ISBLANK(VLOOKUP(A265,'NHL PBP'!A:AH,32,FALSE)),3,IF(ISBLANK(VLOOKUP(A265,'NHL PBP'!A:AH,34,FALSE)),4,5)))</f>
        <v>3</v>
      </c>
      <c r="K265">
        <f>IF(EXACT('Entry data'!$C$3,"Home"),IF(ISBLANK(VLOOKUP(A265,'NHL PBP'!A:AH,21,FALSE)),3,IF(ISBLANK(VLOOKUP(A265,'NHL PBP'!A:AH,23,FALSE)),4,5)),IF(ISBLANK(VLOOKUP(A265,'NHL PBP'!A:AH,32,FALSE)),3,IF(ISBLANK(VLOOKUP(A265,'NHL PBP'!A:AH,34,FALSE)),4,5)))</f>
        <v>5</v>
      </c>
      <c r="L265">
        <f>IF(OR(EXACT(D265,"C"),EXACT(D265,"P"),EXACT(D265,"D"),EXACT(D265,"T"),EXACT(D265,"X"),EXACT(E265,"DZF"),EXACT(E265,"OZF"),EXACT(D265,"N"),EXACT(D265,"F")),1,0)</f>
        <v>0</v>
      </c>
      <c r="M265" t="str">
        <f t="shared" si="16"/>
        <v/>
      </c>
      <c r="N265">
        <f t="shared" si="17"/>
        <v>1</v>
      </c>
      <c r="O265">
        <f t="shared" si="18"/>
        <v>1</v>
      </c>
      <c r="P265" t="str">
        <f t="shared" si="19"/>
        <v/>
      </c>
    </row>
    <row r="266" spans="1:16" x14ac:dyDescent="0.25">
      <c r="A266">
        <v>180</v>
      </c>
      <c r="B266">
        <f>IF($A266&gt;$A$1,"",VLOOKUP($A266,'NHL PBP'!$A:$L,8,FALSE))</f>
        <v>2</v>
      </c>
      <c r="C266">
        <f>IF($A266&gt;$A$1,"",IF(B266&gt;3,5/24,20/24)-VLOOKUP($A266,'NHL PBP'!$A:$L,10,FALSE))</f>
        <v>0.24097222222222225</v>
      </c>
      <c r="D266" t="str">
        <f>IF($A266&gt;$A$1,"",VLOOKUP($A266,'NHL PBP'!$A:$L,11,FALSE))</f>
        <v>FAC</v>
      </c>
      <c r="E266" t="str">
        <f>IF(AND(EXACT(D266,"FAC"),NOT(EXACT(MID(F266,9,3),"Neu"))),IF(OR(AND(EXACT(MID(F266,9,3),"Off"),EXACT(LEFT(F266,3),UPPER('Entry data'!$C$2))),AND(EXACT(MID(F266,9,3),"Def"),NOT(EXACT(LEFT(F266,3),UPPER('Entry data'!$C$2))))),"DZF","OZF"),"")</f>
        <v/>
      </c>
      <c r="F266" t="str">
        <f>IF($A266&gt;$A$1,"",VLOOKUP($A266,'NHL PBP'!$A:$L,12,FALSE))</f>
        <v>NSH won Neu. Zone - NSH #63 RIBEIRO vs DET #41 GLENDENING</v>
      </c>
      <c r="J266">
        <f>IF(EXACT('Entry data'!$C$3,"Road"),IF(ISBLANK(VLOOKUP(A266,'NHL PBP'!A:AH,21,FALSE)),3,IF(ISBLANK(VLOOKUP(A266,'NHL PBP'!A:AH,23,FALSE)),4,5)),IF(ISBLANK(VLOOKUP(A266,'NHL PBP'!A:AH,32,FALSE)),3,IF(ISBLANK(VLOOKUP(A266,'NHL PBP'!A:AH,34,FALSE)),4,5)))</f>
        <v>4</v>
      </c>
      <c r="K266">
        <f>IF(EXACT('Entry data'!$C$3,"Home"),IF(ISBLANK(VLOOKUP(A266,'NHL PBP'!A:AH,21,FALSE)),3,IF(ISBLANK(VLOOKUP(A266,'NHL PBP'!A:AH,23,FALSE)),4,5)),IF(ISBLANK(VLOOKUP(A266,'NHL PBP'!A:AH,32,FALSE)),3,IF(ISBLANK(VLOOKUP(A266,'NHL PBP'!A:AH,34,FALSE)),4,5)))</f>
        <v>5</v>
      </c>
      <c r="L266">
        <f>IF(OR(EXACT(D266,"C"),EXACT(D266,"P"),EXACT(D266,"D"),EXACT(D266,"T"),EXACT(D266,"X"),EXACT(E266,"DZF"),EXACT(E266,"OZF"),EXACT(D266,"N"),EXACT(D266,"F")),1,0)</f>
        <v>0</v>
      </c>
      <c r="M266" t="str">
        <f t="shared" si="16"/>
        <v/>
      </c>
      <c r="N266">
        <f t="shared" si="17"/>
        <v>0</v>
      </c>
      <c r="O266">
        <f t="shared" si="18"/>
        <v>0</v>
      </c>
      <c r="P266" t="str">
        <f t="shared" si="19"/>
        <v/>
      </c>
    </row>
    <row r="267" spans="1:16" x14ac:dyDescent="0.25">
      <c r="A267">
        <v>86</v>
      </c>
      <c r="B267">
        <f>IF(ISBLANK(VLOOKUP($A267,'Entry data'!$A:$K,2,FALSE)),"",VLOOKUP($A267,'Entry data'!$A:$K,2,FALSE))</f>
        <v>2</v>
      </c>
      <c r="C267">
        <f>IF(ISBLANK(VLOOKUP($A267,'Entry data'!$A:$K,3,FALSE)),"",VLOOKUP($A267,'Entry data'!$A:$K,3,FALSE))</f>
        <v>0.23263888888888887</v>
      </c>
      <c r="D267" t="str">
        <f>IF(ISBLANK(VLOOKUP($A267,'Entry data'!$A:$K,4,FALSE)),"",VLOOKUP($A267,'Entry data'!$A:$K,4,FALSE))</f>
        <v>C</v>
      </c>
      <c r="E267" t="str">
        <f>IF(ISBLANK(VLOOKUP($A267,'Entry data'!$A:$K,5,FALSE)),"",VLOOKUP($A267,'Entry data'!$A:$K,5,FALSE))</f>
        <v>38NSH</v>
      </c>
      <c r="F267" t="str">
        <f>IF(ISBLANK(VLOOKUP($A267,'Entry data'!$A:$K,6,FALSE)),"",VLOOKUP($A267,'Entry data'!$A:$K,6,FALSE))</f>
        <v>2DET</v>
      </c>
      <c r="G267" t="str">
        <f>IF(ISBLANK(VLOOKUP($A267,'Entry data'!$A:$K,7,FALSE)),"",VLOOKUP($A267,'Entry data'!$A:$K,7,FALSE))</f>
        <v>Y</v>
      </c>
      <c r="H267" t="str">
        <f>IF(ISBLANK(VLOOKUP($A267,'Entry data'!$A:$K,8,FALSE)),"",VLOOKUP($A267,'Entry data'!$A:$K,8,FALSE))</f>
        <v>R</v>
      </c>
      <c r="I267" t="str">
        <f>IF(ISBLANK(VLOOKUP($A267,'Entry data'!$A:$K,9,FALSE)),"",VLOOKUP($A267,'Entry data'!$A:$K,9,FALSE))</f>
        <v>N</v>
      </c>
      <c r="J267">
        <f>IF(ISBLANK(VLOOKUP($A267,'Entry data'!$A:$K,10,FALSE)),"",VLOOKUP($A267,'Entry data'!$A:$K,10,FALSE))</f>
        <v>4</v>
      </c>
      <c r="K267">
        <f>IF(ISBLANK(VLOOKUP($A267,'Entry data'!$A:$K,11,FALSE)),"",VLOOKUP($A267,'Entry data'!$A:$K,11,FALSE))</f>
        <v>5</v>
      </c>
      <c r="L267">
        <f>IF(OR(EXACT(D267,"C"),EXACT(D267,"P"),EXACT(D267,"D"),EXACT(D267,"T"),EXACT(D267,"X"),EXACT(E267,"DZF"),EXACT(E267,"OZF"),EXACT(D267,"N"),EXACT(D267,"F")),1,0)</f>
        <v>1</v>
      </c>
      <c r="M267" t="str">
        <f t="shared" si="16"/>
        <v>38NSH</v>
      </c>
      <c r="N267">
        <f t="shared" si="17"/>
        <v>2</v>
      </c>
      <c r="O267">
        <f t="shared" si="18"/>
        <v>1</v>
      </c>
      <c r="P267" t="str">
        <f t="shared" si="19"/>
        <v/>
      </c>
    </row>
    <row r="268" spans="1:16" x14ac:dyDescent="0.25">
      <c r="A268">
        <v>181</v>
      </c>
      <c r="B268">
        <f>IF($A268&gt;$A$1,"",VLOOKUP($A268,'NHL PBP'!$A:$L,8,FALSE))</f>
        <v>2</v>
      </c>
      <c r="C268">
        <f>IF($A268&gt;$A$1,"",IF(B268&gt;3,5/24,20/24)-VLOOKUP($A268,'NHL PBP'!$A:$L,10,FALSE))</f>
        <v>0.22986111111111118</v>
      </c>
      <c r="D268" t="str">
        <f>IF($A268&gt;$A$1,"",VLOOKUP($A268,'NHL PBP'!$A:$L,11,FALSE))</f>
        <v>SHOT</v>
      </c>
      <c r="E268" t="str">
        <f>IF(AND(EXACT(D268,"FAC"),NOT(EXACT(MID(F268,9,3),"Neu"))),IF(OR(AND(EXACT(MID(F268,9,3),"Off"),EXACT(LEFT(F268,3),UPPER('Entry data'!$C$2))),AND(EXACT(MID(F268,9,3),"Def"),NOT(EXACT(LEFT(F268,3),UPPER('Entry data'!$C$2))))),"DZF","OZF"),"")</f>
        <v/>
      </c>
      <c r="F268" t="str">
        <f>IF($A268&gt;$A$1,"",VLOOKUP($A268,'NHL PBP'!$A:$L,12,FALSE))</f>
        <v>NSH ONGOAL - #4 ELLIS, Wrist, Off. Zone, 60 ft.</v>
      </c>
      <c r="J268">
        <f>IF(EXACT('Entry data'!$C$3,"Road"),IF(ISBLANK(VLOOKUP(A268,'NHL PBP'!A:AH,21,FALSE)),3,IF(ISBLANK(VLOOKUP(A268,'NHL PBP'!A:AH,23,FALSE)),4,5)),IF(ISBLANK(VLOOKUP(A268,'NHL PBP'!A:AH,32,FALSE)),3,IF(ISBLANK(VLOOKUP(A268,'NHL PBP'!A:AH,34,FALSE)),4,5)))</f>
        <v>4</v>
      </c>
      <c r="K268">
        <f>IF(EXACT('Entry data'!$C$3,"Home"),IF(ISBLANK(VLOOKUP(A268,'NHL PBP'!A:AH,21,FALSE)),3,IF(ISBLANK(VLOOKUP(A268,'NHL PBP'!A:AH,23,FALSE)),4,5)),IF(ISBLANK(VLOOKUP(A268,'NHL PBP'!A:AH,32,FALSE)),3,IF(ISBLANK(VLOOKUP(A268,'NHL PBP'!A:AH,34,FALSE)),4,5)))</f>
        <v>5</v>
      </c>
      <c r="L268">
        <f>IF(OR(EXACT(D268,"C"),EXACT(D268,"P"),EXACT(D268,"D"),EXACT(D268,"T"),EXACT(D268,"X"),EXACT(E268,"DZF"),EXACT(E268,"OZF"),EXACT(D268,"N"),EXACT(D268,"F")),1,0)</f>
        <v>0</v>
      </c>
      <c r="M268" t="str">
        <f t="shared" si="16"/>
        <v/>
      </c>
      <c r="N268">
        <f t="shared" si="17"/>
        <v>2</v>
      </c>
      <c r="O268">
        <f t="shared" si="18"/>
        <v>1</v>
      </c>
      <c r="P268" t="str">
        <f t="shared" si="19"/>
        <v/>
      </c>
    </row>
    <row r="269" spans="1:16" x14ac:dyDescent="0.25">
      <c r="A269">
        <v>182</v>
      </c>
      <c r="B269">
        <f>IF($A269&gt;$A$1,"",VLOOKUP($A269,'NHL PBP'!$A:$L,8,FALSE))</f>
        <v>2</v>
      </c>
      <c r="C269">
        <f>IF($A269&gt;$A$1,"",IF(B269&gt;3,5/24,20/24)-VLOOKUP($A269,'NHL PBP'!$A:$L,10,FALSE))</f>
        <v>0.22847222222222219</v>
      </c>
      <c r="D269" t="str">
        <f>IF($A269&gt;$A$1,"",VLOOKUP($A269,'NHL PBP'!$A:$L,11,FALSE))</f>
        <v>GOAL</v>
      </c>
      <c r="E269" t="str">
        <f>IF(AND(EXACT(D269,"FAC"),NOT(EXACT(MID(F269,9,3),"Neu"))),IF(OR(AND(EXACT(MID(F269,9,3),"Off"),EXACT(LEFT(F269,3),UPPER('Entry data'!$C$2))),AND(EXACT(MID(F269,9,3),"Def"),NOT(EXACT(LEFT(F269,3),UPPER('Entry data'!$C$2))))),"DZF","OZF"),"")</f>
        <v/>
      </c>
      <c r="F269" t="str">
        <f>IF($A269&gt;$A$1,"",VLOOKUP($A269,'NHL PBP'!$A:$L,12,FALSE))</f>
        <v>NSH #63 RIBEIRO(1), Wrist, Off. Zone, 10 ft.</v>
      </c>
      <c r="J269">
        <f>IF(EXACT('Entry data'!$C$3,"Road"),IF(ISBLANK(VLOOKUP(A269,'NHL PBP'!A:AH,21,FALSE)),3,IF(ISBLANK(VLOOKUP(A269,'NHL PBP'!A:AH,23,FALSE)),4,5)),IF(ISBLANK(VLOOKUP(A269,'NHL PBP'!A:AH,32,FALSE)),3,IF(ISBLANK(VLOOKUP(A269,'NHL PBP'!A:AH,34,FALSE)),4,5)))</f>
        <v>4</v>
      </c>
      <c r="K269">
        <f>IF(EXACT('Entry data'!$C$3,"Home"),IF(ISBLANK(VLOOKUP(A269,'NHL PBP'!A:AH,21,FALSE)),3,IF(ISBLANK(VLOOKUP(A269,'NHL PBP'!A:AH,23,FALSE)),4,5)),IF(ISBLANK(VLOOKUP(A269,'NHL PBP'!A:AH,32,FALSE)),3,IF(ISBLANK(VLOOKUP(A269,'NHL PBP'!A:AH,34,FALSE)),4,5)))</f>
        <v>5</v>
      </c>
      <c r="L269">
        <f>IF(OR(EXACT(D269,"C"),EXACT(D269,"P"),EXACT(D269,"D"),EXACT(D269,"T"),EXACT(D269,"X"),EXACT(E269,"DZF"),EXACT(E269,"OZF"),EXACT(D269,"N"),EXACT(D269,"F")),1,0)</f>
        <v>0</v>
      </c>
      <c r="M269" t="str">
        <f t="shared" si="16"/>
        <v/>
      </c>
      <c r="N269">
        <f t="shared" si="17"/>
        <v>1</v>
      </c>
      <c r="O269">
        <f t="shared" si="18"/>
        <v>1</v>
      </c>
      <c r="P269" t="str">
        <f t="shared" si="19"/>
        <v/>
      </c>
    </row>
    <row r="270" spans="1:16" x14ac:dyDescent="0.25">
      <c r="A270">
        <v>183</v>
      </c>
      <c r="B270">
        <f>IF($A270&gt;$A$1,"",VLOOKUP($A270,'NHL PBP'!$A:$L,8,FALSE))</f>
        <v>2</v>
      </c>
      <c r="C270">
        <f>IF($A270&gt;$A$1,"",IF(B270&gt;3,5/24,20/24)-VLOOKUP($A270,'NHL PBP'!$A:$L,10,FALSE))</f>
        <v>0.22847222222222219</v>
      </c>
      <c r="D270" t="str">
        <f>IF($A270&gt;$A$1,"",VLOOKUP($A270,'NHL PBP'!$A:$L,11,FALSE))</f>
        <v>FAC</v>
      </c>
      <c r="E270" t="str">
        <f>IF(AND(EXACT(D270,"FAC"),NOT(EXACT(MID(F270,9,3),"Neu"))),IF(OR(AND(EXACT(MID(F270,9,3),"Off"),EXACT(LEFT(F270,3),UPPER('Entry data'!$C$2))),AND(EXACT(MID(F270,9,3),"Def"),NOT(EXACT(LEFT(F270,3),UPPER('Entry data'!$C$2))))),"DZF","OZF"),"")</f>
        <v/>
      </c>
      <c r="F270" t="str">
        <f>IF($A270&gt;$A$1,"",VLOOKUP($A270,'NHL PBP'!$A:$L,12,FALSE))</f>
        <v>DET won Neu. Zone - NSH #10 SISSONS vs DET #43 HELM</v>
      </c>
      <c r="J270">
        <f>IF(EXACT('Entry data'!$C$3,"Road"),IF(ISBLANK(VLOOKUP(A270,'NHL PBP'!A:AH,21,FALSE)),3,IF(ISBLANK(VLOOKUP(A270,'NHL PBP'!A:AH,23,FALSE)),4,5)),IF(ISBLANK(VLOOKUP(A270,'NHL PBP'!A:AH,32,FALSE)),3,IF(ISBLANK(VLOOKUP(A270,'NHL PBP'!A:AH,34,FALSE)),4,5)))</f>
        <v>5</v>
      </c>
      <c r="K270">
        <f>IF(EXACT('Entry data'!$C$3,"Home"),IF(ISBLANK(VLOOKUP(A270,'NHL PBP'!A:AH,21,FALSE)),3,IF(ISBLANK(VLOOKUP(A270,'NHL PBP'!A:AH,23,FALSE)),4,5)),IF(ISBLANK(VLOOKUP(A270,'NHL PBP'!A:AH,32,FALSE)),3,IF(ISBLANK(VLOOKUP(A270,'NHL PBP'!A:AH,34,FALSE)),4,5)))</f>
        <v>5</v>
      </c>
      <c r="L270">
        <f>IF(OR(EXACT(D270,"C"),EXACT(D270,"P"),EXACT(D270,"D"),EXACT(D270,"T"),EXACT(D270,"X"),EXACT(E270,"DZF"),EXACT(E270,"OZF"),EXACT(D270,"N"),EXACT(D270,"F")),1,0)</f>
        <v>0</v>
      </c>
      <c r="M270" t="str">
        <f t="shared" si="16"/>
        <v/>
      </c>
      <c r="N270">
        <f t="shared" si="17"/>
        <v>0</v>
      </c>
      <c r="O270">
        <f t="shared" si="18"/>
        <v>0</v>
      </c>
      <c r="P270" t="str">
        <f t="shared" si="19"/>
        <v/>
      </c>
    </row>
    <row r="271" spans="1:16" x14ac:dyDescent="0.25">
      <c r="A271">
        <v>87</v>
      </c>
      <c r="B271">
        <f>IF(ISBLANK(VLOOKUP($A271,'Entry data'!$A:$K,2,FALSE)),"",VLOOKUP($A271,'Entry data'!$A:$K,2,FALSE))</f>
        <v>2</v>
      </c>
      <c r="C271">
        <f>IF(ISBLANK(VLOOKUP($A271,'Entry data'!$A:$K,3,FALSE)),"",VLOOKUP($A271,'Entry data'!$A:$K,3,FALSE))</f>
        <v>0.22500000000000001</v>
      </c>
      <c r="D271" t="str">
        <f>IF(ISBLANK(VLOOKUP($A271,'Entry data'!$A:$K,4,FALSE)),"",VLOOKUP($A271,'Entry data'!$A:$K,4,FALSE))</f>
        <v>D</v>
      </c>
      <c r="E271" t="str">
        <f>IF(ISBLANK(VLOOKUP($A271,'Entry data'!$A:$K,5,FALSE)),"",VLOOKUP($A271,'Entry data'!$A:$K,5,FALSE))</f>
        <v>14DET</v>
      </c>
      <c r="F271" t="str">
        <f>IF(ISBLANK(VLOOKUP($A271,'Entry data'!$A:$K,6,FALSE)),"",VLOOKUP($A271,'Entry data'!$A:$K,6,FALSE))</f>
        <v>4NSH</v>
      </c>
      <c r="G271" t="str">
        <f>IF(ISBLANK(VLOOKUP($A271,'Entry data'!$A:$K,7,FALSE)),"",VLOOKUP($A271,'Entry data'!$A:$K,7,FALSE))</f>
        <v/>
      </c>
      <c r="H271" t="str">
        <f>IF(ISBLANK(VLOOKUP($A271,'Entry data'!$A:$K,8,FALSE)),"",VLOOKUP($A271,'Entry data'!$A:$K,8,FALSE))</f>
        <v>R</v>
      </c>
      <c r="I271" t="str">
        <f>IF(ISBLANK(VLOOKUP($A271,'Entry data'!$A:$K,9,FALSE)),"",VLOOKUP($A271,'Entry data'!$A:$K,9,FALSE))</f>
        <v>N</v>
      </c>
      <c r="J271">
        <f>IF(ISBLANK(VLOOKUP($A271,'Entry data'!$A:$K,10,FALSE)),"",VLOOKUP($A271,'Entry data'!$A:$K,10,FALSE))</f>
        <v>5</v>
      </c>
      <c r="K271">
        <f>IF(ISBLANK(VLOOKUP($A271,'Entry data'!$A:$K,11,FALSE)),"",VLOOKUP($A271,'Entry data'!$A:$K,11,FALSE))</f>
        <v>5</v>
      </c>
      <c r="L271">
        <f>IF(OR(EXACT(D271,"C"),EXACT(D271,"P"),EXACT(D271,"D"),EXACT(D271,"T"),EXACT(D271,"X"),EXACT(E271,"DZF"),EXACT(E271,"OZF"),EXACT(D271,"N"),EXACT(D271,"F")),1,0)</f>
        <v>1</v>
      </c>
      <c r="M271" t="str">
        <f t="shared" si="16"/>
        <v/>
      </c>
      <c r="N271">
        <f t="shared" si="17"/>
        <v>0</v>
      </c>
      <c r="O271">
        <f t="shared" si="18"/>
        <v>0</v>
      </c>
      <c r="P271" t="str">
        <f t="shared" si="19"/>
        <v/>
      </c>
    </row>
    <row r="272" spans="1:16" x14ac:dyDescent="0.25">
      <c r="A272">
        <v>88</v>
      </c>
      <c r="B272">
        <f>IF(ISBLANK(VLOOKUP($A272,'Entry data'!$A:$K,2,FALSE)),"",VLOOKUP($A272,'Entry data'!$A:$K,2,FALSE))</f>
        <v>2</v>
      </c>
      <c r="C272">
        <f>IF(ISBLANK(VLOOKUP($A272,'Entry data'!$A:$K,3,FALSE)),"",VLOOKUP($A272,'Entry data'!$A:$K,3,FALSE))</f>
        <v>0.22013888888888888</v>
      </c>
      <c r="D272" t="str">
        <f>IF(ISBLANK(VLOOKUP($A272,'Entry data'!$A:$K,4,FALSE)),"",VLOOKUP($A272,'Entry data'!$A:$K,4,FALSE))</f>
        <v>C</v>
      </c>
      <c r="E272" t="str">
        <f>IF(ISBLANK(VLOOKUP($A272,'Entry data'!$A:$K,5,FALSE)),"",VLOOKUP($A272,'Entry data'!$A:$K,5,FALSE))</f>
        <v>14NSH</v>
      </c>
      <c r="F272" t="str">
        <f>IF(ISBLANK(VLOOKUP($A272,'Entry data'!$A:$K,6,FALSE)),"",VLOOKUP($A272,'Entry data'!$A:$K,6,FALSE))</f>
        <v>48DET</v>
      </c>
      <c r="G272" t="str">
        <f>IF(ISBLANK(VLOOKUP($A272,'Entry data'!$A:$K,7,FALSE)),"",VLOOKUP($A272,'Entry data'!$A:$K,7,FALSE))</f>
        <v>N</v>
      </c>
      <c r="H272" t="str">
        <f>IF(ISBLANK(VLOOKUP($A272,'Entry data'!$A:$K,8,FALSE)),"",VLOOKUP($A272,'Entry data'!$A:$K,8,FALSE))</f>
        <v>C</v>
      </c>
      <c r="I272" t="str">
        <f>IF(ISBLANK(VLOOKUP($A272,'Entry data'!$A:$K,9,FALSE)),"",VLOOKUP($A272,'Entry data'!$A:$K,9,FALSE))</f>
        <v>N</v>
      </c>
      <c r="J272">
        <f>IF(ISBLANK(VLOOKUP($A272,'Entry data'!$A:$K,10,FALSE)),"",VLOOKUP($A272,'Entry data'!$A:$K,10,FALSE))</f>
        <v>5</v>
      </c>
      <c r="K272">
        <f>IF(ISBLANK(VLOOKUP($A272,'Entry data'!$A:$K,11,FALSE)),"",VLOOKUP($A272,'Entry data'!$A:$K,11,FALSE))</f>
        <v>5</v>
      </c>
      <c r="L272">
        <f>IF(OR(EXACT(D272,"C"),EXACT(D272,"P"),EXACT(D272,"D"),EXACT(D272,"T"),EXACT(D272,"X"),EXACT(E272,"DZF"),EXACT(E272,"OZF"),EXACT(D272,"N"),EXACT(D272,"F")),1,0)</f>
        <v>1</v>
      </c>
      <c r="M272" t="str">
        <f t="shared" si="16"/>
        <v>14NSH</v>
      </c>
      <c r="N272">
        <f t="shared" si="17"/>
        <v>1</v>
      </c>
      <c r="O272">
        <f t="shared" si="18"/>
        <v>0</v>
      </c>
      <c r="P272" t="str">
        <f t="shared" si="19"/>
        <v/>
      </c>
    </row>
    <row r="273" spans="1:16" x14ac:dyDescent="0.25">
      <c r="A273">
        <v>184</v>
      </c>
      <c r="B273">
        <f>IF($A273&gt;$A$1,"",VLOOKUP($A273,'NHL PBP'!$A:$L,8,FALSE))</f>
        <v>2</v>
      </c>
      <c r="C273">
        <f>IF($A273&gt;$A$1,"",IF(B273&gt;3,5/24,20/24)-VLOOKUP($A273,'NHL PBP'!$A:$L,10,FALSE))</f>
        <v>0.21736111111111112</v>
      </c>
      <c r="D273" t="str">
        <f>IF($A273&gt;$A$1,"",VLOOKUP($A273,'NHL PBP'!$A:$L,11,FALSE))</f>
        <v>MISS</v>
      </c>
      <c r="E273" t="str">
        <f>IF(AND(EXACT(D273,"FAC"),NOT(EXACT(MID(F273,9,3),"Neu"))),IF(OR(AND(EXACT(MID(F273,9,3),"Off"),EXACT(LEFT(F273,3),UPPER('Entry data'!$C$2))),AND(EXACT(MID(F273,9,3),"Def"),NOT(EXACT(LEFT(F273,3),UPPER('Entry data'!$C$2))))),"DZF","OZF"),"")</f>
        <v/>
      </c>
      <c r="F273" t="str">
        <f>IF($A273&gt;$A$1,"",VLOOKUP($A273,'NHL PBP'!$A:$L,12,FALSE))</f>
        <v>NSH #14 EKHOLM, Wrist, Wide of Net, Off. Zone, 24 ft.</v>
      </c>
      <c r="J273">
        <f>IF(EXACT('Entry data'!$C$3,"Road"),IF(ISBLANK(VLOOKUP(A273,'NHL PBP'!A:AH,21,FALSE)),3,IF(ISBLANK(VLOOKUP(A273,'NHL PBP'!A:AH,23,FALSE)),4,5)),IF(ISBLANK(VLOOKUP(A273,'NHL PBP'!A:AH,32,FALSE)),3,IF(ISBLANK(VLOOKUP(A273,'NHL PBP'!A:AH,34,FALSE)),4,5)))</f>
        <v>5</v>
      </c>
      <c r="K273">
        <f>IF(EXACT('Entry data'!$C$3,"Home"),IF(ISBLANK(VLOOKUP(A273,'NHL PBP'!A:AH,21,FALSE)),3,IF(ISBLANK(VLOOKUP(A273,'NHL PBP'!A:AH,23,FALSE)),4,5)),IF(ISBLANK(VLOOKUP(A273,'NHL PBP'!A:AH,32,FALSE)),3,IF(ISBLANK(VLOOKUP(A273,'NHL PBP'!A:AH,34,FALSE)),4,5)))</f>
        <v>5</v>
      </c>
      <c r="L273">
        <f>IF(OR(EXACT(D273,"C"),EXACT(D273,"P"),EXACT(D273,"D"),EXACT(D273,"T"),EXACT(D273,"X"),EXACT(E273,"DZF"),EXACT(E273,"OZF"),EXACT(D273,"N"),EXACT(D273,"F")),1,0)</f>
        <v>0</v>
      </c>
      <c r="M273" t="str">
        <f t="shared" si="16"/>
        <v/>
      </c>
      <c r="N273">
        <f t="shared" si="17"/>
        <v>1</v>
      </c>
      <c r="O273">
        <f t="shared" si="18"/>
        <v>0</v>
      </c>
      <c r="P273" t="str">
        <f t="shared" si="19"/>
        <v/>
      </c>
    </row>
    <row r="274" spans="1:16" x14ac:dyDescent="0.25">
      <c r="A274">
        <v>185</v>
      </c>
      <c r="B274">
        <f>IF($A274&gt;$A$1,"",VLOOKUP($A274,'NHL PBP'!$A:$L,8,FALSE))</f>
        <v>2</v>
      </c>
      <c r="C274">
        <f>IF($A274&gt;$A$1,"",IF(B274&gt;3,5/24,20/24)-VLOOKUP($A274,'NHL PBP'!$A:$L,10,FALSE))</f>
        <v>0.2104166666666667</v>
      </c>
      <c r="D274" t="str">
        <f>IF($A274&gt;$A$1,"",VLOOKUP($A274,'NHL PBP'!$A:$L,11,FALSE))</f>
        <v>HIT</v>
      </c>
      <c r="E274" t="str">
        <f>IF(AND(EXACT(D274,"FAC"),NOT(EXACT(MID(F274,9,3),"Neu"))),IF(OR(AND(EXACT(MID(F274,9,3),"Off"),EXACT(LEFT(F274,3),UPPER('Entry data'!$C$2))),AND(EXACT(MID(F274,9,3),"Def"),NOT(EXACT(LEFT(F274,3),UPPER('Entry data'!$C$2))))),"DZF","OZF"),"")</f>
        <v/>
      </c>
      <c r="F274" t="str">
        <f>IF($A274&gt;$A$1,"",VLOOKUP($A274,'NHL PBP'!$A:$L,12,FALSE))</f>
        <v>NSH #16 BASS HIT DET #48 SPROUL, Off. Zone</v>
      </c>
      <c r="J274">
        <f>IF(EXACT('Entry data'!$C$3,"Road"),IF(ISBLANK(VLOOKUP(A274,'NHL PBP'!A:AH,21,FALSE)),3,IF(ISBLANK(VLOOKUP(A274,'NHL PBP'!A:AH,23,FALSE)),4,5)),IF(ISBLANK(VLOOKUP(A274,'NHL PBP'!A:AH,32,FALSE)),3,IF(ISBLANK(VLOOKUP(A274,'NHL PBP'!A:AH,34,FALSE)),4,5)))</f>
        <v>5</v>
      </c>
      <c r="K274">
        <f>IF(EXACT('Entry data'!$C$3,"Home"),IF(ISBLANK(VLOOKUP(A274,'NHL PBP'!A:AH,21,FALSE)),3,IF(ISBLANK(VLOOKUP(A274,'NHL PBP'!A:AH,23,FALSE)),4,5)),IF(ISBLANK(VLOOKUP(A274,'NHL PBP'!A:AH,32,FALSE)),3,IF(ISBLANK(VLOOKUP(A274,'NHL PBP'!A:AH,34,FALSE)),4,5)))</f>
        <v>5</v>
      </c>
      <c r="L274">
        <f>IF(OR(EXACT(D274,"C"),EXACT(D274,"P"),EXACT(D274,"D"),EXACT(D274,"T"),EXACT(D274,"X"),EXACT(E274,"DZF"),EXACT(E274,"OZF"),EXACT(D274,"N"),EXACT(D274,"F")),1,0)</f>
        <v>0</v>
      </c>
      <c r="M274" t="str">
        <f t="shared" si="16"/>
        <v/>
      </c>
      <c r="N274">
        <f t="shared" si="17"/>
        <v>0</v>
      </c>
      <c r="O274">
        <f t="shared" si="18"/>
        <v>0</v>
      </c>
      <c r="P274" t="str">
        <f t="shared" si="19"/>
        <v/>
      </c>
    </row>
    <row r="275" spans="1:16" x14ac:dyDescent="0.25">
      <c r="A275">
        <v>89</v>
      </c>
      <c r="B275">
        <f>IF(ISBLANK(VLOOKUP($A275,'Entry data'!$A:$K,2,FALSE)),"",VLOOKUP($A275,'Entry data'!$A:$K,2,FALSE))</f>
        <v>2</v>
      </c>
      <c r="C275">
        <f>IF(ISBLANK(VLOOKUP($A275,'Entry data'!$A:$K,3,FALSE)),"",VLOOKUP($A275,'Entry data'!$A:$K,3,FALSE))</f>
        <v>0.20902777777777778</v>
      </c>
      <c r="D275" t="str">
        <f>IF(ISBLANK(VLOOKUP($A275,'Entry data'!$A:$K,4,FALSE)),"",VLOOKUP($A275,'Entry data'!$A:$K,4,FALSE))</f>
        <v>C</v>
      </c>
      <c r="E275" t="str">
        <f>IF(ISBLANK(VLOOKUP($A275,'Entry data'!$A:$K,5,FALSE)),"",VLOOKUP($A275,'Entry data'!$A:$K,5,FALSE))</f>
        <v>43DET</v>
      </c>
      <c r="F275" t="str">
        <f>IF(ISBLANK(VLOOKUP($A275,'Entry data'!$A:$K,6,FALSE)),"",VLOOKUP($A275,'Entry data'!$A:$K,6,FALSE))</f>
        <v>14NSH</v>
      </c>
      <c r="G275" t="str">
        <f>IF(ISBLANK(VLOOKUP($A275,'Entry data'!$A:$K,7,FALSE)),"",VLOOKUP($A275,'Entry data'!$A:$K,7,FALSE))</f>
        <v>N</v>
      </c>
      <c r="H275" t="str">
        <f>IF(ISBLANK(VLOOKUP($A275,'Entry data'!$A:$K,8,FALSE)),"",VLOOKUP($A275,'Entry data'!$A:$K,8,FALSE))</f>
        <v>R</v>
      </c>
      <c r="I275" t="str">
        <f>IF(ISBLANK(VLOOKUP($A275,'Entry data'!$A:$K,9,FALSE)),"",VLOOKUP($A275,'Entry data'!$A:$K,9,FALSE))</f>
        <v>N</v>
      </c>
      <c r="J275">
        <f>IF(ISBLANK(VLOOKUP($A275,'Entry data'!$A:$K,10,FALSE)),"",VLOOKUP($A275,'Entry data'!$A:$K,10,FALSE))</f>
        <v>5</v>
      </c>
      <c r="K275">
        <f>IF(ISBLANK(VLOOKUP($A275,'Entry data'!$A:$K,11,FALSE)),"",VLOOKUP($A275,'Entry data'!$A:$K,11,FALSE))</f>
        <v>5</v>
      </c>
      <c r="L275">
        <f>IF(OR(EXACT(D275,"C"),EXACT(D275,"P"),EXACT(D275,"D"),EXACT(D275,"T"),EXACT(D275,"X"),EXACT(E275,"DZF"),EXACT(E275,"OZF"),EXACT(D275,"N"),EXACT(D275,"F")),1,0)</f>
        <v>1</v>
      </c>
      <c r="M275" t="str">
        <f t="shared" si="16"/>
        <v>43DET</v>
      </c>
      <c r="N275">
        <f t="shared" si="17"/>
        <v>0</v>
      </c>
      <c r="O275">
        <f t="shared" si="18"/>
        <v>0</v>
      </c>
      <c r="P275" t="str">
        <f t="shared" si="19"/>
        <v/>
      </c>
    </row>
    <row r="276" spans="1:16" x14ac:dyDescent="0.25">
      <c r="A276">
        <v>90</v>
      </c>
      <c r="B276">
        <f>IF(ISBLANK(VLOOKUP($A276,'Entry data'!$A:$K,2,FALSE)),"",VLOOKUP($A276,'Entry data'!$A:$K,2,FALSE))</f>
        <v>2</v>
      </c>
      <c r="C276">
        <f>IF(ISBLANK(VLOOKUP($A276,'Entry data'!$A:$K,3,FALSE)),"",VLOOKUP($A276,'Entry data'!$A:$K,3,FALSE))</f>
        <v>0.19027777777777777</v>
      </c>
      <c r="D276" t="str">
        <f>IF(ISBLANK(VLOOKUP($A276,'Entry data'!$A:$K,4,FALSE)),"",VLOOKUP($A276,'Entry data'!$A:$K,4,FALSE))</f>
        <v>D</v>
      </c>
      <c r="E276" t="str">
        <f>IF(ISBLANK(VLOOKUP($A276,'Entry data'!$A:$K,5,FALSE)),"",VLOOKUP($A276,'Entry data'!$A:$K,5,FALSE))</f>
        <v>56NSH</v>
      </c>
      <c r="F276" t="str">
        <f>IF(ISBLANK(VLOOKUP($A276,'Entry data'!$A:$K,6,FALSE)),"",VLOOKUP($A276,'Entry data'!$A:$K,6,FALSE))</f>
        <v>25DET</v>
      </c>
      <c r="G276" t="str">
        <f>IF(ISBLANK(VLOOKUP($A276,'Entry data'!$A:$K,7,FALSE)),"",VLOOKUP($A276,'Entry data'!$A:$K,7,FALSE))</f>
        <v/>
      </c>
      <c r="H276" t="str">
        <f>IF(ISBLANK(VLOOKUP($A276,'Entry data'!$A:$K,8,FALSE)),"",VLOOKUP($A276,'Entry data'!$A:$K,8,FALSE))</f>
        <v>R</v>
      </c>
      <c r="I276" t="str">
        <f>IF(ISBLANK(VLOOKUP($A276,'Entry data'!$A:$K,9,FALSE)),"",VLOOKUP($A276,'Entry data'!$A:$K,9,FALSE))</f>
        <v>19NSH</v>
      </c>
      <c r="J276">
        <f>IF(ISBLANK(VLOOKUP($A276,'Entry data'!$A:$K,10,FALSE)),"",VLOOKUP($A276,'Entry data'!$A:$K,10,FALSE))</f>
        <v>5</v>
      </c>
      <c r="K276">
        <f>IF(ISBLANK(VLOOKUP($A276,'Entry data'!$A:$K,11,FALSE)),"",VLOOKUP($A276,'Entry data'!$A:$K,11,FALSE))</f>
        <v>5</v>
      </c>
      <c r="L276">
        <f>IF(OR(EXACT(D276,"C"),EXACT(D276,"P"),EXACT(D276,"D"),EXACT(D276,"T"),EXACT(D276,"X"),EXACT(E276,"DZF"),EXACT(E276,"OZF"),EXACT(D276,"N"),EXACT(D276,"F")),1,0)</f>
        <v>1</v>
      </c>
      <c r="M276" t="str">
        <f t="shared" si="16"/>
        <v/>
      </c>
      <c r="N276">
        <f t="shared" si="17"/>
        <v>0</v>
      </c>
      <c r="O276">
        <f t="shared" si="18"/>
        <v>0</v>
      </c>
      <c r="P276" t="str">
        <f t="shared" si="19"/>
        <v/>
      </c>
    </row>
    <row r="277" spans="1:16" x14ac:dyDescent="0.25">
      <c r="A277">
        <v>91</v>
      </c>
      <c r="B277">
        <f>IF(ISBLANK(VLOOKUP($A277,'Entry data'!$A:$K,2,FALSE)),"",VLOOKUP($A277,'Entry data'!$A:$K,2,FALSE))</f>
        <v>2</v>
      </c>
      <c r="C277">
        <f>IF(ISBLANK(VLOOKUP($A277,'Entry data'!$A:$K,3,FALSE)),"",VLOOKUP($A277,'Entry data'!$A:$K,3,FALSE))</f>
        <v>0.18263888888888891</v>
      </c>
      <c r="D277" t="str">
        <f>IF(ISBLANK(VLOOKUP($A277,'Entry data'!$A:$K,4,FALSE)),"",VLOOKUP($A277,'Entry data'!$A:$K,4,FALSE))</f>
        <v>C</v>
      </c>
      <c r="E277" t="str">
        <f>IF(ISBLANK(VLOOKUP($A277,'Entry data'!$A:$K,5,FALSE)),"",VLOOKUP($A277,'Entry data'!$A:$K,5,FALSE))</f>
        <v>25DET</v>
      </c>
      <c r="F277" t="str">
        <f>IF(ISBLANK(VLOOKUP($A277,'Entry data'!$A:$K,6,FALSE)),"",VLOOKUP($A277,'Entry data'!$A:$K,6,FALSE))</f>
        <v>14NSH</v>
      </c>
      <c r="G277" t="str">
        <f>IF(ISBLANK(VLOOKUP($A277,'Entry data'!$A:$K,7,FALSE)),"",VLOOKUP($A277,'Entry data'!$A:$K,7,FALSE))</f>
        <v>Y</v>
      </c>
      <c r="H277" t="str">
        <f>IF(ISBLANK(VLOOKUP($A277,'Entry data'!$A:$K,8,FALSE)),"",VLOOKUP($A277,'Entry data'!$A:$K,8,FALSE))</f>
        <v>R</v>
      </c>
      <c r="I277" t="str">
        <f>IF(ISBLANK(VLOOKUP($A277,'Entry data'!$A:$K,9,FALSE)),"",VLOOKUP($A277,'Entry data'!$A:$K,9,FALSE))</f>
        <v>N</v>
      </c>
      <c r="J277">
        <f>IF(ISBLANK(VLOOKUP($A277,'Entry data'!$A:$K,10,FALSE)),"",VLOOKUP($A277,'Entry data'!$A:$K,10,FALSE))</f>
        <v>5</v>
      </c>
      <c r="K277">
        <f>IF(ISBLANK(VLOOKUP($A277,'Entry data'!$A:$K,11,FALSE)),"",VLOOKUP($A277,'Entry data'!$A:$K,11,FALSE))</f>
        <v>5</v>
      </c>
      <c r="L277">
        <f>IF(OR(EXACT(D277,"C"),EXACT(D277,"P"),EXACT(D277,"D"),EXACT(D277,"T"),EXACT(D277,"X"),EXACT(E277,"DZF"),EXACT(E277,"OZF"),EXACT(D277,"N"),EXACT(D277,"F")),1,0)</f>
        <v>1</v>
      </c>
      <c r="M277" t="str">
        <f t="shared" si="16"/>
        <v>25DET</v>
      </c>
      <c r="N277">
        <f t="shared" si="17"/>
        <v>0</v>
      </c>
      <c r="O277">
        <f t="shared" si="18"/>
        <v>0</v>
      </c>
      <c r="P277" t="str">
        <f t="shared" si="19"/>
        <v/>
      </c>
    </row>
    <row r="278" spans="1:16" x14ac:dyDescent="0.25">
      <c r="A278">
        <v>186</v>
      </c>
      <c r="B278">
        <f>IF($A278&gt;$A$1,"",VLOOKUP($A278,'NHL PBP'!$A:$L,8,FALSE))</f>
        <v>2</v>
      </c>
      <c r="C278">
        <f>IF($A278&gt;$A$1,"",IF(B278&gt;3,5/24,20/24)-VLOOKUP($A278,'NHL PBP'!$A:$L,10,FALSE))</f>
        <v>0.17777777777777781</v>
      </c>
      <c r="D278" t="str">
        <f>IF($A278&gt;$A$1,"",VLOOKUP($A278,'NHL PBP'!$A:$L,11,FALSE))</f>
        <v>STOP</v>
      </c>
      <c r="E278" t="str">
        <f>IF(AND(EXACT(D278,"FAC"),NOT(EXACT(MID(F278,9,3),"Neu"))),IF(OR(AND(EXACT(MID(F278,9,3),"Off"),EXACT(LEFT(F278,3),UPPER('Entry data'!$C$2))),AND(EXACT(MID(F278,9,3),"Def"),NOT(EXACT(LEFT(F278,3),UPPER('Entry data'!$C$2))))),"DZF","OZF"),"")</f>
        <v/>
      </c>
      <c r="F278" t="str">
        <f>IF($A278&gt;$A$1,"",VLOOKUP($A278,'NHL PBP'!$A:$L,12,FALSE))</f>
        <v>PUCK FROZEN,TV TIMEOUT</v>
      </c>
      <c r="J278">
        <f>IF(EXACT('Entry data'!$C$3,"Road"),IF(ISBLANK(VLOOKUP(A278,'NHL PBP'!A:AH,21,FALSE)),3,IF(ISBLANK(VLOOKUP(A278,'NHL PBP'!A:AH,23,FALSE)),4,5)),IF(ISBLANK(VLOOKUP(A278,'NHL PBP'!A:AH,32,FALSE)),3,IF(ISBLANK(VLOOKUP(A278,'NHL PBP'!A:AH,34,FALSE)),4,5)))</f>
        <v>5</v>
      </c>
      <c r="K278">
        <f>IF(EXACT('Entry data'!$C$3,"Home"),IF(ISBLANK(VLOOKUP(A278,'NHL PBP'!A:AH,21,FALSE)),3,IF(ISBLANK(VLOOKUP(A278,'NHL PBP'!A:AH,23,FALSE)),4,5)),IF(ISBLANK(VLOOKUP(A278,'NHL PBP'!A:AH,32,FALSE)),3,IF(ISBLANK(VLOOKUP(A278,'NHL PBP'!A:AH,34,FALSE)),4,5)))</f>
        <v>5</v>
      </c>
      <c r="L278">
        <f>IF(OR(EXACT(D278,"C"),EXACT(D278,"P"),EXACT(D278,"D"),EXACT(D278,"T"),EXACT(D278,"X"),EXACT(E278,"DZF"),EXACT(E278,"OZF"),EXACT(D278,"N"),EXACT(D278,"F")),1,0)</f>
        <v>0</v>
      </c>
      <c r="M278" t="str">
        <f t="shared" si="16"/>
        <v/>
      </c>
      <c r="N278">
        <f t="shared" si="17"/>
        <v>0</v>
      </c>
      <c r="O278">
        <f t="shared" si="18"/>
        <v>0</v>
      </c>
      <c r="P278" t="str">
        <f t="shared" si="19"/>
        <v/>
      </c>
    </row>
    <row r="279" spans="1:16" x14ac:dyDescent="0.25">
      <c r="A279">
        <v>187</v>
      </c>
      <c r="B279">
        <f>IF($A279&gt;$A$1,"",VLOOKUP($A279,'NHL PBP'!$A:$L,8,FALSE))</f>
        <v>2</v>
      </c>
      <c r="C279">
        <f>IF($A279&gt;$A$1,"",IF(B279&gt;3,5/24,20/24)-VLOOKUP($A279,'NHL PBP'!$A:$L,10,FALSE))</f>
        <v>0.17777777777777781</v>
      </c>
      <c r="D279" t="str">
        <f>IF($A279&gt;$A$1,"",VLOOKUP($A279,'NHL PBP'!$A:$L,11,FALSE))</f>
        <v>FAC</v>
      </c>
      <c r="E279" t="str">
        <f>IF(AND(EXACT(D279,"FAC"),NOT(EXACT(MID(F279,9,3),"Neu"))),IF(OR(AND(EXACT(MID(F279,9,3),"Off"),EXACT(LEFT(F279,3),UPPER('Entry data'!$C$2))),AND(EXACT(MID(F279,9,3),"Def"),NOT(EXACT(LEFT(F279,3),UPPER('Entry data'!$C$2))))),"DZF","OZF"),"")</f>
        <v>OZF</v>
      </c>
      <c r="F279" t="str">
        <f>IF($A279&gt;$A$1,"",VLOOKUP($A279,'NHL PBP'!$A:$L,12,FALSE))</f>
        <v>DET won Off. Zone - NSH #19 JARNKROK vs DET #40 ZETTERBERG</v>
      </c>
      <c r="J279">
        <f>IF(EXACT('Entry data'!$C$3,"Road"),IF(ISBLANK(VLOOKUP(A279,'NHL PBP'!A:AH,21,FALSE)),3,IF(ISBLANK(VLOOKUP(A279,'NHL PBP'!A:AH,23,FALSE)),4,5)),IF(ISBLANK(VLOOKUP(A279,'NHL PBP'!A:AH,32,FALSE)),3,IF(ISBLANK(VLOOKUP(A279,'NHL PBP'!A:AH,34,FALSE)),4,5)))</f>
        <v>5</v>
      </c>
      <c r="K279">
        <f>IF(EXACT('Entry data'!$C$3,"Home"),IF(ISBLANK(VLOOKUP(A279,'NHL PBP'!A:AH,21,FALSE)),3,IF(ISBLANK(VLOOKUP(A279,'NHL PBP'!A:AH,23,FALSE)),4,5)),IF(ISBLANK(VLOOKUP(A279,'NHL PBP'!A:AH,32,FALSE)),3,IF(ISBLANK(VLOOKUP(A279,'NHL PBP'!A:AH,34,FALSE)),4,5)))</f>
        <v>5</v>
      </c>
      <c r="L279">
        <f>IF(OR(EXACT(D279,"C"),EXACT(D279,"P"),EXACT(D279,"D"),EXACT(D279,"T"),EXACT(D279,"X"),EXACT(E279,"DZF"),EXACT(E279,"OZF"),EXACT(D279,"N"),EXACT(D279,"F")),1,0)</f>
        <v>1</v>
      </c>
      <c r="M279" t="str">
        <f t="shared" si="16"/>
        <v/>
      </c>
      <c r="N279">
        <f t="shared" si="17"/>
        <v>0</v>
      </c>
      <c r="O279">
        <f t="shared" si="18"/>
        <v>0</v>
      </c>
      <c r="P279" t="str">
        <f t="shared" si="19"/>
        <v/>
      </c>
    </row>
    <row r="280" spans="1:16" x14ac:dyDescent="0.25">
      <c r="A280">
        <v>188</v>
      </c>
      <c r="B280">
        <f>IF($A280&gt;$A$1,"",VLOOKUP($A280,'NHL PBP'!$A:$L,8,FALSE))</f>
        <v>2</v>
      </c>
      <c r="C280">
        <f>IF($A280&gt;$A$1,"",IF(B280&gt;3,5/24,20/24)-VLOOKUP($A280,'NHL PBP'!$A:$L,10,FALSE))</f>
        <v>0.17291666666666672</v>
      </c>
      <c r="D280" t="str">
        <f>IF($A280&gt;$A$1,"",VLOOKUP($A280,'NHL PBP'!$A:$L,11,FALSE))</f>
        <v>HIT</v>
      </c>
      <c r="E280" t="str">
        <f>IF(AND(EXACT(D280,"FAC"),NOT(EXACT(MID(F280,9,3),"Neu"))),IF(OR(AND(EXACT(MID(F280,9,3),"Off"),EXACT(LEFT(F280,3),UPPER('Entry data'!$C$2))),AND(EXACT(MID(F280,9,3),"Def"),NOT(EXACT(LEFT(F280,3),UPPER('Entry data'!$C$2))))),"DZF","OZF"),"")</f>
        <v/>
      </c>
      <c r="F280" t="str">
        <f>IF($A280&gt;$A$1,"",VLOOKUP($A280,'NHL PBP'!$A:$L,12,FALSE))</f>
        <v>DET #40 ZETTERBERG HIT NSH #76 SUBBAN, Off. Zone</v>
      </c>
      <c r="J280">
        <f>IF(EXACT('Entry data'!$C$3,"Road"),IF(ISBLANK(VLOOKUP(A280,'NHL PBP'!A:AH,21,FALSE)),3,IF(ISBLANK(VLOOKUP(A280,'NHL PBP'!A:AH,23,FALSE)),4,5)),IF(ISBLANK(VLOOKUP(A280,'NHL PBP'!A:AH,32,FALSE)),3,IF(ISBLANK(VLOOKUP(A280,'NHL PBP'!A:AH,34,FALSE)),4,5)))</f>
        <v>5</v>
      </c>
      <c r="K280">
        <f>IF(EXACT('Entry data'!$C$3,"Home"),IF(ISBLANK(VLOOKUP(A280,'NHL PBP'!A:AH,21,FALSE)),3,IF(ISBLANK(VLOOKUP(A280,'NHL PBP'!A:AH,23,FALSE)),4,5)),IF(ISBLANK(VLOOKUP(A280,'NHL PBP'!A:AH,32,FALSE)),3,IF(ISBLANK(VLOOKUP(A280,'NHL PBP'!A:AH,34,FALSE)),4,5)))</f>
        <v>5</v>
      </c>
      <c r="L280">
        <f>IF(OR(EXACT(D280,"C"),EXACT(D280,"P"),EXACT(D280,"D"),EXACT(D280,"T"),EXACT(D280,"X"),EXACT(E280,"DZF"),EXACT(E280,"OZF"),EXACT(D280,"N"),EXACT(D280,"F")),1,0)</f>
        <v>0</v>
      </c>
      <c r="M280" t="str">
        <f t="shared" si="16"/>
        <v/>
      </c>
      <c r="N280">
        <f t="shared" si="17"/>
        <v>0</v>
      </c>
      <c r="O280">
        <f t="shared" si="18"/>
        <v>0</v>
      </c>
      <c r="P280" t="str">
        <f t="shared" si="19"/>
        <v/>
      </c>
    </row>
    <row r="281" spans="1:16" x14ac:dyDescent="0.25">
      <c r="A281">
        <v>92</v>
      </c>
      <c r="B281">
        <f>IF(ISBLANK(VLOOKUP($A281,'Entry data'!$A:$K,2,FALSE)),"",VLOOKUP($A281,'Entry data'!$A:$K,2,FALSE))</f>
        <v>2</v>
      </c>
      <c r="C281">
        <f>IF(ISBLANK(VLOOKUP($A281,'Entry data'!$A:$K,3,FALSE)),"",VLOOKUP($A281,'Entry data'!$A:$K,3,FALSE))</f>
        <v>0.16319444444444445</v>
      </c>
      <c r="D281" t="str">
        <f>IF(ISBLANK(VLOOKUP($A281,'Entry data'!$A:$K,4,FALSE)),"",VLOOKUP($A281,'Entry data'!$A:$K,4,FALSE))</f>
        <v>C</v>
      </c>
      <c r="E281" t="str">
        <f>IF(ISBLANK(VLOOKUP($A281,'Entry data'!$A:$K,5,FALSE)),"",VLOOKUP($A281,'Entry data'!$A:$K,5,FALSE))</f>
        <v>21DET</v>
      </c>
      <c r="F281" t="str">
        <f>IF(ISBLANK(VLOOKUP($A281,'Entry data'!$A:$K,6,FALSE)),"",VLOOKUP($A281,'Entry data'!$A:$K,6,FALSE))</f>
        <v>59NSH</v>
      </c>
      <c r="G281" t="str">
        <f>IF(ISBLANK(VLOOKUP($A281,'Entry data'!$A:$K,7,FALSE)),"",VLOOKUP($A281,'Entry data'!$A:$K,7,FALSE))</f>
        <v>Y</v>
      </c>
      <c r="H281" t="str">
        <f>IF(ISBLANK(VLOOKUP($A281,'Entry data'!$A:$K,8,FALSE)),"",VLOOKUP($A281,'Entry data'!$A:$K,8,FALSE))</f>
        <v>C</v>
      </c>
      <c r="I281" t="str">
        <f>IF(ISBLANK(VLOOKUP($A281,'Entry data'!$A:$K,9,FALSE)),"",VLOOKUP($A281,'Entry data'!$A:$K,9,FALSE))</f>
        <v>N</v>
      </c>
      <c r="J281">
        <f>IF(ISBLANK(VLOOKUP($A281,'Entry data'!$A:$K,10,FALSE)),"",VLOOKUP($A281,'Entry data'!$A:$K,10,FALSE))</f>
        <v>6</v>
      </c>
      <c r="K281">
        <f>IF(ISBLANK(VLOOKUP($A281,'Entry data'!$A:$K,11,FALSE)),"",VLOOKUP($A281,'Entry data'!$A:$K,11,FALSE))</f>
        <v>5</v>
      </c>
      <c r="L281">
        <f>IF(OR(EXACT(D281,"C"),EXACT(D281,"P"),EXACT(D281,"D"),EXACT(D281,"T"),EXACT(D281,"X"),EXACT(E281,"DZF"),EXACT(E281,"OZF"),EXACT(D281,"N"),EXACT(D281,"F")),1,0)</f>
        <v>1</v>
      </c>
      <c r="M281" t="str">
        <f t="shared" si="16"/>
        <v>21DET</v>
      </c>
      <c r="N281">
        <f t="shared" si="17"/>
        <v>0</v>
      </c>
      <c r="O281">
        <f t="shared" si="18"/>
        <v>0</v>
      </c>
      <c r="P281" t="str">
        <f t="shared" si="19"/>
        <v/>
      </c>
    </row>
    <row r="282" spans="1:16" x14ac:dyDescent="0.25">
      <c r="A282">
        <v>189</v>
      </c>
      <c r="B282">
        <f>IF($A282&gt;$A$1,"",VLOOKUP($A282,'NHL PBP'!$A:$L,8,FALSE))</f>
        <v>2</v>
      </c>
      <c r="C282">
        <f>IF($A282&gt;$A$1,"",IF(B282&gt;3,5/24,20/24)-VLOOKUP($A282,'NHL PBP'!$A:$L,10,FALSE))</f>
        <v>0.15972222222222221</v>
      </c>
      <c r="D282" t="str">
        <f>IF($A282&gt;$A$1,"",VLOOKUP($A282,'NHL PBP'!$A:$L,11,FALSE))</f>
        <v>PENL</v>
      </c>
      <c r="E282" t="str">
        <f>IF(AND(EXACT(D282,"FAC"),NOT(EXACT(MID(F282,9,3),"Neu"))),IF(OR(AND(EXACT(MID(F282,9,3),"Off"),EXACT(LEFT(F282,3),UPPER('Entry data'!$C$2))),AND(EXACT(MID(F282,9,3),"Def"),NOT(EXACT(LEFT(F282,3),UPPER('Entry data'!$C$2))))),"DZF","OZF"),"")</f>
        <v/>
      </c>
      <c r="F282" t="str">
        <f>IF($A282&gt;$A$1,"",VLOOKUP($A282,'NHL PBP'!$A:$L,12,FALSE))</f>
        <v>NSH #9 FORSBERG Tripping(2 min), Neu. Zone Drawn By: DET #25 GREEN</v>
      </c>
      <c r="J282">
        <f>IF(EXACT('Entry data'!$C$3,"Road"),IF(ISBLANK(VLOOKUP(A282,'NHL PBP'!A:AH,21,FALSE)),3,IF(ISBLANK(VLOOKUP(A282,'NHL PBP'!A:AH,23,FALSE)),4,5)),IF(ISBLANK(VLOOKUP(A282,'NHL PBP'!A:AH,32,FALSE)),3,IF(ISBLANK(VLOOKUP(A282,'NHL PBP'!A:AH,34,FALSE)),4,5)))</f>
        <v>5</v>
      </c>
      <c r="K282">
        <f>IF(EXACT('Entry data'!$C$3,"Home"),IF(ISBLANK(VLOOKUP(A282,'NHL PBP'!A:AH,21,FALSE)),3,IF(ISBLANK(VLOOKUP(A282,'NHL PBP'!A:AH,23,FALSE)),4,5)),IF(ISBLANK(VLOOKUP(A282,'NHL PBP'!A:AH,32,FALSE)),3,IF(ISBLANK(VLOOKUP(A282,'NHL PBP'!A:AH,34,FALSE)),4,5)))</f>
        <v>5</v>
      </c>
      <c r="L282">
        <f>IF(OR(EXACT(D282,"C"),EXACT(D282,"P"),EXACT(D282,"D"),EXACT(D282,"T"),EXACT(D282,"X"),EXACT(E282,"DZF"),EXACT(E282,"OZF"),EXACT(D282,"N"),EXACT(D282,"F")),1,0)</f>
        <v>0</v>
      </c>
      <c r="M282" t="str">
        <f t="shared" si="16"/>
        <v/>
      </c>
      <c r="N282">
        <f t="shared" si="17"/>
        <v>0</v>
      </c>
      <c r="O282">
        <f t="shared" si="18"/>
        <v>0</v>
      </c>
      <c r="P282" t="str">
        <f t="shared" si="19"/>
        <v/>
      </c>
    </row>
    <row r="283" spans="1:16" x14ac:dyDescent="0.25">
      <c r="A283">
        <v>190</v>
      </c>
      <c r="B283">
        <f>IF($A283&gt;$A$1,"",VLOOKUP($A283,'NHL PBP'!$A:$L,8,FALSE))</f>
        <v>2</v>
      </c>
      <c r="C283">
        <f>IF($A283&gt;$A$1,"",IF(B283&gt;3,5/24,20/24)-VLOOKUP($A283,'NHL PBP'!$A:$L,10,FALSE))</f>
        <v>0.15972222222222221</v>
      </c>
      <c r="D283" t="str">
        <f>IF($A283&gt;$A$1,"",VLOOKUP($A283,'NHL PBP'!$A:$L,11,FALSE))</f>
        <v>FAC</v>
      </c>
      <c r="E283" t="str">
        <f>IF(AND(EXACT(D283,"FAC"),NOT(EXACT(MID(F283,9,3),"Neu"))),IF(OR(AND(EXACT(MID(F283,9,3),"Off"),EXACT(LEFT(F283,3),UPPER('Entry data'!$C$2))),AND(EXACT(MID(F283,9,3),"Def"),NOT(EXACT(LEFT(F283,3),UPPER('Entry data'!$C$2))))),"DZF","OZF"),"")</f>
        <v>OZF</v>
      </c>
      <c r="F283" t="str">
        <f>IF($A283&gt;$A$1,"",VLOOKUP($A283,'NHL PBP'!$A:$L,12,FALSE))</f>
        <v>NSH won Def. Zone - NSH #12 FISHER vs DET #40 ZETTERBERG</v>
      </c>
      <c r="J283">
        <f>IF(EXACT('Entry data'!$C$3,"Road"),IF(ISBLANK(VLOOKUP(A283,'NHL PBP'!A:AH,21,FALSE)),3,IF(ISBLANK(VLOOKUP(A283,'NHL PBP'!A:AH,23,FALSE)),4,5)),IF(ISBLANK(VLOOKUP(A283,'NHL PBP'!A:AH,32,FALSE)),3,IF(ISBLANK(VLOOKUP(A283,'NHL PBP'!A:AH,34,FALSE)),4,5)))</f>
        <v>5</v>
      </c>
      <c r="K283">
        <f>IF(EXACT('Entry data'!$C$3,"Home"),IF(ISBLANK(VLOOKUP(A283,'NHL PBP'!A:AH,21,FALSE)),3,IF(ISBLANK(VLOOKUP(A283,'NHL PBP'!A:AH,23,FALSE)),4,5)),IF(ISBLANK(VLOOKUP(A283,'NHL PBP'!A:AH,32,FALSE)),3,IF(ISBLANK(VLOOKUP(A283,'NHL PBP'!A:AH,34,FALSE)),4,5)))</f>
        <v>4</v>
      </c>
      <c r="L283">
        <f>IF(OR(EXACT(D283,"C"),EXACT(D283,"P"),EXACT(D283,"D"),EXACT(D283,"T"),EXACT(D283,"X"),EXACT(E283,"DZF"),EXACT(E283,"OZF"),EXACT(D283,"N"),EXACT(D283,"F")),1,0)</f>
        <v>1</v>
      </c>
      <c r="M283" t="str">
        <f t="shared" si="16"/>
        <v/>
      </c>
      <c r="N283">
        <f t="shared" si="17"/>
        <v>0</v>
      </c>
      <c r="O283">
        <f t="shared" si="18"/>
        <v>0</v>
      </c>
      <c r="P283" t="str">
        <f t="shared" si="19"/>
        <v/>
      </c>
    </row>
    <row r="284" spans="1:16" x14ac:dyDescent="0.25">
      <c r="A284">
        <v>93</v>
      </c>
      <c r="B284">
        <f>IF(ISBLANK(VLOOKUP($A284,'Entry data'!$A:$K,2,FALSE)),"",VLOOKUP($A284,'Entry data'!$A:$K,2,FALSE))</f>
        <v>2</v>
      </c>
      <c r="C284">
        <f>IF(ISBLANK(VLOOKUP($A284,'Entry data'!$A:$K,3,FALSE)),"",VLOOKUP($A284,'Entry data'!$A:$K,3,FALSE))</f>
        <v>0.13749999999999998</v>
      </c>
      <c r="D284" t="str">
        <f>IF(ISBLANK(VLOOKUP($A284,'Entry data'!$A:$K,4,FALSE)),"",VLOOKUP($A284,'Entry data'!$A:$K,4,FALSE))</f>
        <v>C</v>
      </c>
      <c r="E284" t="str">
        <f>IF(ISBLANK(VLOOKUP($A284,'Entry data'!$A:$K,5,FALSE)),"",VLOOKUP($A284,'Entry data'!$A:$K,5,FALSE))</f>
        <v>51DET</v>
      </c>
      <c r="F284" t="str">
        <f>IF(ISBLANK(VLOOKUP($A284,'Entry data'!$A:$K,6,FALSE)),"",VLOOKUP($A284,'Entry data'!$A:$K,6,FALSE))</f>
        <v>12NSH</v>
      </c>
      <c r="G284" t="str">
        <f>IF(ISBLANK(VLOOKUP($A284,'Entry data'!$A:$K,7,FALSE)),"",VLOOKUP($A284,'Entry data'!$A:$K,7,FALSE))</f>
        <v>Y</v>
      </c>
      <c r="H284" t="str">
        <f>IF(ISBLANK(VLOOKUP($A284,'Entry data'!$A:$K,8,FALSE)),"",VLOOKUP($A284,'Entry data'!$A:$K,8,FALSE))</f>
        <v>L</v>
      </c>
      <c r="I284" t="str">
        <f>IF(ISBLANK(VLOOKUP($A284,'Entry data'!$A:$K,9,FALSE)),"",VLOOKUP($A284,'Entry data'!$A:$K,9,FALSE))</f>
        <v>N</v>
      </c>
      <c r="J284">
        <f>IF(ISBLANK(VLOOKUP($A284,'Entry data'!$A:$K,10,FALSE)),"",VLOOKUP($A284,'Entry data'!$A:$K,10,FALSE))</f>
        <v>5</v>
      </c>
      <c r="K284">
        <f>IF(ISBLANK(VLOOKUP($A284,'Entry data'!$A:$K,11,FALSE)),"",VLOOKUP($A284,'Entry data'!$A:$K,11,FALSE))</f>
        <v>4</v>
      </c>
      <c r="L284">
        <f>IF(OR(EXACT(D284,"C"),EXACT(D284,"P"),EXACT(D284,"D"),EXACT(D284,"T"),EXACT(D284,"X"),EXACT(E284,"DZF"),EXACT(E284,"OZF"),EXACT(D284,"N"),EXACT(D284,"F")),1,0)</f>
        <v>1</v>
      </c>
      <c r="M284" t="str">
        <f t="shared" si="16"/>
        <v>51DET</v>
      </c>
      <c r="N284">
        <f t="shared" si="17"/>
        <v>1</v>
      </c>
      <c r="O284">
        <f t="shared" si="18"/>
        <v>0</v>
      </c>
      <c r="P284" t="str">
        <f t="shared" si="19"/>
        <v/>
      </c>
    </row>
    <row r="285" spans="1:16" x14ac:dyDescent="0.25">
      <c r="A285">
        <v>191</v>
      </c>
      <c r="B285">
        <f>IF($A285&gt;$A$1,"",VLOOKUP($A285,'NHL PBP'!$A:$L,8,FALSE))</f>
        <v>2</v>
      </c>
      <c r="C285">
        <f>IF($A285&gt;$A$1,"",IF(B285&gt;3,5/24,20/24)-VLOOKUP($A285,'NHL PBP'!$A:$L,10,FALSE))</f>
        <v>0.13194444444444453</v>
      </c>
      <c r="D285" t="str">
        <f>IF($A285&gt;$A$1,"",VLOOKUP($A285,'NHL PBP'!$A:$L,11,FALSE))</f>
        <v>SHOT</v>
      </c>
      <c r="E285" t="str">
        <f>IF(AND(EXACT(D285,"FAC"),NOT(EXACT(MID(F285,9,3),"Neu"))),IF(OR(AND(EXACT(MID(F285,9,3),"Off"),EXACT(LEFT(F285,3),UPPER('Entry data'!$C$2))),AND(EXACT(MID(F285,9,3),"Def"),NOT(EXACT(LEFT(F285,3),UPPER('Entry data'!$C$2))))),"DZF","OZF"),"")</f>
        <v/>
      </c>
      <c r="F285" t="str">
        <f>IF($A285&gt;$A$1,"",VLOOKUP($A285,'NHL PBP'!$A:$L,12,FALSE))</f>
        <v>DET ONGOAL - #62 VANEK, Wrist, Off. Zone, 10 ft.</v>
      </c>
      <c r="J285">
        <f>IF(EXACT('Entry data'!$C$3,"Road"),IF(ISBLANK(VLOOKUP(A285,'NHL PBP'!A:AH,21,FALSE)),3,IF(ISBLANK(VLOOKUP(A285,'NHL PBP'!A:AH,23,FALSE)),4,5)),IF(ISBLANK(VLOOKUP(A285,'NHL PBP'!A:AH,32,FALSE)),3,IF(ISBLANK(VLOOKUP(A285,'NHL PBP'!A:AH,34,FALSE)),4,5)))</f>
        <v>5</v>
      </c>
      <c r="K285">
        <f>IF(EXACT('Entry data'!$C$3,"Home"),IF(ISBLANK(VLOOKUP(A285,'NHL PBP'!A:AH,21,FALSE)),3,IF(ISBLANK(VLOOKUP(A285,'NHL PBP'!A:AH,23,FALSE)),4,5)),IF(ISBLANK(VLOOKUP(A285,'NHL PBP'!A:AH,32,FALSE)),3,IF(ISBLANK(VLOOKUP(A285,'NHL PBP'!A:AH,34,FALSE)),4,5)))</f>
        <v>4</v>
      </c>
      <c r="L285">
        <f>IF(OR(EXACT(D285,"C"),EXACT(D285,"P"),EXACT(D285,"D"),EXACT(D285,"T"),EXACT(D285,"X"),EXACT(E285,"DZF"),EXACT(E285,"OZF"),EXACT(D285,"N"),EXACT(D285,"F")),1,0)</f>
        <v>0</v>
      </c>
      <c r="M285" t="str">
        <f t="shared" si="16"/>
        <v/>
      </c>
      <c r="N285">
        <f t="shared" si="17"/>
        <v>1</v>
      </c>
      <c r="O285">
        <f t="shared" si="18"/>
        <v>0</v>
      </c>
      <c r="P285" t="str">
        <f t="shared" si="19"/>
        <v/>
      </c>
    </row>
    <row r="286" spans="1:16" x14ac:dyDescent="0.25">
      <c r="A286">
        <v>192</v>
      </c>
      <c r="B286">
        <f>IF($A286&gt;$A$1,"",VLOOKUP($A286,'NHL PBP'!$A:$L,8,FALSE))</f>
        <v>2</v>
      </c>
      <c r="C286">
        <f>IF($A286&gt;$A$1,"",IF(B286&gt;3,5/24,20/24)-VLOOKUP($A286,'NHL PBP'!$A:$L,10,FALSE))</f>
        <v>0.13194444444444453</v>
      </c>
      <c r="D286" t="str">
        <f>IF($A286&gt;$A$1,"",VLOOKUP($A286,'NHL PBP'!$A:$L,11,FALSE))</f>
        <v>STOP</v>
      </c>
      <c r="E286" t="str">
        <f>IF(AND(EXACT(D286,"FAC"),NOT(EXACT(MID(F286,9,3),"Neu"))),IF(OR(AND(EXACT(MID(F286,9,3),"Off"),EXACT(LEFT(F286,3),UPPER('Entry data'!$C$2))),AND(EXACT(MID(F286,9,3),"Def"),NOT(EXACT(LEFT(F286,3),UPPER('Entry data'!$C$2))))),"DZF","OZF"),"")</f>
        <v/>
      </c>
      <c r="F286" t="str">
        <f>IF($A286&gt;$A$1,"",VLOOKUP($A286,'NHL PBP'!$A:$L,12,FALSE))</f>
        <v>GOALIE STOPPED</v>
      </c>
      <c r="J286">
        <f>IF(EXACT('Entry data'!$C$3,"Road"),IF(ISBLANK(VLOOKUP(A286,'NHL PBP'!A:AH,21,FALSE)),3,IF(ISBLANK(VLOOKUP(A286,'NHL PBP'!A:AH,23,FALSE)),4,5)),IF(ISBLANK(VLOOKUP(A286,'NHL PBP'!A:AH,32,FALSE)),3,IF(ISBLANK(VLOOKUP(A286,'NHL PBP'!A:AH,34,FALSE)),4,5)))</f>
        <v>5</v>
      </c>
      <c r="K286">
        <f>IF(EXACT('Entry data'!$C$3,"Home"),IF(ISBLANK(VLOOKUP(A286,'NHL PBP'!A:AH,21,FALSE)),3,IF(ISBLANK(VLOOKUP(A286,'NHL PBP'!A:AH,23,FALSE)),4,5)),IF(ISBLANK(VLOOKUP(A286,'NHL PBP'!A:AH,32,FALSE)),3,IF(ISBLANK(VLOOKUP(A286,'NHL PBP'!A:AH,34,FALSE)),4,5)))</f>
        <v>4</v>
      </c>
      <c r="L286">
        <f>IF(OR(EXACT(D286,"C"),EXACT(D286,"P"),EXACT(D286,"D"),EXACT(D286,"T"),EXACT(D286,"X"),EXACT(E286,"DZF"),EXACT(E286,"OZF"),EXACT(D286,"N"),EXACT(D286,"F")),1,0)</f>
        <v>0</v>
      </c>
      <c r="M286" t="str">
        <f t="shared" si="16"/>
        <v/>
      </c>
      <c r="N286">
        <f t="shared" si="17"/>
        <v>0</v>
      </c>
      <c r="O286">
        <f t="shared" si="18"/>
        <v>0</v>
      </c>
      <c r="P286" t="str">
        <f t="shared" si="19"/>
        <v/>
      </c>
    </row>
    <row r="287" spans="1:16" x14ac:dyDescent="0.25">
      <c r="A287">
        <v>193</v>
      </c>
      <c r="B287">
        <f>IF($A287&gt;$A$1,"",VLOOKUP($A287,'NHL PBP'!$A:$L,8,FALSE))</f>
        <v>2</v>
      </c>
      <c r="C287">
        <f>IF($A287&gt;$A$1,"",IF(B287&gt;3,5/24,20/24)-VLOOKUP($A287,'NHL PBP'!$A:$L,10,FALSE))</f>
        <v>0.13194444444444453</v>
      </c>
      <c r="D287" t="str">
        <f>IF($A287&gt;$A$1,"",VLOOKUP($A287,'NHL PBP'!$A:$L,11,FALSE))</f>
        <v>FAC</v>
      </c>
      <c r="E287" t="str">
        <f>IF(AND(EXACT(D287,"FAC"),NOT(EXACT(MID(F287,9,3),"Neu"))),IF(OR(AND(EXACT(MID(F287,9,3),"Off"),EXACT(LEFT(F287,3),UPPER('Entry data'!$C$2))),AND(EXACT(MID(F287,9,3),"Def"),NOT(EXACT(LEFT(F287,3),UPPER('Entry data'!$C$2))))),"DZF","OZF"),"")</f>
        <v>OZF</v>
      </c>
      <c r="F287" t="str">
        <f>IF($A287&gt;$A$1,"",VLOOKUP($A287,'NHL PBP'!$A:$L,12,FALSE))</f>
        <v>DET won Off. Zone - NSH #19 JARNKROK vs DET #71 LARKIN</v>
      </c>
      <c r="J287">
        <f>IF(EXACT('Entry data'!$C$3,"Road"),IF(ISBLANK(VLOOKUP(A287,'NHL PBP'!A:AH,21,FALSE)),3,IF(ISBLANK(VLOOKUP(A287,'NHL PBP'!A:AH,23,FALSE)),4,5)),IF(ISBLANK(VLOOKUP(A287,'NHL PBP'!A:AH,32,FALSE)),3,IF(ISBLANK(VLOOKUP(A287,'NHL PBP'!A:AH,34,FALSE)),4,5)))</f>
        <v>5</v>
      </c>
      <c r="K287">
        <f>IF(EXACT('Entry data'!$C$3,"Home"),IF(ISBLANK(VLOOKUP(A287,'NHL PBP'!A:AH,21,FALSE)),3,IF(ISBLANK(VLOOKUP(A287,'NHL PBP'!A:AH,23,FALSE)),4,5)),IF(ISBLANK(VLOOKUP(A287,'NHL PBP'!A:AH,32,FALSE)),3,IF(ISBLANK(VLOOKUP(A287,'NHL PBP'!A:AH,34,FALSE)),4,5)))</f>
        <v>4</v>
      </c>
      <c r="L287">
        <f>IF(OR(EXACT(D287,"C"),EXACT(D287,"P"),EXACT(D287,"D"),EXACT(D287,"T"),EXACT(D287,"X"),EXACT(E287,"DZF"),EXACT(E287,"OZF"),EXACT(D287,"N"),EXACT(D287,"F")),1,0)</f>
        <v>1</v>
      </c>
      <c r="M287" t="str">
        <f t="shared" si="16"/>
        <v/>
      </c>
      <c r="N287">
        <f t="shared" si="17"/>
        <v>0</v>
      </c>
      <c r="O287">
        <f t="shared" si="18"/>
        <v>0</v>
      </c>
      <c r="P287" t="str">
        <f t="shared" si="19"/>
        <v/>
      </c>
    </row>
    <row r="288" spans="1:16" x14ac:dyDescent="0.25">
      <c r="A288">
        <v>194</v>
      </c>
      <c r="B288">
        <f>IF($A288&gt;$A$1,"",VLOOKUP($A288,'NHL PBP'!$A:$L,8,FALSE))</f>
        <v>2</v>
      </c>
      <c r="C288">
        <f>IF($A288&gt;$A$1,"",IF(B288&gt;3,5/24,20/24)-VLOOKUP($A288,'NHL PBP'!$A:$L,10,FALSE))</f>
        <v>0.11458333333333337</v>
      </c>
      <c r="D288" t="str">
        <f>IF($A288&gt;$A$1,"",VLOOKUP($A288,'NHL PBP'!$A:$L,11,FALSE))</f>
        <v>BLOCK</v>
      </c>
      <c r="E288" t="str">
        <f>IF(AND(EXACT(D288,"FAC"),NOT(EXACT(MID(F288,9,3),"Neu"))),IF(OR(AND(EXACT(MID(F288,9,3),"Off"),EXACT(LEFT(F288,3),UPPER('Entry data'!$C$2))),AND(EXACT(MID(F288,9,3),"Def"),NOT(EXACT(LEFT(F288,3),UPPER('Entry data'!$C$2))))),"DZF","OZF"),"")</f>
        <v/>
      </c>
      <c r="F288" t="str">
        <f>IF($A288&gt;$A$1,"",VLOOKUP($A288,'NHL PBP'!$A:$L,12,FALSE))</f>
        <v>DET #71 LARKIN BLOCKED BY NSH #76 SUBBAN, Slap, Def. Zone</v>
      </c>
      <c r="J288">
        <f>IF(EXACT('Entry data'!$C$3,"Road"),IF(ISBLANK(VLOOKUP(A288,'NHL PBP'!A:AH,21,FALSE)),3,IF(ISBLANK(VLOOKUP(A288,'NHL PBP'!A:AH,23,FALSE)),4,5)),IF(ISBLANK(VLOOKUP(A288,'NHL PBP'!A:AH,32,FALSE)),3,IF(ISBLANK(VLOOKUP(A288,'NHL PBP'!A:AH,34,FALSE)),4,5)))</f>
        <v>5</v>
      </c>
      <c r="K288">
        <f>IF(EXACT('Entry data'!$C$3,"Home"),IF(ISBLANK(VLOOKUP(A288,'NHL PBP'!A:AH,21,FALSE)),3,IF(ISBLANK(VLOOKUP(A288,'NHL PBP'!A:AH,23,FALSE)),4,5)),IF(ISBLANK(VLOOKUP(A288,'NHL PBP'!A:AH,32,FALSE)),3,IF(ISBLANK(VLOOKUP(A288,'NHL PBP'!A:AH,34,FALSE)),4,5)))</f>
        <v>4</v>
      </c>
      <c r="L288">
        <f>IF(OR(EXACT(D288,"C"),EXACT(D288,"P"),EXACT(D288,"D"),EXACT(D288,"T"),EXACT(D288,"X"),EXACT(E288,"DZF"),EXACT(E288,"OZF"),EXACT(D288,"N"),EXACT(D288,"F")),1,0)</f>
        <v>0</v>
      </c>
      <c r="M288" t="str">
        <f t="shared" si="16"/>
        <v/>
      </c>
      <c r="N288">
        <f t="shared" si="17"/>
        <v>0</v>
      </c>
      <c r="O288">
        <f t="shared" si="18"/>
        <v>0</v>
      </c>
      <c r="P288" t="str">
        <f t="shared" si="19"/>
        <v/>
      </c>
    </row>
    <row r="289" spans="1:16" x14ac:dyDescent="0.25">
      <c r="A289">
        <v>94</v>
      </c>
      <c r="B289">
        <f>IF(ISBLANK(VLOOKUP($A289,'Entry data'!$A:$K,2,FALSE)),"",VLOOKUP($A289,'Entry data'!$A:$K,2,FALSE))</f>
        <v>2</v>
      </c>
      <c r="C289">
        <f>IF(ISBLANK(VLOOKUP($A289,'Entry data'!$A:$K,3,FALSE)),"",VLOOKUP($A289,'Entry data'!$A:$K,3,FALSE))</f>
        <v>0.1076388888888889</v>
      </c>
      <c r="D289" t="str">
        <f>IF(ISBLANK(VLOOKUP($A289,'Entry data'!$A:$K,4,FALSE)),"",VLOOKUP($A289,'Entry data'!$A:$K,4,FALSE))</f>
        <v>C</v>
      </c>
      <c r="E289" t="str">
        <f>IF(ISBLANK(VLOOKUP($A289,'Entry data'!$A:$K,5,FALSE)),"",VLOOKUP($A289,'Entry data'!$A:$K,5,FALSE))</f>
        <v>71DET</v>
      </c>
      <c r="F289" t="str">
        <f>IF(ISBLANK(VLOOKUP($A289,'Entry data'!$A:$K,6,FALSE)),"",VLOOKUP($A289,'Entry data'!$A:$K,6,FALSE))</f>
        <v>38NSH</v>
      </c>
      <c r="G289" t="str">
        <f>IF(ISBLANK(VLOOKUP($A289,'Entry data'!$A:$K,7,FALSE)),"",VLOOKUP($A289,'Entry data'!$A:$K,7,FALSE))</f>
        <v>N</v>
      </c>
      <c r="H289" t="str">
        <f>IF(ISBLANK(VLOOKUP($A289,'Entry data'!$A:$K,8,FALSE)),"",VLOOKUP($A289,'Entry data'!$A:$K,8,FALSE))</f>
        <v>R</v>
      </c>
      <c r="I289" t="str">
        <f>IF(ISBLANK(VLOOKUP($A289,'Entry data'!$A:$K,9,FALSE)),"",VLOOKUP($A289,'Entry data'!$A:$K,9,FALSE))</f>
        <v>N</v>
      </c>
      <c r="J289">
        <f>IF(ISBLANK(VLOOKUP($A289,'Entry data'!$A:$K,10,FALSE)),"",VLOOKUP($A289,'Entry data'!$A:$K,10,FALSE))</f>
        <v>5</v>
      </c>
      <c r="K289">
        <f>IF(ISBLANK(VLOOKUP($A289,'Entry data'!$A:$K,11,FALSE)),"",VLOOKUP($A289,'Entry data'!$A:$K,11,FALSE))</f>
        <v>4</v>
      </c>
      <c r="L289">
        <f>IF(OR(EXACT(D289,"C"),EXACT(D289,"P"),EXACT(D289,"D"),EXACT(D289,"T"),EXACT(D289,"X"),EXACT(E289,"DZF"),EXACT(E289,"OZF"),EXACT(D289,"N"),EXACT(D289,"F")),1,0)</f>
        <v>1</v>
      </c>
      <c r="M289" t="str">
        <f t="shared" si="16"/>
        <v>71DET</v>
      </c>
      <c r="N289">
        <f t="shared" si="17"/>
        <v>0</v>
      </c>
      <c r="O289">
        <f t="shared" si="18"/>
        <v>0</v>
      </c>
      <c r="P289" t="str">
        <f t="shared" si="19"/>
        <v/>
      </c>
    </row>
    <row r="290" spans="1:16" x14ac:dyDescent="0.25">
      <c r="A290">
        <v>195</v>
      </c>
      <c r="B290">
        <f>IF($A290&gt;$A$1,"",VLOOKUP($A290,'NHL PBP'!$A:$L,8,FALSE))</f>
        <v>2</v>
      </c>
      <c r="C290">
        <f>IF($A290&gt;$A$1,"",IF(B290&gt;3,5/24,20/24)-VLOOKUP($A290,'NHL PBP'!$A:$L,10,FALSE))</f>
        <v>0.1034722222222223</v>
      </c>
      <c r="D290" t="str">
        <f>IF($A290&gt;$A$1,"",VLOOKUP($A290,'NHL PBP'!$A:$L,11,FALSE))</f>
        <v>TAKE</v>
      </c>
      <c r="E290" t="str">
        <f>IF(AND(EXACT(D290,"FAC"),NOT(EXACT(MID(F290,9,3),"Neu"))),IF(OR(AND(EXACT(MID(F290,9,3),"Off"),EXACT(LEFT(F290,3),UPPER('Entry data'!$C$2))),AND(EXACT(MID(F290,9,3),"Def"),NOT(EXACT(LEFT(F290,3),UPPER('Entry data'!$C$2))))),"DZF","OZF"),"")</f>
        <v/>
      </c>
      <c r="F290" t="str">
        <f>IF($A290&gt;$A$1,"",VLOOKUP($A290,'NHL PBP'!$A:$L,12,FALSE))</f>
        <v>NSH TAKEAWAY - #76 SUBBAN, Def. Zone</v>
      </c>
      <c r="J290">
        <f>IF(EXACT('Entry data'!$C$3,"Road"),IF(ISBLANK(VLOOKUP(A290,'NHL PBP'!A:AH,21,FALSE)),3,IF(ISBLANK(VLOOKUP(A290,'NHL PBP'!A:AH,23,FALSE)),4,5)),IF(ISBLANK(VLOOKUP(A290,'NHL PBP'!A:AH,32,FALSE)),3,IF(ISBLANK(VLOOKUP(A290,'NHL PBP'!A:AH,34,FALSE)),4,5)))</f>
        <v>5</v>
      </c>
      <c r="K290">
        <f>IF(EXACT('Entry data'!$C$3,"Home"),IF(ISBLANK(VLOOKUP(A290,'NHL PBP'!A:AH,21,FALSE)),3,IF(ISBLANK(VLOOKUP(A290,'NHL PBP'!A:AH,23,FALSE)),4,5)),IF(ISBLANK(VLOOKUP(A290,'NHL PBP'!A:AH,32,FALSE)),3,IF(ISBLANK(VLOOKUP(A290,'NHL PBP'!A:AH,34,FALSE)),4,5)))</f>
        <v>4</v>
      </c>
      <c r="L290">
        <f>IF(OR(EXACT(D290,"C"),EXACT(D290,"P"),EXACT(D290,"D"),EXACT(D290,"T"),EXACT(D290,"X"),EXACT(E290,"DZF"),EXACT(E290,"OZF"),EXACT(D290,"N"),EXACT(D290,"F")),1,0)</f>
        <v>0</v>
      </c>
      <c r="M290" t="str">
        <f t="shared" si="16"/>
        <v/>
      </c>
      <c r="N290">
        <f t="shared" si="17"/>
        <v>0</v>
      </c>
      <c r="O290">
        <f t="shared" si="18"/>
        <v>0</v>
      </c>
      <c r="P290" t="str">
        <f t="shared" si="19"/>
        <v/>
      </c>
    </row>
    <row r="291" spans="1:16" x14ac:dyDescent="0.25">
      <c r="A291">
        <v>95</v>
      </c>
      <c r="B291">
        <f>IF(ISBLANK(VLOOKUP($A291,'Entry data'!$A:$K,2,FALSE)),"",VLOOKUP($A291,'Entry data'!$A:$K,2,FALSE))</f>
        <v>2</v>
      </c>
      <c r="C291">
        <f>IF(ISBLANK(VLOOKUP($A291,'Entry data'!$A:$K,3,FALSE)),"",VLOOKUP($A291,'Entry data'!$A:$K,3,FALSE))</f>
        <v>9.4444444444444442E-2</v>
      </c>
      <c r="D291" t="str">
        <f>IF(ISBLANK(VLOOKUP($A291,'Entry data'!$A:$K,4,FALSE)),"",VLOOKUP($A291,'Entry data'!$A:$K,4,FALSE))</f>
        <v>C</v>
      </c>
      <c r="E291" t="str">
        <f>IF(ISBLANK(VLOOKUP($A291,'Entry data'!$A:$K,5,FALSE)),"",VLOOKUP($A291,'Entry data'!$A:$K,5,FALSE))</f>
        <v>25DET</v>
      </c>
      <c r="F291" t="str">
        <f>IF(ISBLANK(VLOOKUP($A291,'Entry data'!$A:$K,6,FALSE)),"",VLOOKUP($A291,'Entry data'!$A:$K,6,FALSE))</f>
        <v>56NSH</v>
      </c>
      <c r="G291" t="str">
        <f>IF(ISBLANK(VLOOKUP($A291,'Entry data'!$A:$K,7,FALSE)),"",VLOOKUP($A291,'Entry data'!$A:$K,7,FALSE))</f>
        <v>Y</v>
      </c>
      <c r="H291" t="str">
        <f>IF(ISBLANK(VLOOKUP($A291,'Entry data'!$A:$K,8,FALSE)),"",VLOOKUP($A291,'Entry data'!$A:$K,8,FALSE))</f>
        <v>R</v>
      </c>
      <c r="I291" t="str">
        <f>IF(ISBLANK(VLOOKUP($A291,'Entry data'!$A:$K,9,FALSE)),"",VLOOKUP($A291,'Entry data'!$A:$K,9,FALSE))</f>
        <v>N</v>
      </c>
      <c r="J291">
        <f>IF(ISBLANK(VLOOKUP($A291,'Entry data'!$A:$K,10,FALSE)),"",VLOOKUP($A291,'Entry data'!$A:$K,10,FALSE))</f>
        <v>5</v>
      </c>
      <c r="K291">
        <f>IF(ISBLANK(VLOOKUP($A291,'Entry data'!$A:$K,11,FALSE)),"",VLOOKUP($A291,'Entry data'!$A:$K,11,FALSE))</f>
        <v>4</v>
      </c>
      <c r="L291">
        <f>IF(OR(EXACT(D291,"C"),EXACT(D291,"P"),EXACT(D291,"D"),EXACT(D291,"T"),EXACT(D291,"X"),EXACT(E291,"DZF"),EXACT(E291,"OZF"),EXACT(D291,"N"),EXACT(D291,"F")),1,0)</f>
        <v>1</v>
      </c>
      <c r="M291" t="str">
        <f t="shared" si="16"/>
        <v>25DET</v>
      </c>
      <c r="N291">
        <f t="shared" si="17"/>
        <v>1</v>
      </c>
      <c r="O291">
        <f t="shared" si="18"/>
        <v>0</v>
      </c>
      <c r="P291" t="str">
        <f t="shared" si="19"/>
        <v/>
      </c>
    </row>
    <row r="292" spans="1:16" x14ac:dyDescent="0.25">
      <c r="A292">
        <v>196</v>
      </c>
      <c r="B292">
        <f>IF($A292&gt;$A$1,"",VLOOKUP($A292,'NHL PBP'!$A:$L,8,FALSE))</f>
        <v>2</v>
      </c>
      <c r="C292">
        <f>IF($A292&gt;$A$1,"",IF(B292&gt;3,5/24,20/24)-VLOOKUP($A292,'NHL PBP'!$A:$L,10,FALSE))</f>
        <v>9.0972222222222232E-2</v>
      </c>
      <c r="D292" t="str">
        <f>IF($A292&gt;$A$1,"",VLOOKUP($A292,'NHL PBP'!$A:$L,11,FALSE))</f>
        <v>SHOT</v>
      </c>
      <c r="E292" t="str">
        <f>IF(AND(EXACT(D292,"FAC"),NOT(EXACT(MID(F292,9,3),"Neu"))),IF(OR(AND(EXACT(MID(F292,9,3),"Off"),EXACT(LEFT(F292,3),UPPER('Entry data'!$C$2))),AND(EXACT(MID(F292,9,3),"Def"),NOT(EXACT(LEFT(F292,3),UPPER('Entry data'!$C$2))))),"DZF","OZF"),"")</f>
        <v/>
      </c>
      <c r="F292" t="str">
        <f>IF($A292&gt;$A$1,"",VLOOKUP($A292,'NHL PBP'!$A:$L,12,FALSE))</f>
        <v>DET ONGOAL - #14 NYQUIST, Wrist, Off. Zone, 55 ft.</v>
      </c>
      <c r="J292">
        <f>IF(EXACT('Entry data'!$C$3,"Road"),IF(ISBLANK(VLOOKUP(A292,'NHL PBP'!A:AH,21,FALSE)),3,IF(ISBLANK(VLOOKUP(A292,'NHL PBP'!A:AH,23,FALSE)),4,5)),IF(ISBLANK(VLOOKUP(A292,'NHL PBP'!A:AH,32,FALSE)),3,IF(ISBLANK(VLOOKUP(A292,'NHL PBP'!A:AH,34,FALSE)),4,5)))</f>
        <v>5</v>
      </c>
      <c r="K292">
        <f>IF(EXACT('Entry data'!$C$3,"Home"),IF(ISBLANK(VLOOKUP(A292,'NHL PBP'!A:AH,21,FALSE)),3,IF(ISBLANK(VLOOKUP(A292,'NHL PBP'!A:AH,23,FALSE)),4,5)),IF(ISBLANK(VLOOKUP(A292,'NHL PBP'!A:AH,32,FALSE)),3,IF(ISBLANK(VLOOKUP(A292,'NHL PBP'!A:AH,34,FALSE)),4,5)))</f>
        <v>4</v>
      </c>
      <c r="L292">
        <f>IF(OR(EXACT(D292,"C"),EXACT(D292,"P"),EXACT(D292,"D"),EXACT(D292,"T"),EXACT(D292,"X"),EXACT(E292,"DZF"),EXACT(E292,"OZF"),EXACT(D292,"N"),EXACT(D292,"F")),1,0)</f>
        <v>0</v>
      </c>
      <c r="M292" t="str">
        <f t="shared" si="16"/>
        <v/>
      </c>
      <c r="N292">
        <f t="shared" si="17"/>
        <v>1</v>
      </c>
      <c r="O292">
        <f t="shared" si="18"/>
        <v>0</v>
      </c>
      <c r="P292" t="str">
        <f t="shared" si="19"/>
        <v/>
      </c>
    </row>
    <row r="293" spans="1:16" x14ac:dyDescent="0.25">
      <c r="A293">
        <v>197</v>
      </c>
      <c r="B293">
        <f>IF($A293&gt;$A$1,"",VLOOKUP($A293,'NHL PBP'!$A:$L,8,FALSE))</f>
        <v>2</v>
      </c>
      <c r="C293">
        <f>IF($A293&gt;$A$1,"",IF(B293&gt;3,5/24,20/24)-VLOOKUP($A293,'NHL PBP'!$A:$L,10,FALSE))</f>
        <v>9.0972222222222232E-2</v>
      </c>
      <c r="D293" t="str">
        <f>IF($A293&gt;$A$1,"",VLOOKUP($A293,'NHL PBP'!$A:$L,11,FALSE))</f>
        <v>STOP</v>
      </c>
      <c r="E293" t="str">
        <f>IF(AND(EXACT(D293,"FAC"),NOT(EXACT(MID(F293,9,3),"Neu"))),IF(OR(AND(EXACT(MID(F293,9,3),"Off"),EXACT(LEFT(F293,3),UPPER('Entry data'!$C$2))),AND(EXACT(MID(F293,9,3),"Def"),NOT(EXACT(LEFT(F293,3),UPPER('Entry data'!$C$2))))),"DZF","OZF"),"")</f>
        <v/>
      </c>
      <c r="F293" t="str">
        <f>IF($A293&gt;$A$1,"",VLOOKUP($A293,'NHL PBP'!$A:$L,12,FALSE))</f>
        <v>GOALIE STOPPED</v>
      </c>
      <c r="J293">
        <f>IF(EXACT('Entry data'!$C$3,"Road"),IF(ISBLANK(VLOOKUP(A293,'NHL PBP'!A:AH,21,FALSE)),3,IF(ISBLANK(VLOOKUP(A293,'NHL PBP'!A:AH,23,FALSE)),4,5)),IF(ISBLANK(VLOOKUP(A293,'NHL PBP'!A:AH,32,FALSE)),3,IF(ISBLANK(VLOOKUP(A293,'NHL PBP'!A:AH,34,FALSE)),4,5)))</f>
        <v>5</v>
      </c>
      <c r="K293">
        <f>IF(EXACT('Entry data'!$C$3,"Home"),IF(ISBLANK(VLOOKUP(A293,'NHL PBP'!A:AH,21,FALSE)),3,IF(ISBLANK(VLOOKUP(A293,'NHL PBP'!A:AH,23,FALSE)),4,5)),IF(ISBLANK(VLOOKUP(A293,'NHL PBP'!A:AH,32,FALSE)),3,IF(ISBLANK(VLOOKUP(A293,'NHL PBP'!A:AH,34,FALSE)),4,5)))</f>
        <v>4</v>
      </c>
      <c r="L293">
        <f>IF(OR(EXACT(D293,"C"),EXACT(D293,"P"),EXACT(D293,"D"),EXACT(D293,"T"),EXACT(D293,"X"),EXACT(E293,"DZF"),EXACT(E293,"OZF"),EXACT(D293,"N"),EXACT(D293,"F")),1,0)</f>
        <v>0</v>
      </c>
      <c r="M293" t="str">
        <f t="shared" si="16"/>
        <v/>
      </c>
      <c r="N293">
        <f t="shared" si="17"/>
        <v>0</v>
      </c>
      <c r="O293">
        <f t="shared" si="18"/>
        <v>0</v>
      </c>
      <c r="P293" t="str">
        <f t="shared" si="19"/>
        <v/>
      </c>
    </row>
    <row r="294" spans="1:16" x14ac:dyDescent="0.25">
      <c r="A294">
        <v>198</v>
      </c>
      <c r="B294">
        <f>IF($A294&gt;$A$1,"",VLOOKUP($A294,'NHL PBP'!$A:$L,8,FALSE))</f>
        <v>2</v>
      </c>
      <c r="C294">
        <f>IF($A294&gt;$A$1,"",IF(B294&gt;3,5/24,20/24)-VLOOKUP($A294,'NHL PBP'!$A:$L,10,FALSE))</f>
        <v>9.0972222222222232E-2</v>
      </c>
      <c r="D294" t="str">
        <f>IF($A294&gt;$A$1,"",VLOOKUP($A294,'NHL PBP'!$A:$L,11,FALSE))</f>
        <v>FAC</v>
      </c>
      <c r="E294" t="str">
        <f>IF(AND(EXACT(D294,"FAC"),NOT(EXACT(MID(F294,9,3),"Neu"))),IF(OR(AND(EXACT(MID(F294,9,3),"Off"),EXACT(LEFT(F294,3),UPPER('Entry data'!$C$2))),AND(EXACT(MID(F294,9,3),"Def"),NOT(EXACT(LEFT(F294,3),UPPER('Entry data'!$C$2))))),"DZF","OZF"),"")</f>
        <v>OZF</v>
      </c>
      <c r="F294" t="str">
        <f>IF($A294&gt;$A$1,"",VLOOKUP($A294,'NHL PBP'!$A:$L,12,FALSE))</f>
        <v>NSH won Def. Zone - NSH #12 FISHER vs DET #40 ZETTERBERG</v>
      </c>
      <c r="J294">
        <f>IF(EXACT('Entry data'!$C$3,"Road"),IF(ISBLANK(VLOOKUP(A294,'NHL PBP'!A:AH,21,FALSE)),3,IF(ISBLANK(VLOOKUP(A294,'NHL PBP'!A:AH,23,FALSE)),4,5)),IF(ISBLANK(VLOOKUP(A294,'NHL PBP'!A:AH,32,FALSE)),3,IF(ISBLANK(VLOOKUP(A294,'NHL PBP'!A:AH,34,FALSE)),4,5)))</f>
        <v>5</v>
      </c>
      <c r="K294">
        <f>IF(EXACT('Entry data'!$C$3,"Home"),IF(ISBLANK(VLOOKUP(A294,'NHL PBP'!A:AH,21,FALSE)),3,IF(ISBLANK(VLOOKUP(A294,'NHL PBP'!A:AH,23,FALSE)),4,5)),IF(ISBLANK(VLOOKUP(A294,'NHL PBP'!A:AH,32,FALSE)),3,IF(ISBLANK(VLOOKUP(A294,'NHL PBP'!A:AH,34,FALSE)),4,5)))</f>
        <v>4</v>
      </c>
      <c r="L294">
        <f>IF(OR(EXACT(D294,"C"),EXACT(D294,"P"),EXACT(D294,"D"),EXACT(D294,"T"),EXACT(D294,"X"),EXACT(E294,"DZF"),EXACT(E294,"OZF"),EXACT(D294,"N"),EXACT(D294,"F")),1,0)</f>
        <v>1</v>
      </c>
      <c r="M294" t="str">
        <f t="shared" si="16"/>
        <v/>
      </c>
      <c r="N294">
        <f t="shared" si="17"/>
        <v>0</v>
      </c>
      <c r="O294">
        <f t="shared" si="18"/>
        <v>0</v>
      </c>
      <c r="P294" t="str">
        <f t="shared" si="19"/>
        <v/>
      </c>
    </row>
    <row r="295" spans="1:16" x14ac:dyDescent="0.25">
      <c r="A295">
        <v>96</v>
      </c>
      <c r="B295">
        <f>IF(ISBLANK(VLOOKUP($A295,'Entry data'!$A:$K,2,FALSE)),"",VLOOKUP($A295,'Entry data'!$A:$K,2,FALSE))</f>
        <v>2</v>
      </c>
      <c r="C295">
        <f>IF(ISBLANK(VLOOKUP($A295,'Entry data'!$A:$K,3,FALSE)),"",VLOOKUP($A295,'Entry data'!$A:$K,3,FALSE))</f>
        <v>7.9861111111111105E-2</v>
      </c>
      <c r="D295" t="str">
        <f>IF(ISBLANK(VLOOKUP($A295,'Entry data'!$A:$K,4,FALSE)),"",VLOOKUP($A295,'Entry data'!$A:$K,4,FALSE))</f>
        <v>D</v>
      </c>
      <c r="E295" t="str">
        <f>IF(ISBLANK(VLOOKUP($A295,'Entry data'!$A:$K,5,FALSE)),"",VLOOKUP($A295,'Entry data'!$A:$K,5,FALSE))</f>
        <v>40DET</v>
      </c>
      <c r="F295" t="str">
        <f>IF(ISBLANK(VLOOKUP($A295,'Entry data'!$A:$K,6,FALSE)),"",VLOOKUP($A295,'Entry data'!$A:$K,6,FALSE))</f>
        <v>12NSH</v>
      </c>
      <c r="G295" t="str">
        <f>IF(ISBLANK(VLOOKUP($A295,'Entry data'!$A:$K,7,FALSE)),"",VLOOKUP($A295,'Entry data'!$A:$K,7,FALSE))</f>
        <v/>
      </c>
      <c r="H295" t="str">
        <f>IF(ISBLANK(VLOOKUP($A295,'Entry data'!$A:$K,8,FALSE)),"",VLOOKUP($A295,'Entry data'!$A:$K,8,FALSE))</f>
        <v>C</v>
      </c>
      <c r="I295" t="str">
        <f>IF(ISBLANK(VLOOKUP($A295,'Entry data'!$A:$K,9,FALSE)),"",VLOOKUP($A295,'Entry data'!$A:$K,9,FALSE))</f>
        <v>N</v>
      </c>
      <c r="J295">
        <f>IF(ISBLANK(VLOOKUP($A295,'Entry data'!$A:$K,10,FALSE)),"",VLOOKUP($A295,'Entry data'!$A:$K,10,FALSE))</f>
        <v>5</v>
      </c>
      <c r="K295">
        <f>IF(ISBLANK(VLOOKUP($A295,'Entry data'!$A:$K,11,FALSE)),"",VLOOKUP($A295,'Entry data'!$A:$K,11,FALSE))</f>
        <v>4</v>
      </c>
      <c r="L295">
        <f>IF(OR(EXACT(D295,"C"),EXACT(D295,"P"),EXACT(D295,"D"),EXACT(D295,"T"),EXACT(D295,"X"),EXACT(E295,"DZF"),EXACT(E295,"OZF"),EXACT(D295,"N"),EXACT(D295,"F")),1,0)</f>
        <v>1</v>
      </c>
      <c r="M295" t="str">
        <f t="shared" si="16"/>
        <v/>
      </c>
      <c r="N295">
        <f t="shared" si="17"/>
        <v>0</v>
      </c>
      <c r="O295">
        <f t="shared" si="18"/>
        <v>0</v>
      </c>
      <c r="P295" t="str">
        <f t="shared" si="19"/>
        <v/>
      </c>
    </row>
    <row r="296" spans="1:16" x14ac:dyDescent="0.25">
      <c r="A296">
        <v>97</v>
      </c>
      <c r="B296">
        <f>IF(ISBLANK(VLOOKUP($A296,'Entry data'!$A:$K,2,FALSE)),"",VLOOKUP($A296,'Entry data'!$A:$K,2,FALSE))</f>
        <v>2</v>
      </c>
      <c r="C296">
        <f>IF(ISBLANK(VLOOKUP($A296,'Entry data'!$A:$K,3,FALSE)),"",VLOOKUP($A296,'Entry data'!$A:$K,3,FALSE))</f>
        <v>7.2222222222222229E-2</v>
      </c>
      <c r="D296" t="str">
        <f>IF(ISBLANK(VLOOKUP($A296,'Entry data'!$A:$K,4,FALSE)),"",VLOOKUP($A296,'Entry data'!$A:$K,4,FALSE))</f>
        <v>D</v>
      </c>
      <c r="E296" t="str">
        <f>IF(ISBLANK(VLOOKUP($A296,'Entry data'!$A:$K,5,FALSE)),"",VLOOKUP($A296,'Entry data'!$A:$K,5,FALSE))</f>
        <v>51DET</v>
      </c>
      <c r="F296" t="str">
        <f>IF(ISBLANK(VLOOKUP($A296,'Entry data'!$A:$K,6,FALSE)),"",VLOOKUP($A296,'Entry data'!$A:$K,6,FALSE))</f>
        <v>4NSH</v>
      </c>
      <c r="G296" t="str">
        <f>IF(ISBLANK(VLOOKUP($A296,'Entry data'!$A:$K,7,FALSE)),"",VLOOKUP($A296,'Entry data'!$A:$K,7,FALSE))</f>
        <v/>
      </c>
      <c r="H296" t="str">
        <f>IF(ISBLANK(VLOOKUP($A296,'Entry data'!$A:$K,8,FALSE)),"",VLOOKUP($A296,'Entry data'!$A:$K,8,FALSE))</f>
        <v>L</v>
      </c>
      <c r="I296" t="str">
        <f>IF(ISBLANK(VLOOKUP($A296,'Entry data'!$A:$K,9,FALSE)),"",VLOOKUP($A296,'Entry data'!$A:$K,9,FALSE))</f>
        <v>N</v>
      </c>
      <c r="J296">
        <f>IF(ISBLANK(VLOOKUP($A296,'Entry data'!$A:$K,10,FALSE)),"",VLOOKUP($A296,'Entry data'!$A:$K,10,FALSE))</f>
        <v>5</v>
      </c>
      <c r="K296">
        <f>IF(ISBLANK(VLOOKUP($A296,'Entry data'!$A:$K,11,FALSE)),"",VLOOKUP($A296,'Entry data'!$A:$K,11,FALSE))</f>
        <v>5</v>
      </c>
      <c r="L296">
        <f>IF(OR(EXACT(D296,"C"),EXACT(D296,"P"),EXACT(D296,"D"),EXACT(D296,"T"),EXACT(D296,"X"),EXACT(E296,"DZF"),EXACT(E296,"OZF"),EXACT(D296,"N"),EXACT(D296,"F")),1,0)</f>
        <v>1</v>
      </c>
      <c r="M296" t="str">
        <f t="shared" si="16"/>
        <v/>
      </c>
      <c r="N296">
        <f t="shared" si="17"/>
        <v>0</v>
      </c>
      <c r="O296">
        <f t="shared" si="18"/>
        <v>0</v>
      </c>
      <c r="P296" t="str">
        <f t="shared" si="19"/>
        <v/>
      </c>
    </row>
    <row r="297" spans="1:16" x14ac:dyDescent="0.25">
      <c r="A297">
        <v>199</v>
      </c>
      <c r="B297">
        <f>IF($A297&gt;$A$1,"",VLOOKUP($A297,'NHL PBP'!$A:$L,8,FALSE))</f>
        <v>2</v>
      </c>
      <c r="C297">
        <f>IF($A297&gt;$A$1,"",IF(B297&gt;3,5/24,20/24)-VLOOKUP($A297,'NHL PBP'!$A:$L,10,FALSE))</f>
        <v>5.9722222222222232E-2</v>
      </c>
      <c r="D297" t="str">
        <f>IF($A297&gt;$A$1,"",VLOOKUP($A297,'NHL PBP'!$A:$L,11,FALSE))</f>
        <v>STOP</v>
      </c>
      <c r="E297" t="str">
        <f>IF(AND(EXACT(D297,"FAC"),NOT(EXACT(MID(F297,9,3),"Neu"))),IF(OR(AND(EXACT(MID(F297,9,3),"Off"),EXACT(LEFT(F297,3),UPPER('Entry data'!$C$2))),AND(EXACT(MID(F297,9,3),"Def"),NOT(EXACT(LEFT(F297,3),UPPER('Entry data'!$C$2))))),"DZF","OZF"),"")</f>
        <v/>
      </c>
      <c r="F297" t="str">
        <f>IF($A297&gt;$A$1,"",VLOOKUP($A297,'NHL PBP'!$A:$L,12,FALSE))</f>
        <v>HIGH STICK</v>
      </c>
      <c r="J297">
        <f>IF(EXACT('Entry data'!$C$3,"Road"),IF(ISBLANK(VLOOKUP(A297,'NHL PBP'!A:AH,21,FALSE)),3,IF(ISBLANK(VLOOKUP(A297,'NHL PBP'!A:AH,23,FALSE)),4,5)),IF(ISBLANK(VLOOKUP(A297,'NHL PBP'!A:AH,32,FALSE)),3,IF(ISBLANK(VLOOKUP(A297,'NHL PBP'!A:AH,34,FALSE)),4,5)))</f>
        <v>5</v>
      </c>
      <c r="K297">
        <f>IF(EXACT('Entry data'!$C$3,"Home"),IF(ISBLANK(VLOOKUP(A297,'NHL PBP'!A:AH,21,FALSE)),3,IF(ISBLANK(VLOOKUP(A297,'NHL PBP'!A:AH,23,FALSE)),4,5)),IF(ISBLANK(VLOOKUP(A297,'NHL PBP'!A:AH,32,FALSE)),3,IF(ISBLANK(VLOOKUP(A297,'NHL PBP'!A:AH,34,FALSE)),4,5)))</f>
        <v>5</v>
      </c>
      <c r="L297">
        <f>IF(OR(EXACT(D297,"C"),EXACT(D297,"P"),EXACT(D297,"D"),EXACT(D297,"T"),EXACT(D297,"X"),EXACT(E297,"DZF"),EXACT(E297,"OZF"),EXACT(D297,"N"),EXACT(D297,"F")),1,0)</f>
        <v>0</v>
      </c>
      <c r="M297" t="str">
        <f t="shared" si="16"/>
        <v/>
      </c>
      <c r="N297">
        <f t="shared" si="17"/>
        <v>0</v>
      </c>
      <c r="O297">
        <f t="shared" si="18"/>
        <v>0</v>
      </c>
      <c r="P297" t="str">
        <f t="shared" si="19"/>
        <v/>
      </c>
    </row>
    <row r="298" spans="1:16" x14ac:dyDescent="0.25">
      <c r="A298">
        <v>200</v>
      </c>
      <c r="B298">
        <f>IF($A298&gt;$A$1,"",VLOOKUP($A298,'NHL PBP'!$A:$L,8,FALSE))</f>
        <v>2</v>
      </c>
      <c r="C298">
        <f>IF($A298&gt;$A$1,"",IF(B298&gt;3,5/24,20/24)-VLOOKUP($A298,'NHL PBP'!$A:$L,10,FALSE))</f>
        <v>5.9722222222222232E-2</v>
      </c>
      <c r="D298" t="str">
        <f>IF($A298&gt;$A$1,"",VLOOKUP($A298,'NHL PBP'!$A:$L,11,FALSE))</f>
        <v>FAC</v>
      </c>
      <c r="E298" t="str">
        <f>IF(AND(EXACT(D298,"FAC"),NOT(EXACT(MID(F298,9,3),"Neu"))),IF(OR(AND(EXACT(MID(F298,9,3),"Off"),EXACT(LEFT(F298,3),UPPER('Entry data'!$C$2))),AND(EXACT(MID(F298,9,3),"Def"),NOT(EXACT(LEFT(F298,3),UPPER('Entry data'!$C$2))))),"DZF","OZF"),"")</f>
        <v/>
      </c>
      <c r="F298" t="str">
        <f>IF($A298&gt;$A$1,"",VLOOKUP($A298,'NHL PBP'!$A:$L,12,FALSE))</f>
        <v>DET won Neu. Zone - NSH #63 RIBEIRO vs DET #41 GLENDENING</v>
      </c>
      <c r="J298">
        <f>IF(EXACT('Entry data'!$C$3,"Road"),IF(ISBLANK(VLOOKUP(A298,'NHL PBP'!A:AH,21,FALSE)),3,IF(ISBLANK(VLOOKUP(A298,'NHL PBP'!A:AH,23,FALSE)),4,5)),IF(ISBLANK(VLOOKUP(A298,'NHL PBP'!A:AH,32,FALSE)),3,IF(ISBLANK(VLOOKUP(A298,'NHL PBP'!A:AH,34,FALSE)),4,5)))</f>
        <v>5</v>
      </c>
      <c r="K298">
        <f>IF(EXACT('Entry data'!$C$3,"Home"),IF(ISBLANK(VLOOKUP(A298,'NHL PBP'!A:AH,21,FALSE)),3,IF(ISBLANK(VLOOKUP(A298,'NHL PBP'!A:AH,23,FALSE)),4,5)),IF(ISBLANK(VLOOKUP(A298,'NHL PBP'!A:AH,32,FALSE)),3,IF(ISBLANK(VLOOKUP(A298,'NHL PBP'!A:AH,34,FALSE)),4,5)))</f>
        <v>5</v>
      </c>
      <c r="L298">
        <f>IF(OR(EXACT(D298,"C"),EXACT(D298,"P"),EXACT(D298,"D"),EXACT(D298,"T"),EXACT(D298,"X"),EXACT(E298,"DZF"),EXACT(E298,"OZF"),EXACT(D298,"N"),EXACT(D298,"F")),1,0)</f>
        <v>0</v>
      </c>
      <c r="M298" t="str">
        <f t="shared" si="16"/>
        <v/>
      </c>
      <c r="N298">
        <f t="shared" si="17"/>
        <v>0</v>
      </c>
      <c r="O298">
        <f t="shared" si="18"/>
        <v>0</v>
      </c>
      <c r="P298" t="str">
        <f t="shared" si="19"/>
        <v/>
      </c>
    </row>
    <row r="299" spans="1:16" x14ac:dyDescent="0.25">
      <c r="A299">
        <v>98</v>
      </c>
      <c r="B299">
        <f>IF(ISBLANK(VLOOKUP($A299,'Entry data'!$A:$K,2,FALSE)),"",VLOOKUP($A299,'Entry data'!$A:$K,2,FALSE))</f>
        <v>2</v>
      </c>
      <c r="C299">
        <f>IF(ISBLANK(VLOOKUP($A299,'Entry data'!$A:$K,3,FALSE)),"",VLOOKUP($A299,'Entry data'!$A:$K,3,FALSE))</f>
        <v>5.6944444444444443E-2</v>
      </c>
      <c r="D299" t="str">
        <f>IF(ISBLANK(VLOOKUP($A299,'Entry data'!$A:$K,4,FALSE)),"",VLOOKUP($A299,'Entry data'!$A:$K,4,FALSE))</f>
        <v>D</v>
      </c>
      <c r="E299" t="str">
        <f>IF(ISBLANK(VLOOKUP($A299,'Entry data'!$A:$K,5,FALSE)),"",VLOOKUP($A299,'Entry data'!$A:$K,5,FALSE))</f>
        <v>43DET</v>
      </c>
      <c r="F299" t="str">
        <f>IF(ISBLANK(VLOOKUP($A299,'Entry data'!$A:$K,6,FALSE)),"",VLOOKUP($A299,'Entry data'!$A:$K,6,FALSE))</f>
        <v>76NSH</v>
      </c>
      <c r="G299" t="str">
        <f>IF(ISBLANK(VLOOKUP($A299,'Entry data'!$A:$K,7,FALSE)),"",VLOOKUP($A299,'Entry data'!$A:$K,7,FALSE))</f>
        <v/>
      </c>
      <c r="H299" t="str">
        <f>IF(ISBLANK(VLOOKUP($A299,'Entry data'!$A:$K,8,FALSE)),"",VLOOKUP($A299,'Entry data'!$A:$K,8,FALSE))</f>
        <v>L</v>
      </c>
      <c r="I299" t="str">
        <f>IF(ISBLANK(VLOOKUP($A299,'Entry data'!$A:$K,9,FALSE)),"",VLOOKUP($A299,'Entry data'!$A:$K,9,FALSE))</f>
        <v>N</v>
      </c>
      <c r="J299">
        <f>IF(ISBLANK(VLOOKUP($A299,'Entry data'!$A:$K,10,FALSE)),"",VLOOKUP($A299,'Entry data'!$A:$K,10,FALSE))</f>
        <v>5</v>
      </c>
      <c r="K299">
        <f>IF(ISBLANK(VLOOKUP($A299,'Entry data'!$A:$K,11,FALSE)),"",VLOOKUP($A299,'Entry data'!$A:$K,11,FALSE))</f>
        <v>5</v>
      </c>
      <c r="L299">
        <f>IF(OR(EXACT(D299,"C"),EXACT(D299,"P"),EXACT(D299,"D"),EXACT(D299,"T"),EXACT(D299,"X"),EXACT(E299,"DZF"),EXACT(E299,"OZF"),EXACT(D299,"N"),EXACT(D299,"F")),1,0)</f>
        <v>1</v>
      </c>
      <c r="M299" t="str">
        <f t="shared" si="16"/>
        <v/>
      </c>
      <c r="N299">
        <f t="shared" si="17"/>
        <v>0</v>
      </c>
      <c r="O299">
        <f t="shared" si="18"/>
        <v>0</v>
      </c>
      <c r="P299" t="str">
        <f t="shared" si="19"/>
        <v/>
      </c>
    </row>
    <row r="300" spans="1:16" x14ac:dyDescent="0.25">
      <c r="A300">
        <v>99</v>
      </c>
      <c r="B300">
        <f>IF(ISBLANK(VLOOKUP($A300,'Entry data'!$A:$K,2,FALSE)),"",VLOOKUP($A300,'Entry data'!$A:$K,2,FALSE))</f>
        <v>2</v>
      </c>
      <c r="C300">
        <f>IF(ISBLANK(VLOOKUP($A300,'Entry data'!$A:$K,3,FALSE)),"",VLOOKUP($A300,'Entry data'!$A:$K,3,FALSE))</f>
        <v>4.2361111111111106E-2</v>
      </c>
      <c r="D300" t="str">
        <f>IF(ISBLANK(VLOOKUP($A300,'Entry data'!$A:$K,4,FALSE)),"",VLOOKUP($A300,'Entry data'!$A:$K,4,FALSE))</f>
        <v>D</v>
      </c>
      <c r="E300" t="str">
        <f>IF(ISBLANK(VLOOKUP($A300,'Entry data'!$A:$K,5,FALSE)),"",VLOOKUP($A300,'Entry data'!$A:$K,5,FALSE))</f>
        <v>9NSH</v>
      </c>
      <c r="F300" t="str">
        <f>IF(ISBLANK(VLOOKUP($A300,'Entry data'!$A:$K,6,FALSE)),"",VLOOKUP($A300,'Entry data'!$A:$K,6,FALSE))</f>
        <v>N</v>
      </c>
      <c r="G300" t="str">
        <f>IF(ISBLANK(VLOOKUP($A300,'Entry data'!$A:$K,7,FALSE)),"",VLOOKUP($A300,'Entry data'!$A:$K,7,FALSE))</f>
        <v/>
      </c>
      <c r="H300" t="str">
        <f>IF(ISBLANK(VLOOKUP($A300,'Entry data'!$A:$K,8,FALSE)),"",VLOOKUP($A300,'Entry data'!$A:$K,8,FALSE))</f>
        <v>C</v>
      </c>
      <c r="I300" t="str">
        <f>IF(ISBLANK(VLOOKUP($A300,'Entry data'!$A:$K,9,FALSE)),"",VLOOKUP($A300,'Entry data'!$A:$K,9,FALSE))</f>
        <v>N</v>
      </c>
      <c r="J300">
        <f>IF(ISBLANK(VLOOKUP($A300,'Entry data'!$A:$K,10,FALSE)),"",VLOOKUP($A300,'Entry data'!$A:$K,10,FALSE))</f>
        <v>5</v>
      </c>
      <c r="K300">
        <f>IF(ISBLANK(VLOOKUP($A300,'Entry data'!$A:$K,11,FALSE)),"",VLOOKUP($A300,'Entry data'!$A:$K,11,FALSE))</f>
        <v>5</v>
      </c>
      <c r="L300">
        <f>IF(OR(EXACT(D300,"C"),EXACT(D300,"P"),EXACT(D300,"D"),EXACT(D300,"T"),EXACT(D300,"X"),EXACT(E300,"DZF"),EXACT(E300,"OZF"),EXACT(D300,"N"),EXACT(D300,"F")),1,0)</f>
        <v>1</v>
      </c>
      <c r="M300" t="str">
        <f t="shared" si="16"/>
        <v/>
      </c>
      <c r="N300">
        <f t="shared" si="17"/>
        <v>0</v>
      </c>
      <c r="O300">
        <f t="shared" si="18"/>
        <v>0</v>
      </c>
      <c r="P300" t="str">
        <f t="shared" si="19"/>
        <v/>
      </c>
    </row>
    <row r="301" spans="1:16" x14ac:dyDescent="0.25">
      <c r="A301">
        <v>100</v>
      </c>
      <c r="B301">
        <f>IF(ISBLANK(VLOOKUP($A301,'Entry data'!$A:$K,2,FALSE)),"",VLOOKUP($A301,'Entry data'!$A:$K,2,FALSE))</f>
        <v>2</v>
      </c>
      <c r="C301">
        <f>IF(ISBLANK(VLOOKUP($A301,'Entry data'!$A:$K,3,FALSE)),"",VLOOKUP($A301,'Entry data'!$A:$K,3,FALSE))</f>
        <v>3.4722222222222224E-2</v>
      </c>
      <c r="D301" t="str">
        <f>IF(ISBLANK(VLOOKUP($A301,'Entry data'!$A:$K,4,FALSE)),"",VLOOKUP($A301,'Entry data'!$A:$K,4,FALSE))</f>
        <v>C</v>
      </c>
      <c r="E301" t="str">
        <f>IF(ISBLANK(VLOOKUP($A301,'Entry data'!$A:$K,5,FALSE)),"",VLOOKUP($A301,'Entry data'!$A:$K,5,FALSE))</f>
        <v>41DET</v>
      </c>
      <c r="F301" t="str">
        <f>IF(ISBLANK(VLOOKUP($A301,'Entry data'!$A:$K,6,FALSE)),"",VLOOKUP($A301,'Entry data'!$A:$K,6,FALSE))</f>
        <v>59NSH</v>
      </c>
      <c r="G301" t="str">
        <f>IF(ISBLANK(VLOOKUP($A301,'Entry data'!$A:$K,7,FALSE)),"",VLOOKUP($A301,'Entry data'!$A:$K,7,FALSE))</f>
        <v>N</v>
      </c>
      <c r="H301" t="str">
        <f>IF(ISBLANK(VLOOKUP($A301,'Entry data'!$A:$K,8,FALSE)),"",VLOOKUP($A301,'Entry data'!$A:$K,8,FALSE))</f>
        <v>C</v>
      </c>
      <c r="I301" t="str">
        <f>IF(ISBLANK(VLOOKUP($A301,'Entry data'!$A:$K,9,FALSE)),"",VLOOKUP($A301,'Entry data'!$A:$K,9,FALSE))</f>
        <v>N</v>
      </c>
      <c r="J301">
        <f>IF(ISBLANK(VLOOKUP($A301,'Entry data'!$A:$K,10,FALSE)),"",VLOOKUP($A301,'Entry data'!$A:$K,10,FALSE))</f>
        <v>5</v>
      </c>
      <c r="K301">
        <f>IF(ISBLANK(VLOOKUP($A301,'Entry data'!$A:$K,11,FALSE)),"",VLOOKUP($A301,'Entry data'!$A:$K,11,FALSE))</f>
        <v>5</v>
      </c>
      <c r="L301">
        <f>IF(OR(EXACT(D301,"C"),EXACT(D301,"P"),EXACT(D301,"D"),EXACT(D301,"T"),EXACT(D301,"X"),EXACT(E301,"DZF"),EXACT(E301,"OZF"),EXACT(D301,"N"),EXACT(D301,"F")),1,0)</f>
        <v>1</v>
      </c>
      <c r="M301" t="str">
        <f t="shared" si="16"/>
        <v>41DET</v>
      </c>
      <c r="N301">
        <f t="shared" si="17"/>
        <v>2</v>
      </c>
      <c r="O301">
        <f t="shared" si="18"/>
        <v>1</v>
      </c>
      <c r="P301" t="str">
        <f t="shared" si="19"/>
        <v/>
      </c>
    </row>
    <row r="302" spans="1:16" x14ac:dyDescent="0.25">
      <c r="A302">
        <v>201</v>
      </c>
      <c r="B302">
        <f>IF($A302&gt;$A$1,"",VLOOKUP($A302,'NHL PBP'!$A:$L,8,FALSE))</f>
        <v>2</v>
      </c>
      <c r="C302">
        <f>IF($A302&gt;$A$1,"",IF(B302&gt;3,5/24,20/24)-VLOOKUP($A302,'NHL PBP'!$A:$L,10,FALSE))</f>
        <v>3.1944444444444442E-2</v>
      </c>
      <c r="D302" t="str">
        <f>IF($A302&gt;$A$1,"",VLOOKUP($A302,'NHL PBP'!$A:$L,11,FALSE))</f>
        <v>SHOT</v>
      </c>
      <c r="E302" t="str">
        <f>IF(AND(EXACT(D302,"FAC"),NOT(EXACT(MID(F302,9,3),"Neu"))),IF(OR(AND(EXACT(MID(F302,9,3),"Off"),EXACT(LEFT(F302,3),UPPER('Entry data'!$C$2))),AND(EXACT(MID(F302,9,3),"Def"),NOT(EXACT(LEFT(F302,3),UPPER('Entry data'!$C$2))))),"DZF","OZF"),"")</f>
        <v/>
      </c>
      <c r="F302" t="str">
        <f>IF($A302&gt;$A$1,"",VLOOKUP($A302,'NHL PBP'!$A:$L,12,FALSE))</f>
        <v>DET ONGOAL - #41 GLENDENING, Backhand, Off. Zone, 11 ft.</v>
      </c>
      <c r="J302">
        <f>IF(EXACT('Entry data'!$C$3,"Road"),IF(ISBLANK(VLOOKUP(A302,'NHL PBP'!A:AH,21,FALSE)),3,IF(ISBLANK(VLOOKUP(A302,'NHL PBP'!A:AH,23,FALSE)),4,5)),IF(ISBLANK(VLOOKUP(A302,'NHL PBP'!A:AH,32,FALSE)),3,IF(ISBLANK(VLOOKUP(A302,'NHL PBP'!A:AH,34,FALSE)),4,5)))</f>
        <v>5</v>
      </c>
      <c r="K302">
        <f>IF(EXACT('Entry data'!$C$3,"Home"),IF(ISBLANK(VLOOKUP(A302,'NHL PBP'!A:AH,21,FALSE)),3,IF(ISBLANK(VLOOKUP(A302,'NHL PBP'!A:AH,23,FALSE)),4,5)),IF(ISBLANK(VLOOKUP(A302,'NHL PBP'!A:AH,32,FALSE)),3,IF(ISBLANK(VLOOKUP(A302,'NHL PBP'!A:AH,34,FALSE)),4,5)))</f>
        <v>5</v>
      </c>
      <c r="L302">
        <f>IF(OR(EXACT(D302,"C"),EXACT(D302,"P"),EXACT(D302,"D"),EXACT(D302,"T"),EXACT(D302,"X"),EXACT(E302,"DZF"),EXACT(E302,"OZF"),EXACT(D302,"N"),EXACT(D302,"F")),1,0)</f>
        <v>0</v>
      </c>
      <c r="M302" t="str">
        <f t="shared" si="16"/>
        <v/>
      </c>
      <c r="N302">
        <f t="shared" si="17"/>
        <v>2</v>
      </c>
      <c r="O302">
        <f t="shared" si="18"/>
        <v>1</v>
      </c>
      <c r="P302" t="str">
        <f t="shared" si="19"/>
        <v/>
      </c>
    </row>
    <row r="303" spans="1:16" x14ac:dyDescent="0.25">
      <c r="A303">
        <v>202</v>
      </c>
      <c r="B303">
        <f>IF($A303&gt;$A$1,"",VLOOKUP($A303,'NHL PBP'!$A:$L,8,FALSE))</f>
        <v>2</v>
      </c>
      <c r="C303">
        <f>IF($A303&gt;$A$1,"",IF(B303&gt;3,5/24,20/24)-VLOOKUP($A303,'NHL PBP'!$A:$L,10,FALSE))</f>
        <v>2.8472222222222232E-2</v>
      </c>
      <c r="D303" t="str">
        <f>IF($A303&gt;$A$1,"",VLOOKUP($A303,'NHL PBP'!$A:$L,11,FALSE))</f>
        <v>BLOCK</v>
      </c>
      <c r="E303" t="str">
        <f>IF(AND(EXACT(D303,"FAC"),NOT(EXACT(MID(F303,9,3),"Neu"))),IF(OR(AND(EXACT(MID(F303,9,3),"Off"),EXACT(LEFT(F303,3),UPPER('Entry data'!$C$2))),AND(EXACT(MID(F303,9,3),"Def"),NOT(EXACT(LEFT(F303,3),UPPER('Entry data'!$C$2))))),"DZF","OZF"),"")</f>
        <v/>
      </c>
      <c r="F303" t="str">
        <f>IF($A303&gt;$A$1,"",VLOOKUP($A303,'NHL PBP'!$A:$L,12,FALSE))</f>
        <v>DET #25 GREEN BLOCKED BY NSH #76 SUBBAN, Slap, Def. Zone</v>
      </c>
      <c r="J303">
        <f>IF(EXACT('Entry data'!$C$3,"Road"),IF(ISBLANK(VLOOKUP(A303,'NHL PBP'!A:AH,21,FALSE)),3,IF(ISBLANK(VLOOKUP(A303,'NHL PBP'!A:AH,23,FALSE)),4,5)),IF(ISBLANK(VLOOKUP(A303,'NHL PBP'!A:AH,32,FALSE)),3,IF(ISBLANK(VLOOKUP(A303,'NHL PBP'!A:AH,34,FALSE)),4,5)))</f>
        <v>5</v>
      </c>
      <c r="K303">
        <f>IF(EXACT('Entry data'!$C$3,"Home"),IF(ISBLANK(VLOOKUP(A303,'NHL PBP'!A:AH,21,FALSE)),3,IF(ISBLANK(VLOOKUP(A303,'NHL PBP'!A:AH,23,FALSE)),4,5)),IF(ISBLANK(VLOOKUP(A303,'NHL PBP'!A:AH,32,FALSE)),3,IF(ISBLANK(VLOOKUP(A303,'NHL PBP'!A:AH,34,FALSE)),4,5)))</f>
        <v>5</v>
      </c>
      <c r="L303">
        <f>IF(OR(EXACT(D303,"C"),EXACT(D303,"P"),EXACT(D303,"D"),EXACT(D303,"T"),EXACT(D303,"X"),EXACT(E303,"DZF"),EXACT(E303,"OZF"),EXACT(D303,"N"),EXACT(D303,"F")),1,0)</f>
        <v>0</v>
      </c>
      <c r="M303" t="str">
        <f t="shared" si="16"/>
        <v/>
      </c>
      <c r="N303">
        <f t="shared" si="17"/>
        <v>1</v>
      </c>
      <c r="O303">
        <f t="shared" si="18"/>
        <v>1</v>
      </c>
      <c r="P303" t="str">
        <f t="shared" si="19"/>
        <v/>
      </c>
    </row>
    <row r="304" spans="1:16" x14ac:dyDescent="0.25">
      <c r="A304">
        <v>203</v>
      </c>
      <c r="B304">
        <f>IF($A304&gt;$A$1,"",VLOOKUP($A304,'NHL PBP'!$A:$L,8,FALSE))</f>
        <v>2</v>
      </c>
      <c r="C304">
        <f>IF($A304&gt;$A$1,"",IF(B304&gt;3,5/24,20/24)-VLOOKUP($A304,'NHL PBP'!$A:$L,10,FALSE))</f>
        <v>2.7777777777777901E-2</v>
      </c>
      <c r="D304" t="str">
        <f>IF($A304&gt;$A$1,"",VLOOKUP($A304,'NHL PBP'!$A:$L,11,FALSE))</f>
        <v>GOAL</v>
      </c>
      <c r="E304" t="str">
        <f>IF(AND(EXACT(D304,"FAC"),NOT(EXACT(MID(F304,9,3),"Neu"))),IF(OR(AND(EXACT(MID(F304,9,3),"Off"),EXACT(LEFT(F304,3),UPPER('Entry data'!$C$2))),AND(EXACT(MID(F304,9,3),"Def"),NOT(EXACT(LEFT(F304,3),UPPER('Entry data'!$C$2))))),"DZF","OZF"),"")</f>
        <v/>
      </c>
      <c r="F304" t="str">
        <f>IF($A304&gt;$A$1,"",VLOOKUP($A304,'NHL PBP'!$A:$L,12,FALSE))</f>
        <v>DET #20 MILLER(2), Slap, Off. Zone, 22 ft.</v>
      </c>
      <c r="J304">
        <f>IF(EXACT('Entry data'!$C$3,"Road"),IF(ISBLANK(VLOOKUP(A304,'NHL PBP'!A:AH,21,FALSE)),3,IF(ISBLANK(VLOOKUP(A304,'NHL PBP'!A:AH,23,FALSE)),4,5)),IF(ISBLANK(VLOOKUP(A304,'NHL PBP'!A:AH,32,FALSE)),3,IF(ISBLANK(VLOOKUP(A304,'NHL PBP'!A:AH,34,FALSE)),4,5)))</f>
        <v>5</v>
      </c>
      <c r="K304">
        <f>IF(EXACT('Entry data'!$C$3,"Home"),IF(ISBLANK(VLOOKUP(A304,'NHL PBP'!A:AH,21,FALSE)),3,IF(ISBLANK(VLOOKUP(A304,'NHL PBP'!A:AH,23,FALSE)),4,5)),IF(ISBLANK(VLOOKUP(A304,'NHL PBP'!A:AH,32,FALSE)),3,IF(ISBLANK(VLOOKUP(A304,'NHL PBP'!A:AH,34,FALSE)),4,5)))</f>
        <v>5</v>
      </c>
      <c r="L304">
        <f>IF(OR(EXACT(D304,"C"),EXACT(D304,"P"),EXACT(D304,"D"),EXACT(D304,"T"),EXACT(D304,"X"),EXACT(E304,"DZF"),EXACT(E304,"OZF"),EXACT(D304,"N"),EXACT(D304,"F")),1,0)</f>
        <v>0</v>
      </c>
      <c r="M304" t="str">
        <f t="shared" si="16"/>
        <v/>
      </c>
      <c r="N304">
        <f t="shared" si="17"/>
        <v>1</v>
      </c>
      <c r="O304">
        <f t="shared" si="18"/>
        <v>1</v>
      </c>
      <c r="P304" t="str">
        <f t="shared" si="19"/>
        <v/>
      </c>
    </row>
    <row r="305" spans="1:16" x14ac:dyDescent="0.25">
      <c r="A305">
        <v>101</v>
      </c>
      <c r="B305">
        <f>IF(ISBLANK(VLOOKUP($A305,'Entry data'!$A:$K,2,FALSE)),"",VLOOKUP($A305,'Entry data'!$A:$K,2,FALSE))</f>
        <v>2</v>
      </c>
      <c r="C305">
        <f>IF(ISBLANK(VLOOKUP($A305,'Entry data'!$A:$K,3,FALSE)),"",VLOOKUP($A305,'Entry data'!$A:$K,3,FALSE))</f>
        <v>1.9444444444444445E-2</v>
      </c>
      <c r="D305" t="str">
        <f>IF(ISBLANK(VLOOKUP($A305,'Entry data'!$A:$K,4,FALSE)),"",VLOOKUP($A305,'Entry data'!$A:$K,4,FALSE))</f>
        <v>X</v>
      </c>
      <c r="E305" t="str">
        <f>IF(ISBLANK(VLOOKUP($A305,'Entry data'!$A:$K,5,FALSE)),"",VLOOKUP($A305,'Entry data'!$A:$K,5,FALSE))</f>
        <v>DET</v>
      </c>
      <c r="F305" t="str">
        <f>IF(ISBLANK(VLOOKUP($A305,'Entry data'!$A:$K,6,FALSE)),"",VLOOKUP($A305,'Entry data'!$A:$K,6,FALSE))</f>
        <v/>
      </c>
      <c r="G305" t="str">
        <f>IF(ISBLANK(VLOOKUP($A305,'Entry data'!$A:$K,7,FALSE)),"",VLOOKUP($A305,'Entry data'!$A:$K,7,FALSE))</f>
        <v/>
      </c>
      <c r="H305" t="str">
        <f>IF(ISBLANK(VLOOKUP($A305,'Entry data'!$A:$K,8,FALSE)),"",VLOOKUP($A305,'Entry data'!$A:$K,8,FALSE))</f>
        <v/>
      </c>
      <c r="I305" t="str">
        <f>IF(ISBLANK(VLOOKUP($A305,'Entry data'!$A:$K,9,FALSE)),"",VLOOKUP($A305,'Entry data'!$A:$K,9,FALSE))</f>
        <v>N</v>
      </c>
      <c r="J305">
        <f>IF(ISBLANK(VLOOKUP($A305,'Entry data'!$A:$K,10,FALSE)),"",VLOOKUP($A305,'Entry data'!$A:$K,10,FALSE))</f>
        <v>5</v>
      </c>
      <c r="K305">
        <f>IF(ISBLANK(VLOOKUP($A305,'Entry data'!$A:$K,11,FALSE)),"",VLOOKUP($A305,'Entry data'!$A:$K,11,FALSE))</f>
        <v>5</v>
      </c>
      <c r="L305">
        <f>IF(OR(EXACT(D305,"C"),EXACT(D305,"P"),EXACT(D305,"D"),EXACT(D305,"T"),EXACT(D305,"X"),EXACT(E305,"DZF"),EXACT(E305,"OZF"),EXACT(D305,"N"),EXACT(D305,"F")),1,0)</f>
        <v>1</v>
      </c>
      <c r="M305" t="str">
        <f t="shared" si="16"/>
        <v/>
      </c>
      <c r="N305">
        <f t="shared" si="17"/>
        <v>1</v>
      </c>
      <c r="O305">
        <f t="shared" si="18"/>
        <v>0</v>
      </c>
      <c r="P305" t="str">
        <f t="shared" si="19"/>
        <v/>
      </c>
    </row>
    <row r="306" spans="1:16" x14ac:dyDescent="0.25">
      <c r="A306">
        <v>204</v>
      </c>
      <c r="B306">
        <f>IF($A306&gt;$A$1,"",VLOOKUP($A306,'NHL PBP'!$A:$L,8,FALSE))</f>
        <v>2</v>
      </c>
      <c r="C306">
        <f>IF($A306&gt;$A$1,"",IF(B306&gt;3,5/24,20/24)-VLOOKUP($A306,'NHL PBP'!$A:$L,10,FALSE))</f>
        <v>5.5555555555555358E-3</v>
      </c>
      <c r="D306" t="str">
        <f>IF($A306&gt;$A$1,"",VLOOKUP($A306,'NHL PBP'!$A:$L,11,FALSE))</f>
        <v>SHOT</v>
      </c>
      <c r="E306" t="str">
        <f>IF(AND(EXACT(D306,"FAC"),NOT(EXACT(MID(F306,9,3),"Neu"))),IF(OR(AND(EXACT(MID(F306,9,3),"Off"),EXACT(LEFT(F306,3),UPPER('Entry data'!$C$2))),AND(EXACT(MID(F306,9,3),"Def"),NOT(EXACT(LEFT(F306,3),UPPER('Entry data'!$C$2))))),"DZF","OZF"),"")</f>
        <v/>
      </c>
      <c r="F306" t="str">
        <f>IF($A306&gt;$A$1,"",VLOOKUP($A306,'NHL PBP'!$A:$L,12,FALSE))</f>
        <v>DET ONGOAL - #65 DEKEYSER, Slap, Off. Zone, 56 ft.</v>
      </c>
      <c r="J306">
        <f>IF(EXACT('Entry data'!$C$3,"Road"),IF(ISBLANK(VLOOKUP(A306,'NHL PBP'!A:AH,21,FALSE)),3,IF(ISBLANK(VLOOKUP(A306,'NHL PBP'!A:AH,23,FALSE)),4,5)),IF(ISBLANK(VLOOKUP(A306,'NHL PBP'!A:AH,32,FALSE)),3,IF(ISBLANK(VLOOKUP(A306,'NHL PBP'!A:AH,34,FALSE)),4,5)))</f>
        <v>5</v>
      </c>
      <c r="K306">
        <f>IF(EXACT('Entry data'!$C$3,"Home"),IF(ISBLANK(VLOOKUP(A306,'NHL PBP'!A:AH,21,FALSE)),3,IF(ISBLANK(VLOOKUP(A306,'NHL PBP'!A:AH,23,FALSE)),4,5)),IF(ISBLANK(VLOOKUP(A306,'NHL PBP'!A:AH,32,FALSE)),3,IF(ISBLANK(VLOOKUP(A306,'NHL PBP'!A:AH,34,FALSE)),4,5)))</f>
        <v>5</v>
      </c>
      <c r="L306">
        <f>IF(OR(EXACT(D306,"C"),EXACT(D306,"P"),EXACT(D306,"D"),EXACT(D306,"T"),EXACT(D306,"X"),EXACT(E306,"DZF"),EXACT(E306,"OZF"),EXACT(D306,"N"),EXACT(D306,"F")),1,0)</f>
        <v>0</v>
      </c>
      <c r="M306" t="str">
        <f t="shared" si="16"/>
        <v/>
      </c>
      <c r="N306">
        <f t="shared" si="17"/>
        <v>1</v>
      </c>
      <c r="O306">
        <f t="shared" si="18"/>
        <v>0</v>
      </c>
      <c r="P306" t="str">
        <f t="shared" si="19"/>
        <v/>
      </c>
    </row>
    <row r="307" spans="1:16" x14ac:dyDescent="0.25">
      <c r="A307">
        <v>205</v>
      </c>
      <c r="B307">
        <f>IF($A307&gt;$A$1,"",VLOOKUP($A307,'NHL PBP'!$A:$L,8,FALSE))</f>
        <v>2</v>
      </c>
      <c r="C307">
        <f>IF($A307&gt;$A$1,"",IF(B307&gt;3,5/24,20/24)-VLOOKUP($A307,'NHL PBP'!$A:$L,10,FALSE))</f>
        <v>0</v>
      </c>
      <c r="D307" t="str">
        <f>IF($A307&gt;$A$1,"",VLOOKUP($A307,'NHL PBP'!$A:$L,11,FALSE))</f>
        <v>PEND</v>
      </c>
      <c r="E307" t="str">
        <f>IF(AND(EXACT(D307,"FAC"),NOT(EXACT(MID(F307,9,3),"Neu"))),IF(OR(AND(EXACT(MID(F307,9,3),"Off"),EXACT(LEFT(F307,3),UPPER('Entry data'!$C$2))),AND(EXACT(MID(F307,9,3),"Def"),NOT(EXACT(LEFT(F307,3),UPPER('Entry data'!$C$2))))),"DZF","OZF"),"")</f>
        <v/>
      </c>
      <c r="F307" t="str">
        <f>IF($A307&gt;$A$1,"",VLOOKUP($A307,'NHL PBP'!$A:$L,12,FALSE))</f>
        <v>Period End- Local time: 9:16 EDT</v>
      </c>
      <c r="J307">
        <f>IF(EXACT('Entry data'!$C$3,"Road"),IF(ISBLANK(VLOOKUP(A307,'NHL PBP'!A:AH,21,FALSE)),3,IF(ISBLANK(VLOOKUP(A307,'NHL PBP'!A:AH,23,FALSE)),4,5)),IF(ISBLANK(VLOOKUP(A307,'NHL PBP'!A:AH,32,FALSE)),3,IF(ISBLANK(VLOOKUP(A307,'NHL PBP'!A:AH,34,FALSE)),4,5)))</f>
        <v>5</v>
      </c>
      <c r="K307">
        <f>IF(EXACT('Entry data'!$C$3,"Home"),IF(ISBLANK(VLOOKUP(A307,'NHL PBP'!A:AH,21,FALSE)),3,IF(ISBLANK(VLOOKUP(A307,'NHL PBP'!A:AH,23,FALSE)),4,5)),IF(ISBLANK(VLOOKUP(A307,'NHL PBP'!A:AH,32,FALSE)),3,IF(ISBLANK(VLOOKUP(A307,'NHL PBP'!A:AH,34,FALSE)),4,5)))</f>
        <v>5</v>
      </c>
      <c r="L307">
        <f>IF(OR(EXACT(D307,"C"),EXACT(D307,"P"),EXACT(D307,"D"),EXACT(D307,"T"),EXACT(D307,"X"),EXACT(E307,"DZF"),EXACT(E307,"OZF"),EXACT(D307,"N"),EXACT(D307,"F")),1,0)</f>
        <v>0</v>
      </c>
      <c r="M307" t="str">
        <f t="shared" si="16"/>
        <v/>
      </c>
      <c r="N307">
        <f t="shared" si="17"/>
        <v>0</v>
      </c>
      <c r="O307">
        <f t="shared" si="18"/>
        <v>0</v>
      </c>
      <c r="P307" t="str">
        <f t="shared" si="19"/>
        <v/>
      </c>
    </row>
    <row r="308" spans="1:16" x14ac:dyDescent="0.25">
      <c r="A308">
        <v>206</v>
      </c>
      <c r="B308">
        <f>IF($A308&gt;$A$1,"",VLOOKUP($A308,'NHL PBP'!$A:$L,8,FALSE))</f>
        <v>3</v>
      </c>
      <c r="C308">
        <f>IF($A308&gt;$A$1,"",IF(B308&gt;3,5/24,20/24)-VLOOKUP($A308,'NHL PBP'!$A:$L,10,FALSE))</f>
        <v>0.83333333333333337</v>
      </c>
      <c r="D308" t="str">
        <f>IF($A308&gt;$A$1,"",VLOOKUP($A308,'NHL PBP'!$A:$L,11,FALSE))</f>
        <v>PSTR</v>
      </c>
      <c r="E308" t="str">
        <f>IF(AND(EXACT(D308,"FAC"),NOT(EXACT(MID(F308,9,3),"Neu"))),IF(OR(AND(EXACT(MID(F308,9,3),"Off"),EXACT(LEFT(F308,3),UPPER('Entry data'!$C$2))),AND(EXACT(MID(F308,9,3),"Def"),NOT(EXACT(LEFT(F308,3),UPPER('Entry data'!$C$2))))),"DZF","OZF"),"")</f>
        <v/>
      </c>
      <c r="F308" t="str">
        <f>IF($A308&gt;$A$1,"",VLOOKUP($A308,'NHL PBP'!$A:$L,12,FALSE))</f>
        <v>Period Start- Local time: 9:34 EDT</v>
      </c>
      <c r="J308">
        <f>IF(EXACT('Entry data'!$C$3,"Road"),IF(ISBLANK(VLOOKUP(A308,'NHL PBP'!A:AH,21,FALSE)),3,IF(ISBLANK(VLOOKUP(A308,'NHL PBP'!A:AH,23,FALSE)),4,5)),IF(ISBLANK(VLOOKUP(A308,'NHL PBP'!A:AH,32,FALSE)),3,IF(ISBLANK(VLOOKUP(A308,'NHL PBP'!A:AH,34,FALSE)),4,5)))</f>
        <v>3</v>
      </c>
      <c r="K308">
        <f>IF(EXACT('Entry data'!$C$3,"Home"),IF(ISBLANK(VLOOKUP(A308,'NHL PBP'!A:AH,21,FALSE)),3,IF(ISBLANK(VLOOKUP(A308,'NHL PBP'!A:AH,23,FALSE)),4,5)),IF(ISBLANK(VLOOKUP(A308,'NHL PBP'!A:AH,32,FALSE)),3,IF(ISBLANK(VLOOKUP(A308,'NHL PBP'!A:AH,34,FALSE)),4,5)))</f>
        <v>3</v>
      </c>
      <c r="L308">
        <f>IF(OR(EXACT(D308,"C"),EXACT(D308,"P"),EXACT(D308,"D"),EXACT(D308,"T"),EXACT(D308,"X"),EXACT(E308,"DZF"),EXACT(E308,"OZF"),EXACT(D308,"N"),EXACT(D308,"F")),1,0)</f>
        <v>0</v>
      </c>
      <c r="M308" t="str">
        <f t="shared" si="16"/>
        <v/>
      </c>
      <c r="N308">
        <f t="shared" si="17"/>
        <v>0</v>
      </c>
      <c r="O308">
        <f t="shared" si="18"/>
        <v>0</v>
      </c>
      <c r="P308" t="str">
        <f t="shared" si="19"/>
        <v/>
      </c>
    </row>
    <row r="309" spans="1:16" x14ac:dyDescent="0.25">
      <c r="A309">
        <v>207</v>
      </c>
      <c r="B309">
        <f>IF($A309&gt;$A$1,"",VLOOKUP($A309,'NHL PBP'!$A:$L,8,FALSE))</f>
        <v>3</v>
      </c>
      <c r="C309">
        <f>IF($A309&gt;$A$1,"",IF(B309&gt;3,5/24,20/24)-VLOOKUP($A309,'NHL PBP'!$A:$L,10,FALSE))</f>
        <v>0.83333333333333337</v>
      </c>
      <c r="D309" t="str">
        <f>IF($A309&gt;$A$1,"",VLOOKUP($A309,'NHL PBP'!$A:$L,11,FALSE))</f>
        <v>FAC</v>
      </c>
      <c r="E309" t="str">
        <f>IF(AND(EXACT(D309,"FAC"),NOT(EXACT(MID(F309,9,3),"Neu"))),IF(OR(AND(EXACT(MID(F309,9,3),"Off"),EXACT(LEFT(F309,3),UPPER('Entry data'!$C$2))),AND(EXACT(MID(F309,9,3),"Def"),NOT(EXACT(LEFT(F309,3),UPPER('Entry data'!$C$2))))),"DZF","OZF"),"")</f>
        <v/>
      </c>
      <c r="F309" t="str">
        <f>IF($A309&gt;$A$1,"",VLOOKUP($A309,'NHL PBP'!$A:$L,12,FALSE))</f>
        <v>NSH won Neu. Zone - NSH #19 JARNKROK vs DET #51 NIELSEN</v>
      </c>
      <c r="J309">
        <f>IF(EXACT('Entry data'!$C$3,"Road"),IF(ISBLANK(VLOOKUP(A309,'NHL PBP'!A:AH,21,FALSE)),3,IF(ISBLANK(VLOOKUP(A309,'NHL PBP'!A:AH,23,FALSE)),4,5)),IF(ISBLANK(VLOOKUP(A309,'NHL PBP'!A:AH,32,FALSE)),3,IF(ISBLANK(VLOOKUP(A309,'NHL PBP'!A:AH,34,FALSE)),4,5)))</f>
        <v>5</v>
      </c>
      <c r="K309">
        <f>IF(EXACT('Entry data'!$C$3,"Home"),IF(ISBLANK(VLOOKUP(A309,'NHL PBP'!A:AH,21,FALSE)),3,IF(ISBLANK(VLOOKUP(A309,'NHL PBP'!A:AH,23,FALSE)),4,5)),IF(ISBLANK(VLOOKUP(A309,'NHL PBP'!A:AH,32,FALSE)),3,IF(ISBLANK(VLOOKUP(A309,'NHL PBP'!A:AH,34,FALSE)),4,5)))</f>
        <v>5</v>
      </c>
      <c r="L309">
        <f>IF(OR(EXACT(D309,"C"),EXACT(D309,"P"),EXACT(D309,"D"),EXACT(D309,"T"),EXACT(D309,"X"),EXACT(E309,"DZF"),EXACT(E309,"OZF"),EXACT(D309,"N"),EXACT(D309,"F")),1,0)</f>
        <v>0</v>
      </c>
      <c r="M309" t="str">
        <f t="shared" si="16"/>
        <v/>
      </c>
      <c r="N309">
        <f t="shared" si="17"/>
        <v>0</v>
      </c>
      <c r="O309">
        <f t="shared" si="18"/>
        <v>0</v>
      </c>
      <c r="P309" t="str">
        <f t="shared" si="19"/>
        <v/>
      </c>
    </row>
    <row r="310" spans="1:16" x14ac:dyDescent="0.25">
      <c r="A310">
        <v>102</v>
      </c>
      <c r="B310">
        <f>IF(ISBLANK(VLOOKUP($A310,'Entry data'!$A:$K,2,FALSE)),"",VLOOKUP($A310,'Entry data'!$A:$K,2,FALSE))</f>
        <v>3</v>
      </c>
      <c r="C310">
        <f>IF(ISBLANK(VLOOKUP($A310,'Entry data'!$A:$K,3,FALSE)),"",VLOOKUP($A310,'Entry data'!$A:$K,3,FALSE))</f>
        <v>0.82430555555555562</v>
      </c>
      <c r="D310" t="str">
        <f>IF(ISBLANK(VLOOKUP($A310,'Entry data'!$A:$K,4,FALSE)),"",VLOOKUP($A310,'Entry data'!$A:$K,4,FALSE))</f>
        <v>D</v>
      </c>
      <c r="E310" t="str">
        <f>IF(ISBLANK(VLOOKUP($A310,'Entry data'!$A:$K,5,FALSE)),"",VLOOKUP($A310,'Entry data'!$A:$K,5,FALSE))</f>
        <v>71DET</v>
      </c>
      <c r="F310" t="str">
        <f>IF(ISBLANK(VLOOKUP($A310,'Entry data'!$A:$K,6,FALSE)),"",VLOOKUP($A310,'Entry data'!$A:$K,6,FALSE))</f>
        <v>14NSH</v>
      </c>
      <c r="G310" t="str">
        <f>IF(ISBLANK(VLOOKUP($A310,'Entry data'!$A:$K,7,FALSE)),"",VLOOKUP($A310,'Entry data'!$A:$K,7,FALSE))</f>
        <v/>
      </c>
      <c r="H310" t="str">
        <f>IF(ISBLANK(VLOOKUP($A310,'Entry data'!$A:$K,8,FALSE)),"",VLOOKUP($A310,'Entry data'!$A:$K,8,FALSE))</f>
        <v>R</v>
      </c>
      <c r="I310" t="str">
        <f>IF(ISBLANK(VLOOKUP($A310,'Entry data'!$A:$K,9,FALSE)),"",VLOOKUP($A310,'Entry data'!$A:$K,9,FALSE))</f>
        <v>71DET</v>
      </c>
      <c r="J310">
        <f>IF(ISBLANK(VLOOKUP($A310,'Entry data'!$A:$K,10,FALSE)),"",VLOOKUP($A310,'Entry data'!$A:$K,10,FALSE))</f>
        <v>5</v>
      </c>
      <c r="K310">
        <f>IF(ISBLANK(VLOOKUP($A310,'Entry data'!$A:$K,11,FALSE)),"",VLOOKUP($A310,'Entry data'!$A:$K,11,FALSE))</f>
        <v>5</v>
      </c>
      <c r="L310">
        <f>IF(OR(EXACT(D310,"C"),EXACT(D310,"P"),EXACT(D310,"D"),EXACT(D310,"T"),EXACT(D310,"X"),EXACT(E310,"DZF"),EXACT(E310,"OZF"),EXACT(D310,"N"),EXACT(D310,"F")),1,0)</f>
        <v>1</v>
      </c>
      <c r="M310" t="str">
        <f t="shared" si="16"/>
        <v/>
      </c>
      <c r="N310">
        <f t="shared" si="17"/>
        <v>1</v>
      </c>
      <c r="O310">
        <f t="shared" si="18"/>
        <v>0</v>
      </c>
      <c r="P310" t="str">
        <f t="shared" si="19"/>
        <v/>
      </c>
    </row>
    <row r="311" spans="1:16" x14ac:dyDescent="0.25">
      <c r="A311">
        <v>208</v>
      </c>
      <c r="B311">
        <f>IF($A311&gt;$A$1,"",VLOOKUP($A311,'NHL PBP'!$A:$L,8,FALSE))</f>
        <v>3</v>
      </c>
      <c r="C311">
        <f>IF($A311&gt;$A$1,"",IF(B311&gt;3,5/24,20/24)-VLOOKUP($A311,'NHL PBP'!$A:$L,10,FALSE))</f>
        <v>0.81944444444444453</v>
      </c>
      <c r="D311" t="str">
        <f>IF($A311&gt;$A$1,"",VLOOKUP($A311,'NHL PBP'!$A:$L,11,FALSE))</f>
        <v>SHOT</v>
      </c>
      <c r="E311" t="str">
        <f>IF(AND(EXACT(D311,"FAC"),NOT(EXACT(MID(F311,9,3),"Neu"))),IF(OR(AND(EXACT(MID(F311,9,3),"Off"),EXACT(LEFT(F311,3),UPPER('Entry data'!$C$2))),AND(EXACT(MID(F311,9,3),"Def"),NOT(EXACT(LEFT(F311,3),UPPER('Entry data'!$C$2))))),"DZF","OZF"),"")</f>
        <v/>
      </c>
      <c r="F311" t="str">
        <f>IF($A311&gt;$A$1,"",VLOOKUP($A311,'NHL PBP'!$A:$L,12,FALSE))</f>
        <v>DET ONGOAL - #71 LARKIN, Tip-In, Off. Zone, 8 ft.</v>
      </c>
      <c r="J311">
        <f>IF(EXACT('Entry data'!$C$3,"Road"),IF(ISBLANK(VLOOKUP(A311,'NHL PBP'!A:AH,21,FALSE)),3,IF(ISBLANK(VLOOKUP(A311,'NHL PBP'!A:AH,23,FALSE)),4,5)),IF(ISBLANK(VLOOKUP(A311,'NHL PBP'!A:AH,32,FALSE)),3,IF(ISBLANK(VLOOKUP(A311,'NHL PBP'!A:AH,34,FALSE)),4,5)))</f>
        <v>5</v>
      </c>
      <c r="K311">
        <f>IF(EXACT('Entry data'!$C$3,"Home"),IF(ISBLANK(VLOOKUP(A311,'NHL PBP'!A:AH,21,FALSE)),3,IF(ISBLANK(VLOOKUP(A311,'NHL PBP'!A:AH,23,FALSE)),4,5)),IF(ISBLANK(VLOOKUP(A311,'NHL PBP'!A:AH,32,FALSE)),3,IF(ISBLANK(VLOOKUP(A311,'NHL PBP'!A:AH,34,FALSE)),4,5)))</f>
        <v>5</v>
      </c>
      <c r="L311">
        <f>IF(OR(EXACT(D311,"C"),EXACT(D311,"P"),EXACT(D311,"D"),EXACT(D311,"T"),EXACT(D311,"X"),EXACT(E311,"DZF"),EXACT(E311,"OZF"),EXACT(D311,"N"),EXACT(D311,"F")),1,0)</f>
        <v>0</v>
      </c>
      <c r="M311" t="str">
        <f t="shared" si="16"/>
        <v/>
      </c>
      <c r="N311">
        <f t="shared" si="17"/>
        <v>1</v>
      </c>
      <c r="O311">
        <f t="shared" si="18"/>
        <v>0</v>
      </c>
      <c r="P311" t="str">
        <f t="shared" si="19"/>
        <v/>
      </c>
    </row>
    <row r="312" spans="1:16" x14ac:dyDescent="0.25">
      <c r="A312">
        <v>103</v>
      </c>
      <c r="B312">
        <f>IF(ISBLANK(VLOOKUP($A312,'Entry data'!$A:$K,2,FALSE)),"",VLOOKUP($A312,'Entry data'!$A:$K,2,FALSE))</f>
        <v>3</v>
      </c>
      <c r="C312">
        <f>IF(ISBLANK(VLOOKUP($A312,'Entry data'!$A:$K,3,FALSE)),"",VLOOKUP($A312,'Entry data'!$A:$K,3,FALSE))</f>
        <v>0.79513888888888884</v>
      </c>
      <c r="D312" t="str">
        <f>IF(ISBLANK(VLOOKUP($A312,'Entry data'!$A:$K,4,FALSE)),"",VLOOKUP($A312,'Entry data'!$A:$K,4,FALSE))</f>
        <v>C</v>
      </c>
      <c r="E312" t="str">
        <f>IF(ISBLANK(VLOOKUP($A312,'Entry data'!$A:$K,5,FALSE)),"",VLOOKUP($A312,'Entry data'!$A:$K,5,FALSE))</f>
        <v>40DET</v>
      </c>
      <c r="F312" t="str">
        <f>IF(ISBLANK(VLOOKUP($A312,'Entry data'!$A:$K,6,FALSE)),"",VLOOKUP($A312,'Entry data'!$A:$K,6,FALSE))</f>
        <v>2ON1</v>
      </c>
      <c r="G312" t="str">
        <f>IF(ISBLANK(VLOOKUP($A312,'Entry data'!$A:$K,7,FALSE)),"",VLOOKUP($A312,'Entry data'!$A:$K,7,FALSE))</f>
        <v>Y</v>
      </c>
      <c r="H312" t="str">
        <f>IF(ISBLANK(VLOOKUP($A312,'Entry data'!$A:$K,8,FALSE)),"",VLOOKUP($A312,'Entry data'!$A:$K,8,FALSE))</f>
        <v>R</v>
      </c>
      <c r="I312" t="str">
        <f>IF(ISBLANK(VLOOKUP($A312,'Entry data'!$A:$K,9,FALSE)),"",VLOOKUP($A312,'Entry data'!$A:$K,9,FALSE))</f>
        <v>N</v>
      </c>
      <c r="J312">
        <f>IF(ISBLANK(VLOOKUP($A312,'Entry data'!$A:$K,10,FALSE)),"",VLOOKUP($A312,'Entry data'!$A:$K,10,FALSE))</f>
        <v>5</v>
      </c>
      <c r="K312">
        <f>IF(ISBLANK(VLOOKUP($A312,'Entry data'!$A:$K,11,FALSE)),"",VLOOKUP($A312,'Entry data'!$A:$K,11,FALSE))</f>
        <v>5</v>
      </c>
      <c r="L312">
        <f>IF(OR(EXACT(D312,"C"),EXACT(D312,"P"),EXACT(D312,"D"),EXACT(D312,"T"),EXACT(D312,"X"),EXACT(E312,"DZF"),EXACT(E312,"OZF"),EXACT(D312,"N"),EXACT(D312,"F")),1,0)</f>
        <v>1</v>
      </c>
      <c r="M312" t="str">
        <f t="shared" si="16"/>
        <v>40DET</v>
      </c>
      <c r="N312">
        <f t="shared" si="17"/>
        <v>3</v>
      </c>
      <c r="O312">
        <f t="shared" si="18"/>
        <v>1</v>
      </c>
      <c r="P312" t="str">
        <f t="shared" si="19"/>
        <v/>
      </c>
    </row>
    <row r="313" spans="1:16" x14ac:dyDescent="0.25">
      <c r="A313">
        <v>209</v>
      </c>
      <c r="B313">
        <f>IF($A313&gt;$A$1,"",VLOOKUP($A313,'NHL PBP'!$A:$L,8,FALSE))</f>
        <v>3</v>
      </c>
      <c r="C313">
        <f>IF($A313&gt;$A$1,"",IF(B313&gt;3,5/24,20/24)-VLOOKUP($A313,'NHL PBP'!$A:$L,10,FALSE))</f>
        <v>0.79027777777777786</v>
      </c>
      <c r="D313" t="str">
        <f>IF($A313&gt;$A$1,"",VLOOKUP($A313,'NHL PBP'!$A:$L,11,FALSE))</f>
        <v>MISS</v>
      </c>
      <c r="E313" t="str">
        <f>IF(AND(EXACT(D313,"FAC"),NOT(EXACT(MID(F313,9,3),"Neu"))),IF(OR(AND(EXACT(MID(F313,9,3),"Off"),EXACT(LEFT(F313,3),UPPER('Entry data'!$C$2))),AND(EXACT(MID(F313,9,3),"Def"),NOT(EXACT(LEFT(F313,3),UPPER('Entry data'!$C$2))))),"DZF","OZF"),"")</f>
        <v/>
      </c>
      <c r="F313" t="str">
        <f>IF($A313&gt;$A$1,"",VLOOKUP($A313,'NHL PBP'!$A:$L,12,FALSE))</f>
        <v>DET #53 MARCHENKO, Slap, Wide of Net, Off. Zone, 46 ft.</v>
      </c>
      <c r="J313">
        <f>IF(EXACT('Entry data'!$C$3,"Road"),IF(ISBLANK(VLOOKUP(A313,'NHL PBP'!A:AH,21,FALSE)),3,IF(ISBLANK(VLOOKUP(A313,'NHL PBP'!A:AH,23,FALSE)),4,5)),IF(ISBLANK(VLOOKUP(A313,'NHL PBP'!A:AH,32,FALSE)),3,IF(ISBLANK(VLOOKUP(A313,'NHL PBP'!A:AH,34,FALSE)),4,5)))</f>
        <v>5</v>
      </c>
      <c r="K313">
        <f>IF(EXACT('Entry data'!$C$3,"Home"),IF(ISBLANK(VLOOKUP(A313,'NHL PBP'!A:AH,21,FALSE)),3,IF(ISBLANK(VLOOKUP(A313,'NHL PBP'!A:AH,23,FALSE)),4,5)),IF(ISBLANK(VLOOKUP(A313,'NHL PBP'!A:AH,32,FALSE)),3,IF(ISBLANK(VLOOKUP(A313,'NHL PBP'!A:AH,34,FALSE)),4,5)))</f>
        <v>5</v>
      </c>
      <c r="L313">
        <f>IF(OR(EXACT(D313,"C"),EXACT(D313,"P"),EXACT(D313,"D"),EXACT(D313,"T"),EXACT(D313,"X"),EXACT(E313,"DZF"),EXACT(E313,"OZF"),EXACT(D313,"N"),EXACT(D313,"F")),1,0)</f>
        <v>0</v>
      </c>
      <c r="M313" t="str">
        <f t="shared" si="16"/>
        <v/>
      </c>
      <c r="N313">
        <f t="shared" si="17"/>
        <v>3</v>
      </c>
      <c r="O313">
        <f t="shared" si="18"/>
        <v>1</v>
      </c>
      <c r="P313" t="str">
        <f t="shared" si="19"/>
        <v/>
      </c>
    </row>
    <row r="314" spans="1:16" x14ac:dyDescent="0.25">
      <c r="A314">
        <v>210</v>
      </c>
      <c r="B314">
        <f>IF($A314&gt;$A$1,"",VLOOKUP($A314,'NHL PBP'!$A:$L,8,FALSE))</f>
        <v>3</v>
      </c>
      <c r="C314">
        <f>IF($A314&gt;$A$1,"",IF(B314&gt;3,5/24,20/24)-VLOOKUP($A314,'NHL PBP'!$A:$L,10,FALSE))</f>
        <v>0.78680555555555554</v>
      </c>
      <c r="D314" t="str">
        <f>IF($A314&gt;$A$1,"",VLOOKUP($A314,'NHL PBP'!$A:$L,11,FALSE))</f>
        <v>MISS</v>
      </c>
      <c r="E314" t="str">
        <f>IF(AND(EXACT(D314,"FAC"),NOT(EXACT(MID(F314,9,3),"Neu"))),IF(OR(AND(EXACT(MID(F314,9,3),"Off"),EXACT(LEFT(F314,3),UPPER('Entry data'!$C$2))),AND(EXACT(MID(F314,9,3),"Def"),NOT(EXACT(LEFT(F314,3),UPPER('Entry data'!$C$2))))),"DZF","OZF"),"")</f>
        <v/>
      </c>
      <c r="F314" t="str">
        <f>IF($A314&gt;$A$1,"",VLOOKUP($A314,'NHL PBP'!$A:$L,12,FALSE))</f>
        <v>DET #52 ERICSSON, Wrist, Wide of Net, Off. Zone, 52 ft.</v>
      </c>
      <c r="J314">
        <f>IF(EXACT('Entry data'!$C$3,"Road"),IF(ISBLANK(VLOOKUP(A314,'NHL PBP'!A:AH,21,FALSE)),3,IF(ISBLANK(VLOOKUP(A314,'NHL PBP'!A:AH,23,FALSE)),4,5)),IF(ISBLANK(VLOOKUP(A314,'NHL PBP'!A:AH,32,FALSE)),3,IF(ISBLANK(VLOOKUP(A314,'NHL PBP'!A:AH,34,FALSE)),4,5)))</f>
        <v>5</v>
      </c>
      <c r="K314">
        <f>IF(EXACT('Entry data'!$C$3,"Home"),IF(ISBLANK(VLOOKUP(A314,'NHL PBP'!A:AH,21,FALSE)),3,IF(ISBLANK(VLOOKUP(A314,'NHL PBP'!A:AH,23,FALSE)),4,5)),IF(ISBLANK(VLOOKUP(A314,'NHL PBP'!A:AH,32,FALSE)),3,IF(ISBLANK(VLOOKUP(A314,'NHL PBP'!A:AH,34,FALSE)),4,5)))</f>
        <v>5</v>
      </c>
      <c r="L314">
        <f>IF(OR(EXACT(D314,"C"),EXACT(D314,"P"),EXACT(D314,"D"),EXACT(D314,"T"),EXACT(D314,"X"),EXACT(E314,"DZF"),EXACT(E314,"OZF"),EXACT(D314,"N"),EXACT(D314,"F")),1,0)</f>
        <v>0</v>
      </c>
      <c r="M314" t="str">
        <f t="shared" si="16"/>
        <v/>
      </c>
      <c r="N314">
        <f t="shared" si="17"/>
        <v>2</v>
      </c>
      <c r="O314">
        <f t="shared" si="18"/>
        <v>1</v>
      </c>
      <c r="P314" t="str">
        <f t="shared" si="19"/>
        <v/>
      </c>
    </row>
    <row r="315" spans="1:16" x14ac:dyDescent="0.25">
      <c r="A315">
        <v>211</v>
      </c>
      <c r="B315">
        <f>IF($A315&gt;$A$1,"",VLOOKUP($A315,'NHL PBP'!$A:$L,8,FALSE))</f>
        <v>3</v>
      </c>
      <c r="C315">
        <f>IF($A315&gt;$A$1,"",IF(B315&gt;3,5/24,20/24)-VLOOKUP($A315,'NHL PBP'!$A:$L,10,FALSE))</f>
        <v>0.78472222222222221</v>
      </c>
      <c r="D315" t="str">
        <f>IF($A315&gt;$A$1,"",VLOOKUP($A315,'NHL PBP'!$A:$L,11,FALSE))</f>
        <v>GOAL</v>
      </c>
      <c r="E315" t="str">
        <f>IF(AND(EXACT(D315,"FAC"),NOT(EXACT(MID(F315,9,3),"Neu"))),IF(OR(AND(EXACT(MID(F315,9,3),"Off"),EXACT(LEFT(F315,3),UPPER('Entry data'!$C$2))),AND(EXACT(MID(F315,9,3),"Def"),NOT(EXACT(LEFT(F315,3),UPPER('Entry data'!$C$2))))),"DZF","OZF"),"")</f>
        <v/>
      </c>
      <c r="F315" t="str">
        <f>IF($A315&gt;$A$1,"",VLOOKUP($A315,'NHL PBP'!$A:$L,12,FALSE))</f>
        <v>DET #21 TATAR(1), Snap, Off. Zone, 23 ft.</v>
      </c>
      <c r="J315">
        <f>IF(EXACT('Entry data'!$C$3,"Road"),IF(ISBLANK(VLOOKUP(A315,'NHL PBP'!A:AH,21,FALSE)),3,IF(ISBLANK(VLOOKUP(A315,'NHL PBP'!A:AH,23,FALSE)),4,5)),IF(ISBLANK(VLOOKUP(A315,'NHL PBP'!A:AH,32,FALSE)),3,IF(ISBLANK(VLOOKUP(A315,'NHL PBP'!A:AH,34,FALSE)),4,5)))</f>
        <v>5</v>
      </c>
      <c r="K315">
        <f>IF(EXACT('Entry data'!$C$3,"Home"),IF(ISBLANK(VLOOKUP(A315,'NHL PBP'!A:AH,21,FALSE)),3,IF(ISBLANK(VLOOKUP(A315,'NHL PBP'!A:AH,23,FALSE)),4,5)),IF(ISBLANK(VLOOKUP(A315,'NHL PBP'!A:AH,32,FALSE)),3,IF(ISBLANK(VLOOKUP(A315,'NHL PBP'!A:AH,34,FALSE)),4,5)))</f>
        <v>5</v>
      </c>
      <c r="L315">
        <f>IF(OR(EXACT(D315,"C"),EXACT(D315,"P"),EXACT(D315,"D"),EXACT(D315,"T"),EXACT(D315,"X"),EXACT(E315,"DZF"),EXACT(E315,"OZF"),EXACT(D315,"N"),EXACT(D315,"F")),1,0)</f>
        <v>0</v>
      </c>
      <c r="M315" t="str">
        <f t="shared" si="16"/>
        <v/>
      </c>
      <c r="N315">
        <f t="shared" si="17"/>
        <v>1</v>
      </c>
      <c r="O315">
        <f t="shared" si="18"/>
        <v>1</v>
      </c>
      <c r="P315" t="str">
        <f t="shared" si="19"/>
        <v/>
      </c>
    </row>
    <row r="316" spans="1:16" x14ac:dyDescent="0.25">
      <c r="A316">
        <v>212</v>
      </c>
      <c r="B316">
        <f>IF($A316&gt;$A$1,"",VLOOKUP($A316,'NHL PBP'!$A:$L,8,FALSE))</f>
        <v>3</v>
      </c>
      <c r="C316">
        <f>IF($A316&gt;$A$1,"",IF(B316&gt;3,5/24,20/24)-VLOOKUP($A316,'NHL PBP'!$A:$L,10,FALSE))</f>
        <v>0.78472222222222221</v>
      </c>
      <c r="D316" t="str">
        <f>IF($A316&gt;$A$1,"",VLOOKUP($A316,'NHL PBP'!$A:$L,11,FALSE))</f>
        <v>FAC</v>
      </c>
      <c r="E316" t="str">
        <f>IF(AND(EXACT(D316,"FAC"),NOT(EXACT(MID(F316,9,3),"Neu"))),IF(OR(AND(EXACT(MID(F316,9,3),"Off"),EXACT(LEFT(F316,3),UPPER('Entry data'!$C$2))),AND(EXACT(MID(F316,9,3),"Def"),NOT(EXACT(LEFT(F316,3),UPPER('Entry data'!$C$2))))),"DZF","OZF"),"")</f>
        <v/>
      </c>
      <c r="F316" t="str">
        <f>IF($A316&gt;$A$1,"",VLOOKUP($A316,'NHL PBP'!$A:$L,12,FALSE))</f>
        <v>NSH won Neu. Zone - NSH #63 RIBEIRO vs DET #43 HELM</v>
      </c>
      <c r="J316">
        <f>IF(EXACT('Entry data'!$C$3,"Road"),IF(ISBLANK(VLOOKUP(A316,'NHL PBP'!A:AH,21,FALSE)),3,IF(ISBLANK(VLOOKUP(A316,'NHL PBP'!A:AH,23,FALSE)),4,5)),IF(ISBLANK(VLOOKUP(A316,'NHL PBP'!A:AH,32,FALSE)),3,IF(ISBLANK(VLOOKUP(A316,'NHL PBP'!A:AH,34,FALSE)),4,5)))</f>
        <v>5</v>
      </c>
      <c r="K316">
        <f>IF(EXACT('Entry data'!$C$3,"Home"),IF(ISBLANK(VLOOKUP(A316,'NHL PBP'!A:AH,21,FALSE)),3,IF(ISBLANK(VLOOKUP(A316,'NHL PBP'!A:AH,23,FALSE)),4,5)),IF(ISBLANK(VLOOKUP(A316,'NHL PBP'!A:AH,32,FALSE)),3,IF(ISBLANK(VLOOKUP(A316,'NHL PBP'!A:AH,34,FALSE)),4,5)))</f>
        <v>5</v>
      </c>
      <c r="L316">
        <f>IF(OR(EXACT(D316,"C"),EXACT(D316,"P"),EXACT(D316,"D"),EXACT(D316,"T"),EXACT(D316,"X"),EXACT(E316,"DZF"),EXACT(E316,"OZF"),EXACT(D316,"N"),EXACT(D316,"F")),1,0)</f>
        <v>0</v>
      </c>
      <c r="M316" t="str">
        <f t="shared" si="16"/>
        <v/>
      </c>
      <c r="N316">
        <f t="shared" si="17"/>
        <v>0</v>
      </c>
      <c r="O316">
        <f t="shared" si="18"/>
        <v>0</v>
      </c>
      <c r="P316" t="str">
        <f t="shared" si="19"/>
        <v/>
      </c>
    </row>
    <row r="317" spans="1:16" x14ac:dyDescent="0.25">
      <c r="A317">
        <v>104</v>
      </c>
      <c r="B317">
        <f>IF(ISBLANK(VLOOKUP($A317,'Entry data'!$A:$K,2,FALSE)),"",VLOOKUP($A317,'Entry data'!$A:$K,2,FALSE))</f>
        <v>3</v>
      </c>
      <c r="C317">
        <f>IF(ISBLANK(VLOOKUP($A317,'Entry data'!$A:$K,3,FALSE)),"",VLOOKUP($A317,'Entry data'!$A:$K,3,FALSE))</f>
        <v>0.78125</v>
      </c>
      <c r="D317" t="str">
        <f>IF(ISBLANK(VLOOKUP($A317,'Entry data'!$A:$K,4,FALSE)),"",VLOOKUP($A317,'Entry data'!$A:$K,4,FALSE))</f>
        <v>D</v>
      </c>
      <c r="E317" t="str">
        <f>IF(ISBLANK(VLOOKUP($A317,'Entry data'!$A:$K,5,FALSE)),"",VLOOKUP($A317,'Entry data'!$A:$K,5,FALSE))</f>
        <v>63NSH</v>
      </c>
      <c r="F317" t="str">
        <f>IF(ISBLANK(VLOOKUP($A317,'Entry data'!$A:$K,6,FALSE)),"",VLOOKUP($A317,'Entry data'!$A:$K,6,FALSE))</f>
        <v>52DET</v>
      </c>
      <c r="G317" t="str">
        <f>IF(ISBLANK(VLOOKUP($A317,'Entry data'!$A:$K,7,FALSE)),"",VLOOKUP($A317,'Entry data'!$A:$K,7,FALSE))</f>
        <v/>
      </c>
      <c r="H317" t="str">
        <f>IF(ISBLANK(VLOOKUP($A317,'Entry data'!$A:$K,8,FALSE)),"",VLOOKUP($A317,'Entry data'!$A:$K,8,FALSE))</f>
        <v>R</v>
      </c>
      <c r="I317" t="str">
        <f>IF(ISBLANK(VLOOKUP($A317,'Entry data'!$A:$K,9,FALSE)),"",VLOOKUP($A317,'Entry data'!$A:$K,9,FALSE))</f>
        <v>N</v>
      </c>
      <c r="J317">
        <f>IF(ISBLANK(VLOOKUP($A317,'Entry data'!$A:$K,10,FALSE)),"",VLOOKUP($A317,'Entry data'!$A:$K,10,FALSE))</f>
        <v>5</v>
      </c>
      <c r="K317">
        <f>IF(ISBLANK(VLOOKUP($A317,'Entry data'!$A:$K,11,FALSE)),"",VLOOKUP($A317,'Entry data'!$A:$K,11,FALSE))</f>
        <v>5</v>
      </c>
      <c r="L317">
        <f>IF(OR(EXACT(D317,"C"),EXACT(D317,"P"),EXACT(D317,"D"),EXACT(D317,"T"),EXACT(D317,"X"),EXACT(E317,"DZF"),EXACT(E317,"OZF"),EXACT(D317,"N"),EXACT(D317,"F")),1,0)</f>
        <v>1</v>
      </c>
      <c r="M317" t="str">
        <f t="shared" si="16"/>
        <v/>
      </c>
      <c r="N317">
        <f t="shared" si="17"/>
        <v>0</v>
      </c>
      <c r="O317">
        <f t="shared" si="18"/>
        <v>0</v>
      </c>
      <c r="P317" t="str">
        <f t="shared" si="19"/>
        <v/>
      </c>
    </row>
    <row r="318" spans="1:16" x14ac:dyDescent="0.25">
      <c r="A318">
        <v>105</v>
      </c>
      <c r="B318">
        <f>IF(ISBLANK(VLOOKUP($A318,'Entry data'!$A:$K,2,FALSE)),"",VLOOKUP($A318,'Entry data'!$A:$K,2,FALSE))</f>
        <v>3</v>
      </c>
      <c r="C318">
        <f>IF(ISBLANK(VLOOKUP($A318,'Entry data'!$A:$K,3,FALSE)),"",VLOOKUP($A318,'Entry data'!$A:$K,3,FALSE))</f>
        <v>0.77569444444444446</v>
      </c>
      <c r="D318" t="str">
        <f>IF(ISBLANK(VLOOKUP($A318,'Entry data'!$A:$K,4,FALSE)),"",VLOOKUP($A318,'Entry data'!$A:$K,4,FALSE))</f>
        <v>C</v>
      </c>
      <c r="E318" t="str">
        <f>IF(ISBLANK(VLOOKUP($A318,'Entry data'!$A:$K,5,FALSE)),"",VLOOKUP($A318,'Entry data'!$A:$K,5,FALSE))</f>
        <v>62DET</v>
      </c>
      <c r="F318" t="str">
        <f>IF(ISBLANK(VLOOKUP($A318,'Entry data'!$A:$K,6,FALSE)),"",VLOOKUP($A318,'Entry data'!$A:$K,6,FALSE))</f>
        <v>2ON1</v>
      </c>
      <c r="G318" t="str">
        <f>IF(ISBLANK(VLOOKUP($A318,'Entry data'!$A:$K,7,FALSE)),"",VLOOKUP($A318,'Entry data'!$A:$K,7,FALSE))</f>
        <v>N</v>
      </c>
      <c r="H318" t="str">
        <f>IF(ISBLANK(VLOOKUP($A318,'Entry data'!$A:$K,8,FALSE)),"",VLOOKUP($A318,'Entry data'!$A:$K,8,FALSE))</f>
        <v>R</v>
      </c>
      <c r="I318" t="str">
        <f>IF(ISBLANK(VLOOKUP($A318,'Entry data'!$A:$K,9,FALSE)),"",VLOOKUP($A318,'Entry data'!$A:$K,9,FALSE))</f>
        <v>N</v>
      </c>
      <c r="J318">
        <f>IF(ISBLANK(VLOOKUP($A318,'Entry data'!$A:$K,10,FALSE)),"",VLOOKUP($A318,'Entry data'!$A:$K,10,FALSE))</f>
        <v>5</v>
      </c>
      <c r="K318">
        <f>IF(ISBLANK(VLOOKUP($A318,'Entry data'!$A:$K,11,FALSE)),"",VLOOKUP($A318,'Entry data'!$A:$K,11,FALSE))</f>
        <v>5</v>
      </c>
      <c r="L318">
        <f>IF(OR(EXACT(D318,"C"),EXACT(D318,"P"),EXACT(D318,"D"),EXACT(D318,"T"),EXACT(D318,"X"),EXACT(E318,"DZF"),EXACT(E318,"OZF"),EXACT(D318,"N"),EXACT(D318,"F")),1,0)</f>
        <v>1</v>
      </c>
      <c r="M318" t="str">
        <f t="shared" si="16"/>
        <v>62DET</v>
      </c>
      <c r="N318">
        <f t="shared" si="17"/>
        <v>0</v>
      </c>
      <c r="O318">
        <f t="shared" si="18"/>
        <v>0</v>
      </c>
      <c r="P318" t="str">
        <f t="shared" si="19"/>
        <v/>
      </c>
    </row>
    <row r="319" spans="1:16" x14ac:dyDescent="0.25">
      <c r="A319">
        <v>106</v>
      </c>
      <c r="B319">
        <f>IF(ISBLANK(VLOOKUP($A319,'Entry data'!$A:$K,2,FALSE)),"",VLOOKUP($A319,'Entry data'!$A:$K,2,FALSE))</f>
        <v>3</v>
      </c>
      <c r="C319">
        <f>IF(ISBLANK(VLOOKUP($A319,'Entry data'!$A:$K,3,FALSE)),"",VLOOKUP($A319,'Entry data'!$A:$K,3,FALSE))</f>
        <v>0.77013888888888893</v>
      </c>
      <c r="D319" t="str">
        <f>IF(ISBLANK(VLOOKUP($A319,'Entry data'!$A:$K,4,FALSE)),"",VLOOKUP($A319,'Entry data'!$A:$K,4,FALSE))</f>
        <v>C</v>
      </c>
      <c r="E319" t="str">
        <f>IF(ISBLANK(VLOOKUP($A319,'Entry data'!$A:$K,5,FALSE)),"",VLOOKUP($A319,'Entry data'!$A:$K,5,FALSE))</f>
        <v>9NSH</v>
      </c>
      <c r="F319" t="str">
        <f>IF(ISBLANK(VLOOKUP($A319,'Entry data'!$A:$K,6,FALSE)),"",VLOOKUP($A319,'Entry data'!$A:$K,6,FALSE))</f>
        <v>52DET</v>
      </c>
      <c r="G319" t="str">
        <f>IF(ISBLANK(VLOOKUP($A319,'Entry data'!$A:$K,7,FALSE)),"",VLOOKUP($A319,'Entry data'!$A:$K,7,FALSE))</f>
        <v>N</v>
      </c>
      <c r="H319" t="str">
        <f>IF(ISBLANK(VLOOKUP($A319,'Entry data'!$A:$K,8,FALSE)),"",VLOOKUP($A319,'Entry data'!$A:$K,8,FALSE))</f>
        <v>L</v>
      </c>
      <c r="I319" t="str">
        <f>IF(ISBLANK(VLOOKUP($A319,'Entry data'!$A:$K,9,FALSE)),"",VLOOKUP($A319,'Entry data'!$A:$K,9,FALSE))</f>
        <v>N</v>
      </c>
      <c r="J319">
        <f>IF(ISBLANK(VLOOKUP($A319,'Entry data'!$A:$K,10,FALSE)),"",VLOOKUP($A319,'Entry data'!$A:$K,10,FALSE))</f>
        <v>5</v>
      </c>
      <c r="K319">
        <f>IF(ISBLANK(VLOOKUP($A319,'Entry data'!$A:$K,11,FALSE)),"",VLOOKUP($A319,'Entry data'!$A:$K,11,FALSE))</f>
        <v>5</v>
      </c>
      <c r="L319">
        <f>IF(OR(EXACT(D319,"C"),EXACT(D319,"P"),EXACT(D319,"D"),EXACT(D319,"T"),EXACT(D319,"X"),EXACT(E319,"DZF"),EXACT(E319,"OZF"),EXACT(D319,"N"),EXACT(D319,"F")),1,0)</f>
        <v>1</v>
      </c>
      <c r="M319" t="str">
        <f t="shared" si="16"/>
        <v>9NSH</v>
      </c>
      <c r="N319">
        <f t="shared" si="17"/>
        <v>1</v>
      </c>
      <c r="O319">
        <f t="shared" si="18"/>
        <v>0</v>
      </c>
      <c r="P319" t="str">
        <f t="shared" si="19"/>
        <v/>
      </c>
    </row>
    <row r="320" spans="1:16" x14ac:dyDescent="0.25">
      <c r="A320">
        <v>213</v>
      </c>
      <c r="B320">
        <f>IF($A320&gt;$A$1,"",VLOOKUP($A320,'NHL PBP'!$A:$L,8,FALSE))</f>
        <v>3</v>
      </c>
      <c r="C320">
        <f>IF($A320&gt;$A$1,"",IF(B320&gt;3,5/24,20/24)-VLOOKUP($A320,'NHL PBP'!$A:$L,10,FALSE))</f>
        <v>0.76597222222222228</v>
      </c>
      <c r="D320" t="str">
        <f>IF($A320&gt;$A$1,"",VLOOKUP($A320,'NHL PBP'!$A:$L,11,FALSE))</f>
        <v>SHOT</v>
      </c>
      <c r="E320" t="str">
        <f>IF(AND(EXACT(D320,"FAC"),NOT(EXACT(MID(F320,9,3),"Neu"))),IF(OR(AND(EXACT(MID(F320,9,3),"Off"),EXACT(LEFT(F320,3),UPPER('Entry data'!$C$2))),AND(EXACT(MID(F320,9,3),"Def"),NOT(EXACT(LEFT(F320,3),UPPER('Entry data'!$C$2))))),"DZF","OZF"),"")</f>
        <v/>
      </c>
      <c r="F320" t="str">
        <f>IF($A320&gt;$A$1,"",VLOOKUP($A320,'NHL PBP'!$A:$L,12,FALSE))</f>
        <v>NSH ONGOAL - #9 FORSBERG, Wrist, Off. Zone, 9 ft.</v>
      </c>
      <c r="J320">
        <f>IF(EXACT('Entry data'!$C$3,"Road"),IF(ISBLANK(VLOOKUP(A320,'NHL PBP'!A:AH,21,FALSE)),3,IF(ISBLANK(VLOOKUP(A320,'NHL PBP'!A:AH,23,FALSE)),4,5)),IF(ISBLANK(VLOOKUP(A320,'NHL PBP'!A:AH,32,FALSE)),3,IF(ISBLANK(VLOOKUP(A320,'NHL PBP'!A:AH,34,FALSE)),4,5)))</f>
        <v>5</v>
      </c>
      <c r="K320">
        <f>IF(EXACT('Entry data'!$C$3,"Home"),IF(ISBLANK(VLOOKUP(A320,'NHL PBP'!A:AH,21,FALSE)),3,IF(ISBLANK(VLOOKUP(A320,'NHL PBP'!A:AH,23,FALSE)),4,5)),IF(ISBLANK(VLOOKUP(A320,'NHL PBP'!A:AH,32,FALSE)),3,IF(ISBLANK(VLOOKUP(A320,'NHL PBP'!A:AH,34,FALSE)),4,5)))</f>
        <v>5</v>
      </c>
      <c r="L320">
        <f>IF(OR(EXACT(D320,"C"),EXACT(D320,"P"),EXACT(D320,"D"),EXACT(D320,"T"),EXACT(D320,"X"),EXACT(E320,"DZF"),EXACT(E320,"OZF"),EXACT(D320,"N"),EXACT(D320,"F")),1,0)</f>
        <v>0</v>
      </c>
      <c r="M320" t="str">
        <f t="shared" si="16"/>
        <v/>
      </c>
      <c r="N320">
        <f t="shared" si="17"/>
        <v>1</v>
      </c>
      <c r="O320">
        <f t="shared" si="18"/>
        <v>0</v>
      </c>
      <c r="P320" t="str">
        <f t="shared" si="19"/>
        <v/>
      </c>
    </row>
    <row r="321" spans="1:16" x14ac:dyDescent="0.25">
      <c r="A321">
        <v>214</v>
      </c>
      <c r="B321">
        <f>IF($A321&gt;$A$1,"",VLOOKUP($A321,'NHL PBP'!$A:$L,8,FALSE))</f>
        <v>3</v>
      </c>
      <c r="C321">
        <f>IF($A321&gt;$A$1,"",IF(B321&gt;3,5/24,20/24)-VLOOKUP($A321,'NHL PBP'!$A:$L,10,FALSE))</f>
        <v>0.76597222222222228</v>
      </c>
      <c r="D321" t="str">
        <f>IF($A321&gt;$A$1,"",VLOOKUP($A321,'NHL PBP'!$A:$L,11,FALSE))</f>
        <v>STOP</v>
      </c>
      <c r="E321" t="str">
        <f>IF(AND(EXACT(D321,"FAC"),NOT(EXACT(MID(F321,9,3),"Neu"))),IF(OR(AND(EXACT(MID(F321,9,3),"Off"),EXACT(LEFT(F321,3),UPPER('Entry data'!$C$2))),AND(EXACT(MID(F321,9,3),"Def"),NOT(EXACT(LEFT(F321,3),UPPER('Entry data'!$C$2))))),"DZF","OZF"),"")</f>
        <v/>
      </c>
      <c r="F321" t="str">
        <f>IF($A321&gt;$A$1,"",VLOOKUP($A321,'NHL PBP'!$A:$L,12,FALSE))</f>
        <v>GOALIE STOPPED</v>
      </c>
      <c r="J321">
        <f>IF(EXACT('Entry data'!$C$3,"Road"),IF(ISBLANK(VLOOKUP(A321,'NHL PBP'!A:AH,21,FALSE)),3,IF(ISBLANK(VLOOKUP(A321,'NHL PBP'!A:AH,23,FALSE)),4,5)),IF(ISBLANK(VLOOKUP(A321,'NHL PBP'!A:AH,32,FALSE)),3,IF(ISBLANK(VLOOKUP(A321,'NHL PBP'!A:AH,34,FALSE)),4,5)))</f>
        <v>5</v>
      </c>
      <c r="K321">
        <f>IF(EXACT('Entry data'!$C$3,"Home"),IF(ISBLANK(VLOOKUP(A321,'NHL PBP'!A:AH,21,FALSE)),3,IF(ISBLANK(VLOOKUP(A321,'NHL PBP'!A:AH,23,FALSE)),4,5)),IF(ISBLANK(VLOOKUP(A321,'NHL PBP'!A:AH,32,FALSE)),3,IF(ISBLANK(VLOOKUP(A321,'NHL PBP'!A:AH,34,FALSE)),4,5)))</f>
        <v>5</v>
      </c>
      <c r="L321">
        <f>IF(OR(EXACT(D321,"C"),EXACT(D321,"P"),EXACT(D321,"D"),EXACT(D321,"T"),EXACT(D321,"X"),EXACT(E321,"DZF"),EXACT(E321,"OZF"),EXACT(D321,"N"),EXACT(D321,"F")),1,0)</f>
        <v>0</v>
      </c>
      <c r="M321" t="str">
        <f t="shared" si="16"/>
        <v/>
      </c>
      <c r="N321">
        <f t="shared" si="17"/>
        <v>0</v>
      </c>
      <c r="O321">
        <f t="shared" si="18"/>
        <v>0</v>
      </c>
      <c r="P321" t="str">
        <f t="shared" si="19"/>
        <v/>
      </c>
    </row>
    <row r="322" spans="1:16" x14ac:dyDescent="0.25">
      <c r="A322">
        <v>215</v>
      </c>
      <c r="B322">
        <f>IF($A322&gt;$A$1,"",VLOOKUP($A322,'NHL PBP'!$A:$L,8,FALSE))</f>
        <v>3</v>
      </c>
      <c r="C322">
        <f>IF($A322&gt;$A$1,"",IF(B322&gt;3,5/24,20/24)-VLOOKUP($A322,'NHL PBP'!$A:$L,10,FALSE))</f>
        <v>0.76597222222222228</v>
      </c>
      <c r="D322" t="str">
        <f>IF($A322&gt;$A$1,"",VLOOKUP($A322,'NHL PBP'!$A:$L,11,FALSE))</f>
        <v>FAC</v>
      </c>
      <c r="E322" t="str">
        <f>IF(AND(EXACT(D322,"FAC"),NOT(EXACT(MID(F322,9,3),"Neu"))),IF(OR(AND(EXACT(MID(F322,9,3),"Off"),EXACT(LEFT(F322,3),UPPER('Entry data'!$C$2))),AND(EXACT(MID(F322,9,3),"Def"),NOT(EXACT(LEFT(F322,3),UPPER('Entry data'!$C$2))))),"DZF","OZF"),"")</f>
        <v>DZF</v>
      </c>
      <c r="F322" t="str">
        <f>IF($A322&gt;$A$1,"",VLOOKUP($A322,'NHL PBP'!$A:$L,12,FALSE))</f>
        <v>DET won Def. Zone - NSH #19 JARNKROK vs DET #41 GLENDENING</v>
      </c>
      <c r="J322">
        <f>IF(EXACT('Entry data'!$C$3,"Road"),IF(ISBLANK(VLOOKUP(A322,'NHL PBP'!A:AH,21,FALSE)),3,IF(ISBLANK(VLOOKUP(A322,'NHL PBP'!A:AH,23,FALSE)),4,5)),IF(ISBLANK(VLOOKUP(A322,'NHL PBP'!A:AH,32,FALSE)),3,IF(ISBLANK(VLOOKUP(A322,'NHL PBP'!A:AH,34,FALSE)),4,5)))</f>
        <v>5</v>
      </c>
      <c r="K322">
        <f>IF(EXACT('Entry data'!$C$3,"Home"),IF(ISBLANK(VLOOKUP(A322,'NHL PBP'!A:AH,21,FALSE)),3,IF(ISBLANK(VLOOKUP(A322,'NHL PBP'!A:AH,23,FALSE)),4,5)),IF(ISBLANK(VLOOKUP(A322,'NHL PBP'!A:AH,32,FALSE)),3,IF(ISBLANK(VLOOKUP(A322,'NHL PBP'!A:AH,34,FALSE)),4,5)))</f>
        <v>5</v>
      </c>
      <c r="L322">
        <f>IF(OR(EXACT(D322,"C"),EXACT(D322,"P"),EXACT(D322,"D"),EXACT(D322,"T"),EXACT(D322,"X"),EXACT(E322,"DZF"),EXACT(E322,"OZF"),EXACT(D322,"N"),EXACT(D322,"F")),1,0)</f>
        <v>1</v>
      </c>
      <c r="M322" t="str">
        <f t="shared" ref="M322:M385" si="20">IF(OR(EXACT(D322,"C"),EXACT(D322,"P")),E322,"")</f>
        <v/>
      </c>
      <c r="N322">
        <f t="shared" ref="N322:N385" si="21">IF(OR(EXACT(D322,"GOAL"),EXACT(D322,"SHOT"),EXACT(D322,"MISS")),1,0)+IF(L323=0,N323,0)</f>
        <v>0</v>
      </c>
      <c r="O322">
        <f t="shared" ref="O322:O385" si="22">IF(EXACT(D322,"GOAL"),1,0)+IF(L323=0,O323,0)</f>
        <v>0</v>
      </c>
      <c r="P322" t="str">
        <f t="shared" si="19"/>
        <v/>
      </c>
    </row>
    <row r="323" spans="1:16" x14ac:dyDescent="0.25">
      <c r="A323">
        <v>107</v>
      </c>
      <c r="B323">
        <f>IF(ISBLANK(VLOOKUP($A323,'Entry data'!$A:$K,2,FALSE)),"",VLOOKUP($A323,'Entry data'!$A:$K,2,FALSE))</f>
        <v>3</v>
      </c>
      <c r="C323">
        <f>IF(ISBLANK(VLOOKUP($A323,'Entry data'!$A:$K,3,FALSE)),"",VLOOKUP($A323,'Entry data'!$A:$K,3,FALSE))</f>
        <v>0.75624999999999998</v>
      </c>
      <c r="D323" t="str">
        <f>IF(ISBLANK(VLOOKUP($A323,'Entry data'!$A:$K,4,FALSE)),"",VLOOKUP($A323,'Entry data'!$A:$K,4,FALSE))</f>
        <v>C</v>
      </c>
      <c r="E323" t="str">
        <f>IF(ISBLANK(VLOOKUP($A323,'Entry data'!$A:$K,5,FALSE)),"",VLOOKUP($A323,'Entry data'!$A:$K,5,FALSE))</f>
        <v>29DET</v>
      </c>
      <c r="F323" t="str">
        <f>IF(ISBLANK(VLOOKUP($A323,'Entry data'!$A:$K,6,FALSE)),"",VLOOKUP($A323,'Entry data'!$A:$K,6,FALSE))</f>
        <v>7NSH</v>
      </c>
      <c r="G323" t="str">
        <f>IF(ISBLANK(VLOOKUP($A323,'Entry data'!$A:$K,7,FALSE)),"",VLOOKUP($A323,'Entry data'!$A:$K,7,FALSE))</f>
        <v>N</v>
      </c>
      <c r="H323" t="str">
        <f>IF(ISBLANK(VLOOKUP($A323,'Entry data'!$A:$K,8,FALSE)),"",VLOOKUP($A323,'Entry data'!$A:$K,8,FALSE))</f>
        <v>C</v>
      </c>
      <c r="I323" t="str">
        <f>IF(ISBLANK(VLOOKUP($A323,'Entry data'!$A:$K,9,FALSE)),"",VLOOKUP($A323,'Entry data'!$A:$K,9,FALSE))</f>
        <v>N</v>
      </c>
      <c r="J323">
        <f>IF(ISBLANK(VLOOKUP($A323,'Entry data'!$A:$K,10,FALSE)),"",VLOOKUP($A323,'Entry data'!$A:$K,10,FALSE))</f>
        <v>5</v>
      </c>
      <c r="K323">
        <f>IF(ISBLANK(VLOOKUP($A323,'Entry data'!$A:$K,11,FALSE)),"",VLOOKUP($A323,'Entry data'!$A:$K,11,FALSE))</f>
        <v>5</v>
      </c>
      <c r="L323">
        <f>IF(OR(EXACT(D323,"C"),EXACT(D323,"P"),EXACT(D323,"D"),EXACT(D323,"T"),EXACT(D323,"X"),EXACT(E323,"DZF"),EXACT(E323,"OZF"),EXACT(D323,"N"),EXACT(D323,"F")),1,0)</f>
        <v>1</v>
      </c>
      <c r="M323" t="str">
        <f t="shared" si="20"/>
        <v>29DET</v>
      </c>
      <c r="N323">
        <f t="shared" si="21"/>
        <v>0</v>
      </c>
      <c r="O323">
        <f t="shared" si="22"/>
        <v>0</v>
      </c>
      <c r="P323" t="str">
        <f t="shared" ref="P323:P386" si="23">IF(EXACT(D323,"F"),E323,"")</f>
        <v/>
      </c>
    </row>
    <row r="324" spans="1:16" x14ac:dyDescent="0.25">
      <c r="A324">
        <v>216</v>
      </c>
      <c r="B324">
        <f>IF($A324&gt;$A$1,"",VLOOKUP($A324,'NHL PBP'!$A:$L,8,FALSE))</f>
        <v>3</v>
      </c>
      <c r="C324">
        <f>IF($A324&gt;$A$1,"",IF(B324&gt;3,5/24,20/24)-VLOOKUP($A324,'NHL PBP'!$A:$L,10,FALSE))</f>
        <v>0.74305555555555558</v>
      </c>
      <c r="D324" t="str">
        <f>IF($A324&gt;$A$1,"",VLOOKUP($A324,'NHL PBP'!$A:$L,11,FALSE))</f>
        <v>STOP</v>
      </c>
      <c r="E324" t="str">
        <f>IF(AND(EXACT(D324,"FAC"),NOT(EXACT(MID(F324,9,3),"Neu"))),IF(OR(AND(EXACT(MID(F324,9,3),"Off"),EXACT(LEFT(F324,3),UPPER('Entry data'!$C$2))),AND(EXACT(MID(F324,9,3),"Def"),NOT(EXACT(LEFT(F324,3),UPPER('Entry data'!$C$2))))),"DZF","OZF"),"")</f>
        <v/>
      </c>
      <c r="F324" t="str">
        <f>IF($A324&gt;$A$1,"",VLOOKUP($A324,'NHL PBP'!$A:$L,12,FALSE))</f>
        <v>ICING</v>
      </c>
      <c r="J324">
        <f>IF(EXACT('Entry data'!$C$3,"Road"),IF(ISBLANK(VLOOKUP(A324,'NHL PBP'!A:AH,21,FALSE)),3,IF(ISBLANK(VLOOKUP(A324,'NHL PBP'!A:AH,23,FALSE)),4,5)),IF(ISBLANK(VLOOKUP(A324,'NHL PBP'!A:AH,32,FALSE)),3,IF(ISBLANK(VLOOKUP(A324,'NHL PBP'!A:AH,34,FALSE)),4,5)))</f>
        <v>5</v>
      </c>
      <c r="K324">
        <f>IF(EXACT('Entry data'!$C$3,"Home"),IF(ISBLANK(VLOOKUP(A324,'NHL PBP'!A:AH,21,FALSE)),3,IF(ISBLANK(VLOOKUP(A324,'NHL PBP'!A:AH,23,FALSE)),4,5)),IF(ISBLANK(VLOOKUP(A324,'NHL PBP'!A:AH,32,FALSE)),3,IF(ISBLANK(VLOOKUP(A324,'NHL PBP'!A:AH,34,FALSE)),4,5)))</f>
        <v>5</v>
      </c>
      <c r="L324">
        <f>IF(OR(EXACT(D324,"C"),EXACT(D324,"P"),EXACT(D324,"D"),EXACT(D324,"T"),EXACT(D324,"X"),EXACT(E324,"DZF"),EXACT(E324,"OZF"),EXACT(D324,"N"),EXACT(D324,"F")),1,0)</f>
        <v>0</v>
      </c>
      <c r="M324" t="str">
        <f t="shared" si="20"/>
        <v/>
      </c>
      <c r="N324">
        <f t="shared" si="21"/>
        <v>0</v>
      </c>
      <c r="O324">
        <f t="shared" si="22"/>
        <v>0</v>
      </c>
      <c r="P324" t="str">
        <f t="shared" si="23"/>
        <v/>
      </c>
    </row>
    <row r="325" spans="1:16" x14ac:dyDescent="0.25">
      <c r="A325">
        <v>217</v>
      </c>
      <c r="B325">
        <f>IF($A325&gt;$A$1,"",VLOOKUP($A325,'NHL PBP'!$A:$L,8,FALSE))</f>
        <v>3</v>
      </c>
      <c r="C325">
        <f>IF($A325&gt;$A$1,"",IF(B325&gt;3,5/24,20/24)-VLOOKUP($A325,'NHL PBP'!$A:$L,10,FALSE))</f>
        <v>0.74305555555555558</v>
      </c>
      <c r="D325" t="str">
        <f>IF($A325&gt;$A$1,"",VLOOKUP($A325,'NHL PBP'!$A:$L,11,FALSE))</f>
        <v>FAC</v>
      </c>
      <c r="E325" t="str">
        <f>IF(AND(EXACT(D325,"FAC"),NOT(EXACT(MID(F325,9,3),"Neu"))),IF(OR(AND(EXACT(MID(F325,9,3),"Off"),EXACT(LEFT(F325,3),UPPER('Entry data'!$C$2))),AND(EXACT(MID(F325,9,3),"Def"),NOT(EXACT(LEFT(F325,3),UPPER('Entry data'!$C$2))))),"DZF","OZF"),"")</f>
        <v>OZF</v>
      </c>
      <c r="F325" t="str">
        <f>IF($A325&gt;$A$1,"",VLOOKUP($A325,'NHL PBP'!$A:$L,12,FALSE))</f>
        <v>DET won Off. Zone - NSH #19 JARNKROK vs DET #51 NIELSEN</v>
      </c>
      <c r="J325">
        <f>IF(EXACT('Entry data'!$C$3,"Road"),IF(ISBLANK(VLOOKUP(A325,'NHL PBP'!A:AH,21,FALSE)),3,IF(ISBLANK(VLOOKUP(A325,'NHL PBP'!A:AH,23,FALSE)),4,5)),IF(ISBLANK(VLOOKUP(A325,'NHL PBP'!A:AH,32,FALSE)),3,IF(ISBLANK(VLOOKUP(A325,'NHL PBP'!A:AH,34,FALSE)),4,5)))</f>
        <v>5</v>
      </c>
      <c r="K325">
        <f>IF(EXACT('Entry data'!$C$3,"Home"),IF(ISBLANK(VLOOKUP(A325,'NHL PBP'!A:AH,21,FALSE)),3,IF(ISBLANK(VLOOKUP(A325,'NHL PBP'!A:AH,23,FALSE)),4,5)),IF(ISBLANK(VLOOKUP(A325,'NHL PBP'!A:AH,32,FALSE)),3,IF(ISBLANK(VLOOKUP(A325,'NHL PBP'!A:AH,34,FALSE)),4,5)))</f>
        <v>5</v>
      </c>
      <c r="L325">
        <f>IF(OR(EXACT(D325,"C"),EXACT(D325,"P"),EXACT(D325,"D"),EXACT(D325,"T"),EXACT(D325,"X"),EXACT(E325,"DZF"),EXACT(E325,"OZF"),EXACT(D325,"N"),EXACT(D325,"F")),1,0)</f>
        <v>1</v>
      </c>
      <c r="M325" t="str">
        <f t="shared" si="20"/>
        <v/>
      </c>
      <c r="N325">
        <f t="shared" si="21"/>
        <v>0</v>
      </c>
      <c r="O325">
        <f t="shared" si="22"/>
        <v>0</v>
      </c>
      <c r="P325" t="str">
        <f t="shared" si="23"/>
        <v/>
      </c>
    </row>
    <row r="326" spans="1:16" x14ac:dyDescent="0.25">
      <c r="A326">
        <v>218</v>
      </c>
      <c r="B326">
        <f>IF($A326&gt;$A$1,"",VLOOKUP($A326,'NHL PBP'!$A:$L,8,FALSE))</f>
        <v>3</v>
      </c>
      <c r="C326">
        <f>IF($A326&gt;$A$1,"",IF(B326&gt;3,5/24,20/24)-VLOOKUP($A326,'NHL PBP'!$A:$L,10,FALSE))</f>
        <v>0.7284722222222223</v>
      </c>
      <c r="D326" t="str">
        <f>IF($A326&gt;$A$1,"",VLOOKUP($A326,'NHL PBP'!$A:$L,11,FALSE))</f>
        <v>PENL</v>
      </c>
      <c r="E326" t="str">
        <f>IF(AND(EXACT(D326,"FAC"),NOT(EXACT(MID(F326,9,3),"Neu"))),IF(OR(AND(EXACT(MID(F326,9,3),"Off"),EXACT(LEFT(F326,3),UPPER('Entry data'!$C$2))),AND(EXACT(MID(F326,9,3),"Def"),NOT(EXACT(LEFT(F326,3),UPPER('Entry data'!$C$2))))),"DZF","OZF"),"")</f>
        <v/>
      </c>
      <c r="F326" t="str">
        <f>IF($A326&gt;$A$1,"",VLOOKUP($A326,'NHL PBP'!$A:$L,12,FALSE))</f>
        <v>NSH #7 WEBER Fighting (maj)(5 min), Def. Zone Drawn By: DET #71 LARKIN</v>
      </c>
      <c r="J326">
        <f>IF(EXACT('Entry data'!$C$3,"Road"),IF(ISBLANK(VLOOKUP(A326,'NHL PBP'!A:AH,21,FALSE)),3,IF(ISBLANK(VLOOKUP(A326,'NHL PBP'!A:AH,23,FALSE)),4,5)),IF(ISBLANK(VLOOKUP(A326,'NHL PBP'!A:AH,32,FALSE)),3,IF(ISBLANK(VLOOKUP(A326,'NHL PBP'!A:AH,34,FALSE)),4,5)))</f>
        <v>5</v>
      </c>
      <c r="K326">
        <f>IF(EXACT('Entry data'!$C$3,"Home"),IF(ISBLANK(VLOOKUP(A326,'NHL PBP'!A:AH,21,FALSE)),3,IF(ISBLANK(VLOOKUP(A326,'NHL PBP'!A:AH,23,FALSE)),4,5)),IF(ISBLANK(VLOOKUP(A326,'NHL PBP'!A:AH,32,FALSE)),3,IF(ISBLANK(VLOOKUP(A326,'NHL PBP'!A:AH,34,FALSE)),4,5)))</f>
        <v>5</v>
      </c>
      <c r="L326">
        <f>IF(OR(EXACT(D326,"C"),EXACT(D326,"P"),EXACT(D326,"D"),EXACT(D326,"T"),EXACT(D326,"X"),EXACT(E326,"DZF"),EXACT(E326,"OZF"),EXACT(D326,"N"),EXACT(D326,"F")),1,0)</f>
        <v>0</v>
      </c>
      <c r="M326" t="str">
        <f t="shared" si="20"/>
        <v/>
      </c>
      <c r="N326">
        <f t="shared" si="21"/>
        <v>0</v>
      </c>
      <c r="O326">
        <f t="shared" si="22"/>
        <v>0</v>
      </c>
      <c r="P326" t="str">
        <f t="shared" si="23"/>
        <v/>
      </c>
    </row>
    <row r="327" spans="1:16" x14ac:dyDescent="0.25">
      <c r="A327">
        <v>219</v>
      </c>
      <c r="B327">
        <f>IF($A327&gt;$A$1,"",VLOOKUP($A327,'NHL PBP'!$A:$L,8,FALSE))</f>
        <v>3</v>
      </c>
      <c r="C327">
        <f>IF($A327&gt;$A$1,"",IF(B327&gt;3,5/24,20/24)-VLOOKUP($A327,'NHL PBP'!$A:$L,10,FALSE))</f>
        <v>0.7284722222222223</v>
      </c>
      <c r="D327" t="str">
        <f>IF($A327&gt;$A$1,"",VLOOKUP($A327,'NHL PBP'!$A:$L,11,FALSE))</f>
        <v>PENL</v>
      </c>
      <c r="E327" t="str">
        <f>IF(AND(EXACT(D327,"FAC"),NOT(EXACT(MID(F327,9,3),"Neu"))),IF(OR(AND(EXACT(MID(F327,9,3),"Off"),EXACT(LEFT(F327,3),UPPER('Entry data'!$C$2))),AND(EXACT(MID(F327,9,3),"Def"),NOT(EXACT(LEFT(F327,3),UPPER('Entry data'!$C$2))))),"DZF","OZF"),"")</f>
        <v/>
      </c>
      <c r="F327" t="str">
        <f>IF($A327&gt;$A$1,"",VLOOKUP($A327,'NHL PBP'!$A:$L,12,FALSE))</f>
        <v>DET #71 LARKIN Fighting (maj)(5 min), Off. Zone Drawn By: NSH #7 WEBER</v>
      </c>
      <c r="J327">
        <f>IF(EXACT('Entry data'!$C$3,"Road"),IF(ISBLANK(VLOOKUP(A327,'NHL PBP'!A:AH,21,FALSE)),3,IF(ISBLANK(VLOOKUP(A327,'NHL PBP'!A:AH,23,FALSE)),4,5)),IF(ISBLANK(VLOOKUP(A327,'NHL PBP'!A:AH,32,FALSE)),3,IF(ISBLANK(VLOOKUP(A327,'NHL PBP'!A:AH,34,FALSE)),4,5)))</f>
        <v>5</v>
      </c>
      <c r="K327">
        <f>IF(EXACT('Entry data'!$C$3,"Home"),IF(ISBLANK(VLOOKUP(A327,'NHL PBP'!A:AH,21,FALSE)),3,IF(ISBLANK(VLOOKUP(A327,'NHL PBP'!A:AH,23,FALSE)),4,5)),IF(ISBLANK(VLOOKUP(A327,'NHL PBP'!A:AH,32,FALSE)),3,IF(ISBLANK(VLOOKUP(A327,'NHL PBP'!A:AH,34,FALSE)),4,5)))</f>
        <v>5</v>
      </c>
      <c r="L327">
        <f>IF(OR(EXACT(D327,"C"),EXACT(D327,"P"),EXACT(D327,"D"),EXACT(D327,"T"),EXACT(D327,"X"),EXACT(E327,"DZF"),EXACT(E327,"OZF"),EXACT(D327,"N"),EXACT(D327,"F")),1,0)</f>
        <v>0</v>
      </c>
      <c r="M327" t="str">
        <f t="shared" si="20"/>
        <v/>
      </c>
      <c r="N327">
        <f t="shared" si="21"/>
        <v>0</v>
      </c>
      <c r="O327">
        <f t="shared" si="22"/>
        <v>0</v>
      </c>
      <c r="P327" t="str">
        <f t="shared" si="23"/>
        <v/>
      </c>
    </row>
    <row r="328" spans="1:16" x14ac:dyDescent="0.25">
      <c r="A328">
        <v>220</v>
      </c>
      <c r="B328">
        <f>IF($A328&gt;$A$1,"",VLOOKUP($A328,'NHL PBP'!$A:$L,8,FALSE))</f>
        <v>3</v>
      </c>
      <c r="C328">
        <f>IF($A328&gt;$A$1,"",IF(B328&gt;3,5/24,20/24)-VLOOKUP($A328,'NHL PBP'!$A:$L,10,FALSE))</f>
        <v>0.7284722222222223</v>
      </c>
      <c r="D328" t="str">
        <f>IF($A328&gt;$A$1,"",VLOOKUP($A328,'NHL PBP'!$A:$L,11,FALSE))</f>
        <v>FAC</v>
      </c>
      <c r="E328" t="str">
        <f>IF(AND(EXACT(D328,"FAC"),NOT(EXACT(MID(F328,9,3),"Neu"))),IF(OR(AND(EXACT(MID(F328,9,3),"Off"),EXACT(LEFT(F328,3),UPPER('Entry data'!$C$2))),AND(EXACT(MID(F328,9,3),"Def"),NOT(EXACT(LEFT(F328,3),UPPER('Entry data'!$C$2))))),"DZF","OZF"),"")</f>
        <v>OZF</v>
      </c>
      <c r="F328" t="str">
        <f>IF($A328&gt;$A$1,"",VLOOKUP($A328,'NHL PBP'!$A:$L,12,FALSE))</f>
        <v>NSH won Def. Zone - NSH #12 FISHER vs DET #43 HELM</v>
      </c>
      <c r="J328">
        <f>IF(EXACT('Entry data'!$C$3,"Road"),IF(ISBLANK(VLOOKUP(A328,'NHL PBP'!A:AH,21,FALSE)),3,IF(ISBLANK(VLOOKUP(A328,'NHL PBP'!A:AH,23,FALSE)),4,5)),IF(ISBLANK(VLOOKUP(A328,'NHL PBP'!A:AH,32,FALSE)),3,IF(ISBLANK(VLOOKUP(A328,'NHL PBP'!A:AH,34,FALSE)),4,5)))</f>
        <v>5</v>
      </c>
      <c r="K328">
        <f>IF(EXACT('Entry data'!$C$3,"Home"),IF(ISBLANK(VLOOKUP(A328,'NHL PBP'!A:AH,21,FALSE)),3,IF(ISBLANK(VLOOKUP(A328,'NHL PBP'!A:AH,23,FALSE)),4,5)),IF(ISBLANK(VLOOKUP(A328,'NHL PBP'!A:AH,32,FALSE)),3,IF(ISBLANK(VLOOKUP(A328,'NHL PBP'!A:AH,34,FALSE)),4,5)))</f>
        <v>5</v>
      </c>
      <c r="L328">
        <f>IF(OR(EXACT(D328,"C"),EXACT(D328,"P"),EXACT(D328,"D"),EXACT(D328,"T"),EXACT(D328,"X"),EXACT(E328,"DZF"),EXACT(E328,"OZF"),EXACT(D328,"N"),EXACT(D328,"F")),1,0)</f>
        <v>1</v>
      </c>
      <c r="M328" t="str">
        <f t="shared" si="20"/>
        <v/>
      </c>
      <c r="N328">
        <f t="shared" si="21"/>
        <v>0</v>
      </c>
      <c r="O328">
        <f t="shared" si="22"/>
        <v>0</v>
      </c>
      <c r="P328" t="str">
        <f t="shared" si="23"/>
        <v/>
      </c>
    </row>
    <row r="329" spans="1:16" x14ac:dyDescent="0.25">
      <c r="A329">
        <v>108</v>
      </c>
      <c r="B329">
        <f>IF(ISBLANK(VLOOKUP($A329,'Entry data'!$A:$K,2,FALSE)),"",VLOOKUP($A329,'Entry data'!$A:$K,2,FALSE))</f>
        <v>3</v>
      </c>
      <c r="C329">
        <f>IF(ISBLANK(VLOOKUP($A329,'Entry data'!$A:$K,3,FALSE)),"",VLOOKUP($A329,'Entry data'!$A:$K,3,FALSE))</f>
        <v>0.72222222222222221</v>
      </c>
      <c r="D329" t="str">
        <f>IF(ISBLANK(VLOOKUP($A329,'Entry data'!$A:$K,4,FALSE)),"",VLOOKUP($A329,'Entry data'!$A:$K,4,FALSE))</f>
        <v>F</v>
      </c>
      <c r="E329" t="str">
        <f>IF(ISBLANK(VLOOKUP($A329,'Entry data'!$A:$K,5,FALSE)),"",VLOOKUP($A329,'Entry data'!$A:$K,5,FALSE))</f>
        <v>38NSH</v>
      </c>
      <c r="F329" t="str">
        <f>IF(ISBLANK(VLOOKUP($A329,'Entry data'!$A:$K,6,FALSE)),"",VLOOKUP($A329,'Entry data'!$A:$K,6,FALSE))</f>
        <v>53DET</v>
      </c>
      <c r="G329" t="str">
        <f>IF(ISBLANK(VLOOKUP($A329,'Entry data'!$A:$K,7,FALSE)),"",VLOOKUP($A329,'Entry data'!$A:$K,7,FALSE))</f>
        <v/>
      </c>
      <c r="H329" t="str">
        <f>IF(ISBLANK(VLOOKUP($A329,'Entry data'!$A:$K,8,FALSE)),"",VLOOKUP($A329,'Entry data'!$A:$K,8,FALSE))</f>
        <v>L</v>
      </c>
      <c r="I329" t="str">
        <f>IF(ISBLANK(VLOOKUP($A329,'Entry data'!$A:$K,9,FALSE)),"",VLOOKUP($A329,'Entry data'!$A:$K,9,FALSE))</f>
        <v>N</v>
      </c>
      <c r="J329">
        <f>IF(ISBLANK(VLOOKUP($A329,'Entry data'!$A:$K,10,FALSE)),"",VLOOKUP($A329,'Entry data'!$A:$K,10,FALSE))</f>
        <v>5</v>
      </c>
      <c r="K329">
        <f>IF(ISBLANK(VLOOKUP($A329,'Entry data'!$A:$K,11,FALSE)),"",VLOOKUP($A329,'Entry data'!$A:$K,11,FALSE))</f>
        <v>5</v>
      </c>
      <c r="L329">
        <f>IF(OR(EXACT(D329,"C"),EXACT(D329,"P"),EXACT(D329,"D"),EXACT(D329,"T"),EXACT(D329,"X"),EXACT(E329,"DZF"),EXACT(E329,"OZF"),EXACT(D329,"N"),EXACT(D329,"F")),1,0)</f>
        <v>1</v>
      </c>
      <c r="M329" t="str">
        <f t="shared" si="20"/>
        <v/>
      </c>
      <c r="N329">
        <f t="shared" si="21"/>
        <v>0</v>
      </c>
      <c r="O329">
        <f t="shared" si="22"/>
        <v>0</v>
      </c>
      <c r="P329" t="str">
        <f t="shared" si="23"/>
        <v>38NSH</v>
      </c>
    </row>
    <row r="330" spans="1:16" x14ac:dyDescent="0.25">
      <c r="A330">
        <v>221</v>
      </c>
      <c r="B330">
        <f>IF($A330&gt;$A$1,"",VLOOKUP($A330,'NHL PBP'!$A:$L,8,FALSE))</f>
        <v>3</v>
      </c>
      <c r="C330">
        <f>IF($A330&gt;$A$1,"",IF(B330&gt;3,5/24,20/24)-VLOOKUP($A330,'NHL PBP'!$A:$L,10,FALSE))</f>
        <v>0.71944444444444444</v>
      </c>
      <c r="D330" t="str">
        <f>IF($A330&gt;$A$1,"",VLOOKUP($A330,'NHL PBP'!$A:$L,11,FALSE))</f>
        <v>GIVE</v>
      </c>
      <c r="E330" t="str">
        <f>IF(AND(EXACT(D330,"FAC"),NOT(EXACT(MID(F330,9,3),"Neu"))),IF(OR(AND(EXACT(MID(F330,9,3),"Off"),EXACT(LEFT(F330,3),UPPER('Entry data'!$C$2))),AND(EXACT(MID(F330,9,3),"Def"),NOT(EXACT(LEFT(F330,3),UPPER('Entry data'!$C$2))))),"DZF","OZF"),"")</f>
        <v/>
      </c>
      <c r="F330" t="str">
        <f>IF($A330&gt;$A$1,"",VLOOKUP($A330,'NHL PBP'!$A:$L,12,FALSE))</f>
        <v>NSH GIVEAWAY - #38 ARVIDSSON, Neu. Zone</v>
      </c>
      <c r="J330">
        <f>IF(EXACT('Entry data'!$C$3,"Road"),IF(ISBLANK(VLOOKUP(A330,'NHL PBP'!A:AH,21,FALSE)),3,IF(ISBLANK(VLOOKUP(A330,'NHL PBP'!A:AH,23,FALSE)),4,5)),IF(ISBLANK(VLOOKUP(A330,'NHL PBP'!A:AH,32,FALSE)),3,IF(ISBLANK(VLOOKUP(A330,'NHL PBP'!A:AH,34,FALSE)),4,5)))</f>
        <v>5</v>
      </c>
      <c r="K330">
        <f>IF(EXACT('Entry data'!$C$3,"Home"),IF(ISBLANK(VLOOKUP(A330,'NHL PBP'!A:AH,21,FALSE)),3,IF(ISBLANK(VLOOKUP(A330,'NHL PBP'!A:AH,23,FALSE)),4,5)),IF(ISBLANK(VLOOKUP(A330,'NHL PBP'!A:AH,32,FALSE)),3,IF(ISBLANK(VLOOKUP(A330,'NHL PBP'!A:AH,34,FALSE)),4,5)))</f>
        <v>5</v>
      </c>
      <c r="L330">
        <f>IF(OR(EXACT(D330,"C"),EXACT(D330,"P"),EXACT(D330,"D"),EXACT(D330,"T"),EXACT(D330,"X"),EXACT(E330,"DZF"),EXACT(E330,"OZF"),EXACT(D330,"N"),EXACT(D330,"F")),1,0)</f>
        <v>0</v>
      </c>
      <c r="M330" t="str">
        <f t="shared" si="20"/>
        <v/>
      </c>
      <c r="N330">
        <f t="shared" si="21"/>
        <v>0</v>
      </c>
      <c r="O330">
        <f t="shared" si="22"/>
        <v>0</v>
      </c>
      <c r="P330" t="str">
        <f t="shared" si="23"/>
        <v/>
      </c>
    </row>
    <row r="331" spans="1:16" x14ac:dyDescent="0.25">
      <c r="A331">
        <v>222</v>
      </c>
      <c r="B331">
        <f>IF($A331&gt;$A$1,"",VLOOKUP($A331,'NHL PBP'!$A:$L,8,FALSE))</f>
        <v>3</v>
      </c>
      <c r="C331">
        <f>IF($A331&gt;$A$1,"",IF(B331&gt;3,5/24,20/24)-VLOOKUP($A331,'NHL PBP'!$A:$L,10,FALSE))</f>
        <v>0.71736111111111112</v>
      </c>
      <c r="D331" t="str">
        <f>IF($A331&gt;$A$1,"",VLOOKUP($A331,'NHL PBP'!$A:$L,11,FALSE))</f>
        <v>PENL</v>
      </c>
      <c r="E331" t="str">
        <f>IF(AND(EXACT(D331,"FAC"),NOT(EXACT(MID(F331,9,3),"Neu"))),IF(OR(AND(EXACT(MID(F331,9,3),"Off"),EXACT(LEFT(F331,3),UPPER('Entry data'!$C$2))),AND(EXACT(MID(F331,9,3),"Def"),NOT(EXACT(LEFT(F331,3),UPPER('Entry data'!$C$2))))),"DZF","OZF"),"")</f>
        <v/>
      </c>
      <c r="F331" t="str">
        <f>IF($A331&gt;$A$1,"",VLOOKUP($A331,'NHL PBP'!$A:$L,12,FALSE))</f>
        <v>DET #52 ERICSSON Interference(2 min), Def. Zone Drawn By: NSH #12 FISHER</v>
      </c>
      <c r="J331">
        <f>IF(EXACT('Entry data'!$C$3,"Road"),IF(ISBLANK(VLOOKUP(A331,'NHL PBP'!A:AH,21,FALSE)),3,IF(ISBLANK(VLOOKUP(A331,'NHL PBP'!A:AH,23,FALSE)),4,5)),IF(ISBLANK(VLOOKUP(A331,'NHL PBP'!A:AH,32,FALSE)),3,IF(ISBLANK(VLOOKUP(A331,'NHL PBP'!A:AH,34,FALSE)),4,5)))</f>
        <v>5</v>
      </c>
      <c r="K331">
        <f>IF(EXACT('Entry data'!$C$3,"Home"),IF(ISBLANK(VLOOKUP(A331,'NHL PBP'!A:AH,21,FALSE)),3,IF(ISBLANK(VLOOKUP(A331,'NHL PBP'!A:AH,23,FALSE)),4,5)),IF(ISBLANK(VLOOKUP(A331,'NHL PBP'!A:AH,32,FALSE)),3,IF(ISBLANK(VLOOKUP(A331,'NHL PBP'!A:AH,34,FALSE)),4,5)))</f>
        <v>5</v>
      </c>
      <c r="L331">
        <f>IF(OR(EXACT(D331,"C"),EXACT(D331,"P"),EXACT(D331,"D"),EXACT(D331,"T"),EXACT(D331,"X"),EXACT(E331,"DZF"),EXACT(E331,"OZF"),EXACT(D331,"N"),EXACT(D331,"F")),1,0)</f>
        <v>0</v>
      </c>
      <c r="M331" t="str">
        <f t="shared" si="20"/>
        <v/>
      </c>
      <c r="N331">
        <f t="shared" si="21"/>
        <v>0</v>
      </c>
      <c r="O331">
        <f t="shared" si="22"/>
        <v>0</v>
      </c>
      <c r="P331" t="str">
        <f t="shared" si="23"/>
        <v/>
      </c>
    </row>
    <row r="332" spans="1:16" x14ac:dyDescent="0.25">
      <c r="A332">
        <v>223</v>
      </c>
      <c r="B332">
        <f>IF($A332&gt;$A$1,"",VLOOKUP($A332,'NHL PBP'!$A:$L,8,FALSE))</f>
        <v>3</v>
      </c>
      <c r="C332">
        <f>IF($A332&gt;$A$1,"",IF(B332&gt;3,5/24,20/24)-VLOOKUP($A332,'NHL PBP'!$A:$L,10,FALSE))</f>
        <v>0.71736111111111112</v>
      </c>
      <c r="D332" t="str">
        <f>IF($A332&gt;$A$1,"",VLOOKUP($A332,'NHL PBP'!$A:$L,11,FALSE))</f>
        <v>FAC</v>
      </c>
      <c r="E332" t="str">
        <f>IF(AND(EXACT(D332,"FAC"),NOT(EXACT(MID(F332,9,3),"Neu"))),IF(OR(AND(EXACT(MID(F332,9,3),"Off"),EXACT(LEFT(F332,3),UPPER('Entry data'!$C$2))),AND(EXACT(MID(F332,9,3),"Def"),NOT(EXACT(LEFT(F332,3),UPPER('Entry data'!$C$2))))),"DZF","OZF"),"")</f>
        <v>DZF</v>
      </c>
      <c r="F332" t="str">
        <f>IF($A332&gt;$A$1,"",VLOOKUP($A332,'NHL PBP'!$A:$L,12,FALSE))</f>
        <v>DET won Def. Zone - NSH #12 FISHER vs DET #51 NIELSEN</v>
      </c>
      <c r="J332">
        <f>IF(EXACT('Entry data'!$C$3,"Road"),IF(ISBLANK(VLOOKUP(A332,'NHL PBP'!A:AH,21,FALSE)),3,IF(ISBLANK(VLOOKUP(A332,'NHL PBP'!A:AH,23,FALSE)),4,5)),IF(ISBLANK(VLOOKUP(A332,'NHL PBP'!A:AH,32,FALSE)),3,IF(ISBLANK(VLOOKUP(A332,'NHL PBP'!A:AH,34,FALSE)),4,5)))</f>
        <v>4</v>
      </c>
      <c r="K332">
        <f>IF(EXACT('Entry data'!$C$3,"Home"),IF(ISBLANK(VLOOKUP(A332,'NHL PBP'!A:AH,21,FALSE)),3,IF(ISBLANK(VLOOKUP(A332,'NHL PBP'!A:AH,23,FALSE)),4,5)),IF(ISBLANK(VLOOKUP(A332,'NHL PBP'!A:AH,32,FALSE)),3,IF(ISBLANK(VLOOKUP(A332,'NHL PBP'!A:AH,34,FALSE)),4,5)))</f>
        <v>5</v>
      </c>
      <c r="L332">
        <f>IF(OR(EXACT(D332,"C"),EXACT(D332,"P"),EXACT(D332,"D"),EXACT(D332,"T"),EXACT(D332,"X"),EXACT(E332,"DZF"),EXACT(E332,"OZF"),EXACT(D332,"N"),EXACT(D332,"F")),1,0)</f>
        <v>1</v>
      </c>
      <c r="M332" t="str">
        <f t="shared" si="20"/>
        <v/>
      </c>
      <c r="N332">
        <f t="shared" si="21"/>
        <v>0</v>
      </c>
      <c r="O332">
        <f t="shared" si="22"/>
        <v>0</v>
      </c>
      <c r="P332" t="str">
        <f t="shared" si="23"/>
        <v/>
      </c>
    </row>
    <row r="333" spans="1:16" x14ac:dyDescent="0.25">
      <c r="A333">
        <v>109</v>
      </c>
      <c r="B333">
        <f>IF(ISBLANK(VLOOKUP($A333,'Entry data'!$A:$K,2,FALSE)),"",VLOOKUP($A333,'Entry data'!$A:$K,2,FALSE))</f>
        <v>3</v>
      </c>
      <c r="C333">
        <f>IF(ISBLANK(VLOOKUP($A333,'Entry data'!$A:$K,3,FALSE)),"",VLOOKUP($A333,'Entry data'!$A:$K,3,FALSE))</f>
        <v>0.70416666666666661</v>
      </c>
      <c r="D333" t="str">
        <f>IF(ISBLANK(VLOOKUP($A333,'Entry data'!$A:$K,4,FALSE)),"",VLOOKUP($A333,'Entry data'!$A:$K,4,FALSE))</f>
        <v>C</v>
      </c>
      <c r="E333" t="str">
        <f>IF(ISBLANK(VLOOKUP($A333,'Entry data'!$A:$K,5,FALSE)),"",VLOOKUP($A333,'Entry data'!$A:$K,5,FALSE))</f>
        <v>4NSH</v>
      </c>
      <c r="F333" t="str">
        <f>IF(ISBLANK(VLOOKUP($A333,'Entry data'!$A:$K,6,FALSE)),"",VLOOKUP($A333,'Entry data'!$A:$K,6,FALSE))</f>
        <v>51DET</v>
      </c>
      <c r="G333" t="str">
        <f>IF(ISBLANK(VLOOKUP($A333,'Entry data'!$A:$K,7,FALSE)),"",VLOOKUP($A333,'Entry data'!$A:$K,7,FALSE))</f>
        <v>N</v>
      </c>
      <c r="H333" t="str">
        <f>IF(ISBLANK(VLOOKUP($A333,'Entry data'!$A:$K,8,FALSE)),"",VLOOKUP($A333,'Entry data'!$A:$K,8,FALSE))</f>
        <v>L</v>
      </c>
      <c r="I333" t="str">
        <f>IF(ISBLANK(VLOOKUP($A333,'Entry data'!$A:$K,9,FALSE)),"",VLOOKUP($A333,'Entry data'!$A:$K,9,FALSE))</f>
        <v>N</v>
      </c>
      <c r="J333">
        <f>IF(ISBLANK(VLOOKUP($A333,'Entry data'!$A:$K,10,FALSE)),"",VLOOKUP($A333,'Entry data'!$A:$K,10,FALSE))</f>
        <v>5</v>
      </c>
      <c r="K333">
        <f>IF(ISBLANK(VLOOKUP($A333,'Entry data'!$A:$K,11,FALSE)),"",VLOOKUP($A333,'Entry data'!$A:$K,11,FALSE))</f>
        <v>4</v>
      </c>
      <c r="L333">
        <f>IF(OR(EXACT(D333,"C"),EXACT(D333,"P"),EXACT(D333,"D"),EXACT(D333,"T"),EXACT(D333,"X"),EXACT(E333,"DZF"),EXACT(E333,"OZF"),EXACT(D333,"N"),EXACT(D333,"F")),1,0)</f>
        <v>1</v>
      </c>
      <c r="M333" t="str">
        <f t="shared" si="20"/>
        <v>4NSH</v>
      </c>
      <c r="N333">
        <f t="shared" si="21"/>
        <v>0</v>
      </c>
      <c r="O333">
        <f t="shared" si="22"/>
        <v>0</v>
      </c>
      <c r="P333" t="str">
        <f t="shared" si="23"/>
        <v/>
      </c>
    </row>
    <row r="334" spans="1:16" x14ac:dyDescent="0.25">
      <c r="A334">
        <v>110</v>
      </c>
      <c r="B334">
        <f>IF(ISBLANK(VLOOKUP($A334,'Entry data'!$A:$K,2,FALSE)),"",VLOOKUP($A334,'Entry data'!$A:$K,2,FALSE))</f>
        <v>3</v>
      </c>
      <c r="C334">
        <f>IF(ISBLANK(VLOOKUP($A334,'Entry data'!$A:$K,3,FALSE)),"",VLOOKUP($A334,'Entry data'!$A:$K,3,FALSE))</f>
        <v>0.68611111111111101</v>
      </c>
      <c r="D334" t="str">
        <f>IF(ISBLANK(VLOOKUP($A334,'Entry data'!$A:$K,4,FALSE)),"",VLOOKUP($A334,'Entry data'!$A:$K,4,FALSE))</f>
        <v>C</v>
      </c>
      <c r="E334" t="str">
        <f>IF(ISBLANK(VLOOKUP($A334,'Entry data'!$A:$K,5,FALSE)),"",VLOOKUP($A334,'Entry data'!$A:$K,5,FALSE))</f>
        <v>4NSH</v>
      </c>
      <c r="F334" t="str">
        <f>IF(ISBLANK(VLOOKUP($A334,'Entry data'!$A:$K,6,FALSE)),"",VLOOKUP($A334,'Entry data'!$A:$K,6,FALSE))</f>
        <v>41DET</v>
      </c>
      <c r="G334" t="str">
        <f>IF(ISBLANK(VLOOKUP($A334,'Entry data'!$A:$K,7,FALSE)),"",VLOOKUP($A334,'Entry data'!$A:$K,7,FALSE))</f>
        <v>Y</v>
      </c>
      <c r="H334" t="str">
        <f>IF(ISBLANK(VLOOKUP($A334,'Entry data'!$A:$K,8,FALSE)),"",VLOOKUP($A334,'Entry data'!$A:$K,8,FALSE))</f>
        <v>L</v>
      </c>
      <c r="I334" t="str">
        <f>IF(ISBLANK(VLOOKUP($A334,'Entry data'!$A:$K,9,FALSE)),"",VLOOKUP($A334,'Entry data'!$A:$K,9,FALSE))</f>
        <v>N</v>
      </c>
      <c r="J334">
        <f>IF(ISBLANK(VLOOKUP($A334,'Entry data'!$A:$K,10,FALSE)),"",VLOOKUP($A334,'Entry data'!$A:$K,10,FALSE))</f>
        <v>5</v>
      </c>
      <c r="K334">
        <f>IF(ISBLANK(VLOOKUP($A334,'Entry data'!$A:$K,11,FALSE)),"",VLOOKUP($A334,'Entry data'!$A:$K,11,FALSE))</f>
        <v>4</v>
      </c>
      <c r="L334">
        <f>IF(OR(EXACT(D334,"C"),EXACT(D334,"P"),EXACT(D334,"D"),EXACT(D334,"T"),EXACT(D334,"X"),EXACT(E334,"DZF"),EXACT(E334,"OZF"),EXACT(D334,"N"),EXACT(D334,"F")),1,0)</f>
        <v>1</v>
      </c>
      <c r="M334" t="str">
        <f t="shared" si="20"/>
        <v>4NSH</v>
      </c>
      <c r="N334">
        <f t="shared" si="21"/>
        <v>0</v>
      </c>
      <c r="O334">
        <f t="shared" si="22"/>
        <v>0</v>
      </c>
      <c r="P334" t="str">
        <f t="shared" si="23"/>
        <v/>
      </c>
    </row>
    <row r="335" spans="1:16" x14ac:dyDescent="0.25">
      <c r="A335">
        <v>111</v>
      </c>
      <c r="B335">
        <f>IF(ISBLANK(VLOOKUP($A335,'Entry data'!$A:$K,2,FALSE)),"",VLOOKUP($A335,'Entry data'!$A:$K,2,FALSE))</f>
        <v>3</v>
      </c>
      <c r="C335">
        <f>IF(ISBLANK(VLOOKUP($A335,'Entry data'!$A:$K,3,FALSE)),"",VLOOKUP($A335,'Entry data'!$A:$K,3,FALSE))</f>
        <v>0.67569444444444438</v>
      </c>
      <c r="D335" t="str">
        <f>IF(ISBLANK(VLOOKUP($A335,'Entry data'!$A:$K,4,FALSE)),"",VLOOKUP($A335,'Entry data'!$A:$K,4,FALSE))</f>
        <v>C</v>
      </c>
      <c r="E335" t="str">
        <f>IF(ISBLANK(VLOOKUP($A335,'Entry data'!$A:$K,5,FALSE)),"",VLOOKUP($A335,'Entry data'!$A:$K,5,FALSE))</f>
        <v>41DET</v>
      </c>
      <c r="F335" t="str">
        <f>IF(ISBLANK(VLOOKUP($A335,'Entry data'!$A:$K,6,FALSE)),"",VLOOKUP($A335,'Entry data'!$A:$K,6,FALSE))</f>
        <v>59NSH</v>
      </c>
      <c r="G335" t="str">
        <f>IF(ISBLANK(VLOOKUP($A335,'Entry data'!$A:$K,7,FALSE)),"",VLOOKUP($A335,'Entry data'!$A:$K,7,FALSE))</f>
        <v>N</v>
      </c>
      <c r="H335" t="str">
        <f>IF(ISBLANK(VLOOKUP($A335,'Entry data'!$A:$K,8,FALSE)),"",VLOOKUP($A335,'Entry data'!$A:$K,8,FALSE))</f>
        <v>L</v>
      </c>
      <c r="I335" t="str">
        <f>IF(ISBLANK(VLOOKUP($A335,'Entry data'!$A:$K,9,FALSE)),"",VLOOKUP($A335,'Entry data'!$A:$K,9,FALSE))</f>
        <v>N</v>
      </c>
      <c r="J335">
        <f>IF(ISBLANK(VLOOKUP($A335,'Entry data'!$A:$K,10,FALSE)),"",VLOOKUP($A335,'Entry data'!$A:$K,10,FALSE))</f>
        <v>5</v>
      </c>
      <c r="K335">
        <f>IF(ISBLANK(VLOOKUP($A335,'Entry data'!$A:$K,11,FALSE)),"",VLOOKUP($A335,'Entry data'!$A:$K,11,FALSE))</f>
        <v>4</v>
      </c>
      <c r="L335">
        <f>IF(OR(EXACT(D335,"C"),EXACT(D335,"P"),EXACT(D335,"D"),EXACT(D335,"T"),EXACT(D335,"X"),EXACT(E335,"DZF"),EXACT(E335,"OZF"),EXACT(D335,"N"),EXACT(D335,"F")),1,0)</f>
        <v>1</v>
      </c>
      <c r="M335" t="str">
        <f t="shared" si="20"/>
        <v>41DET</v>
      </c>
      <c r="N335">
        <f t="shared" si="21"/>
        <v>1</v>
      </c>
      <c r="O335">
        <f t="shared" si="22"/>
        <v>0</v>
      </c>
      <c r="P335" t="str">
        <f t="shared" si="23"/>
        <v/>
      </c>
    </row>
    <row r="336" spans="1:16" x14ac:dyDescent="0.25">
      <c r="A336">
        <v>224</v>
      </c>
      <c r="B336">
        <f>IF($A336&gt;$A$1,"",VLOOKUP($A336,'NHL PBP'!$A:$L,8,FALSE))</f>
        <v>3</v>
      </c>
      <c r="C336">
        <f>IF($A336&gt;$A$1,"",IF(B336&gt;3,5/24,20/24)-VLOOKUP($A336,'NHL PBP'!$A:$L,10,FALSE))</f>
        <v>0.67361111111111116</v>
      </c>
      <c r="D336" t="str">
        <f>IF($A336&gt;$A$1,"",VLOOKUP($A336,'NHL PBP'!$A:$L,11,FALSE))</f>
        <v>MISS</v>
      </c>
      <c r="E336" t="str">
        <f>IF(AND(EXACT(D336,"FAC"),NOT(EXACT(MID(F336,9,3),"Neu"))),IF(OR(AND(EXACT(MID(F336,9,3),"Off"),EXACT(LEFT(F336,3),UPPER('Entry data'!$C$2))),AND(EXACT(MID(F336,9,3),"Def"),NOT(EXACT(LEFT(F336,3),UPPER('Entry data'!$C$2))))),"DZF","OZF"),"")</f>
        <v/>
      </c>
      <c r="F336" t="str">
        <f>IF($A336&gt;$A$1,"",VLOOKUP($A336,'NHL PBP'!$A:$L,12,FALSE))</f>
        <v>DET #41 GLENDENING, Wrist, Wide of Net, Off. Zone, 32 ft.</v>
      </c>
      <c r="J336">
        <f>IF(EXACT('Entry data'!$C$3,"Road"),IF(ISBLANK(VLOOKUP(A336,'NHL PBP'!A:AH,21,FALSE)),3,IF(ISBLANK(VLOOKUP(A336,'NHL PBP'!A:AH,23,FALSE)),4,5)),IF(ISBLANK(VLOOKUP(A336,'NHL PBP'!A:AH,32,FALSE)),3,IF(ISBLANK(VLOOKUP(A336,'NHL PBP'!A:AH,34,FALSE)),4,5)))</f>
        <v>4</v>
      </c>
      <c r="K336">
        <f>IF(EXACT('Entry data'!$C$3,"Home"),IF(ISBLANK(VLOOKUP(A336,'NHL PBP'!A:AH,21,FALSE)),3,IF(ISBLANK(VLOOKUP(A336,'NHL PBP'!A:AH,23,FALSE)),4,5)),IF(ISBLANK(VLOOKUP(A336,'NHL PBP'!A:AH,32,FALSE)),3,IF(ISBLANK(VLOOKUP(A336,'NHL PBP'!A:AH,34,FALSE)),4,5)))</f>
        <v>5</v>
      </c>
      <c r="L336">
        <f>IF(OR(EXACT(D336,"C"),EXACT(D336,"P"),EXACT(D336,"D"),EXACT(D336,"T"),EXACT(D336,"X"),EXACT(E336,"DZF"),EXACT(E336,"OZF"),EXACT(D336,"N"),EXACT(D336,"F")),1,0)</f>
        <v>0</v>
      </c>
      <c r="M336" t="str">
        <f t="shared" si="20"/>
        <v/>
      </c>
      <c r="N336">
        <f t="shared" si="21"/>
        <v>1</v>
      </c>
      <c r="O336">
        <f t="shared" si="22"/>
        <v>0</v>
      </c>
      <c r="P336" t="str">
        <f t="shared" si="23"/>
        <v/>
      </c>
    </row>
    <row r="337" spans="1:16" x14ac:dyDescent="0.25">
      <c r="A337">
        <v>112</v>
      </c>
      <c r="B337">
        <f>IF(ISBLANK(VLOOKUP($A337,'Entry data'!$A:$K,2,FALSE)),"",VLOOKUP($A337,'Entry data'!$A:$K,2,FALSE))</f>
        <v>3</v>
      </c>
      <c r="C337">
        <f>IF(ISBLANK(VLOOKUP($A337,'Entry data'!$A:$K,3,FALSE)),"",VLOOKUP($A337,'Entry data'!$A:$K,3,FALSE))</f>
        <v>0.66041666666666665</v>
      </c>
      <c r="D337" t="str">
        <f>IF(ISBLANK(VLOOKUP($A337,'Entry data'!$A:$K,4,FALSE)),"",VLOOKUP($A337,'Entry data'!$A:$K,4,FALSE))</f>
        <v>C</v>
      </c>
      <c r="E337" t="str">
        <f>IF(ISBLANK(VLOOKUP($A337,'Entry data'!$A:$K,5,FALSE)),"",VLOOKUP($A337,'Entry data'!$A:$K,5,FALSE))</f>
        <v>33NSH</v>
      </c>
      <c r="F337" t="str">
        <f>IF(ISBLANK(VLOOKUP($A337,'Entry data'!$A:$K,6,FALSE)),"",VLOOKUP($A337,'Entry data'!$A:$K,6,FALSE))</f>
        <v>65DET</v>
      </c>
      <c r="G337" t="str">
        <f>IF(ISBLANK(VLOOKUP($A337,'Entry data'!$A:$K,7,FALSE)),"",VLOOKUP($A337,'Entry data'!$A:$K,7,FALSE))</f>
        <v>Y</v>
      </c>
      <c r="H337" t="str">
        <f>IF(ISBLANK(VLOOKUP($A337,'Entry data'!$A:$K,8,FALSE)),"",VLOOKUP($A337,'Entry data'!$A:$K,8,FALSE))</f>
        <v>R</v>
      </c>
      <c r="I337" t="str">
        <f>IF(ISBLANK(VLOOKUP($A337,'Entry data'!$A:$K,9,FALSE)),"",VLOOKUP($A337,'Entry data'!$A:$K,9,FALSE))</f>
        <v>N</v>
      </c>
      <c r="J337">
        <f>IF(ISBLANK(VLOOKUP($A337,'Entry data'!$A:$K,10,FALSE)),"",VLOOKUP($A337,'Entry data'!$A:$K,10,FALSE))</f>
        <v>5</v>
      </c>
      <c r="K337">
        <f>IF(ISBLANK(VLOOKUP($A337,'Entry data'!$A:$K,11,FALSE)),"",VLOOKUP($A337,'Entry data'!$A:$K,11,FALSE))</f>
        <v>4</v>
      </c>
      <c r="L337">
        <f>IF(OR(EXACT(D337,"C"),EXACT(D337,"P"),EXACT(D337,"D"),EXACT(D337,"T"),EXACT(D337,"X"),EXACT(E337,"DZF"),EXACT(E337,"OZF"),EXACT(D337,"N"),EXACT(D337,"F")),1,0)</f>
        <v>1</v>
      </c>
      <c r="M337" t="str">
        <f t="shared" si="20"/>
        <v>33NSH</v>
      </c>
      <c r="N337">
        <f t="shared" si="21"/>
        <v>0</v>
      </c>
      <c r="O337">
        <f t="shared" si="22"/>
        <v>0</v>
      </c>
      <c r="P337" t="str">
        <f t="shared" si="23"/>
        <v/>
      </c>
    </row>
    <row r="338" spans="1:16" x14ac:dyDescent="0.25">
      <c r="A338">
        <v>225</v>
      </c>
      <c r="B338">
        <f>IF($A338&gt;$A$1,"",VLOOKUP($A338,'NHL PBP'!$A:$L,8,FALSE))</f>
        <v>3</v>
      </c>
      <c r="C338">
        <f>IF($A338&gt;$A$1,"",IF(B338&gt;3,5/24,20/24)-VLOOKUP($A338,'NHL PBP'!$A:$L,10,FALSE))</f>
        <v>0.65625</v>
      </c>
      <c r="D338" t="str">
        <f>IF($A338&gt;$A$1,"",VLOOKUP($A338,'NHL PBP'!$A:$L,11,FALSE))</f>
        <v>HIT</v>
      </c>
      <c r="E338" t="str">
        <f>IF(AND(EXACT(D338,"FAC"),NOT(EXACT(MID(F338,9,3),"Neu"))),IF(OR(AND(EXACT(MID(F338,9,3),"Off"),EXACT(LEFT(F338,3),UPPER('Entry data'!$C$2))),AND(EXACT(MID(F338,9,3),"Def"),NOT(EXACT(LEFT(F338,3),UPPER('Entry data'!$C$2))))),"DZF","OZF"),"")</f>
        <v/>
      </c>
      <c r="F338" t="str">
        <f>IF($A338&gt;$A$1,"",VLOOKUP($A338,'NHL PBP'!$A:$L,12,FALSE))</f>
        <v>DET #65 DEKEYSER HIT NSH #33 WILSON, Def. Zone</v>
      </c>
      <c r="J338">
        <f>IF(EXACT('Entry data'!$C$3,"Road"),IF(ISBLANK(VLOOKUP(A338,'NHL PBP'!A:AH,21,FALSE)),3,IF(ISBLANK(VLOOKUP(A338,'NHL PBP'!A:AH,23,FALSE)),4,5)),IF(ISBLANK(VLOOKUP(A338,'NHL PBP'!A:AH,32,FALSE)),3,IF(ISBLANK(VLOOKUP(A338,'NHL PBP'!A:AH,34,FALSE)),4,5)))</f>
        <v>4</v>
      </c>
      <c r="K338">
        <f>IF(EXACT('Entry data'!$C$3,"Home"),IF(ISBLANK(VLOOKUP(A338,'NHL PBP'!A:AH,21,FALSE)),3,IF(ISBLANK(VLOOKUP(A338,'NHL PBP'!A:AH,23,FALSE)),4,5)),IF(ISBLANK(VLOOKUP(A338,'NHL PBP'!A:AH,32,FALSE)),3,IF(ISBLANK(VLOOKUP(A338,'NHL PBP'!A:AH,34,FALSE)),4,5)))</f>
        <v>5</v>
      </c>
      <c r="L338">
        <f>IF(OR(EXACT(D338,"C"),EXACT(D338,"P"),EXACT(D338,"D"),EXACT(D338,"T"),EXACT(D338,"X"),EXACT(E338,"DZF"),EXACT(E338,"OZF"),EXACT(D338,"N"),EXACT(D338,"F")),1,0)</f>
        <v>0</v>
      </c>
      <c r="M338" t="str">
        <f t="shared" si="20"/>
        <v/>
      </c>
      <c r="N338">
        <f t="shared" si="21"/>
        <v>0</v>
      </c>
      <c r="O338">
        <f t="shared" si="22"/>
        <v>0</v>
      </c>
      <c r="P338" t="str">
        <f t="shared" si="23"/>
        <v/>
      </c>
    </row>
    <row r="339" spans="1:16" x14ac:dyDescent="0.25">
      <c r="A339">
        <v>226</v>
      </c>
      <c r="B339">
        <f>IF($A339&gt;$A$1,"",VLOOKUP($A339,'NHL PBP'!$A:$L,8,FALSE))</f>
        <v>3</v>
      </c>
      <c r="C339">
        <f>IF($A339&gt;$A$1,"",IF(B339&gt;3,5/24,20/24)-VLOOKUP($A339,'NHL PBP'!$A:$L,10,FALSE))</f>
        <v>0.64027777777777783</v>
      </c>
      <c r="D339" t="str">
        <f>IF($A339&gt;$A$1,"",VLOOKUP($A339,'NHL PBP'!$A:$L,11,FALSE))</f>
        <v>BLOCK</v>
      </c>
      <c r="E339" t="str">
        <f>IF(AND(EXACT(D339,"FAC"),NOT(EXACT(MID(F339,9,3),"Neu"))),IF(OR(AND(EXACT(MID(F339,9,3),"Off"),EXACT(LEFT(F339,3),UPPER('Entry data'!$C$2))),AND(EXACT(MID(F339,9,3),"Def"),NOT(EXACT(LEFT(F339,3),UPPER('Entry data'!$C$2))))),"DZF","OZF"),"")</f>
        <v/>
      </c>
      <c r="F339" t="str">
        <f>IF($A339&gt;$A$1,"",VLOOKUP($A339,'NHL PBP'!$A:$L,12,FALSE))</f>
        <v>NSH #63 RIBEIRO BLOCKED BY DET #65 DEKEYSER, Slap, Def. Zone</v>
      </c>
      <c r="J339">
        <f>IF(EXACT('Entry data'!$C$3,"Road"),IF(ISBLANK(VLOOKUP(A339,'NHL PBP'!A:AH,21,FALSE)),3,IF(ISBLANK(VLOOKUP(A339,'NHL PBP'!A:AH,23,FALSE)),4,5)),IF(ISBLANK(VLOOKUP(A339,'NHL PBP'!A:AH,32,FALSE)),3,IF(ISBLANK(VLOOKUP(A339,'NHL PBP'!A:AH,34,FALSE)),4,5)))</f>
        <v>4</v>
      </c>
      <c r="K339">
        <f>IF(EXACT('Entry data'!$C$3,"Home"),IF(ISBLANK(VLOOKUP(A339,'NHL PBP'!A:AH,21,FALSE)),3,IF(ISBLANK(VLOOKUP(A339,'NHL PBP'!A:AH,23,FALSE)),4,5)),IF(ISBLANK(VLOOKUP(A339,'NHL PBP'!A:AH,32,FALSE)),3,IF(ISBLANK(VLOOKUP(A339,'NHL PBP'!A:AH,34,FALSE)),4,5)))</f>
        <v>5</v>
      </c>
      <c r="L339">
        <f>IF(OR(EXACT(D339,"C"),EXACT(D339,"P"),EXACT(D339,"D"),EXACT(D339,"T"),EXACT(D339,"X"),EXACT(E339,"DZF"),EXACT(E339,"OZF"),EXACT(D339,"N"),EXACT(D339,"F")),1,0)</f>
        <v>0</v>
      </c>
      <c r="M339" t="str">
        <f t="shared" si="20"/>
        <v/>
      </c>
      <c r="N339">
        <f t="shared" si="21"/>
        <v>0</v>
      </c>
      <c r="O339">
        <f t="shared" si="22"/>
        <v>0</v>
      </c>
      <c r="P339" t="str">
        <f t="shared" si="23"/>
        <v/>
      </c>
    </row>
    <row r="340" spans="1:16" x14ac:dyDescent="0.25">
      <c r="A340">
        <v>227</v>
      </c>
      <c r="B340">
        <f>IF($A340&gt;$A$1,"",VLOOKUP($A340,'NHL PBP'!$A:$L,8,FALSE))</f>
        <v>3</v>
      </c>
      <c r="C340">
        <f>IF($A340&gt;$A$1,"",IF(B340&gt;3,5/24,20/24)-VLOOKUP($A340,'NHL PBP'!$A:$L,10,FALSE))</f>
        <v>0.62708333333333333</v>
      </c>
      <c r="D340" t="str">
        <f>IF($A340&gt;$A$1,"",VLOOKUP($A340,'NHL PBP'!$A:$L,11,FALSE))</f>
        <v>TAKE</v>
      </c>
      <c r="E340" t="str">
        <f>IF(AND(EXACT(D340,"FAC"),NOT(EXACT(MID(F340,9,3),"Neu"))),IF(OR(AND(EXACT(MID(F340,9,3),"Off"),EXACT(LEFT(F340,3),UPPER('Entry data'!$C$2))),AND(EXACT(MID(F340,9,3),"Def"),NOT(EXACT(LEFT(F340,3),UPPER('Entry data'!$C$2))))),"DZF","OZF"),"")</f>
        <v/>
      </c>
      <c r="F340" t="str">
        <f>IF($A340&gt;$A$1,"",VLOOKUP($A340,'NHL PBP'!$A:$L,12,FALSE))</f>
        <v>DET TAKEAWAY - #40 ZETTERBERG, Off. Zone</v>
      </c>
      <c r="J340">
        <f>IF(EXACT('Entry data'!$C$3,"Road"),IF(ISBLANK(VLOOKUP(A340,'NHL PBP'!A:AH,21,FALSE)),3,IF(ISBLANK(VLOOKUP(A340,'NHL PBP'!A:AH,23,FALSE)),4,5)),IF(ISBLANK(VLOOKUP(A340,'NHL PBP'!A:AH,32,FALSE)),3,IF(ISBLANK(VLOOKUP(A340,'NHL PBP'!A:AH,34,FALSE)),4,5)))</f>
        <v>5</v>
      </c>
      <c r="K340">
        <f>IF(EXACT('Entry data'!$C$3,"Home"),IF(ISBLANK(VLOOKUP(A340,'NHL PBP'!A:AH,21,FALSE)),3,IF(ISBLANK(VLOOKUP(A340,'NHL PBP'!A:AH,23,FALSE)),4,5)),IF(ISBLANK(VLOOKUP(A340,'NHL PBP'!A:AH,32,FALSE)),3,IF(ISBLANK(VLOOKUP(A340,'NHL PBP'!A:AH,34,FALSE)),4,5)))</f>
        <v>5</v>
      </c>
      <c r="L340">
        <f>IF(OR(EXACT(D340,"C"),EXACT(D340,"P"),EXACT(D340,"D"),EXACT(D340,"T"),EXACT(D340,"X"),EXACT(E340,"DZF"),EXACT(E340,"OZF"),EXACT(D340,"N"),EXACT(D340,"F")),1,0)</f>
        <v>0</v>
      </c>
      <c r="M340" t="str">
        <f t="shared" si="20"/>
        <v/>
      </c>
      <c r="N340">
        <f t="shared" si="21"/>
        <v>0</v>
      </c>
      <c r="O340">
        <f t="shared" si="22"/>
        <v>0</v>
      </c>
      <c r="P340" t="str">
        <f t="shared" si="23"/>
        <v/>
      </c>
    </row>
    <row r="341" spans="1:16" x14ac:dyDescent="0.25">
      <c r="A341">
        <v>113</v>
      </c>
      <c r="B341">
        <f>IF(ISBLANK(VLOOKUP($A341,'Entry data'!$A:$K,2,FALSE)),"",VLOOKUP($A341,'Entry data'!$A:$K,2,FALSE))</f>
        <v>3</v>
      </c>
      <c r="C341">
        <f>IF(ISBLANK(VLOOKUP($A341,'Entry data'!$A:$K,3,FALSE)),"",VLOOKUP($A341,'Entry data'!$A:$K,3,FALSE))</f>
        <v>0.62638888888888888</v>
      </c>
      <c r="D341" t="str">
        <f>IF(ISBLANK(VLOOKUP($A341,'Entry data'!$A:$K,4,FALSE)),"",VLOOKUP($A341,'Entry data'!$A:$K,4,FALSE))</f>
        <v>F</v>
      </c>
      <c r="E341" t="str">
        <f>IF(ISBLANK(VLOOKUP($A341,'Entry data'!$A:$K,5,FALSE)),"",VLOOKUP($A341,'Entry data'!$A:$K,5,FALSE))</f>
        <v>14DET</v>
      </c>
      <c r="F341" t="str">
        <f>IF(ISBLANK(VLOOKUP($A341,'Entry data'!$A:$K,6,FALSE)),"",VLOOKUP($A341,'Entry data'!$A:$K,6,FALSE))</f>
        <v>76NSH</v>
      </c>
      <c r="G341" t="str">
        <f>IF(ISBLANK(VLOOKUP($A341,'Entry data'!$A:$K,7,FALSE)),"",VLOOKUP($A341,'Entry data'!$A:$K,7,FALSE))</f>
        <v/>
      </c>
      <c r="H341" t="str">
        <f>IF(ISBLANK(VLOOKUP($A341,'Entry data'!$A:$K,8,FALSE)),"",VLOOKUP($A341,'Entry data'!$A:$K,8,FALSE))</f>
        <v>C</v>
      </c>
      <c r="I341" t="str">
        <f>IF(ISBLANK(VLOOKUP($A341,'Entry data'!$A:$K,9,FALSE)),"",VLOOKUP($A341,'Entry data'!$A:$K,9,FALSE))</f>
        <v>N</v>
      </c>
      <c r="J341">
        <f>IF(ISBLANK(VLOOKUP($A341,'Entry data'!$A:$K,10,FALSE)),"",VLOOKUP($A341,'Entry data'!$A:$K,10,FALSE))</f>
        <v>5</v>
      </c>
      <c r="K341">
        <f>IF(ISBLANK(VLOOKUP($A341,'Entry data'!$A:$K,11,FALSE)),"",VLOOKUP($A341,'Entry data'!$A:$K,11,FALSE))</f>
        <v>5</v>
      </c>
      <c r="L341">
        <f>IF(OR(EXACT(D341,"C"),EXACT(D341,"P"),EXACT(D341,"D"),EXACT(D341,"T"),EXACT(D341,"X"),EXACT(E341,"DZF"),EXACT(E341,"OZF"),EXACT(D341,"N"),EXACT(D341,"F")),1,0)</f>
        <v>1</v>
      </c>
      <c r="M341" t="str">
        <f t="shared" si="20"/>
        <v/>
      </c>
      <c r="N341">
        <f t="shared" si="21"/>
        <v>0</v>
      </c>
      <c r="O341">
        <f t="shared" si="22"/>
        <v>0</v>
      </c>
      <c r="P341" t="str">
        <f t="shared" si="23"/>
        <v>14DET</v>
      </c>
    </row>
    <row r="342" spans="1:16" x14ac:dyDescent="0.25">
      <c r="A342">
        <v>114</v>
      </c>
      <c r="B342">
        <f>IF(ISBLANK(VLOOKUP($A342,'Entry data'!$A:$K,2,FALSE)),"",VLOOKUP($A342,'Entry data'!$A:$K,2,FALSE))</f>
        <v>3</v>
      </c>
      <c r="C342">
        <f>IF(ISBLANK(VLOOKUP($A342,'Entry data'!$A:$K,3,FALSE)),"",VLOOKUP($A342,'Entry data'!$A:$K,3,FALSE))</f>
        <v>0.62361111111111112</v>
      </c>
      <c r="D342" t="str">
        <f>IF(ISBLANK(VLOOKUP($A342,'Entry data'!$A:$K,4,FALSE)),"",VLOOKUP($A342,'Entry data'!$A:$K,4,FALSE))</f>
        <v>C</v>
      </c>
      <c r="E342" t="str">
        <f>IF(ISBLANK(VLOOKUP($A342,'Entry data'!$A:$K,5,FALSE)),"",VLOOKUP($A342,'Entry data'!$A:$K,5,FALSE))</f>
        <v>63NSH</v>
      </c>
      <c r="F342" t="str">
        <f>IF(ISBLANK(VLOOKUP($A342,'Entry data'!$A:$K,6,FALSE)),"",VLOOKUP($A342,'Entry data'!$A:$K,6,FALSE))</f>
        <v>25DET</v>
      </c>
      <c r="G342" t="str">
        <f>IF(ISBLANK(VLOOKUP($A342,'Entry data'!$A:$K,7,FALSE)),"",VLOOKUP($A342,'Entry data'!$A:$K,7,FALSE))</f>
        <v>N</v>
      </c>
      <c r="H342" t="str">
        <f>IF(ISBLANK(VLOOKUP($A342,'Entry data'!$A:$K,8,FALSE)),"",VLOOKUP($A342,'Entry data'!$A:$K,8,FALSE))</f>
        <v>L</v>
      </c>
      <c r="I342" t="str">
        <f>IF(ISBLANK(VLOOKUP($A342,'Entry data'!$A:$K,9,FALSE)),"",VLOOKUP($A342,'Entry data'!$A:$K,9,FALSE))</f>
        <v>N</v>
      </c>
      <c r="J342">
        <f>IF(ISBLANK(VLOOKUP($A342,'Entry data'!$A:$K,10,FALSE)),"",VLOOKUP($A342,'Entry data'!$A:$K,10,FALSE))</f>
        <v>5</v>
      </c>
      <c r="K342">
        <f>IF(ISBLANK(VLOOKUP($A342,'Entry data'!$A:$K,11,FALSE)),"",VLOOKUP($A342,'Entry data'!$A:$K,11,FALSE))</f>
        <v>5</v>
      </c>
      <c r="L342">
        <f>IF(OR(EXACT(D342,"C"),EXACT(D342,"P"),EXACT(D342,"D"),EXACT(D342,"T"),EXACT(D342,"X"),EXACT(E342,"DZF"),EXACT(E342,"OZF"),EXACT(D342,"N"),EXACT(D342,"F")),1,0)</f>
        <v>1</v>
      </c>
      <c r="M342" t="str">
        <f t="shared" si="20"/>
        <v>63NSH</v>
      </c>
      <c r="N342">
        <f t="shared" si="21"/>
        <v>0</v>
      </c>
      <c r="O342">
        <f t="shared" si="22"/>
        <v>0</v>
      </c>
      <c r="P342" t="str">
        <f t="shared" si="23"/>
        <v/>
      </c>
    </row>
    <row r="343" spans="1:16" x14ac:dyDescent="0.25">
      <c r="A343">
        <v>228</v>
      </c>
      <c r="B343">
        <f>IF($A343&gt;$A$1,"",VLOOKUP($A343,'NHL PBP'!$A:$L,8,FALSE))</f>
        <v>3</v>
      </c>
      <c r="C343">
        <f>IF($A343&gt;$A$1,"",IF(B343&gt;3,5/24,20/24)-VLOOKUP($A343,'NHL PBP'!$A:$L,10,FALSE))</f>
        <v>0.62291666666666667</v>
      </c>
      <c r="D343" t="str">
        <f>IF($A343&gt;$A$1,"",VLOOKUP($A343,'NHL PBP'!$A:$L,11,FALSE))</f>
        <v>TAKE</v>
      </c>
      <c r="E343" t="str">
        <f>IF(AND(EXACT(D343,"FAC"),NOT(EXACT(MID(F343,9,3),"Neu"))),IF(OR(AND(EXACT(MID(F343,9,3),"Off"),EXACT(LEFT(F343,3),UPPER('Entry data'!$C$2))),AND(EXACT(MID(F343,9,3),"Def"),NOT(EXACT(LEFT(F343,3),UPPER('Entry data'!$C$2))))),"DZF","OZF"),"")</f>
        <v/>
      </c>
      <c r="F343" t="str">
        <f>IF($A343&gt;$A$1,"",VLOOKUP($A343,'NHL PBP'!$A:$L,12,FALSE))</f>
        <v>NSH TAKEAWAY - #19 JARNKROK, Def. Zone</v>
      </c>
      <c r="J343">
        <f>IF(EXACT('Entry data'!$C$3,"Road"),IF(ISBLANK(VLOOKUP(A343,'NHL PBP'!A:AH,21,FALSE)),3,IF(ISBLANK(VLOOKUP(A343,'NHL PBP'!A:AH,23,FALSE)),4,5)),IF(ISBLANK(VLOOKUP(A343,'NHL PBP'!A:AH,32,FALSE)),3,IF(ISBLANK(VLOOKUP(A343,'NHL PBP'!A:AH,34,FALSE)),4,5)))</f>
        <v>5</v>
      </c>
      <c r="K343">
        <f>IF(EXACT('Entry data'!$C$3,"Home"),IF(ISBLANK(VLOOKUP(A343,'NHL PBP'!A:AH,21,FALSE)),3,IF(ISBLANK(VLOOKUP(A343,'NHL PBP'!A:AH,23,FALSE)),4,5)),IF(ISBLANK(VLOOKUP(A343,'NHL PBP'!A:AH,32,FALSE)),3,IF(ISBLANK(VLOOKUP(A343,'NHL PBP'!A:AH,34,FALSE)),4,5)))</f>
        <v>5</v>
      </c>
      <c r="L343">
        <f>IF(OR(EXACT(D343,"C"),EXACT(D343,"P"),EXACT(D343,"D"),EXACT(D343,"T"),EXACT(D343,"X"),EXACT(E343,"DZF"),EXACT(E343,"OZF"),EXACT(D343,"N"),EXACT(D343,"F")),1,0)</f>
        <v>0</v>
      </c>
      <c r="M343" t="str">
        <f t="shared" si="20"/>
        <v/>
      </c>
      <c r="N343">
        <f t="shared" si="21"/>
        <v>0</v>
      </c>
      <c r="O343">
        <f t="shared" si="22"/>
        <v>0</v>
      </c>
      <c r="P343" t="str">
        <f t="shared" si="23"/>
        <v/>
      </c>
    </row>
    <row r="344" spans="1:16" x14ac:dyDescent="0.25">
      <c r="A344">
        <v>115</v>
      </c>
      <c r="B344">
        <f>IF(ISBLANK(VLOOKUP($A344,'Entry data'!$A:$K,2,FALSE)),"",VLOOKUP($A344,'Entry data'!$A:$K,2,FALSE))</f>
        <v>3</v>
      </c>
      <c r="C344">
        <f>IF(ISBLANK(VLOOKUP($A344,'Entry data'!$A:$K,3,FALSE)),"",VLOOKUP($A344,'Entry data'!$A:$K,3,FALSE))</f>
        <v>0.61527777777777781</v>
      </c>
      <c r="D344" t="str">
        <f>IF(ISBLANK(VLOOKUP($A344,'Entry data'!$A:$K,4,FALSE)),"",VLOOKUP($A344,'Entry data'!$A:$K,4,FALSE))</f>
        <v>D</v>
      </c>
      <c r="E344" t="str">
        <f>IF(ISBLANK(VLOOKUP($A344,'Entry data'!$A:$K,5,FALSE)),"",VLOOKUP($A344,'Entry data'!$A:$K,5,FALSE))</f>
        <v>56NSH</v>
      </c>
      <c r="F344" t="str">
        <f>IF(ISBLANK(VLOOKUP($A344,'Entry data'!$A:$K,6,FALSE)),"",VLOOKUP($A344,'Entry data'!$A:$K,6,FALSE))</f>
        <v>40DET</v>
      </c>
      <c r="G344" t="str">
        <f>IF(ISBLANK(VLOOKUP($A344,'Entry data'!$A:$K,7,FALSE)),"",VLOOKUP($A344,'Entry data'!$A:$K,7,FALSE))</f>
        <v/>
      </c>
      <c r="H344" t="str">
        <f>IF(ISBLANK(VLOOKUP($A344,'Entry data'!$A:$K,8,FALSE)),"",VLOOKUP($A344,'Entry data'!$A:$K,8,FALSE))</f>
        <v>L</v>
      </c>
      <c r="I344" t="str">
        <f>IF(ISBLANK(VLOOKUP($A344,'Entry data'!$A:$K,9,FALSE)),"",VLOOKUP($A344,'Entry data'!$A:$K,9,FALSE))</f>
        <v>N</v>
      </c>
      <c r="J344">
        <f>IF(ISBLANK(VLOOKUP($A344,'Entry data'!$A:$K,10,FALSE)),"",VLOOKUP($A344,'Entry data'!$A:$K,10,FALSE))</f>
        <v>5</v>
      </c>
      <c r="K344">
        <f>IF(ISBLANK(VLOOKUP($A344,'Entry data'!$A:$K,11,FALSE)),"",VLOOKUP($A344,'Entry data'!$A:$K,11,FALSE))</f>
        <v>5</v>
      </c>
      <c r="L344">
        <f>IF(OR(EXACT(D344,"C"),EXACT(D344,"P"),EXACT(D344,"D"),EXACT(D344,"T"),EXACT(D344,"X"),EXACT(E344,"DZF"),EXACT(E344,"OZF"),EXACT(D344,"N"),EXACT(D344,"F")),1,0)</f>
        <v>1</v>
      </c>
      <c r="M344" t="str">
        <f t="shared" si="20"/>
        <v/>
      </c>
      <c r="N344">
        <f t="shared" si="21"/>
        <v>0</v>
      </c>
      <c r="O344">
        <f t="shared" si="22"/>
        <v>0</v>
      </c>
      <c r="P344" t="str">
        <f t="shared" si="23"/>
        <v/>
      </c>
    </row>
    <row r="345" spans="1:16" x14ac:dyDescent="0.25">
      <c r="A345">
        <v>116</v>
      </c>
      <c r="B345">
        <f>IF(ISBLANK(VLOOKUP($A345,'Entry data'!$A:$K,2,FALSE)),"",VLOOKUP($A345,'Entry data'!$A:$K,2,FALSE))</f>
        <v>3</v>
      </c>
      <c r="C345">
        <f>IF(ISBLANK(VLOOKUP($A345,'Entry data'!$A:$K,3,FALSE)),"",VLOOKUP($A345,'Entry data'!$A:$K,3,FALSE))</f>
        <v>0.59305555555555556</v>
      </c>
      <c r="D345" t="str">
        <f>IF(ISBLANK(VLOOKUP($A345,'Entry data'!$A:$K,4,FALSE)),"",VLOOKUP($A345,'Entry data'!$A:$K,4,FALSE))</f>
        <v>D</v>
      </c>
      <c r="E345" t="str">
        <f>IF(ISBLANK(VLOOKUP($A345,'Entry data'!$A:$K,5,FALSE)),"",VLOOKUP($A345,'Entry data'!$A:$K,5,FALSE))</f>
        <v>9NSH</v>
      </c>
      <c r="F345" t="str">
        <f>IF(ISBLANK(VLOOKUP($A345,'Entry data'!$A:$K,6,FALSE)),"",VLOOKUP($A345,'Entry data'!$A:$K,6,FALSE))</f>
        <v>N</v>
      </c>
      <c r="G345" t="str">
        <f>IF(ISBLANK(VLOOKUP($A345,'Entry data'!$A:$K,7,FALSE)),"",VLOOKUP($A345,'Entry data'!$A:$K,7,FALSE))</f>
        <v/>
      </c>
      <c r="H345" t="str">
        <f>IF(ISBLANK(VLOOKUP($A345,'Entry data'!$A:$K,8,FALSE)),"",VLOOKUP($A345,'Entry data'!$A:$K,8,FALSE))</f>
        <v>L</v>
      </c>
      <c r="I345" t="str">
        <f>IF(ISBLANK(VLOOKUP($A345,'Entry data'!$A:$K,9,FALSE)),"",VLOOKUP($A345,'Entry data'!$A:$K,9,FALSE))</f>
        <v>N</v>
      </c>
      <c r="J345">
        <f>IF(ISBLANK(VLOOKUP($A345,'Entry data'!$A:$K,10,FALSE)),"",VLOOKUP($A345,'Entry data'!$A:$K,10,FALSE))</f>
        <v>5</v>
      </c>
      <c r="K345">
        <f>IF(ISBLANK(VLOOKUP($A345,'Entry data'!$A:$K,11,FALSE)),"",VLOOKUP($A345,'Entry data'!$A:$K,11,FALSE))</f>
        <v>5</v>
      </c>
      <c r="L345">
        <f>IF(OR(EXACT(D345,"C"),EXACT(D345,"P"),EXACT(D345,"D"),EXACT(D345,"T"),EXACT(D345,"X"),EXACT(E345,"DZF"),EXACT(E345,"OZF"),EXACT(D345,"N"),EXACT(D345,"F")),1,0)</f>
        <v>1</v>
      </c>
      <c r="M345" t="str">
        <f t="shared" si="20"/>
        <v/>
      </c>
      <c r="N345">
        <f t="shared" si="21"/>
        <v>0</v>
      </c>
      <c r="O345">
        <f t="shared" si="22"/>
        <v>0</v>
      </c>
      <c r="P345" t="str">
        <f t="shared" si="23"/>
        <v/>
      </c>
    </row>
    <row r="346" spans="1:16" x14ac:dyDescent="0.25">
      <c r="A346">
        <v>117</v>
      </c>
      <c r="B346">
        <f>IF(ISBLANK(VLOOKUP($A346,'Entry data'!$A:$K,2,FALSE)),"",VLOOKUP($A346,'Entry data'!$A:$K,2,FALSE))</f>
        <v>3</v>
      </c>
      <c r="C346">
        <f>IF(ISBLANK(VLOOKUP($A346,'Entry data'!$A:$K,3,FALSE)),"",VLOOKUP($A346,'Entry data'!$A:$K,3,FALSE))</f>
        <v>0.58333333333333337</v>
      </c>
      <c r="D346" t="str">
        <f>IF(ISBLANK(VLOOKUP($A346,'Entry data'!$A:$K,4,FALSE)),"",VLOOKUP($A346,'Entry data'!$A:$K,4,FALSE))</f>
        <v>C</v>
      </c>
      <c r="E346" t="str">
        <f>IF(ISBLANK(VLOOKUP($A346,'Entry data'!$A:$K,5,FALSE)),"",VLOOKUP($A346,'Entry data'!$A:$K,5,FALSE))</f>
        <v>56NSH</v>
      </c>
      <c r="F346" t="str">
        <f>IF(ISBLANK(VLOOKUP($A346,'Entry data'!$A:$K,6,FALSE)),"",VLOOKUP($A346,'Entry data'!$A:$K,6,FALSE))</f>
        <v>48DET</v>
      </c>
      <c r="G346" t="str">
        <f>IF(ISBLANK(VLOOKUP($A346,'Entry data'!$A:$K,7,FALSE)),"",VLOOKUP($A346,'Entry data'!$A:$K,7,FALSE))</f>
        <v>Y</v>
      </c>
      <c r="H346" t="str">
        <f>IF(ISBLANK(VLOOKUP($A346,'Entry data'!$A:$K,8,FALSE)),"",VLOOKUP($A346,'Entry data'!$A:$K,8,FALSE))</f>
        <v>L</v>
      </c>
      <c r="I346" t="str">
        <f>IF(ISBLANK(VLOOKUP($A346,'Entry data'!$A:$K,9,FALSE)),"",VLOOKUP($A346,'Entry data'!$A:$K,9,FALSE))</f>
        <v>N</v>
      </c>
      <c r="J346">
        <f>IF(ISBLANK(VLOOKUP($A346,'Entry data'!$A:$K,10,FALSE)),"",VLOOKUP($A346,'Entry data'!$A:$K,10,FALSE))</f>
        <v>5</v>
      </c>
      <c r="K346">
        <f>IF(ISBLANK(VLOOKUP($A346,'Entry data'!$A:$K,11,FALSE)),"",VLOOKUP($A346,'Entry data'!$A:$K,11,FALSE))</f>
        <v>5</v>
      </c>
      <c r="L346">
        <f>IF(OR(EXACT(D346,"C"),EXACT(D346,"P"),EXACT(D346,"D"),EXACT(D346,"T"),EXACT(D346,"X"),EXACT(E346,"DZF"),EXACT(E346,"OZF"),EXACT(D346,"N"),EXACT(D346,"F")),1,0)</f>
        <v>1</v>
      </c>
      <c r="M346" t="str">
        <f t="shared" si="20"/>
        <v>56NSH</v>
      </c>
      <c r="N346">
        <f t="shared" si="21"/>
        <v>1</v>
      </c>
      <c r="O346">
        <f t="shared" si="22"/>
        <v>0</v>
      </c>
      <c r="P346" t="str">
        <f t="shared" si="23"/>
        <v/>
      </c>
    </row>
    <row r="347" spans="1:16" x14ac:dyDescent="0.25">
      <c r="A347">
        <v>229</v>
      </c>
      <c r="B347">
        <f>IF($A347&gt;$A$1,"",VLOOKUP($A347,'NHL PBP'!$A:$L,8,FALSE))</f>
        <v>3</v>
      </c>
      <c r="C347">
        <f>IF($A347&gt;$A$1,"",IF(B347&gt;3,5/24,20/24)-VLOOKUP($A347,'NHL PBP'!$A:$L,10,FALSE))</f>
        <v>0.57569444444444451</v>
      </c>
      <c r="D347" t="str">
        <f>IF($A347&gt;$A$1,"",VLOOKUP($A347,'NHL PBP'!$A:$L,11,FALSE))</f>
        <v>SHOT</v>
      </c>
      <c r="E347" t="str">
        <f>IF(AND(EXACT(D347,"FAC"),NOT(EXACT(MID(F347,9,3),"Neu"))),IF(OR(AND(EXACT(MID(F347,9,3),"Off"),EXACT(LEFT(F347,3),UPPER('Entry data'!$C$2))),AND(EXACT(MID(F347,9,3),"Def"),NOT(EXACT(LEFT(F347,3),UPPER('Entry data'!$C$2))))),"DZF","OZF"),"")</f>
        <v/>
      </c>
      <c r="F347" t="str">
        <f>IF($A347&gt;$A$1,"",VLOOKUP($A347,'NHL PBP'!$A:$L,12,FALSE))</f>
        <v>NSH ONGOAL - #12 FISHER, Wrap-around, Off. Zone, 5 ft.</v>
      </c>
      <c r="J347">
        <f>IF(EXACT('Entry data'!$C$3,"Road"),IF(ISBLANK(VLOOKUP(A347,'NHL PBP'!A:AH,21,FALSE)),3,IF(ISBLANK(VLOOKUP(A347,'NHL PBP'!A:AH,23,FALSE)),4,5)),IF(ISBLANK(VLOOKUP(A347,'NHL PBP'!A:AH,32,FALSE)),3,IF(ISBLANK(VLOOKUP(A347,'NHL PBP'!A:AH,34,FALSE)),4,5)))</f>
        <v>5</v>
      </c>
      <c r="K347">
        <f>IF(EXACT('Entry data'!$C$3,"Home"),IF(ISBLANK(VLOOKUP(A347,'NHL PBP'!A:AH,21,FALSE)),3,IF(ISBLANK(VLOOKUP(A347,'NHL PBP'!A:AH,23,FALSE)),4,5)),IF(ISBLANK(VLOOKUP(A347,'NHL PBP'!A:AH,32,FALSE)),3,IF(ISBLANK(VLOOKUP(A347,'NHL PBP'!A:AH,34,FALSE)),4,5)))</f>
        <v>5</v>
      </c>
      <c r="L347">
        <f>IF(OR(EXACT(D347,"C"),EXACT(D347,"P"),EXACT(D347,"D"),EXACT(D347,"T"),EXACT(D347,"X"),EXACT(E347,"DZF"),EXACT(E347,"OZF"),EXACT(D347,"N"),EXACT(D347,"F")),1,0)</f>
        <v>0</v>
      </c>
      <c r="M347" t="str">
        <f t="shared" si="20"/>
        <v/>
      </c>
      <c r="N347">
        <f t="shared" si="21"/>
        <v>1</v>
      </c>
      <c r="O347">
        <f t="shared" si="22"/>
        <v>0</v>
      </c>
      <c r="P347" t="str">
        <f t="shared" si="23"/>
        <v/>
      </c>
    </row>
    <row r="348" spans="1:16" x14ac:dyDescent="0.25">
      <c r="A348">
        <v>230</v>
      </c>
      <c r="B348">
        <f>IF($A348&gt;$A$1,"",VLOOKUP($A348,'NHL PBP'!$A:$L,8,FALSE))</f>
        <v>3</v>
      </c>
      <c r="C348">
        <f>IF($A348&gt;$A$1,"",IF(B348&gt;3,5/24,20/24)-VLOOKUP($A348,'NHL PBP'!$A:$L,10,FALSE))</f>
        <v>0.56597222222222232</v>
      </c>
      <c r="D348" t="str">
        <f>IF($A348&gt;$A$1,"",VLOOKUP($A348,'NHL PBP'!$A:$L,11,FALSE))</f>
        <v>HIT</v>
      </c>
      <c r="E348" t="str">
        <f>IF(AND(EXACT(D348,"FAC"),NOT(EXACT(MID(F348,9,3),"Neu"))),IF(OR(AND(EXACT(MID(F348,9,3),"Off"),EXACT(LEFT(F348,3),UPPER('Entry data'!$C$2))),AND(EXACT(MID(F348,9,3),"Def"),NOT(EXACT(LEFT(F348,3),UPPER('Entry data'!$C$2))))),"DZF","OZF"),"")</f>
        <v/>
      </c>
      <c r="F348" t="str">
        <f>IF($A348&gt;$A$1,"",VLOOKUP($A348,'NHL PBP'!$A:$L,12,FALSE))</f>
        <v>NSH #59 JOSI HIT DET #8 ABDELKADER, Def. Zone</v>
      </c>
      <c r="J348">
        <f>IF(EXACT('Entry data'!$C$3,"Road"),IF(ISBLANK(VLOOKUP(A348,'NHL PBP'!A:AH,21,FALSE)),3,IF(ISBLANK(VLOOKUP(A348,'NHL PBP'!A:AH,23,FALSE)),4,5)),IF(ISBLANK(VLOOKUP(A348,'NHL PBP'!A:AH,32,FALSE)),3,IF(ISBLANK(VLOOKUP(A348,'NHL PBP'!A:AH,34,FALSE)),4,5)))</f>
        <v>5</v>
      </c>
      <c r="K348">
        <f>IF(EXACT('Entry data'!$C$3,"Home"),IF(ISBLANK(VLOOKUP(A348,'NHL PBP'!A:AH,21,FALSE)),3,IF(ISBLANK(VLOOKUP(A348,'NHL PBP'!A:AH,23,FALSE)),4,5)),IF(ISBLANK(VLOOKUP(A348,'NHL PBP'!A:AH,32,FALSE)),3,IF(ISBLANK(VLOOKUP(A348,'NHL PBP'!A:AH,34,FALSE)),4,5)))</f>
        <v>5</v>
      </c>
      <c r="L348">
        <f>IF(OR(EXACT(D348,"C"),EXACT(D348,"P"),EXACT(D348,"D"),EXACT(D348,"T"),EXACT(D348,"X"),EXACT(E348,"DZF"),EXACT(E348,"OZF"),EXACT(D348,"N"),EXACT(D348,"F")),1,0)</f>
        <v>0</v>
      </c>
      <c r="M348" t="str">
        <f t="shared" si="20"/>
        <v/>
      </c>
      <c r="N348">
        <f t="shared" si="21"/>
        <v>0</v>
      </c>
      <c r="O348">
        <f t="shared" si="22"/>
        <v>0</v>
      </c>
      <c r="P348" t="str">
        <f t="shared" si="23"/>
        <v/>
      </c>
    </row>
    <row r="349" spans="1:16" x14ac:dyDescent="0.25">
      <c r="A349">
        <v>118</v>
      </c>
      <c r="B349">
        <f>IF(ISBLANK(VLOOKUP($A349,'Entry data'!$A:$K,2,FALSE)),"",VLOOKUP($A349,'Entry data'!$A:$K,2,FALSE))</f>
        <v>3</v>
      </c>
      <c r="C349">
        <f>IF(ISBLANK(VLOOKUP($A349,'Entry data'!$A:$K,3,FALSE)),"",VLOOKUP($A349,'Entry data'!$A:$K,3,FALSE))</f>
        <v>0.55902777777777779</v>
      </c>
      <c r="D349" t="str">
        <f>IF(ISBLANK(VLOOKUP($A349,'Entry data'!$A:$K,4,FALSE)),"",VLOOKUP($A349,'Entry data'!$A:$K,4,FALSE))</f>
        <v>F</v>
      </c>
      <c r="E349" t="str">
        <f>IF(ISBLANK(VLOOKUP($A349,'Entry data'!$A:$K,5,FALSE)),"",VLOOKUP($A349,'Entry data'!$A:$K,5,FALSE))</f>
        <v>62DET</v>
      </c>
      <c r="F349" t="str">
        <f>IF(ISBLANK(VLOOKUP($A349,'Entry data'!$A:$K,6,FALSE)),"",VLOOKUP($A349,'Entry data'!$A:$K,6,FALSE))</f>
        <v>76NSH</v>
      </c>
      <c r="G349" t="str">
        <f>IF(ISBLANK(VLOOKUP($A349,'Entry data'!$A:$K,7,FALSE)),"",VLOOKUP($A349,'Entry data'!$A:$K,7,FALSE))</f>
        <v/>
      </c>
      <c r="H349" t="str">
        <f>IF(ISBLANK(VLOOKUP($A349,'Entry data'!$A:$K,8,FALSE)),"",VLOOKUP($A349,'Entry data'!$A:$K,8,FALSE))</f>
        <v>C</v>
      </c>
      <c r="I349" t="str">
        <f>IF(ISBLANK(VLOOKUP($A349,'Entry data'!$A:$K,9,FALSE)),"",VLOOKUP($A349,'Entry data'!$A:$K,9,FALSE))</f>
        <v>N</v>
      </c>
      <c r="J349">
        <f>IF(ISBLANK(VLOOKUP($A349,'Entry data'!$A:$K,10,FALSE)),"",VLOOKUP($A349,'Entry data'!$A:$K,10,FALSE))</f>
        <v>5</v>
      </c>
      <c r="K349">
        <f>IF(ISBLANK(VLOOKUP($A349,'Entry data'!$A:$K,11,FALSE)),"",VLOOKUP($A349,'Entry data'!$A:$K,11,FALSE))</f>
        <v>5</v>
      </c>
      <c r="L349">
        <f>IF(OR(EXACT(D349,"C"),EXACT(D349,"P"),EXACT(D349,"D"),EXACT(D349,"T"),EXACT(D349,"X"),EXACT(E349,"DZF"),EXACT(E349,"OZF"),EXACT(D349,"N"),EXACT(D349,"F")),1,0)</f>
        <v>1</v>
      </c>
      <c r="M349" t="str">
        <f t="shared" si="20"/>
        <v/>
      </c>
      <c r="N349">
        <f t="shared" si="21"/>
        <v>0</v>
      </c>
      <c r="O349">
        <f t="shared" si="22"/>
        <v>0</v>
      </c>
      <c r="P349" t="str">
        <f t="shared" si="23"/>
        <v>62DET</v>
      </c>
    </row>
    <row r="350" spans="1:16" x14ac:dyDescent="0.25">
      <c r="A350">
        <v>231</v>
      </c>
      <c r="B350">
        <f>IF($A350&gt;$A$1,"",VLOOKUP($A350,'NHL PBP'!$A:$L,8,FALSE))</f>
        <v>3</v>
      </c>
      <c r="C350">
        <f>IF($A350&gt;$A$1,"",IF(B350&gt;3,5/24,20/24)-VLOOKUP($A350,'NHL PBP'!$A:$L,10,FALSE))</f>
        <v>0.55763888888888891</v>
      </c>
      <c r="D350" t="str">
        <f>IF($A350&gt;$A$1,"",VLOOKUP($A350,'NHL PBP'!$A:$L,11,FALSE))</f>
        <v>TAKE</v>
      </c>
      <c r="E350" t="str">
        <f>IF(AND(EXACT(D350,"FAC"),NOT(EXACT(MID(F350,9,3),"Neu"))),IF(OR(AND(EXACT(MID(F350,9,3),"Off"),EXACT(LEFT(F350,3),UPPER('Entry data'!$C$2))),AND(EXACT(MID(F350,9,3),"Def"),NOT(EXACT(LEFT(F350,3),UPPER('Entry data'!$C$2))))),"DZF","OZF"),"")</f>
        <v/>
      </c>
      <c r="F350" t="str">
        <f>IF($A350&gt;$A$1,"",VLOOKUP($A350,'NHL PBP'!$A:$L,12,FALSE))</f>
        <v>NSH TAKEAWAY - #76 SUBBAN, Neu. Zone</v>
      </c>
      <c r="J350">
        <f>IF(EXACT('Entry data'!$C$3,"Road"),IF(ISBLANK(VLOOKUP(A350,'NHL PBP'!A:AH,21,FALSE)),3,IF(ISBLANK(VLOOKUP(A350,'NHL PBP'!A:AH,23,FALSE)),4,5)),IF(ISBLANK(VLOOKUP(A350,'NHL PBP'!A:AH,32,FALSE)),3,IF(ISBLANK(VLOOKUP(A350,'NHL PBP'!A:AH,34,FALSE)),4,5)))</f>
        <v>5</v>
      </c>
      <c r="K350">
        <f>IF(EXACT('Entry data'!$C$3,"Home"),IF(ISBLANK(VLOOKUP(A350,'NHL PBP'!A:AH,21,FALSE)),3,IF(ISBLANK(VLOOKUP(A350,'NHL PBP'!A:AH,23,FALSE)),4,5)),IF(ISBLANK(VLOOKUP(A350,'NHL PBP'!A:AH,32,FALSE)),3,IF(ISBLANK(VLOOKUP(A350,'NHL PBP'!A:AH,34,FALSE)),4,5)))</f>
        <v>5</v>
      </c>
      <c r="L350">
        <f>IF(OR(EXACT(D350,"C"),EXACT(D350,"P"),EXACT(D350,"D"),EXACT(D350,"T"),EXACT(D350,"X"),EXACT(E350,"DZF"),EXACT(E350,"OZF"),EXACT(D350,"N"),EXACT(D350,"F")),1,0)</f>
        <v>0</v>
      </c>
      <c r="M350" t="str">
        <f t="shared" si="20"/>
        <v/>
      </c>
      <c r="N350">
        <f t="shared" si="21"/>
        <v>0</v>
      </c>
      <c r="O350">
        <f t="shared" si="22"/>
        <v>0</v>
      </c>
      <c r="P350" t="str">
        <f t="shared" si="23"/>
        <v/>
      </c>
    </row>
    <row r="351" spans="1:16" x14ac:dyDescent="0.25">
      <c r="A351">
        <v>119</v>
      </c>
      <c r="B351">
        <f>IF(ISBLANK(VLOOKUP($A351,'Entry data'!$A:$K,2,FALSE)),"",VLOOKUP($A351,'Entry data'!$A:$K,2,FALSE))</f>
        <v>3</v>
      </c>
      <c r="C351">
        <f>IF(ISBLANK(VLOOKUP($A351,'Entry data'!$A:$K,3,FALSE)),"",VLOOKUP($A351,'Entry data'!$A:$K,3,FALSE))</f>
        <v>0.55694444444444446</v>
      </c>
      <c r="D351" t="str">
        <f>IF(ISBLANK(VLOOKUP($A351,'Entry data'!$A:$K,4,FALSE)),"",VLOOKUP($A351,'Entry data'!$A:$K,4,FALSE))</f>
        <v>D</v>
      </c>
      <c r="E351" t="str">
        <f>IF(ISBLANK(VLOOKUP($A351,'Entry data'!$A:$K,5,FALSE)),"",VLOOKUP($A351,'Entry data'!$A:$K,5,FALSE))</f>
        <v>18NSH</v>
      </c>
      <c r="F351" t="str">
        <f>IF(ISBLANK(VLOOKUP($A351,'Entry data'!$A:$K,6,FALSE)),"",VLOOKUP($A351,'Entry data'!$A:$K,6,FALSE))</f>
        <v>N</v>
      </c>
      <c r="G351" t="str">
        <f>IF(ISBLANK(VLOOKUP($A351,'Entry data'!$A:$K,7,FALSE)),"",VLOOKUP($A351,'Entry data'!$A:$K,7,FALSE))</f>
        <v/>
      </c>
      <c r="H351" t="str">
        <f>IF(ISBLANK(VLOOKUP($A351,'Entry data'!$A:$K,8,FALSE)),"",VLOOKUP($A351,'Entry data'!$A:$K,8,FALSE))</f>
        <v>R</v>
      </c>
      <c r="I351" t="str">
        <f>IF(ISBLANK(VLOOKUP($A351,'Entry data'!$A:$K,9,FALSE)),"",VLOOKUP($A351,'Entry data'!$A:$K,9,FALSE))</f>
        <v>N</v>
      </c>
      <c r="J351">
        <f>IF(ISBLANK(VLOOKUP($A351,'Entry data'!$A:$K,10,FALSE)),"",VLOOKUP($A351,'Entry data'!$A:$K,10,FALSE))</f>
        <v>5</v>
      </c>
      <c r="K351">
        <f>IF(ISBLANK(VLOOKUP($A351,'Entry data'!$A:$K,11,FALSE)),"",VLOOKUP($A351,'Entry data'!$A:$K,11,FALSE))</f>
        <v>5</v>
      </c>
      <c r="L351">
        <f>IF(OR(EXACT(D351,"C"),EXACT(D351,"P"),EXACT(D351,"D"),EXACT(D351,"T"),EXACT(D351,"X"),EXACT(E351,"DZF"),EXACT(E351,"OZF"),EXACT(D351,"N"),EXACT(D351,"F")),1,0)</f>
        <v>1</v>
      </c>
      <c r="M351" t="str">
        <f t="shared" si="20"/>
        <v/>
      </c>
      <c r="N351">
        <f t="shared" si="21"/>
        <v>1</v>
      </c>
      <c r="O351">
        <f t="shared" si="22"/>
        <v>0</v>
      </c>
      <c r="P351" t="str">
        <f t="shared" si="23"/>
        <v/>
      </c>
    </row>
    <row r="352" spans="1:16" x14ac:dyDescent="0.25">
      <c r="A352">
        <v>232</v>
      </c>
      <c r="B352">
        <f>IF($A352&gt;$A$1,"",VLOOKUP($A352,'NHL PBP'!$A:$L,8,FALSE))</f>
        <v>3</v>
      </c>
      <c r="C352">
        <f>IF($A352&gt;$A$1,"",IF(B352&gt;3,5/24,20/24)-VLOOKUP($A352,'NHL PBP'!$A:$L,10,FALSE))</f>
        <v>0.55000000000000004</v>
      </c>
      <c r="D352" t="str">
        <f>IF($A352&gt;$A$1,"",VLOOKUP($A352,'NHL PBP'!$A:$L,11,FALSE))</f>
        <v>SHOT</v>
      </c>
      <c r="E352" t="str">
        <f>IF(AND(EXACT(D352,"FAC"),NOT(EXACT(MID(F352,9,3),"Neu"))),IF(OR(AND(EXACT(MID(F352,9,3),"Off"),EXACT(LEFT(F352,3),UPPER('Entry data'!$C$2))),AND(EXACT(MID(F352,9,3),"Def"),NOT(EXACT(LEFT(F352,3),UPPER('Entry data'!$C$2))))),"DZF","OZF"),"")</f>
        <v/>
      </c>
      <c r="F352" t="str">
        <f>IF($A352&gt;$A$1,"",VLOOKUP($A352,'NHL PBP'!$A:$L,12,FALSE))</f>
        <v>NSH ONGOAL - #38 ARVIDSSON, Wrist, Off. Zone, 12 ft.</v>
      </c>
      <c r="J352">
        <f>IF(EXACT('Entry data'!$C$3,"Road"),IF(ISBLANK(VLOOKUP(A352,'NHL PBP'!A:AH,21,FALSE)),3,IF(ISBLANK(VLOOKUP(A352,'NHL PBP'!A:AH,23,FALSE)),4,5)),IF(ISBLANK(VLOOKUP(A352,'NHL PBP'!A:AH,32,FALSE)),3,IF(ISBLANK(VLOOKUP(A352,'NHL PBP'!A:AH,34,FALSE)),4,5)))</f>
        <v>5</v>
      </c>
      <c r="K352">
        <f>IF(EXACT('Entry data'!$C$3,"Home"),IF(ISBLANK(VLOOKUP(A352,'NHL PBP'!A:AH,21,FALSE)),3,IF(ISBLANK(VLOOKUP(A352,'NHL PBP'!A:AH,23,FALSE)),4,5)),IF(ISBLANK(VLOOKUP(A352,'NHL PBP'!A:AH,32,FALSE)),3,IF(ISBLANK(VLOOKUP(A352,'NHL PBP'!A:AH,34,FALSE)),4,5)))</f>
        <v>5</v>
      </c>
      <c r="L352">
        <f>IF(OR(EXACT(D352,"C"),EXACT(D352,"P"),EXACT(D352,"D"),EXACT(D352,"T"),EXACT(D352,"X"),EXACT(E352,"DZF"),EXACT(E352,"OZF"),EXACT(D352,"N"),EXACT(D352,"F")),1,0)</f>
        <v>0</v>
      </c>
      <c r="M352" t="str">
        <f t="shared" si="20"/>
        <v/>
      </c>
      <c r="N352">
        <f t="shared" si="21"/>
        <v>1</v>
      </c>
      <c r="O352">
        <f t="shared" si="22"/>
        <v>0</v>
      </c>
      <c r="P352" t="str">
        <f t="shared" si="23"/>
        <v/>
      </c>
    </row>
    <row r="353" spans="1:16" x14ac:dyDescent="0.25">
      <c r="A353">
        <v>233</v>
      </c>
      <c r="B353">
        <f>IF($A353&gt;$A$1,"",VLOOKUP($A353,'NHL PBP'!$A:$L,8,FALSE))</f>
        <v>3</v>
      </c>
      <c r="C353">
        <f>IF($A353&gt;$A$1,"",IF(B353&gt;3,5/24,20/24)-VLOOKUP($A353,'NHL PBP'!$A:$L,10,FALSE))</f>
        <v>0.54652777777777783</v>
      </c>
      <c r="D353" t="str">
        <f>IF($A353&gt;$A$1,"",VLOOKUP($A353,'NHL PBP'!$A:$L,11,FALSE))</f>
        <v>BLOCK</v>
      </c>
      <c r="E353" t="str">
        <f>IF(AND(EXACT(D353,"FAC"),NOT(EXACT(MID(F353,9,3),"Neu"))),IF(OR(AND(EXACT(MID(F353,9,3),"Off"),EXACT(LEFT(F353,3),UPPER('Entry data'!$C$2))),AND(EXACT(MID(F353,9,3),"Def"),NOT(EXACT(LEFT(F353,3),UPPER('Entry data'!$C$2))))),"DZF","OZF"),"")</f>
        <v/>
      </c>
      <c r="F353" t="str">
        <f>IF($A353&gt;$A$1,"",VLOOKUP($A353,'NHL PBP'!$A:$L,12,FALSE))</f>
        <v>NSH #14 EKHOLM BLOCKED BY DET #2 SMITH, Wrist, Def. Zone</v>
      </c>
      <c r="J353">
        <f>IF(EXACT('Entry data'!$C$3,"Road"),IF(ISBLANK(VLOOKUP(A353,'NHL PBP'!A:AH,21,FALSE)),3,IF(ISBLANK(VLOOKUP(A353,'NHL PBP'!A:AH,23,FALSE)),4,5)),IF(ISBLANK(VLOOKUP(A353,'NHL PBP'!A:AH,32,FALSE)),3,IF(ISBLANK(VLOOKUP(A353,'NHL PBP'!A:AH,34,FALSE)),4,5)))</f>
        <v>5</v>
      </c>
      <c r="K353">
        <f>IF(EXACT('Entry data'!$C$3,"Home"),IF(ISBLANK(VLOOKUP(A353,'NHL PBP'!A:AH,21,FALSE)),3,IF(ISBLANK(VLOOKUP(A353,'NHL PBP'!A:AH,23,FALSE)),4,5)),IF(ISBLANK(VLOOKUP(A353,'NHL PBP'!A:AH,32,FALSE)),3,IF(ISBLANK(VLOOKUP(A353,'NHL PBP'!A:AH,34,FALSE)),4,5)))</f>
        <v>5</v>
      </c>
      <c r="L353">
        <f>IF(OR(EXACT(D353,"C"),EXACT(D353,"P"),EXACT(D353,"D"),EXACT(D353,"T"),EXACT(D353,"X"),EXACT(E353,"DZF"),EXACT(E353,"OZF"),EXACT(D353,"N"),EXACT(D353,"F")),1,0)</f>
        <v>0</v>
      </c>
      <c r="M353" t="str">
        <f t="shared" si="20"/>
        <v/>
      </c>
      <c r="N353">
        <f t="shared" si="21"/>
        <v>0</v>
      </c>
      <c r="O353">
        <f t="shared" si="22"/>
        <v>0</v>
      </c>
      <c r="P353" t="str">
        <f t="shared" si="23"/>
        <v/>
      </c>
    </row>
    <row r="354" spans="1:16" x14ac:dyDescent="0.25">
      <c r="A354">
        <v>120</v>
      </c>
      <c r="B354">
        <f>IF(ISBLANK(VLOOKUP($A354,'Entry data'!$A:$K,2,FALSE)),"",VLOOKUP($A354,'Entry data'!$A:$K,2,FALSE))</f>
        <v>3</v>
      </c>
      <c r="C354">
        <f>IF(ISBLANK(VLOOKUP($A354,'Entry data'!$A:$K,3,FALSE)),"",VLOOKUP($A354,'Entry data'!$A:$K,3,FALSE))</f>
        <v>0.54236111111111118</v>
      </c>
      <c r="D354" t="str">
        <f>IF(ISBLANK(VLOOKUP($A354,'Entry data'!$A:$K,4,FALSE)),"",VLOOKUP($A354,'Entry data'!$A:$K,4,FALSE))</f>
        <v>C</v>
      </c>
      <c r="E354" t="str">
        <f>IF(ISBLANK(VLOOKUP($A354,'Entry data'!$A:$K,5,FALSE)),"",VLOOKUP($A354,'Entry data'!$A:$K,5,FALSE))</f>
        <v>41DET</v>
      </c>
      <c r="F354" t="str">
        <f>IF(ISBLANK(VLOOKUP($A354,'Entry data'!$A:$K,6,FALSE)),"",VLOOKUP($A354,'Entry data'!$A:$K,6,FALSE))</f>
        <v>4NSH</v>
      </c>
      <c r="G354" t="str">
        <f>IF(ISBLANK(VLOOKUP($A354,'Entry data'!$A:$K,7,FALSE)),"",VLOOKUP($A354,'Entry data'!$A:$K,7,FALSE))</f>
        <v>Y</v>
      </c>
      <c r="H354" t="str">
        <f>IF(ISBLANK(VLOOKUP($A354,'Entry data'!$A:$K,8,FALSE)),"",VLOOKUP($A354,'Entry data'!$A:$K,8,FALSE))</f>
        <v>L</v>
      </c>
      <c r="I354" t="str">
        <f>IF(ISBLANK(VLOOKUP($A354,'Entry data'!$A:$K,9,FALSE)),"",VLOOKUP($A354,'Entry data'!$A:$K,9,FALSE))</f>
        <v>N</v>
      </c>
      <c r="J354">
        <f>IF(ISBLANK(VLOOKUP($A354,'Entry data'!$A:$K,10,FALSE)),"",VLOOKUP($A354,'Entry data'!$A:$K,10,FALSE))</f>
        <v>5</v>
      </c>
      <c r="K354">
        <f>IF(ISBLANK(VLOOKUP($A354,'Entry data'!$A:$K,11,FALSE)),"",VLOOKUP($A354,'Entry data'!$A:$K,11,FALSE))</f>
        <v>5</v>
      </c>
      <c r="L354">
        <f>IF(OR(EXACT(D354,"C"),EXACT(D354,"P"),EXACT(D354,"D"),EXACT(D354,"T"),EXACT(D354,"X"),EXACT(E354,"DZF"),EXACT(E354,"OZF"),EXACT(D354,"N"),EXACT(D354,"F")),1,0)</f>
        <v>1</v>
      </c>
      <c r="M354" t="str">
        <f t="shared" si="20"/>
        <v>41DET</v>
      </c>
      <c r="N354">
        <f t="shared" si="21"/>
        <v>1</v>
      </c>
      <c r="O354">
        <f t="shared" si="22"/>
        <v>0</v>
      </c>
      <c r="P354" t="str">
        <f t="shared" si="23"/>
        <v/>
      </c>
    </row>
    <row r="355" spans="1:16" x14ac:dyDescent="0.25">
      <c r="A355">
        <v>234</v>
      </c>
      <c r="B355">
        <f>IF($A355&gt;$A$1,"",VLOOKUP($A355,'NHL PBP'!$A:$L,8,FALSE))</f>
        <v>3</v>
      </c>
      <c r="C355">
        <f>IF($A355&gt;$A$1,"",IF(B355&gt;3,5/24,20/24)-VLOOKUP($A355,'NHL PBP'!$A:$L,10,FALSE))</f>
        <v>0.53888888888888897</v>
      </c>
      <c r="D355" t="str">
        <f>IF($A355&gt;$A$1,"",VLOOKUP($A355,'NHL PBP'!$A:$L,11,FALSE))</f>
        <v>SHOT</v>
      </c>
      <c r="E355" t="str">
        <f>IF(AND(EXACT(D355,"FAC"),NOT(EXACT(MID(F355,9,3),"Neu"))),IF(OR(AND(EXACT(MID(F355,9,3),"Off"),EXACT(LEFT(F355,3),UPPER('Entry data'!$C$2))),AND(EXACT(MID(F355,9,3),"Def"),NOT(EXACT(LEFT(F355,3),UPPER('Entry data'!$C$2))))),"DZF","OZF"),"")</f>
        <v/>
      </c>
      <c r="F355" t="str">
        <f>IF($A355&gt;$A$1,"",VLOOKUP($A355,'NHL PBP'!$A:$L,12,FALSE))</f>
        <v>DET ONGOAL - #29 OTT, Wrist, Off. Zone, 41 ft.</v>
      </c>
      <c r="J355">
        <f>IF(EXACT('Entry data'!$C$3,"Road"),IF(ISBLANK(VLOOKUP(A355,'NHL PBP'!A:AH,21,FALSE)),3,IF(ISBLANK(VLOOKUP(A355,'NHL PBP'!A:AH,23,FALSE)),4,5)),IF(ISBLANK(VLOOKUP(A355,'NHL PBP'!A:AH,32,FALSE)),3,IF(ISBLANK(VLOOKUP(A355,'NHL PBP'!A:AH,34,FALSE)),4,5)))</f>
        <v>5</v>
      </c>
      <c r="K355">
        <f>IF(EXACT('Entry data'!$C$3,"Home"),IF(ISBLANK(VLOOKUP(A355,'NHL PBP'!A:AH,21,FALSE)),3,IF(ISBLANK(VLOOKUP(A355,'NHL PBP'!A:AH,23,FALSE)),4,5)),IF(ISBLANK(VLOOKUP(A355,'NHL PBP'!A:AH,32,FALSE)),3,IF(ISBLANK(VLOOKUP(A355,'NHL PBP'!A:AH,34,FALSE)),4,5)))</f>
        <v>5</v>
      </c>
      <c r="L355">
        <f>IF(OR(EXACT(D355,"C"),EXACT(D355,"P"),EXACT(D355,"D"),EXACT(D355,"T"),EXACT(D355,"X"),EXACT(E355,"DZF"),EXACT(E355,"OZF"),EXACT(D355,"N"),EXACT(D355,"F")),1,0)</f>
        <v>0</v>
      </c>
      <c r="M355" t="str">
        <f t="shared" si="20"/>
        <v/>
      </c>
      <c r="N355">
        <f t="shared" si="21"/>
        <v>1</v>
      </c>
      <c r="O355">
        <f t="shared" si="22"/>
        <v>0</v>
      </c>
      <c r="P355" t="str">
        <f t="shared" si="23"/>
        <v/>
      </c>
    </row>
    <row r="356" spans="1:16" x14ac:dyDescent="0.25">
      <c r="A356">
        <v>235</v>
      </c>
      <c r="B356">
        <f>IF($A356&gt;$A$1,"",VLOOKUP($A356,'NHL PBP'!$A:$L,8,FALSE))</f>
        <v>3</v>
      </c>
      <c r="C356">
        <f>IF($A356&gt;$A$1,"",IF(B356&gt;3,5/24,20/24)-VLOOKUP($A356,'NHL PBP'!$A:$L,10,FALSE))</f>
        <v>0.53333333333333344</v>
      </c>
      <c r="D356" t="str">
        <f>IF($A356&gt;$A$1,"",VLOOKUP($A356,'NHL PBP'!$A:$L,11,FALSE))</f>
        <v>HIT</v>
      </c>
      <c r="E356" t="str">
        <f>IF(AND(EXACT(D356,"FAC"),NOT(EXACT(MID(F356,9,3),"Neu"))),IF(OR(AND(EXACT(MID(F356,9,3),"Off"),EXACT(LEFT(F356,3),UPPER('Entry data'!$C$2))),AND(EXACT(MID(F356,9,3),"Def"),NOT(EXACT(LEFT(F356,3),UPPER('Entry data'!$C$2))))),"DZF","OZF"),"")</f>
        <v/>
      </c>
      <c r="F356" t="str">
        <f>IF($A356&gt;$A$1,"",VLOOKUP($A356,'NHL PBP'!$A:$L,12,FALSE))</f>
        <v>DET #41 GLENDENING HIT NSH #4 ELLIS, Off. Zone</v>
      </c>
      <c r="J356">
        <f>IF(EXACT('Entry data'!$C$3,"Road"),IF(ISBLANK(VLOOKUP(A356,'NHL PBP'!A:AH,21,FALSE)),3,IF(ISBLANK(VLOOKUP(A356,'NHL PBP'!A:AH,23,FALSE)),4,5)),IF(ISBLANK(VLOOKUP(A356,'NHL PBP'!A:AH,32,FALSE)),3,IF(ISBLANK(VLOOKUP(A356,'NHL PBP'!A:AH,34,FALSE)),4,5)))</f>
        <v>5</v>
      </c>
      <c r="K356">
        <f>IF(EXACT('Entry data'!$C$3,"Home"),IF(ISBLANK(VLOOKUP(A356,'NHL PBP'!A:AH,21,FALSE)),3,IF(ISBLANK(VLOOKUP(A356,'NHL PBP'!A:AH,23,FALSE)),4,5)),IF(ISBLANK(VLOOKUP(A356,'NHL PBP'!A:AH,32,FALSE)),3,IF(ISBLANK(VLOOKUP(A356,'NHL PBP'!A:AH,34,FALSE)),4,5)))</f>
        <v>5</v>
      </c>
      <c r="L356">
        <f>IF(OR(EXACT(D356,"C"),EXACT(D356,"P"),EXACT(D356,"D"),EXACT(D356,"T"),EXACT(D356,"X"),EXACT(E356,"DZF"),EXACT(E356,"OZF"),EXACT(D356,"N"),EXACT(D356,"F")),1,0)</f>
        <v>0</v>
      </c>
      <c r="M356" t="str">
        <f t="shared" si="20"/>
        <v/>
      </c>
      <c r="N356">
        <f t="shared" si="21"/>
        <v>0</v>
      </c>
      <c r="O356">
        <f t="shared" si="22"/>
        <v>0</v>
      </c>
      <c r="P356" t="str">
        <f t="shared" si="23"/>
        <v/>
      </c>
    </row>
    <row r="357" spans="1:16" x14ac:dyDescent="0.25">
      <c r="A357">
        <v>121</v>
      </c>
      <c r="B357">
        <f>IF(ISBLANK(VLOOKUP($A357,'Entry data'!$A:$K,2,FALSE)),"",VLOOKUP($A357,'Entry data'!$A:$K,2,FALSE))</f>
        <v>3</v>
      </c>
      <c r="C357">
        <f>IF(ISBLANK(VLOOKUP($A357,'Entry data'!$A:$K,3,FALSE)),"",VLOOKUP($A357,'Entry data'!$A:$K,3,FALSE))</f>
        <v>0.52847222222222223</v>
      </c>
      <c r="D357" t="str">
        <f>IF(ISBLANK(VLOOKUP($A357,'Entry data'!$A:$K,4,FALSE)),"",VLOOKUP($A357,'Entry data'!$A:$K,4,FALSE))</f>
        <v>D</v>
      </c>
      <c r="E357" t="str">
        <f>IF(ISBLANK(VLOOKUP($A357,'Entry data'!$A:$K,5,FALSE)),"",VLOOKUP($A357,'Entry data'!$A:$K,5,FALSE))</f>
        <v>29DET</v>
      </c>
      <c r="F357" t="str">
        <f>IF(ISBLANK(VLOOKUP($A357,'Entry data'!$A:$K,6,FALSE)),"",VLOOKUP($A357,'Entry data'!$A:$K,6,FALSE))</f>
        <v>N</v>
      </c>
      <c r="G357" t="str">
        <f>IF(ISBLANK(VLOOKUP($A357,'Entry data'!$A:$K,7,FALSE)),"",VLOOKUP($A357,'Entry data'!$A:$K,7,FALSE))</f>
        <v/>
      </c>
      <c r="H357" t="str">
        <f>IF(ISBLANK(VLOOKUP($A357,'Entry data'!$A:$K,8,FALSE)),"",VLOOKUP($A357,'Entry data'!$A:$K,8,FALSE))</f>
        <v>L</v>
      </c>
      <c r="I357" t="str">
        <f>IF(ISBLANK(VLOOKUP($A357,'Entry data'!$A:$K,9,FALSE)),"",VLOOKUP($A357,'Entry data'!$A:$K,9,FALSE))</f>
        <v>N</v>
      </c>
      <c r="J357">
        <f>IF(ISBLANK(VLOOKUP($A357,'Entry data'!$A:$K,10,FALSE)),"",VLOOKUP($A357,'Entry data'!$A:$K,10,FALSE))</f>
        <v>5</v>
      </c>
      <c r="K357">
        <f>IF(ISBLANK(VLOOKUP($A357,'Entry data'!$A:$K,11,FALSE)),"",VLOOKUP($A357,'Entry data'!$A:$K,11,FALSE))</f>
        <v>5</v>
      </c>
      <c r="L357">
        <f>IF(OR(EXACT(D357,"C"),EXACT(D357,"P"),EXACT(D357,"D"),EXACT(D357,"T"),EXACT(D357,"X"),EXACT(E357,"DZF"),EXACT(E357,"OZF"),EXACT(D357,"N"),EXACT(D357,"F")),1,0)</f>
        <v>1</v>
      </c>
      <c r="M357" t="str">
        <f t="shared" si="20"/>
        <v/>
      </c>
      <c r="N357">
        <f t="shared" si="21"/>
        <v>0</v>
      </c>
      <c r="O357">
        <f t="shared" si="22"/>
        <v>0</v>
      </c>
      <c r="P357" t="str">
        <f t="shared" si="23"/>
        <v/>
      </c>
    </row>
    <row r="358" spans="1:16" x14ac:dyDescent="0.25">
      <c r="A358">
        <v>122</v>
      </c>
      <c r="B358">
        <f>IF(ISBLANK(VLOOKUP($A358,'Entry data'!$A:$K,2,FALSE)),"",VLOOKUP($A358,'Entry data'!$A:$K,2,FALSE))</f>
        <v>3</v>
      </c>
      <c r="C358">
        <f>IF(ISBLANK(VLOOKUP($A358,'Entry data'!$A:$K,3,FALSE)),"",VLOOKUP($A358,'Entry data'!$A:$K,3,FALSE))</f>
        <v>0.51666666666666672</v>
      </c>
      <c r="D358" t="str">
        <f>IF(ISBLANK(VLOOKUP($A358,'Entry data'!$A:$K,4,FALSE)),"",VLOOKUP($A358,'Entry data'!$A:$K,4,FALSE))</f>
        <v>C</v>
      </c>
      <c r="E358" t="str">
        <f>IF(ISBLANK(VLOOKUP($A358,'Entry data'!$A:$K,5,FALSE)),"",VLOOKUP($A358,'Entry data'!$A:$K,5,FALSE))</f>
        <v>40DET</v>
      </c>
      <c r="F358" t="str">
        <f>IF(ISBLANK(VLOOKUP($A358,'Entry data'!$A:$K,6,FALSE)),"",VLOOKUP($A358,'Entry data'!$A:$K,6,FALSE))</f>
        <v>10NSH</v>
      </c>
      <c r="G358" t="str">
        <f>IF(ISBLANK(VLOOKUP($A358,'Entry data'!$A:$K,7,FALSE)),"",VLOOKUP($A358,'Entry data'!$A:$K,7,FALSE))</f>
        <v>N</v>
      </c>
      <c r="H358" t="str">
        <f>IF(ISBLANK(VLOOKUP($A358,'Entry data'!$A:$K,8,FALSE)),"",VLOOKUP($A358,'Entry data'!$A:$K,8,FALSE))</f>
        <v>L</v>
      </c>
      <c r="I358" t="str">
        <f>IF(ISBLANK(VLOOKUP($A358,'Entry data'!$A:$K,9,FALSE)),"",VLOOKUP($A358,'Entry data'!$A:$K,9,FALSE))</f>
        <v>N</v>
      </c>
      <c r="J358">
        <f>IF(ISBLANK(VLOOKUP($A358,'Entry data'!$A:$K,10,FALSE)),"",VLOOKUP($A358,'Entry data'!$A:$K,10,FALSE))</f>
        <v>5</v>
      </c>
      <c r="K358">
        <f>IF(ISBLANK(VLOOKUP($A358,'Entry data'!$A:$K,11,FALSE)),"",VLOOKUP($A358,'Entry data'!$A:$K,11,FALSE))</f>
        <v>5</v>
      </c>
      <c r="L358">
        <f>IF(OR(EXACT(D358,"C"),EXACT(D358,"P"),EXACT(D358,"D"),EXACT(D358,"T"),EXACT(D358,"X"),EXACT(E358,"DZF"),EXACT(E358,"OZF"),EXACT(D358,"N"),EXACT(D358,"F")),1,0)</f>
        <v>1</v>
      </c>
      <c r="M358" t="str">
        <f t="shared" si="20"/>
        <v>40DET</v>
      </c>
      <c r="N358">
        <f t="shared" si="21"/>
        <v>0</v>
      </c>
      <c r="O358">
        <f t="shared" si="22"/>
        <v>0</v>
      </c>
      <c r="P358" t="str">
        <f t="shared" si="23"/>
        <v/>
      </c>
    </row>
    <row r="359" spans="1:16" x14ac:dyDescent="0.25">
      <c r="A359">
        <v>236</v>
      </c>
      <c r="B359">
        <f>IF($A359&gt;$A$1,"",VLOOKUP($A359,'NHL PBP'!$A:$L,8,FALSE))</f>
        <v>3</v>
      </c>
      <c r="C359">
        <f>IF($A359&gt;$A$1,"",IF(B359&gt;3,5/24,20/24)-VLOOKUP($A359,'NHL PBP'!$A:$L,10,FALSE))</f>
        <v>0.51111111111111107</v>
      </c>
      <c r="D359" t="str">
        <f>IF($A359&gt;$A$1,"",VLOOKUP($A359,'NHL PBP'!$A:$L,11,FALSE))</f>
        <v>HIT</v>
      </c>
      <c r="E359" t="str">
        <f>IF(AND(EXACT(D359,"FAC"),NOT(EXACT(MID(F359,9,3),"Neu"))),IF(OR(AND(EXACT(MID(F359,9,3),"Off"),EXACT(LEFT(F359,3),UPPER('Entry data'!$C$2))),AND(EXACT(MID(F359,9,3),"Def"),NOT(EXACT(LEFT(F359,3),UPPER('Entry data'!$C$2))))),"DZF","OZF"),"")</f>
        <v/>
      </c>
      <c r="F359" t="str">
        <f>IF($A359&gt;$A$1,"",VLOOKUP($A359,'NHL PBP'!$A:$L,12,FALSE))</f>
        <v>NSH #10 SISSONS HIT DET #40 ZETTERBERG, Def. Zone</v>
      </c>
      <c r="J359">
        <f>IF(EXACT('Entry data'!$C$3,"Road"),IF(ISBLANK(VLOOKUP(A359,'NHL PBP'!A:AH,21,FALSE)),3,IF(ISBLANK(VLOOKUP(A359,'NHL PBP'!A:AH,23,FALSE)),4,5)),IF(ISBLANK(VLOOKUP(A359,'NHL PBP'!A:AH,32,FALSE)),3,IF(ISBLANK(VLOOKUP(A359,'NHL PBP'!A:AH,34,FALSE)),4,5)))</f>
        <v>5</v>
      </c>
      <c r="K359">
        <f>IF(EXACT('Entry data'!$C$3,"Home"),IF(ISBLANK(VLOOKUP(A359,'NHL PBP'!A:AH,21,FALSE)),3,IF(ISBLANK(VLOOKUP(A359,'NHL PBP'!A:AH,23,FALSE)),4,5)),IF(ISBLANK(VLOOKUP(A359,'NHL PBP'!A:AH,32,FALSE)),3,IF(ISBLANK(VLOOKUP(A359,'NHL PBP'!A:AH,34,FALSE)),4,5)))</f>
        <v>5</v>
      </c>
      <c r="L359">
        <f>IF(OR(EXACT(D359,"C"),EXACT(D359,"P"),EXACT(D359,"D"),EXACT(D359,"T"),EXACT(D359,"X"),EXACT(E359,"DZF"),EXACT(E359,"OZF"),EXACT(D359,"N"),EXACT(D359,"F")),1,0)</f>
        <v>0</v>
      </c>
      <c r="M359" t="str">
        <f t="shared" si="20"/>
        <v/>
      </c>
      <c r="N359">
        <f t="shared" si="21"/>
        <v>0</v>
      </c>
      <c r="O359">
        <f t="shared" si="22"/>
        <v>0</v>
      </c>
      <c r="P359" t="str">
        <f t="shared" si="23"/>
        <v/>
      </c>
    </row>
    <row r="360" spans="1:16" x14ac:dyDescent="0.25">
      <c r="A360">
        <v>123</v>
      </c>
      <c r="B360">
        <f>IF(ISBLANK(VLOOKUP($A360,'Entry data'!$A:$K,2,FALSE)),"",VLOOKUP($A360,'Entry data'!$A:$K,2,FALSE))</f>
        <v>3</v>
      </c>
      <c r="C360">
        <f>IF(ISBLANK(VLOOKUP($A360,'Entry data'!$A:$K,3,FALSE)),"",VLOOKUP($A360,'Entry data'!$A:$K,3,FALSE))</f>
        <v>0.4909722222222222</v>
      </c>
      <c r="D360" t="str">
        <f>IF(ISBLANK(VLOOKUP($A360,'Entry data'!$A:$K,4,FALSE)),"",VLOOKUP($A360,'Entry data'!$A:$K,4,FALSE))</f>
        <v>D</v>
      </c>
      <c r="E360" t="str">
        <f>IF(ISBLANK(VLOOKUP($A360,'Entry data'!$A:$K,5,FALSE)),"",VLOOKUP($A360,'Entry data'!$A:$K,5,FALSE))</f>
        <v>18NSH</v>
      </c>
      <c r="F360" t="str">
        <f>IF(ISBLANK(VLOOKUP($A360,'Entry data'!$A:$K,6,FALSE)),"",VLOOKUP($A360,'Entry data'!$A:$K,6,FALSE))</f>
        <v>N</v>
      </c>
      <c r="G360" t="str">
        <f>IF(ISBLANK(VLOOKUP($A360,'Entry data'!$A:$K,7,FALSE)),"",VLOOKUP($A360,'Entry data'!$A:$K,7,FALSE))</f>
        <v/>
      </c>
      <c r="H360" t="str">
        <f>IF(ISBLANK(VLOOKUP($A360,'Entry data'!$A:$K,8,FALSE)),"",VLOOKUP($A360,'Entry data'!$A:$K,8,FALSE))</f>
        <v>R</v>
      </c>
      <c r="I360" t="str">
        <f>IF(ISBLANK(VLOOKUP($A360,'Entry data'!$A:$K,9,FALSE)),"",VLOOKUP($A360,'Entry data'!$A:$K,9,FALSE))</f>
        <v>N</v>
      </c>
      <c r="J360">
        <f>IF(ISBLANK(VLOOKUP($A360,'Entry data'!$A:$K,10,FALSE)),"",VLOOKUP($A360,'Entry data'!$A:$K,10,FALSE))</f>
        <v>5</v>
      </c>
      <c r="K360">
        <f>IF(ISBLANK(VLOOKUP($A360,'Entry data'!$A:$K,11,FALSE)),"",VLOOKUP($A360,'Entry data'!$A:$K,11,FALSE))</f>
        <v>5</v>
      </c>
      <c r="L360">
        <f>IF(OR(EXACT(D360,"C"),EXACT(D360,"P"),EXACT(D360,"D"),EXACT(D360,"T"),EXACT(D360,"X"),EXACT(E360,"DZF"),EXACT(E360,"OZF"),EXACT(D360,"N"),EXACT(D360,"F")),1,0)</f>
        <v>1</v>
      </c>
      <c r="M360" t="str">
        <f t="shared" si="20"/>
        <v/>
      </c>
      <c r="N360">
        <f t="shared" si="21"/>
        <v>0</v>
      </c>
      <c r="O360">
        <f t="shared" si="22"/>
        <v>0</v>
      </c>
      <c r="P360" t="str">
        <f t="shared" si="23"/>
        <v/>
      </c>
    </row>
    <row r="361" spans="1:16" x14ac:dyDescent="0.25">
      <c r="A361">
        <v>124</v>
      </c>
      <c r="B361">
        <f>IF(ISBLANK(VLOOKUP($A361,'Entry data'!$A:$K,2,FALSE)),"",VLOOKUP($A361,'Entry data'!$A:$K,2,FALSE))</f>
        <v>3</v>
      </c>
      <c r="C361">
        <f>IF(ISBLANK(VLOOKUP($A361,'Entry data'!$A:$K,3,FALSE)),"",VLOOKUP($A361,'Entry data'!$A:$K,3,FALSE))</f>
        <v>0.48194444444444445</v>
      </c>
      <c r="D361" t="str">
        <f>IF(ISBLANK(VLOOKUP($A361,'Entry data'!$A:$K,4,FALSE)),"",VLOOKUP($A361,'Entry data'!$A:$K,4,FALSE))</f>
        <v>C</v>
      </c>
      <c r="E361" t="str">
        <f>IF(ISBLANK(VLOOKUP($A361,'Entry data'!$A:$K,5,FALSE)),"",VLOOKUP($A361,'Entry data'!$A:$K,5,FALSE))</f>
        <v>51DET</v>
      </c>
      <c r="F361" t="str">
        <f>IF(ISBLANK(VLOOKUP($A361,'Entry data'!$A:$K,6,FALSE)),"",VLOOKUP($A361,'Entry data'!$A:$K,6,FALSE))</f>
        <v>76NSH</v>
      </c>
      <c r="G361" t="str">
        <f>IF(ISBLANK(VLOOKUP($A361,'Entry data'!$A:$K,7,FALSE)),"",VLOOKUP($A361,'Entry data'!$A:$K,7,FALSE))</f>
        <v>Y</v>
      </c>
      <c r="H361" t="str">
        <f>IF(ISBLANK(VLOOKUP($A361,'Entry data'!$A:$K,8,FALSE)),"",VLOOKUP($A361,'Entry data'!$A:$K,8,FALSE))</f>
        <v>L</v>
      </c>
      <c r="I361" t="str">
        <f>IF(ISBLANK(VLOOKUP($A361,'Entry data'!$A:$K,9,FALSE)),"",VLOOKUP($A361,'Entry data'!$A:$K,9,FALSE))</f>
        <v>N</v>
      </c>
      <c r="J361">
        <f>IF(ISBLANK(VLOOKUP($A361,'Entry data'!$A:$K,10,FALSE)),"",VLOOKUP($A361,'Entry data'!$A:$K,10,FALSE))</f>
        <v>5</v>
      </c>
      <c r="K361">
        <f>IF(ISBLANK(VLOOKUP($A361,'Entry data'!$A:$K,11,FALSE)),"",VLOOKUP($A361,'Entry data'!$A:$K,11,FALSE))</f>
        <v>5</v>
      </c>
      <c r="L361">
        <f>IF(OR(EXACT(D361,"C"),EXACT(D361,"P"),EXACT(D361,"D"),EXACT(D361,"T"),EXACT(D361,"X"),EXACT(E361,"DZF"),EXACT(E361,"OZF"),EXACT(D361,"N"),EXACT(D361,"F")),1,0)</f>
        <v>1</v>
      </c>
      <c r="M361" t="str">
        <f t="shared" si="20"/>
        <v>51DET</v>
      </c>
      <c r="N361">
        <f t="shared" si="21"/>
        <v>1</v>
      </c>
      <c r="O361">
        <f t="shared" si="22"/>
        <v>0</v>
      </c>
      <c r="P361" t="str">
        <f t="shared" si="23"/>
        <v/>
      </c>
    </row>
    <row r="362" spans="1:16" x14ac:dyDescent="0.25">
      <c r="A362">
        <v>237</v>
      </c>
      <c r="B362">
        <f>IF($A362&gt;$A$1,"",VLOOKUP($A362,'NHL PBP'!$A:$L,8,FALSE))</f>
        <v>3</v>
      </c>
      <c r="C362">
        <f>IF($A362&gt;$A$1,"",IF(B362&gt;3,5/24,20/24)-VLOOKUP($A362,'NHL PBP'!$A:$L,10,FALSE))</f>
        <v>0.47847222222222224</v>
      </c>
      <c r="D362" t="str">
        <f>IF($A362&gt;$A$1,"",VLOOKUP($A362,'NHL PBP'!$A:$L,11,FALSE))</f>
        <v>MISS</v>
      </c>
      <c r="E362" t="str">
        <f>IF(AND(EXACT(D362,"FAC"),NOT(EXACT(MID(F362,9,3),"Neu"))),IF(OR(AND(EXACT(MID(F362,9,3),"Off"),EXACT(LEFT(F362,3),UPPER('Entry data'!$C$2))),AND(EXACT(MID(F362,9,3),"Def"),NOT(EXACT(LEFT(F362,3),UPPER('Entry data'!$C$2))))),"DZF","OZF"),"")</f>
        <v/>
      </c>
      <c r="F362" t="str">
        <f>IF($A362&gt;$A$1,"",VLOOKUP($A362,'NHL PBP'!$A:$L,12,FALSE))</f>
        <v>DET #53 MARCHENKO, Wrist, Wide of Net, Off. Zone, 11 ft.</v>
      </c>
      <c r="J362">
        <f>IF(EXACT('Entry data'!$C$3,"Road"),IF(ISBLANK(VLOOKUP(A362,'NHL PBP'!A:AH,21,FALSE)),3,IF(ISBLANK(VLOOKUP(A362,'NHL PBP'!A:AH,23,FALSE)),4,5)),IF(ISBLANK(VLOOKUP(A362,'NHL PBP'!A:AH,32,FALSE)),3,IF(ISBLANK(VLOOKUP(A362,'NHL PBP'!A:AH,34,FALSE)),4,5)))</f>
        <v>5</v>
      </c>
      <c r="K362">
        <f>IF(EXACT('Entry data'!$C$3,"Home"),IF(ISBLANK(VLOOKUP(A362,'NHL PBP'!A:AH,21,FALSE)),3,IF(ISBLANK(VLOOKUP(A362,'NHL PBP'!A:AH,23,FALSE)),4,5)),IF(ISBLANK(VLOOKUP(A362,'NHL PBP'!A:AH,32,FALSE)),3,IF(ISBLANK(VLOOKUP(A362,'NHL PBP'!A:AH,34,FALSE)),4,5)))</f>
        <v>5</v>
      </c>
      <c r="L362">
        <f>IF(OR(EXACT(D362,"C"),EXACT(D362,"P"),EXACT(D362,"D"),EXACT(D362,"T"),EXACT(D362,"X"),EXACT(E362,"DZF"),EXACT(E362,"OZF"),EXACT(D362,"N"),EXACT(D362,"F")),1,0)</f>
        <v>0</v>
      </c>
      <c r="M362" t="str">
        <f t="shared" si="20"/>
        <v/>
      </c>
      <c r="N362">
        <f t="shared" si="21"/>
        <v>1</v>
      </c>
      <c r="O362">
        <f t="shared" si="22"/>
        <v>0</v>
      </c>
      <c r="P362" t="str">
        <f t="shared" si="23"/>
        <v/>
      </c>
    </row>
    <row r="363" spans="1:16" x14ac:dyDescent="0.25">
      <c r="A363">
        <v>125</v>
      </c>
      <c r="B363">
        <f>IF(ISBLANK(VLOOKUP($A363,'Entry data'!$A:$K,2,FALSE)),"",VLOOKUP($A363,'Entry data'!$A:$K,2,FALSE))</f>
        <v>3</v>
      </c>
      <c r="C363">
        <f>IF(ISBLANK(VLOOKUP($A363,'Entry data'!$A:$K,3,FALSE)),"",VLOOKUP($A363,'Entry data'!$A:$K,3,FALSE))</f>
        <v>0.47222222222222227</v>
      </c>
      <c r="D363" t="str">
        <f>IF(ISBLANK(VLOOKUP($A363,'Entry data'!$A:$K,4,FALSE)),"",VLOOKUP($A363,'Entry data'!$A:$K,4,FALSE))</f>
        <v>C</v>
      </c>
      <c r="E363" t="str">
        <f>IF(ISBLANK(VLOOKUP($A363,'Entry data'!$A:$K,5,FALSE)),"",VLOOKUP($A363,'Entry data'!$A:$K,5,FALSE))</f>
        <v>14DET</v>
      </c>
      <c r="F363" t="str">
        <f>IF(ISBLANK(VLOOKUP($A363,'Entry data'!$A:$K,6,FALSE)),"",VLOOKUP($A363,'Entry data'!$A:$K,6,FALSE))</f>
        <v>25NSH</v>
      </c>
      <c r="G363" t="str">
        <f>IF(ISBLANK(VLOOKUP($A363,'Entry data'!$A:$K,7,FALSE)),"",VLOOKUP($A363,'Entry data'!$A:$K,7,FALSE))</f>
        <v>N</v>
      </c>
      <c r="H363" t="str">
        <f>IF(ISBLANK(VLOOKUP($A363,'Entry data'!$A:$K,8,FALSE)),"",VLOOKUP($A363,'Entry data'!$A:$K,8,FALSE))</f>
        <v>C</v>
      </c>
      <c r="I363" t="str">
        <f>IF(ISBLANK(VLOOKUP($A363,'Entry data'!$A:$K,9,FALSE)),"",VLOOKUP($A363,'Entry data'!$A:$K,9,FALSE))</f>
        <v>N</v>
      </c>
      <c r="J363">
        <f>IF(ISBLANK(VLOOKUP($A363,'Entry data'!$A:$K,10,FALSE)),"",VLOOKUP($A363,'Entry data'!$A:$K,10,FALSE))</f>
        <v>5</v>
      </c>
      <c r="K363">
        <f>IF(ISBLANK(VLOOKUP($A363,'Entry data'!$A:$K,11,FALSE)),"",VLOOKUP($A363,'Entry data'!$A:$K,11,FALSE))</f>
        <v>5</v>
      </c>
      <c r="L363">
        <f>IF(OR(EXACT(D363,"C"),EXACT(D363,"P"),EXACT(D363,"D"),EXACT(D363,"T"),EXACT(D363,"X"),EXACT(E363,"DZF"),EXACT(E363,"OZF"),EXACT(D363,"N"),EXACT(D363,"F")),1,0)</f>
        <v>1</v>
      </c>
      <c r="M363" t="str">
        <f t="shared" si="20"/>
        <v>14DET</v>
      </c>
      <c r="N363">
        <f t="shared" si="21"/>
        <v>1</v>
      </c>
      <c r="O363">
        <f t="shared" si="22"/>
        <v>0</v>
      </c>
      <c r="P363" t="str">
        <f t="shared" si="23"/>
        <v/>
      </c>
    </row>
    <row r="364" spans="1:16" x14ac:dyDescent="0.25">
      <c r="A364">
        <v>238</v>
      </c>
      <c r="B364">
        <f>IF($A364&gt;$A$1,"",VLOOKUP($A364,'NHL PBP'!$A:$L,8,FALSE))</f>
        <v>3</v>
      </c>
      <c r="C364">
        <f>IF($A364&gt;$A$1,"",IF(B364&gt;3,5/24,20/24)-VLOOKUP($A364,'NHL PBP'!$A:$L,10,FALSE))</f>
        <v>0.4694444444444445</v>
      </c>
      <c r="D364" t="str">
        <f>IF($A364&gt;$A$1,"",VLOOKUP($A364,'NHL PBP'!$A:$L,11,FALSE))</f>
        <v>SHOT</v>
      </c>
      <c r="E364" t="str">
        <f>IF(AND(EXACT(D364,"FAC"),NOT(EXACT(MID(F364,9,3),"Neu"))),IF(OR(AND(EXACT(MID(F364,9,3),"Off"),EXACT(LEFT(F364,3),UPPER('Entry data'!$C$2))),AND(EXACT(MID(F364,9,3),"Def"),NOT(EXACT(LEFT(F364,3),UPPER('Entry data'!$C$2))))),"DZF","OZF"),"")</f>
        <v/>
      </c>
      <c r="F364" t="str">
        <f>IF($A364&gt;$A$1,"",VLOOKUP($A364,'NHL PBP'!$A:$L,12,FALSE))</f>
        <v>DET ONGOAL - #14 NYQUIST, Wrist, Off. Zone, 27 ft.</v>
      </c>
      <c r="J364">
        <f>IF(EXACT('Entry data'!$C$3,"Road"),IF(ISBLANK(VLOOKUP(A364,'NHL PBP'!A:AH,21,FALSE)),3,IF(ISBLANK(VLOOKUP(A364,'NHL PBP'!A:AH,23,FALSE)),4,5)),IF(ISBLANK(VLOOKUP(A364,'NHL PBP'!A:AH,32,FALSE)),3,IF(ISBLANK(VLOOKUP(A364,'NHL PBP'!A:AH,34,FALSE)),4,5)))</f>
        <v>5</v>
      </c>
      <c r="K364">
        <f>IF(EXACT('Entry data'!$C$3,"Home"),IF(ISBLANK(VLOOKUP(A364,'NHL PBP'!A:AH,21,FALSE)),3,IF(ISBLANK(VLOOKUP(A364,'NHL PBP'!A:AH,23,FALSE)),4,5)),IF(ISBLANK(VLOOKUP(A364,'NHL PBP'!A:AH,32,FALSE)),3,IF(ISBLANK(VLOOKUP(A364,'NHL PBP'!A:AH,34,FALSE)),4,5)))</f>
        <v>5</v>
      </c>
      <c r="L364">
        <f>IF(OR(EXACT(D364,"C"),EXACT(D364,"P"),EXACT(D364,"D"),EXACT(D364,"T"),EXACT(D364,"X"),EXACT(E364,"DZF"),EXACT(E364,"OZF"),EXACT(D364,"N"),EXACT(D364,"F")),1,0)</f>
        <v>0</v>
      </c>
      <c r="M364" t="str">
        <f t="shared" si="20"/>
        <v/>
      </c>
      <c r="N364">
        <f t="shared" si="21"/>
        <v>1</v>
      </c>
      <c r="O364">
        <f t="shared" si="22"/>
        <v>0</v>
      </c>
      <c r="P364" t="str">
        <f t="shared" si="23"/>
        <v/>
      </c>
    </row>
    <row r="365" spans="1:16" x14ac:dyDescent="0.25">
      <c r="A365">
        <v>126</v>
      </c>
      <c r="B365">
        <f>IF(ISBLANK(VLOOKUP($A365,'Entry data'!$A:$K,2,FALSE)),"",VLOOKUP($A365,'Entry data'!$A:$K,2,FALSE))</f>
        <v>3</v>
      </c>
      <c r="C365">
        <f>IF(ISBLANK(VLOOKUP($A365,'Entry data'!$A:$K,3,FALSE)),"",VLOOKUP($A365,'Entry data'!$A:$K,3,FALSE))</f>
        <v>0.46666666666666662</v>
      </c>
      <c r="D365" t="str">
        <f>IF(ISBLANK(VLOOKUP($A365,'Entry data'!$A:$K,4,FALSE)),"",VLOOKUP($A365,'Entry data'!$A:$K,4,FALSE))</f>
        <v>C</v>
      </c>
      <c r="E365" t="str">
        <f>IF(ISBLANK(VLOOKUP($A365,'Entry data'!$A:$K,5,FALSE)),"",VLOOKUP($A365,'Entry data'!$A:$K,5,FALSE))</f>
        <v>2DET</v>
      </c>
      <c r="F365" t="str">
        <f>IF(ISBLANK(VLOOKUP($A365,'Entry data'!$A:$K,6,FALSE)),"",VLOOKUP($A365,'Entry data'!$A:$K,6,FALSE))</f>
        <v>76NSH</v>
      </c>
      <c r="G365" t="str">
        <f>IF(ISBLANK(VLOOKUP($A365,'Entry data'!$A:$K,7,FALSE)),"",VLOOKUP($A365,'Entry data'!$A:$K,7,FALSE))</f>
        <v>N</v>
      </c>
      <c r="H365" t="str">
        <f>IF(ISBLANK(VLOOKUP($A365,'Entry data'!$A:$K,8,FALSE)),"",VLOOKUP($A365,'Entry data'!$A:$K,8,FALSE))</f>
        <v>L</v>
      </c>
      <c r="I365" t="str">
        <f>IF(ISBLANK(VLOOKUP($A365,'Entry data'!$A:$K,9,FALSE)),"",VLOOKUP($A365,'Entry data'!$A:$K,9,FALSE))</f>
        <v>N</v>
      </c>
      <c r="J365">
        <f>IF(ISBLANK(VLOOKUP($A365,'Entry data'!$A:$K,10,FALSE)),"",VLOOKUP($A365,'Entry data'!$A:$K,10,FALSE))</f>
        <v>5</v>
      </c>
      <c r="K365">
        <f>IF(ISBLANK(VLOOKUP($A365,'Entry data'!$A:$K,11,FALSE)),"",VLOOKUP($A365,'Entry data'!$A:$K,11,FALSE))</f>
        <v>5</v>
      </c>
      <c r="L365">
        <f>IF(OR(EXACT(D365,"C"),EXACT(D365,"P"),EXACT(D365,"D"),EXACT(D365,"T"),EXACT(D365,"X"),EXACT(E365,"DZF"),EXACT(E365,"OZF"),EXACT(D365,"N"),EXACT(D365,"F")),1,0)</f>
        <v>1</v>
      </c>
      <c r="M365" t="str">
        <f t="shared" si="20"/>
        <v>2DET</v>
      </c>
      <c r="N365">
        <f t="shared" si="21"/>
        <v>1</v>
      </c>
      <c r="O365">
        <f t="shared" si="22"/>
        <v>0</v>
      </c>
      <c r="P365" t="str">
        <f t="shared" si="23"/>
        <v/>
      </c>
    </row>
    <row r="366" spans="1:16" x14ac:dyDescent="0.25">
      <c r="A366">
        <v>239</v>
      </c>
      <c r="B366">
        <f>IF($A366&gt;$A$1,"",VLOOKUP($A366,'NHL PBP'!$A:$L,8,FALSE))</f>
        <v>3</v>
      </c>
      <c r="C366">
        <f>IF($A366&gt;$A$1,"",IF(B366&gt;3,5/24,20/24)-VLOOKUP($A366,'NHL PBP'!$A:$L,10,FALSE))</f>
        <v>0.46388888888888891</v>
      </c>
      <c r="D366" t="str">
        <f>IF($A366&gt;$A$1,"",VLOOKUP($A366,'NHL PBP'!$A:$L,11,FALSE))</f>
        <v>SHOT</v>
      </c>
      <c r="E366" t="str">
        <f>IF(AND(EXACT(D366,"FAC"),NOT(EXACT(MID(F366,9,3),"Neu"))),IF(OR(AND(EXACT(MID(F366,9,3),"Off"),EXACT(LEFT(F366,3),UPPER('Entry data'!$C$2))),AND(EXACT(MID(F366,9,3),"Def"),NOT(EXACT(LEFT(F366,3),UPPER('Entry data'!$C$2))))),"DZF","OZF"),"")</f>
        <v/>
      </c>
      <c r="F366" t="str">
        <f>IF($A366&gt;$A$1,"",VLOOKUP($A366,'NHL PBP'!$A:$L,12,FALSE))</f>
        <v>DET ONGOAL - #2 SMITH, Wrist, Off. Zone, 66 ft.</v>
      </c>
      <c r="J366">
        <f>IF(EXACT('Entry data'!$C$3,"Road"),IF(ISBLANK(VLOOKUP(A366,'NHL PBP'!A:AH,21,FALSE)),3,IF(ISBLANK(VLOOKUP(A366,'NHL PBP'!A:AH,23,FALSE)),4,5)),IF(ISBLANK(VLOOKUP(A366,'NHL PBP'!A:AH,32,FALSE)),3,IF(ISBLANK(VLOOKUP(A366,'NHL PBP'!A:AH,34,FALSE)),4,5)))</f>
        <v>5</v>
      </c>
      <c r="K366">
        <f>IF(EXACT('Entry data'!$C$3,"Home"),IF(ISBLANK(VLOOKUP(A366,'NHL PBP'!A:AH,21,FALSE)),3,IF(ISBLANK(VLOOKUP(A366,'NHL PBP'!A:AH,23,FALSE)),4,5)),IF(ISBLANK(VLOOKUP(A366,'NHL PBP'!A:AH,32,FALSE)),3,IF(ISBLANK(VLOOKUP(A366,'NHL PBP'!A:AH,34,FALSE)),4,5)))</f>
        <v>5</v>
      </c>
      <c r="L366">
        <f>IF(OR(EXACT(D366,"C"),EXACT(D366,"P"),EXACT(D366,"D"),EXACT(D366,"T"),EXACT(D366,"X"),EXACT(E366,"DZF"),EXACT(E366,"OZF"),EXACT(D366,"N"),EXACT(D366,"F")),1,0)</f>
        <v>0</v>
      </c>
      <c r="M366" t="str">
        <f t="shared" si="20"/>
        <v/>
      </c>
      <c r="N366">
        <f t="shared" si="21"/>
        <v>1</v>
      </c>
      <c r="O366">
        <f t="shared" si="22"/>
        <v>0</v>
      </c>
      <c r="P366" t="str">
        <f t="shared" si="23"/>
        <v/>
      </c>
    </row>
    <row r="367" spans="1:16" x14ac:dyDescent="0.25">
      <c r="A367">
        <v>127</v>
      </c>
      <c r="B367">
        <f>IF(ISBLANK(VLOOKUP($A367,'Entry data'!$A:$K,2,FALSE)),"",VLOOKUP($A367,'Entry data'!$A:$K,2,FALSE))</f>
        <v>3</v>
      </c>
      <c r="C367">
        <f>IF(ISBLANK(VLOOKUP($A367,'Entry data'!$A:$K,3,FALSE)),"",VLOOKUP($A367,'Entry data'!$A:$K,3,FALSE))</f>
        <v>0.45833333333333331</v>
      </c>
      <c r="D367" t="str">
        <f>IF(ISBLANK(VLOOKUP($A367,'Entry data'!$A:$K,4,FALSE)),"",VLOOKUP($A367,'Entry data'!$A:$K,4,FALSE))</f>
        <v>C</v>
      </c>
      <c r="E367" t="str">
        <f>IF(ISBLANK(VLOOKUP($A367,'Entry data'!$A:$K,5,FALSE)),"",VLOOKUP($A367,'Entry data'!$A:$K,5,FALSE))</f>
        <v>10NSH</v>
      </c>
      <c r="F367" t="str">
        <f>IF(ISBLANK(VLOOKUP($A367,'Entry data'!$A:$K,6,FALSE)),"",VLOOKUP($A367,'Entry data'!$A:$K,6,FALSE))</f>
        <v>2DET</v>
      </c>
      <c r="G367" t="str">
        <f>IF(ISBLANK(VLOOKUP($A367,'Entry data'!$A:$K,7,FALSE)),"",VLOOKUP($A367,'Entry data'!$A:$K,7,FALSE))</f>
        <v>N</v>
      </c>
      <c r="H367" t="str">
        <f>IF(ISBLANK(VLOOKUP($A367,'Entry data'!$A:$K,8,FALSE)),"",VLOOKUP($A367,'Entry data'!$A:$K,8,FALSE))</f>
        <v>R</v>
      </c>
      <c r="I367" t="str">
        <f>IF(ISBLANK(VLOOKUP($A367,'Entry data'!$A:$K,9,FALSE)),"",VLOOKUP($A367,'Entry data'!$A:$K,9,FALSE))</f>
        <v>N</v>
      </c>
      <c r="J367">
        <f>IF(ISBLANK(VLOOKUP($A367,'Entry data'!$A:$K,10,FALSE)),"",VLOOKUP($A367,'Entry data'!$A:$K,10,FALSE))</f>
        <v>5</v>
      </c>
      <c r="K367">
        <f>IF(ISBLANK(VLOOKUP($A367,'Entry data'!$A:$K,11,FALSE)),"",VLOOKUP($A367,'Entry data'!$A:$K,11,FALSE))</f>
        <v>5</v>
      </c>
      <c r="L367">
        <f>IF(OR(EXACT(D367,"C"),EXACT(D367,"P"),EXACT(D367,"D"),EXACT(D367,"T"),EXACT(D367,"X"),EXACT(E367,"DZF"),EXACT(E367,"OZF"),EXACT(D367,"N"),EXACT(D367,"F")),1,0)</f>
        <v>1</v>
      </c>
      <c r="M367" t="str">
        <f t="shared" si="20"/>
        <v>10NSH</v>
      </c>
      <c r="N367">
        <f t="shared" si="21"/>
        <v>0</v>
      </c>
      <c r="O367">
        <f t="shared" si="22"/>
        <v>0</v>
      </c>
      <c r="P367" t="str">
        <f t="shared" si="23"/>
        <v/>
      </c>
    </row>
    <row r="368" spans="1:16" x14ac:dyDescent="0.25">
      <c r="A368">
        <v>240</v>
      </c>
      <c r="B368">
        <f>IF($A368&gt;$A$1,"",VLOOKUP($A368,'NHL PBP'!$A:$L,8,FALSE))</f>
        <v>3</v>
      </c>
      <c r="C368">
        <f>IF($A368&gt;$A$1,"",IF(B368&gt;3,5/24,20/24)-VLOOKUP($A368,'NHL PBP'!$A:$L,10,FALSE))</f>
        <v>0.45624999999999999</v>
      </c>
      <c r="D368" t="str">
        <f>IF($A368&gt;$A$1,"",VLOOKUP($A368,'NHL PBP'!$A:$L,11,FALSE))</f>
        <v>STOP</v>
      </c>
      <c r="E368" t="str">
        <f>IF(AND(EXACT(D368,"FAC"),NOT(EXACT(MID(F368,9,3),"Neu"))),IF(OR(AND(EXACT(MID(F368,9,3),"Off"),EXACT(LEFT(F368,3),UPPER('Entry data'!$C$2))),AND(EXACT(MID(F368,9,3),"Def"),NOT(EXACT(LEFT(F368,3),UPPER('Entry data'!$C$2))))),"DZF","OZF"),"")</f>
        <v/>
      </c>
      <c r="F368" t="str">
        <f>IF($A368&gt;$A$1,"",VLOOKUP($A368,'NHL PBP'!$A:$L,12,FALSE))</f>
        <v>PUCK IN NETTING,TV TIMEOUT</v>
      </c>
      <c r="J368">
        <f>IF(EXACT('Entry data'!$C$3,"Road"),IF(ISBLANK(VLOOKUP(A368,'NHL PBP'!A:AH,21,FALSE)),3,IF(ISBLANK(VLOOKUP(A368,'NHL PBP'!A:AH,23,FALSE)),4,5)),IF(ISBLANK(VLOOKUP(A368,'NHL PBP'!A:AH,32,FALSE)),3,IF(ISBLANK(VLOOKUP(A368,'NHL PBP'!A:AH,34,FALSE)),4,5)))</f>
        <v>5</v>
      </c>
      <c r="K368">
        <f>IF(EXACT('Entry data'!$C$3,"Home"),IF(ISBLANK(VLOOKUP(A368,'NHL PBP'!A:AH,21,FALSE)),3,IF(ISBLANK(VLOOKUP(A368,'NHL PBP'!A:AH,23,FALSE)),4,5)),IF(ISBLANK(VLOOKUP(A368,'NHL PBP'!A:AH,32,FALSE)),3,IF(ISBLANK(VLOOKUP(A368,'NHL PBP'!A:AH,34,FALSE)),4,5)))</f>
        <v>5</v>
      </c>
      <c r="L368">
        <f>IF(OR(EXACT(D368,"C"),EXACT(D368,"P"),EXACT(D368,"D"),EXACT(D368,"T"),EXACT(D368,"X"),EXACT(E368,"DZF"),EXACT(E368,"OZF"),EXACT(D368,"N"),EXACT(D368,"F")),1,0)</f>
        <v>0</v>
      </c>
      <c r="M368" t="str">
        <f t="shared" si="20"/>
        <v/>
      </c>
      <c r="N368">
        <f t="shared" si="21"/>
        <v>0</v>
      </c>
      <c r="O368">
        <f t="shared" si="22"/>
        <v>0</v>
      </c>
      <c r="P368" t="str">
        <f t="shared" si="23"/>
        <v/>
      </c>
    </row>
    <row r="369" spans="1:16" x14ac:dyDescent="0.25">
      <c r="A369">
        <v>241</v>
      </c>
      <c r="B369">
        <f>IF($A369&gt;$A$1,"",VLOOKUP($A369,'NHL PBP'!$A:$L,8,FALSE))</f>
        <v>3</v>
      </c>
      <c r="C369">
        <f>IF($A369&gt;$A$1,"",IF(B369&gt;3,5/24,20/24)-VLOOKUP($A369,'NHL PBP'!$A:$L,10,FALSE))</f>
        <v>0.45624999999999999</v>
      </c>
      <c r="D369" t="str">
        <f>IF($A369&gt;$A$1,"",VLOOKUP($A369,'NHL PBP'!$A:$L,11,FALSE))</f>
        <v>FAC</v>
      </c>
      <c r="E369" t="str">
        <f>IF(AND(EXACT(D369,"FAC"),NOT(EXACT(MID(F369,9,3),"Neu"))),IF(OR(AND(EXACT(MID(F369,9,3),"Off"),EXACT(LEFT(F369,3),UPPER('Entry data'!$C$2))),AND(EXACT(MID(F369,9,3),"Def"),NOT(EXACT(LEFT(F369,3),UPPER('Entry data'!$C$2))))),"DZF","OZF"),"")</f>
        <v>DZF</v>
      </c>
      <c r="F369" t="str">
        <f>IF($A369&gt;$A$1,"",VLOOKUP($A369,'NHL PBP'!$A:$L,12,FALSE))</f>
        <v>DET won Def. Zone - NSH #63 RIBEIRO vs DET #40 ZETTERBERG</v>
      </c>
      <c r="J369">
        <f>IF(EXACT('Entry data'!$C$3,"Road"),IF(ISBLANK(VLOOKUP(A369,'NHL PBP'!A:AH,21,FALSE)),3,IF(ISBLANK(VLOOKUP(A369,'NHL PBP'!A:AH,23,FALSE)),4,5)),IF(ISBLANK(VLOOKUP(A369,'NHL PBP'!A:AH,32,FALSE)),3,IF(ISBLANK(VLOOKUP(A369,'NHL PBP'!A:AH,34,FALSE)),4,5)))</f>
        <v>5</v>
      </c>
      <c r="K369">
        <f>IF(EXACT('Entry data'!$C$3,"Home"),IF(ISBLANK(VLOOKUP(A369,'NHL PBP'!A:AH,21,FALSE)),3,IF(ISBLANK(VLOOKUP(A369,'NHL PBP'!A:AH,23,FALSE)),4,5)),IF(ISBLANK(VLOOKUP(A369,'NHL PBP'!A:AH,32,FALSE)),3,IF(ISBLANK(VLOOKUP(A369,'NHL PBP'!A:AH,34,FALSE)),4,5)))</f>
        <v>5</v>
      </c>
      <c r="L369">
        <f>IF(OR(EXACT(D369,"C"),EXACT(D369,"P"),EXACT(D369,"D"),EXACT(D369,"T"),EXACT(D369,"X"),EXACT(E369,"DZF"),EXACT(E369,"OZF"),EXACT(D369,"N"),EXACT(D369,"F")),1,0)</f>
        <v>1</v>
      </c>
      <c r="M369" t="str">
        <f t="shared" si="20"/>
        <v/>
      </c>
      <c r="N369">
        <f t="shared" si="21"/>
        <v>0</v>
      </c>
      <c r="O369">
        <f t="shared" si="22"/>
        <v>0</v>
      </c>
      <c r="P369" t="str">
        <f t="shared" si="23"/>
        <v/>
      </c>
    </row>
    <row r="370" spans="1:16" x14ac:dyDescent="0.25">
      <c r="A370">
        <v>242</v>
      </c>
      <c r="B370">
        <f>IF($A370&gt;$A$1,"",VLOOKUP($A370,'NHL PBP'!$A:$L,8,FALSE))</f>
        <v>3</v>
      </c>
      <c r="C370">
        <f>IF($A370&gt;$A$1,"",IF(B370&gt;3,5/24,20/24)-VLOOKUP($A370,'NHL PBP'!$A:$L,10,FALSE))</f>
        <v>0.45208333333333334</v>
      </c>
      <c r="D370" t="str">
        <f>IF($A370&gt;$A$1,"",VLOOKUP($A370,'NHL PBP'!$A:$L,11,FALSE))</f>
        <v>HIT</v>
      </c>
      <c r="E370" t="str">
        <f>IF(AND(EXACT(D370,"FAC"),NOT(EXACT(MID(F370,9,3),"Neu"))),IF(OR(AND(EXACT(MID(F370,9,3),"Off"),EXACT(LEFT(F370,3),UPPER('Entry data'!$C$2))),AND(EXACT(MID(F370,9,3),"Def"),NOT(EXACT(LEFT(F370,3),UPPER('Entry data'!$C$2))))),"DZF","OZF"),"")</f>
        <v/>
      </c>
      <c r="F370" t="str">
        <f>IF($A370&gt;$A$1,"",VLOOKUP($A370,'NHL PBP'!$A:$L,12,FALSE))</f>
        <v>NSH #9 FORSBERG HIT DET #25 GREEN, Off. Zone</v>
      </c>
      <c r="J370">
        <f>IF(EXACT('Entry data'!$C$3,"Road"),IF(ISBLANK(VLOOKUP(A370,'NHL PBP'!A:AH,21,FALSE)),3,IF(ISBLANK(VLOOKUP(A370,'NHL PBP'!A:AH,23,FALSE)),4,5)),IF(ISBLANK(VLOOKUP(A370,'NHL PBP'!A:AH,32,FALSE)),3,IF(ISBLANK(VLOOKUP(A370,'NHL PBP'!A:AH,34,FALSE)),4,5)))</f>
        <v>5</v>
      </c>
      <c r="K370">
        <f>IF(EXACT('Entry data'!$C$3,"Home"),IF(ISBLANK(VLOOKUP(A370,'NHL PBP'!A:AH,21,FALSE)),3,IF(ISBLANK(VLOOKUP(A370,'NHL PBP'!A:AH,23,FALSE)),4,5)),IF(ISBLANK(VLOOKUP(A370,'NHL PBP'!A:AH,32,FALSE)),3,IF(ISBLANK(VLOOKUP(A370,'NHL PBP'!A:AH,34,FALSE)),4,5)))</f>
        <v>5</v>
      </c>
      <c r="L370">
        <f>IF(OR(EXACT(D370,"C"),EXACT(D370,"P"),EXACT(D370,"D"),EXACT(D370,"T"),EXACT(D370,"X"),EXACT(E370,"DZF"),EXACT(E370,"OZF"),EXACT(D370,"N"),EXACT(D370,"F")),1,0)</f>
        <v>0</v>
      </c>
      <c r="M370" t="str">
        <f t="shared" si="20"/>
        <v/>
      </c>
      <c r="N370">
        <f t="shared" si="21"/>
        <v>0</v>
      </c>
      <c r="O370">
        <f t="shared" si="22"/>
        <v>0</v>
      </c>
      <c r="P370" t="str">
        <f t="shared" si="23"/>
        <v/>
      </c>
    </row>
    <row r="371" spans="1:16" x14ac:dyDescent="0.25">
      <c r="A371">
        <v>243</v>
      </c>
      <c r="B371">
        <f>IF($A371&gt;$A$1,"",VLOOKUP($A371,'NHL PBP'!$A:$L,8,FALSE))</f>
        <v>3</v>
      </c>
      <c r="C371">
        <f>IF($A371&gt;$A$1,"",IF(B371&gt;3,5/24,20/24)-VLOOKUP($A371,'NHL PBP'!$A:$L,10,FALSE))</f>
        <v>0.45069444444444445</v>
      </c>
      <c r="D371" t="str">
        <f>IF($A371&gt;$A$1,"",VLOOKUP($A371,'NHL PBP'!$A:$L,11,FALSE))</f>
        <v>STOP</v>
      </c>
      <c r="E371" t="str">
        <f>IF(AND(EXACT(D371,"FAC"),NOT(EXACT(MID(F371,9,3),"Neu"))),IF(OR(AND(EXACT(MID(F371,9,3),"Off"),EXACT(LEFT(F371,3),UPPER('Entry data'!$C$2))),AND(EXACT(MID(F371,9,3),"Def"),NOT(EXACT(LEFT(F371,3),UPPER('Entry data'!$C$2))))),"DZF","OZF"),"")</f>
        <v/>
      </c>
      <c r="F371" t="str">
        <f>IF($A371&gt;$A$1,"",VLOOKUP($A371,'NHL PBP'!$A:$L,12,FALSE))</f>
        <v>OFFSIDE</v>
      </c>
      <c r="J371">
        <f>IF(EXACT('Entry data'!$C$3,"Road"),IF(ISBLANK(VLOOKUP(A371,'NHL PBP'!A:AH,21,FALSE)),3,IF(ISBLANK(VLOOKUP(A371,'NHL PBP'!A:AH,23,FALSE)),4,5)),IF(ISBLANK(VLOOKUP(A371,'NHL PBP'!A:AH,32,FALSE)),3,IF(ISBLANK(VLOOKUP(A371,'NHL PBP'!A:AH,34,FALSE)),4,5)))</f>
        <v>5</v>
      </c>
      <c r="K371">
        <f>IF(EXACT('Entry data'!$C$3,"Home"),IF(ISBLANK(VLOOKUP(A371,'NHL PBP'!A:AH,21,FALSE)),3,IF(ISBLANK(VLOOKUP(A371,'NHL PBP'!A:AH,23,FALSE)),4,5)),IF(ISBLANK(VLOOKUP(A371,'NHL PBP'!A:AH,32,FALSE)),3,IF(ISBLANK(VLOOKUP(A371,'NHL PBP'!A:AH,34,FALSE)),4,5)))</f>
        <v>5</v>
      </c>
      <c r="L371">
        <f>IF(OR(EXACT(D371,"C"),EXACT(D371,"P"),EXACT(D371,"D"),EXACT(D371,"T"),EXACT(D371,"X"),EXACT(E371,"DZF"),EXACT(E371,"OZF"),EXACT(D371,"N"),EXACT(D371,"F")),1,0)</f>
        <v>0</v>
      </c>
      <c r="M371" t="str">
        <f t="shared" si="20"/>
        <v/>
      </c>
      <c r="N371">
        <f t="shared" si="21"/>
        <v>0</v>
      </c>
      <c r="O371">
        <f t="shared" si="22"/>
        <v>0</v>
      </c>
      <c r="P371" t="str">
        <f t="shared" si="23"/>
        <v/>
      </c>
    </row>
    <row r="372" spans="1:16" x14ac:dyDescent="0.25">
      <c r="A372">
        <v>244</v>
      </c>
      <c r="B372">
        <f>IF($A372&gt;$A$1,"",VLOOKUP($A372,'NHL PBP'!$A:$L,8,FALSE))</f>
        <v>3</v>
      </c>
      <c r="C372">
        <f>IF($A372&gt;$A$1,"",IF(B372&gt;3,5/24,20/24)-VLOOKUP($A372,'NHL PBP'!$A:$L,10,FALSE))</f>
        <v>0.45069444444444445</v>
      </c>
      <c r="D372" t="str">
        <f>IF($A372&gt;$A$1,"",VLOOKUP($A372,'NHL PBP'!$A:$L,11,FALSE))</f>
        <v>FAC</v>
      </c>
      <c r="E372" t="str">
        <f>IF(AND(EXACT(D372,"FAC"),NOT(EXACT(MID(F372,9,3),"Neu"))),IF(OR(AND(EXACT(MID(F372,9,3),"Off"),EXACT(LEFT(F372,3),UPPER('Entry data'!$C$2))),AND(EXACT(MID(F372,9,3),"Def"),NOT(EXACT(LEFT(F372,3),UPPER('Entry data'!$C$2))))),"DZF","OZF"),"")</f>
        <v/>
      </c>
      <c r="F372" t="str">
        <f>IF($A372&gt;$A$1,"",VLOOKUP($A372,'NHL PBP'!$A:$L,12,FALSE))</f>
        <v>NSH won Neu. Zone - NSH #18 NEAL vs DET #40 ZETTERBERG</v>
      </c>
      <c r="J372">
        <f>IF(EXACT('Entry data'!$C$3,"Road"),IF(ISBLANK(VLOOKUP(A372,'NHL PBP'!A:AH,21,FALSE)),3,IF(ISBLANK(VLOOKUP(A372,'NHL PBP'!A:AH,23,FALSE)),4,5)),IF(ISBLANK(VLOOKUP(A372,'NHL PBP'!A:AH,32,FALSE)),3,IF(ISBLANK(VLOOKUP(A372,'NHL PBP'!A:AH,34,FALSE)),4,5)))</f>
        <v>5</v>
      </c>
      <c r="K372">
        <f>IF(EXACT('Entry data'!$C$3,"Home"),IF(ISBLANK(VLOOKUP(A372,'NHL PBP'!A:AH,21,FALSE)),3,IF(ISBLANK(VLOOKUP(A372,'NHL PBP'!A:AH,23,FALSE)),4,5)),IF(ISBLANK(VLOOKUP(A372,'NHL PBP'!A:AH,32,FALSE)),3,IF(ISBLANK(VLOOKUP(A372,'NHL PBP'!A:AH,34,FALSE)),4,5)))</f>
        <v>5</v>
      </c>
      <c r="L372">
        <f>IF(OR(EXACT(D372,"C"),EXACT(D372,"P"),EXACT(D372,"D"),EXACT(D372,"T"),EXACT(D372,"X"),EXACT(E372,"DZF"),EXACT(E372,"OZF"),EXACT(D372,"N"),EXACT(D372,"F")),1,0)</f>
        <v>0</v>
      </c>
      <c r="M372" t="str">
        <f t="shared" si="20"/>
        <v/>
      </c>
      <c r="N372">
        <f t="shared" si="21"/>
        <v>0</v>
      </c>
      <c r="O372">
        <f t="shared" si="22"/>
        <v>0</v>
      </c>
      <c r="P372" t="str">
        <f t="shared" si="23"/>
        <v/>
      </c>
    </row>
    <row r="373" spans="1:16" x14ac:dyDescent="0.25">
      <c r="A373">
        <v>128</v>
      </c>
      <c r="B373">
        <f>IF(ISBLANK(VLOOKUP($A373,'Entry data'!$A:$K,2,FALSE)),"",VLOOKUP($A373,'Entry data'!$A:$K,2,FALSE))</f>
        <v>3</v>
      </c>
      <c r="C373">
        <f>IF(ISBLANK(VLOOKUP($A373,'Entry data'!$A:$K,3,FALSE)),"",VLOOKUP($A373,'Entry data'!$A:$K,3,FALSE))</f>
        <v>0.44791666666666669</v>
      </c>
      <c r="D373" t="str">
        <f>IF(ISBLANK(VLOOKUP($A373,'Entry data'!$A:$K,4,FALSE)),"",VLOOKUP($A373,'Entry data'!$A:$K,4,FALSE))</f>
        <v>D</v>
      </c>
      <c r="E373" t="str">
        <f>IF(ISBLANK(VLOOKUP($A373,'Entry data'!$A:$K,5,FALSE)),"",VLOOKUP($A373,'Entry data'!$A:$K,5,FALSE))</f>
        <v>76NSH</v>
      </c>
      <c r="F373" t="str">
        <f>IF(ISBLANK(VLOOKUP($A373,'Entry data'!$A:$K,6,FALSE)),"",VLOOKUP($A373,'Entry data'!$A:$K,6,FALSE))</f>
        <v>N</v>
      </c>
      <c r="G373" t="str">
        <f>IF(ISBLANK(VLOOKUP($A373,'Entry data'!$A:$K,7,FALSE)),"",VLOOKUP($A373,'Entry data'!$A:$K,7,FALSE))</f>
        <v/>
      </c>
      <c r="H373" t="str">
        <f>IF(ISBLANK(VLOOKUP($A373,'Entry data'!$A:$K,8,FALSE)),"",VLOOKUP($A373,'Entry data'!$A:$K,8,FALSE))</f>
        <v>R</v>
      </c>
      <c r="I373" t="str">
        <f>IF(ISBLANK(VLOOKUP($A373,'Entry data'!$A:$K,9,FALSE)),"",VLOOKUP($A373,'Entry data'!$A:$K,9,FALSE))</f>
        <v>18NSH</v>
      </c>
      <c r="J373">
        <f>IF(ISBLANK(VLOOKUP($A373,'Entry data'!$A:$K,10,FALSE)),"",VLOOKUP($A373,'Entry data'!$A:$K,10,FALSE))</f>
        <v>5</v>
      </c>
      <c r="K373">
        <f>IF(ISBLANK(VLOOKUP($A373,'Entry data'!$A:$K,11,FALSE)),"",VLOOKUP($A373,'Entry data'!$A:$K,11,FALSE))</f>
        <v>5</v>
      </c>
      <c r="L373">
        <f>IF(OR(EXACT(D373,"C"),EXACT(D373,"P"),EXACT(D373,"D"),EXACT(D373,"T"),EXACT(D373,"X"),EXACT(E373,"DZF"),EXACT(E373,"OZF"),EXACT(D373,"N"),EXACT(D373,"F")),1,0)</f>
        <v>1</v>
      </c>
      <c r="M373" t="str">
        <f t="shared" si="20"/>
        <v/>
      </c>
      <c r="N373">
        <f t="shared" si="21"/>
        <v>1</v>
      </c>
      <c r="O373">
        <f t="shared" si="22"/>
        <v>0</v>
      </c>
      <c r="P373" t="str">
        <f t="shared" si="23"/>
        <v/>
      </c>
    </row>
    <row r="374" spans="1:16" x14ac:dyDescent="0.25">
      <c r="A374">
        <v>245</v>
      </c>
      <c r="B374">
        <f>IF($A374&gt;$A$1,"",VLOOKUP($A374,'NHL PBP'!$A:$L,8,FALSE))</f>
        <v>3</v>
      </c>
      <c r="C374">
        <f>IF($A374&gt;$A$1,"",IF(B374&gt;3,5/24,20/24)-VLOOKUP($A374,'NHL PBP'!$A:$L,10,FALSE))</f>
        <v>0.4465277777777778</v>
      </c>
      <c r="D374" t="str">
        <f>IF($A374&gt;$A$1,"",VLOOKUP($A374,'NHL PBP'!$A:$L,11,FALSE))</f>
        <v>SHOT</v>
      </c>
      <c r="E374" t="str">
        <f>IF(AND(EXACT(D374,"FAC"),NOT(EXACT(MID(F374,9,3),"Neu"))),IF(OR(AND(EXACT(MID(F374,9,3),"Off"),EXACT(LEFT(F374,3),UPPER('Entry data'!$C$2))),AND(EXACT(MID(F374,9,3),"Def"),NOT(EXACT(LEFT(F374,3),UPPER('Entry data'!$C$2))))),"DZF","OZF"),"")</f>
        <v/>
      </c>
      <c r="F374" t="str">
        <f>IF($A374&gt;$A$1,"",VLOOKUP($A374,'NHL PBP'!$A:$L,12,FALSE))</f>
        <v>NSH ONGOAL - #76 SUBBAN, Wrist, Neu. Zone, 78 ft.</v>
      </c>
      <c r="J374">
        <f>IF(EXACT('Entry data'!$C$3,"Road"),IF(ISBLANK(VLOOKUP(A374,'NHL PBP'!A:AH,21,FALSE)),3,IF(ISBLANK(VLOOKUP(A374,'NHL PBP'!A:AH,23,FALSE)),4,5)),IF(ISBLANK(VLOOKUP(A374,'NHL PBP'!A:AH,32,FALSE)),3,IF(ISBLANK(VLOOKUP(A374,'NHL PBP'!A:AH,34,FALSE)),4,5)))</f>
        <v>5</v>
      </c>
      <c r="K374">
        <f>IF(EXACT('Entry data'!$C$3,"Home"),IF(ISBLANK(VLOOKUP(A374,'NHL PBP'!A:AH,21,FALSE)),3,IF(ISBLANK(VLOOKUP(A374,'NHL PBP'!A:AH,23,FALSE)),4,5)),IF(ISBLANK(VLOOKUP(A374,'NHL PBP'!A:AH,32,FALSE)),3,IF(ISBLANK(VLOOKUP(A374,'NHL PBP'!A:AH,34,FALSE)),4,5)))</f>
        <v>5</v>
      </c>
      <c r="L374">
        <f>IF(OR(EXACT(D374,"C"),EXACT(D374,"P"),EXACT(D374,"D"),EXACT(D374,"T"),EXACT(D374,"X"),EXACT(E374,"DZF"),EXACT(E374,"OZF"),EXACT(D374,"N"),EXACT(D374,"F")),1,0)</f>
        <v>0</v>
      </c>
      <c r="M374" t="str">
        <f t="shared" si="20"/>
        <v/>
      </c>
      <c r="N374">
        <f t="shared" si="21"/>
        <v>1</v>
      </c>
      <c r="O374">
        <f t="shared" si="22"/>
        <v>0</v>
      </c>
      <c r="P374" t="str">
        <f t="shared" si="23"/>
        <v/>
      </c>
    </row>
    <row r="375" spans="1:16" x14ac:dyDescent="0.25">
      <c r="A375">
        <v>246</v>
      </c>
      <c r="B375">
        <f>IF($A375&gt;$A$1,"",VLOOKUP($A375,'NHL PBP'!$A:$L,8,FALSE))</f>
        <v>3</v>
      </c>
      <c r="C375">
        <f>IF($A375&gt;$A$1,"",IF(B375&gt;3,5/24,20/24)-VLOOKUP($A375,'NHL PBP'!$A:$L,10,FALSE))</f>
        <v>0.42638888888888887</v>
      </c>
      <c r="D375" t="str">
        <f>IF($A375&gt;$A$1,"",VLOOKUP($A375,'NHL PBP'!$A:$L,11,FALSE))</f>
        <v>TAKE</v>
      </c>
      <c r="E375" t="str">
        <f>IF(AND(EXACT(D375,"FAC"),NOT(EXACT(MID(F375,9,3),"Neu"))),IF(OR(AND(EXACT(MID(F375,9,3),"Off"),EXACT(LEFT(F375,3),UPPER('Entry data'!$C$2))),AND(EXACT(MID(F375,9,3),"Def"),NOT(EXACT(LEFT(F375,3),UPPER('Entry data'!$C$2))))),"DZF","OZF"),"")</f>
        <v/>
      </c>
      <c r="F375" t="str">
        <f>IF($A375&gt;$A$1,"",VLOOKUP($A375,'NHL PBP'!$A:$L,12,FALSE))</f>
        <v>DET TAKEAWAY - #40 ZETTERBERG, Off. Zone</v>
      </c>
      <c r="J375">
        <f>IF(EXACT('Entry data'!$C$3,"Road"),IF(ISBLANK(VLOOKUP(A375,'NHL PBP'!A:AH,21,FALSE)),3,IF(ISBLANK(VLOOKUP(A375,'NHL PBP'!A:AH,23,FALSE)),4,5)),IF(ISBLANK(VLOOKUP(A375,'NHL PBP'!A:AH,32,FALSE)),3,IF(ISBLANK(VLOOKUP(A375,'NHL PBP'!A:AH,34,FALSE)),4,5)))</f>
        <v>5</v>
      </c>
      <c r="K375">
        <f>IF(EXACT('Entry data'!$C$3,"Home"),IF(ISBLANK(VLOOKUP(A375,'NHL PBP'!A:AH,21,FALSE)),3,IF(ISBLANK(VLOOKUP(A375,'NHL PBP'!A:AH,23,FALSE)),4,5)),IF(ISBLANK(VLOOKUP(A375,'NHL PBP'!A:AH,32,FALSE)),3,IF(ISBLANK(VLOOKUP(A375,'NHL PBP'!A:AH,34,FALSE)),4,5)))</f>
        <v>5</v>
      </c>
      <c r="L375">
        <f>IF(OR(EXACT(D375,"C"),EXACT(D375,"P"),EXACT(D375,"D"),EXACT(D375,"T"),EXACT(D375,"X"),EXACT(E375,"DZF"),EXACT(E375,"OZF"),EXACT(D375,"N"),EXACT(D375,"F")),1,0)</f>
        <v>0</v>
      </c>
      <c r="M375" t="str">
        <f t="shared" si="20"/>
        <v/>
      </c>
      <c r="N375">
        <f t="shared" si="21"/>
        <v>0</v>
      </c>
      <c r="O375">
        <f t="shared" si="22"/>
        <v>0</v>
      </c>
      <c r="P375" t="str">
        <f t="shared" si="23"/>
        <v/>
      </c>
    </row>
    <row r="376" spans="1:16" x14ac:dyDescent="0.25">
      <c r="A376">
        <v>129</v>
      </c>
      <c r="B376">
        <f>IF(ISBLANK(VLOOKUP($A376,'Entry data'!$A:$K,2,FALSE)),"",VLOOKUP($A376,'Entry data'!$A:$K,2,FALSE))</f>
        <v>3</v>
      </c>
      <c r="C376">
        <f>IF(ISBLANK(VLOOKUP($A376,'Entry data'!$A:$K,3,FALSE)),"",VLOOKUP($A376,'Entry data'!$A:$K,3,FALSE))</f>
        <v>0.42291666666666666</v>
      </c>
      <c r="D376" t="str">
        <f>IF(ISBLANK(VLOOKUP($A376,'Entry data'!$A:$K,4,FALSE)),"",VLOOKUP($A376,'Entry data'!$A:$K,4,FALSE))</f>
        <v>C</v>
      </c>
      <c r="E376" t="str">
        <f>IF(ISBLANK(VLOOKUP($A376,'Entry data'!$A:$K,5,FALSE)),"",VLOOKUP($A376,'Entry data'!$A:$K,5,FALSE))</f>
        <v>38NSH</v>
      </c>
      <c r="F376" t="str">
        <f>IF(ISBLANK(VLOOKUP($A376,'Entry data'!$A:$K,6,FALSE)),"",VLOOKUP($A376,'Entry data'!$A:$K,6,FALSE))</f>
        <v>65DET</v>
      </c>
      <c r="G376" t="str">
        <f>IF(ISBLANK(VLOOKUP($A376,'Entry data'!$A:$K,7,FALSE)),"",VLOOKUP($A376,'Entry data'!$A:$K,7,FALSE))</f>
        <v>N</v>
      </c>
      <c r="H376" t="str">
        <f>IF(ISBLANK(VLOOKUP($A376,'Entry data'!$A:$K,8,FALSE)),"",VLOOKUP($A376,'Entry data'!$A:$K,8,FALSE))</f>
        <v>R</v>
      </c>
      <c r="I376" t="str">
        <f>IF(ISBLANK(VLOOKUP($A376,'Entry data'!$A:$K,9,FALSE)),"",VLOOKUP($A376,'Entry data'!$A:$K,9,FALSE))</f>
        <v>N</v>
      </c>
      <c r="J376">
        <f>IF(ISBLANK(VLOOKUP($A376,'Entry data'!$A:$K,10,FALSE)),"",VLOOKUP($A376,'Entry data'!$A:$K,10,FALSE))</f>
        <v>5</v>
      </c>
      <c r="K376">
        <f>IF(ISBLANK(VLOOKUP($A376,'Entry data'!$A:$K,11,FALSE)),"",VLOOKUP($A376,'Entry data'!$A:$K,11,FALSE))</f>
        <v>5</v>
      </c>
      <c r="L376">
        <f>IF(OR(EXACT(D376,"C"),EXACT(D376,"P"),EXACT(D376,"D"),EXACT(D376,"T"),EXACT(D376,"X"),EXACT(E376,"DZF"),EXACT(E376,"OZF"),EXACT(D376,"N"),EXACT(D376,"F")),1,0)</f>
        <v>1</v>
      </c>
      <c r="M376" t="str">
        <f t="shared" si="20"/>
        <v>38NSH</v>
      </c>
      <c r="N376">
        <f t="shared" si="21"/>
        <v>0</v>
      </c>
      <c r="O376">
        <f t="shared" si="22"/>
        <v>0</v>
      </c>
      <c r="P376" t="str">
        <f t="shared" si="23"/>
        <v/>
      </c>
    </row>
    <row r="377" spans="1:16" x14ac:dyDescent="0.25">
      <c r="A377">
        <v>130</v>
      </c>
      <c r="B377">
        <f>IF(ISBLANK(VLOOKUP($A377,'Entry data'!$A:$K,2,FALSE)),"",VLOOKUP($A377,'Entry data'!$A:$K,2,FALSE))</f>
        <v>3</v>
      </c>
      <c r="C377">
        <f>IF(ISBLANK(VLOOKUP($A377,'Entry data'!$A:$K,3,FALSE)),"",VLOOKUP($A377,'Entry data'!$A:$K,3,FALSE))</f>
        <v>0.40902777777777777</v>
      </c>
      <c r="D377" t="str">
        <f>IF(ISBLANK(VLOOKUP($A377,'Entry data'!$A:$K,4,FALSE)),"",VLOOKUP($A377,'Entry data'!$A:$K,4,FALSE))</f>
        <v>D</v>
      </c>
      <c r="E377" t="str">
        <f>IF(ISBLANK(VLOOKUP($A377,'Entry data'!$A:$K,5,FALSE)),"",VLOOKUP($A377,'Entry data'!$A:$K,5,FALSE))</f>
        <v>71DET</v>
      </c>
      <c r="F377" t="str">
        <f>IF(ISBLANK(VLOOKUP($A377,'Entry data'!$A:$K,6,FALSE)),"",VLOOKUP($A377,'Entry data'!$A:$K,6,FALSE))</f>
        <v>38NSH</v>
      </c>
      <c r="G377" t="str">
        <f>IF(ISBLANK(VLOOKUP($A377,'Entry data'!$A:$K,7,FALSE)),"",VLOOKUP($A377,'Entry data'!$A:$K,7,FALSE))</f>
        <v/>
      </c>
      <c r="H377" t="str">
        <f>IF(ISBLANK(VLOOKUP($A377,'Entry data'!$A:$K,8,FALSE)),"",VLOOKUP($A377,'Entry data'!$A:$K,8,FALSE))</f>
        <v>L</v>
      </c>
      <c r="I377" t="str">
        <f>IF(ISBLANK(VLOOKUP($A377,'Entry data'!$A:$K,9,FALSE)),"",VLOOKUP($A377,'Entry data'!$A:$K,9,FALSE))</f>
        <v>N</v>
      </c>
      <c r="J377">
        <f>IF(ISBLANK(VLOOKUP($A377,'Entry data'!$A:$K,10,FALSE)),"",VLOOKUP($A377,'Entry data'!$A:$K,10,FALSE))</f>
        <v>5</v>
      </c>
      <c r="K377">
        <f>IF(ISBLANK(VLOOKUP($A377,'Entry data'!$A:$K,11,FALSE)),"",VLOOKUP($A377,'Entry data'!$A:$K,11,FALSE))</f>
        <v>5</v>
      </c>
      <c r="L377">
        <f>IF(OR(EXACT(D377,"C"),EXACT(D377,"P"),EXACT(D377,"D"),EXACT(D377,"T"),EXACT(D377,"X"),EXACT(E377,"DZF"),EXACT(E377,"OZF"),EXACT(D377,"N"),EXACT(D377,"F")),1,0)</f>
        <v>1</v>
      </c>
      <c r="M377" t="str">
        <f t="shared" si="20"/>
        <v/>
      </c>
      <c r="N377">
        <f t="shared" si="21"/>
        <v>0</v>
      </c>
      <c r="O377">
        <f t="shared" si="22"/>
        <v>0</v>
      </c>
      <c r="P377" t="str">
        <f t="shared" si="23"/>
        <v/>
      </c>
    </row>
    <row r="378" spans="1:16" x14ac:dyDescent="0.25">
      <c r="A378">
        <v>131</v>
      </c>
      <c r="B378">
        <f>IF(ISBLANK(VLOOKUP($A378,'Entry data'!$A:$K,2,FALSE)),"",VLOOKUP($A378,'Entry data'!$A:$K,2,FALSE))</f>
        <v>3</v>
      </c>
      <c r="C378">
        <f>IF(ISBLANK(VLOOKUP($A378,'Entry data'!$A:$K,3,FALSE)),"",VLOOKUP($A378,'Entry data'!$A:$K,3,FALSE))</f>
        <v>0.39583333333333331</v>
      </c>
      <c r="D378" t="str">
        <f>IF(ISBLANK(VLOOKUP($A378,'Entry data'!$A:$K,4,FALSE)),"",VLOOKUP($A378,'Entry data'!$A:$K,4,FALSE))</f>
        <v>D</v>
      </c>
      <c r="E378" t="str">
        <f>IF(ISBLANK(VLOOKUP($A378,'Entry data'!$A:$K,5,FALSE)),"",VLOOKUP($A378,'Entry data'!$A:$K,5,FALSE))</f>
        <v>8DET</v>
      </c>
      <c r="F378" t="str">
        <f>IF(ISBLANK(VLOOKUP($A378,'Entry data'!$A:$K,6,FALSE)),"",VLOOKUP($A378,'Entry data'!$A:$K,6,FALSE))</f>
        <v>56NSH</v>
      </c>
      <c r="G378" t="str">
        <f>IF(ISBLANK(VLOOKUP($A378,'Entry data'!$A:$K,7,FALSE)),"",VLOOKUP($A378,'Entry data'!$A:$K,7,FALSE))</f>
        <v/>
      </c>
      <c r="H378" t="str">
        <f>IF(ISBLANK(VLOOKUP($A378,'Entry data'!$A:$K,8,FALSE)),"",VLOOKUP($A378,'Entry data'!$A:$K,8,FALSE))</f>
        <v>R</v>
      </c>
      <c r="I378" t="str">
        <f>IF(ISBLANK(VLOOKUP($A378,'Entry data'!$A:$K,9,FALSE)),"",VLOOKUP($A378,'Entry data'!$A:$K,9,FALSE))</f>
        <v>N</v>
      </c>
      <c r="J378">
        <f>IF(ISBLANK(VLOOKUP($A378,'Entry data'!$A:$K,10,FALSE)),"",VLOOKUP($A378,'Entry data'!$A:$K,10,FALSE))</f>
        <v>5</v>
      </c>
      <c r="K378">
        <f>IF(ISBLANK(VLOOKUP($A378,'Entry data'!$A:$K,11,FALSE)),"",VLOOKUP($A378,'Entry data'!$A:$K,11,FALSE))</f>
        <v>5</v>
      </c>
      <c r="L378">
        <f>IF(OR(EXACT(D378,"C"),EXACT(D378,"P"),EXACT(D378,"D"),EXACT(D378,"T"),EXACT(D378,"X"),EXACT(E378,"DZF"),EXACT(E378,"OZF"),EXACT(D378,"N"),EXACT(D378,"F")),1,0)</f>
        <v>1</v>
      </c>
      <c r="M378" t="str">
        <f t="shared" si="20"/>
        <v/>
      </c>
      <c r="N378">
        <f t="shared" si="21"/>
        <v>0</v>
      </c>
      <c r="O378">
        <f t="shared" si="22"/>
        <v>0</v>
      </c>
      <c r="P378" t="str">
        <f t="shared" si="23"/>
        <v/>
      </c>
    </row>
    <row r="379" spans="1:16" x14ac:dyDescent="0.25">
      <c r="A379">
        <v>132</v>
      </c>
      <c r="B379">
        <f>IF(ISBLANK(VLOOKUP($A379,'Entry data'!$A:$K,2,FALSE)),"",VLOOKUP($A379,'Entry data'!$A:$K,2,FALSE))</f>
        <v>3</v>
      </c>
      <c r="C379">
        <f>IF(ISBLANK(VLOOKUP($A379,'Entry data'!$A:$K,3,FALSE)),"",VLOOKUP($A379,'Entry data'!$A:$K,3,FALSE))</f>
        <v>0.37222222222222223</v>
      </c>
      <c r="D379" t="str">
        <f>IF(ISBLANK(VLOOKUP($A379,'Entry data'!$A:$K,4,FALSE)),"",VLOOKUP($A379,'Entry data'!$A:$K,4,FALSE))</f>
        <v>C</v>
      </c>
      <c r="E379" t="str">
        <f>IF(ISBLANK(VLOOKUP($A379,'Entry data'!$A:$K,5,FALSE)),"",VLOOKUP($A379,'Entry data'!$A:$K,5,FALSE))</f>
        <v>19NSH</v>
      </c>
      <c r="F379" t="str">
        <f>IF(ISBLANK(VLOOKUP($A379,'Entry data'!$A:$K,6,FALSE)),"",VLOOKUP($A379,'Entry data'!$A:$K,6,FALSE))</f>
        <v>N</v>
      </c>
      <c r="G379" t="str">
        <f>IF(ISBLANK(VLOOKUP($A379,'Entry data'!$A:$K,7,FALSE)),"",VLOOKUP($A379,'Entry data'!$A:$K,7,FALSE))</f>
        <v>N</v>
      </c>
      <c r="H379" t="str">
        <f>IF(ISBLANK(VLOOKUP($A379,'Entry data'!$A:$K,8,FALSE)),"",VLOOKUP($A379,'Entry data'!$A:$K,8,FALSE))</f>
        <v>L</v>
      </c>
      <c r="I379" t="str">
        <f>IF(ISBLANK(VLOOKUP($A379,'Entry data'!$A:$K,9,FALSE)),"",VLOOKUP($A379,'Entry data'!$A:$K,9,FALSE))</f>
        <v>N</v>
      </c>
      <c r="J379">
        <f>IF(ISBLANK(VLOOKUP($A379,'Entry data'!$A:$K,10,FALSE)),"",VLOOKUP($A379,'Entry data'!$A:$K,10,FALSE))</f>
        <v>5</v>
      </c>
      <c r="K379">
        <f>IF(ISBLANK(VLOOKUP($A379,'Entry data'!$A:$K,11,FALSE)),"",VLOOKUP($A379,'Entry data'!$A:$K,11,FALSE))</f>
        <v>5</v>
      </c>
      <c r="L379">
        <f>IF(OR(EXACT(D379,"C"),EXACT(D379,"P"),EXACT(D379,"D"),EXACT(D379,"T"),EXACT(D379,"X"),EXACT(E379,"DZF"),EXACT(E379,"OZF"),EXACT(D379,"N"),EXACT(D379,"F")),1,0)</f>
        <v>1</v>
      </c>
      <c r="M379" t="str">
        <f t="shared" si="20"/>
        <v>19NSH</v>
      </c>
      <c r="N379">
        <f t="shared" si="21"/>
        <v>0</v>
      </c>
      <c r="O379">
        <f t="shared" si="22"/>
        <v>0</v>
      </c>
      <c r="P379" t="str">
        <f t="shared" si="23"/>
        <v/>
      </c>
    </row>
    <row r="380" spans="1:16" x14ac:dyDescent="0.25">
      <c r="A380">
        <v>247</v>
      </c>
      <c r="B380">
        <f>IF($A380&gt;$A$1,"",VLOOKUP($A380,'NHL PBP'!$A:$L,8,FALSE))</f>
        <v>3</v>
      </c>
      <c r="C380">
        <f>IF($A380&gt;$A$1,"",IF(B380&gt;3,5/24,20/24)-VLOOKUP($A380,'NHL PBP'!$A:$L,10,FALSE))</f>
        <v>0.36944444444444452</v>
      </c>
      <c r="D380" t="str">
        <f>IF($A380&gt;$A$1,"",VLOOKUP($A380,'NHL PBP'!$A:$L,11,FALSE))</f>
        <v>TAKE</v>
      </c>
      <c r="E380" t="str">
        <f>IF(AND(EXACT(D380,"FAC"),NOT(EXACT(MID(F380,9,3),"Neu"))),IF(OR(AND(EXACT(MID(F380,9,3),"Off"),EXACT(LEFT(F380,3),UPPER('Entry data'!$C$2))),AND(EXACT(MID(F380,9,3),"Def"),NOT(EXACT(LEFT(F380,3),UPPER('Entry data'!$C$2))))),"DZF","OZF"),"")</f>
        <v/>
      </c>
      <c r="F380" t="str">
        <f>IF($A380&gt;$A$1,"",VLOOKUP($A380,'NHL PBP'!$A:$L,12,FALSE))</f>
        <v>DET TAKEAWAY - #62 VANEK, Def. Zone</v>
      </c>
      <c r="J380">
        <f>IF(EXACT('Entry data'!$C$3,"Road"),IF(ISBLANK(VLOOKUP(A380,'NHL PBP'!A:AH,21,FALSE)),3,IF(ISBLANK(VLOOKUP(A380,'NHL PBP'!A:AH,23,FALSE)),4,5)),IF(ISBLANK(VLOOKUP(A380,'NHL PBP'!A:AH,32,FALSE)),3,IF(ISBLANK(VLOOKUP(A380,'NHL PBP'!A:AH,34,FALSE)),4,5)))</f>
        <v>5</v>
      </c>
      <c r="K380">
        <f>IF(EXACT('Entry data'!$C$3,"Home"),IF(ISBLANK(VLOOKUP(A380,'NHL PBP'!A:AH,21,FALSE)),3,IF(ISBLANK(VLOOKUP(A380,'NHL PBP'!A:AH,23,FALSE)),4,5)),IF(ISBLANK(VLOOKUP(A380,'NHL PBP'!A:AH,32,FALSE)),3,IF(ISBLANK(VLOOKUP(A380,'NHL PBP'!A:AH,34,FALSE)),4,5)))</f>
        <v>5</v>
      </c>
      <c r="L380">
        <f>IF(OR(EXACT(D380,"C"),EXACT(D380,"P"),EXACT(D380,"D"),EXACT(D380,"T"),EXACT(D380,"X"),EXACT(E380,"DZF"),EXACT(E380,"OZF"),EXACT(D380,"N"),EXACT(D380,"F")),1,0)</f>
        <v>0</v>
      </c>
      <c r="M380" t="str">
        <f t="shared" si="20"/>
        <v/>
      </c>
      <c r="N380">
        <f t="shared" si="21"/>
        <v>0</v>
      </c>
      <c r="O380">
        <f t="shared" si="22"/>
        <v>0</v>
      </c>
      <c r="P380" t="str">
        <f t="shared" si="23"/>
        <v/>
      </c>
    </row>
    <row r="381" spans="1:16" x14ac:dyDescent="0.25">
      <c r="A381">
        <v>133</v>
      </c>
      <c r="B381">
        <f>IF(ISBLANK(VLOOKUP($A381,'Entry data'!$A:$K,2,FALSE)),"",VLOOKUP($A381,'Entry data'!$A:$K,2,FALSE))</f>
        <v>3</v>
      </c>
      <c r="C381">
        <f>IF(ISBLANK(VLOOKUP($A381,'Entry data'!$A:$K,3,FALSE)),"",VLOOKUP($A381,'Entry data'!$A:$K,3,FALSE))</f>
        <v>0.36736111111111108</v>
      </c>
      <c r="D381" t="str">
        <f>IF(ISBLANK(VLOOKUP($A381,'Entry data'!$A:$K,4,FALSE)),"",VLOOKUP($A381,'Entry data'!$A:$K,4,FALSE))</f>
        <v>C</v>
      </c>
      <c r="E381" t="str">
        <f>IF(ISBLANK(VLOOKUP($A381,'Entry data'!$A:$K,5,FALSE)),"",VLOOKUP($A381,'Entry data'!$A:$K,5,FALSE))</f>
        <v>43DET</v>
      </c>
      <c r="F381" t="str">
        <f>IF(ISBLANK(VLOOKUP($A381,'Entry data'!$A:$K,6,FALSE)),"",VLOOKUP($A381,'Entry data'!$A:$K,6,FALSE))</f>
        <v>25NSH</v>
      </c>
      <c r="G381" t="str">
        <f>IF(ISBLANK(VLOOKUP($A381,'Entry data'!$A:$K,7,FALSE)),"",VLOOKUP($A381,'Entry data'!$A:$K,7,FALSE))</f>
        <v>N</v>
      </c>
      <c r="H381" t="str">
        <f>IF(ISBLANK(VLOOKUP($A381,'Entry data'!$A:$K,8,FALSE)),"",VLOOKUP($A381,'Entry data'!$A:$K,8,FALSE))</f>
        <v>C</v>
      </c>
      <c r="I381" t="str">
        <f>IF(ISBLANK(VLOOKUP($A381,'Entry data'!$A:$K,9,FALSE)),"",VLOOKUP($A381,'Entry data'!$A:$K,9,FALSE))</f>
        <v>N</v>
      </c>
      <c r="J381">
        <f>IF(ISBLANK(VLOOKUP($A381,'Entry data'!$A:$K,10,FALSE)),"",VLOOKUP($A381,'Entry data'!$A:$K,10,FALSE))</f>
        <v>5</v>
      </c>
      <c r="K381">
        <f>IF(ISBLANK(VLOOKUP($A381,'Entry data'!$A:$K,11,FALSE)),"",VLOOKUP($A381,'Entry data'!$A:$K,11,FALSE))</f>
        <v>5</v>
      </c>
      <c r="L381">
        <f>IF(OR(EXACT(D381,"C"),EXACT(D381,"P"),EXACT(D381,"D"),EXACT(D381,"T"),EXACT(D381,"X"),EXACT(E381,"DZF"),EXACT(E381,"OZF"),EXACT(D381,"N"),EXACT(D381,"F")),1,0)</f>
        <v>1</v>
      </c>
      <c r="M381" t="str">
        <f t="shared" si="20"/>
        <v>43DET</v>
      </c>
      <c r="N381">
        <f t="shared" si="21"/>
        <v>1</v>
      </c>
      <c r="O381">
        <f t="shared" si="22"/>
        <v>1</v>
      </c>
      <c r="P381" t="str">
        <f t="shared" si="23"/>
        <v/>
      </c>
    </row>
    <row r="382" spans="1:16" x14ac:dyDescent="0.25">
      <c r="A382">
        <v>248</v>
      </c>
      <c r="B382">
        <f>IF($A382&gt;$A$1,"",VLOOKUP($A382,'NHL PBP'!$A:$L,8,FALSE))</f>
        <v>3</v>
      </c>
      <c r="C382">
        <f>IF($A382&gt;$A$1,"",IF(B382&gt;3,5/24,20/24)-VLOOKUP($A382,'NHL PBP'!$A:$L,10,FALSE))</f>
        <v>0.35625000000000007</v>
      </c>
      <c r="D382" t="str">
        <f>IF($A382&gt;$A$1,"",VLOOKUP($A382,'NHL PBP'!$A:$L,11,FALSE))</f>
        <v>GOAL</v>
      </c>
      <c r="E382" t="str">
        <f>IF(AND(EXACT(D382,"FAC"),NOT(EXACT(MID(F382,9,3),"Neu"))),IF(OR(AND(EXACT(MID(F382,9,3),"Off"),EXACT(LEFT(F382,3),UPPER('Entry data'!$C$2))),AND(EXACT(MID(F382,9,3),"Def"),NOT(EXACT(LEFT(F382,3),UPPER('Entry data'!$C$2))))),"DZF","OZF"),"")</f>
        <v/>
      </c>
      <c r="F382" t="str">
        <f>IF($A382&gt;$A$1,"",VLOOKUP($A382,'NHL PBP'!$A:$L,12,FALSE))</f>
        <v>DET #14 NYQUIST(1), Snap, Off. Zone, 20 ft.</v>
      </c>
      <c r="J382">
        <f>IF(EXACT('Entry data'!$C$3,"Road"),IF(ISBLANK(VLOOKUP(A382,'NHL PBP'!A:AH,21,FALSE)),3,IF(ISBLANK(VLOOKUP(A382,'NHL PBP'!A:AH,23,FALSE)),4,5)),IF(ISBLANK(VLOOKUP(A382,'NHL PBP'!A:AH,32,FALSE)),3,IF(ISBLANK(VLOOKUP(A382,'NHL PBP'!A:AH,34,FALSE)),4,5)))</f>
        <v>5</v>
      </c>
      <c r="K382">
        <f>IF(EXACT('Entry data'!$C$3,"Home"),IF(ISBLANK(VLOOKUP(A382,'NHL PBP'!A:AH,21,FALSE)),3,IF(ISBLANK(VLOOKUP(A382,'NHL PBP'!A:AH,23,FALSE)),4,5)),IF(ISBLANK(VLOOKUP(A382,'NHL PBP'!A:AH,32,FALSE)),3,IF(ISBLANK(VLOOKUP(A382,'NHL PBP'!A:AH,34,FALSE)),4,5)))</f>
        <v>5</v>
      </c>
      <c r="L382">
        <f>IF(OR(EXACT(D382,"C"),EXACT(D382,"P"),EXACT(D382,"D"),EXACT(D382,"T"),EXACT(D382,"X"),EXACT(E382,"DZF"),EXACT(E382,"OZF"),EXACT(D382,"N"),EXACT(D382,"F")),1,0)</f>
        <v>0</v>
      </c>
      <c r="M382" t="str">
        <f t="shared" si="20"/>
        <v/>
      </c>
      <c r="N382">
        <f t="shared" si="21"/>
        <v>1</v>
      </c>
      <c r="O382">
        <f t="shared" si="22"/>
        <v>1</v>
      </c>
      <c r="P382" t="str">
        <f t="shared" si="23"/>
        <v/>
      </c>
    </row>
    <row r="383" spans="1:16" x14ac:dyDescent="0.25">
      <c r="A383">
        <v>249</v>
      </c>
      <c r="B383">
        <f>IF($A383&gt;$A$1,"",VLOOKUP($A383,'NHL PBP'!$A:$L,8,FALSE))</f>
        <v>3</v>
      </c>
      <c r="C383">
        <f>IF($A383&gt;$A$1,"",IF(B383&gt;3,5/24,20/24)-VLOOKUP($A383,'NHL PBP'!$A:$L,10,FALSE))</f>
        <v>0.35625000000000007</v>
      </c>
      <c r="D383" t="str">
        <f>IF($A383&gt;$A$1,"",VLOOKUP($A383,'NHL PBP'!$A:$L,11,FALSE))</f>
        <v>FAC</v>
      </c>
      <c r="E383" t="str">
        <f>IF(AND(EXACT(D383,"FAC"),NOT(EXACT(MID(F383,9,3),"Neu"))),IF(OR(AND(EXACT(MID(F383,9,3),"Off"),EXACT(LEFT(F383,3),UPPER('Entry data'!$C$2))),AND(EXACT(MID(F383,9,3),"Def"),NOT(EXACT(LEFT(F383,3),UPPER('Entry data'!$C$2))))),"DZF","OZF"),"")</f>
        <v/>
      </c>
      <c r="F383" t="str">
        <f>IF($A383&gt;$A$1,"",VLOOKUP($A383,'NHL PBP'!$A:$L,12,FALSE))</f>
        <v>NSH won Neu. Zone - NSH #12 FISHER vs DET #41 GLENDENING</v>
      </c>
      <c r="J383">
        <f>IF(EXACT('Entry data'!$C$3,"Road"),IF(ISBLANK(VLOOKUP(A383,'NHL PBP'!A:AH,21,FALSE)),3,IF(ISBLANK(VLOOKUP(A383,'NHL PBP'!A:AH,23,FALSE)),4,5)),IF(ISBLANK(VLOOKUP(A383,'NHL PBP'!A:AH,32,FALSE)),3,IF(ISBLANK(VLOOKUP(A383,'NHL PBP'!A:AH,34,FALSE)),4,5)))</f>
        <v>5</v>
      </c>
      <c r="K383">
        <f>IF(EXACT('Entry data'!$C$3,"Home"),IF(ISBLANK(VLOOKUP(A383,'NHL PBP'!A:AH,21,FALSE)),3,IF(ISBLANK(VLOOKUP(A383,'NHL PBP'!A:AH,23,FALSE)),4,5)),IF(ISBLANK(VLOOKUP(A383,'NHL PBP'!A:AH,32,FALSE)),3,IF(ISBLANK(VLOOKUP(A383,'NHL PBP'!A:AH,34,FALSE)),4,5)))</f>
        <v>5</v>
      </c>
      <c r="L383">
        <f>IF(OR(EXACT(D383,"C"),EXACT(D383,"P"),EXACT(D383,"D"),EXACT(D383,"T"),EXACT(D383,"X"),EXACT(E383,"DZF"),EXACT(E383,"OZF"),EXACT(D383,"N"),EXACT(D383,"F")),1,0)</f>
        <v>0</v>
      </c>
      <c r="M383" t="str">
        <f t="shared" si="20"/>
        <v/>
      </c>
      <c r="N383">
        <f t="shared" si="21"/>
        <v>0</v>
      </c>
      <c r="O383">
        <f t="shared" si="22"/>
        <v>0</v>
      </c>
      <c r="P383" t="str">
        <f t="shared" si="23"/>
        <v/>
      </c>
    </row>
    <row r="384" spans="1:16" x14ac:dyDescent="0.25">
      <c r="A384">
        <v>134</v>
      </c>
      <c r="B384">
        <f>IF(ISBLANK(VLOOKUP($A384,'Entry data'!$A:$K,2,FALSE)),"",VLOOKUP($A384,'Entry data'!$A:$K,2,FALSE))</f>
        <v>3</v>
      </c>
      <c r="C384">
        <f>IF(ISBLANK(VLOOKUP($A384,'Entry data'!$A:$K,3,FALSE)),"",VLOOKUP($A384,'Entry data'!$A:$K,3,FALSE))</f>
        <v>0.35347222222222219</v>
      </c>
      <c r="D384" t="str">
        <f>IF(ISBLANK(VLOOKUP($A384,'Entry data'!$A:$K,4,FALSE)),"",VLOOKUP($A384,'Entry data'!$A:$K,4,FALSE))</f>
        <v>D</v>
      </c>
      <c r="E384" t="str">
        <f>IF(ISBLANK(VLOOKUP($A384,'Entry data'!$A:$K,5,FALSE)),"",VLOOKUP($A384,'Entry data'!$A:$K,5,FALSE))</f>
        <v>38NSH</v>
      </c>
      <c r="F384" t="str">
        <f>IF(ISBLANK(VLOOKUP($A384,'Entry data'!$A:$K,6,FALSE)),"",VLOOKUP($A384,'Entry data'!$A:$K,6,FALSE))</f>
        <v>65DET</v>
      </c>
      <c r="G384" t="str">
        <f>IF(ISBLANK(VLOOKUP($A384,'Entry data'!$A:$K,7,FALSE)),"",VLOOKUP($A384,'Entry data'!$A:$K,7,FALSE))</f>
        <v/>
      </c>
      <c r="H384" t="str">
        <f>IF(ISBLANK(VLOOKUP($A384,'Entry data'!$A:$K,8,FALSE)),"",VLOOKUP($A384,'Entry data'!$A:$K,8,FALSE))</f>
        <v>R</v>
      </c>
      <c r="I384" t="str">
        <f>IF(ISBLANK(VLOOKUP($A384,'Entry data'!$A:$K,9,FALSE)),"",VLOOKUP($A384,'Entry data'!$A:$K,9,FALSE))</f>
        <v>N</v>
      </c>
      <c r="J384">
        <f>IF(ISBLANK(VLOOKUP($A384,'Entry data'!$A:$K,10,FALSE)),"",VLOOKUP($A384,'Entry data'!$A:$K,10,FALSE))</f>
        <v>5</v>
      </c>
      <c r="K384">
        <f>IF(ISBLANK(VLOOKUP($A384,'Entry data'!$A:$K,11,FALSE)),"",VLOOKUP($A384,'Entry data'!$A:$K,11,FALSE))</f>
        <v>5</v>
      </c>
      <c r="L384">
        <f>IF(OR(EXACT(D384,"C"),EXACT(D384,"P"),EXACT(D384,"D"),EXACT(D384,"T"),EXACT(D384,"X"),EXACT(E384,"DZF"),EXACT(E384,"OZF"),EXACT(D384,"N"),EXACT(D384,"F")),1,0)</f>
        <v>1</v>
      </c>
      <c r="M384" t="str">
        <f t="shared" si="20"/>
        <v/>
      </c>
      <c r="N384">
        <f t="shared" si="21"/>
        <v>0</v>
      </c>
      <c r="O384">
        <f t="shared" si="22"/>
        <v>0</v>
      </c>
      <c r="P384" t="str">
        <f t="shared" si="23"/>
        <v/>
      </c>
    </row>
    <row r="385" spans="1:16" x14ac:dyDescent="0.25">
      <c r="A385">
        <v>250</v>
      </c>
      <c r="B385">
        <f>IF($A385&gt;$A$1,"",VLOOKUP($A385,'NHL PBP'!$A:$L,8,FALSE))</f>
        <v>3</v>
      </c>
      <c r="C385">
        <f>IF($A385&gt;$A$1,"",IF(B385&gt;3,5/24,20/24)-VLOOKUP($A385,'NHL PBP'!$A:$L,10,FALSE))</f>
        <v>0.34930555555555559</v>
      </c>
      <c r="D385" t="str">
        <f>IF($A385&gt;$A$1,"",VLOOKUP($A385,'NHL PBP'!$A:$L,11,FALSE))</f>
        <v>HIT</v>
      </c>
      <c r="E385" t="str">
        <f>IF(AND(EXACT(D385,"FAC"),NOT(EXACT(MID(F385,9,3),"Neu"))),IF(OR(AND(EXACT(MID(F385,9,3),"Off"),EXACT(LEFT(F385,3),UPPER('Entry data'!$C$2))),AND(EXACT(MID(F385,9,3),"Def"),NOT(EXACT(LEFT(F385,3),UPPER('Entry data'!$C$2))))),"DZF","OZF"),"")</f>
        <v/>
      </c>
      <c r="F385" t="str">
        <f>IF($A385&gt;$A$1,"",VLOOKUP($A385,'NHL PBP'!$A:$L,12,FALSE))</f>
        <v>NSH #12 FISHER HIT DET #41 GLENDENING, Off. Zone</v>
      </c>
      <c r="J385">
        <f>IF(EXACT('Entry data'!$C$3,"Road"),IF(ISBLANK(VLOOKUP(A385,'NHL PBP'!A:AH,21,FALSE)),3,IF(ISBLANK(VLOOKUP(A385,'NHL PBP'!A:AH,23,FALSE)),4,5)),IF(ISBLANK(VLOOKUP(A385,'NHL PBP'!A:AH,32,FALSE)),3,IF(ISBLANK(VLOOKUP(A385,'NHL PBP'!A:AH,34,FALSE)),4,5)))</f>
        <v>5</v>
      </c>
      <c r="K385">
        <f>IF(EXACT('Entry data'!$C$3,"Home"),IF(ISBLANK(VLOOKUP(A385,'NHL PBP'!A:AH,21,FALSE)),3,IF(ISBLANK(VLOOKUP(A385,'NHL PBP'!A:AH,23,FALSE)),4,5)),IF(ISBLANK(VLOOKUP(A385,'NHL PBP'!A:AH,32,FALSE)),3,IF(ISBLANK(VLOOKUP(A385,'NHL PBP'!A:AH,34,FALSE)),4,5)))</f>
        <v>5</v>
      </c>
      <c r="L385">
        <f>IF(OR(EXACT(D385,"C"),EXACT(D385,"P"),EXACT(D385,"D"),EXACT(D385,"T"),EXACT(D385,"X"),EXACT(E385,"DZF"),EXACT(E385,"OZF"),EXACT(D385,"N"),EXACT(D385,"F")),1,0)</f>
        <v>0</v>
      </c>
      <c r="M385" t="str">
        <f t="shared" si="20"/>
        <v/>
      </c>
      <c r="N385">
        <f t="shared" si="21"/>
        <v>0</v>
      </c>
      <c r="O385">
        <f t="shared" si="22"/>
        <v>0</v>
      </c>
      <c r="P385" t="str">
        <f t="shared" si="23"/>
        <v/>
      </c>
    </row>
    <row r="386" spans="1:16" x14ac:dyDescent="0.25">
      <c r="A386">
        <v>251</v>
      </c>
      <c r="B386">
        <f>IF($A386&gt;$A$1,"",VLOOKUP($A386,'NHL PBP'!$A:$L,8,FALSE))</f>
        <v>3</v>
      </c>
      <c r="C386">
        <f>IF($A386&gt;$A$1,"",IF(B386&gt;3,5/24,20/24)-VLOOKUP($A386,'NHL PBP'!$A:$L,10,FALSE))</f>
        <v>0.3444444444444445</v>
      </c>
      <c r="D386" t="str">
        <f>IF($A386&gt;$A$1,"",VLOOKUP($A386,'NHL PBP'!$A:$L,11,FALSE))</f>
        <v>HIT</v>
      </c>
      <c r="E386" t="str">
        <f>IF(AND(EXACT(D386,"FAC"),NOT(EXACT(MID(F386,9,3),"Neu"))),IF(OR(AND(EXACT(MID(F386,9,3),"Off"),EXACT(LEFT(F386,3),UPPER('Entry data'!$C$2))),AND(EXACT(MID(F386,9,3),"Def"),NOT(EXACT(LEFT(F386,3),UPPER('Entry data'!$C$2))))),"DZF","OZF"),"")</f>
        <v/>
      </c>
      <c r="F386" t="str">
        <f>IF($A386&gt;$A$1,"",VLOOKUP($A386,'NHL PBP'!$A:$L,12,FALSE))</f>
        <v>DET #65 DEKEYSER HIT NSH #76 SUBBAN, Def. Zone</v>
      </c>
      <c r="J386">
        <f>IF(EXACT('Entry data'!$C$3,"Road"),IF(ISBLANK(VLOOKUP(A386,'NHL PBP'!A:AH,21,FALSE)),3,IF(ISBLANK(VLOOKUP(A386,'NHL PBP'!A:AH,23,FALSE)),4,5)),IF(ISBLANK(VLOOKUP(A386,'NHL PBP'!A:AH,32,FALSE)),3,IF(ISBLANK(VLOOKUP(A386,'NHL PBP'!A:AH,34,FALSE)),4,5)))</f>
        <v>5</v>
      </c>
      <c r="K386">
        <f>IF(EXACT('Entry data'!$C$3,"Home"),IF(ISBLANK(VLOOKUP(A386,'NHL PBP'!A:AH,21,FALSE)),3,IF(ISBLANK(VLOOKUP(A386,'NHL PBP'!A:AH,23,FALSE)),4,5)),IF(ISBLANK(VLOOKUP(A386,'NHL PBP'!A:AH,32,FALSE)),3,IF(ISBLANK(VLOOKUP(A386,'NHL PBP'!A:AH,34,FALSE)),4,5)))</f>
        <v>5</v>
      </c>
      <c r="L386">
        <f>IF(OR(EXACT(D386,"C"),EXACT(D386,"P"),EXACT(D386,"D"),EXACT(D386,"T"),EXACT(D386,"X"),EXACT(E386,"DZF"),EXACT(E386,"OZF"),EXACT(D386,"N"),EXACT(D386,"F")),1,0)</f>
        <v>0</v>
      </c>
      <c r="M386" t="str">
        <f t="shared" ref="M386:M449" si="24">IF(OR(EXACT(D386,"C"),EXACT(D386,"P")),E386,"")</f>
        <v/>
      </c>
      <c r="N386">
        <f t="shared" ref="N386:N449" si="25">IF(OR(EXACT(D386,"GOAL"),EXACT(D386,"SHOT"),EXACT(D386,"MISS")),1,0)+IF(L387=0,N387,0)</f>
        <v>0</v>
      </c>
      <c r="O386">
        <f t="shared" ref="O386:O449" si="26">IF(EXACT(D386,"GOAL"),1,0)+IF(L387=0,O387,0)</f>
        <v>0</v>
      </c>
      <c r="P386" t="str">
        <f t="shared" si="23"/>
        <v/>
      </c>
    </row>
    <row r="387" spans="1:16" x14ac:dyDescent="0.25">
      <c r="A387">
        <v>135</v>
      </c>
      <c r="B387">
        <f>IF(ISBLANK(VLOOKUP($A387,'Entry data'!$A:$K,2,FALSE)),"",VLOOKUP($A387,'Entry data'!$A:$K,2,FALSE))</f>
        <v>3</v>
      </c>
      <c r="C387">
        <f>IF(ISBLANK(VLOOKUP($A387,'Entry data'!$A:$K,3,FALSE)),"",VLOOKUP($A387,'Entry data'!$A:$K,3,FALSE))</f>
        <v>0.33819444444444446</v>
      </c>
      <c r="D387" t="str">
        <f>IF(ISBLANK(VLOOKUP($A387,'Entry data'!$A:$K,4,FALSE)),"",VLOOKUP($A387,'Entry data'!$A:$K,4,FALSE))</f>
        <v>F</v>
      </c>
      <c r="E387" t="str">
        <f>IF(ISBLANK(VLOOKUP($A387,'Entry data'!$A:$K,5,FALSE)),"",VLOOKUP($A387,'Entry data'!$A:$K,5,FALSE))</f>
        <v>76NSH</v>
      </c>
      <c r="F387" t="str">
        <f>IF(ISBLANK(VLOOKUP($A387,'Entry data'!$A:$K,6,FALSE)),"",VLOOKUP($A387,'Entry data'!$A:$K,6,FALSE))</f>
        <v>40DET</v>
      </c>
      <c r="G387" t="str">
        <f>IF(ISBLANK(VLOOKUP($A387,'Entry data'!$A:$K,7,FALSE)),"",VLOOKUP($A387,'Entry data'!$A:$K,7,FALSE))</f>
        <v/>
      </c>
      <c r="H387" t="str">
        <f>IF(ISBLANK(VLOOKUP($A387,'Entry data'!$A:$K,8,FALSE)),"",VLOOKUP($A387,'Entry data'!$A:$K,8,FALSE))</f>
        <v>C</v>
      </c>
      <c r="I387" t="str">
        <f>IF(ISBLANK(VLOOKUP($A387,'Entry data'!$A:$K,9,FALSE)),"",VLOOKUP($A387,'Entry data'!$A:$K,9,FALSE))</f>
        <v>N</v>
      </c>
      <c r="J387">
        <f>IF(ISBLANK(VLOOKUP($A387,'Entry data'!$A:$K,10,FALSE)),"",VLOOKUP($A387,'Entry data'!$A:$K,10,FALSE))</f>
        <v>5</v>
      </c>
      <c r="K387">
        <f>IF(ISBLANK(VLOOKUP($A387,'Entry data'!$A:$K,11,FALSE)),"",VLOOKUP($A387,'Entry data'!$A:$K,11,FALSE))</f>
        <v>5</v>
      </c>
      <c r="L387">
        <f>IF(OR(EXACT(D387,"C"),EXACT(D387,"P"),EXACT(D387,"D"),EXACT(D387,"T"),EXACT(D387,"X"),EXACT(E387,"DZF"),EXACT(E387,"OZF"),EXACT(D387,"N"),EXACT(D387,"F")),1,0)</f>
        <v>1</v>
      </c>
      <c r="M387" t="str">
        <f t="shared" si="24"/>
        <v/>
      </c>
      <c r="N387">
        <f t="shared" si="25"/>
        <v>0</v>
      </c>
      <c r="O387">
        <f t="shared" si="26"/>
        <v>0</v>
      </c>
      <c r="P387" t="str">
        <f t="shared" ref="P387:P450" si="27">IF(EXACT(D387,"F"),E387,"")</f>
        <v>76NSH</v>
      </c>
    </row>
    <row r="388" spans="1:16" x14ac:dyDescent="0.25">
      <c r="A388">
        <v>136</v>
      </c>
      <c r="B388">
        <f>IF(ISBLANK(VLOOKUP($A388,'Entry data'!$A:$K,2,FALSE)),"",VLOOKUP($A388,'Entry data'!$A:$K,2,FALSE))</f>
        <v>3</v>
      </c>
      <c r="C388">
        <f>IF(ISBLANK(VLOOKUP($A388,'Entry data'!$A:$K,3,FALSE)),"",VLOOKUP($A388,'Entry data'!$A:$K,3,FALSE))</f>
        <v>0.33055555555555555</v>
      </c>
      <c r="D388" t="str">
        <f>IF(ISBLANK(VLOOKUP($A388,'Entry data'!$A:$K,4,FALSE)),"",VLOOKUP($A388,'Entry data'!$A:$K,4,FALSE))</f>
        <v>C</v>
      </c>
      <c r="E388" t="str">
        <f>IF(ISBLANK(VLOOKUP($A388,'Entry data'!$A:$K,5,FALSE)),"",VLOOKUP($A388,'Entry data'!$A:$K,5,FALSE))</f>
        <v>38NSH</v>
      </c>
      <c r="F388" t="str">
        <f>IF(ISBLANK(VLOOKUP($A388,'Entry data'!$A:$K,6,FALSE)),"",VLOOKUP($A388,'Entry data'!$A:$K,6,FALSE))</f>
        <v>N</v>
      </c>
      <c r="G388" t="str">
        <f>IF(ISBLANK(VLOOKUP($A388,'Entry data'!$A:$K,7,FALSE)),"",VLOOKUP($A388,'Entry data'!$A:$K,7,FALSE))</f>
        <v>N</v>
      </c>
      <c r="H388" t="str">
        <f>IF(ISBLANK(VLOOKUP($A388,'Entry data'!$A:$K,8,FALSE)),"",VLOOKUP($A388,'Entry data'!$A:$K,8,FALSE))</f>
        <v>R</v>
      </c>
      <c r="I388" t="str">
        <f>IF(ISBLANK(VLOOKUP($A388,'Entry data'!$A:$K,9,FALSE)),"",VLOOKUP($A388,'Entry data'!$A:$K,9,FALSE))</f>
        <v>N</v>
      </c>
      <c r="J388">
        <f>IF(ISBLANK(VLOOKUP($A388,'Entry data'!$A:$K,10,FALSE)),"",VLOOKUP($A388,'Entry data'!$A:$K,10,FALSE))</f>
        <v>5</v>
      </c>
      <c r="K388">
        <f>IF(ISBLANK(VLOOKUP($A388,'Entry data'!$A:$K,11,FALSE)),"",VLOOKUP($A388,'Entry data'!$A:$K,11,FALSE))</f>
        <v>5</v>
      </c>
      <c r="L388">
        <f>IF(OR(EXACT(D388,"C"),EXACT(D388,"P"),EXACT(D388,"D"),EXACT(D388,"T"),EXACT(D388,"X"),EXACT(E388,"DZF"),EXACT(E388,"OZF"),EXACT(D388,"N"),EXACT(D388,"F")),1,0)</f>
        <v>1</v>
      </c>
      <c r="M388" t="str">
        <f t="shared" si="24"/>
        <v>38NSH</v>
      </c>
      <c r="N388">
        <f t="shared" si="25"/>
        <v>1</v>
      </c>
      <c r="O388">
        <f t="shared" si="26"/>
        <v>0</v>
      </c>
      <c r="P388" t="str">
        <f t="shared" si="27"/>
        <v/>
      </c>
    </row>
    <row r="389" spans="1:16" x14ac:dyDescent="0.25">
      <c r="A389">
        <v>252</v>
      </c>
      <c r="B389">
        <f>IF($A389&gt;$A$1,"",VLOOKUP($A389,'NHL PBP'!$A:$L,8,FALSE))</f>
        <v>3</v>
      </c>
      <c r="C389">
        <f>IF($A389&gt;$A$1,"",IF(B389&gt;3,5/24,20/24)-VLOOKUP($A389,'NHL PBP'!$A:$L,10,FALSE))</f>
        <v>0.32916666666666672</v>
      </c>
      <c r="D389" t="str">
        <f>IF($A389&gt;$A$1,"",VLOOKUP($A389,'NHL PBP'!$A:$L,11,FALSE))</f>
        <v>SHOT</v>
      </c>
      <c r="E389" t="str">
        <f>IF(AND(EXACT(D389,"FAC"),NOT(EXACT(MID(F389,9,3),"Neu"))),IF(OR(AND(EXACT(MID(F389,9,3),"Off"),EXACT(LEFT(F389,3),UPPER('Entry data'!$C$2))),AND(EXACT(MID(F389,9,3),"Def"),NOT(EXACT(LEFT(F389,3),UPPER('Entry data'!$C$2))))),"DZF","OZF"),"")</f>
        <v/>
      </c>
      <c r="F389" t="str">
        <f>IF($A389&gt;$A$1,"",VLOOKUP($A389,'NHL PBP'!$A:$L,12,FALSE))</f>
        <v>NSH ONGOAL - #38 ARVIDSSON, Slap, Off. Zone, 41 ft.</v>
      </c>
      <c r="J389">
        <f>IF(EXACT('Entry data'!$C$3,"Road"),IF(ISBLANK(VLOOKUP(A389,'NHL PBP'!A:AH,21,FALSE)),3,IF(ISBLANK(VLOOKUP(A389,'NHL PBP'!A:AH,23,FALSE)),4,5)),IF(ISBLANK(VLOOKUP(A389,'NHL PBP'!A:AH,32,FALSE)),3,IF(ISBLANK(VLOOKUP(A389,'NHL PBP'!A:AH,34,FALSE)),4,5)))</f>
        <v>5</v>
      </c>
      <c r="K389">
        <f>IF(EXACT('Entry data'!$C$3,"Home"),IF(ISBLANK(VLOOKUP(A389,'NHL PBP'!A:AH,21,FALSE)),3,IF(ISBLANK(VLOOKUP(A389,'NHL PBP'!A:AH,23,FALSE)),4,5)),IF(ISBLANK(VLOOKUP(A389,'NHL PBP'!A:AH,32,FALSE)),3,IF(ISBLANK(VLOOKUP(A389,'NHL PBP'!A:AH,34,FALSE)),4,5)))</f>
        <v>5</v>
      </c>
      <c r="L389">
        <f>IF(OR(EXACT(D389,"C"),EXACT(D389,"P"),EXACT(D389,"D"),EXACT(D389,"T"),EXACT(D389,"X"),EXACT(E389,"DZF"),EXACT(E389,"OZF"),EXACT(D389,"N"),EXACT(D389,"F")),1,0)</f>
        <v>0</v>
      </c>
      <c r="M389" t="str">
        <f t="shared" si="24"/>
        <v/>
      </c>
      <c r="N389">
        <f t="shared" si="25"/>
        <v>1</v>
      </c>
      <c r="O389">
        <f t="shared" si="26"/>
        <v>0</v>
      </c>
      <c r="P389" t="str">
        <f t="shared" si="27"/>
        <v/>
      </c>
    </row>
    <row r="390" spans="1:16" x14ac:dyDescent="0.25">
      <c r="A390">
        <v>253</v>
      </c>
      <c r="B390">
        <f>IF($A390&gt;$A$1,"",VLOOKUP($A390,'NHL PBP'!$A:$L,8,FALSE))</f>
        <v>3</v>
      </c>
      <c r="C390">
        <f>IF($A390&gt;$A$1,"",IF(B390&gt;3,5/24,20/24)-VLOOKUP($A390,'NHL PBP'!$A:$L,10,FALSE))</f>
        <v>0.32361111111111118</v>
      </c>
      <c r="D390" t="str">
        <f>IF($A390&gt;$A$1,"",VLOOKUP($A390,'NHL PBP'!$A:$L,11,FALSE))</f>
        <v>STOP</v>
      </c>
      <c r="E390" t="str">
        <f>IF(AND(EXACT(D390,"FAC"),NOT(EXACT(MID(F390,9,3),"Neu"))),IF(OR(AND(EXACT(MID(F390,9,3),"Off"),EXACT(LEFT(F390,3),UPPER('Entry data'!$C$2))),AND(EXACT(MID(F390,9,3),"Def"),NOT(EXACT(LEFT(F390,3),UPPER('Entry data'!$C$2))))),"DZF","OZF"),"")</f>
        <v/>
      </c>
      <c r="F390" t="str">
        <f>IF($A390&gt;$A$1,"",VLOOKUP($A390,'NHL PBP'!$A:$L,12,FALSE))</f>
        <v>HIGH STICK,TV TIMEOUT</v>
      </c>
      <c r="J390">
        <f>IF(EXACT('Entry data'!$C$3,"Road"),IF(ISBLANK(VLOOKUP(A390,'NHL PBP'!A:AH,21,FALSE)),3,IF(ISBLANK(VLOOKUP(A390,'NHL PBP'!A:AH,23,FALSE)),4,5)),IF(ISBLANK(VLOOKUP(A390,'NHL PBP'!A:AH,32,FALSE)),3,IF(ISBLANK(VLOOKUP(A390,'NHL PBP'!A:AH,34,FALSE)),4,5)))</f>
        <v>5</v>
      </c>
      <c r="K390">
        <f>IF(EXACT('Entry data'!$C$3,"Home"),IF(ISBLANK(VLOOKUP(A390,'NHL PBP'!A:AH,21,FALSE)),3,IF(ISBLANK(VLOOKUP(A390,'NHL PBP'!A:AH,23,FALSE)),4,5)),IF(ISBLANK(VLOOKUP(A390,'NHL PBP'!A:AH,32,FALSE)),3,IF(ISBLANK(VLOOKUP(A390,'NHL PBP'!A:AH,34,FALSE)),4,5)))</f>
        <v>5</v>
      </c>
      <c r="L390">
        <f>IF(OR(EXACT(D390,"C"),EXACT(D390,"P"),EXACT(D390,"D"),EXACT(D390,"T"),EXACT(D390,"X"),EXACT(E390,"DZF"),EXACT(E390,"OZF"),EXACT(D390,"N"),EXACT(D390,"F")),1,0)</f>
        <v>0</v>
      </c>
      <c r="M390" t="str">
        <f t="shared" si="24"/>
        <v/>
      </c>
      <c r="N390">
        <f t="shared" si="25"/>
        <v>0</v>
      </c>
      <c r="O390">
        <f t="shared" si="26"/>
        <v>0</v>
      </c>
      <c r="P390" t="str">
        <f t="shared" si="27"/>
        <v/>
      </c>
    </row>
    <row r="391" spans="1:16" x14ac:dyDescent="0.25">
      <c r="A391">
        <v>254</v>
      </c>
      <c r="B391">
        <f>IF($A391&gt;$A$1,"",VLOOKUP($A391,'NHL PBP'!$A:$L,8,FALSE))</f>
        <v>3</v>
      </c>
      <c r="C391">
        <f>IF($A391&gt;$A$1,"",IF(B391&gt;3,5/24,20/24)-VLOOKUP($A391,'NHL PBP'!$A:$L,10,FALSE))</f>
        <v>0.32361111111111118</v>
      </c>
      <c r="D391" t="str">
        <f>IF($A391&gt;$A$1,"",VLOOKUP($A391,'NHL PBP'!$A:$L,11,FALSE))</f>
        <v>FAC</v>
      </c>
      <c r="E391" t="str">
        <f>IF(AND(EXACT(D391,"FAC"),NOT(EXACT(MID(F391,9,3),"Neu"))),IF(OR(AND(EXACT(MID(F391,9,3),"Off"),EXACT(LEFT(F391,3),UPPER('Entry data'!$C$2))),AND(EXACT(MID(F391,9,3),"Def"),NOT(EXACT(LEFT(F391,3),UPPER('Entry data'!$C$2))))),"DZF","OZF"),"")</f>
        <v/>
      </c>
      <c r="F391" t="str">
        <f>IF($A391&gt;$A$1,"",VLOOKUP($A391,'NHL PBP'!$A:$L,12,FALSE))</f>
        <v>NSH won Neu. Zone - NSH #19 JARNKROK vs DET #15 SHEAHAN</v>
      </c>
      <c r="J391">
        <f>IF(EXACT('Entry data'!$C$3,"Road"),IF(ISBLANK(VLOOKUP(A391,'NHL PBP'!A:AH,21,FALSE)),3,IF(ISBLANK(VLOOKUP(A391,'NHL PBP'!A:AH,23,FALSE)),4,5)),IF(ISBLANK(VLOOKUP(A391,'NHL PBP'!A:AH,32,FALSE)),3,IF(ISBLANK(VLOOKUP(A391,'NHL PBP'!A:AH,34,FALSE)),4,5)))</f>
        <v>5</v>
      </c>
      <c r="K391">
        <f>IF(EXACT('Entry data'!$C$3,"Home"),IF(ISBLANK(VLOOKUP(A391,'NHL PBP'!A:AH,21,FALSE)),3,IF(ISBLANK(VLOOKUP(A391,'NHL PBP'!A:AH,23,FALSE)),4,5)),IF(ISBLANK(VLOOKUP(A391,'NHL PBP'!A:AH,32,FALSE)),3,IF(ISBLANK(VLOOKUP(A391,'NHL PBP'!A:AH,34,FALSE)),4,5)))</f>
        <v>5</v>
      </c>
      <c r="L391">
        <f>IF(OR(EXACT(D391,"C"),EXACT(D391,"P"),EXACT(D391,"D"),EXACT(D391,"T"),EXACT(D391,"X"),EXACT(E391,"DZF"),EXACT(E391,"OZF"),EXACT(D391,"N"),EXACT(D391,"F")),1,0)</f>
        <v>0</v>
      </c>
      <c r="M391" t="str">
        <f t="shared" si="24"/>
        <v/>
      </c>
      <c r="N391">
        <f t="shared" si="25"/>
        <v>0</v>
      </c>
      <c r="O391">
        <f t="shared" si="26"/>
        <v>0</v>
      </c>
      <c r="P391" t="str">
        <f t="shared" si="27"/>
        <v/>
      </c>
    </row>
    <row r="392" spans="1:16" x14ac:dyDescent="0.25">
      <c r="A392">
        <v>137</v>
      </c>
      <c r="B392">
        <f>IF(ISBLANK(VLOOKUP($A392,'Entry data'!$A:$K,2,FALSE)),"",VLOOKUP($A392,'Entry data'!$A:$K,2,FALSE))</f>
        <v>3</v>
      </c>
      <c r="C392">
        <f>IF(ISBLANK(VLOOKUP($A392,'Entry data'!$A:$K,3,FALSE)),"",VLOOKUP($A392,'Entry data'!$A:$K,3,FALSE))</f>
        <v>0.32083333333333336</v>
      </c>
      <c r="D392" t="str">
        <f>IF(ISBLANK(VLOOKUP($A392,'Entry data'!$A:$K,4,FALSE)),"",VLOOKUP($A392,'Entry data'!$A:$K,4,FALSE))</f>
        <v>D</v>
      </c>
      <c r="E392" t="str">
        <f>IF(ISBLANK(VLOOKUP($A392,'Entry data'!$A:$K,5,FALSE)),"",VLOOKUP($A392,'Entry data'!$A:$K,5,FALSE))</f>
        <v>19NSH</v>
      </c>
      <c r="F392" t="str">
        <f>IF(ISBLANK(VLOOKUP($A392,'Entry data'!$A:$K,6,FALSE)),"",VLOOKUP($A392,'Entry data'!$A:$K,6,FALSE))</f>
        <v>15DET</v>
      </c>
      <c r="G392" t="str">
        <f>IF(ISBLANK(VLOOKUP($A392,'Entry data'!$A:$K,7,FALSE)),"",VLOOKUP($A392,'Entry data'!$A:$K,7,FALSE))</f>
        <v/>
      </c>
      <c r="H392" t="str">
        <f>IF(ISBLANK(VLOOKUP($A392,'Entry data'!$A:$K,8,FALSE)),"",VLOOKUP($A392,'Entry data'!$A:$K,8,FALSE))</f>
        <v>L</v>
      </c>
      <c r="I392" t="str">
        <f>IF(ISBLANK(VLOOKUP($A392,'Entry data'!$A:$K,9,FALSE)),"",VLOOKUP($A392,'Entry data'!$A:$K,9,FALSE))</f>
        <v>N</v>
      </c>
      <c r="J392">
        <f>IF(ISBLANK(VLOOKUP($A392,'Entry data'!$A:$K,10,FALSE)),"",VLOOKUP($A392,'Entry data'!$A:$K,10,FALSE))</f>
        <v>5</v>
      </c>
      <c r="K392">
        <f>IF(ISBLANK(VLOOKUP($A392,'Entry data'!$A:$K,11,FALSE)),"",VLOOKUP($A392,'Entry data'!$A:$K,11,FALSE))</f>
        <v>5</v>
      </c>
      <c r="L392">
        <f>IF(OR(EXACT(D392,"C"),EXACT(D392,"P"),EXACT(D392,"D"),EXACT(D392,"T"),EXACT(D392,"X"),EXACT(E392,"DZF"),EXACT(E392,"OZF"),EXACT(D392,"N"),EXACT(D392,"F")),1,0)</f>
        <v>1</v>
      </c>
      <c r="M392" t="str">
        <f t="shared" si="24"/>
        <v/>
      </c>
      <c r="N392">
        <f t="shared" si="25"/>
        <v>1</v>
      </c>
      <c r="O392">
        <f t="shared" si="26"/>
        <v>0</v>
      </c>
      <c r="P392" t="str">
        <f t="shared" si="27"/>
        <v/>
      </c>
    </row>
    <row r="393" spans="1:16" x14ac:dyDescent="0.25">
      <c r="A393">
        <v>255</v>
      </c>
      <c r="B393">
        <f>IF($A393&gt;$A$1,"",VLOOKUP($A393,'NHL PBP'!$A:$L,8,FALSE))</f>
        <v>3</v>
      </c>
      <c r="C393">
        <f>IF($A393&gt;$A$1,"",IF(B393&gt;3,5/24,20/24)-VLOOKUP($A393,'NHL PBP'!$A:$L,10,FALSE))</f>
        <v>0.31527777777777777</v>
      </c>
      <c r="D393" t="str">
        <f>IF($A393&gt;$A$1,"",VLOOKUP($A393,'NHL PBP'!$A:$L,11,FALSE))</f>
        <v>GIVE</v>
      </c>
      <c r="E393" t="str">
        <f>IF(AND(EXACT(D393,"FAC"),NOT(EXACT(MID(F393,9,3),"Neu"))),IF(OR(AND(EXACT(MID(F393,9,3),"Off"),EXACT(LEFT(F393,3),UPPER('Entry data'!$C$2))),AND(EXACT(MID(F393,9,3),"Def"),NOT(EXACT(LEFT(F393,3),UPPER('Entry data'!$C$2))))),"DZF","OZF"),"")</f>
        <v/>
      </c>
      <c r="F393" t="str">
        <f>IF($A393&gt;$A$1,"",VLOOKUP($A393,'NHL PBP'!$A:$L,12,FALSE))</f>
        <v>DET GIVEAWAY - #53 MARCHENKO, Def. Zone</v>
      </c>
      <c r="J393">
        <f>IF(EXACT('Entry data'!$C$3,"Road"),IF(ISBLANK(VLOOKUP(A393,'NHL PBP'!A:AH,21,FALSE)),3,IF(ISBLANK(VLOOKUP(A393,'NHL PBP'!A:AH,23,FALSE)),4,5)),IF(ISBLANK(VLOOKUP(A393,'NHL PBP'!A:AH,32,FALSE)),3,IF(ISBLANK(VLOOKUP(A393,'NHL PBP'!A:AH,34,FALSE)),4,5)))</f>
        <v>5</v>
      </c>
      <c r="K393">
        <f>IF(EXACT('Entry data'!$C$3,"Home"),IF(ISBLANK(VLOOKUP(A393,'NHL PBP'!A:AH,21,FALSE)),3,IF(ISBLANK(VLOOKUP(A393,'NHL PBP'!A:AH,23,FALSE)),4,5)),IF(ISBLANK(VLOOKUP(A393,'NHL PBP'!A:AH,32,FALSE)),3,IF(ISBLANK(VLOOKUP(A393,'NHL PBP'!A:AH,34,FALSE)),4,5)))</f>
        <v>5</v>
      </c>
      <c r="L393">
        <f>IF(OR(EXACT(D393,"C"),EXACT(D393,"P"),EXACT(D393,"D"),EXACT(D393,"T"),EXACT(D393,"X"),EXACT(E393,"DZF"),EXACT(E393,"OZF"),EXACT(D393,"N"),EXACT(D393,"F")),1,0)</f>
        <v>0</v>
      </c>
      <c r="M393" t="str">
        <f t="shared" si="24"/>
        <v/>
      </c>
      <c r="N393">
        <f t="shared" si="25"/>
        <v>1</v>
      </c>
      <c r="O393">
        <f t="shared" si="26"/>
        <v>0</v>
      </c>
      <c r="P393" t="str">
        <f t="shared" si="27"/>
        <v/>
      </c>
    </row>
    <row r="394" spans="1:16" x14ac:dyDescent="0.25">
      <c r="A394">
        <v>256</v>
      </c>
      <c r="B394">
        <f>IF($A394&gt;$A$1,"",VLOOKUP($A394,'NHL PBP'!$A:$L,8,FALSE))</f>
        <v>3</v>
      </c>
      <c r="C394">
        <f>IF($A394&gt;$A$1,"",IF(B394&gt;3,5/24,20/24)-VLOOKUP($A394,'NHL PBP'!$A:$L,10,FALSE))</f>
        <v>0.31527777777777777</v>
      </c>
      <c r="D394" t="str">
        <f>IF($A394&gt;$A$1,"",VLOOKUP($A394,'NHL PBP'!$A:$L,11,FALSE))</f>
        <v>SHOT</v>
      </c>
      <c r="E394" t="str">
        <f>IF(AND(EXACT(D394,"FAC"),NOT(EXACT(MID(F394,9,3),"Neu"))),IF(OR(AND(EXACT(MID(F394,9,3),"Off"),EXACT(LEFT(F394,3),UPPER('Entry data'!$C$2))),AND(EXACT(MID(F394,9,3),"Def"),NOT(EXACT(LEFT(F394,3),UPPER('Entry data'!$C$2))))),"DZF","OZF"),"")</f>
        <v/>
      </c>
      <c r="F394" t="str">
        <f>IF($A394&gt;$A$1,"",VLOOKUP($A394,'NHL PBP'!$A:$L,12,FALSE))</f>
        <v>NSH ONGOAL - #18 NEAL, Wrist, Off. Zone, 5 ft.</v>
      </c>
      <c r="J394">
        <f>IF(EXACT('Entry data'!$C$3,"Road"),IF(ISBLANK(VLOOKUP(A394,'NHL PBP'!A:AH,21,FALSE)),3,IF(ISBLANK(VLOOKUP(A394,'NHL PBP'!A:AH,23,FALSE)),4,5)),IF(ISBLANK(VLOOKUP(A394,'NHL PBP'!A:AH,32,FALSE)),3,IF(ISBLANK(VLOOKUP(A394,'NHL PBP'!A:AH,34,FALSE)),4,5)))</f>
        <v>5</v>
      </c>
      <c r="K394">
        <f>IF(EXACT('Entry data'!$C$3,"Home"),IF(ISBLANK(VLOOKUP(A394,'NHL PBP'!A:AH,21,FALSE)),3,IF(ISBLANK(VLOOKUP(A394,'NHL PBP'!A:AH,23,FALSE)),4,5)),IF(ISBLANK(VLOOKUP(A394,'NHL PBP'!A:AH,32,FALSE)),3,IF(ISBLANK(VLOOKUP(A394,'NHL PBP'!A:AH,34,FALSE)),4,5)))</f>
        <v>5</v>
      </c>
      <c r="L394">
        <f>IF(OR(EXACT(D394,"C"),EXACT(D394,"P"),EXACT(D394,"D"),EXACT(D394,"T"),EXACT(D394,"X"),EXACT(E394,"DZF"),EXACT(E394,"OZF"),EXACT(D394,"N"),EXACT(D394,"F")),1,0)</f>
        <v>0</v>
      </c>
      <c r="M394" t="str">
        <f t="shared" si="24"/>
        <v/>
      </c>
      <c r="N394">
        <f t="shared" si="25"/>
        <v>1</v>
      </c>
      <c r="O394">
        <f t="shared" si="26"/>
        <v>0</v>
      </c>
      <c r="P394" t="str">
        <f t="shared" si="27"/>
        <v/>
      </c>
    </row>
    <row r="395" spans="1:16" x14ac:dyDescent="0.25">
      <c r="A395">
        <v>257</v>
      </c>
      <c r="B395">
        <f>IF($A395&gt;$A$1,"",VLOOKUP($A395,'NHL PBP'!$A:$L,8,FALSE))</f>
        <v>3</v>
      </c>
      <c r="C395">
        <f>IF($A395&gt;$A$1,"",IF(B395&gt;3,5/24,20/24)-VLOOKUP($A395,'NHL PBP'!$A:$L,10,FALSE))</f>
        <v>0.30625000000000002</v>
      </c>
      <c r="D395" t="str">
        <f>IF($A395&gt;$A$1,"",VLOOKUP($A395,'NHL PBP'!$A:$L,11,FALSE))</f>
        <v>BLOCK</v>
      </c>
      <c r="E395" t="str">
        <f>IF(AND(EXACT(D395,"FAC"),NOT(EXACT(MID(F395,9,3),"Neu"))),IF(OR(AND(EXACT(MID(F395,9,3),"Off"),EXACT(LEFT(F395,3),UPPER('Entry data'!$C$2))),AND(EXACT(MID(F395,9,3),"Def"),NOT(EXACT(LEFT(F395,3),UPPER('Entry data'!$C$2))))),"DZF","OZF"),"")</f>
        <v/>
      </c>
      <c r="F395" t="str">
        <f>IF($A395&gt;$A$1,"",VLOOKUP($A395,'NHL PBP'!$A:$L,12,FALSE))</f>
        <v>NSH #14 EKHOLM BLOCKED BY DET #21 TATAR, Wrist, Def. Zone</v>
      </c>
      <c r="J395">
        <f>IF(EXACT('Entry data'!$C$3,"Road"),IF(ISBLANK(VLOOKUP(A395,'NHL PBP'!A:AH,21,FALSE)),3,IF(ISBLANK(VLOOKUP(A395,'NHL PBP'!A:AH,23,FALSE)),4,5)),IF(ISBLANK(VLOOKUP(A395,'NHL PBP'!A:AH,32,FALSE)),3,IF(ISBLANK(VLOOKUP(A395,'NHL PBP'!A:AH,34,FALSE)),4,5)))</f>
        <v>5</v>
      </c>
      <c r="K395">
        <f>IF(EXACT('Entry data'!$C$3,"Home"),IF(ISBLANK(VLOOKUP(A395,'NHL PBP'!A:AH,21,FALSE)),3,IF(ISBLANK(VLOOKUP(A395,'NHL PBP'!A:AH,23,FALSE)),4,5)),IF(ISBLANK(VLOOKUP(A395,'NHL PBP'!A:AH,32,FALSE)),3,IF(ISBLANK(VLOOKUP(A395,'NHL PBP'!A:AH,34,FALSE)),4,5)))</f>
        <v>5</v>
      </c>
      <c r="L395">
        <f>IF(OR(EXACT(D395,"C"),EXACT(D395,"P"),EXACT(D395,"D"),EXACT(D395,"T"),EXACT(D395,"X"),EXACT(E395,"DZF"),EXACT(E395,"OZF"),EXACT(D395,"N"),EXACT(D395,"F")),1,0)</f>
        <v>0</v>
      </c>
      <c r="M395" t="str">
        <f t="shared" si="24"/>
        <v/>
      </c>
      <c r="N395">
        <f t="shared" si="25"/>
        <v>0</v>
      </c>
      <c r="O395">
        <f t="shared" si="26"/>
        <v>0</v>
      </c>
      <c r="P395" t="str">
        <f t="shared" si="27"/>
        <v/>
      </c>
    </row>
    <row r="396" spans="1:16" x14ac:dyDescent="0.25">
      <c r="A396">
        <v>138</v>
      </c>
      <c r="B396">
        <f>IF(ISBLANK(VLOOKUP($A396,'Entry data'!$A:$K,2,FALSE)),"",VLOOKUP($A396,'Entry data'!$A:$K,2,FALSE))</f>
        <v>3</v>
      </c>
      <c r="C396">
        <f>IF(ISBLANK(VLOOKUP($A396,'Entry data'!$A:$K,3,FALSE)),"",VLOOKUP($A396,'Entry data'!$A:$K,3,FALSE))</f>
        <v>0.29583333333333334</v>
      </c>
      <c r="D396" t="str">
        <f>IF(ISBLANK(VLOOKUP($A396,'Entry data'!$A:$K,4,FALSE)),"",VLOOKUP($A396,'Entry data'!$A:$K,4,FALSE))</f>
        <v>D</v>
      </c>
      <c r="E396" t="str">
        <f>IF(ISBLANK(VLOOKUP($A396,'Entry data'!$A:$K,5,FALSE)),"",VLOOKUP($A396,'Entry data'!$A:$K,5,FALSE))</f>
        <v>56NSH</v>
      </c>
      <c r="F396" t="str">
        <f>IF(ISBLANK(VLOOKUP($A396,'Entry data'!$A:$K,6,FALSE)),"",VLOOKUP($A396,'Entry data'!$A:$K,6,FALSE))</f>
        <v>N</v>
      </c>
      <c r="G396" t="str">
        <f>IF(ISBLANK(VLOOKUP($A396,'Entry data'!$A:$K,7,FALSE)),"",VLOOKUP($A396,'Entry data'!$A:$K,7,FALSE))</f>
        <v/>
      </c>
      <c r="H396" t="str">
        <f>IF(ISBLANK(VLOOKUP($A396,'Entry data'!$A:$K,8,FALSE)),"",VLOOKUP($A396,'Entry data'!$A:$K,8,FALSE))</f>
        <v>R</v>
      </c>
      <c r="I396" t="str">
        <f>IF(ISBLANK(VLOOKUP($A396,'Entry data'!$A:$K,9,FALSE)),"",VLOOKUP($A396,'Entry data'!$A:$K,9,FALSE))</f>
        <v>N</v>
      </c>
      <c r="J396">
        <f>IF(ISBLANK(VLOOKUP($A396,'Entry data'!$A:$K,10,FALSE)),"",VLOOKUP($A396,'Entry data'!$A:$K,10,FALSE))</f>
        <v>5</v>
      </c>
      <c r="K396">
        <f>IF(ISBLANK(VLOOKUP($A396,'Entry data'!$A:$K,11,FALSE)),"",VLOOKUP($A396,'Entry data'!$A:$K,11,FALSE))</f>
        <v>5</v>
      </c>
      <c r="L396">
        <f>IF(OR(EXACT(D396,"C"),EXACT(D396,"P"),EXACT(D396,"D"),EXACT(D396,"T"),EXACT(D396,"X"),EXACT(E396,"DZF"),EXACT(E396,"OZF"),EXACT(D396,"N"),EXACT(D396,"F")),1,0)</f>
        <v>1</v>
      </c>
      <c r="M396" t="str">
        <f t="shared" si="24"/>
        <v/>
      </c>
      <c r="N396">
        <f t="shared" si="25"/>
        <v>0</v>
      </c>
      <c r="O396">
        <f t="shared" si="26"/>
        <v>0</v>
      </c>
      <c r="P396" t="str">
        <f t="shared" si="27"/>
        <v/>
      </c>
    </row>
    <row r="397" spans="1:16" x14ac:dyDescent="0.25">
      <c r="A397">
        <v>139</v>
      </c>
      <c r="B397">
        <f>IF(ISBLANK(VLOOKUP($A397,'Entry data'!$A:$K,2,FALSE)),"",VLOOKUP($A397,'Entry data'!$A:$K,2,FALSE))</f>
        <v>3</v>
      </c>
      <c r="C397">
        <f>IF(ISBLANK(VLOOKUP($A397,'Entry data'!$A:$K,3,FALSE)),"",VLOOKUP($A397,'Entry data'!$A:$K,3,FALSE))</f>
        <v>0.29097222222222224</v>
      </c>
      <c r="D397" t="str">
        <f>IF(ISBLANK(VLOOKUP($A397,'Entry data'!$A:$K,4,FALSE)),"",VLOOKUP($A397,'Entry data'!$A:$K,4,FALSE))</f>
        <v>C</v>
      </c>
      <c r="E397" t="str">
        <f>IF(ISBLANK(VLOOKUP($A397,'Entry data'!$A:$K,5,FALSE)),"",VLOOKUP($A397,'Entry data'!$A:$K,5,FALSE))</f>
        <v>71DET</v>
      </c>
      <c r="F397" t="str">
        <f>IF(ISBLANK(VLOOKUP($A397,'Entry data'!$A:$K,6,FALSE)),"",VLOOKUP($A397,'Entry data'!$A:$K,6,FALSE))</f>
        <v>59NSH</v>
      </c>
      <c r="G397" t="str">
        <f>IF(ISBLANK(VLOOKUP($A397,'Entry data'!$A:$K,7,FALSE)),"",VLOOKUP($A397,'Entry data'!$A:$K,7,FALSE))</f>
        <v>Y</v>
      </c>
      <c r="H397" t="str">
        <f>IF(ISBLANK(VLOOKUP($A397,'Entry data'!$A:$K,8,FALSE)),"",VLOOKUP($A397,'Entry data'!$A:$K,8,FALSE))</f>
        <v>R</v>
      </c>
      <c r="I397" t="str">
        <f>IF(ISBLANK(VLOOKUP($A397,'Entry data'!$A:$K,9,FALSE)),"",VLOOKUP($A397,'Entry data'!$A:$K,9,FALSE))</f>
        <v>N</v>
      </c>
      <c r="J397">
        <f>IF(ISBLANK(VLOOKUP($A397,'Entry data'!$A:$K,10,FALSE)),"",VLOOKUP($A397,'Entry data'!$A:$K,10,FALSE))</f>
        <v>5</v>
      </c>
      <c r="K397">
        <f>IF(ISBLANK(VLOOKUP($A397,'Entry data'!$A:$K,11,FALSE)),"",VLOOKUP($A397,'Entry data'!$A:$K,11,FALSE))</f>
        <v>5</v>
      </c>
      <c r="L397">
        <f>IF(OR(EXACT(D397,"C"),EXACT(D397,"P"),EXACT(D397,"D"),EXACT(D397,"T"),EXACT(D397,"X"),EXACT(E397,"DZF"),EXACT(E397,"OZF"),EXACT(D397,"N"),EXACT(D397,"F")),1,0)</f>
        <v>1</v>
      </c>
      <c r="M397" t="str">
        <f t="shared" si="24"/>
        <v>71DET</v>
      </c>
      <c r="N397">
        <f t="shared" si="25"/>
        <v>2</v>
      </c>
      <c r="O397">
        <f t="shared" si="26"/>
        <v>0</v>
      </c>
      <c r="P397" t="str">
        <f t="shared" si="27"/>
        <v/>
      </c>
    </row>
    <row r="398" spans="1:16" x14ac:dyDescent="0.25">
      <c r="A398">
        <v>258</v>
      </c>
      <c r="B398">
        <f>IF($A398&gt;$A$1,"",VLOOKUP($A398,'NHL PBP'!$A:$L,8,FALSE))</f>
        <v>3</v>
      </c>
      <c r="C398">
        <f>IF($A398&gt;$A$1,"",IF(B398&gt;3,5/24,20/24)-VLOOKUP($A398,'NHL PBP'!$A:$L,10,FALSE))</f>
        <v>0.28750000000000009</v>
      </c>
      <c r="D398" t="str">
        <f>IF($A398&gt;$A$1,"",VLOOKUP($A398,'NHL PBP'!$A:$L,11,FALSE))</f>
        <v>SHOT</v>
      </c>
      <c r="E398" t="str">
        <f>IF(AND(EXACT(D398,"FAC"),NOT(EXACT(MID(F398,9,3),"Neu"))),IF(OR(AND(EXACT(MID(F398,9,3),"Off"),EXACT(LEFT(F398,3),UPPER('Entry data'!$C$2))),AND(EXACT(MID(F398,9,3),"Def"),NOT(EXACT(LEFT(F398,3),UPPER('Entry data'!$C$2))))),"DZF","OZF"),"")</f>
        <v/>
      </c>
      <c r="F398" t="str">
        <f>IF($A398&gt;$A$1,"",VLOOKUP($A398,'NHL PBP'!$A:$L,12,FALSE))</f>
        <v>DET ONGOAL - #51 NIELSEN, Backhand, Off. Zone, 22 ft.</v>
      </c>
      <c r="J398">
        <f>IF(EXACT('Entry data'!$C$3,"Road"),IF(ISBLANK(VLOOKUP(A398,'NHL PBP'!A:AH,21,FALSE)),3,IF(ISBLANK(VLOOKUP(A398,'NHL PBP'!A:AH,23,FALSE)),4,5)),IF(ISBLANK(VLOOKUP(A398,'NHL PBP'!A:AH,32,FALSE)),3,IF(ISBLANK(VLOOKUP(A398,'NHL PBP'!A:AH,34,FALSE)),4,5)))</f>
        <v>5</v>
      </c>
      <c r="K398">
        <f>IF(EXACT('Entry data'!$C$3,"Home"),IF(ISBLANK(VLOOKUP(A398,'NHL PBP'!A:AH,21,FALSE)),3,IF(ISBLANK(VLOOKUP(A398,'NHL PBP'!A:AH,23,FALSE)),4,5)),IF(ISBLANK(VLOOKUP(A398,'NHL PBP'!A:AH,32,FALSE)),3,IF(ISBLANK(VLOOKUP(A398,'NHL PBP'!A:AH,34,FALSE)),4,5)))</f>
        <v>5</v>
      </c>
      <c r="L398">
        <f>IF(OR(EXACT(D398,"C"),EXACT(D398,"P"),EXACT(D398,"D"),EXACT(D398,"T"),EXACT(D398,"X"),EXACT(E398,"DZF"),EXACT(E398,"OZF"),EXACT(D398,"N"),EXACT(D398,"F")),1,0)</f>
        <v>0</v>
      </c>
      <c r="M398" t="str">
        <f t="shared" si="24"/>
        <v/>
      </c>
      <c r="N398">
        <f t="shared" si="25"/>
        <v>2</v>
      </c>
      <c r="O398">
        <f t="shared" si="26"/>
        <v>0</v>
      </c>
      <c r="P398" t="str">
        <f t="shared" si="27"/>
        <v/>
      </c>
    </row>
    <row r="399" spans="1:16" x14ac:dyDescent="0.25">
      <c r="A399">
        <v>259</v>
      </c>
      <c r="B399">
        <f>IF($A399&gt;$A$1,"",VLOOKUP($A399,'NHL PBP'!$A:$L,8,FALSE))</f>
        <v>3</v>
      </c>
      <c r="C399">
        <f>IF($A399&gt;$A$1,"",IF(B399&gt;3,5/24,20/24)-VLOOKUP($A399,'NHL PBP'!$A:$L,10,FALSE))</f>
        <v>0.28472222222222232</v>
      </c>
      <c r="D399" t="str">
        <f>IF($A399&gt;$A$1,"",VLOOKUP($A399,'NHL PBP'!$A:$L,11,FALSE))</f>
        <v>SHOT</v>
      </c>
      <c r="E399" t="str">
        <f>IF(AND(EXACT(D399,"FAC"),NOT(EXACT(MID(F399,9,3),"Neu"))),IF(OR(AND(EXACT(MID(F399,9,3),"Off"),EXACT(LEFT(F399,3),UPPER('Entry data'!$C$2))),AND(EXACT(MID(F399,9,3),"Def"),NOT(EXACT(LEFT(F399,3),UPPER('Entry data'!$C$2))))),"DZF","OZF"),"")</f>
        <v/>
      </c>
      <c r="F399" t="str">
        <f>IF($A399&gt;$A$1,"",VLOOKUP($A399,'NHL PBP'!$A:$L,12,FALSE))</f>
        <v>DET ONGOAL - #71 LARKIN, Wrist, Off. Zone, 14 ft.</v>
      </c>
      <c r="J399">
        <f>IF(EXACT('Entry data'!$C$3,"Road"),IF(ISBLANK(VLOOKUP(A399,'NHL PBP'!A:AH,21,FALSE)),3,IF(ISBLANK(VLOOKUP(A399,'NHL PBP'!A:AH,23,FALSE)),4,5)),IF(ISBLANK(VLOOKUP(A399,'NHL PBP'!A:AH,32,FALSE)),3,IF(ISBLANK(VLOOKUP(A399,'NHL PBP'!A:AH,34,FALSE)),4,5)))</f>
        <v>5</v>
      </c>
      <c r="K399">
        <f>IF(EXACT('Entry data'!$C$3,"Home"),IF(ISBLANK(VLOOKUP(A399,'NHL PBP'!A:AH,21,FALSE)),3,IF(ISBLANK(VLOOKUP(A399,'NHL PBP'!A:AH,23,FALSE)),4,5)),IF(ISBLANK(VLOOKUP(A399,'NHL PBP'!A:AH,32,FALSE)),3,IF(ISBLANK(VLOOKUP(A399,'NHL PBP'!A:AH,34,FALSE)),4,5)))</f>
        <v>5</v>
      </c>
      <c r="L399">
        <f>IF(OR(EXACT(D399,"C"),EXACT(D399,"P"),EXACT(D399,"D"),EXACT(D399,"T"),EXACT(D399,"X"),EXACT(E399,"DZF"),EXACT(E399,"OZF"),EXACT(D399,"N"),EXACT(D399,"F")),1,0)</f>
        <v>0</v>
      </c>
      <c r="M399" t="str">
        <f t="shared" si="24"/>
        <v/>
      </c>
      <c r="N399">
        <f t="shared" si="25"/>
        <v>1</v>
      </c>
      <c r="O399">
        <f t="shared" si="26"/>
        <v>0</v>
      </c>
      <c r="P399" t="str">
        <f t="shared" si="27"/>
        <v/>
      </c>
    </row>
    <row r="400" spans="1:16" x14ac:dyDescent="0.25">
      <c r="A400">
        <v>260</v>
      </c>
      <c r="B400">
        <f>IF($A400&gt;$A$1,"",VLOOKUP($A400,'NHL PBP'!$A:$L,8,FALSE))</f>
        <v>3</v>
      </c>
      <c r="C400">
        <f>IF($A400&gt;$A$1,"",IF(B400&gt;3,5/24,20/24)-VLOOKUP($A400,'NHL PBP'!$A:$L,10,FALSE))</f>
        <v>0.26875000000000004</v>
      </c>
      <c r="D400" t="str">
        <f>IF($A400&gt;$A$1,"",VLOOKUP($A400,'NHL PBP'!$A:$L,11,FALSE))</f>
        <v>PENL</v>
      </c>
      <c r="E400" t="str">
        <f>IF(AND(EXACT(D400,"FAC"),NOT(EXACT(MID(F400,9,3),"Neu"))),IF(OR(AND(EXACT(MID(F400,9,3),"Off"),EXACT(LEFT(F400,3),UPPER('Entry data'!$C$2))),AND(EXACT(MID(F400,9,3),"Def"),NOT(EXACT(LEFT(F400,3),UPPER('Entry data'!$C$2))))),"DZF","OZF"),"")</f>
        <v/>
      </c>
      <c r="F400" t="str">
        <f>IF($A400&gt;$A$1,"",VLOOKUP($A400,'NHL PBP'!$A:$L,12,FALSE))</f>
        <v>NSH #76 SUBBAN Roughing(2 min), Def. Zone Drawn By: DET #8 ABDELKADER</v>
      </c>
      <c r="J400">
        <f>IF(EXACT('Entry data'!$C$3,"Road"),IF(ISBLANK(VLOOKUP(A400,'NHL PBP'!A:AH,21,FALSE)),3,IF(ISBLANK(VLOOKUP(A400,'NHL PBP'!A:AH,23,FALSE)),4,5)),IF(ISBLANK(VLOOKUP(A400,'NHL PBP'!A:AH,32,FALSE)),3,IF(ISBLANK(VLOOKUP(A400,'NHL PBP'!A:AH,34,FALSE)),4,5)))</f>
        <v>5</v>
      </c>
      <c r="K400">
        <f>IF(EXACT('Entry data'!$C$3,"Home"),IF(ISBLANK(VLOOKUP(A400,'NHL PBP'!A:AH,21,FALSE)),3,IF(ISBLANK(VLOOKUP(A400,'NHL PBP'!A:AH,23,FALSE)),4,5)),IF(ISBLANK(VLOOKUP(A400,'NHL PBP'!A:AH,32,FALSE)),3,IF(ISBLANK(VLOOKUP(A400,'NHL PBP'!A:AH,34,FALSE)),4,5)))</f>
        <v>5</v>
      </c>
      <c r="L400">
        <f>IF(OR(EXACT(D400,"C"),EXACT(D400,"P"),EXACT(D400,"D"),EXACT(D400,"T"),EXACT(D400,"X"),EXACT(E400,"DZF"),EXACT(E400,"OZF"),EXACT(D400,"N"),EXACT(D400,"F")),1,0)</f>
        <v>0</v>
      </c>
      <c r="M400" t="str">
        <f t="shared" si="24"/>
        <v/>
      </c>
      <c r="N400">
        <f t="shared" si="25"/>
        <v>0</v>
      </c>
      <c r="O400">
        <f t="shared" si="26"/>
        <v>0</v>
      </c>
      <c r="P400" t="str">
        <f t="shared" si="27"/>
        <v/>
      </c>
    </row>
    <row r="401" spans="1:16" x14ac:dyDescent="0.25">
      <c r="A401">
        <v>261</v>
      </c>
      <c r="B401">
        <f>IF($A401&gt;$A$1,"",VLOOKUP($A401,'NHL PBP'!$A:$L,8,FALSE))</f>
        <v>3</v>
      </c>
      <c r="C401">
        <f>IF($A401&gt;$A$1,"",IF(B401&gt;3,5/24,20/24)-VLOOKUP($A401,'NHL PBP'!$A:$L,10,FALSE))</f>
        <v>0.26875000000000004</v>
      </c>
      <c r="D401" t="str">
        <f>IF($A401&gt;$A$1,"",VLOOKUP($A401,'NHL PBP'!$A:$L,11,FALSE))</f>
        <v>PENL</v>
      </c>
      <c r="E401" t="str">
        <f>IF(AND(EXACT(D401,"FAC"),NOT(EXACT(MID(F401,9,3),"Neu"))),IF(OR(AND(EXACT(MID(F401,9,3),"Off"),EXACT(LEFT(F401,3),UPPER('Entry data'!$C$2))),AND(EXACT(MID(F401,9,3),"Def"),NOT(EXACT(LEFT(F401,3),UPPER('Entry data'!$C$2))))),"DZF","OZF"),"")</f>
        <v/>
      </c>
      <c r="F401" t="str">
        <f>IF($A401&gt;$A$1,"",VLOOKUP($A401,'NHL PBP'!$A:$L,12,FALSE))</f>
        <v>DET #8 ABDELKADER Roughing(2 min), Off. Zone Drawn By: NSH #76 SUBBAN</v>
      </c>
      <c r="J401">
        <f>IF(EXACT('Entry data'!$C$3,"Road"),IF(ISBLANK(VLOOKUP(A401,'NHL PBP'!A:AH,21,FALSE)),3,IF(ISBLANK(VLOOKUP(A401,'NHL PBP'!A:AH,23,FALSE)),4,5)),IF(ISBLANK(VLOOKUP(A401,'NHL PBP'!A:AH,32,FALSE)),3,IF(ISBLANK(VLOOKUP(A401,'NHL PBP'!A:AH,34,FALSE)),4,5)))</f>
        <v>5</v>
      </c>
      <c r="K401">
        <f>IF(EXACT('Entry data'!$C$3,"Home"),IF(ISBLANK(VLOOKUP(A401,'NHL PBP'!A:AH,21,FALSE)),3,IF(ISBLANK(VLOOKUP(A401,'NHL PBP'!A:AH,23,FALSE)),4,5)),IF(ISBLANK(VLOOKUP(A401,'NHL PBP'!A:AH,32,FALSE)),3,IF(ISBLANK(VLOOKUP(A401,'NHL PBP'!A:AH,34,FALSE)),4,5)))</f>
        <v>4</v>
      </c>
      <c r="L401">
        <f>IF(OR(EXACT(D401,"C"),EXACT(D401,"P"),EXACT(D401,"D"),EXACT(D401,"T"),EXACT(D401,"X"),EXACT(E401,"DZF"),EXACT(E401,"OZF"),EXACT(D401,"N"),EXACT(D401,"F")),1,0)</f>
        <v>0</v>
      </c>
      <c r="M401" t="str">
        <f t="shared" si="24"/>
        <v/>
      </c>
      <c r="N401">
        <f t="shared" si="25"/>
        <v>0</v>
      </c>
      <c r="O401">
        <f t="shared" si="26"/>
        <v>0</v>
      </c>
      <c r="P401" t="str">
        <f t="shared" si="27"/>
        <v/>
      </c>
    </row>
    <row r="402" spans="1:16" x14ac:dyDescent="0.25">
      <c r="A402">
        <v>262</v>
      </c>
      <c r="B402">
        <f>IF($A402&gt;$A$1,"",VLOOKUP($A402,'NHL PBP'!$A:$L,8,FALSE))</f>
        <v>3</v>
      </c>
      <c r="C402">
        <f>IF($A402&gt;$A$1,"",IF(B402&gt;3,5/24,20/24)-VLOOKUP($A402,'NHL PBP'!$A:$L,10,FALSE))</f>
        <v>0.26875000000000004</v>
      </c>
      <c r="D402" t="str">
        <f>IF($A402&gt;$A$1,"",VLOOKUP($A402,'NHL PBP'!$A:$L,11,FALSE))</f>
        <v>FAC</v>
      </c>
      <c r="E402" t="str">
        <f>IF(AND(EXACT(D402,"FAC"),NOT(EXACT(MID(F402,9,3),"Neu"))),IF(OR(AND(EXACT(MID(F402,9,3),"Off"),EXACT(LEFT(F402,3),UPPER('Entry data'!$C$2))),AND(EXACT(MID(F402,9,3),"Def"),NOT(EXACT(LEFT(F402,3),UPPER('Entry data'!$C$2))))),"DZF","OZF"),"")</f>
        <v>DZF</v>
      </c>
      <c r="F402" t="str">
        <f>IF($A402&gt;$A$1,"",VLOOKUP($A402,'NHL PBP'!$A:$L,12,FALSE))</f>
        <v>NSH won Off. Zone - NSH #12 FISHER vs DET #41 GLENDENING</v>
      </c>
      <c r="J402">
        <f>IF(EXACT('Entry data'!$C$3,"Road"),IF(ISBLANK(VLOOKUP(A402,'NHL PBP'!A:AH,21,FALSE)),3,IF(ISBLANK(VLOOKUP(A402,'NHL PBP'!A:AH,23,FALSE)),4,5)),IF(ISBLANK(VLOOKUP(A402,'NHL PBP'!A:AH,32,FALSE)),3,IF(ISBLANK(VLOOKUP(A402,'NHL PBP'!A:AH,34,FALSE)),4,5)))</f>
        <v>4</v>
      </c>
      <c r="K402">
        <f>IF(EXACT('Entry data'!$C$3,"Home"),IF(ISBLANK(VLOOKUP(A402,'NHL PBP'!A:AH,21,FALSE)),3,IF(ISBLANK(VLOOKUP(A402,'NHL PBP'!A:AH,23,FALSE)),4,5)),IF(ISBLANK(VLOOKUP(A402,'NHL PBP'!A:AH,32,FALSE)),3,IF(ISBLANK(VLOOKUP(A402,'NHL PBP'!A:AH,34,FALSE)),4,5)))</f>
        <v>4</v>
      </c>
      <c r="L402">
        <f>IF(OR(EXACT(D402,"C"),EXACT(D402,"P"),EXACT(D402,"D"),EXACT(D402,"T"),EXACT(D402,"X"),EXACT(E402,"DZF"),EXACT(E402,"OZF"),EXACT(D402,"N"),EXACT(D402,"F")),1,0)</f>
        <v>1</v>
      </c>
      <c r="M402" t="str">
        <f t="shared" si="24"/>
        <v/>
      </c>
      <c r="N402">
        <f t="shared" si="25"/>
        <v>0</v>
      </c>
      <c r="O402">
        <f t="shared" si="26"/>
        <v>0</v>
      </c>
      <c r="P402" t="str">
        <f t="shared" si="27"/>
        <v/>
      </c>
    </row>
    <row r="403" spans="1:16" x14ac:dyDescent="0.25">
      <c r="A403">
        <v>263</v>
      </c>
      <c r="B403">
        <f>IF($A403&gt;$A$1,"",VLOOKUP($A403,'NHL PBP'!$A:$L,8,FALSE))</f>
        <v>3</v>
      </c>
      <c r="C403">
        <f>IF($A403&gt;$A$1,"",IF(B403&gt;3,5/24,20/24)-VLOOKUP($A403,'NHL PBP'!$A:$L,10,FALSE))</f>
        <v>0.26666666666666672</v>
      </c>
      <c r="D403" t="str">
        <f>IF($A403&gt;$A$1,"",VLOOKUP($A403,'NHL PBP'!$A:$L,11,FALSE))</f>
        <v>BLOCK</v>
      </c>
      <c r="E403" t="str">
        <f>IF(AND(EXACT(D403,"FAC"),NOT(EXACT(MID(F403,9,3),"Neu"))),IF(OR(AND(EXACT(MID(F403,9,3),"Off"),EXACT(LEFT(F403,3),UPPER('Entry data'!$C$2))),AND(EXACT(MID(F403,9,3),"Def"),NOT(EXACT(LEFT(F403,3),UPPER('Entry data'!$C$2))))),"DZF","OZF"),"")</f>
        <v/>
      </c>
      <c r="F403" t="str">
        <f>IF($A403&gt;$A$1,"",VLOOKUP($A403,'NHL PBP'!$A:$L,12,FALSE))</f>
        <v>NSH #14 EKHOLM BLOCKED BY DET #20 MILLER, Slap, Def. Zone</v>
      </c>
      <c r="J403">
        <f>IF(EXACT('Entry data'!$C$3,"Road"),IF(ISBLANK(VLOOKUP(A403,'NHL PBP'!A:AH,21,FALSE)),3,IF(ISBLANK(VLOOKUP(A403,'NHL PBP'!A:AH,23,FALSE)),4,5)),IF(ISBLANK(VLOOKUP(A403,'NHL PBP'!A:AH,32,FALSE)),3,IF(ISBLANK(VLOOKUP(A403,'NHL PBP'!A:AH,34,FALSE)),4,5)))</f>
        <v>4</v>
      </c>
      <c r="K403">
        <f>IF(EXACT('Entry data'!$C$3,"Home"),IF(ISBLANK(VLOOKUP(A403,'NHL PBP'!A:AH,21,FALSE)),3,IF(ISBLANK(VLOOKUP(A403,'NHL PBP'!A:AH,23,FALSE)),4,5)),IF(ISBLANK(VLOOKUP(A403,'NHL PBP'!A:AH,32,FALSE)),3,IF(ISBLANK(VLOOKUP(A403,'NHL PBP'!A:AH,34,FALSE)),4,5)))</f>
        <v>4</v>
      </c>
      <c r="L403">
        <f>IF(OR(EXACT(D403,"C"),EXACT(D403,"P"),EXACT(D403,"D"),EXACT(D403,"T"),EXACT(D403,"X"),EXACT(E403,"DZF"),EXACT(E403,"OZF"),EXACT(D403,"N"),EXACT(D403,"F")),1,0)</f>
        <v>0</v>
      </c>
      <c r="M403" t="str">
        <f t="shared" si="24"/>
        <v/>
      </c>
      <c r="N403">
        <f t="shared" si="25"/>
        <v>0</v>
      </c>
      <c r="O403">
        <f t="shared" si="26"/>
        <v>0</v>
      </c>
      <c r="P403" t="str">
        <f t="shared" si="27"/>
        <v/>
      </c>
    </row>
    <row r="404" spans="1:16" x14ac:dyDescent="0.25">
      <c r="A404">
        <v>140</v>
      </c>
      <c r="B404">
        <f>IF(ISBLANK(VLOOKUP($A404,'Entry data'!$A:$K,2,FALSE)),"",VLOOKUP($A404,'Entry data'!$A:$K,2,FALSE))</f>
        <v>3</v>
      </c>
      <c r="C404">
        <f>IF(ISBLANK(VLOOKUP($A404,'Entry data'!$A:$K,3,FALSE)),"",VLOOKUP($A404,'Entry data'!$A:$K,3,FALSE))</f>
        <v>0.2638888888888889</v>
      </c>
      <c r="D404" t="str">
        <f>IF(ISBLANK(VLOOKUP($A404,'Entry data'!$A:$K,4,FALSE)),"",VLOOKUP($A404,'Entry data'!$A:$K,4,FALSE))</f>
        <v>D</v>
      </c>
      <c r="E404" t="str">
        <f>IF(ISBLANK(VLOOKUP($A404,'Entry data'!$A:$K,5,FALSE)),"",VLOOKUP($A404,'Entry data'!$A:$K,5,FALSE))</f>
        <v>41DET</v>
      </c>
      <c r="F404" t="str">
        <f>IF(ISBLANK(VLOOKUP($A404,'Entry data'!$A:$K,6,FALSE)),"",VLOOKUP($A404,'Entry data'!$A:$K,6,FALSE))</f>
        <v>4NSH</v>
      </c>
      <c r="G404" t="str">
        <f>IF(ISBLANK(VLOOKUP($A404,'Entry data'!$A:$K,7,FALSE)),"",VLOOKUP($A404,'Entry data'!$A:$K,7,FALSE))</f>
        <v/>
      </c>
      <c r="H404" t="str">
        <f>IF(ISBLANK(VLOOKUP($A404,'Entry data'!$A:$K,8,FALSE)),"",VLOOKUP($A404,'Entry data'!$A:$K,8,FALSE))</f>
        <v>R</v>
      </c>
      <c r="I404" t="str">
        <f>IF(ISBLANK(VLOOKUP($A404,'Entry data'!$A:$K,9,FALSE)),"",VLOOKUP($A404,'Entry data'!$A:$K,9,FALSE))</f>
        <v>N</v>
      </c>
      <c r="J404">
        <f>IF(ISBLANK(VLOOKUP($A404,'Entry data'!$A:$K,10,FALSE)),"",VLOOKUP($A404,'Entry data'!$A:$K,10,FALSE))</f>
        <v>4</v>
      </c>
      <c r="K404">
        <f>IF(ISBLANK(VLOOKUP($A404,'Entry data'!$A:$K,11,FALSE)),"",VLOOKUP($A404,'Entry data'!$A:$K,11,FALSE))</f>
        <v>4</v>
      </c>
      <c r="L404">
        <f>IF(OR(EXACT(D404,"C"),EXACT(D404,"P"),EXACT(D404,"D"),EXACT(D404,"T"),EXACT(D404,"X"),EXACT(E404,"DZF"),EXACT(E404,"OZF"),EXACT(D404,"N"),EXACT(D404,"F")),1,0)</f>
        <v>1</v>
      </c>
      <c r="M404" t="str">
        <f t="shared" si="24"/>
        <v/>
      </c>
      <c r="N404">
        <f t="shared" si="25"/>
        <v>0</v>
      </c>
      <c r="O404">
        <f t="shared" si="26"/>
        <v>0</v>
      </c>
      <c r="P404" t="str">
        <f t="shared" si="27"/>
        <v/>
      </c>
    </row>
    <row r="405" spans="1:16" x14ac:dyDescent="0.25">
      <c r="A405">
        <v>141</v>
      </c>
      <c r="B405">
        <f>IF(ISBLANK(VLOOKUP($A405,'Entry data'!$A:$K,2,FALSE)),"",VLOOKUP($A405,'Entry data'!$A:$K,2,FALSE))</f>
        <v>3</v>
      </c>
      <c r="C405">
        <f>IF(ISBLANK(VLOOKUP($A405,'Entry data'!$A:$K,3,FALSE)),"",VLOOKUP($A405,'Entry data'!$A:$K,3,FALSE))</f>
        <v>0.25347222222222221</v>
      </c>
      <c r="D405" t="str">
        <f>IF(ISBLANK(VLOOKUP($A405,'Entry data'!$A:$K,4,FALSE)),"",VLOOKUP($A405,'Entry data'!$A:$K,4,FALSE))</f>
        <v>C</v>
      </c>
      <c r="E405" t="str">
        <f>IF(ISBLANK(VLOOKUP($A405,'Entry data'!$A:$K,5,FALSE)),"",VLOOKUP($A405,'Entry data'!$A:$K,5,FALSE))</f>
        <v>4NSH</v>
      </c>
      <c r="F405" t="str">
        <f>IF(ISBLANK(VLOOKUP($A405,'Entry data'!$A:$K,6,FALSE)),"",VLOOKUP($A405,'Entry data'!$A:$K,6,FALSE))</f>
        <v>20DET</v>
      </c>
      <c r="G405" t="str">
        <f>IF(ISBLANK(VLOOKUP($A405,'Entry data'!$A:$K,7,FALSE)),"",VLOOKUP($A405,'Entry data'!$A:$K,7,FALSE))</f>
        <v>N</v>
      </c>
      <c r="H405" t="str">
        <f>IF(ISBLANK(VLOOKUP($A405,'Entry data'!$A:$K,8,FALSE)),"",VLOOKUP($A405,'Entry data'!$A:$K,8,FALSE))</f>
        <v>R</v>
      </c>
      <c r="I405" t="str">
        <f>IF(ISBLANK(VLOOKUP($A405,'Entry data'!$A:$K,9,FALSE)),"",VLOOKUP($A405,'Entry data'!$A:$K,9,FALSE))</f>
        <v>N</v>
      </c>
      <c r="J405">
        <f>IF(ISBLANK(VLOOKUP($A405,'Entry data'!$A:$K,10,FALSE)),"",VLOOKUP($A405,'Entry data'!$A:$K,10,FALSE))</f>
        <v>4</v>
      </c>
      <c r="K405">
        <f>IF(ISBLANK(VLOOKUP($A405,'Entry data'!$A:$K,11,FALSE)),"",VLOOKUP($A405,'Entry data'!$A:$K,11,FALSE))</f>
        <v>4</v>
      </c>
      <c r="L405">
        <f>IF(OR(EXACT(D405,"C"),EXACT(D405,"P"),EXACT(D405,"D"),EXACT(D405,"T"),EXACT(D405,"X"),EXACT(E405,"DZF"),EXACT(E405,"OZF"),EXACT(D405,"N"),EXACT(D405,"F")),1,0)</f>
        <v>1</v>
      </c>
      <c r="M405" t="str">
        <f t="shared" si="24"/>
        <v>4NSH</v>
      </c>
      <c r="N405">
        <f t="shared" si="25"/>
        <v>1</v>
      </c>
      <c r="O405">
        <f t="shared" si="26"/>
        <v>0</v>
      </c>
      <c r="P405" t="str">
        <f t="shared" si="27"/>
        <v/>
      </c>
    </row>
    <row r="406" spans="1:16" x14ac:dyDescent="0.25">
      <c r="A406">
        <v>264</v>
      </c>
      <c r="B406">
        <f>IF($A406&gt;$A$1,"",VLOOKUP($A406,'NHL PBP'!$A:$L,8,FALSE))</f>
        <v>3</v>
      </c>
      <c r="C406">
        <f>IF($A406&gt;$A$1,"",IF(B406&gt;3,5/24,20/24)-VLOOKUP($A406,'NHL PBP'!$A:$L,10,FALSE))</f>
        <v>0.24236111111111114</v>
      </c>
      <c r="D406" t="str">
        <f>IF($A406&gt;$A$1,"",VLOOKUP($A406,'NHL PBP'!$A:$L,11,FALSE))</f>
        <v>SHOT</v>
      </c>
      <c r="E406" t="str">
        <f>IF(AND(EXACT(D406,"FAC"),NOT(EXACT(MID(F406,9,3),"Neu"))),IF(OR(AND(EXACT(MID(F406,9,3),"Off"),EXACT(LEFT(F406,3),UPPER('Entry data'!$C$2))),AND(EXACT(MID(F406,9,3),"Def"),NOT(EXACT(LEFT(F406,3),UPPER('Entry data'!$C$2))))),"DZF","OZF"),"")</f>
        <v/>
      </c>
      <c r="F406" t="str">
        <f>IF($A406&gt;$A$1,"",VLOOKUP($A406,'NHL PBP'!$A:$L,12,FALSE))</f>
        <v>NSH ONGOAL - #4 ELLIS, Slap, Off. Zone, 45 ft.</v>
      </c>
      <c r="J406">
        <f>IF(EXACT('Entry data'!$C$3,"Road"),IF(ISBLANK(VLOOKUP(A406,'NHL PBP'!A:AH,21,FALSE)),3,IF(ISBLANK(VLOOKUP(A406,'NHL PBP'!A:AH,23,FALSE)),4,5)),IF(ISBLANK(VLOOKUP(A406,'NHL PBP'!A:AH,32,FALSE)),3,IF(ISBLANK(VLOOKUP(A406,'NHL PBP'!A:AH,34,FALSE)),4,5)))</f>
        <v>4</v>
      </c>
      <c r="K406">
        <f>IF(EXACT('Entry data'!$C$3,"Home"),IF(ISBLANK(VLOOKUP(A406,'NHL PBP'!A:AH,21,FALSE)),3,IF(ISBLANK(VLOOKUP(A406,'NHL PBP'!A:AH,23,FALSE)),4,5)),IF(ISBLANK(VLOOKUP(A406,'NHL PBP'!A:AH,32,FALSE)),3,IF(ISBLANK(VLOOKUP(A406,'NHL PBP'!A:AH,34,FALSE)),4,5)))</f>
        <v>4</v>
      </c>
      <c r="L406">
        <f>IF(OR(EXACT(D406,"C"),EXACT(D406,"P"),EXACT(D406,"D"),EXACT(D406,"T"),EXACT(D406,"X"),EXACT(E406,"DZF"),EXACT(E406,"OZF"),EXACT(D406,"N"),EXACT(D406,"F")),1,0)</f>
        <v>0</v>
      </c>
      <c r="M406" t="str">
        <f t="shared" si="24"/>
        <v/>
      </c>
      <c r="N406">
        <f t="shared" si="25"/>
        <v>1</v>
      </c>
      <c r="O406">
        <f t="shared" si="26"/>
        <v>0</v>
      </c>
      <c r="P406" t="str">
        <f t="shared" si="27"/>
        <v/>
      </c>
    </row>
    <row r="407" spans="1:16" x14ac:dyDescent="0.25">
      <c r="A407">
        <v>265</v>
      </c>
      <c r="B407">
        <f>IF($A407&gt;$A$1,"",VLOOKUP($A407,'NHL PBP'!$A:$L,8,FALSE))</f>
        <v>3</v>
      </c>
      <c r="C407">
        <f>IF($A407&gt;$A$1,"",IF(B407&gt;3,5/24,20/24)-VLOOKUP($A407,'NHL PBP'!$A:$L,10,FALSE))</f>
        <v>0.23194444444444451</v>
      </c>
      <c r="D407" t="str">
        <f>IF($A407&gt;$A$1,"",VLOOKUP($A407,'NHL PBP'!$A:$L,11,FALSE))</f>
        <v>BLOCK</v>
      </c>
      <c r="E407" t="str">
        <f>IF(AND(EXACT(D407,"FAC"),NOT(EXACT(MID(F407,9,3),"Neu"))),IF(OR(AND(EXACT(MID(F407,9,3),"Off"),EXACT(LEFT(F407,3),UPPER('Entry data'!$C$2))),AND(EXACT(MID(F407,9,3),"Def"),NOT(EXACT(LEFT(F407,3),UPPER('Entry data'!$C$2))))),"DZF","OZF"),"")</f>
        <v/>
      </c>
      <c r="F407" t="str">
        <f>IF($A407&gt;$A$1,"",VLOOKUP($A407,'NHL PBP'!$A:$L,12,FALSE))</f>
        <v>NSH #4 ELLIS BLOCKED BY DET #41 GLENDENING, Wrist, Def. Zone</v>
      </c>
      <c r="J407">
        <f>IF(EXACT('Entry data'!$C$3,"Road"),IF(ISBLANK(VLOOKUP(A407,'NHL PBP'!A:AH,21,FALSE)),3,IF(ISBLANK(VLOOKUP(A407,'NHL PBP'!A:AH,23,FALSE)),4,5)),IF(ISBLANK(VLOOKUP(A407,'NHL PBP'!A:AH,32,FALSE)),3,IF(ISBLANK(VLOOKUP(A407,'NHL PBP'!A:AH,34,FALSE)),4,5)))</f>
        <v>4</v>
      </c>
      <c r="K407">
        <f>IF(EXACT('Entry data'!$C$3,"Home"),IF(ISBLANK(VLOOKUP(A407,'NHL PBP'!A:AH,21,FALSE)),3,IF(ISBLANK(VLOOKUP(A407,'NHL PBP'!A:AH,23,FALSE)),4,5)),IF(ISBLANK(VLOOKUP(A407,'NHL PBP'!A:AH,32,FALSE)),3,IF(ISBLANK(VLOOKUP(A407,'NHL PBP'!A:AH,34,FALSE)),4,5)))</f>
        <v>4</v>
      </c>
      <c r="L407">
        <f>IF(OR(EXACT(D407,"C"),EXACT(D407,"P"),EXACT(D407,"D"),EXACT(D407,"T"),EXACT(D407,"X"),EXACT(E407,"DZF"),EXACT(E407,"OZF"),EXACT(D407,"N"),EXACT(D407,"F")),1,0)</f>
        <v>0</v>
      </c>
      <c r="M407" t="str">
        <f t="shared" si="24"/>
        <v/>
      </c>
      <c r="N407">
        <f t="shared" si="25"/>
        <v>0</v>
      </c>
      <c r="O407">
        <f t="shared" si="26"/>
        <v>0</v>
      </c>
      <c r="P407" t="str">
        <f t="shared" si="27"/>
        <v/>
      </c>
    </row>
    <row r="408" spans="1:16" x14ac:dyDescent="0.25">
      <c r="A408">
        <v>266</v>
      </c>
      <c r="B408">
        <f>IF($A408&gt;$A$1,"",VLOOKUP($A408,'NHL PBP'!$A:$L,8,FALSE))</f>
        <v>3</v>
      </c>
      <c r="C408">
        <f>IF($A408&gt;$A$1,"",IF(B408&gt;3,5/24,20/24)-VLOOKUP($A408,'NHL PBP'!$A:$L,10,FALSE))</f>
        <v>0.21944444444444455</v>
      </c>
      <c r="D408" t="str">
        <f>IF($A408&gt;$A$1,"",VLOOKUP($A408,'NHL PBP'!$A:$L,11,FALSE))</f>
        <v>PENL</v>
      </c>
      <c r="E408" t="str">
        <f>IF(AND(EXACT(D408,"FAC"),NOT(EXACT(MID(F408,9,3),"Neu"))),IF(OR(AND(EXACT(MID(F408,9,3),"Off"),EXACT(LEFT(F408,3),UPPER('Entry data'!$C$2))),AND(EXACT(MID(F408,9,3),"Def"),NOT(EXACT(LEFT(F408,3),UPPER('Entry data'!$C$2))))),"DZF","OZF"),"")</f>
        <v/>
      </c>
      <c r="F408" t="str">
        <f>IF($A408&gt;$A$1,"",VLOOKUP($A408,'NHL PBP'!$A:$L,12,FALSE))</f>
        <v>DET #2 SMITH Holding(2 min), Def. Zone Drawn By: NSH #18 NEAL</v>
      </c>
      <c r="J408">
        <f>IF(EXACT('Entry data'!$C$3,"Road"),IF(ISBLANK(VLOOKUP(A408,'NHL PBP'!A:AH,21,FALSE)),3,IF(ISBLANK(VLOOKUP(A408,'NHL PBP'!A:AH,23,FALSE)),4,5)),IF(ISBLANK(VLOOKUP(A408,'NHL PBP'!A:AH,32,FALSE)),3,IF(ISBLANK(VLOOKUP(A408,'NHL PBP'!A:AH,34,FALSE)),4,5)))</f>
        <v>4</v>
      </c>
      <c r="K408">
        <f>IF(EXACT('Entry data'!$C$3,"Home"),IF(ISBLANK(VLOOKUP(A408,'NHL PBP'!A:AH,21,FALSE)),3,IF(ISBLANK(VLOOKUP(A408,'NHL PBP'!A:AH,23,FALSE)),4,5)),IF(ISBLANK(VLOOKUP(A408,'NHL PBP'!A:AH,32,FALSE)),3,IF(ISBLANK(VLOOKUP(A408,'NHL PBP'!A:AH,34,FALSE)),4,5)))</f>
        <v>4</v>
      </c>
      <c r="L408">
        <f>IF(OR(EXACT(D408,"C"),EXACT(D408,"P"),EXACT(D408,"D"),EXACT(D408,"T"),EXACT(D408,"X"),EXACT(E408,"DZF"),EXACT(E408,"OZF"),EXACT(D408,"N"),EXACT(D408,"F")),1,0)</f>
        <v>0</v>
      </c>
      <c r="M408" t="str">
        <f t="shared" si="24"/>
        <v/>
      </c>
      <c r="N408">
        <f t="shared" si="25"/>
        <v>0</v>
      </c>
      <c r="O408">
        <f t="shared" si="26"/>
        <v>0</v>
      </c>
      <c r="P408" t="str">
        <f t="shared" si="27"/>
        <v/>
      </c>
    </row>
    <row r="409" spans="1:16" x14ac:dyDescent="0.25">
      <c r="A409">
        <v>267</v>
      </c>
      <c r="B409">
        <f>IF($A409&gt;$A$1,"",VLOOKUP($A409,'NHL PBP'!$A:$L,8,FALSE))</f>
        <v>3</v>
      </c>
      <c r="C409">
        <f>IF($A409&gt;$A$1,"",IF(B409&gt;3,5/24,20/24)-VLOOKUP($A409,'NHL PBP'!$A:$L,10,FALSE))</f>
        <v>0.21944444444444455</v>
      </c>
      <c r="D409" t="str">
        <f>IF($A409&gt;$A$1,"",VLOOKUP($A409,'NHL PBP'!$A:$L,11,FALSE))</f>
        <v>STOP</v>
      </c>
      <c r="E409" t="str">
        <f>IF(AND(EXACT(D409,"FAC"),NOT(EXACT(MID(F409,9,3),"Neu"))),IF(OR(AND(EXACT(MID(F409,9,3),"Off"),EXACT(LEFT(F409,3),UPPER('Entry data'!$C$2))),AND(EXACT(MID(F409,9,3),"Def"),NOT(EXACT(LEFT(F409,3),UPPER('Entry data'!$C$2))))),"DZF","OZF"),"")</f>
        <v/>
      </c>
      <c r="F409" t="str">
        <f>IF($A409&gt;$A$1,"",VLOOKUP($A409,'NHL PBP'!$A:$L,12,FALSE))</f>
        <v>TV TIMEOUT</v>
      </c>
      <c r="J409">
        <f>IF(EXACT('Entry data'!$C$3,"Road"),IF(ISBLANK(VLOOKUP(A409,'NHL PBP'!A:AH,21,FALSE)),3,IF(ISBLANK(VLOOKUP(A409,'NHL PBP'!A:AH,23,FALSE)),4,5)),IF(ISBLANK(VLOOKUP(A409,'NHL PBP'!A:AH,32,FALSE)),3,IF(ISBLANK(VLOOKUP(A409,'NHL PBP'!A:AH,34,FALSE)),4,5)))</f>
        <v>3</v>
      </c>
      <c r="K409">
        <f>IF(EXACT('Entry data'!$C$3,"Home"),IF(ISBLANK(VLOOKUP(A409,'NHL PBP'!A:AH,21,FALSE)),3,IF(ISBLANK(VLOOKUP(A409,'NHL PBP'!A:AH,23,FALSE)),4,5)),IF(ISBLANK(VLOOKUP(A409,'NHL PBP'!A:AH,32,FALSE)),3,IF(ISBLANK(VLOOKUP(A409,'NHL PBP'!A:AH,34,FALSE)),4,5)))</f>
        <v>4</v>
      </c>
      <c r="L409">
        <f>IF(OR(EXACT(D409,"C"),EXACT(D409,"P"),EXACT(D409,"D"),EXACT(D409,"T"),EXACT(D409,"X"),EXACT(E409,"DZF"),EXACT(E409,"OZF"),EXACT(D409,"N"),EXACT(D409,"F")),1,0)</f>
        <v>0</v>
      </c>
      <c r="M409" t="str">
        <f t="shared" si="24"/>
        <v/>
      </c>
      <c r="N409">
        <f t="shared" si="25"/>
        <v>0</v>
      </c>
      <c r="O409">
        <f t="shared" si="26"/>
        <v>0</v>
      </c>
      <c r="P409" t="str">
        <f t="shared" si="27"/>
        <v/>
      </c>
    </row>
    <row r="410" spans="1:16" x14ac:dyDescent="0.25">
      <c r="A410">
        <v>268</v>
      </c>
      <c r="B410">
        <f>IF($A410&gt;$A$1,"",VLOOKUP($A410,'NHL PBP'!$A:$L,8,FALSE))</f>
        <v>3</v>
      </c>
      <c r="C410">
        <f>IF($A410&gt;$A$1,"",IF(B410&gt;3,5/24,20/24)-VLOOKUP($A410,'NHL PBP'!$A:$L,10,FALSE))</f>
        <v>0.21944444444444455</v>
      </c>
      <c r="D410" t="str">
        <f>IF($A410&gt;$A$1,"",VLOOKUP($A410,'NHL PBP'!$A:$L,11,FALSE))</f>
        <v>FAC</v>
      </c>
      <c r="E410" t="str">
        <f>IF(AND(EXACT(D410,"FAC"),NOT(EXACT(MID(F410,9,3),"Neu"))),IF(OR(AND(EXACT(MID(F410,9,3),"Off"),EXACT(LEFT(F410,3),UPPER('Entry data'!$C$2))),AND(EXACT(MID(F410,9,3),"Def"),NOT(EXACT(LEFT(F410,3),UPPER('Entry data'!$C$2))))),"DZF","OZF"),"")</f>
        <v>DZF</v>
      </c>
      <c r="F410" t="str">
        <f>IF($A410&gt;$A$1,"",VLOOKUP($A410,'NHL PBP'!$A:$L,12,FALSE))</f>
        <v>NSH won Off. Zone - NSH #12 FISHER vs DET #51 NIELSEN</v>
      </c>
      <c r="J410">
        <f>IF(EXACT('Entry data'!$C$3,"Road"),IF(ISBLANK(VLOOKUP(A410,'NHL PBP'!A:AH,21,FALSE)),3,IF(ISBLANK(VLOOKUP(A410,'NHL PBP'!A:AH,23,FALSE)),4,5)),IF(ISBLANK(VLOOKUP(A410,'NHL PBP'!A:AH,32,FALSE)),3,IF(ISBLANK(VLOOKUP(A410,'NHL PBP'!A:AH,34,FALSE)),4,5)))</f>
        <v>3</v>
      </c>
      <c r="K410">
        <f>IF(EXACT('Entry data'!$C$3,"Home"),IF(ISBLANK(VLOOKUP(A410,'NHL PBP'!A:AH,21,FALSE)),3,IF(ISBLANK(VLOOKUP(A410,'NHL PBP'!A:AH,23,FALSE)),4,5)),IF(ISBLANK(VLOOKUP(A410,'NHL PBP'!A:AH,32,FALSE)),3,IF(ISBLANK(VLOOKUP(A410,'NHL PBP'!A:AH,34,FALSE)),4,5)))</f>
        <v>4</v>
      </c>
      <c r="L410">
        <f>IF(OR(EXACT(D410,"C"),EXACT(D410,"P"),EXACT(D410,"D"),EXACT(D410,"T"),EXACT(D410,"X"),EXACT(E410,"DZF"),EXACT(E410,"OZF"),EXACT(D410,"N"),EXACT(D410,"F")),1,0)</f>
        <v>1</v>
      </c>
      <c r="M410" t="str">
        <f t="shared" si="24"/>
        <v/>
      </c>
      <c r="N410">
        <f t="shared" si="25"/>
        <v>2</v>
      </c>
      <c r="O410">
        <f t="shared" si="26"/>
        <v>1</v>
      </c>
      <c r="P410" t="str">
        <f t="shared" si="27"/>
        <v/>
      </c>
    </row>
    <row r="411" spans="1:16" x14ac:dyDescent="0.25">
      <c r="A411">
        <v>269</v>
      </c>
      <c r="B411">
        <f>IF($A411&gt;$A$1,"",VLOOKUP($A411,'NHL PBP'!$A:$L,8,FALSE))</f>
        <v>3</v>
      </c>
      <c r="C411">
        <f>IF($A411&gt;$A$1,"",IF(B411&gt;3,5/24,20/24)-VLOOKUP($A411,'NHL PBP'!$A:$L,10,FALSE))</f>
        <v>0.21250000000000002</v>
      </c>
      <c r="D411" t="str">
        <f>IF($A411&gt;$A$1,"",VLOOKUP($A411,'NHL PBP'!$A:$L,11,FALSE))</f>
        <v>BLOCK</v>
      </c>
      <c r="E411" t="str">
        <f>IF(AND(EXACT(D411,"FAC"),NOT(EXACT(MID(F411,9,3),"Neu"))),IF(OR(AND(EXACT(MID(F411,9,3),"Off"),EXACT(LEFT(F411,3),UPPER('Entry data'!$C$2))),AND(EXACT(MID(F411,9,3),"Def"),NOT(EXACT(LEFT(F411,3),UPPER('Entry data'!$C$2))))),"DZF","OZF"),"")</f>
        <v/>
      </c>
      <c r="F411" t="str">
        <f>IF($A411&gt;$A$1,"",VLOOKUP($A411,'NHL PBP'!$A:$L,12,FALSE))</f>
        <v>NSH #18 NEAL BLOCKED BY DET #65 DEKEYSER, Slap, Def. Zone</v>
      </c>
      <c r="J411">
        <f>IF(EXACT('Entry data'!$C$3,"Road"),IF(ISBLANK(VLOOKUP(A411,'NHL PBP'!A:AH,21,FALSE)),3,IF(ISBLANK(VLOOKUP(A411,'NHL PBP'!A:AH,23,FALSE)),4,5)),IF(ISBLANK(VLOOKUP(A411,'NHL PBP'!A:AH,32,FALSE)),3,IF(ISBLANK(VLOOKUP(A411,'NHL PBP'!A:AH,34,FALSE)),4,5)))</f>
        <v>3</v>
      </c>
      <c r="K411">
        <f>IF(EXACT('Entry data'!$C$3,"Home"),IF(ISBLANK(VLOOKUP(A411,'NHL PBP'!A:AH,21,FALSE)),3,IF(ISBLANK(VLOOKUP(A411,'NHL PBP'!A:AH,23,FALSE)),4,5)),IF(ISBLANK(VLOOKUP(A411,'NHL PBP'!A:AH,32,FALSE)),3,IF(ISBLANK(VLOOKUP(A411,'NHL PBP'!A:AH,34,FALSE)),4,5)))</f>
        <v>4</v>
      </c>
      <c r="L411">
        <f>IF(OR(EXACT(D411,"C"),EXACT(D411,"P"),EXACT(D411,"D"),EXACT(D411,"T"),EXACT(D411,"X"),EXACT(E411,"DZF"),EXACT(E411,"OZF"),EXACT(D411,"N"),EXACT(D411,"F")),1,0)</f>
        <v>0</v>
      </c>
      <c r="M411" t="str">
        <f t="shared" si="24"/>
        <v/>
      </c>
      <c r="N411">
        <f t="shared" si="25"/>
        <v>2</v>
      </c>
      <c r="O411">
        <f t="shared" si="26"/>
        <v>1</v>
      </c>
      <c r="P411" t="str">
        <f t="shared" si="27"/>
        <v/>
      </c>
    </row>
    <row r="412" spans="1:16" x14ac:dyDescent="0.25">
      <c r="A412">
        <v>270</v>
      </c>
      <c r="B412">
        <f>IF($A412&gt;$A$1,"",VLOOKUP($A412,'NHL PBP'!$A:$L,8,FALSE))</f>
        <v>3</v>
      </c>
      <c r="C412">
        <f>IF($A412&gt;$A$1,"",IF(B412&gt;3,5/24,20/24)-VLOOKUP($A412,'NHL PBP'!$A:$L,10,FALSE))</f>
        <v>0.20625000000000004</v>
      </c>
      <c r="D412" t="str">
        <f>IF($A412&gt;$A$1,"",VLOOKUP($A412,'NHL PBP'!$A:$L,11,FALSE))</f>
        <v>SHOT</v>
      </c>
      <c r="E412" t="str">
        <f>IF(AND(EXACT(D412,"FAC"),NOT(EXACT(MID(F412,9,3),"Neu"))),IF(OR(AND(EXACT(MID(F412,9,3),"Off"),EXACT(LEFT(F412,3),UPPER('Entry data'!$C$2))),AND(EXACT(MID(F412,9,3),"Def"),NOT(EXACT(LEFT(F412,3),UPPER('Entry data'!$C$2))))),"DZF","OZF"),"")</f>
        <v/>
      </c>
      <c r="F412" t="str">
        <f>IF($A412&gt;$A$1,"",VLOOKUP($A412,'NHL PBP'!$A:$L,12,FALSE))</f>
        <v>NSH ONGOAL - #18 NEAL, Slap, Off. Zone, 20 ft.</v>
      </c>
      <c r="J412">
        <f>IF(EXACT('Entry data'!$C$3,"Road"),IF(ISBLANK(VLOOKUP(A412,'NHL PBP'!A:AH,21,FALSE)),3,IF(ISBLANK(VLOOKUP(A412,'NHL PBP'!A:AH,23,FALSE)),4,5)),IF(ISBLANK(VLOOKUP(A412,'NHL PBP'!A:AH,32,FALSE)),3,IF(ISBLANK(VLOOKUP(A412,'NHL PBP'!A:AH,34,FALSE)),4,5)))</f>
        <v>3</v>
      </c>
      <c r="K412">
        <f>IF(EXACT('Entry data'!$C$3,"Home"),IF(ISBLANK(VLOOKUP(A412,'NHL PBP'!A:AH,21,FALSE)),3,IF(ISBLANK(VLOOKUP(A412,'NHL PBP'!A:AH,23,FALSE)),4,5)),IF(ISBLANK(VLOOKUP(A412,'NHL PBP'!A:AH,32,FALSE)),3,IF(ISBLANK(VLOOKUP(A412,'NHL PBP'!A:AH,34,FALSE)),4,5)))</f>
        <v>4</v>
      </c>
      <c r="L412">
        <f>IF(OR(EXACT(D412,"C"),EXACT(D412,"P"),EXACT(D412,"D"),EXACT(D412,"T"),EXACT(D412,"X"),EXACT(E412,"DZF"),EXACT(E412,"OZF"),EXACT(D412,"N"),EXACT(D412,"F")),1,0)</f>
        <v>0</v>
      </c>
      <c r="M412" t="str">
        <f t="shared" si="24"/>
        <v/>
      </c>
      <c r="N412">
        <f t="shared" si="25"/>
        <v>2</v>
      </c>
      <c r="O412">
        <f t="shared" si="26"/>
        <v>1</v>
      </c>
      <c r="P412" t="str">
        <f t="shared" si="27"/>
        <v/>
      </c>
    </row>
    <row r="413" spans="1:16" x14ac:dyDescent="0.25">
      <c r="A413">
        <v>271</v>
      </c>
      <c r="B413">
        <f>IF($A413&gt;$A$1,"",VLOOKUP($A413,'NHL PBP'!$A:$L,8,FALSE))</f>
        <v>3</v>
      </c>
      <c r="C413">
        <f>IF($A413&gt;$A$1,"",IF(B413&gt;3,5/24,20/24)-VLOOKUP($A413,'NHL PBP'!$A:$L,10,FALSE))</f>
        <v>0.19861111111111118</v>
      </c>
      <c r="D413" t="str">
        <f>IF($A413&gt;$A$1,"",VLOOKUP($A413,'NHL PBP'!$A:$L,11,FALSE))</f>
        <v>GOAL</v>
      </c>
      <c r="E413" t="str">
        <f>IF(AND(EXACT(D413,"FAC"),NOT(EXACT(MID(F413,9,3),"Neu"))),IF(OR(AND(EXACT(MID(F413,9,3),"Off"),EXACT(LEFT(F413,3),UPPER('Entry data'!$C$2))),AND(EXACT(MID(F413,9,3),"Def"),NOT(EXACT(LEFT(F413,3),UPPER('Entry data'!$C$2))))),"DZF","OZF"),"")</f>
        <v/>
      </c>
      <c r="F413" t="str">
        <f>IF($A413&gt;$A$1,"",VLOOKUP($A413,'NHL PBP'!$A:$L,12,FALSE))</f>
        <v>NSH #12 FISHER(3), Tip-In, Off. Zone, 8 ft.</v>
      </c>
      <c r="J413">
        <f>IF(EXACT('Entry data'!$C$3,"Road"),IF(ISBLANK(VLOOKUP(A413,'NHL PBP'!A:AH,21,FALSE)),3,IF(ISBLANK(VLOOKUP(A413,'NHL PBP'!A:AH,23,FALSE)),4,5)),IF(ISBLANK(VLOOKUP(A413,'NHL PBP'!A:AH,32,FALSE)),3,IF(ISBLANK(VLOOKUP(A413,'NHL PBP'!A:AH,34,FALSE)),4,5)))</f>
        <v>3</v>
      </c>
      <c r="K413">
        <f>IF(EXACT('Entry data'!$C$3,"Home"),IF(ISBLANK(VLOOKUP(A413,'NHL PBP'!A:AH,21,FALSE)),3,IF(ISBLANK(VLOOKUP(A413,'NHL PBP'!A:AH,23,FALSE)),4,5)),IF(ISBLANK(VLOOKUP(A413,'NHL PBP'!A:AH,32,FALSE)),3,IF(ISBLANK(VLOOKUP(A413,'NHL PBP'!A:AH,34,FALSE)),4,5)))</f>
        <v>4</v>
      </c>
      <c r="L413">
        <f>IF(OR(EXACT(D413,"C"),EXACT(D413,"P"),EXACT(D413,"D"),EXACT(D413,"T"),EXACT(D413,"X"),EXACT(E413,"DZF"),EXACT(E413,"OZF"),EXACT(D413,"N"),EXACT(D413,"F")),1,0)</f>
        <v>0</v>
      </c>
      <c r="M413" t="str">
        <f t="shared" si="24"/>
        <v/>
      </c>
      <c r="N413">
        <f t="shared" si="25"/>
        <v>1</v>
      </c>
      <c r="O413">
        <f t="shared" si="26"/>
        <v>1</v>
      </c>
      <c r="P413" t="str">
        <f t="shared" si="27"/>
        <v/>
      </c>
    </row>
    <row r="414" spans="1:16" x14ac:dyDescent="0.25">
      <c r="A414">
        <v>272</v>
      </c>
      <c r="B414">
        <f>IF($A414&gt;$A$1,"",VLOOKUP($A414,'NHL PBP'!$A:$L,8,FALSE))</f>
        <v>3</v>
      </c>
      <c r="C414">
        <f>IF($A414&gt;$A$1,"",IF(B414&gt;3,5/24,20/24)-VLOOKUP($A414,'NHL PBP'!$A:$L,10,FALSE))</f>
        <v>0.19861111111111118</v>
      </c>
      <c r="D414" t="str">
        <f>IF($A414&gt;$A$1,"",VLOOKUP($A414,'NHL PBP'!$A:$L,11,FALSE))</f>
        <v>FAC</v>
      </c>
      <c r="E414" t="str">
        <f>IF(AND(EXACT(D414,"FAC"),NOT(EXACT(MID(F414,9,3),"Neu"))),IF(OR(AND(EXACT(MID(F414,9,3),"Off"),EXACT(LEFT(F414,3),UPPER('Entry data'!$C$2))),AND(EXACT(MID(F414,9,3),"Def"),NOT(EXACT(LEFT(F414,3),UPPER('Entry data'!$C$2))))),"DZF","OZF"),"")</f>
        <v/>
      </c>
      <c r="F414" t="str">
        <f>IF($A414&gt;$A$1,"",VLOOKUP($A414,'NHL PBP'!$A:$L,12,FALSE))</f>
        <v>DET won Neu. Zone - NSH #19 JARNKROK vs DET #40 ZETTERBERG</v>
      </c>
      <c r="J414">
        <f>IF(EXACT('Entry data'!$C$3,"Road"),IF(ISBLANK(VLOOKUP(A414,'NHL PBP'!A:AH,21,FALSE)),3,IF(ISBLANK(VLOOKUP(A414,'NHL PBP'!A:AH,23,FALSE)),4,5)),IF(ISBLANK(VLOOKUP(A414,'NHL PBP'!A:AH,32,FALSE)),3,IF(ISBLANK(VLOOKUP(A414,'NHL PBP'!A:AH,34,FALSE)),4,5)))</f>
        <v>4</v>
      </c>
      <c r="K414">
        <f>IF(EXACT('Entry data'!$C$3,"Home"),IF(ISBLANK(VLOOKUP(A414,'NHL PBP'!A:AH,21,FALSE)),3,IF(ISBLANK(VLOOKUP(A414,'NHL PBP'!A:AH,23,FALSE)),4,5)),IF(ISBLANK(VLOOKUP(A414,'NHL PBP'!A:AH,32,FALSE)),3,IF(ISBLANK(VLOOKUP(A414,'NHL PBP'!A:AH,34,FALSE)),4,5)))</f>
        <v>4</v>
      </c>
      <c r="L414">
        <f>IF(OR(EXACT(D414,"C"),EXACT(D414,"P"),EXACT(D414,"D"),EXACT(D414,"T"),EXACT(D414,"X"),EXACT(E414,"DZF"),EXACT(E414,"OZF"),EXACT(D414,"N"),EXACT(D414,"F")),1,0)</f>
        <v>0</v>
      </c>
      <c r="M414" t="str">
        <f t="shared" si="24"/>
        <v/>
      </c>
      <c r="N414">
        <f t="shared" si="25"/>
        <v>0</v>
      </c>
      <c r="O414">
        <f t="shared" si="26"/>
        <v>0</v>
      </c>
      <c r="P414" t="str">
        <f t="shared" si="27"/>
        <v/>
      </c>
    </row>
    <row r="415" spans="1:16" x14ac:dyDescent="0.25">
      <c r="A415">
        <v>142</v>
      </c>
      <c r="B415">
        <f>IF(ISBLANK(VLOOKUP($A415,'Entry data'!$A:$K,2,FALSE)),"",VLOOKUP($A415,'Entry data'!$A:$K,2,FALSE))</f>
        <v>3</v>
      </c>
      <c r="C415">
        <f>IF(ISBLANK(VLOOKUP($A415,'Entry data'!$A:$K,3,FALSE)),"",VLOOKUP($A415,'Entry data'!$A:$K,3,FALSE))</f>
        <v>0.1875</v>
      </c>
      <c r="D415" t="str">
        <f>IF(ISBLANK(VLOOKUP($A415,'Entry data'!$A:$K,4,FALSE)),"",VLOOKUP($A415,'Entry data'!$A:$K,4,FALSE))</f>
        <v>D</v>
      </c>
      <c r="E415" t="str">
        <f>IF(ISBLANK(VLOOKUP($A415,'Entry data'!$A:$K,5,FALSE)),"",VLOOKUP($A415,'Entry data'!$A:$K,5,FALSE))</f>
        <v>33NSH</v>
      </c>
      <c r="F415" t="str">
        <f>IF(ISBLANK(VLOOKUP($A415,'Entry data'!$A:$K,6,FALSE)),"",VLOOKUP($A415,'Entry data'!$A:$K,6,FALSE))</f>
        <v>25DET</v>
      </c>
      <c r="G415" t="str">
        <f>IF(ISBLANK(VLOOKUP($A415,'Entry data'!$A:$K,7,FALSE)),"",VLOOKUP($A415,'Entry data'!$A:$K,7,FALSE))</f>
        <v/>
      </c>
      <c r="H415" t="str">
        <f>IF(ISBLANK(VLOOKUP($A415,'Entry data'!$A:$K,8,FALSE)),"",VLOOKUP($A415,'Entry data'!$A:$K,8,FALSE))</f>
        <v>L</v>
      </c>
      <c r="I415" t="str">
        <f>IF(ISBLANK(VLOOKUP($A415,'Entry data'!$A:$K,9,FALSE)),"",VLOOKUP($A415,'Entry data'!$A:$K,9,FALSE))</f>
        <v>N</v>
      </c>
      <c r="J415">
        <f>IF(ISBLANK(VLOOKUP($A415,'Entry data'!$A:$K,10,FALSE)),"",VLOOKUP($A415,'Entry data'!$A:$K,10,FALSE))</f>
        <v>4</v>
      </c>
      <c r="K415">
        <f>IF(ISBLANK(VLOOKUP($A415,'Entry data'!$A:$K,11,FALSE)),"",VLOOKUP($A415,'Entry data'!$A:$K,11,FALSE))</f>
        <v>4</v>
      </c>
      <c r="L415">
        <f>IF(OR(EXACT(D415,"C"),EXACT(D415,"P"),EXACT(D415,"D"),EXACT(D415,"T"),EXACT(D415,"X"),EXACT(E415,"DZF"),EXACT(E415,"OZF"),EXACT(D415,"N"),EXACT(D415,"F")),1,0)</f>
        <v>1</v>
      </c>
      <c r="M415" t="str">
        <f t="shared" si="24"/>
        <v/>
      </c>
      <c r="N415">
        <f t="shared" si="25"/>
        <v>0</v>
      </c>
      <c r="O415">
        <f t="shared" si="26"/>
        <v>0</v>
      </c>
      <c r="P415" t="str">
        <f t="shared" si="27"/>
        <v/>
      </c>
    </row>
    <row r="416" spans="1:16" x14ac:dyDescent="0.25">
      <c r="A416">
        <v>143</v>
      </c>
      <c r="B416">
        <f>IF(ISBLANK(VLOOKUP($A416,'Entry data'!$A:$K,2,FALSE)),"",VLOOKUP($A416,'Entry data'!$A:$K,2,FALSE))</f>
        <v>3</v>
      </c>
      <c r="C416">
        <f>IF(ISBLANK(VLOOKUP($A416,'Entry data'!$A:$K,3,FALSE)),"",VLOOKUP($A416,'Entry data'!$A:$K,3,FALSE))</f>
        <v>0.18124999999999999</v>
      </c>
      <c r="D416" t="str">
        <f>IF(ISBLANK(VLOOKUP($A416,'Entry data'!$A:$K,4,FALSE)),"",VLOOKUP($A416,'Entry data'!$A:$K,4,FALSE))</f>
        <v>C</v>
      </c>
      <c r="E416" t="str">
        <f>IF(ISBLANK(VLOOKUP($A416,'Entry data'!$A:$K,5,FALSE)),"",VLOOKUP($A416,'Entry data'!$A:$K,5,FALSE))</f>
        <v>25DET</v>
      </c>
      <c r="F416" t="str">
        <f>IF(ISBLANK(VLOOKUP($A416,'Entry data'!$A:$K,6,FALSE)),"",VLOOKUP($A416,'Entry data'!$A:$K,6,FALSE))</f>
        <v>14NSH</v>
      </c>
      <c r="G416" t="str">
        <f>IF(ISBLANK(VLOOKUP($A416,'Entry data'!$A:$K,7,FALSE)),"",VLOOKUP($A416,'Entry data'!$A:$K,7,FALSE))</f>
        <v>N</v>
      </c>
      <c r="H416" t="str">
        <f>IF(ISBLANK(VLOOKUP($A416,'Entry data'!$A:$K,8,FALSE)),"",VLOOKUP($A416,'Entry data'!$A:$K,8,FALSE))</f>
        <v>R</v>
      </c>
      <c r="I416" t="str">
        <f>IF(ISBLANK(VLOOKUP($A416,'Entry data'!$A:$K,9,FALSE)),"",VLOOKUP($A416,'Entry data'!$A:$K,9,FALSE))</f>
        <v>N</v>
      </c>
      <c r="J416">
        <f>IF(ISBLANK(VLOOKUP($A416,'Entry data'!$A:$K,10,FALSE)),"",VLOOKUP($A416,'Entry data'!$A:$K,10,FALSE))</f>
        <v>5</v>
      </c>
      <c r="K416">
        <f>IF(ISBLANK(VLOOKUP($A416,'Entry data'!$A:$K,11,FALSE)),"",VLOOKUP($A416,'Entry data'!$A:$K,11,FALSE))</f>
        <v>5</v>
      </c>
      <c r="L416">
        <f>IF(OR(EXACT(D416,"C"),EXACT(D416,"P"),EXACT(D416,"D"),EXACT(D416,"T"),EXACT(D416,"X"),EXACT(E416,"DZF"),EXACT(E416,"OZF"),EXACT(D416,"N"),EXACT(D416,"F")),1,0)</f>
        <v>1</v>
      </c>
      <c r="M416" t="str">
        <f t="shared" si="24"/>
        <v>25DET</v>
      </c>
      <c r="N416">
        <f t="shared" si="25"/>
        <v>0</v>
      </c>
      <c r="O416">
        <f t="shared" si="26"/>
        <v>0</v>
      </c>
      <c r="P416" t="str">
        <f t="shared" si="27"/>
        <v/>
      </c>
    </row>
    <row r="417" spans="1:16" x14ac:dyDescent="0.25">
      <c r="A417">
        <v>273</v>
      </c>
      <c r="B417">
        <f>IF($A417&gt;$A$1,"",VLOOKUP($A417,'NHL PBP'!$A:$L,8,FALSE))</f>
        <v>3</v>
      </c>
      <c r="C417">
        <f>IF($A417&gt;$A$1,"",IF(B417&gt;3,5/24,20/24)-VLOOKUP($A417,'NHL PBP'!$A:$L,10,FALSE))</f>
        <v>0.16666666666666674</v>
      </c>
      <c r="D417" t="str">
        <f>IF($A417&gt;$A$1,"",VLOOKUP($A417,'NHL PBP'!$A:$L,11,FALSE))</f>
        <v>HIT</v>
      </c>
      <c r="E417" t="str">
        <f>IF(AND(EXACT(D417,"FAC"),NOT(EXACT(MID(F417,9,3),"Neu"))),IF(OR(AND(EXACT(MID(F417,9,3),"Off"),EXACT(LEFT(F417,3),UPPER('Entry data'!$C$2))),AND(EXACT(MID(F417,9,3),"Def"),NOT(EXACT(LEFT(F417,3),UPPER('Entry data'!$C$2))))),"DZF","OZF"),"")</f>
        <v/>
      </c>
      <c r="F417" t="str">
        <f>IF($A417&gt;$A$1,"",VLOOKUP($A417,'NHL PBP'!$A:$L,12,FALSE))</f>
        <v>NSH #33 WILSON HIT DET #40 ZETTERBERG, Def. Zone</v>
      </c>
      <c r="J417">
        <f>IF(EXACT('Entry data'!$C$3,"Road"),IF(ISBLANK(VLOOKUP(A417,'NHL PBP'!A:AH,21,FALSE)),3,IF(ISBLANK(VLOOKUP(A417,'NHL PBP'!A:AH,23,FALSE)),4,5)),IF(ISBLANK(VLOOKUP(A417,'NHL PBP'!A:AH,32,FALSE)),3,IF(ISBLANK(VLOOKUP(A417,'NHL PBP'!A:AH,34,FALSE)),4,5)))</f>
        <v>5</v>
      </c>
      <c r="K417">
        <f>IF(EXACT('Entry data'!$C$3,"Home"),IF(ISBLANK(VLOOKUP(A417,'NHL PBP'!A:AH,21,FALSE)),3,IF(ISBLANK(VLOOKUP(A417,'NHL PBP'!A:AH,23,FALSE)),4,5)),IF(ISBLANK(VLOOKUP(A417,'NHL PBP'!A:AH,32,FALSE)),3,IF(ISBLANK(VLOOKUP(A417,'NHL PBP'!A:AH,34,FALSE)),4,5)))</f>
        <v>5</v>
      </c>
      <c r="L417">
        <f>IF(OR(EXACT(D417,"C"),EXACT(D417,"P"),EXACT(D417,"D"),EXACT(D417,"T"),EXACT(D417,"X"),EXACT(E417,"DZF"),EXACT(E417,"OZF"),EXACT(D417,"N"),EXACT(D417,"F")),1,0)</f>
        <v>0</v>
      </c>
      <c r="M417" t="str">
        <f t="shared" si="24"/>
        <v/>
      </c>
      <c r="N417">
        <f t="shared" si="25"/>
        <v>0</v>
      </c>
      <c r="O417">
        <f t="shared" si="26"/>
        <v>0</v>
      </c>
      <c r="P417" t="str">
        <f t="shared" si="27"/>
        <v/>
      </c>
    </row>
    <row r="418" spans="1:16" x14ac:dyDescent="0.25">
      <c r="A418">
        <v>144</v>
      </c>
      <c r="B418">
        <f>IF(ISBLANK(VLOOKUP($A418,'Entry data'!$A:$K,2,FALSE)),"",VLOOKUP($A418,'Entry data'!$A:$K,2,FALSE))</f>
        <v>3</v>
      </c>
      <c r="C418">
        <f>IF(ISBLANK(VLOOKUP($A418,'Entry data'!$A:$K,3,FALSE)),"",VLOOKUP($A418,'Entry data'!$A:$K,3,FALSE))</f>
        <v>0.16597222222222222</v>
      </c>
      <c r="D418" t="str">
        <f>IF(ISBLANK(VLOOKUP($A418,'Entry data'!$A:$K,4,FALSE)),"",VLOOKUP($A418,'Entry data'!$A:$K,4,FALSE))</f>
        <v>C</v>
      </c>
      <c r="E418" t="str">
        <f>IF(ISBLANK(VLOOKUP($A418,'Entry data'!$A:$K,5,FALSE)),"",VLOOKUP($A418,'Entry data'!$A:$K,5,FALSE))</f>
        <v>40DET</v>
      </c>
      <c r="F418" t="str">
        <f>IF(ISBLANK(VLOOKUP($A418,'Entry data'!$A:$K,6,FALSE)),"",VLOOKUP($A418,'Entry data'!$A:$K,6,FALSE))</f>
        <v>4NSH</v>
      </c>
      <c r="G418" t="str">
        <f>IF(ISBLANK(VLOOKUP($A418,'Entry data'!$A:$K,7,FALSE)),"",VLOOKUP($A418,'Entry data'!$A:$K,7,FALSE))</f>
        <v>N</v>
      </c>
      <c r="H418" t="str">
        <f>IF(ISBLANK(VLOOKUP($A418,'Entry data'!$A:$K,8,FALSE)),"",VLOOKUP($A418,'Entry data'!$A:$K,8,FALSE))</f>
        <v>L</v>
      </c>
      <c r="I418" t="str">
        <f>IF(ISBLANK(VLOOKUP($A418,'Entry data'!$A:$K,9,FALSE)),"",VLOOKUP($A418,'Entry data'!$A:$K,9,FALSE))</f>
        <v>N</v>
      </c>
      <c r="J418">
        <f>IF(ISBLANK(VLOOKUP($A418,'Entry data'!$A:$K,10,FALSE)),"",VLOOKUP($A418,'Entry data'!$A:$K,10,FALSE))</f>
        <v>5</v>
      </c>
      <c r="K418">
        <f>IF(ISBLANK(VLOOKUP($A418,'Entry data'!$A:$K,11,FALSE)),"",VLOOKUP($A418,'Entry data'!$A:$K,11,FALSE))</f>
        <v>5</v>
      </c>
      <c r="L418">
        <f>IF(OR(EXACT(D418,"C"),EXACT(D418,"P"),EXACT(D418,"D"),EXACT(D418,"T"),EXACT(D418,"X"),EXACT(E418,"DZF"),EXACT(E418,"OZF"),EXACT(D418,"N"),EXACT(D418,"F")),1,0)</f>
        <v>1</v>
      </c>
      <c r="M418" t="str">
        <f t="shared" si="24"/>
        <v>40DET</v>
      </c>
      <c r="N418">
        <f t="shared" si="25"/>
        <v>0</v>
      </c>
      <c r="O418">
        <f t="shared" si="26"/>
        <v>0</v>
      </c>
      <c r="P418" t="str">
        <f t="shared" si="27"/>
        <v/>
      </c>
    </row>
    <row r="419" spans="1:16" x14ac:dyDescent="0.25">
      <c r="A419">
        <v>145</v>
      </c>
      <c r="B419">
        <f>IF(ISBLANK(VLOOKUP($A419,'Entry data'!$A:$K,2,FALSE)),"",VLOOKUP($A419,'Entry data'!$A:$K,2,FALSE))</f>
        <v>3</v>
      </c>
      <c r="C419">
        <f>IF(ISBLANK(VLOOKUP($A419,'Entry data'!$A:$K,3,FALSE)),"",VLOOKUP($A419,'Entry data'!$A:$K,3,FALSE))</f>
        <v>0.15972222222222224</v>
      </c>
      <c r="D419" t="str">
        <f>IF(ISBLANK(VLOOKUP($A419,'Entry data'!$A:$K,4,FALSE)),"",VLOOKUP($A419,'Entry data'!$A:$K,4,FALSE))</f>
        <v>C</v>
      </c>
      <c r="E419" t="str">
        <f>IF(ISBLANK(VLOOKUP($A419,'Entry data'!$A:$K,5,FALSE)),"",VLOOKUP($A419,'Entry data'!$A:$K,5,FALSE))</f>
        <v>38NSH</v>
      </c>
      <c r="F419" t="str">
        <f>IF(ISBLANK(VLOOKUP($A419,'Entry data'!$A:$K,6,FALSE)),"",VLOOKUP($A419,'Entry data'!$A:$K,6,FALSE))</f>
        <v>65DET</v>
      </c>
      <c r="G419" t="str">
        <f>IF(ISBLANK(VLOOKUP($A419,'Entry data'!$A:$K,7,FALSE)),"",VLOOKUP($A419,'Entry data'!$A:$K,7,FALSE))</f>
        <v>N</v>
      </c>
      <c r="H419" t="str">
        <f>IF(ISBLANK(VLOOKUP($A419,'Entry data'!$A:$K,8,FALSE)),"",VLOOKUP($A419,'Entry data'!$A:$K,8,FALSE))</f>
        <v>R</v>
      </c>
      <c r="I419" t="str">
        <f>IF(ISBLANK(VLOOKUP($A419,'Entry data'!$A:$K,9,FALSE)),"",VLOOKUP($A419,'Entry data'!$A:$K,9,FALSE))</f>
        <v>N</v>
      </c>
      <c r="J419">
        <f>IF(ISBLANK(VLOOKUP($A419,'Entry data'!$A:$K,10,FALSE)),"",VLOOKUP($A419,'Entry data'!$A:$K,10,FALSE))</f>
        <v>5</v>
      </c>
      <c r="K419">
        <f>IF(ISBLANK(VLOOKUP($A419,'Entry data'!$A:$K,11,FALSE)),"",VLOOKUP($A419,'Entry data'!$A:$K,11,FALSE))</f>
        <v>5</v>
      </c>
      <c r="L419">
        <f>IF(OR(EXACT(D419,"C"),EXACT(D419,"P"),EXACT(D419,"D"),EXACT(D419,"T"),EXACT(D419,"X"),EXACT(E419,"DZF"),EXACT(E419,"OZF"),EXACT(D419,"N"),EXACT(D419,"F")),1,0)</f>
        <v>1</v>
      </c>
      <c r="M419" t="str">
        <f t="shared" si="24"/>
        <v>38NSH</v>
      </c>
      <c r="N419">
        <f t="shared" si="25"/>
        <v>0</v>
      </c>
      <c r="O419">
        <f t="shared" si="26"/>
        <v>0</v>
      </c>
      <c r="P419" t="str">
        <f t="shared" si="27"/>
        <v/>
      </c>
    </row>
    <row r="420" spans="1:16" x14ac:dyDescent="0.25">
      <c r="A420">
        <v>274</v>
      </c>
      <c r="B420">
        <f>IF($A420&gt;$A$1,"",VLOOKUP($A420,'NHL PBP'!$A:$L,8,FALSE))</f>
        <v>3</v>
      </c>
      <c r="C420">
        <f>IF($A420&gt;$A$1,"",IF(B420&gt;3,5/24,20/24)-VLOOKUP($A420,'NHL PBP'!$A:$L,10,FALSE))</f>
        <v>0.15347222222222223</v>
      </c>
      <c r="D420" t="str">
        <f>IF($A420&gt;$A$1,"",VLOOKUP($A420,'NHL PBP'!$A:$L,11,FALSE))</f>
        <v>HIT</v>
      </c>
      <c r="E420" t="str">
        <f>IF(AND(EXACT(D420,"FAC"),NOT(EXACT(MID(F420,9,3),"Neu"))),IF(OR(AND(EXACT(MID(F420,9,3),"Off"),EXACT(LEFT(F420,3),UPPER('Entry data'!$C$2))),AND(EXACT(MID(F420,9,3),"Def"),NOT(EXACT(LEFT(F420,3),UPPER('Entry data'!$C$2))))),"DZF","OZF"),"")</f>
        <v/>
      </c>
      <c r="F420" t="str">
        <f>IF($A420&gt;$A$1,"",VLOOKUP($A420,'NHL PBP'!$A:$L,12,FALSE))</f>
        <v>DET #65 DEKEYSER HIT NSH #9 FORSBERG, Def. Zone</v>
      </c>
      <c r="J420">
        <f>IF(EXACT('Entry data'!$C$3,"Road"),IF(ISBLANK(VLOOKUP(A420,'NHL PBP'!A:AH,21,FALSE)),3,IF(ISBLANK(VLOOKUP(A420,'NHL PBP'!A:AH,23,FALSE)),4,5)),IF(ISBLANK(VLOOKUP(A420,'NHL PBP'!A:AH,32,FALSE)),3,IF(ISBLANK(VLOOKUP(A420,'NHL PBP'!A:AH,34,FALSE)),4,5)))</f>
        <v>5</v>
      </c>
      <c r="K420">
        <f>IF(EXACT('Entry data'!$C$3,"Home"),IF(ISBLANK(VLOOKUP(A420,'NHL PBP'!A:AH,21,FALSE)),3,IF(ISBLANK(VLOOKUP(A420,'NHL PBP'!A:AH,23,FALSE)),4,5)),IF(ISBLANK(VLOOKUP(A420,'NHL PBP'!A:AH,32,FALSE)),3,IF(ISBLANK(VLOOKUP(A420,'NHL PBP'!A:AH,34,FALSE)),4,5)))</f>
        <v>5</v>
      </c>
      <c r="L420">
        <f>IF(OR(EXACT(D420,"C"),EXACT(D420,"P"),EXACT(D420,"D"),EXACT(D420,"T"),EXACT(D420,"X"),EXACT(E420,"DZF"),EXACT(E420,"OZF"),EXACT(D420,"N"),EXACT(D420,"F")),1,0)</f>
        <v>0</v>
      </c>
      <c r="M420" t="str">
        <f t="shared" si="24"/>
        <v/>
      </c>
      <c r="N420">
        <f t="shared" si="25"/>
        <v>0</v>
      </c>
      <c r="O420">
        <f t="shared" si="26"/>
        <v>0</v>
      </c>
      <c r="P420" t="str">
        <f t="shared" si="27"/>
        <v/>
      </c>
    </row>
    <row r="421" spans="1:16" x14ac:dyDescent="0.25">
      <c r="A421">
        <v>146</v>
      </c>
      <c r="B421">
        <f>IF(ISBLANK(VLOOKUP($A421,'Entry data'!$A:$K,2,FALSE)),"",VLOOKUP($A421,'Entry data'!$A:$K,2,FALSE))</f>
        <v>3</v>
      </c>
      <c r="C421">
        <f>IF(ISBLANK(VLOOKUP($A421,'Entry data'!$A:$K,3,FALSE)),"",VLOOKUP($A421,'Entry data'!$A:$K,3,FALSE))</f>
        <v>0.14652777777777778</v>
      </c>
      <c r="D421" t="str">
        <f>IF(ISBLANK(VLOOKUP($A421,'Entry data'!$A:$K,4,FALSE)),"",VLOOKUP($A421,'Entry data'!$A:$K,4,FALSE))</f>
        <v>C</v>
      </c>
      <c r="E421" t="str">
        <f>IF(ISBLANK(VLOOKUP($A421,'Entry data'!$A:$K,5,FALSE)),"",VLOOKUP($A421,'Entry data'!$A:$K,5,FALSE))</f>
        <v>15DET</v>
      </c>
      <c r="F421" t="str">
        <f>IF(ISBLANK(VLOOKUP($A421,'Entry data'!$A:$K,6,FALSE)),"",VLOOKUP($A421,'Entry data'!$A:$K,6,FALSE))</f>
        <v>76NSH</v>
      </c>
      <c r="G421" t="str">
        <f>IF(ISBLANK(VLOOKUP($A421,'Entry data'!$A:$K,7,FALSE)),"",VLOOKUP($A421,'Entry data'!$A:$K,7,FALSE))</f>
        <v>Y</v>
      </c>
      <c r="H421" t="str">
        <f>IF(ISBLANK(VLOOKUP($A421,'Entry data'!$A:$K,8,FALSE)),"",VLOOKUP($A421,'Entry data'!$A:$K,8,FALSE))</f>
        <v>L</v>
      </c>
      <c r="I421" t="str">
        <f>IF(ISBLANK(VLOOKUP($A421,'Entry data'!$A:$K,9,FALSE)),"",VLOOKUP($A421,'Entry data'!$A:$K,9,FALSE))</f>
        <v>N</v>
      </c>
      <c r="J421">
        <f>IF(ISBLANK(VLOOKUP($A421,'Entry data'!$A:$K,10,FALSE)),"",VLOOKUP($A421,'Entry data'!$A:$K,10,FALSE))</f>
        <v>5</v>
      </c>
      <c r="K421">
        <f>IF(ISBLANK(VLOOKUP($A421,'Entry data'!$A:$K,11,FALSE)),"",VLOOKUP($A421,'Entry data'!$A:$K,11,FALSE))</f>
        <v>5</v>
      </c>
      <c r="L421">
        <f>IF(OR(EXACT(D421,"C"),EXACT(D421,"P"),EXACT(D421,"D"),EXACT(D421,"T"),EXACT(D421,"X"),EXACT(E421,"DZF"),EXACT(E421,"OZF"),EXACT(D421,"N"),EXACT(D421,"F")),1,0)</f>
        <v>1</v>
      </c>
      <c r="M421" t="str">
        <f t="shared" si="24"/>
        <v>15DET</v>
      </c>
      <c r="N421">
        <f t="shared" si="25"/>
        <v>0</v>
      </c>
      <c r="O421">
        <f t="shared" si="26"/>
        <v>0</v>
      </c>
      <c r="P421" t="str">
        <f t="shared" si="27"/>
        <v/>
      </c>
    </row>
    <row r="422" spans="1:16" x14ac:dyDescent="0.25">
      <c r="A422">
        <v>275</v>
      </c>
      <c r="B422">
        <f>IF($A422&gt;$A$1,"",VLOOKUP($A422,'NHL PBP'!$A:$L,8,FALSE))</f>
        <v>3</v>
      </c>
      <c r="C422">
        <f>IF($A422&gt;$A$1,"",IF(B422&gt;3,5/24,20/24)-VLOOKUP($A422,'NHL PBP'!$A:$L,10,FALSE))</f>
        <v>0.13819444444444451</v>
      </c>
      <c r="D422" t="str">
        <f>IF($A422&gt;$A$1,"",VLOOKUP($A422,'NHL PBP'!$A:$L,11,FALSE))</f>
        <v>HIT</v>
      </c>
      <c r="E422" t="str">
        <f>IF(AND(EXACT(D422,"FAC"),NOT(EXACT(MID(F422,9,3),"Neu"))),IF(OR(AND(EXACT(MID(F422,9,3),"Off"),EXACT(LEFT(F422,3),UPPER('Entry data'!$C$2))),AND(EXACT(MID(F422,9,3),"Def"),NOT(EXACT(LEFT(F422,3),UPPER('Entry data'!$C$2))))),"DZF","OZF"),"")</f>
        <v/>
      </c>
      <c r="F422" t="str">
        <f>IF($A422&gt;$A$1,"",VLOOKUP($A422,'NHL PBP'!$A:$L,12,FALSE))</f>
        <v>DET #51 NIELSEN HIT NSH #63 RIBEIRO, Off. Zone</v>
      </c>
      <c r="J422">
        <f>IF(EXACT('Entry data'!$C$3,"Road"),IF(ISBLANK(VLOOKUP(A422,'NHL PBP'!A:AH,21,FALSE)),3,IF(ISBLANK(VLOOKUP(A422,'NHL PBP'!A:AH,23,FALSE)),4,5)),IF(ISBLANK(VLOOKUP(A422,'NHL PBP'!A:AH,32,FALSE)),3,IF(ISBLANK(VLOOKUP(A422,'NHL PBP'!A:AH,34,FALSE)),4,5)))</f>
        <v>5</v>
      </c>
      <c r="K422">
        <f>IF(EXACT('Entry data'!$C$3,"Home"),IF(ISBLANK(VLOOKUP(A422,'NHL PBP'!A:AH,21,FALSE)),3,IF(ISBLANK(VLOOKUP(A422,'NHL PBP'!A:AH,23,FALSE)),4,5)),IF(ISBLANK(VLOOKUP(A422,'NHL PBP'!A:AH,32,FALSE)),3,IF(ISBLANK(VLOOKUP(A422,'NHL PBP'!A:AH,34,FALSE)),4,5)))</f>
        <v>5</v>
      </c>
      <c r="L422">
        <f>IF(OR(EXACT(D422,"C"),EXACT(D422,"P"),EXACT(D422,"D"),EXACT(D422,"T"),EXACT(D422,"X"),EXACT(E422,"DZF"),EXACT(E422,"OZF"),EXACT(D422,"N"),EXACT(D422,"F")),1,0)</f>
        <v>0</v>
      </c>
      <c r="M422" t="str">
        <f t="shared" si="24"/>
        <v/>
      </c>
      <c r="N422">
        <f t="shared" si="25"/>
        <v>0</v>
      </c>
      <c r="O422">
        <f t="shared" si="26"/>
        <v>0</v>
      </c>
      <c r="P422" t="str">
        <f t="shared" si="27"/>
        <v/>
      </c>
    </row>
    <row r="423" spans="1:16" x14ac:dyDescent="0.25">
      <c r="A423">
        <v>147</v>
      </c>
      <c r="B423">
        <f>IF(ISBLANK(VLOOKUP($A423,'Entry data'!$A:$K,2,FALSE)),"",VLOOKUP($A423,'Entry data'!$A:$K,2,FALSE))</f>
        <v>3</v>
      </c>
      <c r="C423">
        <f>IF(ISBLANK(VLOOKUP($A423,'Entry data'!$A:$K,3,FALSE)),"",VLOOKUP($A423,'Entry data'!$A:$K,3,FALSE))</f>
        <v>0.13680555555555554</v>
      </c>
      <c r="D423" t="str">
        <f>IF(ISBLANK(VLOOKUP($A423,'Entry data'!$A:$K,4,FALSE)),"",VLOOKUP($A423,'Entry data'!$A:$K,4,FALSE))</f>
        <v>C</v>
      </c>
      <c r="E423" t="str">
        <f>IF(ISBLANK(VLOOKUP($A423,'Entry data'!$A:$K,5,FALSE)),"",VLOOKUP($A423,'Entry data'!$A:$K,5,FALSE))</f>
        <v>59NSH</v>
      </c>
      <c r="F423" t="str">
        <f>IF(ISBLANK(VLOOKUP($A423,'Entry data'!$A:$K,6,FALSE)),"",VLOOKUP($A423,'Entry data'!$A:$K,6,FALSE))</f>
        <v>25DET</v>
      </c>
      <c r="G423" t="str">
        <f>IF(ISBLANK(VLOOKUP($A423,'Entry data'!$A:$K,7,FALSE)),"",VLOOKUP($A423,'Entry data'!$A:$K,7,FALSE))</f>
        <v>Y</v>
      </c>
      <c r="H423" t="str">
        <f>IF(ISBLANK(VLOOKUP($A423,'Entry data'!$A:$K,8,FALSE)),"",VLOOKUP($A423,'Entry data'!$A:$K,8,FALSE))</f>
        <v>L</v>
      </c>
      <c r="I423" t="str">
        <f>IF(ISBLANK(VLOOKUP($A423,'Entry data'!$A:$K,9,FALSE)),"",VLOOKUP($A423,'Entry data'!$A:$K,9,FALSE))</f>
        <v>N</v>
      </c>
      <c r="J423">
        <f>IF(ISBLANK(VLOOKUP($A423,'Entry data'!$A:$K,10,FALSE)),"",VLOOKUP($A423,'Entry data'!$A:$K,10,FALSE))</f>
        <v>5</v>
      </c>
      <c r="K423">
        <f>IF(ISBLANK(VLOOKUP($A423,'Entry data'!$A:$K,11,FALSE)),"",VLOOKUP($A423,'Entry data'!$A:$K,11,FALSE))</f>
        <v>5</v>
      </c>
      <c r="L423">
        <f>IF(OR(EXACT(D423,"C"),EXACT(D423,"P"),EXACT(D423,"D"),EXACT(D423,"T"),EXACT(D423,"X"),EXACT(E423,"DZF"),EXACT(E423,"OZF"),EXACT(D423,"N"),EXACT(D423,"F")),1,0)</f>
        <v>1</v>
      </c>
      <c r="M423" t="str">
        <f t="shared" si="24"/>
        <v>59NSH</v>
      </c>
      <c r="N423">
        <f t="shared" si="25"/>
        <v>0</v>
      </c>
      <c r="O423">
        <f t="shared" si="26"/>
        <v>0</v>
      </c>
      <c r="P423" t="str">
        <f t="shared" si="27"/>
        <v/>
      </c>
    </row>
    <row r="424" spans="1:16" x14ac:dyDescent="0.25">
      <c r="A424">
        <v>148</v>
      </c>
      <c r="B424">
        <f>IF(ISBLANK(VLOOKUP($A424,'Entry data'!$A:$K,2,FALSE)),"",VLOOKUP($A424,'Entry data'!$A:$K,2,FALSE))</f>
        <v>3</v>
      </c>
      <c r="C424">
        <f>IF(ISBLANK(VLOOKUP($A424,'Entry data'!$A:$K,3,FALSE)),"",VLOOKUP($A424,'Entry data'!$A:$K,3,FALSE))</f>
        <v>0.12847222222222224</v>
      </c>
      <c r="D424" t="str">
        <f>IF(ISBLANK(VLOOKUP($A424,'Entry data'!$A:$K,4,FALSE)),"",VLOOKUP($A424,'Entry data'!$A:$K,4,FALSE))</f>
        <v>C</v>
      </c>
      <c r="E424" t="str">
        <f>IF(ISBLANK(VLOOKUP($A424,'Entry data'!$A:$K,5,FALSE)),"",VLOOKUP($A424,'Entry data'!$A:$K,5,FALSE))</f>
        <v>41DET</v>
      </c>
      <c r="F424" t="str">
        <f>IF(ISBLANK(VLOOKUP($A424,'Entry data'!$A:$K,6,FALSE)),"",VLOOKUP($A424,'Entry data'!$A:$K,6,FALSE))</f>
        <v>59NSH</v>
      </c>
      <c r="G424" t="str">
        <f>IF(ISBLANK(VLOOKUP($A424,'Entry data'!$A:$K,7,FALSE)),"",VLOOKUP($A424,'Entry data'!$A:$K,7,FALSE))</f>
        <v>N</v>
      </c>
      <c r="H424" t="str">
        <f>IF(ISBLANK(VLOOKUP($A424,'Entry data'!$A:$K,8,FALSE)),"",VLOOKUP($A424,'Entry data'!$A:$K,8,FALSE))</f>
        <v>R</v>
      </c>
      <c r="I424" t="str">
        <f>IF(ISBLANK(VLOOKUP($A424,'Entry data'!$A:$K,9,FALSE)),"",VLOOKUP($A424,'Entry data'!$A:$K,9,FALSE))</f>
        <v>N</v>
      </c>
      <c r="J424">
        <f>IF(ISBLANK(VLOOKUP($A424,'Entry data'!$A:$K,10,FALSE)),"",VLOOKUP($A424,'Entry data'!$A:$K,10,FALSE))</f>
        <v>5</v>
      </c>
      <c r="K424">
        <f>IF(ISBLANK(VLOOKUP($A424,'Entry data'!$A:$K,11,FALSE)),"",VLOOKUP($A424,'Entry data'!$A:$K,11,FALSE))</f>
        <v>5</v>
      </c>
      <c r="L424">
        <f>IF(OR(EXACT(D424,"C"),EXACT(D424,"P"),EXACT(D424,"D"),EXACT(D424,"T"),EXACT(D424,"X"),EXACT(E424,"DZF"),EXACT(E424,"OZF"),EXACT(D424,"N"),EXACT(D424,"F")),1,0)</f>
        <v>1</v>
      </c>
      <c r="M424" t="str">
        <f t="shared" si="24"/>
        <v>41DET</v>
      </c>
      <c r="N424">
        <f t="shared" si="25"/>
        <v>1</v>
      </c>
      <c r="O424">
        <f t="shared" si="26"/>
        <v>0</v>
      </c>
      <c r="P424" t="str">
        <f t="shared" si="27"/>
        <v/>
      </c>
    </row>
    <row r="425" spans="1:16" x14ac:dyDescent="0.25">
      <c r="A425">
        <v>276</v>
      </c>
      <c r="B425">
        <f>IF($A425&gt;$A$1,"",VLOOKUP($A425,'NHL PBP'!$A:$L,8,FALSE))</f>
        <v>3</v>
      </c>
      <c r="C425">
        <f>IF($A425&gt;$A$1,"",IF(B425&gt;3,5/24,20/24)-VLOOKUP($A425,'NHL PBP'!$A:$L,10,FALSE))</f>
        <v>0.12569444444444444</v>
      </c>
      <c r="D425" t="str">
        <f>IF($A425&gt;$A$1,"",VLOOKUP($A425,'NHL PBP'!$A:$L,11,FALSE))</f>
        <v>MISS</v>
      </c>
      <c r="E425" t="str">
        <f>IF(AND(EXACT(D425,"FAC"),NOT(EXACT(MID(F425,9,3),"Neu"))),IF(OR(AND(EXACT(MID(F425,9,3),"Off"),EXACT(LEFT(F425,3),UPPER('Entry data'!$C$2))),AND(EXACT(MID(F425,9,3),"Def"),NOT(EXACT(LEFT(F425,3),UPPER('Entry data'!$C$2))))),"DZF","OZF"),"")</f>
        <v/>
      </c>
      <c r="F425" t="str">
        <f>IF($A425&gt;$A$1,"",VLOOKUP($A425,'NHL PBP'!$A:$L,12,FALSE))</f>
        <v>DET #41 GLENDENING, Snap, Wide of Net, Off. Zone, 20 ft.</v>
      </c>
      <c r="J425">
        <f>IF(EXACT('Entry data'!$C$3,"Road"),IF(ISBLANK(VLOOKUP(A425,'NHL PBP'!A:AH,21,FALSE)),3,IF(ISBLANK(VLOOKUP(A425,'NHL PBP'!A:AH,23,FALSE)),4,5)),IF(ISBLANK(VLOOKUP(A425,'NHL PBP'!A:AH,32,FALSE)),3,IF(ISBLANK(VLOOKUP(A425,'NHL PBP'!A:AH,34,FALSE)),4,5)))</f>
        <v>5</v>
      </c>
      <c r="K425">
        <f>IF(EXACT('Entry data'!$C$3,"Home"),IF(ISBLANK(VLOOKUP(A425,'NHL PBP'!A:AH,21,FALSE)),3,IF(ISBLANK(VLOOKUP(A425,'NHL PBP'!A:AH,23,FALSE)),4,5)),IF(ISBLANK(VLOOKUP(A425,'NHL PBP'!A:AH,32,FALSE)),3,IF(ISBLANK(VLOOKUP(A425,'NHL PBP'!A:AH,34,FALSE)),4,5)))</f>
        <v>5</v>
      </c>
      <c r="L425">
        <f>IF(OR(EXACT(D425,"C"),EXACT(D425,"P"),EXACT(D425,"D"),EXACT(D425,"T"),EXACT(D425,"X"),EXACT(E425,"DZF"),EXACT(E425,"OZF"),EXACT(D425,"N"),EXACT(D425,"F")),1,0)</f>
        <v>0</v>
      </c>
      <c r="M425" t="str">
        <f t="shared" si="24"/>
        <v/>
      </c>
      <c r="N425">
        <f t="shared" si="25"/>
        <v>1</v>
      </c>
      <c r="O425">
        <f t="shared" si="26"/>
        <v>0</v>
      </c>
      <c r="P425" t="str">
        <f t="shared" si="27"/>
        <v/>
      </c>
    </row>
    <row r="426" spans="1:16" x14ac:dyDescent="0.25">
      <c r="A426">
        <v>149</v>
      </c>
      <c r="B426">
        <f>IF(ISBLANK(VLOOKUP($A426,'Entry data'!$A:$K,2,FALSE)),"",VLOOKUP($A426,'Entry data'!$A:$K,2,FALSE))</f>
        <v>3</v>
      </c>
      <c r="C426">
        <f>IF(ISBLANK(VLOOKUP($A426,'Entry data'!$A:$K,3,FALSE)),"",VLOOKUP($A426,'Entry data'!$A:$K,3,FALSE))</f>
        <v>0.12152777777777778</v>
      </c>
      <c r="D426" t="str">
        <f>IF(ISBLANK(VLOOKUP($A426,'Entry data'!$A:$K,4,FALSE)),"",VLOOKUP($A426,'Entry data'!$A:$K,4,FALSE))</f>
        <v>D</v>
      </c>
      <c r="E426" t="str">
        <f>IF(ISBLANK(VLOOKUP($A426,'Entry data'!$A:$K,5,FALSE)),"",VLOOKUP($A426,'Entry data'!$A:$K,5,FALSE))</f>
        <v>63NSH</v>
      </c>
      <c r="F426" t="str">
        <f>IF(ISBLANK(VLOOKUP($A426,'Entry data'!$A:$K,6,FALSE)),"",VLOOKUP($A426,'Entry data'!$A:$K,6,FALSE))</f>
        <v>N</v>
      </c>
      <c r="G426" t="str">
        <f>IF(ISBLANK(VLOOKUP($A426,'Entry data'!$A:$K,7,FALSE)),"",VLOOKUP($A426,'Entry data'!$A:$K,7,FALSE))</f>
        <v/>
      </c>
      <c r="H426" t="str">
        <f>IF(ISBLANK(VLOOKUP($A426,'Entry data'!$A:$K,8,FALSE)),"",VLOOKUP($A426,'Entry data'!$A:$K,8,FALSE))</f>
        <v>R</v>
      </c>
      <c r="I426" t="str">
        <f>IF(ISBLANK(VLOOKUP($A426,'Entry data'!$A:$K,9,FALSE)),"",VLOOKUP($A426,'Entry data'!$A:$K,9,FALSE))</f>
        <v>N</v>
      </c>
      <c r="J426">
        <f>IF(ISBLANK(VLOOKUP($A426,'Entry data'!$A:$K,10,FALSE)),"",VLOOKUP($A426,'Entry data'!$A:$K,10,FALSE))</f>
        <v>5</v>
      </c>
      <c r="K426">
        <f>IF(ISBLANK(VLOOKUP($A426,'Entry data'!$A:$K,11,FALSE)),"",VLOOKUP($A426,'Entry data'!$A:$K,11,FALSE))</f>
        <v>5</v>
      </c>
      <c r="L426">
        <f>IF(OR(EXACT(D426,"C"),EXACT(D426,"P"),EXACT(D426,"D"),EXACT(D426,"T"),EXACT(D426,"X"),EXACT(E426,"DZF"),EXACT(E426,"OZF"),EXACT(D426,"N"),EXACT(D426,"F")),1,0)</f>
        <v>1</v>
      </c>
      <c r="M426" t="str">
        <f t="shared" si="24"/>
        <v/>
      </c>
      <c r="N426">
        <f t="shared" si="25"/>
        <v>0</v>
      </c>
      <c r="O426">
        <f t="shared" si="26"/>
        <v>0</v>
      </c>
      <c r="P426" t="str">
        <f t="shared" si="27"/>
        <v/>
      </c>
    </row>
    <row r="427" spans="1:16" x14ac:dyDescent="0.25">
      <c r="A427">
        <v>150</v>
      </c>
      <c r="B427">
        <f>IF(ISBLANK(VLOOKUP($A427,'Entry data'!$A:$K,2,FALSE)),"",VLOOKUP($A427,'Entry data'!$A:$K,2,FALSE))</f>
        <v>3</v>
      </c>
      <c r="C427">
        <f>IF(ISBLANK(VLOOKUP($A427,'Entry data'!$A:$K,3,FALSE)),"",VLOOKUP($A427,'Entry data'!$A:$K,3,FALSE))</f>
        <v>0.11319444444444444</v>
      </c>
      <c r="D427" t="str">
        <f>IF(ISBLANK(VLOOKUP($A427,'Entry data'!$A:$K,4,FALSE)),"",VLOOKUP($A427,'Entry data'!$A:$K,4,FALSE))</f>
        <v>D</v>
      </c>
      <c r="E427" t="str">
        <f>IF(ISBLANK(VLOOKUP($A427,'Entry data'!$A:$K,5,FALSE)),"",VLOOKUP($A427,'Entry data'!$A:$K,5,FALSE))</f>
        <v>4NSH</v>
      </c>
      <c r="F427" t="str">
        <f>IF(ISBLANK(VLOOKUP($A427,'Entry data'!$A:$K,6,FALSE)),"",VLOOKUP($A427,'Entry data'!$A:$K,6,FALSE))</f>
        <v>N</v>
      </c>
      <c r="G427" t="str">
        <f>IF(ISBLANK(VLOOKUP($A427,'Entry data'!$A:$K,7,FALSE)),"",VLOOKUP($A427,'Entry data'!$A:$K,7,FALSE))</f>
        <v/>
      </c>
      <c r="H427" t="str">
        <f>IF(ISBLANK(VLOOKUP($A427,'Entry data'!$A:$K,8,FALSE)),"",VLOOKUP($A427,'Entry data'!$A:$K,8,FALSE))</f>
        <v>R</v>
      </c>
      <c r="I427" t="str">
        <f>IF(ISBLANK(VLOOKUP($A427,'Entry data'!$A:$K,9,FALSE)),"",VLOOKUP($A427,'Entry data'!$A:$K,9,FALSE))</f>
        <v>N</v>
      </c>
      <c r="J427">
        <f>IF(ISBLANK(VLOOKUP($A427,'Entry data'!$A:$K,10,FALSE)),"",VLOOKUP($A427,'Entry data'!$A:$K,10,FALSE))</f>
        <v>5</v>
      </c>
      <c r="K427">
        <f>IF(ISBLANK(VLOOKUP($A427,'Entry data'!$A:$K,11,FALSE)),"",VLOOKUP($A427,'Entry data'!$A:$K,11,FALSE))</f>
        <v>5</v>
      </c>
      <c r="L427">
        <f>IF(OR(EXACT(D427,"C"),EXACT(D427,"P"),EXACT(D427,"D"),EXACT(D427,"T"),EXACT(D427,"X"),EXACT(E427,"DZF"),EXACT(E427,"OZF"),EXACT(D427,"N"),EXACT(D427,"F")),1,0)</f>
        <v>1</v>
      </c>
      <c r="M427" t="str">
        <f t="shared" si="24"/>
        <v/>
      </c>
      <c r="N427">
        <f t="shared" si="25"/>
        <v>0</v>
      </c>
      <c r="O427">
        <f t="shared" si="26"/>
        <v>0</v>
      </c>
      <c r="P427" t="str">
        <f t="shared" si="27"/>
        <v/>
      </c>
    </row>
    <row r="428" spans="1:16" x14ac:dyDescent="0.25">
      <c r="A428">
        <v>277</v>
      </c>
      <c r="B428">
        <f>IF($A428&gt;$A$1,"",VLOOKUP($A428,'NHL PBP'!$A:$L,8,FALSE))</f>
        <v>3</v>
      </c>
      <c r="C428">
        <f>IF($A428&gt;$A$1,"",IF(B428&gt;3,5/24,20/24)-VLOOKUP($A428,'NHL PBP'!$A:$L,10,FALSE))</f>
        <v>8.4722222222222365E-2</v>
      </c>
      <c r="D428" t="str">
        <f>IF($A428&gt;$A$1,"",VLOOKUP($A428,'NHL PBP'!$A:$L,11,FALSE))</f>
        <v>PENL</v>
      </c>
      <c r="E428" t="str">
        <f>IF(AND(EXACT(D428,"FAC"),NOT(EXACT(MID(F428,9,3),"Neu"))),IF(OR(AND(EXACT(MID(F428,9,3),"Off"),EXACT(LEFT(F428,3),UPPER('Entry data'!$C$2))),AND(EXACT(MID(F428,9,3),"Def"),NOT(EXACT(LEFT(F428,3),UPPER('Entry data'!$C$2))))),"DZF","OZF"),"")</f>
        <v/>
      </c>
      <c r="F428" t="str">
        <f>IF($A428&gt;$A$1,"",VLOOKUP($A428,'NHL PBP'!$A:$L,12,FALSE))</f>
        <v>NSH #19 JARNKROK Hi-sticking(2 min), Off. Zone Drawn By: DET #43 HELM</v>
      </c>
      <c r="J428">
        <f>IF(EXACT('Entry data'!$C$3,"Road"),IF(ISBLANK(VLOOKUP(A428,'NHL PBP'!A:AH,21,FALSE)),3,IF(ISBLANK(VLOOKUP(A428,'NHL PBP'!A:AH,23,FALSE)),4,5)),IF(ISBLANK(VLOOKUP(A428,'NHL PBP'!A:AH,32,FALSE)),3,IF(ISBLANK(VLOOKUP(A428,'NHL PBP'!A:AH,34,FALSE)),4,5)))</f>
        <v>5</v>
      </c>
      <c r="K428">
        <f>IF(EXACT('Entry data'!$C$3,"Home"),IF(ISBLANK(VLOOKUP(A428,'NHL PBP'!A:AH,21,FALSE)),3,IF(ISBLANK(VLOOKUP(A428,'NHL PBP'!A:AH,23,FALSE)),4,5)),IF(ISBLANK(VLOOKUP(A428,'NHL PBP'!A:AH,32,FALSE)),3,IF(ISBLANK(VLOOKUP(A428,'NHL PBP'!A:AH,34,FALSE)),4,5)))</f>
        <v>5</v>
      </c>
      <c r="L428">
        <f>IF(OR(EXACT(D428,"C"),EXACT(D428,"P"),EXACT(D428,"D"),EXACT(D428,"T"),EXACT(D428,"X"),EXACT(E428,"DZF"),EXACT(E428,"OZF"),EXACT(D428,"N"),EXACT(D428,"F")),1,0)</f>
        <v>0</v>
      </c>
      <c r="M428" t="str">
        <f t="shared" si="24"/>
        <v/>
      </c>
      <c r="N428">
        <f t="shared" si="25"/>
        <v>0</v>
      </c>
      <c r="O428">
        <f t="shared" si="26"/>
        <v>0</v>
      </c>
      <c r="P428" t="str">
        <f t="shared" si="27"/>
        <v/>
      </c>
    </row>
    <row r="429" spans="1:16" x14ac:dyDescent="0.25">
      <c r="A429">
        <v>278</v>
      </c>
      <c r="B429">
        <f>IF($A429&gt;$A$1,"",VLOOKUP($A429,'NHL PBP'!$A:$L,8,FALSE))</f>
        <v>3</v>
      </c>
      <c r="C429">
        <f>IF($A429&gt;$A$1,"",IF(B429&gt;3,5/24,20/24)-VLOOKUP($A429,'NHL PBP'!$A:$L,10,FALSE))</f>
        <v>8.4722222222222365E-2</v>
      </c>
      <c r="D429" t="str">
        <f>IF($A429&gt;$A$1,"",VLOOKUP($A429,'NHL PBP'!$A:$L,11,FALSE))</f>
        <v>PENL</v>
      </c>
      <c r="E429" t="str">
        <f>IF(AND(EXACT(D429,"FAC"),NOT(EXACT(MID(F429,9,3),"Neu"))),IF(OR(AND(EXACT(MID(F429,9,3),"Off"),EXACT(LEFT(F429,3),UPPER('Entry data'!$C$2))),AND(EXACT(MID(F429,9,3),"Def"),NOT(EXACT(LEFT(F429,3),UPPER('Entry data'!$C$2))))),"DZF","OZF"),"")</f>
        <v/>
      </c>
      <c r="F429" t="str">
        <f>IF($A429&gt;$A$1,"",VLOOKUP($A429,'NHL PBP'!$A:$L,12,FALSE))</f>
        <v>NSH #18 NEAL Cross checking(2 min), Off. Zone Drawn By: DET #53 MARCHENKO</v>
      </c>
      <c r="J429">
        <f>IF(EXACT('Entry data'!$C$3,"Road"),IF(ISBLANK(VLOOKUP(A429,'NHL PBP'!A:AH,21,FALSE)),3,IF(ISBLANK(VLOOKUP(A429,'NHL PBP'!A:AH,23,FALSE)),4,5)),IF(ISBLANK(VLOOKUP(A429,'NHL PBP'!A:AH,32,FALSE)),3,IF(ISBLANK(VLOOKUP(A429,'NHL PBP'!A:AH,34,FALSE)),4,5)))</f>
        <v>5</v>
      </c>
      <c r="K429">
        <f>IF(EXACT('Entry data'!$C$3,"Home"),IF(ISBLANK(VLOOKUP(A429,'NHL PBP'!A:AH,21,FALSE)),3,IF(ISBLANK(VLOOKUP(A429,'NHL PBP'!A:AH,23,FALSE)),4,5)),IF(ISBLANK(VLOOKUP(A429,'NHL PBP'!A:AH,32,FALSE)),3,IF(ISBLANK(VLOOKUP(A429,'NHL PBP'!A:AH,34,FALSE)),4,5)))</f>
        <v>4</v>
      </c>
      <c r="L429">
        <f>IF(OR(EXACT(D429,"C"),EXACT(D429,"P"),EXACT(D429,"D"),EXACT(D429,"T"),EXACT(D429,"X"),EXACT(E429,"DZF"),EXACT(E429,"OZF"),EXACT(D429,"N"),EXACT(D429,"F")),1,0)</f>
        <v>0</v>
      </c>
      <c r="M429" t="str">
        <f t="shared" si="24"/>
        <v/>
      </c>
      <c r="N429">
        <f t="shared" si="25"/>
        <v>0</v>
      </c>
      <c r="O429">
        <f t="shared" si="26"/>
        <v>0</v>
      </c>
      <c r="P429" t="str">
        <f t="shared" si="27"/>
        <v/>
      </c>
    </row>
    <row r="430" spans="1:16" x14ac:dyDescent="0.25">
      <c r="A430">
        <v>279</v>
      </c>
      <c r="B430">
        <f>IF($A430&gt;$A$1,"",VLOOKUP($A430,'NHL PBP'!$A:$L,8,FALSE))</f>
        <v>3</v>
      </c>
      <c r="C430">
        <f>IF($A430&gt;$A$1,"",IF(B430&gt;3,5/24,20/24)-VLOOKUP($A430,'NHL PBP'!$A:$L,10,FALSE))</f>
        <v>8.4722222222222365E-2</v>
      </c>
      <c r="D430" t="str">
        <f>IF($A430&gt;$A$1,"",VLOOKUP($A430,'NHL PBP'!$A:$L,11,FALSE))</f>
        <v>FAC</v>
      </c>
      <c r="E430" t="str">
        <f>IF(AND(EXACT(D430,"FAC"),NOT(EXACT(MID(F430,9,3),"Neu"))),IF(OR(AND(EXACT(MID(F430,9,3),"Off"),EXACT(LEFT(F430,3),UPPER('Entry data'!$C$2))),AND(EXACT(MID(F430,9,3),"Def"),NOT(EXACT(LEFT(F430,3),UPPER('Entry data'!$C$2))))),"DZF","OZF"),"")</f>
        <v>OZF</v>
      </c>
      <c r="F430" t="str">
        <f>IF($A430&gt;$A$1,"",VLOOKUP($A430,'NHL PBP'!$A:$L,12,FALSE))</f>
        <v>NSH won Def. Zone - NSH #12 FISHER vs DET #51 NIELSEN</v>
      </c>
      <c r="J430">
        <f>IF(EXACT('Entry data'!$C$3,"Road"),IF(ISBLANK(VLOOKUP(A430,'NHL PBP'!A:AH,21,FALSE)),3,IF(ISBLANK(VLOOKUP(A430,'NHL PBP'!A:AH,23,FALSE)),4,5)),IF(ISBLANK(VLOOKUP(A430,'NHL PBP'!A:AH,32,FALSE)),3,IF(ISBLANK(VLOOKUP(A430,'NHL PBP'!A:AH,34,FALSE)),4,5)))</f>
        <v>5</v>
      </c>
      <c r="K430">
        <f>IF(EXACT('Entry data'!$C$3,"Home"),IF(ISBLANK(VLOOKUP(A430,'NHL PBP'!A:AH,21,FALSE)),3,IF(ISBLANK(VLOOKUP(A430,'NHL PBP'!A:AH,23,FALSE)),4,5)),IF(ISBLANK(VLOOKUP(A430,'NHL PBP'!A:AH,32,FALSE)),3,IF(ISBLANK(VLOOKUP(A430,'NHL PBP'!A:AH,34,FALSE)),4,5)))</f>
        <v>3</v>
      </c>
      <c r="L430">
        <f>IF(OR(EXACT(D430,"C"),EXACT(D430,"P"),EXACT(D430,"D"),EXACT(D430,"T"),EXACT(D430,"X"),EXACT(E430,"DZF"),EXACT(E430,"OZF"),EXACT(D430,"N"),EXACT(D430,"F")),1,0)</f>
        <v>1</v>
      </c>
      <c r="M430" t="str">
        <f t="shared" si="24"/>
        <v/>
      </c>
      <c r="N430">
        <f t="shared" si="25"/>
        <v>0</v>
      </c>
      <c r="O430">
        <f t="shared" si="26"/>
        <v>0</v>
      </c>
      <c r="P430" t="str">
        <f t="shared" si="27"/>
        <v/>
      </c>
    </row>
    <row r="431" spans="1:16" x14ac:dyDescent="0.25">
      <c r="A431">
        <v>151</v>
      </c>
      <c r="B431">
        <f>IF(ISBLANK(VLOOKUP($A431,'Entry data'!$A:$K,2,FALSE)),"",VLOOKUP($A431,'Entry data'!$A:$K,2,FALSE))</f>
        <v>3</v>
      </c>
      <c r="C431">
        <f>IF(ISBLANK(VLOOKUP($A431,'Entry data'!$A:$K,3,FALSE)),"",VLOOKUP($A431,'Entry data'!$A:$K,3,FALSE))</f>
        <v>7.1527777777777787E-2</v>
      </c>
      <c r="D431" t="str">
        <f>IF(ISBLANK(VLOOKUP($A431,'Entry data'!$A:$K,4,FALSE)),"",VLOOKUP($A431,'Entry data'!$A:$K,4,FALSE))</f>
        <v>C</v>
      </c>
      <c r="E431" t="str">
        <f>IF(ISBLANK(VLOOKUP($A431,'Entry data'!$A:$K,5,FALSE)),"",VLOOKUP($A431,'Entry data'!$A:$K,5,FALSE))</f>
        <v>4NSH</v>
      </c>
      <c r="F431" t="str">
        <f>IF(ISBLANK(VLOOKUP($A431,'Entry data'!$A:$K,6,FALSE)),"",VLOOKUP($A431,'Entry data'!$A:$K,6,FALSE))</f>
        <v>51DET</v>
      </c>
      <c r="G431" t="str">
        <f>IF(ISBLANK(VLOOKUP($A431,'Entry data'!$A:$K,7,FALSE)),"",VLOOKUP($A431,'Entry data'!$A:$K,7,FALSE))</f>
        <v>N</v>
      </c>
      <c r="H431" t="str">
        <f>IF(ISBLANK(VLOOKUP($A431,'Entry data'!$A:$K,8,FALSE)),"",VLOOKUP($A431,'Entry data'!$A:$K,8,FALSE))</f>
        <v>R</v>
      </c>
      <c r="I431" t="str">
        <f>IF(ISBLANK(VLOOKUP($A431,'Entry data'!$A:$K,9,FALSE)),"",VLOOKUP($A431,'Entry data'!$A:$K,9,FALSE))</f>
        <v>N</v>
      </c>
      <c r="J431">
        <f>IF(ISBLANK(VLOOKUP($A431,'Entry data'!$A:$K,10,FALSE)),"",VLOOKUP($A431,'Entry data'!$A:$K,10,FALSE))</f>
        <v>5</v>
      </c>
      <c r="K431">
        <f>IF(ISBLANK(VLOOKUP($A431,'Entry data'!$A:$K,11,FALSE)),"",VLOOKUP($A431,'Entry data'!$A:$K,11,FALSE))</f>
        <v>3</v>
      </c>
      <c r="L431">
        <f>IF(OR(EXACT(D431,"C"),EXACT(D431,"P"),EXACT(D431,"D"),EXACT(D431,"T"),EXACT(D431,"X"),EXACT(E431,"DZF"),EXACT(E431,"OZF"),EXACT(D431,"N"),EXACT(D431,"F")),1,0)</f>
        <v>1</v>
      </c>
      <c r="M431" t="str">
        <f t="shared" si="24"/>
        <v>4NSH</v>
      </c>
      <c r="N431">
        <f t="shared" si="25"/>
        <v>0</v>
      </c>
      <c r="O431">
        <f t="shared" si="26"/>
        <v>0</v>
      </c>
      <c r="P431" t="str">
        <f t="shared" si="27"/>
        <v/>
      </c>
    </row>
    <row r="432" spans="1:16" x14ac:dyDescent="0.25">
      <c r="A432">
        <v>280</v>
      </c>
      <c r="B432">
        <f>IF($A432&gt;$A$1,"",VLOOKUP($A432,'NHL PBP'!$A:$L,8,FALSE))</f>
        <v>3</v>
      </c>
      <c r="C432">
        <f>IF($A432&gt;$A$1,"",IF(B432&gt;3,5/24,20/24)-VLOOKUP($A432,'NHL PBP'!$A:$L,10,FALSE))</f>
        <v>6.8749999999999978E-2</v>
      </c>
      <c r="D432" t="str">
        <f>IF($A432&gt;$A$1,"",VLOOKUP($A432,'NHL PBP'!$A:$L,11,FALSE))</f>
        <v>BLOCK</v>
      </c>
      <c r="E432" t="str">
        <f>IF(AND(EXACT(D432,"FAC"),NOT(EXACT(MID(F432,9,3),"Neu"))),IF(OR(AND(EXACT(MID(F432,9,3),"Off"),EXACT(LEFT(F432,3),UPPER('Entry data'!$C$2))),AND(EXACT(MID(F432,9,3),"Def"),NOT(EXACT(LEFT(F432,3),UPPER('Entry data'!$C$2))))),"DZF","OZF"),"")</f>
        <v/>
      </c>
      <c r="F432" t="str">
        <f>IF($A432&gt;$A$1,"",VLOOKUP($A432,'NHL PBP'!$A:$L,12,FALSE))</f>
        <v>NSH #4 ELLIS BLOCKED BY DET #25 GREEN, Wrist, Def. Zone</v>
      </c>
      <c r="J432">
        <f>IF(EXACT('Entry data'!$C$3,"Road"),IF(ISBLANK(VLOOKUP(A432,'NHL PBP'!A:AH,21,FALSE)),3,IF(ISBLANK(VLOOKUP(A432,'NHL PBP'!A:AH,23,FALSE)),4,5)),IF(ISBLANK(VLOOKUP(A432,'NHL PBP'!A:AH,32,FALSE)),3,IF(ISBLANK(VLOOKUP(A432,'NHL PBP'!A:AH,34,FALSE)),4,5)))</f>
        <v>5</v>
      </c>
      <c r="K432">
        <f>IF(EXACT('Entry data'!$C$3,"Home"),IF(ISBLANK(VLOOKUP(A432,'NHL PBP'!A:AH,21,FALSE)),3,IF(ISBLANK(VLOOKUP(A432,'NHL PBP'!A:AH,23,FALSE)),4,5)),IF(ISBLANK(VLOOKUP(A432,'NHL PBP'!A:AH,32,FALSE)),3,IF(ISBLANK(VLOOKUP(A432,'NHL PBP'!A:AH,34,FALSE)),4,5)))</f>
        <v>3</v>
      </c>
      <c r="L432">
        <f>IF(OR(EXACT(D432,"C"),EXACT(D432,"P"),EXACT(D432,"D"),EXACT(D432,"T"),EXACT(D432,"X"),EXACT(E432,"DZF"),EXACT(E432,"OZF"),EXACT(D432,"N"),EXACT(D432,"F")),1,0)</f>
        <v>0</v>
      </c>
      <c r="M432" t="str">
        <f t="shared" si="24"/>
        <v/>
      </c>
      <c r="N432">
        <f t="shared" si="25"/>
        <v>0</v>
      </c>
      <c r="O432">
        <f t="shared" si="26"/>
        <v>0</v>
      </c>
      <c r="P432" t="str">
        <f t="shared" si="27"/>
        <v/>
      </c>
    </row>
    <row r="433" spans="1:16" x14ac:dyDescent="0.25">
      <c r="A433">
        <v>152</v>
      </c>
      <c r="B433">
        <f>IF(ISBLANK(VLOOKUP($A433,'Entry data'!$A:$K,2,FALSE)),"",VLOOKUP($A433,'Entry data'!$A:$K,2,FALSE))</f>
        <v>3</v>
      </c>
      <c r="C433">
        <f>IF(ISBLANK(VLOOKUP($A433,'Entry data'!$A:$K,3,FALSE)),"",VLOOKUP($A433,'Entry data'!$A:$K,3,FALSE))</f>
        <v>5.9027777777777783E-2</v>
      </c>
      <c r="D433" t="str">
        <f>IF(ISBLANK(VLOOKUP($A433,'Entry data'!$A:$K,4,FALSE)),"",VLOOKUP($A433,'Entry data'!$A:$K,4,FALSE))</f>
        <v>C</v>
      </c>
      <c r="E433" t="str">
        <f>IF(ISBLANK(VLOOKUP($A433,'Entry data'!$A:$K,5,FALSE)),"",VLOOKUP($A433,'Entry data'!$A:$K,5,FALSE))</f>
        <v>8DET</v>
      </c>
      <c r="F433" t="str">
        <f>IF(ISBLANK(VLOOKUP($A433,'Entry data'!$A:$K,6,FALSE)),"",VLOOKUP($A433,'Entry data'!$A:$K,6,FALSE))</f>
        <v>14NSH</v>
      </c>
      <c r="G433" t="str">
        <f>IF(ISBLANK(VLOOKUP($A433,'Entry data'!$A:$K,7,FALSE)),"",VLOOKUP($A433,'Entry data'!$A:$K,7,FALSE))</f>
        <v>Y</v>
      </c>
      <c r="H433" t="str">
        <f>IF(ISBLANK(VLOOKUP($A433,'Entry data'!$A:$K,8,FALSE)),"",VLOOKUP($A433,'Entry data'!$A:$K,8,FALSE))</f>
        <v>C</v>
      </c>
      <c r="I433" t="str">
        <f>IF(ISBLANK(VLOOKUP($A433,'Entry data'!$A:$K,9,FALSE)),"",VLOOKUP($A433,'Entry data'!$A:$K,9,FALSE))</f>
        <v>N</v>
      </c>
      <c r="J433">
        <f>IF(ISBLANK(VLOOKUP($A433,'Entry data'!$A:$K,10,FALSE)),"",VLOOKUP($A433,'Entry data'!$A:$K,10,FALSE))</f>
        <v>5</v>
      </c>
      <c r="K433">
        <f>IF(ISBLANK(VLOOKUP($A433,'Entry data'!$A:$K,11,FALSE)),"",VLOOKUP($A433,'Entry data'!$A:$K,11,FALSE))</f>
        <v>3</v>
      </c>
      <c r="L433">
        <f>IF(OR(EXACT(D433,"C"),EXACT(D433,"P"),EXACT(D433,"D"),EXACT(D433,"T"),EXACT(D433,"X"),EXACT(E433,"DZF"),EXACT(E433,"OZF"),EXACT(D433,"N"),EXACT(D433,"F")),1,0)</f>
        <v>1</v>
      </c>
      <c r="M433" t="str">
        <f t="shared" si="24"/>
        <v>8DET</v>
      </c>
      <c r="N433">
        <f t="shared" si="25"/>
        <v>0</v>
      </c>
      <c r="O433">
        <f t="shared" si="26"/>
        <v>0</v>
      </c>
      <c r="P433" t="str">
        <f t="shared" si="27"/>
        <v/>
      </c>
    </row>
    <row r="434" spans="1:16" x14ac:dyDescent="0.25">
      <c r="A434">
        <v>153</v>
      </c>
      <c r="B434">
        <f>IF(ISBLANK(VLOOKUP($A434,'Entry data'!$A:$K,2,FALSE)),"",VLOOKUP($A434,'Entry data'!$A:$K,2,FALSE))</f>
        <v>3</v>
      </c>
      <c r="C434">
        <f>IF(ISBLANK(VLOOKUP($A434,'Entry data'!$A:$K,3,FALSE)),"",VLOOKUP($A434,'Entry data'!$A:$K,3,FALSE))</f>
        <v>4.7916666666666663E-2</v>
      </c>
      <c r="D434" t="str">
        <f>IF(ISBLANK(VLOOKUP($A434,'Entry data'!$A:$K,4,FALSE)),"",VLOOKUP($A434,'Entry data'!$A:$K,4,FALSE))</f>
        <v>D</v>
      </c>
      <c r="E434" t="str">
        <f>IF(ISBLANK(VLOOKUP($A434,'Entry data'!$A:$K,5,FALSE)),"",VLOOKUP($A434,'Entry data'!$A:$K,5,FALSE))</f>
        <v>9NSH</v>
      </c>
      <c r="F434" t="str">
        <f>IF(ISBLANK(VLOOKUP($A434,'Entry data'!$A:$K,6,FALSE)),"",VLOOKUP($A434,'Entry data'!$A:$K,6,FALSE))</f>
        <v>25DET</v>
      </c>
      <c r="G434" t="str">
        <f>IF(ISBLANK(VLOOKUP($A434,'Entry data'!$A:$K,7,FALSE)),"",VLOOKUP($A434,'Entry data'!$A:$K,7,FALSE))</f>
        <v/>
      </c>
      <c r="H434" t="str">
        <f>IF(ISBLANK(VLOOKUP($A434,'Entry data'!$A:$K,8,FALSE)),"",VLOOKUP($A434,'Entry data'!$A:$K,8,FALSE))</f>
        <v>R</v>
      </c>
      <c r="I434" t="str">
        <f>IF(ISBLANK(VLOOKUP($A434,'Entry data'!$A:$K,9,FALSE)),"",VLOOKUP($A434,'Entry data'!$A:$K,9,FALSE))</f>
        <v>N</v>
      </c>
      <c r="J434">
        <f>IF(ISBLANK(VLOOKUP($A434,'Entry data'!$A:$K,10,FALSE)),"",VLOOKUP($A434,'Entry data'!$A:$K,10,FALSE))</f>
        <v>5</v>
      </c>
      <c r="K434">
        <f>IF(ISBLANK(VLOOKUP($A434,'Entry data'!$A:$K,11,FALSE)),"",VLOOKUP($A434,'Entry data'!$A:$K,11,FALSE))</f>
        <v>3</v>
      </c>
      <c r="L434">
        <f>IF(OR(EXACT(D434,"C"),EXACT(D434,"P"),EXACT(D434,"D"),EXACT(D434,"T"),EXACT(D434,"X"),EXACT(E434,"DZF"),EXACT(E434,"OZF"),EXACT(D434,"N"),EXACT(D434,"F")),1,0)</f>
        <v>1</v>
      </c>
      <c r="M434" t="str">
        <f t="shared" si="24"/>
        <v/>
      </c>
      <c r="N434">
        <f t="shared" si="25"/>
        <v>0</v>
      </c>
      <c r="O434">
        <f t="shared" si="26"/>
        <v>0</v>
      </c>
      <c r="P434" t="str">
        <f t="shared" si="27"/>
        <v/>
      </c>
    </row>
    <row r="435" spans="1:16" x14ac:dyDescent="0.25">
      <c r="A435">
        <v>154</v>
      </c>
      <c r="B435">
        <f>IF(ISBLANK(VLOOKUP($A435,'Entry data'!$A:$K,2,FALSE)),"",VLOOKUP($A435,'Entry data'!$A:$K,2,FALSE))</f>
        <v>3</v>
      </c>
      <c r="C435">
        <f>IF(ISBLANK(VLOOKUP($A435,'Entry data'!$A:$K,3,FALSE)),"",VLOOKUP($A435,'Entry data'!$A:$K,3,FALSE))</f>
        <v>3.4722222222222224E-2</v>
      </c>
      <c r="D435" t="str">
        <f>IF(ISBLANK(VLOOKUP($A435,'Entry data'!$A:$K,4,FALSE)),"",VLOOKUP($A435,'Entry data'!$A:$K,4,FALSE))</f>
        <v>D</v>
      </c>
      <c r="E435" t="str">
        <f>IF(ISBLANK(VLOOKUP($A435,'Entry data'!$A:$K,5,FALSE)),"",VLOOKUP($A435,'Entry data'!$A:$K,5,FALSE))</f>
        <v>43DET</v>
      </c>
      <c r="F435" t="str">
        <f>IF(ISBLANK(VLOOKUP($A435,'Entry data'!$A:$K,6,FALSE)),"",VLOOKUP($A435,'Entry data'!$A:$K,6,FALSE))</f>
        <v>N</v>
      </c>
      <c r="G435" t="str">
        <f>IF(ISBLANK(VLOOKUP($A435,'Entry data'!$A:$K,7,FALSE)),"",VLOOKUP($A435,'Entry data'!$A:$K,7,FALSE))</f>
        <v/>
      </c>
      <c r="H435" t="str">
        <f>IF(ISBLANK(VLOOKUP($A435,'Entry data'!$A:$K,8,FALSE)),"",VLOOKUP($A435,'Entry data'!$A:$K,8,FALSE))</f>
        <v>C</v>
      </c>
      <c r="I435" t="str">
        <f>IF(ISBLANK(VLOOKUP($A435,'Entry data'!$A:$K,9,FALSE)),"",VLOOKUP($A435,'Entry data'!$A:$K,9,FALSE))</f>
        <v>N</v>
      </c>
      <c r="J435">
        <f>IF(ISBLANK(VLOOKUP($A435,'Entry data'!$A:$K,10,FALSE)),"",VLOOKUP($A435,'Entry data'!$A:$K,10,FALSE))</f>
        <v>5</v>
      </c>
      <c r="K435">
        <f>IF(ISBLANK(VLOOKUP($A435,'Entry data'!$A:$K,11,FALSE)),"",VLOOKUP($A435,'Entry data'!$A:$K,11,FALSE))</f>
        <v>3</v>
      </c>
      <c r="L435">
        <f>IF(OR(EXACT(D435,"C"),EXACT(D435,"P"),EXACT(D435,"D"),EXACT(D435,"T"),EXACT(D435,"X"),EXACT(E435,"DZF"),EXACT(E435,"OZF"),EXACT(D435,"N"),EXACT(D435,"F")),1,0)</f>
        <v>1</v>
      </c>
      <c r="M435" t="str">
        <f t="shared" si="24"/>
        <v/>
      </c>
      <c r="N435">
        <f t="shared" si="25"/>
        <v>1</v>
      </c>
      <c r="O435">
        <f t="shared" si="26"/>
        <v>1</v>
      </c>
      <c r="P435" t="str">
        <f t="shared" si="27"/>
        <v/>
      </c>
    </row>
    <row r="436" spans="1:16" x14ac:dyDescent="0.25">
      <c r="A436">
        <v>281</v>
      </c>
      <c r="B436">
        <f>IF($A436&gt;$A$1,"",VLOOKUP($A436,'NHL PBP'!$A:$L,8,FALSE))</f>
        <v>3</v>
      </c>
      <c r="C436">
        <f>IF($A436&gt;$A$1,"",IF(B436&gt;3,5/24,20/24)-VLOOKUP($A436,'NHL PBP'!$A:$L,10,FALSE))</f>
        <v>1.5277777777777835E-2</v>
      </c>
      <c r="D436" t="str">
        <f>IF($A436&gt;$A$1,"",VLOOKUP($A436,'NHL PBP'!$A:$L,11,FALSE))</f>
        <v>GOAL</v>
      </c>
      <c r="E436" t="str">
        <f>IF(AND(EXACT(D436,"FAC"),NOT(EXACT(MID(F436,9,3),"Neu"))),IF(OR(AND(EXACT(MID(F436,9,3),"Off"),EXACT(LEFT(F436,3),UPPER('Entry data'!$C$2))),AND(EXACT(MID(F436,9,3),"Def"),NOT(EXACT(LEFT(F436,3),UPPER('Entry data'!$C$2))))),"DZF","OZF"),"")</f>
        <v/>
      </c>
      <c r="F436" t="str">
        <f>IF($A436&gt;$A$1,"",VLOOKUP($A436,'NHL PBP'!$A:$L,12,FALSE))</f>
        <v>DET #43 HELM(4), Snap, Off. Zone, 21 ft.</v>
      </c>
      <c r="J436">
        <f>IF(EXACT('Entry data'!$C$3,"Road"),IF(ISBLANK(VLOOKUP(A436,'NHL PBP'!A:AH,21,FALSE)),3,IF(ISBLANK(VLOOKUP(A436,'NHL PBP'!A:AH,23,FALSE)),4,5)),IF(ISBLANK(VLOOKUP(A436,'NHL PBP'!A:AH,32,FALSE)),3,IF(ISBLANK(VLOOKUP(A436,'NHL PBP'!A:AH,34,FALSE)),4,5)))</f>
        <v>5</v>
      </c>
      <c r="K436">
        <f>IF(EXACT('Entry data'!$C$3,"Home"),IF(ISBLANK(VLOOKUP(A436,'NHL PBP'!A:AH,21,FALSE)),3,IF(ISBLANK(VLOOKUP(A436,'NHL PBP'!A:AH,23,FALSE)),4,5)),IF(ISBLANK(VLOOKUP(A436,'NHL PBP'!A:AH,32,FALSE)),3,IF(ISBLANK(VLOOKUP(A436,'NHL PBP'!A:AH,34,FALSE)),4,5)))</f>
        <v>3</v>
      </c>
      <c r="L436">
        <f>IF(OR(EXACT(D436,"C"),EXACT(D436,"P"),EXACT(D436,"D"),EXACT(D436,"T"),EXACT(D436,"X"),EXACT(E436,"DZF"),EXACT(E436,"OZF"),EXACT(D436,"N"),EXACT(D436,"F")),1,0)</f>
        <v>0</v>
      </c>
      <c r="M436" t="str">
        <f t="shared" si="24"/>
        <v/>
      </c>
      <c r="N436">
        <f t="shared" si="25"/>
        <v>1</v>
      </c>
      <c r="O436">
        <f t="shared" si="26"/>
        <v>1</v>
      </c>
      <c r="P436" t="str">
        <f t="shared" si="27"/>
        <v/>
      </c>
    </row>
    <row r="437" spans="1:16" x14ac:dyDescent="0.25">
      <c r="A437">
        <v>282</v>
      </c>
      <c r="B437">
        <f>IF($A437&gt;$A$1,"",VLOOKUP($A437,'NHL PBP'!$A:$L,8,FALSE))</f>
        <v>3</v>
      </c>
      <c r="C437">
        <f>IF($A437&gt;$A$1,"",IF(B437&gt;3,5/24,20/24)-VLOOKUP($A437,'NHL PBP'!$A:$L,10,FALSE))</f>
        <v>1.5277777777777835E-2</v>
      </c>
      <c r="D437" t="str">
        <f>IF($A437&gt;$A$1,"",VLOOKUP($A437,'NHL PBP'!$A:$L,11,FALSE))</f>
        <v>PENL</v>
      </c>
      <c r="E437" t="str">
        <f>IF(AND(EXACT(D437,"FAC"),NOT(EXACT(MID(F437,9,3),"Neu"))),IF(OR(AND(EXACT(MID(F437,9,3),"Off"),EXACT(LEFT(F437,3),UPPER('Entry data'!$C$2))),AND(EXACT(MID(F437,9,3),"Def"),NOT(EXACT(LEFT(F437,3),UPPER('Entry data'!$C$2))))),"DZF","OZF"),"")</f>
        <v/>
      </c>
      <c r="F437" t="str">
        <f>IF($A437&gt;$A$1,"",VLOOKUP($A437,'NHL PBP'!$A:$L,12,FALSE))</f>
        <v>NSH #63 RIBEIRO Unsportsmanlike conduct(2 min), Neu. Zone</v>
      </c>
      <c r="J437">
        <f>IF(EXACT('Entry data'!$C$3,"Road"),IF(ISBLANK(VLOOKUP(A437,'NHL PBP'!A:AH,21,FALSE)),3,IF(ISBLANK(VLOOKUP(A437,'NHL PBP'!A:AH,23,FALSE)),4,5)),IF(ISBLANK(VLOOKUP(A437,'NHL PBP'!A:AH,32,FALSE)),3,IF(ISBLANK(VLOOKUP(A437,'NHL PBP'!A:AH,34,FALSE)),4,5)))</f>
        <v>5</v>
      </c>
      <c r="K437">
        <f>IF(EXACT('Entry data'!$C$3,"Home"),IF(ISBLANK(VLOOKUP(A437,'NHL PBP'!A:AH,21,FALSE)),3,IF(ISBLANK(VLOOKUP(A437,'NHL PBP'!A:AH,23,FALSE)),4,5)),IF(ISBLANK(VLOOKUP(A437,'NHL PBP'!A:AH,32,FALSE)),3,IF(ISBLANK(VLOOKUP(A437,'NHL PBP'!A:AH,34,FALSE)),4,5)))</f>
        <v>4</v>
      </c>
      <c r="L437">
        <f>IF(OR(EXACT(D437,"C"),EXACT(D437,"P"),EXACT(D437,"D"),EXACT(D437,"T"),EXACT(D437,"X"),EXACT(E437,"DZF"),EXACT(E437,"OZF"),EXACT(D437,"N"),EXACT(D437,"F")),1,0)</f>
        <v>0</v>
      </c>
      <c r="M437" t="str">
        <f t="shared" si="24"/>
        <v/>
      </c>
      <c r="N437">
        <f t="shared" si="25"/>
        <v>0</v>
      </c>
      <c r="O437">
        <f t="shared" si="26"/>
        <v>0</v>
      </c>
      <c r="P437" t="str">
        <f t="shared" si="27"/>
        <v/>
      </c>
    </row>
    <row r="438" spans="1:16" x14ac:dyDescent="0.25">
      <c r="A438">
        <v>283</v>
      </c>
      <c r="B438">
        <f>IF($A438&gt;$A$1,"",VLOOKUP($A438,'NHL PBP'!$A:$L,8,FALSE))</f>
        <v>3</v>
      </c>
      <c r="C438">
        <f>IF($A438&gt;$A$1,"",IF(B438&gt;3,5/24,20/24)-VLOOKUP($A438,'NHL PBP'!$A:$L,10,FALSE))</f>
        <v>1.5277777777777835E-2</v>
      </c>
      <c r="D438" t="str">
        <f>IF($A438&gt;$A$1,"",VLOOKUP($A438,'NHL PBP'!$A:$L,11,FALSE))</f>
        <v>FAC</v>
      </c>
      <c r="E438" t="str">
        <f>IF(AND(EXACT(D438,"FAC"),NOT(EXACT(MID(F438,9,3),"Neu"))),IF(OR(AND(EXACT(MID(F438,9,3),"Off"),EXACT(LEFT(F438,3),UPPER('Entry data'!$C$2))),AND(EXACT(MID(F438,9,3),"Def"),NOT(EXACT(LEFT(F438,3),UPPER('Entry data'!$C$2))))),"DZF","OZF"),"")</f>
        <v/>
      </c>
      <c r="F438" t="str">
        <f>IF($A438&gt;$A$1,"",VLOOKUP($A438,'NHL PBP'!$A:$L,12,FALSE))</f>
        <v>NSH won Neu. Zone - NSH #10 SISSONS vs DET #51 NIELSEN</v>
      </c>
      <c r="J438">
        <f>IF(EXACT('Entry data'!$C$3,"Road"),IF(ISBLANK(VLOOKUP(A438,'NHL PBP'!A:AH,21,FALSE)),3,IF(ISBLANK(VLOOKUP(A438,'NHL PBP'!A:AH,23,FALSE)),4,5)),IF(ISBLANK(VLOOKUP(A438,'NHL PBP'!A:AH,32,FALSE)),3,IF(ISBLANK(VLOOKUP(A438,'NHL PBP'!A:AH,34,FALSE)),4,5)))</f>
        <v>5</v>
      </c>
      <c r="K438">
        <f>IF(EXACT('Entry data'!$C$3,"Home"),IF(ISBLANK(VLOOKUP(A438,'NHL PBP'!A:AH,21,FALSE)),3,IF(ISBLANK(VLOOKUP(A438,'NHL PBP'!A:AH,23,FALSE)),4,5)),IF(ISBLANK(VLOOKUP(A438,'NHL PBP'!A:AH,32,FALSE)),3,IF(ISBLANK(VLOOKUP(A438,'NHL PBP'!A:AH,34,FALSE)),4,5)))</f>
        <v>3</v>
      </c>
      <c r="L438">
        <f>IF(OR(EXACT(D438,"C"),EXACT(D438,"P"),EXACT(D438,"D"),EXACT(D438,"T"),EXACT(D438,"X"),EXACT(E438,"DZF"),EXACT(E438,"OZF"),EXACT(D438,"N"),EXACT(D438,"F")),1,0)</f>
        <v>0</v>
      </c>
      <c r="M438" t="str">
        <f t="shared" si="24"/>
        <v/>
      </c>
      <c r="N438">
        <f t="shared" si="25"/>
        <v>0</v>
      </c>
      <c r="O438">
        <f t="shared" si="26"/>
        <v>0</v>
      </c>
      <c r="P438" t="str">
        <f t="shared" si="27"/>
        <v/>
      </c>
    </row>
    <row r="439" spans="1:16" x14ac:dyDescent="0.25">
      <c r="A439">
        <v>284</v>
      </c>
      <c r="B439">
        <f>IF($A439&gt;$A$1,"",VLOOKUP($A439,'NHL PBP'!$A:$L,8,FALSE))</f>
        <v>3</v>
      </c>
      <c r="C439">
        <f>IF($A439&gt;$A$1,"",IF(B439&gt;3,5/24,20/24)-VLOOKUP($A439,'NHL PBP'!$A:$L,10,FALSE))</f>
        <v>0</v>
      </c>
      <c r="D439" t="str">
        <f>IF($A439&gt;$A$1,"",VLOOKUP($A439,'NHL PBP'!$A:$L,11,FALSE))</f>
        <v>PEND</v>
      </c>
      <c r="E439" t="str">
        <f>IF(AND(EXACT(D439,"FAC"),NOT(EXACT(MID(F439,9,3),"Neu"))),IF(OR(AND(EXACT(MID(F439,9,3),"Off"),EXACT(LEFT(F439,3),UPPER('Entry data'!$C$2))),AND(EXACT(MID(F439,9,3),"Def"),NOT(EXACT(LEFT(F439,3),UPPER('Entry data'!$C$2))))),"DZF","OZF"),"")</f>
        <v/>
      </c>
      <c r="F439" t="str">
        <f>IF($A439&gt;$A$1,"",VLOOKUP($A439,'NHL PBP'!$A:$L,12,FALSE))</f>
        <v>Period End- Local time: 10:12 EDT</v>
      </c>
      <c r="J439">
        <f>IF(EXACT('Entry data'!$C$3,"Road"),IF(ISBLANK(VLOOKUP(A439,'NHL PBP'!A:AH,21,FALSE)),3,IF(ISBLANK(VLOOKUP(A439,'NHL PBP'!A:AH,23,FALSE)),4,5)),IF(ISBLANK(VLOOKUP(A439,'NHL PBP'!A:AH,32,FALSE)),3,IF(ISBLANK(VLOOKUP(A439,'NHL PBP'!A:AH,34,FALSE)),4,5)))</f>
        <v>5</v>
      </c>
      <c r="K439">
        <f>IF(EXACT('Entry data'!$C$3,"Home"),IF(ISBLANK(VLOOKUP(A439,'NHL PBP'!A:AH,21,FALSE)),3,IF(ISBLANK(VLOOKUP(A439,'NHL PBP'!A:AH,23,FALSE)),4,5)),IF(ISBLANK(VLOOKUP(A439,'NHL PBP'!A:AH,32,FALSE)),3,IF(ISBLANK(VLOOKUP(A439,'NHL PBP'!A:AH,34,FALSE)),4,5)))</f>
        <v>4</v>
      </c>
      <c r="L439">
        <f>IF(OR(EXACT(D439,"C"),EXACT(D439,"P"),EXACT(D439,"D"),EXACT(D439,"T"),EXACT(D439,"X"),EXACT(E439,"DZF"),EXACT(E439,"OZF"),EXACT(D439,"N"),EXACT(D439,"F")),1,0)</f>
        <v>0</v>
      </c>
      <c r="M439" t="str">
        <f t="shared" si="24"/>
        <v/>
      </c>
      <c r="N439">
        <f t="shared" si="25"/>
        <v>0</v>
      </c>
      <c r="O439">
        <f t="shared" si="26"/>
        <v>0</v>
      </c>
      <c r="P439" t="str">
        <f t="shared" si="27"/>
        <v/>
      </c>
    </row>
    <row r="440" spans="1:16" x14ac:dyDescent="0.25">
      <c r="A440">
        <v>285</v>
      </c>
      <c r="B440">
        <f>IF($A440&gt;$A$1,"",VLOOKUP($A440,'NHL PBP'!$A:$L,8,FALSE))</f>
        <v>3</v>
      </c>
      <c r="C440">
        <f>IF($A440&gt;$A$1,"",IF(B440&gt;3,5/24,20/24)-VLOOKUP($A440,'NHL PBP'!$A:$L,10,FALSE))</f>
        <v>0</v>
      </c>
      <c r="D440" t="str">
        <f>IF($A440&gt;$A$1,"",VLOOKUP($A440,'NHL PBP'!$A:$L,11,FALSE))</f>
        <v>GEND</v>
      </c>
      <c r="E440" t="str">
        <f>IF(AND(EXACT(D440,"FAC"),NOT(EXACT(MID(F440,9,3),"Neu"))),IF(OR(AND(EXACT(MID(F440,9,3),"Off"),EXACT(LEFT(F440,3),UPPER('Entry data'!$C$2))),AND(EXACT(MID(F440,9,3),"Def"),NOT(EXACT(LEFT(F440,3),UPPER('Entry data'!$C$2))))),"DZF","OZF"),"")</f>
        <v/>
      </c>
      <c r="F440" t="str">
        <f>IF($A440&gt;$A$1,"",VLOOKUP($A440,'NHL PBP'!$A:$L,12,FALSE))</f>
        <v>Game End- Local time: 10:13 EDT</v>
      </c>
      <c r="J440">
        <f>IF(EXACT('Entry data'!$C$3,"Road"),IF(ISBLANK(VLOOKUP(A440,'NHL PBP'!A:AH,21,FALSE)),3,IF(ISBLANK(VLOOKUP(A440,'NHL PBP'!A:AH,23,FALSE)),4,5)),IF(ISBLANK(VLOOKUP(A440,'NHL PBP'!A:AH,32,FALSE)),3,IF(ISBLANK(VLOOKUP(A440,'NHL PBP'!A:AH,34,FALSE)),4,5)))</f>
        <v>3</v>
      </c>
      <c r="K440">
        <f>IF(EXACT('Entry data'!$C$3,"Home"),IF(ISBLANK(VLOOKUP(A440,'NHL PBP'!A:AH,21,FALSE)),3,IF(ISBLANK(VLOOKUP(A440,'NHL PBP'!A:AH,23,FALSE)),4,5)),IF(ISBLANK(VLOOKUP(A440,'NHL PBP'!A:AH,32,FALSE)),3,IF(ISBLANK(VLOOKUP(A440,'NHL PBP'!A:AH,34,FALSE)),4,5)))</f>
        <v>3</v>
      </c>
      <c r="L440">
        <f>IF(OR(EXACT(D440,"C"),EXACT(D440,"P"),EXACT(D440,"D"),EXACT(D440,"T"),EXACT(D440,"X"),EXACT(E440,"DZF"),EXACT(E440,"OZF"),EXACT(D440,"N"),EXACT(D440,"F")),1,0)</f>
        <v>0</v>
      </c>
      <c r="M440" t="str">
        <f t="shared" si="24"/>
        <v/>
      </c>
      <c r="N440">
        <f t="shared" si="25"/>
        <v>0</v>
      </c>
      <c r="O440">
        <f t="shared" si="26"/>
        <v>0</v>
      </c>
      <c r="P440" t="str">
        <f t="shared" si="27"/>
        <v/>
      </c>
    </row>
    <row r="441" spans="1:16" x14ac:dyDescent="0.25">
      <c r="A441">
        <v>286</v>
      </c>
      <c r="B441" t="str">
        <f>IF($A441&gt;$A$1,"",VLOOKUP($A441,'NHL PBP'!$A:$L,8,FALSE))</f>
        <v/>
      </c>
      <c r="C441" t="str">
        <f>IF($A441&gt;$A$1,"",IF(B441&gt;3,5/24,20/24)-VLOOKUP($A441,'NHL PBP'!$A:$L,10,FALSE))</f>
        <v/>
      </c>
      <c r="D441" t="str">
        <f>IF($A441&gt;$A$1,"",VLOOKUP($A441,'NHL PBP'!$A:$L,11,FALSE))</f>
        <v/>
      </c>
      <c r="E441" t="str">
        <f>IF(AND(EXACT(D441,"FAC"),NOT(EXACT(MID(F441,9,3),"Neu"))),IF(OR(AND(EXACT(MID(F441,9,3),"Off"),EXACT(LEFT(F441,3),UPPER('Entry data'!$C$2))),AND(EXACT(MID(F441,9,3),"Def"),NOT(EXACT(LEFT(F441,3),UPPER('Entry data'!$C$2))))),"DZF","OZF"),"")</f>
        <v/>
      </c>
      <c r="F441" t="str">
        <f>IF($A441&gt;$A$1,"",VLOOKUP($A441,'NHL PBP'!$A:$L,12,FALSE))</f>
        <v/>
      </c>
      <c r="J441">
        <f>IF(EXACT('Entry data'!$C$3,"Road"),IF(ISBLANK(VLOOKUP(A441,'NHL PBP'!A:AH,21,FALSE)),3,IF(ISBLANK(VLOOKUP(A441,'NHL PBP'!A:AH,23,FALSE)),4,5)),IF(ISBLANK(VLOOKUP(A441,'NHL PBP'!A:AH,32,FALSE)),3,IF(ISBLANK(VLOOKUP(A441,'NHL PBP'!A:AH,34,FALSE)),4,5)))</f>
        <v>5</v>
      </c>
      <c r="K441">
        <f>IF(EXACT('Entry data'!$C$3,"Home"),IF(ISBLANK(VLOOKUP(A441,'NHL PBP'!A:AH,21,FALSE)),3,IF(ISBLANK(VLOOKUP(A441,'NHL PBP'!A:AH,23,FALSE)),4,5)),IF(ISBLANK(VLOOKUP(A441,'NHL PBP'!A:AH,32,FALSE)),3,IF(ISBLANK(VLOOKUP(A441,'NHL PBP'!A:AH,34,FALSE)),4,5)))</f>
        <v>5</v>
      </c>
      <c r="L441">
        <f>IF(OR(EXACT(D441,"C"),EXACT(D441,"P"),EXACT(D441,"D"),EXACT(D441,"T"),EXACT(D441,"X"),EXACT(E441,"DZF"),EXACT(E441,"OZF"),EXACT(D441,"N"),EXACT(D441,"F")),1,0)</f>
        <v>0</v>
      </c>
      <c r="M441" t="str">
        <f t="shared" si="24"/>
        <v/>
      </c>
      <c r="N441">
        <f t="shared" si="25"/>
        <v>0</v>
      </c>
      <c r="O441">
        <f t="shared" si="26"/>
        <v>0</v>
      </c>
      <c r="P441" t="str">
        <f t="shared" si="27"/>
        <v/>
      </c>
    </row>
    <row r="442" spans="1:16" x14ac:dyDescent="0.25">
      <c r="A442">
        <v>287</v>
      </c>
      <c r="B442" t="str">
        <f>IF($A442&gt;$A$1,"",VLOOKUP($A442,'NHL PBP'!$A:$L,8,FALSE))</f>
        <v/>
      </c>
      <c r="C442" t="str">
        <f>IF($A442&gt;$A$1,"",IF(B442&gt;3,5/24,20/24)-VLOOKUP($A442,'NHL PBP'!$A:$L,10,FALSE))</f>
        <v/>
      </c>
      <c r="D442" t="str">
        <f>IF($A442&gt;$A$1,"",VLOOKUP($A442,'NHL PBP'!$A:$L,11,FALSE))</f>
        <v/>
      </c>
      <c r="E442" t="str">
        <f>IF(AND(EXACT(D442,"FAC"),NOT(EXACT(MID(F442,9,3),"Neu"))),IF(OR(AND(EXACT(MID(F442,9,3),"Off"),EXACT(LEFT(F442,3),UPPER('Entry data'!$C$2))),AND(EXACT(MID(F442,9,3),"Def"),NOT(EXACT(LEFT(F442,3),UPPER('Entry data'!$C$2))))),"DZF","OZF"),"")</f>
        <v/>
      </c>
      <c r="F442" t="str">
        <f>IF($A442&gt;$A$1,"",VLOOKUP($A442,'NHL PBP'!$A:$L,12,FALSE))</f>
        <v/>
      </c>
      <c r="J442">
        <f>IF(EXACT('Entry data'!$C$3,"Road"),IF(ISBLANK(VLOOKUP(A442,'NHL PBP'!A:AH,21,FALSE)),3,IF(ISBLANK(VLOOKUP(A442,'NHL PBP'!A:AH,23,FALSE)),4,5)),IF(ISBLANK(VLOOKUP(A442,'NHL PBP'!A:AH,32,FALSE)),3,IF(ISBLANK(VLOOKUP(A442,'NHL PBP'!A:AH,34,FALSE)),4,5)))</f>
        <v>5</v>
      </c>
      <c r="K442">
        <f>IF(EXACT('Entry data'!$C$3,"Home"),IF(ISBLANK(VLOOKUP(A442,'NHL PBP'!A:AH,21,FALSE)),3,IF(ISBLANK(VLOOKUP(A442,'NHL PBP'!A:AH,23,FALSE)),4,5)),IF(ISBLANK(VLOOKUP(A442,'NHL PBP'!A:AH,32,FALSE)),3,IF(ISBLANK(VLOOKUP(A442,'NHL PBP'!A:AH,34,FALSE)),4,5)))</f>
        <v>5</v>
      </c>
      <c r="L442">
        <f>IF(OR(EXACT(D442,"C"),EXACT(D442,"P"),EXACT(D442,"D"),EXACT(D442,"T"),EXACT(D442,"X"),EXACT(E442,"DZF"),EXACT(E442,"OZF"),EXACT(D442,"N"),EXACT(D442,"F")),1,0)</f>
        <v>0</v>
      </c>
      <c r="M442" t="str">
        <f t="shared" si="24"/>
        <v/>
      </c>
      <c r="N442">
        <f t="shared" si="25"/>
        <v>0</v>
      </c>
      <c r="O442">
        <f t="shared" si="26"/>
        <v>0</v>
      </c>
      <c r="P442" t="str">
        <f t="shared" si="27"/>
        <v/>
      </c>
    </row>
    <row r="443" spans="1:16" x14ac:dyDescent="0.25">
      <c r="A443">
        <v>288</v>
      </c>
      <c r="B443" t="str">
        <f>IF($A443&gt;$A$1,"",VLOOKUP($A443,'NHL PBP'!$A:$L,8,FALSE))</f>
        <v/>
      </c>
      <c r="C443" t="str">
        <f>IF($A443&gt;$A$1,"",IF(B443&gt;3,5/24,20/24)-VLOOKUP($A443,'NHL PBP'!$A:$L,10,FALSE))</f>
        <v/>
      </c>
      <c r="D443" t="str">
        <f>IF($A443&gt;$A$1,"",VLOOKUP($A443,'NHL PBP'!$A:$L,11,FALSE))</f>
        <v/>
      </c>
      <c r="E443" t="str">
        <f>IF(AND(EXACT(D443,"FAC"),NOT(EXACT(MID(F443,9,3),"Neu"))),IF(OR(AND(EXACT(MID(F443,9,3),"Off"),EXACT(LEFT(F443,3),UPPER('Entry data'!$C$2))),AND(EXACT(MID(F443,9,3),"Def"),NOT(EXACT(LEFT(F443,3),UPPER('Entry data'!$C$2))))),"DZF","OZF"),"")</f>
        <v/>
      </c>
      <c r="F443" t="str">
        <f>IF($A443&gt;$A$1,"",VLOOKUP($A443,'NHL PBP'!$A:$L,12,FALSE))</f>
        <v/>
      </c>
      <c r="J443">
        <f>IF(EXACT('Entry data'!$C$3,"Road"),IF(ISBLANK(VLOOKUP(A443,'NHL PBP'!A:AH,21,FALSE)),3,IF(ISBLANK(VLOOKUP(A443,'NHL PBP'!A:AH,23,FALSE)),4,5)),IF(ISBLANK(VLOOKUP(A443,'NHL PBP'!A:AH,32,FALSE)),3,IF(ISBLANK(VLOOKUP(A443,'NHL PBP'!A:AH,34,FALSE)),4,5)))</f>
        <v>5</v>
      </c>
      <c r="K443">
        <f>IF(EXACT('Entry data'!$C$3,"Home"),IF(ISBLANK(VLOOKUP(A443,'NHL PBP'!A:AH,21,FALSE)),3,IF(ISBLANK(VLOOKUP(A443,'NHL PBP'!A:AH,23,FALSE)),4,5)),IF(ISBLANK(VLOOKUP(A443,'NHL PBP'!A:AH,32,FALSE)),3,IF(ISBLANK(VLOOKUP(A443,'NHL PBP'!A:AH,34,FALSE)),4,5)))</f>
        <v>5</v>
      </c>
      <c r="L443">
        <f>IF(OR(EXACT(D443,"C"),EXACT(D443,"P"),EXACT(D443,"D"),EXACT(D443,"T"),EXACT(D443,"X"),EXACT(E443,"DZF"),EXACT(E443,"OZF"),EXACT(D443,"N"),EXACT(D443,"F")),1,0)</f>
        <v>0</v>
      </c>
      <c r="M443" t="str">
        <f t="shared" si="24"/>
        <v/>
      </c>
      <c r="N443">
        <f t="shared" si="25"/>
        <v>0</v>
      </c>
      <c r="O443">
        <f t="shared" si="26"/>
        <v>0</v>
      </c>
      <c r="P443" t="str">
        <f t="shared" si="27"/>
        <v/>
      </c>
    </row>
    <row r="444" spans="1:16" x14ac:dyDescent="0.25">
      <c r="A444">
        <v>289</v>
      </c>
      <c r="B444" t="str">
        <f>IF($A444&gt;$A$1,"",VLOOKUP($A444,'NHL PBP'!$A:$L,8,FALSE))</f>
        <v/>
      </c>
      <c r="C444" t="str">
        <f>IF($A444&gt;$A$1,"",IF(B444&gt;3,5/24,20/24)-VLOOKUP($A444,'NHL PBP'!$A:$L,10,FALSE))</f>
        <v/>
      </c>
      <c r="D444" t="str">
        <f>IF($A444&gt;$A$1,"",VLOOKUP($A444,'NHL PBP'!$A:$L,11,FALSE))</f>
        <v/>
      </c>
      <c r="E444" t="str">
        <f>IF(AND(EXACT(D444,"FAC"),NOT(EXACT(MID(F444,9,3),"Neu"))),IF(OR(AND(EXACT(MID(F444,9,3),"Off"),EXACT(LEFT(F444,3),UPPER('Entry data'!$C$2))),AND(EXACT(MID(F444,9,3),"Def"),NOT(EXACT(LEFT(F444,3),UPPER('Entry data'!$C$2))))),"DZF","OZF"),"")</f>
        <v/>
      </c>
      <c r="F444" t="str">
        <f>IF($A444&gt;$A$1,"",VLOOKUP($A444,'NHL PBP'!$A:$L,12,FALSE))</f>
        <v/>
      </c>
      <c r="J444">
        <f>IF(EXACT('Entry data'!$C$3,"Road"),IF(ISBLANK(VLOOKUP(A444,'NHL PBP'!A:AH,21,FALSE)),3,IF(ISBLANK(VLOOKUP(A444,'NHL PBP'!A:AH,23,FALSE)),4,5)),IF(ISBLANK(VLOOKUP(A444,'NHL PBP'!A:AH,32,FALSE)),3,IF(ISBLANK(VLOOKUP(A444,'NHL PBP'!A:AH,34,FALSE)),4,5)))</f>
        <v>5</v>
      </c>
      <c r="K444">
        <f>IF(EXACT('Entry data'!$C$3,"Home"),IF(ISBLANK(VLOOKUP(A444,'NHL PBP'!A:AH,21,FALSE)),3,IF(ISBLANK(VLOOKUP(A444,'NHL PBP'!A:AH,23,FALSE)),4,5)),IF(ISBLANK(VLOOKUP(A444,'NHL PBP'!A:AH,32,FALSE)),3,IF(ISBLANK(VLOOKUP(A444,'NHL PBP'!A:AH,34,FALSE)),4,5)))</f>
        <v>5</v>
      </c>
      <c r="L444">
        <f>IF(OR(EXACT(D444,"C"),EXACT(D444,"P"),EXACT(D444,"D"),EXACT(D444,"T"),EXACT(D444,"X"),EXACT(E444,"DZF"),EXACT(E444,"OZF"),EXACT(D444,"N"),EXACT(D444,"F")),1,0)</f>
        <v>0</v>
      </c>
      <c r="M444" t="str">
        <f t="shared" si="24"/>
        <v/>
      </c>
      <c r="N444">
        <f t="shared" si="25"/>
        <v>0</v>
      </c>
      <c r="O444">
        <f t="shared" si="26"/>
        <v>0</v>
      </c>
      <c r="P444" t="str">
        <f t="shared" si="27"/>
        <v/>
      </c>
    </row>
    <row r="445" spans="1:16" x14ac:dyDescent="0.25">
      <c r="A445">
        <v>290</v>
      </c>
      <c r="B445" t="str">
        <f>IF($A445&gt;$A$1,"",VLOOKUP($A445,'NHL PBP'!$A:$L,8,FALSE))</f>
        <v/>
      </c>
      <c r="C445" t="str">
        <f>IF($A445&gt;$A$1,"",IF(B445&gt;3,5/24,20/24)-VLOOKUP($A445,'NHL PBP'!$A:$L,10,FALSE))</f>
        <v/>
      </c>
      <c r="D445" t="str">
        <f>IF($A445&gt;$A$1,"",VLOOKUP($A445,'NHL PBP'!$A:$L,11,FALSE))</f>
        <v/>
      </c>
      <c r="E445" t="str">
        <f>IF(AND(EXACT(D445,"FAC"),NOT(EXACT(MID(F445,9,3),"Neu"))),IF(OR(AND(EXACT(MID(F445,9,3),"Off"),EXACT(LEFT(F445,3),UPPER('Entry data'!$C$2))),AND(EXACT(MID(F445,9,3),"Def"),NOT(EXACT(LEFT(F445,3),UPPER('Entry data'!$C$2))))),"DZF","OZF"),"")</f>
        <v/>
      </c>
      <c r="F445" t="str">
        <f>IF($A445&gt;$A$1,"",VLOOKUP($A445,'NHL PBP'!$A:$L,12,FALSE))</f>
        <v/>
      </c>
      <c r="J445">
        <f>IF(EXACT('Entry data'!$C$3,"Road"),IF(ISBLANK(VLOOKUP(A445,'NHL PBP'!A:AH,21,FALSE)),3,IF(ISBLANK(VLOOKUP(A445,'NHL PBP'!A:AH,23,FALSE)),4,5)),IF(ISBLANK(VLOOKUP(A445,'NHL PBP'!A:AH,32,FALSE)),3,IF(ISBLANK(VLOOKUP(A445,'NHL PBP'!A:AH,34,FALSE)),4,5)))</f>
        <v>5</v>
      </c>
      <c r="K445">
        <f>IF(EXACT('Entry data'!$C$3,"Home"),IF(ISBLANK(VLOOKUP(A445,'NHL PBP'!A:AH,21,FALSE)),3,IF(ISBLANK(VLOOKUP(A445,'NHL PBP'!A:AH,23,FALSE)),4,5)),IF(ISBLANK(VLOOKUP(A445,'NHL PBP'!A:AH,32,FALSE)),3,IF(ISBLANK(VLOOKUP(A445,'NHL PBP'!A:AH,34,FALSE)),4,5)))</f>
        <v>5</v>
      </c>
      <c r="L445">
        <f>IF(OR(EXACT(D445,"C"),EXACT(D445,"P"),EXACT(D445,"D"),EXACT(D445,"T"),EXACT(D445,"X"),EXACT(E445,"DZF"),EXACT(E445,"OZF"),EXACT(D445,"N"),EXACT(D445,"F")),1,0)</f>
        <v>0</v>
      </c>
      <c r="M445" t="str">
        <f t="shared" si="24"/>
        <v/>
      </c>
      <c r="N445">
        <f t="shared" si="25"/>
        <v>0</v>
      </c>
      <c r="O445">
        <f t="shared" si="26"/>
        <v>0</v>
      </c>
      <c r="P445" t="str">
        <f t="shared" si="27"/>
        <v/>
      </c>
    </row>
    <row r="446" spans="1:16" x14ac:dyDescent="0.25">
      <c r="A446">
        <v>291</v>
      </c>
      <c r="B446" t="str">
        <f>IF($A446&gt;$A$1,"",VLOOKUP($A446,'NHL PBP'!$A:$L,8,FALSE))</f>
        <v/>
      </c>
      <c r="C446" t="str">
        <f>IF($A446&gt;$A$1,"",IF(B446&gt;3,5/24,20/24)-VLOOKUP($A446,'NHL PBP'!$A:$L,10,FALSE))</f>
        <v/>
      </c>
      <c r="D446" t="str">
        <f>IF($A446&gt;$A$1,"",VLOOKUP($A446,'NHL PBP'!$A:$L,11,FALSE))</f>
        <v/>
      </c>
      <c r="E446" t="str">
        <f>IF(AND(EXACT(D446,"FAC"),NOT(EXACT(MID(F446,9,3),"Neu"))),IF(OR(AND(EXACT(MID(F446,9,3),"Off"),EXACT(LEFT(F446,3),UPPER('Entry data'!$C$2))),AND(EXACT(MID(F446,9,3),"Def"),NOT(EXACT(LEFT(F446,3),UPPER('Entry data'!$C$2))))),"DZF","OZF"),"")</f>
        <v/>
      </c>
      <c r="F446" t="str">
        <f>IF($A446&gt;$A$1,"",VLOOKUP($A446,'NHL PBP'!$A:$L,12,FALSE))</f>
        <v/>
      </c>
      <c r="J446">
        <f>IF(EXACT('Entry data'!$C$3,"Road"),IF(ISBLANK(VLOOKUP(A446,'NHL PBP'!A:AH,21,FALSE)),3,IF(ISBLANK(VLOOKUP(A446,'NHL PBP'!A:AH,23,FALSE)),4,5)),IF(ISBLANK(VLOOKUP(A446,'NHL PBP'!A:AH,32,FALSE)),3,IF(ISBLANK(VLOOKUP(A446,'NHL PBP'!A:AH,34,FALSE)),4,5)))</f>
        <v>5</v>
      </c>
      <c r="K446">
        <f>IF(EXACT('Entry data'!$C$3,"Home"),IF(ISBLANK(VLOOKUP(A446,'NHL PBP'!A:AH,21,FALSE)),3,IF(ISBLANK(VLOOKUP(A446,'NHL PBP'!A:AH,23,FALSE)),4,5)),IF(ISBLANK(VLOOKUP(A446,'NHL PBP'!A:AH,32,FALSE)),3,IF(ISBLANK(VLOOKUP(A446,'NHL PBP'!A:AH,34,FALSE)),4,5)))</f>
        <v>5</v>
      </c>
      <c r="L446">
        <f>IF(OR(EXACT(D446,"C"),EXACT(D446,"P"),EXACT(D446,"D"),EXACT(D446,"T"),EXACT(D446,"X"),EXACT(E446,"DZF"),EXACT(E446,"OZF"),EXACT(D446,"N"),EXACT(D446,"F")),1,0)</f>
        <v>0</v>
      </c>
      <c r="M446" t="str">
        <f t="shared" si="24"/>
        <v/>
      </c>
      <c r="N446">
        <f t="shared" si="25"/>
        <v>0</v>
      </c>
      <c r="O446">
        <f t="shared" si="26"/>
        <v>0</v>
      </c>
      <c r="P446" t="str">
        <f t="shared" si="27"/>
        <v/>
      </c>
    </row>
    <row r="447" spans="1:16" x14ac:dyDescent="0.25">
      <c r="A447">
        <v>292</v>
      </c>
      <c r="B447" t="str">
        <f>IF($A447&gt;$A$1,"",VLOOKUP($A447,'NHL PBP'!$A:$L,8,FALSE))</f>
        <v/>
      </c>
      <c r="C447" t="str">
        <f>IF($A447&gt;$A$1,"",IF(B447&gt;3,5/24,20/24)-VLOOKUP($A447,'NHL PBP'!$A:$L,10,FALSE))</f>
        <v/>
      </c>
      <c r="D447" t="str">
        <f>IF($A447&gt;$A$1,"",VLOOKUP($A447,'NHL PBP'!$A:$L,11,FALSE))</f>
        <v/>
      </c>
      <c r="E447" t="str">
        <f>IF(AND(EXACT(D447,"FAC"),NOT(EXACT(MID(F447,9,3),"Neu"))),IF(OR(AND(EXACT(MID(F447,9,3),"Off"),EXACT(LEFT(F447,3),UPPER('Entry data'!$C$2))),AND(EXACT(MID(F447,9,3),"Def"),NOT(EXACT(LEFT(F447,3),UPPER('Entry data'!$C$2))))),"DZF","OZF"),"")</f>
        <v/>
      </c>
      <c r="F447" t="str">
        <f>IF($A447&gt;$A$1,"",VLOOKUP($A447,'NHL PBP'!$A:$L,12,FALSE))</f>
        <v/>
      </c>
      <c r="J447">
        <f>IF(EXACT('Entry data'!$C$3,"Road"),IF(ISBLANK(VLOOKUP(A447,'NHL PBP'!A:AH,21,FALSE)),3,IF(ISBLANK(VLOOKUP(A447,'NHL PBP'!A:AH,23,FALSE)),4,5)),IF(ISBLANK(VLOOKUP(A447,'NHL PBP'!A:AH,32,FALSE)),3,IF(ISBLANK(VLOOKUP(A447,'NHL PBP'!A:AH,34,FALSE)),4,5)))</f>
        <v>5</v>
      </c>
      <c r="K447">
        <f>IF(EXACT('Entry data'!$C$3,"Home"),IF(ISBLANK(VLOOKUP(A447,'NHL PBP'!A:AH,21,FALSE)),3,IF(ISBLANK(VLOOKUP(A447,'NHL PBP'!A:AH,23,FALSE)),4,5)),IF(ISBLANK(VLOOKUP(A447,'NHL PBP'!A:AH,32,FALSE)),3,IF(ISBLANK(VLOOKUP(A447,'NHL PBP'!A:AH,34,FALSE)),4,5)))</f>
        <v>5</v>
      </c>
      <c r="L447">
        <f>IF(OR(EXACT(D447,"C"),EXACT(D447,"P"),EXACT(D447,"D"),EXACT(D447,"T"),EXACT(D447,"X"),EXACT(E447,"DZF"),EXACT(E447,"OZF"),EXACT(D447,"N"),EXACT(D447,"F")),1,0)</f>
        <v>0</v>
      </c>
      <c r="M447" t="str">
        <f t="shared" si="24"/>
        <v/>
      </c>
      <c r="N447">
        <f t="shared" si="25"/>
        <v>0</v>
      </c>
      <c r="O447">
        <f t="shared" si="26"/>
        <v>0</v>
      </c>
      <c r="P447" t="str">
        <f t="shared" si="27"/>
        <v/>
      </c>
    </row>
    <row r="448" spans="1:16" x14ac:dyDescent="0.25">
      <c r="A448">
        <v>293</v>
      </c>
      <c r="B448" t="str">
        <f>IF($A448&gt;$A$1,"",VLOOKUP($A448,'NHL PBP'!$A:$L,8,FALSE))</f>
        <v/>
      </c>
      <c r="C448" t="str">
        <f>IF($A448&gt;$A$1,"",IF(B448&gt;3,5/24,20/24)-VLOOKUP($A448,'NHL PBP'!$A:$L,10,FALSE))</f>
        <v/>
      </c>
      <c r="D448" t="str">
        <f>IF($A448&gt;$A$1,"",VLOOKUP($A448,'NHL PBP'!$A:$L,11,FALSE))</f>
        <v/>
      </c>
      <c r="E448" t="str">
        <f>IF(AND(EXACT(D448,"FAC"),NOT(EXACT(MID(F448,9,3),"Neu"))),IF(OR(AND(EXACT(MID(F448,9,3),"Off"),EXACT(LEFT(F448,3),UPPER('Entry data'!$C$2))),AND(EXACT(MID(F448,9,3),"Def"),NOT(EXACT(LEFT(F448,3),UPPER('Entry data'!$C$2))))),"DZF","OZF"),"")</f>
        <v/>
      </c>
      <c r="F448" t="str">
        <f>IF($A448&gt;$A$1,"",VLOOKUP($A448,'NHL PBP'!$A:$L,12,FALSE))</f>
        <v/>
      </c>
      <c r="J448">
        <f>IF(EXACT('Entry data'!$C$3,"Road"),IF(ISBLANK(VLOOKUP(A448,'NHL PBP'!A:AH,21,FALSE)),3,IF(ISBLANK(VLOOKUP(A448,'NHL PBP'!A:AH,23,FALSE)),4,5)),IF(ISBLANK(VLOOKUP(A448,'NHL PBP'!A:AH,32,FALSE)),3,IF(ISBLANK(VLOOKUP(A448,'NHL PBP'!A:AH,34,FALSE)),4,5)))</f>
        <v>5</v>
      </c>
      <c r="K448">
        <f>IF(EXACT('Entry data'!$C$3,"Home"),IF(ISBLANK(VLOOKUP(A448,'NHL PBP'!A:AH,21,FALSE)),3,IF(ISBLANK(VLOOKUP(A448,'NHL PBP'!A:AH,23,FALSE)),4,5)),IF(ISBLANK(VLOOKUP(A448,'NHL PBP'!A:AH,32,FALSE)),3,IF(ISBLANK(VLOOKUP(A448,'NHL PBP'!A:AH,34,FALSE)),4,5)))</f>
        <v>5</v>
      </c>
      <c r="L448">
        <f>IF(OR(EXACT(D448,"C"),EXACT(D448,"P"),EXACT(D448,"D"),EXACT(D448,"T"),EXACT(D448,"X"),EXACT(E448,"DZF"),EXACT(E448,"OZF"),EXACT(D448,"N"),EXACT(D448,"F")),1,0)</f>
        <v>0</v>
      </c>
      <c r="M448" t="str">
        <f t="shared" si="24"/>
        <v/>
      </c>
      <c r="N448">
        <f t="shared" si="25"/>
        <v>0</v>
      </c>
      <c r="O448">
        <f t="shared" si="26"/>
        <v>0</v>
      </c>
      <c r="P448" t="str">
        <f t="shared" si="27"/>
        <v/>
      </c>
    </row>
    <row r="449" spans="1:16" x14ac:dyDescent="0.25">
      <c r="A449">
        <v>294</v>
      </c>
      <c r="B449" t="str">
        <f>IF($A449&gt;$A$1,"",VLOOKUP($A449,'NHL PBP'!$A:$L,8,FALSE))</f>
        <v/>
      </c>
      <c r="C449" t="str">
        <f>IF($A449&gt;$A$1,"",IF(B449&gt;3,5/24,20/24)-VLOOKUP($A449,'NHL PBP'!$A:$L,10,FALSE))</f>
        <v/>
      </c>
      <c r="D449" t="str">
        <f>IF($A449&gt;$A$1,"",VLOOKUP($A449,'NHL PBP'!$A:$L,11,FALSE))</f>
        <v/>
      </c>
      <c r="E449" t="str">
        <f>IF(AND(EXACT(D449,"FAC"),NOT(EXACT(MID(F449,9,3),"Neu"))),IF(OR(AND(EXACT(MID(F449,9,3),"Off"),EXACT(LEFT(F449,3),UPPER('Entry data'!$C$2))),AND(EXACT(MID(F449,9,3),"Def"),NOT(EXACT(LEFT(F449,3),UPPER('Entry data'!$C$2))))),"DZF","OZF"),"")</f>
        <v/>
      </c>
      <c r="F449" t="str">
        <f>IF($A449&gt;$A$1,"",VLOOKUP($A449,'NHL PBP'!$A:$L,12,FALSE))</f>
        <v/>
      </c>
      <c r="J449">
        <f>IF(EXACT('Entry data'!$C$3,"Road"),IF(ISBLANK(VLOOKUP(A449,'NHL PBP'!A:AH,21,FALSE)),3,IF(ISBLANK(VLOOKUP(A449,'NHL PBP'!A:AH,23,FALSE)),4,5)),IF(ISBLANK(VLOOKUP(A449,'NHL PBP'!A:AH,32,FALSE)),3,IF(ISBLANK(VLOOKUP(A449,'NHL PBP'!A:AH,34,FALSE)),4,5)))</f>
        <v>5</v>
      </c>
      <c r="K449">
        <f>IF(EXACT('Entry data'!$C$3,"Home"),IF(ISBLANK(VLOOKUP(A449,'NHL PBP'!A:AH,21,FALSE)),3,IF(ISBLANK(VLOOKUP(A449,'NHL PBP'!A:AH,23,FALSE)),4,5)),IF(ISBLANK(VLOOKUP(A449,'NHL PBP'!A:AH,32,FALSE)),3,IF(ISBLANK(VLOOKUP(A449,'NHL PBP'!A:AH,34,FALSE)),4,5)))</f>
        <v>5</v>
      </c>
      <c r="L449">
        <f>IF(OR(EXACT(D449,"C"),EXACT(D449,"P"),EXACT(D449,"D"),EXACT(D449,"T"),EXACT(D449,"X"),EXACT(E449,"DZF"),EXACT(E449,"OZF"),EXACT(D449,"N"),EXACT(D449,"F")),1,0)</f>
        <v>0</v>
      </c>
      <c r="M449" t="str">
        <f t="shared" si="24"/>
        <v/>
      </c>
      <c r="N449">
        <f t="shared" si="25"/>
        <v>0</v>
      </c>
      <c r="O449">
        <f t="shared" si="26"/>
        <v>0</v>
      </c>
      <c r="P449" t="str">
        <f t="shared" si="27"/>
        <v/>
      </c>
    </row>
    <row r="450" spans="1:16" x14ac:dyDescent="0.25">
      <c r="A450">
        <v>295</v>
      </c>
      <c r="B450" t="str">
        <f>IF($A450&gt;$A$1,"",VLOOKUP($A450,'NHL PBP'!$A:$L,8,FALSE))</f>
        <v/>
      </c>
      <c r="C450" t="str">
        <f>IF($A450&gt;$A$1,"",IF(B450&gt;3,5/24,20/24)-VLOOKUP($A450,'NHL PBP'!$A:$L,10,FALSE))</f>
        <v/>
      </c>
      <c r="D450" t="str">
        <f>IF($A450&gt;$A$1,"",VLOOKUP($A450,'NHL PBP'!$A:$L,11,FALSE))</f>
        <v/>
      </c>
      <c r="E450" t="str">
        <f>IF(AND(EXACT(D450,"FAC"),NOT(EXACT(MID(F450,9,3),"Neu"))),IF(OR(AND(EXACT(MID(F450,9,3),"Off"),EXACT(LEFT(F450,3),UPPER('Entry data'!$C$2))),AND(EXACT(MID(F450,9,3),"Def"),NOT(EXACT(LEFT(F450,3),UPPER('Entry data'!$C$2))))),"DZF","OZF"),"")</f>
        <v/>
      </c>
      <c r="F450" t="str">
        <f>IF($A450&gt;$A$1,"",VLOOKUP($A450,'NHL PBP'!$A:$L,12,FALSE))</f>
        <v/>
      </c>
      <c r="J450">
        <f>IF(EXACT('Entry data'!$C$3,"Road"),IF(ISBLANK(VLOOKUP(A450,'NHL PBP'!A:AH,21,FALSE)),3,IF(ISBLANK(VLOOKUP(A450,'NHL PBP'!A:AH,23,FALSE)),4,5)),IF(ISBLANK(VLOOKUP(A450,'NHL PBP'!A:AH,32,FALSE)),3,IF(ISBLANK(VLOOKUP(A450,'NHL PBP'!A:AH,34,FALSE)),4,5)))</f>
        <v>5</v>
      </c>
      <c r="K450">
        <f>IF(EXACT('Entry data'!$C$3,"Home"),IF(ISBLANK(VLOOKUP(A450,'NHL PBP'!A:AH,21,FALSE)),3,IF(ISBLANK(VLOOKUP(A450,'NHL PBP'!A:AH,23,FALSE)),4,5)),IF(ISBLANK(VLOOKUP(A450,'NHL PBP'!A:AH,32,FALSE)),3,IF(ISBLANK(VLOOKUP(A450,'NHL PBP'!A:AH,34,FALSE)),4,5)))</f>
        <v>5</v>
      </c>
      <c r="L450">
        <f>IF(OR(EXACT(D450,"C"),EXACT(D450,"P"),EXACT(D450,"D"),EXACT(D450,"T"),EXACT(D450,"X"),EXACT(E450,"DZF"),EXACT(E450,"OZF"),EXACT(D450,"N"),EXACT(D450,"F")),1,0)</f>
        <v>0</v>
      </c>
      <c r="M450" t="str">
        <f t="shared" ref="M450:M513" si="28">IF(OR(EXACT(D450,"C"),EXACT(D450,"P")),E450,"")</f>
        <v/>
      </c>
      <c r="N450">
        <f t="shared" ref="N450:N513" si="29">IF(OR(EXACT(D450,"GOAL"),EXACT(D450,"SHOT"),EXACT(D450,"MISS")),1,0)+IF(L451=0,N451,0)</f>
        <v>0</v>
      </c>
      <c r="O450">
        <f t="shared" ref="O450:O513" si="30">IF(EXACT(D450,"GOAL"),1,0)+IF(L451=0,O451,0)</f>
        <v>0</v>
      </c>
      <c r="P450" t="str">
        <f t="shared" si="27"/>
        <v/>
      </c>
    </row>
    <row r="451" spans="1:16" x14ac:dyDescent="0.25">
      <c r="A451">
        <v>296</v>
      </c>
      <c r="B451" t="str">
        <f>IF($A451&gt;$A$1,"",VLOOKUP($A451,'NHL PBP'!$A:$L,8,FALSE))</f>
        <v/>
      </c>
      <c r="C451" t="str">
        <f>IF($A451&gt;$A$1,"",IF(B451&gt;3,5/24,20/24)-VLOOKUP($A451,'NHL PBP'!$A:$L,10,FALSE))</f>
        <v/>
      </c>
      <c r="D451" t="str">
        <f>IF($A451&gt;$A$1,"",VLOOKUP($A451,'NHL PBP'!$A:$L,11,FALSE))</f>
        <v/>
      </c>
      <c r="E451" t="str">
        <f>IF(AND(EXACT(D451,"FAC"),NOT(EXACT(MID(F451,9,3),"Neu"))),IF(OR(AND(EXACT(MID(F451,9,3),"Off"),EXACT(LEFT(F451,3),UPPER('Entry data'!$C$2))),AND(EXACT(MID(F451,9,3),"Def"),NOT(EXACT(LEFT(F451,3),UPPER('Entry data'!$C$2))))),"DZF","OZF"),"")</f>
        <v/>
      </c>
      <c r="F451" t="str">
        <f>IF($A451&gt;$A$1,"",VLOOKUP($A451,'NHL PBP'!$A:$L,12,FALSE))</f>
        <v/>
      </c>
      <c r="J451">
        <f>IF(EXACT('Entry data'!$C$3,"Road"),IF(ISBLANK(VLOOKUP(A451,'NHL PBP'!A:AH,21,FALSE)),3,IF(ISBLANK(VLOOKUP(A451,'NHL PBP'!A:AH,23,FALSE)),4,5)),IF(ISBLANK(VLOOKUP(A451,'NHL PBP'!A:AH,32,FALSE)),3,IF(ISBLANK(VLOOKUP(A451,'NHL PBP'!A:AH,34,FALSE)),4,5)))</f>
        <v>5</v>
      </c>
      <c r="K451">
        <f>IF(EXACT('Entry data'!$C$3,"Home"),IF(ISBLANK(VLOOKUP(A451,'NHL PBP'!A:AH,21,FALSE)),3,IF(ISBLANK(VLOOKUP(A451,'NHL PBP'!A:AH,23,FALSE)),4,5)),IF(ISBLANK(VLOOKUP(A451,'NHL PBP'!A:AH,32,FALSE)),3,IF(ISBLANK(VLOOKUP(A451,'NHL PBP'!A:AH,34,FALSE)),4,5)))</f>
        <v>5</v>
      </c>
      <c r="L451">
        <f>IF(OR(EXACT(D451,"C"),EXACT(D451,"P"),EXACT(D451,"D"),EXACT(D451,"T"),EXACT(D451,"X"),EXACT(E451,"DZF"),EXACT(E451,"OZF"),EXACT(D451,"N"),EXACT(D451,"F")),1,0)</f>
        <v>0</v>
      </c>
      <c r="M451" t="str">
        <f t="shared" si="28"/>
        <v/>
      </c>
      <c r="N451">
        <f t="shared" si="29"/>
        <v>0</v>
      </c>
      <c r="O451">
        <f t="shared" si="30"/>
        <v>0</v>
      </c>
      <c r="P451" t="str">
        <f t="shared" ref="P451:P514" si="31">IF(EXACT(D451,"F"),E451,"")</f>
        <v/>
      </c>
    </row>
    <row r="452" spans="1:16" x14ac:dyDescent="0.25">
      <c r="A452">
        <v>297</v>
      </c>
      <c r="B452" t="str">
        <f>IF($A452&gt;$A$1,"",VLOOKUP($A452,'NHL PBP'!$A:$L,8,FALSE))</f>
        <v/>
      </c>
      <c r="C452" t="str">
        <f>IF($A452&gt;$A$1,"",IF(B452&gt;3,5/24,20/24)-VLOOKUP($A452,'NHL PBP'!$A:$L,10,FALSE))</f>
        <v/>
      </c>
      <c r="D452" t="str">
        <f>IF($A452&gt;$A$1,"",VLOOKUP($A452,'NHL PBP'!$A:$L,11,FALSE))</f>
        <v/>
      </c>
      <c r="E452" t="str">
        <f>IF(AND(EXACT(D452,"FAC"),NOT(EXACT(MID(F452,9,3),"Neu"))),IF(OR(AND(EXACT(MID(F452,9,3),"Off"),EXACT(LEFT(F452,3),UPPER('Entry data'!$C$2))),AND(EXACT(MID(F452,9,3),"Def"),NOT(EXACT(LEFT(F452,3),UPPER('Entry data'!$C$2))))),"DZF","OZF"),"")</f>
        <v/>
      </c>
      <c r="F452" t="str">
        <f>IF($A452&gt;$A$1,"",VLOOKUP($A452,'NHL PBP'!$A:$L,12,FALSE))</f>
        <v/>
      </c>
      <c r="J452">
        <f>IF(EXACT('Entry data'!$C$3,"Road"),IF(ISBLANK(VLOOKUP(A452,'NHL PBP'!A:AH,21,FALSE)),3,IF(ISBLANK(VLOOKUP(A452,'NHL PBP'!A:AH,23,FALSE)),4,5)),IF(ISBLANK(VLOOKUP(A452,'NHL PBP'!A:AH,32,FALSE)),3,IF(ISBLANK(VLOOKUP(A452,'NHL PBP'!A:AH,34,FALSE)),4,5)))</f>
        <v>5</v>
      </c>
      <c r="K452">
        <f>IF(EXACT('Entry data'!$C$3,"Home"),IF(ISBLANK(VLOOKUP(A452,'NHL PBP'!A:AH,21,FALSE)),3,IF(ISBLANK(VLOOKUP(A452,'NHL PBP'!A:AH,23,FALSE)),4,5)),IF(ISBLANK(VLOOKUP(A452,'NHL PBP'!A:AH,32,FALSE)),3,IF(ISBLANK(VLOOKUP(A452,'NHL PBP'!A:AH,34,FALSE)),4,5)))</f>
        <v>5</v>
      </c>
      <c r="L452">
        <f>IF(OR(EXACT(D452,"C"),EXACT(D452,"P"),EXACT(D452,"D"),EXACT(D452,"T"),EXACT(D452,"X"),EXACT(E452,"DZF"),EXACT(E452,"OZF"),EXACT(D452,"N"),EXACT(D452,"F")),1,0)</f>
        <v>0</v>
      </c>
      <c r="M452" t="str">
        <f t="shared" si="28"/>
        <v/>
      </c>
      <c r="N452">
        <f t="shared" si="29"/>
        <v>0</v>
      </c>
      <c r="O452">
        <f t="shared" si="30"/>
        <v>0</v>
      </c>
      <c r="P452" t="str">
        <f t="shared" si="31"/>
        <v/>
      </c>
    </row>
    <row r="453" spans="1:16" x14ac:dyDescent="0.25">
      <c r="A453">
        <v>298</v>
      </c>
      <c r="B453" t="str">
        <f>IF($A453&gt;$A$1,"",VLOOKUP($A453,'NHL PBP'!$A:$L,8,FALSE))</f>
        <v/>
      </c>
      <c r="C453" t="str">
        <f>IF($A453&gt;$A$1,"",IF(B453&gt;3,5/24,20/24)-VLOOKUP($A453,'NHL PBP'!$A:$L,10,FALSE))</f>
        <v/>
      </c>
      <c r="D453" t="str">
        <f>IF($A453&gt;$A$1,"",VLOOKUP($A453,'NHL PBP'!$A:$L,11,FALSE))</f>
        <v/>
      </c>
      <c r="E453" t="str">
        <f>IF(AND(EXACT(D453,"FAC"),NOT(EXACT(MID(F453,9,3),"Neu"))),IF(OR(AND(EXACT(MID(F453,9,3),"Off"),EXACT(LEFT(F453,3),UPPER('Entry data'!$C$2))),AND(EXACT(MID(F453,9,3),"Def"),NOT(EXACT(LEFT(F453,3),UPPER('Entry data'!$C$2))))),"DZF","OZF"),"")</f>
        <v/>
      </c>
      <c r="F453" t="str">
        <f>IF($A453&gt;$A$1,"",VLOOKUP($A453,'NHL PBP'!$A:$L,12,FALSE))</f>
        <v/>
      </c>
      <c r="J453">
        <f>IF(EXACT('Entry data'!$C$3,"Road"),IF(ISBLANK(VLOOKUP(A453,'NHL PBP'!A:AH,21,FALSE)),3,IF(ISBLANK(VLOOKUP(A453,'NHL PBP'!A:AH,23,FALSE)),4,5)),IF(ISBLANK(VLOOKUP(A453,'NHL PBP'!A:AH,32,FALSE)),3,IF(ISBLANK(VLOOKUP(A453,'NHL PBP'!A:AH,34,FALSE)),4,5)))</f>
        <v>5</v>
      </c>
      <c r="K453">
        <f>IF(EXACT('Entry data'!$C$3,"Home"),IF(ISBLANK(VLOOKUP(A453,'NHL PBP'!A:AH,21,FALSE)),3,IF(ISBLANK(VLOOKUP(A453,'NHL PBP'!A:AH,23,FALSE)),4,5)),IF(ISBLANK(VLOOKUP(A453,'NHL PBP'!A:AH,32,FALSE)),3,IF(ISBLANK(VLOOKUP(A453,'NHL PBP'!A:AH,34,FALSE)),4,5)))</f>
        <v>5</v>
      </c>
      <c r="L453">
        <f>IF(OR(EXACT(D453,"C"),EXACT(D453,"P"),EXACT(D453,"D"),EXACT(D453,"T"),EXACT(D453,"X"),EXACT(E453,"DZF"),EXACT(E453,"OZF"),EXACT(D453,"N"),EXACT(D453,"F")),1,0)</f>
        <v>0</v>
      </c>
      <c r="M453" t="str">
        <f t="shared" si="28"/>
        <v/>
      </c>
      <c r="N453">
        <f t="shared" si="29"/>
        <v>0</v>
      </c>
      <c r="O453">
        <f t="shared" si="30"/>
        <v>0</v>
      </c>
      <c r="P453" t="str">
        <f t="shared" si="31"/>
        <v/>
      </c>
    </row>
    <row r="454" spans="1:16" x14ac:dyDescent="0.25">
      <c r="A454">
        <v>299</v>
      </c>
      <c r="B454" t="str">
        <f>IF($A454&gt;$A$1,"",VLOOKUP($A454,'NHL PBP'!$A:$L,8,FALSE))</f>
        <v/>
      </c>
      <c r="C454" t="str">
        <f>IF($A454&gt;$A$1,"",IF(B454&gt;3,5/24,20/24)-VLOOKUP($A454,'NHL PBP'!$A:$L,10,FALSE))</f>
        <v/>
      </c>
      <c r="D454" t="str">
        <f>IF($A454&gt;$A$1,"",VLOOKUP($A454,'NHL PBP'!$A:$L,11,FALSE))</f>
        <v/>
      </c>
      <c r="E454" t="str">
        <f>IF(AND(EXACT(D454,"FAC"),NOT(EXACT(MID(F454,9,3),"Neu"))),IF(OR(AND(EXACT(MID(F454,9,3),"Off"),EXACT(LEFT(F454,3),UPPER('Entry data'!$C$2))),AND(EXACT(MID(F454,9,3),"Def"),NOT(EXACT(LEFT(F454,3),UPPER('Entry data'!$C$2))))),"DZF","OZF"),"")</f>
        <v/>
      </c>
      <c r="F454" t="str">
        <f>IF($A454&gt;$A$1,"",VLOOKUP($A454,'NHL PBP'!$A:$L,12,FALSE))</f>
        <v/>
      </c>
      <c r="J454">
        <f>IF(EXACT('Entry data'!$C$3,"Road"),IF(ISBLANK(VLOOKUP(A454,'NHL PBP'!A:AH,21,FALSE)),3,IF(ISBLANK(VLOOKUP(A454,'NHL PBP'!A:AH,23,FALSE)),4,5)),IF(ISBLANK(VLOOKUP(A454,'NHL PBP'!A:AH,32,FALSE)),3,IF(ISBLANK(VLOOKUP(A454,'NHL PBP'!A:AH,34,FALSE)),4,5)))</f>
        <v>5</v>
      </c>
      <c r="K454">
        <f>IF(EXACT('Entry data'!$C$3,"Home"),IF(ISBLANK(VLOOKUP(A454,'NHL PBP'!A:AH,21,FALSE)),3,IF(ISBLANK(VLOOKUP(A454,'NHL PBP'!A:AH,23,FALSE)),4,5)),IF(ISBLANK(VLOOKUP(A454,'NHL PBP'!A:AH,32,FALSE)),3,IF(ISBLANK(VLOOKUP(A454,'NHL PBP'!A:AH,34,FALSE)),4,5)))</f>
        <v>5</v>
      </c>
      <c r="L454">
        <f>IF(OR(EXACT(D454,"C"),EXACT(D454,"P"),EXACT(D454,"D"),EXACT(D454,"T"),EXACT(D454,"X"),EXACT(E454,"DZF"),EXACT(E454,"OZF"),EXACT(D454,"N"),EXACT(D454,"F")),1,0)</f>
        <v>0</v>
      </c>
      <c r="M454" t="str">
        <f t="shared" si="28"/>
        <v/>
      </c>
      <c r="N454">
        <f t="shared" si="29"/>
        <v>0</v>
      </c>
      <c r="O454">
        <f t="shared" si="30"/>
        <v>0</v>
      </c>
      <c r="P454" t="str">
        <f t="shared" si="31"/>
        <v/>
      </c>
    </row>
    <row r="455" spans="1:16" x14ac:dyDescent="0.25">
      <c r="A455">
        <v>300</v>
      </c>
      <c r="B455" t="str">
        <f>IF($A455&gt;$A$1,"",VLOOKUP($A455,'NHL PBP'!$A:$L,8,FALSE))</f>
        <v/>
      </c>
      <c r="C455" t="str">
        <f>IF($A455&gt;$A$1,"",IF(B455&gt;3,5/24,20/24)-VLOOKUP($A455,'NHL PBP'!$A:$L,10,FALSE))</f>
        <v/>
      </c>
      <c r="D455" t="str">
        <f>IF($A455&gt;$A$1,"",VLOOKUP($A455,'NHL PBP'!$A:$L,11,FALSE))</f>
        <v/>
      </c>
      <c r="E455" t="str">
        <f>IF(AND(EXACT(D455,"FAC"),NOT(EXACT(MID(F455,9,3),"Neu"))),IF(OR(AND(EXACT(MID(F455,9,3),"Off"),EXACT(LEFT(F455,3),UPPER('Entry data'!$C$2))),AND(EXACT(MID(F455,9,3),"Def"),NOT(EXACT(LEFT(F455,3),UPPER('Entry data'!$C$2))))),"DZF","OZF"),"")</f>
        <v/>
      </c>
      <c r="F455" t="str">
        <f>IF($A455&gt;$A$1,"",VLOOKUP($A455,'NHL PBP'!$A:$L,12,FALSE))</f>
        <v/>
      </c>
      <c r="J455">
        <f>IF(EXACT('Entry data'!$C$3,"Road"),IF(ISBLANK(VLOOKUP(A455,'NHL PBP'!A:AH,21,FALSE)),3,IF(ISBLANK(VLOOKUP(A455,'NHL PBP'!A:AH,23,FALSE)),4,5)),IF(ISBLANK(VLOOKUP(A455,'NHL PBP'!A:AH,32,FALSE)),3,IF(ISBLANK(VLOOKUP(A455,'NHL PBP'!A:AH,34,FALSE)),4,5)))</f>
        <v>5</v>
      </c>
      <c r="K455">
        <f>IF(EXACT('Entry data'!$C$3,"Home"),IF(ISBLANK(VLOOKUP(A455,'NHL PBP'!A:AH,21,FALSE)),3,IF(ISBLANK(VLOOKUP(A455,'NHL PBP'!A:AH,23,FALSE)),4,5)),IF(ISBLANK(VLOOKUP(A455,'NHL PBP'!A:AH,32,FALSE)),3,IF(ISBLANK(VLOOKUP(A455,'NHL PBP'!A:AH,34,FALSE)),4,5)))</f>
        <v>5</v>
      </c>
      <c r="L455">
        <f>IF(OR(EXACT(D455,"C"),EXACT(D455,"P"),EXACT(D455,"D"),EXACT(D455,"T"),EXACT(D455,"X"),EXACT(E455,"DZF"),EXACT(E455,"OZF"),EXACT(D455,"N"),EXACT(D455,"F")),1,0)</f>
        <v>0</v>
      </c>
      <c r="M455" t="str">
        <f t="shared" si="28"/>
        <v/>
      </c>
      <c r="N455">
        <f t="shared" si="29"/>
        <v>0</v>
      </c>
      <c r="O455">
        <f t="shared" si="30"/>
        <v>0</v>
      </c>
      <c r="P455" t="str">
        <f t="shared" si="31"/>
        <v/>
      </c>
    </row>
    <row r="456" spans="1:16" x14ac:dyDescent="0.25">
      <c r="A456">
        <v>301</v>
      </c>
      <c r="B456" t="str">
        <f>IF($A456&gt;$A$1,"",VLOOKUP($A456,'NHL PBP'!$A:$L,8,FALSE))</f>
        <v/>
      </c>
      <c r="C456" t="str">
        <f>IF($A456&gt;$A$1,"",IF(B456&gt;3,5/24,20/24)-VLOOKUP($A456,'NHL PBP'!$A:$L,10,FALSE))</f>
        <v/>
      </c>
      <c r="D456" t="str">
        <f>IF($A456&gt;$A$1,"",VLOOKUP($A456,'NHL PBP'!$A:$L,11,FALSE))</f>
        <v/>
      </c>
      <c r="E456" t="str">
        <f>IF(AND(EXACT(D456,"FAC"),NOT(EXACT(MID(F456,9,3),"Neu"))),IF(OR(AND(EXACT(MID(F456,9,3),"Off"),EXACT(LEFT(F456,3),UPPER('Entry data'!$C$2))),AND(EXACT(MID(F456,9,3),"Def"),NOT(EXACT(LEFT(F456,3),UPPER('Entry data'!$C$2))))),"DZF","OZF"),"")</f>
        <v/>
      </c>
      <c r="F456" t="str">
        <f>IF($A456&gt;$A$1,"",VLOOKUP($A456,'NHL PBP'!$A:$L,12,FALSE))</f>
        <v/>
      </c>
      <c r="J456">
        <f>IF(EXACT('Entry data'!$C$3,"Road"),IF(ISBLANK(VLOOKUP(A456,'NHL PBP'!A:AH,21,FALSE)),3,IF(ISBLANK(VLOOKUP(A456,'NHL PBP'!A:AH,23,FALSE)),4,5)),IF(ISBLANK(VLOOKUP(A456,'NHL PBP'!A:AH,32,FALSE)),3,IF(ISBLANK(VLOOKUP(A456,'NHL PBP'!A:AH,34,FALSE)),4,5)))</f>
        <v>5</v>
      </c>
      <c r="K456">
        <f>IF(EXACT('Entry data'!$C$3,"Home"),IF(ISBLANK(VLOOKUP(A456,'NHL PBP'!A:AH,21,FALSE)),3,IF(ISBLANK(VLOOKUP(A456,'NHL PBP'!A:AH,23,FALSE)),4,5)),IF(ISBLANK(VLOOKUP(A456,'NHL PBP'!A:AH,32,FALSE)),3,IF(ISBLANK(VLOOKUP(A456,'NHL PBP'!A:AH,34,FALSE)),4,5)))</f>
        <v>5</v>
      </c>
      <c r="L456">
        <f>IF(OR(EXACT(D456,"C"),EXACT(D456,"P"),EXACT(D456,"D"),EXACT(D456,"T"),EXACT(D456,"X"),EXACT(E456,"DZF"),EXACT(E456,"OZF"),EXACT(D456,"N"),EXACT(D456,"F")),1,0)</f>
        <v>0</v>
      </c>
      <c r="M456" t="str">
        <f t="shared" si="28"/>
        <v/>
      </c>
      <c r="N456">
        <f t="shared" si="29"/>
        <v>0</v>
      </c>
      <c r="O456">
        <f t="shared" si="30"/>
        <v>0</v>
      </c>
      <c r="P456" t="str">
        <f t="shared" si="31"/>
        <v/>
      </c>
    </row>
    <row r="457" spans="1:16" x14ac:dyDescent="0.25">
      <c r="A457">
        <v>302</v>
      </c>
      <c r="B457" t="str">
        <f>IF($A457&gt;$A$1,"",VLOOKUP($A457,'NHL PBP'!$A:$L,8,FALSE))</f>
        <v/>
      </c>
      <c r="C457" t="str">
        <f>IF($A457&gt;$A$1,"",IF(B457&gt;3,5/24,20/24)-VLOOKUP($A457,'NHL PBP'!$A:$L,10,FALSE))</f>
        <v/>
      </c>
      <c r="D457" t="str">
        <f>IF($A457&gt;$A$1,"",VLOOKUP($A457,'NHL PBP'!$A:$L,11,FALSE))</f>
        <v/>
      </c>
      <c r="E457" t="str">
        <f>IF(AND(EXACT(D457,"FAC"),NOT(EXACT(MID(F457,9,3),"Neu"))),IF(OR(AND(EXACT(MID(F457,9,3),"Off"),EXACT(LEFT(F457,3),UPPER('Entry data'!$C$2))),AND(EXACT(MID(F457,9,3),"Def"),NOT(EXACT(LEFT(F457,3),UPPER('Entry data'!$C$2))))),"DZF","OZF"),"")</f>
        <v/>
      </c>
      <c r="F457" t="str">
        <f>IF($A457&gt;$A$1,"",VLOOKUP($A457,'NHL PBP'!$A:$L,12,FALSE))</f>
        <v/>
      </c>
      <c r="J457">
        <f>IF(EXACT('Entry data'!$C$3,"Road"),IF(ISBLANK(VLOOKUP(A457,'NHL PBP'!A:AH,21,FALSE)),3,IF(ISBLANK(VLOOKUP(A457,'NHL PBP'!A:AH,23,FALSE)),4,5)),IF(ISBLANK(VLOOKUP(A457,'NHL PBP'!A:AH,32,FALSE)),3,IF(ISBLANK(VLOOKUP(A457,'NHL PBP'!A:AH,34,FALSE)),4,5)))</f>
        <v>5</v>
      </c>
      <c r="K457">
        <f>IF(EXACT('Entry data'!$C$3,"Home"),IF(ISBLANK(VLOOKUP(A457,'NHL PBP'!A:AH,21,FALSE)),3,IF(ISBLANK(VLOOKUP(A457,'NHL PBP'!A:AH,23,FALSE)),4,5)),IF(ISBLANK(VLOOKUP(A457,'NHL PBP'!A:AH,32,FALSE)),3,IF(ISBLANK(VLOOKUP(A457,'NHL PBP'!A:AH,34,FALSE)),4,5)))</f>
        <v>5</v>
      </c>
      <c r="L457">
        <f>IF(OR(EXACT(D457,"C"),EXACT(D457,"P"),EXACT(D457,"D"),EXACT(D457,"T"),EXACT(D457,"X"),EXACT(E457,"DZF"),EXACT(E457,"OZF"),EXACT(D457,"N"),EXACT(D457,"F")),1,0)</f>
        <v>0</v>
      </c>
      <c r="M457" t="str">
        <f t="shared" si="28"/>
        <v/>
      </c>
      <c r="N457">
        <f t="shared" si="29"/>
        <v>0</v>
      </c>
      <c r="O457">
        <f t="shared" si="30"/>
        <v>0</v>
      </c>
      <c r="P457" t="str">
        <f t="shared" si="31"/>
        <v/>
      </c>
    </row>
    <row r="458" spans="1:16" x14ac:dyDescent="0.25">
      <c r="A458">
        <v>303</v>
      </c>
      <c r="B458" t="str">
        <f>IF($A458&gt;$A$1,"",VLOOKUP($A458,'NHL PBP'!$A:$L,8,FALSE))</f>
        <v/>
      </c>
      <c r="C458" t="str">
        <f>IF($A458&gt;$A$1,"",IF(B458&gt;3,5/24,20/24)-VLOOKUP($A458,'NHL PBP'!$A:$L,10,FALSE))</f>
        <v/>
      </c>
      <c r="D458" t="str">
        <f>IF($A458&gt;$A$1,"",VLOOKUP($A458,'NHL PBP'!$A:$L,11,FALSE))</f>
        <v/>
      </c>
      <c r="E458" t="str">
        <f>IF(AND(EXACT(D458,"FAC"),NOT(EXACT(MID(F458,9,3),"Neu"))),IF(OR(AND(EXACT(MID(F458,9,3),"Off"),EXACT(LEFT(F458,3),UPPER('Entry data'!$C$2))),AND(EXACT(MID(F458,9,3),"Def"),NOT(EXACT(LEFT(F458,3),UPPER('Entry data'!$C$2))))),"DZF","OZF"),"")</f>
        <v/>
      </c>
      <c r="F458" t="str">
        <f>IF($A458&gt;$A$1,"",VLOOKUP($A458,'NHL PBP'!$A:$L,12,FALSE))</f>
        <v/>
      </c>
      <c r="J458">
        <f>IF(EXACT('Entry data'!$C$3,"Road"),IF(ISBLANK(VLOOKUP(A458,'NHL PBP'!A:AH,21,FALSE)),3,IF(ISBLANK(VLOOKUP(A458,'NHL PBP'!A:AH,23,FALSE)),4,5)),IF(ISBLANK(VLOOKUP(A458,'NHL PBP'!A:AH,32,FALSE)),3,IF(ISBLANK(VLOOKUP(A458,'NHL PBP'!A:AH,34,FALSE)),4,5)))</f>
        <v>5</v>
      </c>
      <c r="K458">
        <f>IF(EXACT('Entry data'!$C$3,"Home"),IF(ISBLANK(VLOOKUP(A458,'NHL PBP'!A:AH,21,FALSE)),3,IF(ISBLANK(VLOOKUP(A458,'NHL PBP'!A:AH,23,FALSE)),4,5)),IF(ISBLANK(VLOOKUP(A458,'NHL PBP'!A:AH,32,FALSE)),3,IF(ISBLANK(VLOOKUP(A458,'NHL PBP'!A:AH,34,FALSE)),4,5)))</f>
        <v>5</v>
      </c>
      <c r="L458">
        <f>IF(OR(EXACT(D458,"C"),EXACT(D458,"P"),EXACT(D458,"D"),EXACT(D458,"T"),EXACT(D458,"X"),EXACT(E458,"DZF"),EXACT(E458,"OZF"),EXACT(D458,"N"),EXACT(D458,"F")),1,0)</f>
        <v>0</v>
      </c>
      <c r="M458" t="str">
        <f t="shared" si="28"/>
        <v/>
      </c>
      <c r="N458">
        <f t="shared" si="29"/>
        <v>0</v>
      </c>
      <c r="O458">
        <f t="shared" si="30"/>
        <v>0</v>
      </c>
      <c r="P458" t="str">
        <f t="shared" si="31"/>
        <v/>
      </c>
    </row>
    <row r="459" spans="1:16" x14ac:dyDescent="0.25">
      <c r="A459">
        <v>304</v>
      </c>
      <c r="B459" t="str">
        <f>IF($A459&gt;$A$1,"",VLOOKUP($A459,'NHL PBP'!$A:$L,8,FALSE))</f>
        <v/>
      </c>
      <c r="C459" t="str">
        <f>IF($A459&gt;$A$1,"",IF(B459&gt;3,5/24,20/24)-VLOOKUP($A459,'NHL PBP'!$A:$L,10,FALSE))</f>
        <v/>
      </c>
      <c r="D459" t="str">
        <f>IF($A459&gt;$A$1,"",VLOOKUP($A459,'NHL PBP'!$A:$L,11,FALSE))</f>
        <v/>
      </c>
      <c r="E459" t="str">
        <f>IF(AND(EXACT(D459,"FAC"),NOT(EXACT(MID(F459,9,3),"Neu"))),IF(OR(AND(EXACT(MID(F459,9,3),"Off"),EXACT(LEFT(F459,3),UPPER('Entry data'!$C$2))),AND(EXACT(MID(F459,9,3),"Def"),NOT(EXACT(LEFT(F459,3),UPPER('Entry data'!$C$2))))),"DZF","OZF"),"")</f>
        <v/>
      </c>
      <c r="F459" t="str">
        <f>IF($A459&gt;$A$1,"",VLOOKUP($A459,'NHL PBP'!$A:$L,12,FALSE))</f>
        <v/>
      </c>
      <c r="J459">
        <f>IF(EXACT('Entry data'!$C$3,"Road"),IF(ISBLANK(VLOOKUP(A459,'NHL PBP'!A:AH,21,FALSE)),3,IF(ISBLANK(VLOOKUP(A459,'NHL PBP'!A:AH,23,FALSE)),4,5)),IF(ISBLANK(VLOOKUP(A459,'NHL PBP'!A:AH,32,FALSE)),3,IF(ISBLANK(VLOOKUP(A459,'NHL PBP'!A:AH,34,FALSE)),4,5)))</f>
        <v>5</v>
      </c>
      <c r="K459">
        <f>IF(EXACT('Entry data'!$C$3,"Home"),IF(ISBLANK(VLOOKUP(A459,'NHL PBP'!A:AH,21,FALSE)),3,IF(ISBLANK(VLOOKUP(A459,'NHL PBP'!A:AH,23,FALSE)),4,5)),IF(ISBLANK(VLOOKUP(A459,'NHL PBP'!A:AH,32,FALSE)),3,IF(ISBLANK(VLOOKUP(A459,'NHL PBP'!A:AH,34,FALSE)),4,5)))</f>
        <v>5</v>
      </c>
      <c r="L459">
        <f>IF(OR(EXACT(D459,"C"),EXACT(D459,"P"),EXACT(D459,"D"),EXACT(D459,"T"),EXACT(D459,"X"),EXACT(E459,"DZF"),EXACT(E459,"OZF"),EXACT(D459,"N"),EXACT(D459,"F")),1,0)</f>
        <v>0</v>
      </c>
      <c r="M459" t="str">
        <f t="shared" si="28"/>
        <v/>
      </c>
      <c r="N459">
        <f t="shared" si="29"/>
        <v>0</v>
      </c>
      <c r="O459">
        <f t="shared" si="30"/>
        <v>0</v>
      </c>
      <c r="P459" t="str">
        <f t="shared" si="31"/>
        <v/>
      </c>
    </row>
    <row r="460" spans="1:16" x14ac:dyDescent="0.25">
      <c r="A460">
        <v>305</v>
      </c>
      <c r="B460" t="str">
        <f>IF($A460&gt;$A$1,"",VLOOKUP($A460,'NHL PBP'!$A:$L,8,FALSE))</f>
        <v/>
      </c>
      <c r="C460" t="str">
        <f>IF($A460&gt;$A$1,"",IF(B460&gt;3,5/24,20/24)-VLOOKUP($A460,'NHL PBP'!$A:$L,10,FALSE))</f>
        <v/>
      </c>
      <c r="D460" t="str">
        <f>IF($A460&gt;$A$1,"",VLOOKUP($A460,'NHL PBP'!$A:$L,11,FALSE))</f>
        <v/>
      </c>
      <c r="E460" t="str">
        <f>IF(AND(EXACT(D460,"FAC"),NOT(EXACT(MID(F460,9,3),"Neu"))),IF(OR(AND(EXACT(MID(F460,9,3),"Off"),EXACT(LEFT(F460,3),UPPER('Entry data'!$C$2))),AND(EXACT(MID(F460,9,3),"Def"),NOT(EXACT(LEFT(F460,3),UPPER('Entry data'!$C$2))))),"DZF","OZF"),"")</f>
        <v/>
      </c>
      <c r="F460" t="str">
        <f>IF($A460&gt;$A$1,"",VLOOKUP($A460,'NHL PBP'!$A:$L,12,FALSE))</f>
        <v/>
      </c>
      <c r="J460">
        <f>IF(EXACT('Entry data'!$C$3,"Road"),IF(ISBLANK(VLOOKUP(A460,'NHL PBP'!A:AH,21,FALSE)),3,IF(ISBLANK(VLOOKUP(A460,'NHL PBP'!A:AH,23,FALSE)),4,5)),IF(ISBLANK(VLOOKUP(A460,'NHL PBP'!A:AH,32,FALSE)),3,IF(ISBLANK(VLOOKUP(A460,'NHL PBP'!A:AH,34,FALSE)),4,5)))</f>
        <v>5</v>
      </c>
      <c r="K460">
        <f>IF(EXACT('Entry data'!$C$3,"Home"),IF(ISBLANK(VLOOKUP(A460,'NHL PBP'!A:AH,21,FALSE)),3,IF(ISBLANK(VLOOKUP(A460,'NHL PBP'!A:AH,23,FALSE)),4,5)),IF(ISBLANK(VLOOKUP(A460,'NHL PBP'!A:AH,32,FALSE)),3,IF(ISBLANK(VLOOKUP(A460,'NHL PBP'!A:AH,34,FALSE)),4,5)))</f>
        <v>5</v>
      </c>
      <c r="L460">
        <f>IF(OR(EXACT(D460,"C"),EXACT(D460,"P"),EXACT(D460,"D"),EXACT(D460,"T"),EXACT(D460,"X"),EXACT(E460,"DZF"),EXACT(E460,"OZF"),EXACT(D460,"N"),EXACT(D460,"F")),1,0)</f>
        <v>0</v>
      </c>
      <c r="M460" t="str">
        <f t="shared" si="28"/>
        <v/>
      </c>
      <c r="N460">
        <f t="shared" si="29"/>
        <v>0</v>
      </c>
      <c r="O460">
        <f t="shared" si="30"/>
        <v>0</v>
      </c>
      <c r="P460" t="str">
        <f t="shared" si="31"/>
        <v/>
      </c>
    </row>
    <row r="461" spans="1:16" x14ac:dyDescent="0.25">
      <c r="A461">
        <v>306</v>
      </c>
      <c r="B461" t="str">
        <f>IF($A461&gt;$A$1,"",VLOOKUP($A461,'NHL PBP'!$A:$L,8,FALSE))</f>
        <v/>
      </c>
      <c r="C461" t="str">
        <f>IF($A461&gt;$A$1,"",IF(B461&gt;3,5/24,20/24)-VLOOKUP($A461,'NHL PBP'!$A:$L,10,FALSE))</f>
        <v/>
      </c>
      <c r="D461" t="str">
        <f>IF($A461&gt;$A$1,"",VLOOKUP($A461,'NHL PBP'!$A:$L,11,FALSE))</f>
        <v/>
      </c>
      <c r="E461" t="str">
        <f>IF(AND(EXACT(D461,"FAC"),NOT(EXACT(MID(F461,9,3),"Neu"))),IF(OR(AND(EXACT(MID(F461,9,3),"Off"),EXACT(LEFT(F461,3),UPPER('Entry data'!$C$2))),AND(EXACT(MID(F461,9,3),"Def"),NOT(EXACT(LEFT(F461,3),UPPER('Entry data'!$C$2))))),"DZF","OZF"),"")</f>
        <v/>
      </c>
      <c r="F461" t="str">
        <f>IF($A461&gt;$A$1,"",VLOOKUP($A461,'NHL PBP'!$A:$L,12,FALSE))</f>
        <v/>
      </c>
      <c r="J461">
        <f>IF(EXACT('Entry data'!$C$3,"Road"),IF(ISBLANK(VLOOKUP(A461,'NHL PBP'!A:AH,21,FALSE)),3,IF(ISBLANK(VLOOKUP(A461,'NHL PBP'!A:AH,23,FALSE)),4,5)),IF(ISBLANK(VLOOKUP(A461,'NHL PBP'!A:AH,32,FALSE)),3,IF(ISBLANK(VLOOKUP(A461,'NHL PBP'!A:AH,34,FALSE)),4,5)))</f>
        <v>5</v>
      </c>
      <c r="K461">
        <f>IF(EXACT('Entry data'!$C$3,"Home"),IF(ISBLANK(VLOOKUP(A461,'NHL PBP'!A:AH,21,FALSE)),3,IF(ISBLANK(VLOOKUP(A461,'NHL PBP'!A:AH,23,FALSE)),4,5)),IF(ISBLANK(VLOOKUP(A461,'NHL PBP'!A:AH,32,FALSE)),3,IF(ISBLANK(VLOOKUP(A461,'NHL PBP'!A:AH,34,FALSE)),4,5)))</f>
        <v>5</v>
      </c>
      <c r="L461">
        <f>IF(OR(EXACT(D461,"C"),EXACT(D461,"P"),EXACT(D461,"D"),EXACT(D461,"T"),EXACT(D461,"X"),EXACT(E461,"DZF"),EXACT(E461,"OZF"),EXACT(D461,"N"),EXACT(D461,"F")),1,0)</f>
        <v>0</v>
      </c>
      <c r="M461" t="str">
        <f t="shared" si="28"/>
        <v/>
      </c>
      <c r="N461">
        <f t="shared" si="29"/>
        <v>0</v>
      </c>
      <c r="O461">
        <f t="shared" si="30"/>
        <v>0</v>
      </c>
      <c r="P461" t="str">
        <f t="shared" si="31"/>
        <v/>
      </c>
    </row>
    <row r="462" spans="1:16" x14ac:dyDescent="0.25">
      <c r="A462">
        <v>307</v>
      </c>
      <c r="B462" t="str">
        <f>IF($A462&gt;$A$1,"",VLOOKUP($A462,'NHL PBP'!$A:$L,8,FALSE))</f>
        <v/>
      </c>
      <c r="C462" t="str">
        <f>IF($A462&gt;$A$1,"",IF(B462&gt;3,5/24,20/24)-VLOOKUP($A462,'NHL PBP'!$A:$L,10,FALSE))</f>
        <v/>
      </c>
      <c r="D462" t="str">
        <f>IF($A462&gt;$A$1,"",VLOOKUP($A462,'NHL PBP'!$A:$L,11,FALSE))</f>
        <v/>
      </c>
      <c r="E462" t="str">
        <f>IF(AND(EXACT(D462,"FAC"),NOT(EXACT(MID(F462,9,3),"Neu"))),IF(OR(AND(EXACT(MID(F462,9,3),"Off"),EXACT(LEFT(F462,3),UPPER('Entry data'!$C$2))),AND(EXACT(MID(F462,9,3),"Def"),NOT(EXACT(LEFT(F462,3),UPPER('Entry data'!$C$2))))),"DZF","OZF"),"")</f>
        <v/>
      </c>
      <c r="F462" t="str">
        <f>IF($A462&gt;$A$1,"",VLOOKUP($A462,'NHL PBP'!$A:$L,12,FALSE))</f>
        <v/>
      </c>
      <c r="J462">
        <f>IF(EXACT('Entry data'!$C$3,"Road"),IF(ISBLANK(VLOOKUP(A462,'NHL PBP'!A:AH,21,FALSE)),3,IF(ISBLANK(VLOOKUP(A462,'NHL PBP'!A:AH,23,FALSE)),4,5)),IF(ISBLANK(VLOOKUP(A462,'NHL PBP'!A:AH,32,FALSE)),3,IF(ISBLANK(VLOOKUP(A462,'NHL PBP'!A:AH,34,FALSE)),4,5)))</f>
        <v>5</v>
      </c>
      <c r="K462">
        <f>IF(EXACT('Entry data'!$C$3,"Home"),IF(ISBLANK(VLOOKUP(A462,'NHL PBP'!A:AH,21,FALSE)),3,IF(ISBLANK(VLOOKUP(A462,'NHL PBP'!A:AH,23,FALSE)),4,5)),IF(ISBLANK(VLOOKUP(A462,'NHL PBP'!A:AH,32,FALSE)),3,IF(ISBLANK(VLOOKUP(A462,'NHL PBP'!A:AH,34,FALSE)),4,5)))</f>
        <v>5</v>
      </c>
      <c r="L462">
        <f>IF(OR(EXACT(D462,"C"),EXACT(D462,"P"),EXACT(D462,"D"),EXACT(D462,"T"),EXACT(D462,"X"),EXACT(E462,"DZF"),EXACT(E462,"OZF"),EXACT(D462,"N"),EXACT(D462,"F")),1,0)</f>
        <v>0</v>
      </c>
      <c r="M462" t="str">
        <f t="shared" si="28"/>
        <v/>
      </c>
      <c r="N462">
        <f t="shared" si="29"/>
        <v>0</v>
      </c>
      <c r="O462">
        <f t="shared" si="30"/>
        <v>0</v>
      </c>
      <c r="P462" t="str">
        <f t="shared" si="31"/>
        <v/>
      </c>
    </row>
    <row r="463" spans="1:16" x14ac:dyDescent="0.25">
      <c r="A463">
        <v>308</v>
      </c>
      <c r="B463" t="str">
        <f>IF($A463&gt;$A$1,"",VLOOKUP($A463,'NHL PBP'!$A:$L,8,FALSE))</f>
        <v/>
      </c>
      <c r="C463" t="str">
        <f>IF($A463&gt;$A$1,"",IF(B463&gt;3,5/24,20/24)-VLOOKUP($A463,'NHL PBP'!$A:$L,10,FALSE))</f>
        <v/>
      </c>
      <c r="D463" t="str">
        <f>IF($A463&gt;$A$1,"",VLOOKUP($A463,'NHL PBP'!$A:$L,11,FALSE))</f>
        <v/>
      </c>
      <c r="E463" t="str">
        <f>IF(AND(EXACT(D463,"FAC"),NOT(EXACT(MID(F463,9,3),"Neu"))),IF(OR(AND(EXACT(MID(F463,9,3),"Off"),EXACT(LEFT(F463,3),UPPER('Entry data'!$C$2))),AND(EXACT(MID(F463,9,3),"Def"),NOT(EXACT(LEFT(F463,3),UPPER('Entry data'!$C$2))))),"DZF","OZF"),"")</f>
        <v/>
      </c>
      <c r="F463" t="str">
        <f>IF($A463&gt;$A$1,"",VLOOKUP($A463,'NHL PBP'!$A:$L,12,FALSE))</f>
        <v/>
      </c>
      <c r="J463">
        <f>IF(EXACT('Entry data'!$C$3,"Road"),IF(ISBLANK(VLOOKUP(A463,'NHL PBP'!A:AH,21,FALSE)),3,IF(ISBLANK(VLOOKUP(A463,'NHL PBP'!A:AH,23,FALSE)),4,5)),IF(ISBLANK(VLOOKUP(A463,'NHL PBP'!A:AH,32,FALSE)),3,IF(ISBLANK(VLOOKUP(A463,'NHL PBP'!A:AH,34,FALSE)),4,5)))</f>
        <v>5</v>
      </c>
      <c r="K463">
        <f>IF(EXACT('Entry data'!$C$3,"Home"),IF(ISBLANK(VLOOKUP(A463,'NHL PBP'!A:AH,21,FALSE)),3,IF(ISBLANK(VLOOKUP(A463,'NHL PBP'!A:AH,23,FALSE)),4,5)),IF(ISBLANK(VLOOKUP(A463,'NHL PBP'!A:AH,32,FALSE)),3,IF(ISBLANK(VLOOKUP(A463,'NHL PBP'!A:AH,34,FALSE)),4,5)))</f>
        <v>5</v>
      </c>
      <c r="L463">
        <f>IF(OR(EXACT(D463,"C"),EXACT(D463,"P"),EXACT(D463,"D"),EXACT(D463,"T"),EXACT(D463,"X"),EXACT(E463,"DZF"),EXACT(E463,"OZF"),EXACT(D463,"N"),EXACT(D463,"F")),1,0)</f>
        <v>0</v>
      </c>
      <c r="M463" t="str">
        <f t="shared" si="28"/>
        <v/>
      </c>
      <c r="N463">
        <f t="shared" si="29"/>
        <v>0</v>
      </c>
      <c r="O463">
        <f t="shared" si="30"/>
        <v>0</v>
      </c>
      <c r="P463" t="str">
        <f t="shared" si="31"/>
        <v/>
      </c>
    </row>
    <row r="464" spans="1:16" x14ac:dyDescent="0.25">
      <c r="A464">
        <v>309</v>
      </c>
      <c r="B464" t="str">
        <f>IF($A464&gt;$A$1,"",VLOOKUP($A464,'NHL PBP'!$A:$L,8,FALSE))</f>
        <v/>
      </c>
      <c r="C464" t="str">
        <f>IF($A464&gt;$A$1,"",IF(B464&gt;3,5/24,20/24)-VLOOKUP($A464,'NHL PBP'!$A:$L,10,FALSE))</f>
        <v/>
      </c>
      <c r="D464" t="str">
        <f>IF($A464&gt;$A$1,"",VLOOKUP($A464,'NHL PBP'!$A:$L,11,FALSE))</f>
        <v/>
      </c>
      <c r="E464" t="str">
        <f>IF(AND(EXACT(D464,"FAC"),NOT(EXACT(MID(F464,9,3),"Neu"))),IF(OR(AND(EXACT(MID(F464,9,3),"Off"),EXACT(LEFT(F464,3),UPPER('Entry data'!$C$2))),AND(EXACT(MID(F464,9,3),"Def"),NOT(EXACT(LEFT(F464,3),UPPER('Entry data'!$C$2))))),"DZF","OZF"),"")</f>
        <v/>
      </c>
      <c r="F464" t="str">
        <f>IF($A464&gt;$A$1,"",VLOOKUP($A464,'NHL PBP'!$A:$L,12,FALSE))</f>
        <v/>
      </c>
      <c r="J464">
        <f>IF(EXACT('Entry data'!$C$3,"Road"),IF(ISBLANK(VLOOKUP(A464,'NHL PBP'!A:AH,21,FALSE)),3,IF(ISBLANK(VLOOKUP(A464,'NHL PBP'!A:AH,23,FALSE)),4,5)),IF(ISBLANK(VLOOKUP(A464,'NHL PBP'!A:AH,32,FALSE)),3,IF(ISBLANK(VLOOKUP(A464,'NHL PBP'!A:AH,34,FALSE)),4,5)))</f>
        <v>5</v>
      </c>
      <c r="K464">
        <f>IF(EXACT('Entry data'!$C$3,"Home"),IF(ISBLANK(VLOOKUP(A464,'NHL PBP'!A:AH,21,FALSE)),3,IF(ISBLANK(VLOOKUP(A464,'NHL PBP'!A:AH,23,FALSE)),4,5)),IF(ISBLANK(VLOOKUP(A464,'NHL PBP'!A:AH,32,FALSE)),3,IF(ISBLANK(VLOOKUP(A464,'NHL PBP'!A:AH,34,FALSE)),4,5)))</f>
        <v>5</v>
      </c>
      <c r="L464">
        <f>IF(OR(EXACT(D464,"C"),EXACT(D464,"P"),EXACT(D464,"D"),EXACT(D464,"T"),EXACT(D464,"X"),EXACT(E464,"DZF"),EXACT(E464,"OZF"),EXACT(D464,"N"),EXACT(D464,"F")),1,0)</f>
        <v>0</v>
      </c>
      <c r="M464" t="str">
        <f t="shared" si="28"/>
        <v/>
      </c>
      <c r="N464">
        <f t="shared" si="29"/>
        <v>0</v>
      </c>
      <c r="O464">
        <f t="shared" si="30"/>
        <v>0</v>
      </c>
      <c r="P464" t="str">
        <f t="shared" si="31"/>
        <v/>
      </c>
    </row>
    <row r="465" spans="1:16" x14ac:dyDescent="0.25">
      <c r="A465">
        <v>310</v>
      </c>
      <c r="B465" t="str">
        <f>IF($A465&gt;$A$1,"",VLOOKUP($A465,'NHL PBP'!$A:$L,8,FALSE))</f>
        <v/>
      </c>
      <c r="C465" t="str">
        <f>IF($A465&gt;$A$1,"",IF(B465&gt;3,5/24,20/24)-VLOOKUP($A465,'NHL PBP'!$A:$L,10,FALSE))</f>
        <v/>
      </c>
      <c r="D465" t="str">
        <f>IF($A465&gt;$A$1,"",VLOOKUP($A465,'NHL PBP'!$A:$L,11,FALSE))</f>
        <v/>
      </c>
      <c r="E465" t="str">
        <f>IF(AND(EXACT(D465,"FAC"),NOT(EXACT(MID(F465,9,3),"Neu"))),IF(OR(AND(EXACT(MID(F465,9,3),"Off"),EXACT(LEFT(F465,3),UPPER('Entry data'!$C$2))),AND(EXACT(MID(F465,9,3),"Def"),NOT(EXACT(LEFT(F465,3),UPPER('Entry data'!$C$2))))),"DZF","OZF"),"")</f>
        <v/>
      </c>
      <c r="F465" t="str">
        <f>IF($A465&gt;$A$1,"",VLOOKUP($A465,'NHL PBP'!$A:$L,12,FALSE))</f>
        <v/>
      </c>
      <c r="J465">
        <f>IF(EXACT('Entry data'!$C$3,"Road"),IF(ISBLANK(VLOOKUP(A465,'NHL PBP'!A:AH,21,FALSE)),3,IF(ISBLANK(VLOOKUP(A465,'NHL PBP'!A:AH,23,FALSE)),4,5)),IF(ISBLANK(VLOOKUP(A465,'NHL PBP'!A:AH,32,FALSE)),3,IF(ISBLANK(VLOOKUP(A465,'NHL PBP'!A:AH,34,FALSE)),4,5)))</f>
        <v>5</v>
      </c>
      <c r="K465">
        <f>IF(EXACT('Entry data'!$C$3,"Home"),IF(ISBLANK(VLOOKUP(A465,'NHL PBP'!A:AH,21,FALSE)),3,IF(ISBLANK(VLOOKUP(A465,'NHL PBP'!A:AH,23,FALSE)),4,5)),IF(ISBLANK(VLOOKUP(A465,'NHL PBP'!A:AH,32,FALSE)),3,IF(ISBLANK(VLOOKUP(A465,'NHL PBP'!A:AH,34,FALSE)),4,5)))</f>
        <v>5</v>
      </c>
      <c r="L465">
        <f>IF(OR(EXACT(D465,"C"),EXACT(D465,"P"),EXACT(D465,"D"),EXACT(D465,"T"),EXACT(D465,"X"),EXACT(E465,"DZF"),EXACT(E465,"OZF"),EXACT(D465,"N"),EXACT(D465,"F")),1,0)</f>
        <v>0</v>
      </c>
      <c r="M465" t="str">
        <f t="shared" si="28"/>
        <v/>
      </c>
      <c r="N465">
        <f t="shared" si="29"/>
        <v>0</v>
      </c>
      <c r="O465">
        <f t="shared" si="30"/>
        <v>0</v>
      </c>
      <c r="P465" t="str">
        <f t="shared" si="31"/>
        <v/>
      </c>
    </row>
    <row r="466" spans="1:16" x14ac:dyDescent="0.25">
      <c r="A466">
        <v>311</v>
      </c>
      <c r="B466" t="str">
        <f>IF($A466&gt;$A$1,"",VLOOKUP($A466,'NHL PBP'!$A:$L,8,FALSE))</f>
        <v/>
      </c>
      <c r="C466" t="str">
        <f>IF($A466&gt;$A$1,"",IF(B466&gt;3,5/24,20/24)-VLOOKUP($A466,'NHL PBP'!$A:$L,10,FALSE))</f>
        <v/>
      </c>
      <c r="D466" t="str">
        <f>IF($A466&gt;$A$1,"",VLOOKUP($A466,'NHL PBP'!$A:$L,11,FALSE))</f>
        <v/>
      </c>
      <c r="E466" t="str">
        <f>IF(AND(EXACT(D466,"FAC"),NOT(EXACT(MID(F466,9,3),"Neu"))),IF(OR(AND(EXACT(MID(F466,9,3),"Off"),EXACT(LEFT(F466,3),UPPER('Entry data'!$C$2))),AND(EXACT(MID(F466,9,3),"Def"),NOT(EXACT(LEFT(F466,3),UPPER('Entry data'!$C$2))))),"DZF","OZF"),"")</f>
        <v/>
      </c>
      <c r="F466" t="str">
        <f>IF($A466&gt;$A$1,"",VLOOKUP($A466,'NHL PBP'!$A:$L,12,FALSE))</f>
        <v/>
      </c>
      <c r="J466">
        <f>IF(EXACT('Entry data'!$C$3,"Road"),IF(ISBLANK(VLOOKUP(A466,'NHL PBP'!A:AH,21,FALSE)),3,IF(ISBLANK(VLOOKUP(A466,'NHL PBP'!A:AH,23,FALSE)),4,5)),IF(ISBLANK(VLOOKUP(A466,'NHL PBP'!A:AH,32,FALSE)),3,IF(ISBLANK(VLOOKUP(A466,'NHL PBP'!A:AH,34,FALSE)),4,5)))</f>
        <v>5</v>
      </c>
      <c r="K466">
        <f>IF(EXACT('Entry data'!$C$3,"Home"),IF(ISBLANK(VLOOKUP(A466,'NHL PBP'!A:AH,21,FALSE)),3,IF(ISBLANK(VLOOKUP(A466,'NHL PBP'!A:AH,23,FALSE)),4,5)),IF(ISBLANK(VLOOKUP(A466,'NHL PBP'!A:AH,32,FALSE)),3,IF(ISBLANK(VLOOKUP(A466,'NHL PBP'!A:AH,34,FALSE)),4,5)))</f>
        <v>5</v>
      </c>
      <c r="L466">
        <f>IF(OR(EXACT(D466,"C"),EXACT(D466,"P"),EXACT(D466,"D"),EXACT(D466,"T"),EXACT(D466,"X"),EXACT(E466,"DZF"),EXACT(E466,"OZF"),EXACT(D466,"N"),EXACT(D466,"F")),1,0)</f>
        <v>0</v>
      </c>
      <c r="M466" t="str">
        <f t="shared" si="28"/>
        <v/>
      </c>
      <c r="N466">
        <f t="shared" si="29"/>
        <v>0</v>
      </c>
      <c r="O466">
        <f t="shared" si="30"/>
        <v>0</v>
      </c>
      <c r="P466" t="str">
        <f t="shared" si="31"/>
        <v/>
      </c>
    </row>
    <row r="467" spans="1:16" x14ac:dyDescent="0.25">
      <c r="A467">
        <v>312</v>
      </c>
      <c r="B467" t="str">
        <f>IF($A467&gt;$A$1,"",VLOOKUP($A467,'NHL PBP'!$A:$L,8,FALSE))</f>
        <v/>
      </c>
      <c r="C467" t="str">
        <f>IF($A467&gt;$A$1,"",IF(B467&gt;3,5/24,20/24)-VLOOKUP($A467,'NHL PBP'!$A:$L,10,FALSE))</f>
        <v/>
      </c>
      <c r="D467" t="str">
        <f>IF($A467&gt;$A$1,"",VLOOKUP($A467,'NHL PBP'!$A:$L,11,FALSE))</f>
        <v/>
      </c>
      <c r="E467" t="str">
        <f>IF(AND(EXACT(D467,"FAC"),NOT(EXACT(MID(F467,9,3),"Neu"))),IF(OR(AND(EXACT(MID(F467,9,3),"Off"),EXACT(LEFT(F467,3),UPPER('Entry data'!$C$2))),AND(EXACT(MID(F467,9,3),"Def"),NOT(EXACT(LEFT(F467,3),UPPER('Entry data'!$C$2))))),"DZF","OZF"),"")</f>
        <v/>
      </c>
      <c r="F467" t="str">
        <f>IF($A467&gt;$A$1,"",VLOOKUP($A467,'NHL PBP'!$A:$L,12,FALSE))</f>
        <v/>
      </c>
      <c r="J467">
        <f>IF(EXACT('Entry data'!$C$3,"Road"),IF(ISBLANK(VLOOKUP(A467,'NHL PBP'!A:AH,21,FALSE)),3,IF(ISBLANK(VLOOKUP(A467,'NHL PBP'!A:AH,23,FALSE)),4,5)),IF(ISBLANK(VLOOKUP(A467,'NHL PBP'!A:AH,32,FALSE)),3,IF(ISBLANK(VLOOKUP(A467,'NHL PBP'!A:AH,34,FALSE)),4,5)))</f>
        <v>5</v>
      </c>
      <c r="K467">
        <f>IF(EXACT('Entry data'!$C$3,"Home"),IF(ISBLANK(VLOOKUP(A467,'NHL PBP'!A:AH,21,FALSE)),3,IF(ISBLANK(VLOOKUP(A467,'NHL PBP'!A:AH,23,FALSE)),4,5)),IF(ISBLANK(VLOOKUP(A467,'NHL PBP'!A:AH,32,FALSE)),3,IF(ISBLANK(VLOOKUP(A467,'NHL PBP'!A:AH,34,FALSE)),4,5)))</f>
        <v>5</v>
      </c>
      <c r="L467">
        <f>IF(OR(EXACT(D467,"C"),EXACT(D467,"P"),EXACT(D467,"D"),EXACT(D467,"T"),EXACT(D467,"X"),EXACT(E467,"DZF"),EXACT(E467,"OZF"),EXACT(D467,"N"),EXACT(D467,"F")),1,0)</f>
        <v>0</v>
      </c>
      <c r="M467" t="str">
        <f t="shared" si="28"/>
        <v/>
      </c>
      <c r="N467">
        <f t="shared" si="29"/>
        <v>0</v>
      </c>
      <c r="O467">
        <f t="shared" si="30"/>
        <v>0</v>
      </c>
      <c r="P467" t="str">
        <f t="shared" si="31"/>
        <v/>
      </c>
    </row>
    <row r="468" spans="1:16" x14ac:dyDescent="0.25">
      <c r="A468">
        <v>313</v>
      </c>
      <c r="B468" t="str">
        <f>IF($A468&gt;$A$1,"",VLOOKUP($A468,'NHL PBP'!$A:$L,8,FALSE))</f>
        <v/>
      </c>
      <c r="C468" t="str">
        <f>IF($A468&gt;$A$1,"",IF(B468&gt;3,5/24,20/24)-VLOOKUP($A468,'NHL PBP'!$A:$L,10,FALSE))</f>
        <v/>
      </c>
      <c r="D468" t="str">
        <f>IF($A468&gt;$A$1,"",VLOOKUP($A468,'NHL PBP'!$A:$L,11,FALSE))</f>
        <v/>
      </c>
      <c r="E468" t="str">
        <f>IF(AND(EXACT(D468,"FAC"),NOT(EXACT(MID(F468,9,3),"Neu"))),IF(OR(AND(EXACT(MID(F468,9,3),"Off"),EXACT(LEFT(F468,3),UPPER('Entry data'!$C$2))),AND(EXACT(MID(F468,9,3),"Def"),NOT(EXACT(LEFT(F468,3),UPPER('Entry data'!$C$2))))),"DZF","OZF"),"")</f>
        <v/>
      </c>
      <c r="F468" t="str">
        <f>IF($A468&gt;$A$1,"",VLOOKUP($A468,'NHL PBP'!$A:$L,12,FALSE))</f>
        <v/>
      </c>
      <c r="J468">
        <f>IF(EXACT('Entry data'!$C$3,"Road"),IF(ISBLANK(VLOOKUP(A468,'NHL PBP'!A:AH,21,FALSE)),3,IF(ISBLANK(VLOOKUP(A468,'NHL PBP'!A:AH,23,FALSE)),4,5)),IF(ISBLANK(VLOOKUP(A468,'NHL PBP'!A:AH,32,FALSE)),3,IF(ISBLANK(VLOOKUP(A468,'NHL PBP'!A:AH,34,FALSE)),4,5)))</f>
        <v>5</v>
      </c>
      <c r="K468">
        <f>IF(EXACT('Entry data'!$C$3,"Home"),IF(ISBLANK(VLOOKUP(A468,'NHL PBP'!A:AH,21,FALSE)),3,IF(ISBLANK(VLOOKUP(A468,'NHL PBP'!A:AH,23,FALSE)),4,5)),IF(ISBLANK(VLOOKUP(A468,'NHL PBP'!A:AH,32,FALSE)),3,IF(ISBLANK(VLOOKUP(A468,'NHL PBP'!A:AH,34,FALSE)),4,5)))</f>
        <v>5</v>
      </c>
      <c r="L468">
        <f>IF(OR(EXACT(D468,"C"),EXACT(D468,"P"),EXACT(D468,"D"),EXACT(D468,"T"),EXACT(D468,"X"),EXACT(E468,"DZF"),EXACT(E468,"OZF"),EXACT(D468,"N"),EXACT(D468,"F")),1,0)</f>
        <v>0</v>
      </c>
      <c r="M468" t="str">
        <f t="shared" si="28"/>
        <v/>
      </c>
      <c r="N468">
        <f t="shared" si="29"/>
        <v>0</v>
      </c>
      <c r="O468">
        <f t="shared" si="30"/>
        <v>0</v>
      </c>
      <c r="P468" t="str">
        <f t="shared" si="31"/>
        <v/>
      </c>
    </row>
    <row r="469" spans="1:16" x14ac:dyDescent="0.25">
      <c r="A469">
        <v>314</v>
      </c>
      <c r="B469" t="str">
        <f>IF($A469&gt;$A$1,"",VLOOKUP($A469,'NHL PBP'!$A:$L,8,FALSE))</f>
        <v/>
      </c>
      <c r="C469" t="str">
        <f>IF($A469&gt;$A$1,"",IF(B469&gt;3,5/24,20/24)-VLOOKUP($A469,'NHL PBP'!$A:$L,10,FALSE))</f>
        <v/>
      </c>
      <c r="D469" t="str">
        <f>IF($A469&gt;$A$1,"",VLOOKUP($A469,'NHL PBP'!$A:$L,11,FALSE))</f>
        <v/>
      </c>
      <c r="E469" t="str">
        <f>IF(AND(EXACT(D469,"FAC"),NOT(EXACT(MID(F469,9,3),"Neu"))),IF(OR(AND(EXACT(MID(F469,9,3),"Off"),EXACT(LEFT(F469,3),UPPER('Entry data'!$C$2))),AND(EXACT(MID(F469,9,3),"Def"),NOT(EXACT(LEFT(F469,3),UPPER('Entry data'!$C$2))))),"DZF","OZF"),"")</f>
        <v/>
      </c>
      <c r="F469" t="str">
        <f>IF($A469&gt;$A$1,"",VLOOKUP($A469,'NHL PBP'!$A:$L,12,FALSE))</f>
        <v/>
      </c>
      <c r="J469">
        <f>IF(EXACT('Entry data'!$C$3,"Road"),IF(ISBLANK(VLOOKUP(A469,'NHL PBP'!A:AH,21,FALSE)),3,IF(ISBLANK(VLOOKUP(A469,'NHL PBP'!A:AH,23,FALSE)),4,5)),IF(ISBLANK(VLOOKUP(A469,'NHL PBP'!A:AH,32,FALSE)),3,IF(ISBLANK(VLOOKUP(A469,'NHL PBP'!A:AH,34,FALSE)),4,5)))</f>
        <v>5</v>
      </c>
      <c r="K469">
        <f>IF(EXACT('Entry data'!$C$3,"Home"),IF(ISBLANK(VLOOKUP(A469,'NHL PBP'!A:AH,21,FALSE)),3,IF(ISBLANK(VLOOKUP(A469,'NHL PBP'!A:AH,23,FALSE)),4,5)),IF(ISBLANK(VLOOKUP(A469,'NHL PBP'!A:AH,32,FALSE)),3,IF(ISBLANK(VLOOKUP(A469,'NHL PBP'!A:AH,34,FALSE)),4,5)))</f>
        <v>5</v>
      </c>
      <c r="L469">
        <f>IF(OR(EXACT(D469,"C"),EXACT(D469,"P"),EXACT(D469,"D"),EXACT(D469,"T"),EXACT(D469,"X"),EXACT(E469,"DZF"),EXACT(E469,"OZF"),EXACT(D469,"N"),EXACT(D469,"F")),1,0)</f>
        <v>0</v>
      </c>
      <c r="M469" t="str">
        <f t="shared" si="28"/>
        <v/>
      </c>
      <c r="N469">
        <f t="shared" si="29"/>
        <v>0</v>
      </c>
      <c r="O469">
        <f t="shared" si="30"/>
        <v>0</v>
      </c>
      <c r="P469" t="str">
        <f t="shared" si="31"/>
        <v/>
      </c>
    </row>
    <row r="470" spans="1:16" x14ac:dyDescent="0.25">
      <c r="A470">
        <v>315</v>
      </c>
      <c r="B470" t="str">
        <f>IF($A470&gt;$A$1,"",VLOOKUP($A470,'NHL PBP'!$A:$L,8,FALSE))</f>
        <v/>
      </c>
      <c r="C470" t="str">
        <f>IF($A470&gt;$A$1,"",IF(B470&gt;3,5/24,20/24)-VLOOKUP($A470,'NHL PBP'!$A:$L,10,FALSE))</f>
        <v/>
      </c>
      <c r="D470" t="str">
        <f>IF($A470&gt;$A$1,"",VLOOKUP($A470,'NHL PBP'!$A:$L,11,FALSE))</f>
        <v/>
      </c>
      <c r="E470" t="str">
        <f>IF(AND(EXACT(D470,"FAC"),NOT(EXACT(MID(F470,9,3),"Neu"))),IF(OR(AND(EXACT(MID(F470,9,3),"Off"),EXACT(LEFT(F470,3),UPPER('Entry data'!$C$2))),AND(EXACT(MID(F470,9,3),"Def"),NOT(EXACT(LEFT(F470,3),UPPER('Entry data'!$C$2))))),"DZF","OZF"),"")</f>
        <v/>
      </c>
      <c r="F470" t="str">
        <f>IF($A470&gt;$A$1,"",VLOOKUP($A470,'NHL PBP'!$A:$L,12,FALSE))</f>
        <v/>
      </c>
      <c r="J470">
        <f>IF(EXACT('Entry data'!$C$3,"Road"),IF(ISBLANK(VLOOKUP(A470,'NHL PBP'!A:AH,21,FALSE)),3,IF(ISBLANK(VLOOKUP(A470,'NHL PBP'!A:AH,23,FALSE)),4,5)),IF(ISBLANK(VLOOKUP(A470,'NHL PBP'!A:AH,32,FALSE)),3,IF(ISBLANK(VLOOKUP(A470,'NHL PBP'!A:AH,34,FALSE)),4,5)))</f>
        <v>5</v>
      </c>
      <c r="K470">
        <f>IF(EXACT('Entry data'!$C$3,"Home"),IF(ISBLANK(VLOOKUP(A470,'NHL PBP'!A:AH,21,FALSE)),3,IF(ISBLANK(VLOOKUP(A470,'NHL PBP'!A:AH,23,FALSE)),4,5)),IF(ISBLANK(VLOOKUP(A470,'NHL PBP'!A:AH,32,FALSE)),3,IF(ISBLANK(VLOOKUP(A470,'NHL PBP'!A:AH,34,FALSE)),4,5)))</f>
        <v>5</v>
      </c>
      <c r="L470">
        <f>IF(OR(EXACT(D470,"C"),EXACT(D470,"P"),EXACT(D470,"D"),EXACT(D470,"T"),EXACT(D470,"X"),EXACT(E470,"DZF"),EXACT(E470,"OZF"),EXACT(D470,"N"),EXACT(D470,"F")),1,0)</f>
        <v>0</v>
      </c>
      <c r="M470" t="str">
        <f t="shared" si="28"/>
        <v/>
      </c>
      <c r="N470">
        <f t="shared" si="29"/>
        <v>0</v>
      </c>
      <c r="O470">
        <f t="shared" si="30"/>
        <v>0</v>
      </c>
      <c r="P470" t="str">
        <f t="shared" si="31"/>
        <v/>
      </c>
    </row>
    <row r="471" spans="1:16" x14ac:dyDescent="0.25">
      <c r="A471">
        <v>316</v>
      </c>
      <c r="B471" t="str">
        <f>IF($A471&gt;$A$1,"",VLOOKUP($A471,'NHL PBP'!$A:$L,8,FALSE))</f>
        <v/>
      </c>
      <c r="C471" t="str">
        <f>IF($A471&gt;$A$1,"",IF(B471&gt;3,5/24,20/24)-VLOOKUP($A471,'NHL PBP'!$A:$L,10,FALSE))</f>
        <v/>
      </c>
      <c r="D471" t="str">
        <f>IF($A471&gt;$A$1,"",VLOOKUP($A471,'NHL PBP'!$A:$L,11,FALSE))</f>
        <v/>
      </c>
      <c r="E471" t="str">
        <f>IF(AND(EXACT(D471,"FAC"),NOT(EXACT(MID(F471,9,3),"Neu"))),IF(OR(AND(EXACT(MID(F471,9,3),"Off"),EXACT(LEFT(F471,3),UPPER('Entry data'!$C$2))),AND(EXACT(MID(F471,9,3),"Def"),NOT(EXACT(LEFT(F471,3),UPPER('Entry data'!$C$2))))),"DZF","OZF"),"")</f>
        <v/>
      </c>
      <c r="F471" t="str">
        <f>IF($A471&gt;$A$1,"",VLOOKUP($A471,'NHL PBP'!$A:$L,12,FALSE))</f>
        <v/>
      </c>
      <c r="J471">
        <f>IF(EXACT('Entry data'!$C$3,"Road"),IF(ISBLANK(VLOOKUP(A471,'NHL PBP'!A:AH,21,FALSE)),3,IF(ISBLANK(VLOOKUP(A471,'NHL PBP'!A:AH,23,FALSE)),4,5)),IF(ISBLANK(VLOOKUP(A471,'NHL PBP'!A:AH,32,FALSE)),3,IF(ISBLANK(VLOOKUP(A471,'NHL PBP'!A:AH,34,FALSE)),4,5)))</f>
        <v>5</v>
      </c>
      <c r="K471">
        <f>IF(EXACT('Entry data'!$C$3,"Home"),IF(ISBLANK(VLOOKUP(A471,'NHL PBP'!A:AH,21,FALSE)),3,IF(ISBLANK(VLOOKUP(A471,'NHL PBP'!A:AH,23,FALSE)),4,5)),IF(ISBLANK(VLOOKUP(A471,'NHL PBP'!A:AH,32,FALSE)),3,IF(ISBLANK(VLOOKUP(A471,'NHL PBP'!A:AH,34,FALSE)),4,5)))</f>
        <v>5</v>
      </c>
      <c r="L471">
        <f>IF(OR(EXACT(D471,"C"),EXACT(D471,"P"),EXACT(D471,"D"),EXACT(D471,"T"),EXACT(D471,"X"),EXACT(E471,"DZF"),EXACT(E471,"OZF"),EXACT(D471,"N"),EXACT(D471,"F")),1,0)</f>
        <v>0</v>
      </c>
      <c r="M471" t="str">
        <f t="shared" si="28"/>
        <v/>
      </c>
      <c r="N471">
        <f t="shared" si="29"/>
        <v>0</v>
      </c>
      <c r="O471">
        <f t="shared" si="30"/>
        <v>0</v>
      </c>
      <c r="P471" t="str">
        <f t="shared" si="31"/>
        <v/>
      </c>
    </row>
    <row r="472" spans="1:16" x14ac:dyDescent="0.25">
      <c r="A472">
        <v>317</v>
      </c>
      <c r="B472" t="str">
        <f>IF($A472&gt;$A$1,"",VLOOKUP($A472,'NHL PBP'!$A:$L,8,FALSE))</f>
        <v/>
      </c>
      <c r="C472" t="str">
        <f>IF($A472&gt;$A$1,"",IF(B472&gt;3,5/24,20/24)-VLOOKUP($A472,'NHL PBP'!$A:$L,10,FALSE))</f>
        <v/>
      </c>
      <c r="D472" t="str">
        <f>IF($A472&gt;$A$1,"",VLOOKUP($A472,'NHL PBP'!$A:$L,11,FALSE))</f>
        <v/>
      </c>
      <c r="E472" t="str">
        <f>IF(AND(EXACT(D472,"FAC"),NOT(EXACT(MID(F472,9,3),"Neu"))),IF(OR(AND(EXACT(MID(F472,9,3),"Off"),EXACT(LEFT(F472,3),UPPER('Entry data'!$C$2))),AND(EXACT(MID(F472,9,3),"Def"),NOT(EXACT(LEFT(F472,3),UPPER('Entry data'!$C$2))))),"DZF","OZF"),"")</f>
        <v/>
      </c>
      <c r="F472" t="str">
        <f>IF($A472&gt;$A$1,"",VLOOKUP($A472,'NHL PBP'!$A:$L,12,FALSE))</f>
        <v/>
      </c>
      <c r="J472">
        <f>IF(EXACT('Entry data'!$C$3,"Road"),IF(ISBLANK(VLOOKUP(A472,'NHL PBP'!A:AH,21,FALSE)),3,IF(ISBLANK(VLOOKUP(A472,'NHL PBP'!A:AH,23,FALSE)),4,5)),IF(ISBLANK(VLOOKUP(A472,'NHL PBP'!A:AH,32,FALSE)),3,IF(ISBLANK(VLOOKUP(A472,'NHL PBP'!A:AH,34,FALSE)),4,5)))</f>
        <v>5</v>
      </c>
      <c r="K472">
        <f>IF(EXACT('Entry data'!$C$3,"Home"),IF(ISBLANK(VLOOKUP(A472,'NHL PBP'!A:AH,21,FALSE)),3,IF(ISBLANK(VLOOKUP(A472,'NHL PBP'!A:AH,23,FALSE)),4,5)),IF(ISBLANK(VLOOKUP(A472,'NHL PBP'!A:AH,32,FALSE)),3,IF(ISBLANK(VLOOKUP(A472,'NHL PBP'!A:AH,34,FALSE)),4,5)))</f>
        <v>5</v>
      </c>
      <c r="L472">
        <f>IF(OR(EXACT(D472,"C"),EXACT(D472,"P"),EXACT(D472,"D"),EXACT(D472,"T"),EXACT(D472,"X"),EXACT(E472,"DZF"),EXACT(E472,"OZF"),EXACT(D472,"N"),EXACT(D472,"F")),1,0)</f>
        <v>0</v>
      </c>
      <c r="M472" t="str">
        <f t="shared" si="28"/>
        <v/>
      </c>
      <c r="N472">
        <f t="shared" si="29"/>
        <v>0</v>
      </c>
      <c r="O472">
        <f t="shared" si="30"/>
        <v>0</v>
      </c>
      <c r="P472" t="str">
        <f t="shared" si="31"/>
        <v/>
      </c>
    </row>
    <row r="473" spans="1:16" x14ac:dyDescent="0.25">
      <c r="A473">
        <v>318</v>
      </c>
      <c r="B473" t="str">
        <f>IF($A473&gt;$A$1,"",VLOOKUP($A473,'NHL PBP'!$A:$L,8,FALSE))</f>
        <v/>
      </c>
      <c r="C473" t="str">
        <f>IF($A473&gt;$A$1,"",IF(B473&gt;3,5/24,20/24)-VLOOKUP($A473,'NHL PBP'!$A:$L,10,FALSE))</f>
        <v/>
      </c>
      <c r="D473" t="str">
        <f>IF($A473&gt;$A$1,"",VLOOKUP($A473,'NHL PBP'!$A:$L,11,FALSE))</f>
        <v/>
      </c>
      <c r="E473" t="str">
        <f>IF(AND(EXACT(D473,"FAC"),NOT(EXACT(MID(F473,9,3),"Neu"))),IF(OR(AND(EXACT(MID(F473,9,3),"Off"),EXACT(LEFT(F473,3),UPPER('Entry data'!$C$2))),AND(EXACT(MID(F473,9,3),"Def"),NOT(EXACT(LEFT(F473,3),UPPER('Entry data'!$C$2))))),"DZF","OZF"),"")</f>
        <v/>
      </c>
      <c r="F473" t="str">
        <f>IF($A473&gt;$A$1,"",VLOOKUP($A473,'NHL PBP'!$A:$L,12,FALSE))</f>
        <v/>
      </c>
      <c r="J473">
        <f>IF(EXACT('Entry data'!$C$3,"Road"),IF(ISBLANK(VLOOKUP(A473,'NHL PBP'!A:AH,21,FALSE)),3,IF(ISBLANK(VLOOKUP(A473,'NHL PBP'!A:AH,23,FALSE)),4,5)),IF(ISBLANK(VLOOKUP(A473,'NHL PBP'!A:AH,32,FALSE)),3,IF(ISBLANK(VLOOKUP(A473,'NHL PBP'!A:AH,34,FALSE)),4,5)))</f>
        <v>5</v>
      </c>
      <c r="K473">
        <f>IF(EXACT('Entry data'!$C$3,"Home"),IF(ISBLANK(VLOOKUP(A473,'NHL PBP'!A:AH,21,FALSE)),3,IF(ISBLANK(VLOOKUP(A473,'NHL PBP'!A:AH,23,FALSE)),4,5)),IF(ISBLANK(VLOOKUP(A473,'NHL PBP'!A:AH,32,FALSE)),3,IF(ISBLANK(VLOOKUP(A473,'NHL PBP'!A:AH,34,FALSE)),4,5)))</f>
        <v>5</v>
      </c>
      <c r="L473">
        <f>IF(OR(EXACT(D473,"C"),EXACT(D473,"P"),EXACT(D473,"D"),EXACT(D473,"T"),EXACT(D473,"X"),EXACT(E473,"DZF"),EXACT(E473,"OZF"),EXACT(D473,"N"),EXACT(D473,"F")),1,0)</f>
        <v>0</v>
      </c>
      <c r="M473" t="str">
        <f t="shared" si="28"/>
        <v/>
      </c>
      <c r="N473">
        <f t="shared" si="29"/>
        <v>0</v>
      </c>
      <c r="O473">
        <f t="shared" si="30"/>
        <v>0</v>
      </c>
      <c r="P473" t="str">
        <f t="shared" si="31"/>
        <v/>
      </c>
    </row>
    <row r="474" spans="1:16" x14ac:dyDescent="0.25">
      <c r="A474">
        <v>319</v>
      </c>
      <c r="B474" t="str">
        <f>IF($A474&gt;$A$1,"",VLOOKUP($A474,'NHL PBP'!$A:$L,8,FALSE))</f>
        <v/>
      </c>
      <c r="C474" t="str">
        <f>IF($A474&gt;$A$1,"",IF(B474&gt;3,5/24,20/24)-VLOOKUP($A474,'NHL PBP'!$A:$L,10,FALSE))</f>
        <v/>
      </c>
      <c r="D474" t="str">
        <f>IF($A474&gt;$A$1,"",VLOOKUP($A474,'NHL PBP'!$A:$L,11,FALSE))</f>
        <v/>
      </c>
      <c r="E474" t="str">
        <f>IF(AND(EXACT(D474,"FAC"),NOT(EXACT(MID(F474,9,3),"Neu"))),IF(OR(AND(EXACT(MID(F474,9,3),"Off"),EXACT(LEFT(F474,3),UPPER('Entry data'!$C$2))),AND(EXACT(MID(F474,9,3),"Def"),NOT(EXACT(LEFT(F474,3),UPPER('Entry data'!$C$2))))),"DZF","OZF"),"")</f>
        <v/>
      </c>
      <c r="F474" t="str">
        <f>IF($A474&gt;$A$1,"",VLOOKUP($A474,'NHL PBP'!$A:$L,12,FALSE))</f>
        <v/>
      </c>
      <c r="J474">
        <f>IF(EXACT('Entry data'!$C$3,"Road"),IF(ISBLANK(VLOOKUP(A474,'NHL PBP'!A:AH,21,FALSE)),3,IF(ISBLANK(VLOOKUP(A474,'NHL PBP'!A:AH,23,FALSE)),4,5)),IF(ISBLANK(VLOOKUP(A474,'NHL PBP'!A:AH,32,FALSE)),3,IF(ISBLANK(VLOOKUP(A474,'NHL PBP'!A:AH,34,FALSE)),4,5)))</f>
        <v>5</v>
      </c>
      <c r="K474">
        <f>IF(EXACT('Entry data'!$C$3,"Home"),IF(ISBLANK(VLOOKUP(A474,'NHL PBP'!A:AH,21,FALSE)),3,IF(ISBLANK(VLOOKUP(A474,'NHL PBP'!A:AH,23,FALSE)),4,5)),IF(ISBLANK(VLOOKUP(A474,'NHL PBP'!A:AH,32,FALSE)),3,IF(ISBLANK(VLOOKUP(A474,'NHL PBP'!A:AH,34,FALSE)),4,5)))</f>
        <v>5</v>
      </c>
      <c r="L474">
        <f>IF(OR(EXACT(D474,"C"),EXACT(D474,"P"),EXACT(D474,"D"),EXACT(D474,"T"),EXACT(D474,"X"),EXACT(E474,"DZF"),EXACT(E474,"OZF"),EXACT(D474,"N"),EXACT(D474,"F")),1,0)</f>
        <v>0</v>
      </c>
      <c r="M474" t="str">
        <f t="shared" si="28"/>
        <v/>
      </c>
      <c r="N474">
        <f t="shared" si="29"/>
        <v>0</v>
      </c>
      <c r="O474">
        <f t="shared" si="30"/>
        <v>0</v>
      </c>
      <c r="P474" t="str">
        <f t="shared" si="31"/>
        <v/>
      </c>
    </row>
    <row r="475" spans="1:16" x14ac:dyDescent="0.25">
      <c r="A475">
        <v>320</v>
      </c>
      <c r="B475" t="str">
        <f>IF($A475&gt;$A$1,"",VLOOKUP($A475,'NHL PBP'!$A:$L,8,FALSE))</f>
        <v/>
      </c>
      <c r="C475" t="str">
        <f>IF($A475&gt;$A$1,"",IF(B475&gt;3,5/24,20/24)-VLOOKUP($A475,'NHL PBP'!$A:$L,10,FALSE))</f>
        <v/>
      </c>
      <c r="D475" t="str">
        <f>IF($A475&gt;$A$1,"",VLOOKUP($A475,'NHL PBP'!$A:$L,11,FALSE))</f>
        <v/>
      </c>
      <c r="E475" t="str">
        <f>IF(AND(EXACT(D475,"FAC"),NOT(EXACT(MID(F475,9,3),"Neu"))),IF(OR(AND(EXACT(MID(F475,9,3),"Off"),EXACT(LEFT(F475,3),UPPER('Entry data'!$C$2))),AND(EXACT(MID(F475,9,3),"Def"),NOT(EXACT(LEFT(F475,3),UPPER('Entry data'!$C$2))))),"DZF","OZF"),"")</f>
        <v/>
      </c>
      <c r="F475" t="str">
        <f>IF($A475&gt;$A$1,"",VLOOKUP($A475,'NHL PBP'!$A:$L,12,FALSE))</f>
        <v/>
      </c>
      <c r="J475">
        <f>IF(EXACT('Entry data'!$C$3,"Road"),IF(ISBLANK(VLOOKUP(A475,'NHL PBP'!A:AH,21,FALSE)),3,IF(ISBLANK(VLOOKUP(A475,'NHL PBP'!A:AH,23,FALSE)),4,5)),IF(ISBLANK(VLOOKUP(A475,'NHL PBP'!A:AH,32,FALSE)),3,IF(ISBLANK(VLOOKUP(A475,'NHL PBP'!A:AH,34,FALSE)),4,5)))</f>
        <v>5</v>
      </c>
      <c r="K475">
        <f>IF(EXACT('Entry data'!$C$3,"Home"),IF(ISBLANK(VLOOKUP(A475,'NHL PBP'!A:AH,21,FALSE)),3,IF(ISBLANK(VLOOKUP(A475,'NHL PBP'!A:AH,23,FALSE)),4,5)),IF(ISBLANK(VLOOKUP(A475,'NHL PBP'!A:AH,32,FALSE)),3,IF(ISBLANK(VLOOKUP(A475,'NHL PBP'!A:AH,34,FALSE)),4,5)))</f>
        <v>5</v>
      </c>
      <c r="L475">
        <f>IF(OR(EXACT(D475,"C"),EXACT(D475,"P"),EXACT(D475,"D"),EXACT(D475,"T"),EXACT(D475,"X"),EXACT(E475,"DZF"),EXACT(E475,"OZF"),EXACT(D475,"N"),EXACT(D475,"F")),1,0)</f>
        <v>0</v>
      </c>
      <c r="M475" t="str">
        <f t="shared" si="28"/>
        <v/>
      </c>
      <c r="N475">
        <f t="shared" si="29"/>
        <v>0</v>
      </c>
      <c r="O475">
        <f t="shared" si="30"/>
        <v>0</v>
      </c>
      <c r="P475" t="str">
        <f t="shared" si="31"/>
        <v/>
      </c>
    </row>
    <row r="476" spans="1:16" x14ac:dyDescent="0.25">
      <c r="A476">
        <v>321</v>
      </c>
      <c r="B476" t="str">
        <f>IF($A476&gt;$A$1,"",VLOOKUP($A476,'NHL PBP'!$A:$L,8,FALSE))</f>
        <v/>
      </c>
      <c r="C476" t="str">
        <f>IF($A476&gt;$A$1,"",IF(B476&gt;3,5/24,20/24)-VLOOKUP($A476,'NHL PBP'!$A:$L,10,FALSE))</f>
        <v/>
      </c>
      <c r="D476" t="str">
        <f>IF($A476&gt;$A$1,"",VLOOKUP($A476,'NHL PBP'!$A:$L,11,FALSE))</f>
        <v/>
      </c>
      <c r="E476" t="str">
        <f>IF(AND(EXACT(D476,"FAC"),NOT(EXACT(MID(F476,9,3),"Neu"))),IF(OR(AND(EXACT(MID(F476,9,3),"Off"),EXACT(LEFT(F476,3),UPPER('Entry data'!$C$2))),AND(EXACT(MID(F476,9,3),"Def"),NOT(EXACT(LEFT(F476,3),UPPER('Entry data'!$C$2))))),"DZF","OZF"),"")</f>
        <v/>
      </c>
      <c r="F476" t="str">
        <f>IF($A476&gt;$A$1,"",VLOOKUP($A476,'NHL PBP'!$A:$L,12,FALSE))</f>
        <v/>
      </c>
      <c r="J476">
        <f>IF(EXACT('Entry data'!$C$3,"Road"),IF(ISBLANK(VLOOKUP(A476,'NHL PBP'!A:AH,21,FALSE)),3,IF(ISBLANK(VLOOKUP(A476,'NHL PBP'!A:AH,23,FALSE)),4,5)),IF(ISBLANK(VLOOKUP(A476,'NHL PBP'!A:AH,32,FALSE)),3,IF(ISBLANK(VLOOKUP(A476,'NHL PBP'!A:AH,34,FALSE)),4,5)))</f>
        <v>5</v>
      </c>
      <c r="K476">
        <f>IF(EXACT('Entry data'!$C$3,"Home"),IF(ISBLANK(VLOOKUP(A476,'NHL PBP'!A:AH,21,FALSE)),3,IF(ISBLANK(VLOOKUP(A476,'NHL PBP'!A:AH,23,FALSE)),4,5)),IF(ISBLANK(VLOOKUP(A476,'NHL PBP'!A:AH,32,FALSE)),3,IF(ISBLANK(VLOOKUP(A476,'NHL PBP'!A:AH,34,FALSE)),4,5)))</f>
        <v>5</v>
      </c>
      <c r="L476">
        <f>IF(OR(EXACT(D476,"C"),EXACT(D476,"P"),EXACT(D476,"D"),EXACT(D476,"T"),EXACT(D476,"X"),EXACT(E476,"DZF"),EXACT(E476,"OZF"),EXACT(D476,"N"),EXACT(D476,"F")),1,0)</f>
        <v>0</v>
      </c>
      <c r="M476" t="str">
        <f t="shared" si="28"/>
        <v/>
      </c>
      <c r="N476">
        <f t="shared" si="29"/>
        <v>0</v>
      </c>
      <c r="O476">
        <f t="shared" si="30"/>
        <v>0</v>
      </c>
      <c r="P476" t="str">
        <f t="shared" si="31"/>
        <v/>
      </c>
    </row>
    <row r="477" spans="1:16" x14ac:dyDescent="0.25">
      <c r="A477">
        <v>322</v>
      </c>
      <c r="B477" t="str">
        <f>IF($A477&gt;$A$1,"",VLOOKUP($A477,'NHL PBP'!$A:$L,8,FALSE))</f>
        <v/>
      </c>
      <c r="C477" t="str">
        <f>IF($A477&gt;$A$1,"",IF(B477&gt;3,5/24,20/24)-VLOOKUP($A477,'NHL PBP'!$A:$L,10,FALSE))</f>
        <v/>
      </c>
      <c r="D477" t="str">
        <f>IF($A477&gt;$A$1,"",VLOOKUP($A477,'NHL PBP'!$A:$L,11,FALSE))</f>
        <v/>
      </c>
      <c r="E477" t="str">
        <f>IF(AND(EXACT(D477,"FAC"),NOT(EXACT(MID(F477,9,3),"Neu"))),IF(OR(AND(EXACT(MID(F477,9,3),"Off"),EXACT(LEFT(F477,3),UPPER('Entry data'!$C$2))),AND(EXACT(MID(F477,9,3),"Def"),NOT(EXACT(LEFT(F477,3),UPPER('Entry data'!$C$2))))),"DZF","OZF"),"")</f>
        <v/>
      </c>
      <c r="F477" t="str">
        <f>IF($A477&gt;$A$1,"",VLOOKUP($A477,'NHL PBP'!$A:$L,12,FALSE))</f>
        <v/>
      </c>
      <c r="J477">
        <f>IF(EXACT('Entry data'!$C$3,"Road"),IF(ISBLANK(VLOOKUP(A477,'NHL PBP'!A:AH,21,FALSE)),3,IF(ISBLANK(VLOOKUP(A477,'NHL PBP'!A:AH,23,FALSE)),4,5)),IF(ISBLANK(VLOOKUP(A477,'NHL PBP'!A:AH,32,FALSE)),3,IF(ISBLANK(VLOOKUP(A477,'NHL PBP'!A:AH,34,FALSE)),4,5)))</f>
        <v>5</v>
      </c>
      <c r="K477">
        <f>IF(EXACT('Entry data'!$C$3,"Home"),IF(ISBLANK(VLOOKUP(A477,'NHL PBP'!A:AH,21,FALSE)),3,IF(ISBLANK(VLOOKUP(A477,'NHL PBP'!A:AH,23,FALSE)),4,5)),IF(ISBLANK(VLOOKUP(A477,'NHL PBP'!A:AH,32,FALSE)),3,IF(ISBLANK(VLOOKUP(A477,'NHL PBP'!A:AH,34,FALSE)),4,5)))</f>
        <v>5</v>
      </c>
      <c r="L477">
        <f>IF(OR(EXACT(D477,"C"),EXACT(D477,"P"),EXACT(D477,"D"),EXACT(D477,"T"),EXACT(D477,"X"),EXACT(E477,"DZF"),EXACT(E477,"OZF"),EXACT(D477,"N"),EXACT(D477,"F")),1,0)</f>
        <v>0</v>
      </c>
      <c r="M477" t="str">
        <f t="shared" si="28"/>
        <v/>
      </c>
      <c r="N477">
        <f t="shared" si="29"/>
        <v>0</v>
      </c>
      <c r="O477">
        <f t="shared" si="30"/>
        <v>0</v>
      </c>
      <c r="P477" t="str">
        <f t="shared" si="31"/>
        <v/>
      </c>
    </row>
    <row r="478" spans="1:16" x14ac:dyDescent="0.25">
      <c r="A478">
        <v>323</v>
      </c>
      <c r="B478" t="str">
        <f>IF($A478&gt;$A$1,"",VLOOKUP($A478,'NHL PBP'!$A:$L,8,FALSE))</f>
        <v/>
      </c>
      <c r="C478" t="str">
        <f>IF($A478&gt;$A$1,"",IF(B478&gt;3,5/24,20/24)-VLOOKUP($A478,'NHL PBP'!$A:$L,10,FALSE))</f>
        <v/>
      </c>
      <c r="D478" t="str">
        <f>IF($A478&gt;$A$1,"",VLOOKUP($A478,'NHL PBP'!$A:$L,11,FALSE))</f>
        <v/>
      </c>
      <c r="E478" t="str">
        <f>IF(AND(EXACT(D478,"FAC"),NOT(EXACT(MID(F478,9,3),"Neu"))),IF(OR(AND(EXACT(MID(F478,9,3),"Off"),EXACT(LEFT(F478,3),UPPER('Entry data'!$C$2))),AND(EXACT(MID(F478,9,3),"Def"),NOT(EXACT(LEFT(F478,3),UPPER('Entry data'!$C$2))))),"DZF","OZF"),"")</f>
        <v/>
      </c>
      <c r="F478" t="str">
        <f>IF($A478&gt;$A$1,"",VLOOKUP($A478,'NHL PBP'!$A:$L,12,FALSE))</f>
        <v/>
      </c>
      <c r="J478">
        <f>IF(EXACT('Entry data'!$C$3,"Road"),IF(ISBLANK(VLOOKUP(A478,'NHL PBP'!A:AH,21,FALSE)),3,IF(ISBLANK(VLOOKUP(A478,'NHL PBP'!A:AH,23,FALSE)),4,5)),IF(ISBLANK(VLOOKUP(A478,'NHL PBP'!A:AH,32,FALSE)),3,IF(ISBLANK(VLOOKUP(A478,'NHL PBP'!A:AH,34,FALSE)),4,5)))</f>
        <v>5</v>
      </c>
      <c r="K478">
        <f>IF(EXACT('Entry data'!$C$3,"Home"),IF(ISBLANK(VLOOKUP(A478,'NHL PBP'!A:AH,21,FALSE)),3,IF(ISBLANK(VLOOKUP(A478,'NHL PBP'!A:AH,23,FALSE)),4,5)),IF(ISBLANK(VLOOKUP(A478,'NHL PBP'!A:AH,32,FALSE)),3,IF(ISBLANK(VLOOKUP(A478,'NHL PBP'!A:AH,34,FALSE)),4,5)))</f>
        <v>5</v>
      </c>
      <c r="L478">
        <f>IF(OR(EXACT(D478,"C"),EXACT(D478,"P"),EXACT(D478,"D"),EXACT(D478,"T"),EXACT(D478,"X"),EXACT(E478,"DZF"),EXACT(E478,"OZF"),EXACT(D478,"N"),EXACT(D478,"F")),1,0)</f>
        <v>0</v>
      </c>
      <c r="M478" t="str">
        <f t="shared" si="28"/>
        <v/>
      </c>
      <c r="N478">
        <f t="shared" si="29"/>
        <v>0</v>
      </c>
      <c r="O478">
        <f t="shared" si="30"/>
        <v>0</v>
      </c>
      <c r="P478" t="str">
        <f t="shared" si="31"/>
        <v/>
      </c>
    </row>
    <row r="479" spans="1:16" x14ac:dyDescent="0.25">
      <c r="A479">
        <v>324</v>
      </c>
      <c r="B479" t="str">
        <f>IF($A479&gt;$A$1,"",VLOOKUP($A479,'NHL PBP'!$A:$L,8,FALSE))</f>
        <v/>
      </c>
      <c r="C479" t="str">
        <f>IF($A479&gt;$A$1,"",IF(B479&gt;3,5/24,20/24)-VLOOKUP($A479,'NHL PBP'!$A:$L,10,FALSE))</f>
        <v/>
      </c>
      <c r="D479" t="str">
        <f>IF($A479&gt;$A$1,"",VLOOKUP($A479,'NHL PBP'!$A:$L,11,FALSE))</f>
        <v/>
      </c>
      <c r="E479" t="str">
        <f>IF(AND(EXACT(D479,"FAC"),NOT(EXACT(MID(F479,9,3),"Neu"))),IF(OR(AND(EXACT(MID(F479,9,3),"Off"),EXACT(LEFT(F479,3),UPPER('Entry data'!$C$2))),AND(EXACT(MID(F479,9,3),"Def"),NOT(EXACT(LEFT(F479,3),UPPER('Entry data'!$C$2))))),"DZF","OZF"),"")</f>
        <v/>
      </c>
      <c r="F479" t="str">
        <f>IF($A479&gt;$A$1,"",VLOOKUP($A479,'NHL PBP'!$A:$L,12,FALSE))</f>
        <v/>
      </c>
      <c r="J479">
        <f>IF(EXACT('Entry data'!$C$3,"Road"),IF(ISBLANK(VLOOKUP(A479,'NHL PBP'!A:AH,21,FALSE)),3,IF(ISBLANK(VLOOKUP(A479,'NHL PBP'!A:AH,23,FALSE)),4,5)),IF(ISBLANK(VLOOKUP(A479,'NHL PBP'!A:AH,32,FALSE)),3,IF(ISBLANK(VLOOKUP(A479,'NHL PBP'!A:AH,34,FALSE)),4,5)))</f>
        <v>5</v>
      </c>
      <c r="K479">
        <f>IF(EXACT('Entry data'!$C$3,"Home"),IF(ISBLANK(VLOOKUP(A479,'NHL PBP'!A:AH,21,FALSE)),3,IF(ISBLANK(VLOOKUP(A479,'NHL PBP'!A:AH,23,FALSE)),4,5)),IF(ISBLANK(VLOOKUP(A479,'NHL PBP'!A:AH,32,FALSE)),3,IF(ISBLANK(VLOOKUP(A479,'NHL PBP'!A:AH,34,FALSE)),4,5)))</f>
        <v>5</v>
      </c>
      <c r="L479">
        <f>IF(OR(EXACT(D479,"C"),EXACT(D479,"P"),EXACT(D479,"D"),EXACT(D479,"T"),EXACT(D479,"X"),EXACT(E479,"DZF"),EXACT(E479,"OZF"),EXACT(D479,"N"),EXACT(D479,"F")),1,0)</f>
        <v>0</v>
      </c>
      <c r="M479" t="str">
        <f t="shared" si="28"/>
        <v/>
      </c>
      <c r="N479">
        <f t="shared" si="29"/>
        <v>0</v>
      </c>
      <c r="O479">
        <f t="shared" si="30"/>
        <v>0</v>
      </c>
      <c r="P479" t="str">
        <f t="shared" si="31"/>
        <v/>
      </c>
    </row>
    <row r="480" spans="1:16" x14ac:dyDescent="0.25">
      <c r="A480">
        <v>325</v>
      </c>
      <c r="B480" t="str">
        <f>IF($A480&gt;$A$1,"",VLOOKUP($A480,'NHL PBP'!$A:$L,8,FALSE))</f>
        <v/>
      </c>
      <c r="C480" t="str">
        <f>IF($A480&gt;$A$1,"",IF(B480&gt;3,5/24,20/24)-VLOOKUP($A480,'NHL PBP'!$A:$L,10,FALSE))</f>
        <v/>
      </c>
      <c r="D480" t="str">
        <f>IF($A480&gt;$A$1,"",VLOOKUP($A480,'NHL PBP'!$A:$L,11,FALSE))</f>
        <v/>
      </c>
      <c r="E480" t="str">
        <f>IF(AND(EXACT(D480,"FAC"),NOT(EXACT(MID(F480,9,3),"Neu"))),IF(OR(AND(EXACT(MID(F480,9,3),"Off"),EXACT(LEFT(F480,3),UPPER('Entry data'!$C$2))),AND(EXACT(MID(F480,9,3),"Def"),NOT(EXACT(LEFT(F480,3),UPPER('Entry data'!$C$2))))),"DZF","OZF"),"")</f>
        <v/>
      </c>
      <c r="F480" t="str">
        <f>IF($A480&gt;$A$1,"",VLOOKUP($A480,'NHL PBP'!$A:$L,12,FALSE))</f>
        <v/>
      </c>
      <c r="J480">
        <f>IF(EXACT('Entry data'!$C$3,"Road"),IF(ISBLANK(VLOOKUP(A480,'NHL PBP'!A:AH,21,FALSE)),3,IF(ISBLANK(VLOOKUP(A480,'NHL PBP'!A:AH,23,FALSE)),4,5)),IF(ISBLANK(VLOOKUP(A480,'NHL PBP'!A:AH,32,FALSE)),3,IF(ISBLANK(VLOOKUP(A480,'NHL PBP'!A:AH,34,FALSE)),4,5)))</f>
        <v>5</v>
      </c>
      <c r="K480">
        <f>IF(EXACT('Entry data'!$C$3,"Home"),IF(ISBLANK(VLOOKUP(A480,'NHL PBP'!A:AH,21,FALSE)),3,IF(ISBLANK(VLOOKUP(A480,'NHL PBP'!A:AH,23,FALSE)),4,5)),IF(ISBLANK(VLOOKUP(A480,'NHL PBP'!A:AH,32,FALSE)),3,IF(ISBLANK(VLOOKUP(A480,'NHL PBP'!A:AH,34,FALSE)),4,5)))</f>
        <v>5</v>
      </c>
      <c r="L480">
        <f>IF(OR(EXACT(D480,"C"),EXACT(D480,"P"),EXACT(D480,"D"),EXACT(D480,"T"),EXACT(D480,"X"),EXACT(E480,"DZF"),EXACT(E480,"OZF"),EXACT(D480,"N"),EXACT(D480,"F")),1,0)</f>
        <v>0</v>
      </c>
      <c r="M480" t="str">
        <f t="shared" si="28"/>
        <v/>
      </c>
      <c r="N480">
        <f t="shared" si="29"/>
        <v>0</v>
      </c>
      <c r="O480">
        <f t="shared" si="30"/>
        <v>0</v>
      </c>
      <c r="P480" t="str">
        <f t="shared" si="31"/>
        <v/>
      </c>
    </row>
    <row r="481" spans="1:16" x14ac:dyDescent="0.25">
      <c r="A481">
        <v>326</v>
      </c>
      <c r="B481" t="str">
        <f>IF($A481&gt;$A$1,"",VLOOKUP($A481,'NHL PBP'!$A:$L,8,FALSE))</f>
        <v/>
      </c>
      <c r="C481" t="str">
        <f>IF($A481&gt;$A$1,"",IF(B481&gt;3,5/24,20/24)-VLOOKUP($A481,'NHL PBP'!$A:$L,10,FALSE))</f>
        <v/>
      </c>
      <c r="D481" t="str">
        <f>IF($A481&gt;$A$1,"",VLOOKUP($A481,'NHL PBP'!$A:$L,11,FALSE))</f>
        <v/>
      </c>
      <c r="E481" t="str">
        <f>IF(AND(EXACT(D481,"FAC"),NOT(EXACT(MID(F481,9,3),"Neu"))),IF(OR(AND(EXACT(MID(F481,9,3),"Off"),EXACT(LEFT(F481,3),UPPER('Entry data'!$C$2))),AND(EXACT(MID(F481,9,3),"Def"),NOT(EXACT(LEFT(F481,3),UPPER('Entry data'!$C$2))))),"DZF","OZF"),"")</f>
        <v/>
      </c>
      <c r="F481" t="str">
        <f>IF($A481&gt;$A$1,"",VLOOKUP($A481,'NHL PBP'!$A:$L,12,FALSE))</f>
        <v/>
      </c>
      <c r="J481">
        <f>IF(EXACT('Entry data'!$C$3,"Road"),IF(ISBLANK(VLOOKUP(A481,'NHL PBP'!A:AH,21,FALSE)),3,IF(ISBLANK(VLOOKUP(A481,'NHL PBP'!A:AH,23,FALSE)),4,5)),IF(ISBLANK(VLOOKUP(A481,'NHL PBP'!A:AH,32,FALSE)),3,IF(ISBLANK(VLOOKUP(A481,'NHL PBP'!A:AH,34,FALSE)),4,5)))</f>
        <v>5</v>
      </c>
      <c r="K481">
        <f>IF(EXACT('Entry data'!$C$3,"Home"),IF(ISBLANK(VLOOKUP(A481,'NHL PBP'!A:AH,21,FALSE)),3,IF(ISBLANK(VLOOKUP(A481,'NHL PBP'!A:AH,23,FALSE)),4,5)),IF(ISBLANK(VLOOKUP(A481,'NHL PBP'!A:AH,32,FALSE)),3,IF(ISBLANK(VLOOKUP(A481,'NHL PBP'!A:AH,34,FALSE)),4,5)))</f>
        <v>5</v>
      </c>
      <c r="L481">
        <f>IF(OR(EXACT(D481,"C"),EXACT(D481,"P"),EXACT(D481,"D"),EXACT(D481,"T"),EXACT(D481,"X"),EXACT(E481,"DZF"),EXACT(E481,"OZF"),EXACT(D481,"N"),EXACT(D481,"F")),1,0)</f>
        <v>0</v>
      </c>
      <c r="M481" t="str">
        <f t="shared" si="28"/>
        <v/>
      </c>
      <c r="N481">
        <f t="shared" si="29"/>
        <v>0</v>
      </c>
      <c r="O481">
        <f t="shared" si="30"/>
        <v>0</v>
      </c>
      <c r="P481" t="str">
        <f t="shared" si="31"/>
        <v/>
      </c>
    </row>
    <row r="482" spans="1:16" x14ac:dyDescent="0.25">
      <c r="A482">
        <v>327</v>
      </c>
      <c r="B482" t="str">
        <f>IF($A482&gt;$A$1,"",VLOOKUP($A482,'NHL PBP'!$A:$L,8,FALSE))</f>
        <v/>
      </c>
      <c r="C482" t="str">
        <f>IF($A482&gt;$A$1,"",IF(B482&gt;3,5/24,20/24)-VLOOKUP($A482,'NHL PBP'!$A:$L,10,FALSE))</f>
        <v/>
      </c>
      <c r="D482" t="str">
        <f>IF($A482&gt;$A$1,"",VLOOKUP($A482,'NHL PBP'!$A:$L,11,FALSE))</f>
        <v/>
      </c>
      <c r="E482" t="str">
        <f>IF(AND(EXACT(D482,"FAC"),NOT(EXACT(MID(F482,9,3),"Neu"))),IF(OR(AND(EXACT(MID(F482,9,3),"Off"),EXACT(LEFT(F482,3),UPPER('Entry data'!$C$2))),AND(EXACT(MID(F482,9,3),"Def"),NOT(EXACT(LEFT(F482,3),UPPER('Entry data'!$C$2))))),"DZF","OZF"),"")</f>
        <v/>
      </c>
      <c r="F482" t="str">
        <f>IF($A482&gt;$A$1,"",VLOOKUP($A482,'NHL PBP'!$A:$L,12,FALSE))</f>
        <v/>
      </c>
      <c r="J482">
        <f>IF(EXACT('Entry data'!$C$3,"Road"),IF(ISBLANK(VLOOKUP(A482,'NHL PBP'!A:AH,21,FALSE)),3,IF(ISBLANK(VLOOKUP(A482,'NHL PBP'!A:AH,23,FALSE)),4,5)),IF(ISBLANK(VLOOKUP(A482,'NHL PBP'!A:AH,32,FALSE)),3,IF(ISBLANK(VLOOKUP(A482,'NHL PBP'!A:AH,34,FALSE)),4,5)))</f>
        <v>5</v>
      </c>
      <c r="K482">
        <f>IF(EXACT('Entry data'!$C$3,"Home"),IF(ISBLANK(VLOOKUP(A482,'NHL PBP'!A:AH,21,FALSE)),3,IF(ISBLANK(VLOOKUP(A482,'NHL PBP'!A:AH,23,FALSE)),4,5)),IF(ISBLANK(VLOOKUP(A482,'NHL PBP'!A:AH,32,FALSE)),3,IF(ISBLANK(VLOOKUP(A482,'NHL PBP'!A:AH,34,FALSE)),4,5)))</f>
        <v>5</v>
      </c>
      <c r="L482">
        <f>IF(OR(EXACT(D482,"C"),EXACT(D482,"P"),EXACT(D482,"D"),EXACT(D482,"T"),EXACT(D482,"X"),EXACT(E482,"DZF"),EXACT(E482,"OZF"),EXACT(D482,"N"),EXACT(D482,"F")),1,0)</f>
        <v>0</v>
      </c>
      <c r="M482" t="str">
        <f t="shared" si="28"/>
        <v/>
      </c>
      <c r="N482">
        <f t="shared" si="29"/>
        <v>0</v>
      </c>
      <c r="O482">
        <f t="shared" si="30"/>
        <v>0</v>
      </c>
      <c r="P482" t="str">
        <f t="shared" si="31"/>
        <v/>
      </c>
    </row>
    <row r="483" spans="1:16" x14ac:dyDescent="0.25">
      <c r="A483">
        <v>328</v>
      </c>
      <c r="B483" t="str">
        <f>IF($A483&gt;$A$1,"",VLOOKUP($A483,'NHL PBP'!$A:$L,8,FALSE))</f>
        <v/>
      </c>
      <c r="C483" t="str">
        <f>IF($A483&gt;$A$1,"",IF(B483&gt;3,5/24,20/24)-VLOOKUP($A483,'NHL PBP'!$A:$L,10,FALSE))</f>
        <v/>
      </c>
      <c r="D483" t="str">
        <f>IF($A483&gt;$A$1,"",VLOOKUP($A483,'NHL PBP'!$A:$L,11,FALSE))</f>
        <v/>
      </c>
      <c r="E483" t="str">
        <f>IF(AND(EXACT(D483,"FAC"),NOT(EXACT(MID(F483,9,3),"Neu"))),IF(OR(AND(EXACT(MID(F483,9,3),"Off"),EXACT(LEFT(F483,3),UPPER('Entry data'!$C$2))),AND(EXACT(MID(F483,9,3),"Def"),NOT(EXACT(LEFT(F483,3),UPPER('Entry data'!$C$2))))),"DZF","OZF"),"")</f>
        <v/>
      </c>
      <c r="F483" t="str">
        <f>IF($A483&gt;$A$1,"",VLOOKUP($A483,'NHL PBP'!$A:$L,12,FALSE))</f>
        <v/>
      </c>
      <c r="J483">
        <f>IF(EXACT('Entry data'!$C$3,"Road"),IF(ISBLANK(VLOOKUP(A483,'NHL PBP'!A:AH,21,FALSE)),3,IF(ISBLANK(VLOOKUP(A483,'NHL PBP'!A:AH,23,FALSE)),4,5)),IF(ISBLANK(VLOOKUP(A483,'NHL PBP'!A:AH,32,FALSE)),3,IF(ISBLANK(VLOOKUP(A483,'NHL PBP'!A:AH,34,FALSE)),4,5)))</f>
        <v>5</v>
      </c>
      <c r="K483">
        <f>IF(EXACT('Entry data'!$C$3,"Home"),IF(ISBLANK(VLOOKUP(A483,'NHL PBP'!A:AH,21,FALSE)),3,IF(ISBLANK(VLOOKUP(A483,'NHL PBP'!A:AH,23,FALSE)),4,5)),IF(ISBLANK(VLOOKUP(A483,'NHL PBP'!A:AH,32,FALSE)),3,IF(ISBLANK(VLOOKUP(A483,'NHL PBP'!A:AH,34,FALSE)),4,5)))</f>
        <v>5</v>
      </c>
      <c r="L483">
        <f>IF(OR(EXACT(D483,"C"),EXACT(D483,"P"),EXACT(D483,"D"),EXACT(D483,"T"),EXACT(D483,"X"),EXACT(E483,"DZF"),EXACT(E483,"OZF"),EXACT(D483,"N"),EXACT(D483,"F")),1,0)</f>
        <v>0</v>
      </c>
      <c r="M483" t="str">
        <f t="shared" si="28"/>
        <v/>
      </c>
      <c r="N483">
        <f t="shared" si="29"/>
        <v>0</v>
      </c>
      <c r="O483">
        <f t="shared" si="30"/>
        <v>0</v>
      </c>
      <c r="P483" t="str">
        <f t="shared" si="31"/>
        <v/>
      </c>
    </row>
    <row r="484" spans="1:16" x14ac:dyDescent="0.25">
      <c r="A484">
        <v>329</v>
      </c>
      <c r="B484" t="str">
        <f>IF($A484&gt;$A$1,"",VLOOKUP($A484,'NHL PBP'!$A:$L,8,FALSE))</f>
        <v/>
      </c>
      <c r="C484" t="str">
        <f>IF($A484&gt;$A$1,"",IF(B484&gt;3,5/24,20/24)-VLOOKUP($A484,'NHL PBP'!$A:$L,10,FALSE))</f>
        <v/>
      </c>
      <c r="D484" t="str">
        <f>IF($A484&gt;$A$1,"",VLOOKUP($A484,'NHL PBP'!$A:$L,11,FALSE))</f>
        <v/>
      </c>
      <c r="E484" t="str">
        <f>IF(AND(EXACT(D484,"FAC"),NOT(EXACT(MID(F484,9,3),"Neu"))),IF(OR(AND(EXACT(MID(F484,9,3),"Off"),EXACT(LEFT(F484,3),UPPER('Entry data'!$C$2))),AND(EXACT(MID(F484,9,3),"Def"),NOT(EXACT(LEFT(F484,3),UPPER('Entry data'!$C$2))))),"DZF","OZF"),"")</f>
        <v/>
      </c>
      <c r="F484" t="str">
        <f>IF($A484&gt;$A$1,"",VLOOKUP($A484,'NHL PBP'!$A:$L,12,FALSE))</f>
        <v/>
      </c>
      <c r="J484">
        <f>IF(EXACT('Entry data'!$C$3,"Road"),IF(ISBLANK(VLOOKUP(A484,'NHL PBP'!A:AH,21,FALSE)),3,IF(ISBLANK(VLOOKUP(A484,'NHL PBP'!A:AH,23,FALSE)),4,5)),IF(ISBLANK(VLOOKUP(A484,'NHL PBP'!A:AH,32,FALSE)),3,IF(ISBLANK(VLOOKUP(A484,'NHL PBP'!A:AH,34,FALSE)),4,5)))</f>
        <v>5</v>
      </c>
      <c r="K484">
        <f>IF(EXACT('Entry data'!$C$3,"Home"),IF(ISBLANK(VLOOKUP(A484,'NHL PBP'!A:AH,21,FALSE)),3,IF(ISBLANK(VLOOKUP(A484,'NHL PBP'!A:AH,23,FALSE)),4,5)),IF(ISBLANK(VLOOKUP(A484,'NHL PBP'!A:AH,32,FALSE)),3,IF(ISBLANK(VLOOKUP(A484,'NHL PBP'!A:AH,34,FALSE)),4,5)))</f>
        <v>5</v>
      </c>
      <c r="L484">
        <f>IF(OR(EXACT(D484,"C"),EXACT(D484,"P"),EXACT(D484,"D"),EXACT(D484,"T"),EXACT(D484,"X"),EXACT(E484,"DZF"),EXACT(E484,"OZF"),EXACT(D484,"N"),EXACT(D484,"F")),1,0)</f>
        <v>0</v>
      </c>
      <c r="M484" t="str">
        <f t="shared" si="28"/>
        <v/>
      </c>
      <c r="N484">
        <f t="shared" si="29"/>
        <v>0</v>
      </c>
      <c r="O484">
        <f t="shared" si="30"/>
        <v>0</v>
      </c>
      <c r="P484" t="str">
        <f t="shared" si="31"/>
        <v/>
      </c>
    </row>
    <row r="485" spans="1:16" x14ac:dyDescent="0.25">
      <c r="A485">
        <v>330</v>
      </c>
      <c r="B485" t="str">
        <f>IF($A485&gt;$A$1,"",VLOOKUP($A485,'NHL PBP'!$A:$L,8,FALSE))</f>
        <v/>
      </c>
      <c r="C485" t="str">
        <f>IF($A485&gt;$A$1,"",IF(B485&gt;3,5/24,20/24)-VLOOKUP($A485,'NHL PBP'!$A:$L,10,FALSE))</f>
        <v/>
      </c>
      <c r="D485" t="str">
        <f>IF($A485&gt;$A$1,"",VLOOKUP($A485,'NHL PBP'!$A:$L,11,FALSE))</f>
        <v/>
      </c>
      <c r="E485" t="str">
        <f>IF(AND(EXACT(D485,"FAC"),NOT(EXACT(MID(F485,9,3),"Neu"))),IF(OR(AND(EXACT(MID(F485,9,3),"Off"),EXACT(LEFT(F485,3),UPPER('Entry data'!$C$2))),AND(EXACT(MID(F485,9,3),"Def"),NOT(EXACT(LEFT(F485,3),UPPER('Entry data'!$C$2))))),"DZF","OZF"),"")</f>
        <v/>
      </c>
      <c r="F485" t="str">
        <f>IF($A485&gt;$A$1,"",VLOOKUP($A485,'NHL PBP'!$A:$L,12,FALSE))</f>
        <v/>
      </c>
      <c r="J485">
        <f>IF(EXACT('Entry data'!$C$3,"Road"),IF(ISBLANK(VLOOKUP(A485,'NHL PBP'!A:AH,21,FALSE)),3,IF(ISBLANK(VLOOKUP(A485,'NHL PBP'!A:AH,23,FALSE)),4,5)),IF(ISBLANK(VLOOKUP(A485,'NHL PBP'!A:AH,32,FALSE)),3,IF(ISBLANK(VLOOKUP(A485,'NHL PBP'!A:AH,34,FALSE)),4,5)))</f>
        <v>5</v>
      </c>
      <c r="K485">
        <f>IF(EXACT('Entry data'!$C$3,"Home"),IF(ISBLANK(VLOOKUP(A485,'NHL PBP'!A:AH,21,FALSE)),3,IF(ISBLANK(VLOOKUP(A485,'NHL PBP'!A:AH,23,FALSE)),4,5)),IF(ISBLANK(VLOOKUP(A485,'NHL PBP'!A:AH,32,FALSE)),3,IF(ISBLANK(VLOOKUP(A485,'NHL PBP'!A:AH,34,FALSE)),4,5)))</f>
        <v>5</v>
      </c>
      <c r="L485">
        <f>IF(OR(EXACT(D485,"C"),EXACT(D485,"P"),EXACT(D485,"D"),EXACT(D485,"T"),EXACT(D485,"X"),EXACT(E485,"DZF"),EXACT(E485,"OZF"),EXACT(D485,"N"),EXACT(D485,"F")),1,0)</f>
        <v>0</v>
      </c>
      <c r="M485" t="str">
        <f t="shared" si="28"/>
        <v/>
      </c>
      <c r="N485">
        <f t="shared" si="29"/>
        <v>0</v>
      </c>
      <c r="O485">
        <f t="shared" si="30"/>
        <v>0</v>
      </c>
      <c r="P485" t="str">
        <f t="shared" si="31"/>
        <v/>
      </c>
    </row>
    <row r="486" spans="1:16" x14ac:dyDescent="0.25">
      <c r="A486">
        <v>331</v>
      </c>
      <c r="B486" t="str">
        <f>IF($A486&gt;$A$1,"",VLOOKUP($A486,'NHL PBP'!$A:$L,8,FALSE))</f>
        <v/>
      </c>
      <c r="C486" t="str">
        <f>IF($A486&gt;$A$1,"",IF(B486&gt;3,5/24,20/24)-VLOOKUP($A486,'NHL PBP'!$A:$L,10,FALSE))</f>
        <v/>
      </c>
      <c r="D486" t="str">
        <f>IF($A486&gt;$A$1,"",VLOOKUP($A486,'NHL PBP'!$A:$L,11,FALSE))</f>
        <v/>
      </c>
      <c r="E486" t="str">
        <f>IF(AND(EXACT(D486,"FAC"),NOT(EXACT(MID(F486,9,3),"Neu"))),IF(OR(AND(EXACT(MID(F486,9,3),"Off"),EXACT(LEFT(F486,3),UPPER('Entry data'!$C$2))),AND(EXACT(MID(F486,9,3),"Def"),NOT(EXACT(LEFT(F486,3),UPPER('Entry data'!$C$2))))),"DZF","OZF"),"")</f>
        <v/>
      </c>
      <c r="F486" t="str">
        <f>IF($A486&gt;$A$1,"",VLOOKUP($A486,'NHL PBP'!$A:$L,12,FALSE))</f>
        <v/>
      </c>
      <c r="J486">
        <f>IF(EXACT('Entry data'!$C$3,"Road"),IF(ISBLANK(VLOOKUP(A486,'NHL PBP'!A:AH,21,FALSE)),3,IF(ISBLANK(VLOOKUP(A486,'NHL PBP'!A:AH,23,FALSE)),4,5)),IF(ISBLANK(VLOOKUP(A486,'NHL PBP'!A:AH,32,FALSE)),3,IF(ISBLANK(VLOOKUP(A486,'NHL PBP'!A:AH,34,FALSE)),4,5)))</f>
        <v>5</v>
      </c>
      <c r="K486">
        <f>IF(EXACT('Entry data'!$C$3,"Home"),IF(ISBLANK(VLOOKUP(A486,'NHL PBP'!A:AH,21,FALSE)),3,IF(ISBLANK(VLOOKUP(A486,'NHL PBP'!A:AH,23,FALSE)),4,5)),IF(ISBLANK(VLOOKUP(A486,'NHL PBP'!A:AH,32,FALSE)),3,IF(ISBLANK(VLOOKUP(A486,'NHL PBP'!A:AH,34,FALSE)),4,5)))</f>
        <v>5</v>
      </c>
      <c r="L486">
        <f>IF(OR(EXACT(D486,"C"),EXACT(D486,"P"),EXACT(D486,"D"),EXACT(D486,"T"),EXACT(D486,"X"),EXACT(E486,"DZF"),EXACT(E486,"OZF"),EXACT(D486,"N"),EXACT(D486,"F")),1,0)</f>
        <v>0</v>
      </c>
      <c r="M486" t="str">
        <f t="shared" si="28"/>
        <v/>
      </c>
      <c r="N486">
        <f t="shared" si="29"/>
        <v>0</v>
      </c>
      <c r="O486">
        <f t="shared" si="30"/>
        <v>0</v>
      </c>
      <c r="P486" t="str">
        <f t="shared" si="31"/>
        <v/>
      </c>
    </row>
    <row r="487" spans="1:16" x14ac:dyDescent="0.25">
      <c r="A487">
        <v>332</v>
      </c>
      <c r="B487" t="str">
        <f>IF($A487&gt;$A$1,"",VLOOKUP($A487,'NHL PBP'!$A:$L,8,FALSE))</f>
        <v/>
      </c>
      <c r="C487" t="str">
        <f>IF($A487&gt;$A$1,"",IF(B487&gt;3,5/24,20/24)-VLOOKUP($A487,'NHL PBP'!$A:$L,10,FALSE))</f>
        <v/>
      </c>
      <c r="D487" t="str">
        <f>IF($A487&gt;$A$1,"",VLOOKUP($A487,'NHL PBP'!$A:$L,11,FALSE))</f>
        <v/>
      </c>
      <c r="E487" t="str">
        <f>IF(AND(EXACT(D487,"FAC"),NOT(EXACT(MID(F487,9,3),"Neu"))),IF(OR(AND(EXACT(MID(F487,9,3),"Off"),EXACT(LEFT(F487,3),UPPER('Entry data'!$C$2))),AND(EXACT(MID(F487,9,3),"Def"),NOT(EXACT(LEFT(F487,3),UPPER('Entry data'!$C$2))))),"DZF","OZF"),"")</f>
        <v/>
      </c>
      <c r="F487" t="str">
        <f>IF($A487&gt;$A$1,"",VLOOKUP($A487,'NHL PBP'!$A:$L,12,FALSE))</f>
        <v/>
      </c>
      <c r="J487">
        <f>IF(EXACT('Entry data'!$C$3,"Road"),IF(ISBLANK(VLOOKUP(A487,'NHL PBP'!A:AH,21,FALSE)),3,IF(ISBLANK(VLOOKUP(A487,'NHL PBP'!A:AH,23,FALSE)),4,5)),IF(ISBLANK(VLOOKUP(A487,'NHL PBP'!A:AH,32,FALSE)),3,IF(ISBLANK(VLOOKUP(A487,'NHL PBP'!A:AH,34,FALSE)),4,5)))</f>
        <v>5</v>
      </c>
      <c r="K487">
        <f>IF(EXACT('Entry data'!$C$3,"Home"),IF(ISBLANK(VLOOKUP(A487,'NHL PBP'!A:AH,21,FALSE)),3,IF(ISBLANK(VLOOKUP(A487,'NHL PBP'!A:AH,23,FALSE)),4,5)),IF(ISBLANK(VLOOKUP(A487,'NHL PBP'!A:AH,32,FALSE)),3,IF(ISBLANK(VLOOKUP(A487,'NHL PBP'!A:AH,34,FALSE)),4,5)))</f>
        <v>5</v>
      </c>
      <c r="L487">
        <f>IF(OR(EXACT(D487,"C"),EXACT(D487,"P"),EXACT(D487,"D"),EXACT(D487,"T"),EXACT(D487,"X"),EXACT(E487,"DZF"),EXACT(E487,"OZF"),EXACT(D487,"N"),EXACT(D487,"F")),1,0)</f>
        <v>0</v>
      </c>
      <c r="M487" t="str">
        <f t="shared" si="28"/>
        <v/>
      </c>
      <c r="N487">
        <f t="shared" si="29"/>
        <v>0</v>
      </c>
      <c r="O487">
        <f t="shared" si="30"/>
        <v>0</v>
      </c>
      <c r="P487" t="str">
        <f t="shared" si="31"/>
        <v/>
      </c>
    </row>
    <row r="488" spans="1:16" x14ac:dyDescent="0.25">
      <c r="A488">
        <v>333</v>
      </c>
      <c r="B488" t="str">
        <f>IF($A488&gt;$A$1,"",VLOOKUP($A488,'NHL PBP'!$A:$L,8,FALSE))</f>
        <v/>
      </c>
      <c r="C488" t="str">
        <f>IF($A488&gt;$A$1,"",IF(B488&gt;3,5/24,20/24)-VLOOKUP($A488,'NHL PBP'!$A:$L,10,FALSE))</f>
        <v/>
      </c>
      <c r="D488" t="str">
        <f>IF($A488&gt;$A$1,"",VLOOKUP($A488,'NHL PBP'!$A:$L,11,FALSE))</f>
        <v/>
      </c>
      <c r="E488" t="str">
        <f>IF(AND(EXACT(D488,"FAC"),NOT(EXACT(MID(F488,9,3),"Neu"))),IF(OR(AND(EXACT(MID(F488,9,3),"Off"),EXACT(LEFT(F488,3),UPPER('Entry data'!$C$2))),AND(EXACT(MID(F488,9,3),"Def"),NOT(EXACT(LEFT(F488,3),UPPER('Entry data'!$C$2))))),"DZF","OZF"),"")</f>
        <v/>
      </c>
      <c r="F488" t="str">
        <f>IF($A488&gt;$A$1,"",VLOOKUP($A488,'NHL PBP'!$A:$L,12,FALSE))</f>
        <v/>
      </c>
      <c r="J488">
        <f>IF(EXACT('Entry data'!$C$3,"Road"),IF(ISBLANK(VLOOKUP(A488,'NHL PBP'!A:AH,21,FALSE)),3,IF(ISBLANK(VLOOKUP(A488,'NHL PBP'!A:AH,23,FALSE)),4,5)),IF(ISBLANK(VLOOKUP(A488,'NHL PBP'!A:AH,32,FALSE)),3,IF(ISBLANK(VLOOKUP(A488,'NHL PBP'!A:AH,34,FALSE)),4,5)))</f>
        <v>5</v>
      </c>
      <c r="K488">
        <f>IF(EXACT('Entry data'!$C$3,"Home"),IF(ISBLANK(VLOOKUP(A488,'NHL PBP'!A:AH,21,FALSE)),3,IF(ISBLANK(VLOOKUP(A488,'NHL PBP'!A:AH,23,FALSE)),4,5)),IF(ISBLANK(VLOOKUP(A488,'NHL PBP'!A:AH,32,FALSE)),3,IF(ISBLANK(VLOOKUP(A488,'NHL PBP'!A:AH,34,FALSE)),4,5)))</f>
        <v>5</v>
      </c>
      <c r="L488">
        <f>IF(OR(EXACT(D488,"C"),EXACT(D488,"P"),EXACT(D488,"D"),EXACT(D488,"T"),EXACT(D488,"X"),EXACT(E488,"DZF"),EXACT(E488,"OZF"),EXACT(D488,"N"),EXACT(D488,"F")),1,0)</f>
        <v>0</v>
      </c>
      <c r="M488" t="str">
        <f t="shared" si="28"/>
        <v/>
      </c>
      <c r="N488">
        <f t="shared" si="29"/>
        <v>0</v>
      </c>
      <c r="O488">
        <f t="shared" si="30"/>
        <v>0</v>
      </c>
      <c r="P488" t="str">
        <f t="shared" si="31"/>
        <v/>
      </c>
    </row>
    <row r="489" spans="1:16" x14ac:dyDescent="0.25">
      <c r="A489">
        <v>334</v>
      </c>
      <c r="B489" t="str">
        <f>IF($A489&gt;$A$1,"",VLOOKUP($A489,'NHL PBP'!$A:$L,8,FALSE))</f>
        <v/>
      </c>
      <c r="C489" t="str">
        <f>IF($A489&gt;$A$1,"",IF(B489&gt;3,5/24,20/24)-VLOOKUP($A489,'NHL PBP'!$A:$L,10,FALSE))</f>
        <v/>
      </c>
      <c r="D489" t="str">
        <f>IF($A489&gt;$A$1,"",VLOOKUP($A489,'NHL PBP'!$A:$L,11,FALSE))</f>
        <v/>
      </c>
      <c r="E489" t="str">
        <f>IF(AND(EXACT(D489,"FAC"),NOT(EXACT(MID(F489,9,3),"Neu"))),IF(OR(AND(EXACT(MID(F489,9,3),"Off"),EXACT(LEFT(F489,3),UPPER('Entry data'!$C$2))),AND(EXACT(MID(F489,9,3),"Def"),NOT(EXACT(LEFT(F489,3),UPPER('Entry data'!$C$2))))),"DZF","OZF"),"")</f>
        <v/>
      </c>
      <c r="F489" t="str">
        <f>IF($A489&gt;$A$1,"",VLOOKUP($A489,'NHL PBP'!$A:$L,12,FALSE))</f>
        <v/>
      </c>
      <c r="J489">
        <f>IF(EXACT('Entry data'!$C$3,"Road"),IF(ISBLANK(VLOOKUP(A489,'NHL PBP'!A:AH,21,FALSE)),3,IF(ISBLANK(VLOOKUP(A489,'NHL PBP'!A:AH,23,FALSE)),4,5)),IF(ISBLANK(VLOOKUP(A489,'NHL PBP'!A:AH,32,FALSE)),3,IF(ISBLANK(VLOOKUP(A489,'NHL PBP'!A:AH,34,FALSE)),4,5)))</f>
        <v>5</v>
      </c>
      <c r="K489">
        <f>IF(EXACT('Entry data'!$C$3,"Home"),IF(ISBLANK(VLOOKUP(A489,'NHL PBP'!A:AH,21,FALSE)),3,IF(ISBLANK(VLOOKUP(A489,'NHL PBP'!A:AH,23,FALSE)),4,5)),IF(ISBLANK(VLOOKUP(A489,'NHL PBP'!A:AH,32,FALSE)),3,IF(ISBLANK(VLOOKUP(A489,'NHL PBP'!A:AH,34,FALSE)),4,5)))</f>
        <v>5</v>
      </c>
      <c r="L489">
        <f>IF(OR(EXACT(D489,"C"),EXACT(D489,"P"),EXACT(D489,"D"),EXACT(D489,"T"),EXACT(D489,"X"),EXACT(E489,"DZF"),EXACT(E489,"OZF"),EXACT(D489,"N"),EXACT(D489,"F")),1,0)</f>
        <v>0</v>
      </c>
      <c r="M489" t="str">
        <f t="shared" si="28"/>
        <v/>
      </c>
      <c r="N489">
        <f t="shared" si="29"/>
        <v>0</v>
      </c>
      <c r="O489">
        <f t="shared" si="30"/>
        <v>0</v>
      </c>
      <c r="P489" t="str">
        <f t="shared" si="31"/>
        <v/>
      </c>
    </row>
    <row r="490" spans="1:16" x14ac:dyDescent="0.25">
      <c r="A490">
        <v>335</v>
      </c>
      <c r="B490" t="str">
        <f>IF($A490&gt;$A$1,"",VLOOKUP($A490,'NHL PBP'!$A:$L,8,FALSE))</f>
        <v/>
      </c>
      <c r="C490" t="str">
        <f>IF($A490&gt;$A$1,"",IF(B490&gt;3,5/24,20/24)-VLOOKUP($A490,'NHL PBP'!$A:$L,10,FALSE))</f>
        <v/>
      </c>
      <c r="D490" t="str">
        <f>IF($A490&gt;$A$1,"",VLOOKUP($A490,'NHL PBP'!$A:$L,11,FALSE))</f>
        <v/>
      </c>
      <c r="E490" t="str">
        <f>IF(AND(EXACT(D490,"FAC"),NOT(EXACT(MID(F490,9,3),"Neu"))),IF(OR(AND(EXACT(MID(F490,9,3),"Off"),EXACT(LEFT(F490,3),UPPER('Entry data'!$C$2))),AND(EXACT(MID(F490,9,3),"Def"),NOT(EXACT(LEFT(F490,3),UPPER('Entry data'!$C$2))))),"DZF","OZF"),"")</f>
        <v/>
      </c>
      <c r="F490" t="str">
        <f>IF($A490&gt;$A$1,"",VLOOKUP($A490,'NHL PBP'!$A:$L,12,FALSE))</f>
        <v/>
      </c>
      <c r="J490">
        <f>IF(EXACT('Entry data'!$C$3,"Road"),IF(ISBLANK(VLOOKUP(A490,'NHL PBP'!A:AH,21,FALSE)),3,IF(ISBLANK(VLOOKUP(A490,'NHL PBP'!A:AH,23,FALSE)),4,5)),IF(ISBLANK(VLOOKUP(A490,'NHL PBP'!A:AH,32,FALSE)),3,IF(ISBLANK(VLOOKUP(A490,'NHL PBP'!A:AH,34,FALSE)),4,5)))</f>
        <v>5</v>
      </c>
      <c r="K490">
        <f>IF(EXACT('Entry data'!$C$3,"Home"),IF(ISBLANK(VLOOKUP(A490,'NHL PBP'!A:AH,21,FALSE)),3,IF(ISBLANK(VLOOKUP(A490,'NHL PBP'!A:AH,23,FALSE)),4,5)),IF(ISBLANK(VLOOKUP(A490,'NHL PBP'!A:AH,32,FALSE)),3,IF(ISBLANK(VLOOKUP(A490,'NHL PBP'!A:AH,34,FALSE)),4,5)))</f>
        <v>5</v>
      </c>
      <c r="L490">
        <f>IF(OR(EXACT(D490,"C"),EXACT(D490,"P"),EXACT(D490,"D"),EXACT(D490,"T"),EXACT(D490,"X"),EXACT(E490,"DZF"),EXACT(E490,"OZF"),EXACT(D490,"N"),EXACT(D490,"F")),1,0)</f>
        <v>0</v>
      </c>
      <c r="M490" t="str">
        <f t="shared" si="28"/>
        <v/>
      </c>
      <c r="N490">
        <f t="shared" si="29"/>
        <v>0</v>
      </c>
      <c r="O490">
        <f t="shared" si="30"/>
        <v>0</v>
      </c>
      <c r="P490" t="str">
        <f t="shared" si="31"/>
        <v/>
      </c>
    </row>
    <row r="491" spans="1:16" x14ac:dyDescent="0.25">
      <c r="A491">
        <v>336</v>
      </c>
      <c r="B491" t="str">
        <f>IF($A491&gt;$A$1,"",VLOOKUP($A491,'NHL PBP'!$A:$L,8,FALSE))</f>
        <v/>
      </c>
      <c r="C491" t="str">
        <f>IF($A491&gt;$A$1,"",IF(B491&gt;3,5/24,20/24)-VLOOKUP($A491,'NHL PBP'!$A:$L,10,FALSE))</f>
        <v/>
      </c>
      <c r="D491" t="str">
        <f>IF($A491&gt;$A$1,"",VLOOKUP($A491,'NHL PBP'!$A:$L,11,FALSE))</f>
        <v/>
      </c>
      <c r="E491" t="str">
        <f>IF(AND(EXACT(D491,"FAC"),NOT(EXACT(MID(F491,9,3),"Neu"))),IF(OR(AND(EXACT(MID(F491,9,3),"Off"),EXACT(LEFT(F491,3),UPPER('Entry data'!$C$2))),AND(EXACT(MID(F491,9,3),"Def"),NOT(EXACT(LEFT(F491,3),UPPER('Entry data'!$C$2))))),"DZF","OZF"),"")</f>
        <v/>
      </c>
      <c r="F491" t="str">
        <f>IF($A491&gt;$A$1,"",VLOOKUP($A491,'NHL PBP'!$A:$L,12,FALSE))</f>
        <v/>
      </c>
      <c r="J491">
        <f>IF(EXACT('Entry data'!$C$3,"Road"),IF(ISBLANK(VLOOKUP(A491,'NHL PBP'!A:AH,21,FALSE)),3,IF(ISBLANK(VLOOKUP(A491,'NHL PBP'!A:AH,23,FALSE)),4,5)),IF(ISBLANK(VLOOKUP(A491,'NHL PBP'!A:AH,32,FALSE)),3,IF(ISBLANK(VLOOKUP(A491,'NHL PBP'!A:AH,34,FALSE)),4,5)))</f>
        <v>5</v>
      </c>
      <c r="K491">
        <f>IF(EXACT('Entry data'!$C$3,"Home"),IF(ISBLANK(VLOOKUP(A491,'NHL PBP'!A:AH,21,FALSE)),3,IF(ISBLANK(VLOOKUP(A491,'NHL PBP'!A:AH,23,FALSE)),4,5)),IF(ISBLANK(VLOOKUP(A491,'NHL PBP'!A:AH,32,FALSE)),3,IF(ISBLANK(VLOOKUP(A491,'NHL PBP'!A:AH,34,FALSE)),4,5)))</f>
        <v>5</v>
      </c>
      <c r="L491">
        <f>IF(OR(EXACT(D491,"C"),EXACT(D491,"P"),EXACT(D491,"D"),EXACT(D491,"T"),EXACT(D491,"X"),EXACT(E491,"DZF"),EXACT(E491,"OZF"),EXACT(D491,"N"),EXACT(D491,"F")),1,0)</f>
        <v>0</v>
      </c>
      <c r="M491" t="str">
        <f t="shared" si="28"/>
        <v/>
      </c>
      <c r="N491">
        <f t="shared" si="29"/>
        <v>0</v>
      </c>
      <c r="O491">
        <f t="shared" si="30"/>
        <v>0</v>
      </c>
      <c r="P491" t="str">
        <f t="shared" si="31"/>
        <v/>
      </c>
    </row>
    <row r="492" spans="1:16" x14ac:dyDescent="0.25">
      <c r="A492">
        <v>337</v>
      </c>
      <c r="B492" t="str">
        <f>IF($A492&gt;$A$1,"",VLOOKUP($A492,'NHL PBP'!$A:$L,8,FALSE))</f>
        <v/>
      </c>
      <c r="C492" t="str">
        <f>IF($A492&gt;$A$1,"",IF(B492&gt;3,5/24,20/24)-VLOOKUP($A492,'NHL PBP'!$A:$L,10,FALSE))</f>
        <v/>
      </c>
      <c r="D492" t="str">
        <f>IF($A492&gt;$A$1,"",VLOOKUP($A492,'NHL PBP'!$A:$L,11,FALSE))</f>
        <v/>
      </c>
      <c r="E492" t="str">
        <f>IF(AND(EXACT(D492,"FAC"),NOT(EXACT(MID(F492,9,3),"Neu"))),IF(OR(AND(EXACT(MID(F492,9,3),"Off"),EXACT(LEFT(F492,3),UPPER('Entry data'!$C$2))),AND(EXACT(MID(F492,9,3),"Def"),NOT(EXACT(LEFT(F492,3),UPPER('Entry data'!$C$2))))),"DZF","OZF"),"")</f>
        <v/>
      </c>
      <c r="F492" t="str">
        <f>IF($A492&gt;$A$1,"",VLOOKUP($A492,'NHL PBP'!$A:$L,12,FALSE))</f>
        <v/>
      </c>
      <c r="J492">
        <f>IF(EXACT('Entry data'!$C$3,"Road"),IF(ISBLANK(VLOOKUP(A492,'NHL PBP'!A:AH,21,FALSE)),3,IF(ISBLANK(VLOOKUP(A492,'NHL PBP'!A:AH,23,FALSE)),4,5)),IF(ISBLANK(VLOOKUP(A492,'NHL PBP'!A:AH,32,FALSE)),3,IF(ISBLANK(VLOOKUP(A492,'NHL PBP'!A:AH,34,FALSE)),4,5)))</f>
        <v>5</v>
      </c>
      <c r="K492">
        <f>IF(EXACT('Entry data'!$C$3,"Home"),IF(ISBLANK(VLOOKUP(A492,'NHL PBP'!A:AH,21,FALSE)),3,IF(ISBLANK(VLOOKUP(A492,'NHL PBP'!A:AH,23,FALSE)),4,5)),IF(ISBLANK(VLOOKUP(A492,'NHL PBP'!A:AH,32,FALSE)),3,IF(ISBLANK(VLOOKUP(A492,'NHL PBP'!A:AH,34,FALSE)),4,5)))</f>
        <v>5</v>
      </c>
      <c r="L492">
        <f>IF(OR(EXACT(D492,"C"),EXACT(D492,"P"),EXACT(D492,"D"),EXACT(D492,"T"),EXACT(D492,"X"),EXACT(E492,"DZF"),EXACT(E492,"OZF"),EXACT(D492,"N"),EXACT(D492,"F")),1,0)</f>
        <v>0</v>
      </c>
      <c r="M492" t="str">
        <f t="shared" si="28"/>
        <v/>
      </c>
      <c r="N492">
        <f t="shared" si="29"/>
        <v>0</v>
      </c>
      <c r="O492">
        <f t="shared" si="30"/>
        <v>0</v>
      </c>
      <c r="P492" t="str">
        <f t="shared" si="31"/>
        <v/>
      </c>
    </row>
    <row r="493" spans="1:16" x14ac:dyDescent="0.25">
      <c r="A493">
        <v>338</v>
      </c>
      <c r="B493" t="str">
        <f>IF($A493&gt;$A$1,"",VLOOKUP($A493,'NHL PBP'!$A:$L,8,FALSE))</f>
        <v/>
      </c>
      <c r="C493" t="str">
        <f>IF($A493&gt;$A$1,"",IF(B493&gt;3,5/24,20/24)-VLOOKUP($A493,'NHL PBP'!$A:$L,10,FALSE))</f>
        <v/>
      </c>
      <c r="D493" t="str">
        <f>IF($A493&gt;$A$1,"",VLOOKUP($A493,'NHL PBP'!$A:$L,11,FALSE))</f>
        <v/>
      </c>
      <c r="E493" t="str">
        <f>IF(AND(EXACT(D493,"FAC"),NOT(EXACT(MID(F493,9,3),"Neu"))),IF(OR(AND(EXACT(MID(F493,9,3),"Off"),EXACT(LEFT(F493,3),UPPER('Entry data'!$C$2))),AND(EXACT(MID(F493,9,3),"Def"),NOT(EXACT(LEFT(F493,3),UPPER('Entry data'!$C$2))))),"DZF","OZF"),"")</f>
        <v/>
      </c>
      <c r="F493" t="str">
        <f>IF($A493&gt;$A$1,"",VLOOKUP($A493,'NHL PBP'!$A:$L,12,FALSE))</f>
        <v/>
      </c>
      <c r="J493">
        <f>IF(EXACT('Entry data'!$C$3,"Road"),IF(ISBLANK(VLOOKUP(A493,'NHL PBP'!A:AH,21,FALSE)),3,IF(ISBLANK(VLOOKUP(A493,'NHL PBP'!A:AH,23,FALSE)),4,5)),IF(ISBLANK(VLOOKUP(A493,'NHL PBP'!A:AH,32,FALSE)),3,IF(ISBLANK(VLOOKUP(A493,'NHL PBP'!A:AH,34,FALSE)),4,5)))</f>
        <v>5</v>
      </c>
      <c r="K493">
        <f>IF(EXACT('Entry data'!$C$3,"Home"),IF(ISBLANK(VLOOKUP(A493,'NHL PBP'!A:AH,21,FALSE)),3,IF(ISBLANK(VLOOKUP(A493,'NHL PBP'!A:AH,23,FALSE)),4,5)),IF(ISBLANK(VLOOKUP(A493,'NHL PBP'!A:AH,32,FALSE)),3,IF(ISBLANK(VLOOKUP(A493,'NHL PBP'!A:AH,34,FALSE)),4,5)))</f>
        <v>5</v>
      </c>
      <c r="L493">
        <f>IF(OR(EXACT(D493,"C"),EXACT(D493,"P"),EXACT(D493,"D"),EXACT(D493,"T"),EXACT(D493,"X"),EXACT(E493,"DZF"),EXACT(E493,"OZF"),EXACT(D493,"N"),EXACT(D493,"F")),1,0)</f>
        <v>0</v>
      </c>
      <c r="M493" t="str">
        <f t="shared" si="28"/>
        <v/>
      </c>
      <c r="N493">
        <f t="shared" si="29"/>
        <v>0</v>
      </c>
      <c r="O493">
        <f t="shared" si="30"/>
        <v>0</v>
      </c>
      <c r="P493" t="str">
        <f t="shared" si="31"/>
        <v/>
      </c>
    </row>
    <row r="494" spans="1:16" x14ac:dyDescent="0.25">
      <c r="A494">
        <v>339</v>
      </c>
      <c r="B494" t="str">
        <f>IF($A494&gt;$A$1,"",VLOOKUP($A494,'NHL PBP'!$A:$L,8,FALSE))</f>
        <v/>
      </c>
      <c r="C494" t="str">
        <f>IF($A494&gt;$A$1,"",IF(B494&gt;3,5/24,20/24)-VLOOKUP($A494,'NHL PBP'!$A:$L,10,FALSE))</f>
        <v/>
      </c>
      <c r="D494" t="str">
        <f>IF($A494&gt;$A$1,"",VLOOKUP($A494,'NHL PBP'!$A:$L,11,FALSE))</f>
        <v/>
      </c>
      <c r="E494" t="str">
        <f>IF(AND(EXACT(D494,"FAC"),NOT(EXACT(MID(F494,9,3),"Neu"))),IF(OR(AND(EXACT(MID(F494,9,3),"Off"),EXACT(LEFT(F494,3),UPPER('Entry data'!$C$2))),AND(EXACT(MID(F494,9,3),"Def"),NOT(EXACT(LEFT(F494,3),UPPER('Entry data'!$C$2))))),"DZF","OZF"),"")</f>
        <v/>
      </c>
      <c r="F494" t="str">
        <f>IF($A494&gt;$A$1,"",VLOOKUP($A494,'NHL PBP'!$A:$L,12,FALSE))</f>
        <v/>
      </c>
      <c r="J494">
        <f>IF(EXACT('Entry data'!$C$3,"Road"),IF(ISBLANK(VLOOKUP(A494,'NHL PBP'!A:AH,21,FALSE)),3,IF(ISBLANK(VLOOKUP(A494,'NHL PBP'!A:AH,23,FALSE)),4,5)),IF(ISBLANK(VLOOKUP(A494,'NHL PBP'!A:AH,32,FALSE)),3,IF(ISBLANK(VLOOKUP(A494,'NHL PBP'!A:AH,34,FALSE)),4,5)))</f>
        <v>5</v>
      </c>
      <c r="K494">
        <f>IF(EXACT('Entry data'!$C$3,"Home"),IF(ISBLANK(VLOOKUP(A494,'NHL PBP'!A:AH,21,FALSE)),3,IF(ISBLANK(VLOOKUP(A494,'NHL PBP'!A:AH,23,FALSE)),4,5)),IF(ISBLANK(VLOOKUP(A494,'NHL PBP'!A:AH,32,FALSE)),3,IF(ISBLANK(VLOOKUP(A494,'NHL PBP'!A:AH,34,FALSE)),4,5)))</f>
        <v>5</v>
      </c>
      <c r="L494">
        <f>IF(OR(EXACT(D494,"C"),EXACT(D494,"P"),EXACT(D494,"D"),EXACT(D494,"T"),EXACT(D494,"X"),EXACT(E494,"DZF"),EXACT(E494,"OZF"),EXACT(D494,"N"),EXACT(D494,"F")),1,0)</f>
        <v>0</v>
      </c>
      <c r="M494" t="str">
        <f t="shared" si="28"/>
        <v/>
      </c>
      <c r="N494">
        <f t="shared" si="29"/>
        <v>0</v>
      </c>
      <c r="O494">
        <f t="shared" si="30"/>
        <v>0</v>
      </c>
      <c r="P494" t="str">
        <f t="shared" si="31"/>
        <v/>
      </c>
    </row>
    <row r="495" spans="1:16" x14ac:dyDescent="0.25">
      <c r="A495">
        <v>340</v>
      </c>
      <c r="B495" t="str">
        <f>IF($A495&gt;$A$1,"",VLOOKUP($A495,'NHL PBP'!$A:$L,8,FALSE))</f>
        <v/>
      </c>
      <c r="C495" t="str">
        <f>IF($A495&gt;$A$1,"",IF(B495&gt;3,5/24,20/24)-VLOOKUP($A495,'NHL PBP'!$A:$L,10,FALSE))</f>
        <v/>
      </c>
      <c r="D495" t="str">
        <f>IF($A495&gt;$A$1,"",VLOOKUP($A495,'NHL PBP'!$A:$L,11,FALSE))</f>
        <v/>
      </c>
      <c r="E495" t="str">
        <f>IF(AND(EXACT(D495,"FAC"),NOT(EXACT(MID(F495,9,3),"Neu"))),IF(OR(AND(EXACT(MID(F495,9,3),"Off"),EXACT(LEFT(F495,3),UPPER('Entry data'!$C$2))),AND(EXACT(MID(F495,9,3),"Def"),NOT(EXACT(LEFT(F495,3),UPPER('Entry data'!$C$2))))),"DZF","OZF"),"")</f>
        <v/>
      </c>
      <c r="F495" t="str">
        <f>IF($A495&gt;$A$1,"",VLOOKUP($A495,'NHL PBP'!$A:$L,12,FALSE))</f>
        <v/>
      </c>
      <c r="J495">
        <f>IF(EXACT('Entry data'!$C$3,"Road"),IF(ISBLANK(VLOOKUP(A495,'NHL PBP'!A:AH,21,FALSE)),3,IF(ISBLANK(VLOOKUP(A495,'NHL PBP'!A:AH,23,FALSE)),4,5)),IF(ISBLANK(VLOOKUP(A495,'NHL PBP'!A:AH,32,FALSE)),3,IF(ISBLANK(VLOOKUP(A495,'NHL PBP'!A:AH,34,FALSE)),4,5)))</f>
        <v>5</v>
      </c>
      <c r="K495">
        <f>IF(EXACT('Entry data'!$C$3,"Home"),IF(ISBLANK(VLOOKUP(A495,'NHL PBP'!A:AH,21,FALSE)),3,IF(ISBLANK(VLOOKUP(A495,'NHL PBP'!A:AH,23,FALSE)),4,5)),IF(ISBLANK(VLOOKUP(A495,'NHL PBP'!A:AH,32,FALSE)),3,IF(ISBLANK(VLOOKUP(A495,'NHL PBP'!A:AH,34,FALSE)),4,5)))</f>
        <v>5</v>
      </c>
      <c r="L495">
        <f>IF(OR(EXACT(D495,"C"),EXACT(D495,"P"),EXACT(D495,"D"),EXACT(D495,"T"),EXACT(D495,"X"),EXACT(E495,"DZF"),EXACT(E495,"OZF"),EXACT(D495,"N"),EXACT(D495,"F")),1,0)</f>
        <v>0</v>
      </c>
      <c r="M495" t="str">
        <f t="shared" si="28"/>
        <v/>
      </c>
      <c r="N495">
        <f t="shared" si="29"/>
        <v>0</v>
      </c>
      <c r="O495">
        <f t="shared" si="30"/>
        <v>0</v>
      </c>
      <c r="P495" t="str">
        <f t="shared" si="31"/>
        <v/>
      </c>
    </row>
    <row r="496" spans="1:16" x14ac:dyDescent="0.25">
      <c r="A496">
        <v>341</v>
      </c>
      <c r="B496" t="str">
        <f>IF($A496&gt;$A$1,"",VLOOKUP($A496,'NHL PBP'!$A:$L,8,FALSE))</f>
        <v/>
      </c>
      <c r="C496" t="str">
        <f>IF($A496&gt;$A$1,"",IF(B496&gt;3,5/24,20/24)-VLOOKUP($A496,'NHL PBP'!$A:$L,10,FALSE))</f>
        <v/>
      </c>
      <c r="D496" t="str">
        <f>IF($A496&gt;$A$1,"",VLOOKUP($A496,'NHL PBP'!$A:$L,11,FALSE))</f>
        <v/>
      </c>
      <c r="E496" t="str">
        <f>IF(AND(EXACT(D496,"FAC"),NOT(EXACT(MID(F496,9,3),"Neu"))),IF(OR(AND(EXACT(MID(F496,9,3),"Off"),EXACT(LEFT(F496,3),UPPER('Entry data'!$C$2))),AND(EXACT(MID(F496,9,3),"Def"),NOT(EXACT(LEFT(F496,3),UPPER('Entry data'!$C$2))))),"DZF","OZF"),"")</f>
        <v/>
      </c>
      <c r="F496" t="str">
        <f>IF($A496&gt;$A$1,"",VLOOKUP($A496,'NHL PBP'!$A:$L,12,FALSE))</f>
        <v/>
      </c>
      <c r="J496">
        <f>IF(EXACT('Entry data'!$C$3,"Road"),IF(ISBLANK(VLOOKUP(A496,'NHL PBP'!A:AH,21,FALSE)),3,IF(ISBLANK(VLOOKUP(A496,'NHL PBP'!A:AH,23,FALSE)),4,5)),IF(ISBLANK(VLOOKUP(A496,'NHL PBP'!A:AH,32,FALSE)),3,IF(ISBLANK(VLOOKUP(A496,'NHL PBP'!A:AH,34,FALSE)),4,5)))</f>
        <v>5</v>
      </c>
      <c r="K496">
        <f>IF(EXACT('Entry data'!$C$3,"Home"),IF(ISBLANK(VLOOKUP(A496,'NHL PBP'!A:AH,21,FALSE)),3,IF(ISBLANK(VLOOKUP(A496,'NHL PBP'!A:AH,23,FALSE)),4,5)),IF(ISBLANK(VLOOKUP(A496,'NHL PBP'!A:AH,32,FALSE)),3,IF(ISBLANK(VLOOKUP(A496,'NHL PBP'!A:AH,34,FALSE)),4,5)))</f>
        <v>5</v>
      </c>
      <c r="L496">
        <f>IF(OR(EXACT(D496,"C"),EXACT(D496,"P"),EXACT(D496,"D"),EXACT(D496,"T"),EXACT(D496,"X"),EXACT(E496,"DZF"),EXACT(E496,"OZF"),EXACT(D496,"N"),EXACT(D496,"F")),1,0)</f>
        <v>0</v>
      </c>
      <c r="M496" t="str">
        <f t="shared" si="28"/>
        <v/>
      </c>
      <c r="N496">
        <f t="shared" si="29"/>
        <v>0</v>
      </c>
      <c r="O496">
        <f t="shared" si="30"/>
        <v>0</v>
      </c>
      <c r="P496" t="str">
        <f t="shared" si="31"/>
        <v/>
      </c>
    </row>
    <row r="497" spans="1:16" x14ac:dyDescent="0.25">
      <c r="A497">
        <v>342</v>
      </c>
      <c r="B497" t="str">
        <f>IF($A497&gt;$A$1,"",VLOOKUP($A497,'NHL PBP'!$A:$L,8,FALSE))</f>
        <v/>
      </c>
      <c r="C497" t="str">
        <f>IF($A497&gt;$A$1,"",IF(B497&gt;3,5/24,20/24)-VLOOKUP($A497,'NHL PBP'!$A:$L,10,FALSE))</f>
        <v/>
      </c>
      <c r="D497" t="str">
        <f>IF($A497&gt;$A$1,"",VLOOKUP($A497,'NHL PBP'!$A:$L,11,FALSE))</f>
        <v/>
      </c>
      <c r="E497" t="str">
        <f>IF(AND(EXACT(D497,"FAC"),NOT(EXACT(MID(F497,9,3),"Neu"))),IF(OR(AND(EXACT(MID(F497,9,3),"Off"),EXACT(LEFT(F497,3),UPPER('Entry data'!$C$2))),AND(EXACT(MID(F497,9,3),"Def"),NOT(EXACT(LEFT(F497,3),UPPER('Entry data'!$C$2))))),"DZF","OZF"),"")</f>
        <v/>
      </c>
      <c r="F497" t="str">
        <f>IF($A497&gt;$A$1,"",VLOOKUP($A497,'NHL PBP'!$A:$L,12,FALSE))</f>
        <v/>
      </c>
      <c r="J497">
        <f>IF(EXACT('Entry data'!$C$3,"Road"),IF(ISBLANK(VLOOKUP(A497,'NHL PBP'!A:AH,21,FALSE)),3,IF(ISBLANK(VLOOKUP(A497,'NHL PBP'!A:AH,23,FALSE)),4,5)),IF(ISBLANK(VLOOKUP(A497,'NHL PBP'!A:AH,32,FALSE)),3,IF(ISBLANK(VLOOKUP(A497,'NHL PBP'!A:AH,34,FALSE)),4,5)))</f>
        <v>5</v>
      </c>
      <c r="K497">
        <f>IF(EXACT('Entry data'!$C$3,"Home"),IF(ISBLANK(VLOOKUP(A497,'NHL PBP'!A:AH,21,FALSE)),3,IF(ISBLANK(VLOOKUP(A497,'NHL PBP'!A:AH,23,FALSE)),4,5)),IF(ISBLANK(VLOOKUP(A497,'NHL PBP'!A:AH,32,FALSE)),3,IF(ISBLANK(VLOOKUP(A497,'NHL PBP'!A:AH,34,FALSE)),4,5)))</f>
        <v>5</v>
      </c>
      <c r="L497">
        <f>IF(OR(EXACT(D497,"C"),EXACT(D497,"P"),EXACT(D497,"D"),EXACT(D497,"T"),EXACT(D497,"X"),EXACT(E497,"DZF"),EXACT(E497,"OZF"),EXACT(D497,"N"),EXACT(D497,"F")),1,0)</f>
        <v>0</v>
      </c>
      <c r="M497" t="str">
        <f t="shared" si="28"/>
        <v/>
      </c>
      <c r="N497">
        <f t="shared" si="29"/>
        <v>0</v>
      </c>
      <c r="O497">
        <f t="shared" si="30"/>
        <v>0</v>
      </c>
      <c r="P497" t="str">
        <f t="shared" si="31"/>
        <v/>
      </c>
    </row>
    <row r="498" spans="1:16" x14ac:dyDescent="0.25">
      <c r="A498">
        <v>343</v>
      </c>
      <c r="B498" t="str">
        <f>IF($A498&gt;$A$1,"",VLOOKUP($A498,'NHL PBP'!$A:$L,8,FALSE))</f>
        <v/>
      </c>
      <c r="C498" t="str">
        <f>IF($A498&gt;$A$1,"",IF(B498&gt;3,5/24,20/24)-VLOOKUP($A498,'NHL PBP'!$A:$L,10,FALSE))</f>
        <v/>
      </c>
      <c r="D498" t="str">
        <f>IF($A498&gt;$A$1,"",VLOOKUP($A498,'NHL PBP'!$A:$L,11,FALSE))</f>
        <v/>
      </c>
      <c r="E498" t="str">
        <f>IF(AND(EXACT(D498,"FAC"),NOT(EXACT(MID(F498,9,3),"Neu"))),IF(OR(AND(EXACT(MID(F498,9,3),"Off"),EXACT(LEFT(F498,3),UPPER('Entry data'!$C$2))),AND(EXACT(MID(F498,9,3),"Def"),NOT(EXACT(LEFT(F498,3),UPPER('Entry data'!$C$2))))),"DZF","OZF"),"")</f>
        <v/>
      </c>
      <c r="F498" t="str">
        <f>IF($A498&gt;$A$1,"",VLOOKUP($A498,'NHL PBP'!$A:$L,12,FALSE))</f>
        <v/>
      </c>
      <c r="J498">
        <f>IF(EXACT('Entry data'!$C$3,"Road"),IF(ISBLANK(VLOOKUP(A498,'NHL PBP'!A:AH,21,FALSE)),3,IF(ISBLANK(VLOOKUP(A498,'NHL PBP'!A:AH,23,FALSE)),4,5)),IF(ISBLANK(VLOOKUP(A498,'NHL PBP'!A:AH,32,FALSE)),3,IF(ISBLANK(VLOOKUP(A498,'NHL PBP'!A:AH,34,FALSE)),4,5)))</f>
        <v>5</v>
      </c>
      <c r="K498">
        <f>IF(EXACT('Entry data'!$C$3,"Home"),IF(ISBLANK(VLOOKUP(A498,'NHL PBP'!A:AH,21,FALSE)),3,IF(ISBLANK(VLOOKUP(A498,'NHL PBP'!A:AH,23,FALSE)),4,5)),IF(ISBLANK(VLOOKUP(A498,'NHL PBP'!A:AH,32,FALSE)),3,IF(ISBLANK(VLOOKUP(A498,'NHL PBP'!A:AH,34,FALSE)),4,5)))</f>
        <v>5</v>
      </c>
      <c r="L498">
        <f>IF(OR(EXACT(D498,"C"),EXACT(D498,"P"),EXACT(D498,"D"),EXACT(D498,"T"),EXACT(D498,"X"),EXACT(E498,"DZF"),EXACT(E498,"OZF"),EXACT(D498,"N"),EXACT(D498,"F")),1,0)</f>
        <v>0</v>
      </c>
      <c r="M498" t="str">
        <f t="shared" si="28"/>
        <v/>
      </c>
      <c r="N498">
        <f t="shared" si="29"/>
        <v>0</v>
      </c>
      <c r="O498">
        <f t="shared" si="30"/>
        <v>0</v>
      </c>
      <c r="P498" t="str">
        <f t="shared" si="31"/>
        <v/>
      </c>
    </row>
    <row r="499" spans="1:16" x14ac:dyDescent="0.25">
      <c r="A499">
        <v>344</v>
      </c>
      <c r="B499" t="str">
        <f>IF($A499&gt;$A$1,"",VLOOKUP($A499,'NHL PBP'!$A:$L,8,FALSE))</f>
        <v/>
      </c>
      <c r="C499" t="str">
        <f>IF($A499&gt;$A$1,"",IF(B499&gt;3,5/24,20/24)-VLOOKUP($A499,'NHL PBP'!$A:$L,10,FALSE))</f>
        <v/>
      </c>
      <c r="D499" t="str">
        <f>IF($A499&gt;$A$1,"",VLOOKUP($A499,'NHL PBP'!$A:$L,11,FALSE))</f>
        <v/>
      </c>
      <c r="E499" t="str">
        <f>IF(AND(EXACT(D499,"FAC"),NOT(EXACT(MID(F499,9,3),"Neu"))),IF(OR(AND(EXACT(MID(F499,9,3),"Off"),EXACT(LEFT(F499,3),UPPER('Entry data'!$C$2))),AND(EXACT(MID(F499,9,3),"Def"),NOT(EXACT(LEFT(F499,3),UPPER('Entry data'!$C$2))))),"DZF","OZF"),"")</f>
        <v/>
      </c>
      <c r="F499" t="str">
        <f>IF($A499&gt;$A$1,"",VLOOKUP($A499,'NHL PBP'!$A:$L,12,FALSE))</f>
        <v/>
      </c>
      <c r="J499">
        <f>IF(EXACT('Entry data'!$C$3,"Road"),IF(ISBLANK(VLOOKUP(A499,'NHL PBP'!A:AH,21,FALSE)),3,IF(ISBLANK(VLOOKUP(A499,'NHL PBP'!A:AH,23,FALSE)),4,5)),IF(ISBLANK(VLOOKUP(A499,'NHL PBP'!A:AH,32,FALSE)),3,IF(ISBLANK(VLOOKUP(A499,'NHL PBP'!A:AH,34,FALSE)),4,5)))</f>
        <v>5</v>
      </c>
      <c r="K499">
        <f>IF(EXACT('Entry data'!$C$3,"Home"),IF(ISBLANK(VLOOKUP(A499,'NHL PBP'!A:AH,21,FALSE)),3,IF(ISBLANK(VLOOKUP(A499,'NHL PBP'!A:AH,23,FALSE)),4,5)),IF(ISBLANK(VLOOKUP(A499,'NHL PBP'!A:AH,32,FALSE)),3,IF(ISBLANK(VLOOKUP(A499,'NHL PBP'!A:AH,34,FALSE)),4,5)))</f>
        <v>5</v>
      </c>
      <c r="L499">
        <f>IF(OR(EXACT(D499,"C"),EXACT(D499,"P"),EXACT(D499,"D"),EXACT(D499,"T"),EXACT(D499,"X"),EXACT(E499,"DZF"),EXACT(E499,"OZF"),EXACT(D499,"N"),EXACT(D499,"F")),1,0)</f>
        <v>0</v>
      </c>
      <c r="M499" t="str">
        <f t="shared" si="28"/>
        <v/>
      </c>
      <c r="N499">
        <f t="shared" si="29"/>
        <v>0</v>
      </c>
      <c r="O499">
        <f t="shared" si="30"/>
        <v>0</v>
      </c>
      <c r="P499" t="str">
        <f t="shared" si="31"/>
        <v/>
      </c>
    </row>
    <row r="500" spans="1:16" x14ac:dyDescent="0.25">
      <c r="A500">
        <v>345</v>
      </c>
      <c r="B500" t="str">
        <f>IF($A500&gt;$A$1,"",VLOOKUP($A500,'NHL PBP'!$A:$L,8,FALSE))</f>
        <v/>
      </c>
      <c r="C500" t="str">
        <f>IF($A500&gt;$A$1,"",IF(B500&gt;3,5/24,20/24)-VLOOKUP($A500,'NHL PBP'!$A:$L,10,FALSE))</f>
        <v/>
      </c>
      <c r="D500" t="str">
        <f>IF($A500&gt;$A$1,"",VLOOKUP($A500,'NHL PBP'!$A:$L,11,FALSE))</f>
        <v/>
      </c>
      <c r="E500" t="str">
        <f>IF(AND(EXACT(D500,"FAC"),NOT(EXACT(MID(F500,9,3),"Neu"))),IF(OR(AND(EXACT(MID(F500,9,3),"Off"),EXACT(LEFT(F500,3),UPPER('Entry data'!$C$2))),AND(EXACT(MID(F500,9,3),"Def"),NOT(EXACT(LEFT(F500,3),UPPER('Entry data'!$C$2))))),"DZF","OZF"),"")</f>
        <v/>
      </c>
      <c r="F500" t="str">
        <f>IF($A500&gt;$A$1,"",VLOOKUP($A500,'NHL PBP'!$A:$L,12,FALSE))</f>
        <v/>
      </c>
      <c r="J500">
        <f>IF(EXACT('Entry data'!$C$3,"Road"),IF(ISBLANK(VLOOKUP(A500,'NHL PBP'!A:AH,21,FALSE)),3,IF(ISBLANK(VLOOKUP(A500,'NHL PBP'!A:AH,23,FALSE)),4,5)),IF(ISBLANK(VLOOKUP(A500,'NHL PBP'!A:AH,32,FALSE)),3,IF(ISBLANK(VLOOKUP(A500,'NHL PBP'!A:AH,34,FALSE)),4,5)))</f>
        <v>5</v>
      </c>
      <c r="K500">
        <f>IF(EXACT('Entry data'!$C$3,"Home"),IF(ISBLANK(VLOOKUP(A500,'NHL PBP'!A:AH,21,FALSE)),3,IF(ISBLANK(VLOOKUP(A500,'NHL PBP'!A:AH,23,FALSE)),4,5)),IF(ISBLANK(VLOOKUP(A500,'NHL PBP'!A:AH,32,FALSE)),3,IF(ISBLANK(VLOOKUP(A500,'NHL PBP'!A:AH,34,FALSE)),4,5)))</f>
        <v>5</v>
      </c>
      <c r="L500">
        <f>IF(OR(EXACT(D500,"C"),EXACT(D500,"P"),EXACT(D500,"D"),EXACT(D500,"T"),EXACT(D500,"X"),EXACT(E500,"DZF"),EXACT(E500,"OZF"),EXACT(D500,"N"),EXACT(D500,"F")),1,0)</f>
        <v>0</v>
      </c>
      <c r="M500" t="str">
        <f t="shared" si="28"/>
        <v/>
      </c>
      <c r="N500">
        <f t="shared" si="29"/>
        <v>0</v>
      </c>
      <c r="O500">
        <f t="shared" si="30"/>
        <v>0</v>
      </c>
      <c r="P500" t="str">
        <f t="shared" si="31"/>
        <v/>
      </c>
    </row>
    <row r="501" spans="1:16" x14ac:dyDescent="0.25">
      <c r="A501">
        <v>346</v>
      </c>
      <c r="B501" t="str">
        <f>IF($A501&gt;$A$1,"",VLOOKUP($A501,'NHL PBP'!$A:$L,8,FALSE))</f>
        <v/>
      </c>
      <c r="C501" t="str">
        <f>IF($A501&gt;$A$1,"",IF(B501&gt;3,5/24,20/24)-VLOOKUP($A501,'NHL PBP'!$A:$L,10,FALSE))</f>
        <v/>
      </c>
      <c r="D501" t="str">
        <f>IF($A501&gt;$A$1,"",VLOOKUP($A501,'NHL PBP'!$A:$L,11,FALSE))</f>
        <v/>
      </c>
      <c r="E501" t="str">
        <f>IF(AND(EXACT(D501,"FAC"),NOT(EXACT(MID(F501,9,3),"Neu"))),IF(OR(AND(EXACT(MID(F501,9,3),"Off"),EXACT(LEFT(F501,3),UPPER('Entry data'!$C$2))),AND(EXACT(MID(F501,9,3),"Def"),NOT(EXACT(LEFT(F501,3),UPPER('Entry data'!$C$2))))),"DZF","OZF"),"")</f>
        <v/>
      </c>
      <c r="F501" t="str">
        <f>IF($A501&gt;$A$1,"",VLOOKUP($A501,'NHL PBP'!$A:$L,12,FALSE))</f>
        <v/>
      </c>
      <c r="J501">
        <f>IF(EXACT('Entry data'!$C$3,"Road"),IF(ISBLANK(VLOOKUP(A501,'NHL PBP'!A:AH,21,FALSE)),3,IF(ISBLANK(VLOOKUP(A501,'NHL PBP'!A:AH,23,FALSE)),4,5)),IF(ISBLANK(VLOOKUP(A501,'NHL PBP'!A:AH,32,FALSE)),3,IF(ISBLANK(VLOOKUP(A501,'NHL PBP'!A:AH,34,FALSE)),4,5)))</f>
        <v>5</v>
      </c>
      <c r="K501">
        <f>IF(EXACT('Entry data'!$C$3,"Home"),IF(ISBLANK(VLOOKUP(A501,'NHL PBP'!A:AH,21,FALSE)),3,IF(ISBLANK(VLOOKUP(A501,'NHL PBP'!A:AH,23,FALSE)),4,5)),IF(ISBLANK(VLOOKUP(A501,'NHL PBP'!A:AH,32,FALSE)),3,IF(ISBLANK(VLOOKUP(A501,'NHL PBP'!A:AH,34,FALSE)),4,5)))</f>
        <v>5</v>
      </c>
      <c r="L501">
        <f>IF(OR(EXACT(D501,"C"),EXACT(D501,"P"),EXACT(D501,"D"),EXACT(D501,"T"),EXACT(D501,"X"),EXACT(E501,"DZF"),EXACT(E501,"OZF"),EXACT(D501,"N"),EXACT(D501,"F")),1,0)</f>
        <v>0</v>
      </c>
      <c r="M501" t="str">
        <f t="shared" si="28"/>
        <v/>
      </c>
      <c r="N501">
        <f t="shared" si="29"/>
        <v>0</v>
      </c>
      <c r="O501">
        <f t="shared" si="30"/>
        <v>0</v>
      </c>
      <c r="P501" t="str">
        <f t="shared" si="31"/>
        <v/>
      </c>
    </row>
    <row r="502" spans="1:16" x14ac:dyDescent="0.25">
      <c r="A502">
        <v>347</v>
      </c>
      <c r="B502" t="str">
        <f>IF($A502&gt;$A$1,"",VLOOKUP($A502,'NHL PBP'!$A:$L,8,FALSE))</f>
        <v/>
      </c>
      <c r="C502" t="str">
        <f>IF($A502&gt;$A$1,"",IF(B502&gt;3,5/24,20/24)-VLOOKUP($A502,'NHL PBP'!$A:$L,10,FALSE))</f>
        <v/>
      </c>
      <c r="D502" t="str">
        <f>IF($A502&gt;$A$1,"",VLOOKUP($A502,'NHL PBP'!$A:$L,11,FALSE))</f>
        <v/>
      </c>
      <c r="E502" t="str">
        <f>IF(AND(EXACT(D502,"FAC"),NOT(EXACT(MID(F502,9,3),"Neu"))),IF(OR(AND(EXACT(MID(F502,9,3),"Off"),EXACT(LEFT(F502,3),UPPER('Entry data'!$C$2))),AND(EXACT(MID(F502,9,3),"Def"),NOT(EXACT(LEFT(F502,3),UPPER('Entry data'!$C$2))))),"DZF","OZF"),"")</f>
        <v/>
      </c>
      <c r="F502" t="str">
        <f>IF($A502&gt;$A$1,"",VLOOKUP($A502,'NHL PBP'!$A:$L,12,FALSE))</f>
        <v/>
      </c>
      <c r="J502">
        <f>IF(EXACT('Entry data'!$C$3,"Road"),IF(ISBLANK(VLOOKUP(A502,'NHL PBP'!A:AH,21,FALSE)),3,IF(ISBLANK(VLOOKUP(A502,'NHL PBP'!A:AH,23,FALSE)),4,5)),IF(ISBLANK(VLOOKUP(A502,'NHL PBP'!A:AH,32,FALSE)),3,IF(ISBLANK(VLOOKUP(A502,'NHL PBP'!A:AH,34,FALSE)),4,5)))</f>
        <v>5</v>
      </c>
      <c r="K502">
        <f>IF(EXACT('Entry data'!$C$3,"Home"),IF(ISBLANK(VLOOKUP(A502,'NHL PBP'!A:AH,21,FALSE)),3,IF(ISBLANK(VLOOKUP(A502,'NHL PBP'!A:AH,23,FALSE)),4,5)),IF(ISBLANK(VLOOKUP(A502,'NHL PBP'!A:AH,32,FALSE)),3,IF(ISBLANK(VLOOKUP(A502,'NHL PBP'!A:AH,34,FALSE)),4,5)))</f>
        <v>5</v>
      </c>
      <c r="L502">
        <f>IF(OR(EXACT(D502,"C"),EXACT(D502,"P"),EXACT(D502,"D"),EXACT(D502,"T"),EXACT(D502,"X"),EXACT(E502,"DZF"),EXACT(E502,"OZF"),EXACT(D502,"N"),EXACT(D502,"F")),1,0)</f>
        <v>0</v>
      </c>
      <c r="M502" t="str">
        <f t="shared" si="28"/>
        <v/>
      </c>
      <c r="N502">
        <f t="shared" si="29"/>
        <v>0</v>
      </c>
      <c r="O502">
        <f t="shared" si="30"/>
        <v>0</v>
      </c>
      <c r="P502" t="str">
        <f t="shared" si="31"/>
        <v/>
      </c>
    </row>
    <row r="503" spans="1:16" x14ac:dyDescent="0.25">
      <c r="A503">
        <v>348</v>
      </c>
      <c r="B503" t="str">
        <f>IF($A503&gt;$A$1,"",VLOOKUP($A503,'NHL PBP'!$A:$L,8,FALSE))</f>
        <v/>
      </c>
      <c r="C503" t="str">
        <f>IF($A503&gt;$A$1,"",IF(B503&gt;3,5/24,20/24)-VLOOKUP($A503,'NHL PBP'!$A:$L,10,FALSE))</f>
        <v/>
      </c>
      <c r="D503" t="str">
        <f>IF($A503&gt;$A$1,"",VLOOKUP($A503,'NHL PBP'!$A:$L,11,FALSE))</f>
        <v/>
      </c>
      <c r="E503" t="str">
        <f>IF(AND(EXACT(D503,"FAC"),NOT(EXACT(MID(F503,9,3),"Neu"))),IF(OR(AND(EXACT(MID(F503,9,3),"Off"),EXACT(LEFT(F503,3),UPPER('Entry data'!$C$2))),AND(EXACT(MID(F503,9,3),"Def"),NOT(EXACT(LEFT(F503,3),UPPER('Entry data'!$C$2))))),"DZF","OZF"),"")</f>
        <v/>
      </c>
      <c r="F503" t="str">
        <f>IF($A503&gt;$A$1,"",VLOOKUP($A503,'NHL PBP'!$A:$L,12,FALSE))</f>
        <v/>
      </c>
      <c r="J503">
        <f>IF(EXACT('Entry data'!$C$3,"Road"),IF(ISBLANK(VLOOKUP(A503,'NHL PBP'!A:AH,21,FALSE)),3,IF(ISBLANK(VLOOKUP(A503,'NHL PBP'!A:AH,23,FALSE)),4,5)),IF(ISBLANK(VLOOKUP(A503,'NHL PBP'!A:AH,32,FALSE)),3,IF(ISBLANK(VLOOKUP(A503,'NHL PBP'!A:AH,34,FALSE)),4,5)))</f>
        <v>5</v>
      </c>
      <c r="K503">
        <f>IF(EXACT('Entry data'!$C$3,"Home"),IF(ISBLANK(VLOOKUP(A503,'NHL PBP'!A:AH,21,FALSE)),3,IF(ISBLANK(VLOOKUP(A503,'NHL PBP'!A:AH,23,FALSE)),4,5)),IF(ISBLANK(VLOOKUP(A503,'NHL PBP'!A:AH,32,FALSE)),3,IF(ISBLANK(VLOOKUP(A503,'NHL PBP'!A:AH,34,FALSE)),4,5)))</f>
        <v>5</v>
      </c>
      <c r="L503">
        <f>IF(OR(EXACT(D503,"C"),EXACT(D503,"P"),EXACT(D503,"D"),EXACT(D503,"T"),EXACT(D503,"X"),EXACT(E503,"DZF"),EXACT(E503,"OZF"),EXACT(D503,"N"),EXACT(D503,"F")),1,0)</f>
        <v>0</v>
      </c>
      <c r="M503" t="str">
        <f t="shared" si="28"/>
        <v/>
      </c>
      <c r="N503">
        <f t="shared" si="29"/>
        <v>0</v>
      </c>
      <c r="O503">
        <f t="shared" si="30"/>
        <v>0</v>
      </c>
      <c r="P503" t="str">
        <f t="shared" si="31"/>
        <v/>
      </c>
    </row>
    <row r="504" spans="1:16" x14ac:dyDescent="0.25">
      <c r="A504">
        <v>349</v>
      </c>
      <c r="B504" t="str">
        <f>IF($A504&gt;$A$1,"",VLOOKUP($A504,'NHL PBP'!$A:$L,8,FALSE))</f>
        <v/>
      </c>
      <c r="C504" t="str">
        <f>IF($A504&gt;$A$1,"",IF(B504&gt;3,5/24,20/24)-VLOOKUP($A504,'NHL PBP'!$A:$L,10,FALSE))</f>
        <v/>
      </c>
      <c r="D504" t="str">
        <f>IF($A504&gt;$A$1,"",VLOOKUP($A504,'NHL PBP'!$A:$L,11,FALSE))</f>
        <v/>
      </c>
      <c r="E504" t="str">
        <f>IF(AND(EXACT(D504,"FAC"),NOT(EXACT(MID(F504,9,3),"Neu"))),IF(OR(AND(EXACT(MID(F504,9,3),"Off"),EXACT(LEFT(F504,3),UPPER('Entry data'!$C$2))),AND(EXACT(MID(F504,9,3),"Def"),NOT(EXACT(LEFT(F504,3),UPPER('Entry data'!$C$2))))),"DZF","OZF"),"")</f>
        <v/>
      </c>
      <c r="F504" t="str">
        <f>IF($A504&gt;$A$1,"",VLOOKUP($A504,'NHL PBP'!$A:$L,12,FALSE))</f>
        <v/>
      </c>
      <c r="J504">
        <f>IF(EXACT('Entry data'!$C$3,"Road"),IF(ISBLANK(VLOOKUP(A504,'NHL PBP'!A:AH,21,FALSE)),3,IF(ISBLANK(VLOOKUP(A504,'NHL PBP'!A:AH,23,FALSE)),4,5)),IF(ISBLANK(VLOOKUP(A504,'NHL PBP'!A:AH,32,FALSE)),3,IF(ISBLANK(VLOOKUP(A504,'NHL PBP'!A:AH,34,FALSE)),4,5)))</f>
        <v>5</v>
      </c>
      <c r="K504">
        <f>IF(EXACT('Entry data'!$C$3,"Home"),IF(ISBLANK(VLOOKUP(A504,'NHL PBP'!A:AH,21,FALSE)),3,IF(ISBLANK(VLOOKUP(A504,'NHL PBP'!A:AH,23,FALSE)),4,5)),IF(ISBLANK(VLOOKUP(A504,'NHL PBP'!A:AH,32,FALSE)),3,IF(ISBLANK(VLOOKUP(A504,'NHL PBP'!A:AH,34,FALSE)),4,5)))</f>
        <v>5</v>
      </c>
      <c r="L504">
        <f>IF(OR(EXACT(D504,"C"),EXACT(D504,"P"),EXACT(D504,"D"),EXACT(D504,"T"),EXACT(D504,"X"),EXACT(E504,"DZF"),EXACT(E504,"OZF"),EXACT(D504,"N"),EXACT(D504,"F")),1,0)</f>
        <v>0</v>
      </c>
      <c r="M504" t="str">
        <f t="shared" si="28"/>
        <v/>
      </c>
      <c r="N504">
        <f t="shared" si="29"/>
        <v>0</v>
      </c>
      <c r="O504">
        <f t="shared" si="30"/>
        <v>0</v>
      </c>
      <c r="P504" t="str">
        <f t="shared" si="31"/>
        <v/>
      </c>
    </row>
    <row r="505" spans="1:16" x14ac:dyDescent="0.25">
      <c r="A505">
        <v>350</v>
      </c>
      <c r="B505" t="str">
        <f>IF($A505&gt;$A$1,"",VLOOKUP($A505,'NHL PBP'!$A:$L,8,FALSE))</f>
        <v/>
      </c>
      <c r="C505" t="str">
        <f>IF($A505&gt;$A$1,"",IF(B505&gt;3,5/24,20/24)-VLOOKUP($A505,'NHL PBP'!$A:$L,10,FALSE))</f>
        <v/>
      </c>
      <c r="D505" t="str">
        <f>IF($A505&gt;$A$1,"",VLOOKUP($A505,'NHL PBP'!$A:$L,11,FALSE))</f>
        <v/>
      </c>
      <c r="E505" t="str">
        <f>IF(AND(EXACT(D505,"FAC"),NOT(EXACT(MID(F505,9,3),"Neu"))),IF(OR(AND(EXACT(MID(F505,9,3),"Off"),EXACT(LEFT(F505,3),UPPER('Entry data'!$C$2))),AND(EXACT(MID(F505,9,3),"Def"),NOT(EXACT(LEFT(F505,3),UPPER('Entry data'!$C$2))))),"DZF","OZF"),"")</f>
        <v/>
      </c>
      <c r="F505" t="str">
        <f>IF($A505&gt;$A$1,"",VLOOKUP($A505,'NHL PBP'!$A:$L,12,FALSE))</f>
        <v/>
      </c>
      <c r="J505">
        <f>IF(EXACT('Entry data'!$C$3,"Road"),IF(ISBLANK(VLOOKUP(A505,'NHL PBP'!A:AH,21,FALSE)),3,IF(ISBLANK(VLOOKUP(A505,'NHL PBP'!A:AH,23,FALSE)),4,5)),IF(ISBLANK(VLOOKUP(A505,'NHL PBP'!A:AH,32,FALSE)),3,IF(ISBLANK(VLOOKUP(A505,'NHL PBP'!A:AH,34,FALSE)),4,5)))</f>
        <v>5</v>
      </c>
      <c r="K505">
        <f>IF(EXACT('Entry data'!$C$3,"Home"),IF(ISBLANK(VLOOKUP(A505,'NHL PBP'!A:AH,21,FALSE)),3,IF(ISBLANK(VLOOKUP(A505,'NHL PBP'!A:AH,23,FALSE)),4,5)),IF(ISBLANK(VLOOKUP(A505,'NHL PBP'!A:AH,32,FALSE)),3,IF(ISBLANK(VLOOKUP(A505,'NHL PBP'!A:AH,34,FALSE)),4,5)))</f>
        <v>5</v>
      </c>
      <c r="L505">
        <f>IF(OR(EXACT(D505,"C"),EXACT(D505,"P"),EXACT(D505,"D"),EXACT(D505,"T"),EXACT(D505,"X"),EXACT(E505,"DZF"),EXACT(E505,"OZF"),EXACT(D505,"N"),EXACT(D505,"F")),1,0)</f>
        <v>0</v>
      </c>
      <c r="M505" t="str">
        <f t="shared" si="28"/>
        <v/>
      </c>
      <c r="N505">
        <f t="shared" si="29"/>
        <v>0</v>
      </c>
      <c r="O505">
        <f t="shared" si="30"/>
        <v>0</v>
      </c>
      <c r="P505" t="str">
        <f t="shared" si="31"/>
        <v/>
      </c>
    </row>
    <row r="506" spans="1:16" x14ac:dyDescent="0.25">
      <c r="A506">
        <v>351</v>
      </c>
      <c r="B506" t="str">
        <f>IF($A506&gt;$A$1,"",VLOOKUP($A506,'NHL PBP'!$A:$L,8,FALSE))</f>
        <v/>
      </c>
      <c r="C506" t="str">
        <f>IF($A506&gt;$A$1,"",IF(B506&gt;3,5/24,20/24)-VLOOKUP($A506,'NHL PBP'!$A:$L,10,FALSE))</f>
        <v/>
      </c>
      <c r="D506" t="str">
        <f>IF($A506&gt;$A$1,"",VLOOKUP($A506,'NHL PBP'!$A:$L,11,FALSE))</f>
        <v/>
      </c>
      <c r="E506" t="str">
        <f>IF(AND(EXACT(D506,"FAC"),NOT(EXACT(MID(F506,9,3),"Neu"))),IF(OR(AND(EXACT(MID(F506,9,3),"Off"),EXACT(LEFT(F506,3),UPPER('Entry data'!$C$2))),AND(EXACT(MID(F506,9,3),"Def"),NOT(EXACT(LEFT(F506,3),UPPER('Entry data'!$C$2))))),"DZF","OZF"),"")</f>
        <v/>
      </c>
      <c r="F506" t="str">
        <f>IF($A506&gt;$A$1,"",VLOOKUP($A506,'NHL PBP'!$A:$L,12,FALSE))</f>
        <v/>
      </c>
      <c r="J506">
        <f>IF(EXACT('Entry data'!$C$3,"Road"),IF(ISBLANK(VLOOKUP(A506,'NHL PBP'!A:AH,21,FALSE)),3,IF(ISBLANK(VLOOKUP(A506,'NHL PBP'!A:AH,23,FALSE)),4,5)),IF(ISBLANK(VLOOKUP(A506,'NHL PBP'!A:AH,32,FALSE)),3,IF(ISBLANK(VLOOKUP(A506,'NHL PBP'!A:AH,34,FALSE)),4,5)))</f>
        <v>5</v>
      </c>
      <c r="K506">
        <f>IF(EXACT('Entry data'!$C$3,"Home"),IF(ISBLANK(VLOOKUP(A506,'NHL PBP'!A:AH,21,FALSE)),3,IF(ISBLANK(VLOOKUP(A506,'NHL PBP'!A:AH,23,FALSE)),4,5)),IF(ISBLANK(VLOOKUP(A506,'NHL PBP'!A:AH,32,FALSE)),3,IF(ISBLANK(VLOOKUP(A506,'NHL PBP'!A:AH,34,FALSE)),4,5)))</f>
        <v>5</v>
      </c>
      <c r="L506">
        <f>IF(OR(EXACT(D506,"C"),EXACT(D506,"P"),EXACT(D506,"D"),EXACT(D506,"T"),EXACT(D506,"X"),EXACT(E506,"DZF"),EXACT(E506,"OZF"),EXACT(D506,"N"),EXACT(D506,"F")),1,0)</f>
        <v>0</v>
      </c>
      <c r="M506" t="str">
        <f t="shared" si="28"/>
        <v/>
      </c>
      <c r="N506">
        <f t="shared" si="29"/>
        <v>0</v>
      </c>
      <c r="O506">
        <f t="shared" si="30"/>
        <v>0</v>
      </c>
      <c r="P506" t="str">
        <f t="shared" si="31"/>
        <v/>
      </c>
    </row>
    <row r="507" spans="1:16" x14ac:dyDescent="0.25">
      <c r="A507">
        <v>352</v>
      </c>
      <c r="B507" t="str">
        <f>IF($A507&gt;$A$1,"",VLOOKUP($A507,'NHL PBP'!$A:$L,8,FALSE))</f>
        <v/>
      </c>
      <c r="C507" t="str">
        <f>IF($A507&gt;$A$1,"",IF(B507&gt;3,5/24,20/24)-VLOOKUP($A507,'NHL PBP'!$A:$L,10,FALSE))</f>
        <v/>
      </c>
      <c r="D507" t="str">
        <f>IF($A507&gt;$A$1,"",VLOOKUP($A507,'NHL PBP'!$A:$L,11,FALSE))</f>
        <v/>
      </c>
      <c r="E507" t="str">
        <f>IF(AND(EXACT(D507,"FAC"),NOT(EXACT(MID(F507,9,3),"Neu"))),IF(OR(AND(EXACT(MID(F507,9,3),"Off"),EXACT(LEFT(F507,3),UPPER('Entry data'!$C$2))),AND(EXACT(MID(F507,9,3),"Def"),NOT(EXACT(LEFT(F507,3),UPPER('Entry data'!$C$2))))),"DZF","OZF"),"")</f>
        <v/>
      </c>
      <c r="F507" t="str">
        <f>IF($A507&gt;$A$1,"",VLOOKUP($A507,'NHL PBP'!$A:$L,12,FALSE))</f>
        <v/>
      </c>
      <c r="J507">
        <f>IF(EXACT('Entry data'!$C$3,"Road"),IF(ISBLANK(VLOOKUP(A507,'NHL PBP'!A:AH,21,FALSE)),3,IF(ISBLANK(VLOOKUP(A507,'NHL PBP'!A:AH,23,FALSE)),4,5)),IF(ISBLANK(VLOOKUP(A507,'NHL PBP'!A:AH,32,FALSE)),3,IF(ISBLANK(VLOOKUP(A507,'NHL PBP'!A:AH,34,FALSE)),4,5)))</f>
        <v>5</v>
      </c>
      <c r="K507">
        <f>IF(EXACT('Entry data'!$C$3,"Home"),IF(ISBLANK(VLOOKUP(A507,'NHL PBP'!A:AH,21,FALSE)),3,IF(ISBLANK(VLOOKUP(A507,'NHL PBP'!A:AH,23,FALSE)),4,5)),IF(ISBLANK(VLOOKUP(A507,'NHL PBP'!A:AH,32,FALSE)),3,IF(ISBLANK(VLOOKUP(A507,'NHL PBP'!A:AH,34,FALSE)),4,5)))</f>
        <v>5</v>
      </c>
      <c r="L507">
        <f>IF(OR(EXACT(D507,"C"),EXACT(D507,"P"),EXACT(D507,"D"),EXACT(D507,"T"),EXACT(D507,"X"),EXACT(E507,"DZF"),EXACT(E507,"OZF"),EXACT(D507,"N"),EXACT(D507,"F")),1,0)</f>
        <v>0</v>
      </c>
      <c r="M507" t="str">
        <f t="shared" si="28"/>
        <v/>
      </c>
      <c r="N507">
        <f t="shared" si="29"/>
        <v>0</v>
      </c>
      <c r="O507">
        <f t="shared" si="30"/>
        <v>0</v>
      </c>
      <c r="P507" t="str">
        <f t="shared" si="31"/>
        <v/>
      </c>
    </row>
    <row r="508" spans="1:16" x14ac:dyDescent="0.25">
      <c r="A508">
        <v>353</v>
      </c>
      <c r="B508" t="str">
        <f>IF($A508&gt;$A$1,"",VLOOKUP($A508,'NHL PBP'!$A:$L,8,FALSE))</f>
        <v/>
      </c>
      <c r="C508" t="str">
        <f>IF($A508&gt;$A$1,"",IF(B508&gt;3,5/24,20/24)-VLOOKUP($A508,'NHL PBP'!$A:$L,10,FALSE))</f>
        <v/>
      </c>
      <c r="D508" t="str">
        <f>IF($A508&gt;$A$1,"",VLOOKUP($A508,'NHL PBP'!$A:$L,11,FALSE))</f>
        <v/>
      </c>
      <c r="E508" t="str">
        <f>IF(AND(EXACT(D508,"FAC"),NOT(EXACT(MID(F508,9,3),"Neu"))),IF(OR(AND(EXACT(MID(F508,9,3),"Off"),EXACT(LEFT(F508,3),UPPER('Entry data'!$C$2))),AND(EXACT(MID(F508,9,3),"Def"),NOT(EXACT(LEFT(F508,3),UPPER('Entry data'!$C$2))))),"DZF","OZF"),"")</f>
        <v/>
      </c>
      <c r="F508" t="str">
        <f>IF($A508&gt;$A$1,"",VLOOKUP($A508,'NHL PBP'!$A:$L,12,FALSE))</f>
        <v/>
      </c>
      <c r="J508">
        <f>IF(EXACT('Entry data'!$C$3,"Road"),IF(ISBLANK(VLOOKUP(A508,'NHL PBP'!A:AH,21,FALSE)),3,IF(ISBLANK(VLOOKUP(A508,'NHL PBP'!A:AH,23,FALSE)),4,5)),IF(ISBLANK(VLOOKUP(A508,'NHL PBP'!A:AH,32,FALSE)),3,IF(ISBLANK(VLOOKUP(A508,'NHL PBP'!A:AH,34,FALSE)),4,5)))</f>
        <v>5</v>
      </c>
      <c r="K508">
        <f>IF(EXACT('Entry data'!$C$3,"Home"),IF(ISBLANK(VLOOKUP(A508,'NHL PBP'!A:AH,21,FALSE)),3,IF(ISBLANK(VLOOKUP(A508,'NHL PBP'!A:AH,23,FALSE)),4,5)),IF(ISBLANK(VLOOKUP(A508,'NHL PBP'!A:AH,32,FALSE)),3,IF(ISBLANK(VLOOKUP(A508,'NHL PBP'!A:AH,34,FALSE)),4,5)))</f>
        <v>5</v>
      </c>
      <c r="L508">
        <f>IF(OR(EXACT(D508,"C"),EXACT(D508,"P"),EXACT(D508,"D"),EXACT(D508,"T"),EXACT(D508,"X"),EXACT(E508,"DZF"),EXACT(E508,"OZF"),EXACT(D508,"N"),EXACT(D508,"F")),1,0)</f>
        <v>0</v>
      </c>
      <c r="M508" t="str">
        <f t="shared" si="28"/>
        <v/>
      </c>
      <c r="N508">
        <f t="shared" si="29"/>
        <v>0</v>
      </c>
      <c r="O508">
        <f t="shared" si="30"/>
        <v>0</v>
      </c>
      <c r="P508" t="str">
        <f t="shared" si="31"/>
        <v/>
      </c>
    </row>
    <row r="509" spans="1:16" x14ac:dyDescent="0.25">
      <c r="A509">
        <v>354</v>
      </c>
      <c r="B509" t="str">
        <f>IF($A509&gt;$A$1,"",VLOOKUP($A509,'NHL PBP'!$A:$L,8,FALSE))</f>
        <v/>
      </c>
      <c r="C509" t="str">
        <f>IF($A509&gt;$A$1,"",IF(B509&gt;3,5/24,20/24)-VLOOKUP($A509,'NHL PBP'!$A:$L,10,FALSE))</f>
        <v/>
      </c>
      <c r="D509" t="str">
        <f>IF($A509&gt;$A$1,"",VLOOKUP($A509,'NHL PBP'!$A:$L,11,FALSE))</f>
        <v/>
      </c>
      <c r="E509" t="str">
        <f>IF(AND(EXACT(D509,"FAC"),NOT(EXACT(MID(F509,9,3),"Neu"))),IF(OR(AND(EXACT(MID(F509,9,3),"Off"),EXACT(LEFT(F509,3),UPPER('Entry data'!$C$2))),AND(EXACT(MID(F509,9,3),"Def"),NOT(EXACT(LEFT(F509,3),UPPER('Entry data'!$C$2))))),"DZF","OZF"),"")</f>
        <v/>
      </c>
      <c r="F509" t="str">
        <f>IF($A509&gt;$A$1,"",VLOOKUP($A509,'NHL PBP'!$A:$L,12,FALSE))</f>
        <v/>
      </c>
      <c r="J509">
        <f>IF(EXACT('Entry data'!$C$3,"Road"),IF(ISBLANK(VLOOKUP(A509,'NHL PBP'!A:AH,21,FALSE)),3,IF(ISBLANK(VLOOKUP(A509,'NHL PBP'!A:AH,23,FALSE)),4,5)),IF(ISBLANK(VLOOKUP(A509,'NHL PBP'!A:AH,32,FALSE)),3,IF(ISBLANK(VLOOKUP(A509,'NHL PBP'!A:AH,34,FALSE)),4,5)))</f>
        <v>5</v>
      </c>
      <c r="K509">
        <f>IF(EXACT('Entry data'!$C$3,"Home"),IF(ISBLANK(VLOOKUP(A509,'NHL PBP'!A:AH,21,FALSE)),3,IF(ISBLANK(VLOOKUP(A509,'NHL PBP'!A:AH,23,FALSE)),4,5)),IF(ISBLANK(VLOOKUP(A509,'NHL PBP'!A:AH,32,FALSE)),3,IF(ISBLANK(VLOOKUP(A509,'NHL PBP'!A:AH,34,FALSE)),4,5)))</f>
        <v>5</v>
      </c>
      <c r="L509">
        <f>IF(OR(EXACT(D509,"C"),EXACT(D509,"P"),EXACT(D509,"D"),EXACT(D509,"T"),EXACT(D509,"X"),EXACT(E509,"DZF"),EXACT(E509,"OZF"),EXACT(D509,"N"),EXACT(D509,"F")),1,0)</f>
        <v>0</v>
      </c>
      <c r="M509" t="str">
        <f t="shared" si="28"/>
        <v/>
      </c>
      <c r="N509">
        <f t="shared" si="29"/>
        <v>0</v>
      </c>
      <c r="O509">
        <f t="shared" si="30"/>
        <v>0</v>
      </c>
      <c r="P509" t="str">
        <f t="shared" si="31"/>
        <v/>
      </c>
    </row>
    <row r="510" spans="1:16" x14ac:dyDescent="0.25">
      <c r="A510">
        <v>355</v>
      </c>
      <c r="B510" t="str">
        <f>IF($A510&gt;$A$1,"",VLOOKUP($A510,'NHL PBP'!$A:$L,8,FALSE))</f>
        <v/>
      </c>
      <c r="C510" t="str">
        <f>IF($A510&gt;$A$1,"",IF(B510&gt;3,5/24,20/24)-VLOOKUP($A510,'NHL PBP'!$A:$L,10,FALSE))</f>
        <v/>
      </c>
      <c r="D510" t="str">
        <f>IF($A510&gt;$A$1,"",VLOOKUP($A510,'NHL PBP'!$A:$L,11,FALSE))</f>
        <v/>
      </c>
      <c r="E510" t="str">
        <f>IF(AND(EXACT(D510,"FAC"),NOT(EXACT(MID(F510,9,3),"Neu"))),IF(OR(AND(EXACT(MID(F510,9,3),"Off"),EXACT(LEFT(F510,3),UPPER('Entry data'!$C$2))),AND(EXACT(MID(F510,9,3),"Def"),NOT(EXACT(LEFT(F510,3),UPPER('Entry data'!$C$2))))),"DZF","OZF"),"")</f>
        <v/>
      </c>
      <c r="F510" t="str">
        <f>IF($A510&gt;$A$1,"",VLOOKUP($A510,'NHL PBP'!$A:$L,12,FALSE))</f>
        <v/>
      </c>
      <c r="J510">
        <f>IF(EXACT('Entry data'!$C$3,"Road"),IF(ISBLANK(VLOOKUP(A510,'NHL PBP'!A:AH,21,FALSE)),3,IF(ISBLANK(VLOOKUP(A510,'NHL PBP'!A:AH,23,FALSE)),4,5)),IF(ISBLANK(VLOOKUP(A510,'NHL PBP'!A:AH,32,FALSE)),3,IF(ISBLANK(VLOOKUP(A510,'NHL PBP'!A:AH,34,FALSE)),4,5)))</f>
        <v>5</v>
      </c>
      <c r="K510">
        <f>IF(EXACT('Entry data'!$C$3,"Home"),IF(ISBLANK(VLOOKUP(A510,'NHL PBP'!A:AH,21,FALSE)),3,IF(ISBLANK(VLOOKUP(A510,'NHL PBP'!A:AH,23,FALSE)),4,5)),IF(ISBLANK(VLOOKUP(A510,'NHL PBP'!A:AH,32,FALSE)),3,IF(ISBLANK(VLOOKUP(A510,'NHL PBP'!A:AH,34,FALSE)),4,5)))</f>
        <v>5</v>
      </c>
      <c r="L510">
        <f>IF(OR(EXACT(D510,"C"),EXACT(D510,"P"),EXACT(D510,"D"),EXACT(D510,"T"),EXACT(D510,"X"),EXACT(E510,"DZF"),EXACT(E510,"OZF"),EXACT(D510,"N"),EXACT(D510,"F")),1,0)</f>
        <v>0</v>
      </c>
      <c r="M510" t="str">
        <f t="shared" si="28"/>
        <v/>
      </c>
      <c r="N510">
        <f t="shared" si="29"/>
        <v>0</v>
      </c>
      <c r="O510">
        <f t="shared" si="30"/>
        <v>0</v>
      </c>
      <c r="P510" t="str">
        <f t="shared" si="31"/>
        <v/>
      </c>
    </row>
    <row r="511" spans="1:16" x14ac:dyDescent="0.25">
      <c r="A511">
        <v>356</v>
      </c>
      <c r="B511" t="str">
        <f>IF($A511&gt;$A$1,"",VLOOKUP($A511,'NHL PBP'!$A:$L,8,FALSE))</f>
        <v/>
      </c>
      <c r="C511" t="str">
        <f>IF($A511&gt;$A$1,"",IF(B511&gt;3,5/24,20/24)-VLOOKUP($A511,'NHL PBP'!$A:$L,10,FALSE))</f>
        <v/>
      </c>
      <c r="D511" t="str">
        <f>IF($A511&gt;$A$1,"",VLOOKUP($A511,'NHL PBP'!$A:$L,11,FALSE))</f>
        <v/>
      </c>
      <c r="E511" t="str">
        <f>IF(AND(EXACT(D511,"FAC"),NOT(EXACT(MID(F511,9,3),"Neu"))),IF(OR(AND(EXACT(MID(F511,9,3),"Off"),EXACT(LEFT(F511,3),UPPER('Entry data'!$C$2))),AND(EXACT(MID(F511,9,3),"Def"),NOT(EXACT(LEFT(F511,3),UPPER('Entry data'!$C$2))))),"DZF","OZF"),"")</f>
        <v/>
      </c>
      <c r="F511" t="str">
        <f>IF($A511&gt;$A$1,"",VLOOKUP($A511,'NHL PBP'!$A:$L,12,FALSE))</f>
        <v/>
      </c>
      <c r="J511">
        <f>IF(EXACT('Entry data'!$C$3,"Road"),IF(ISBLANK(VLOOKUP(A511,'NHL PBP'!A:AH,21,FALSE)),3,IF(ISBLANK(VLOOKUP(A511,'NHL PBP'!A:AH,23,FALSE)),4,5)),IF(ISBLANK(VLOOKUP(A511,'NHL PBP'!A:AH,32,FALSE)),3,IF(ISBLANK(VLOOKUP(A511,'NHL PBP'!A:AH,34,FALSE)),4,5)))</f>
        <v>5</v>
      </c>
      <c r="K511">
        <f>IF(EXACT('Entry data'!$C$3,"Home"),IF(ISBLANK(VLOOKUP(A511,'NHL PBP'!A:AH,21,FALSE)),3,IF(ISBLANK(VLOOKUP(A511,'NHL PBP'!A:AH,23,FALSE)),4,5)),IF(ISBLANK(VLOOKUP(A511,'NHL PBP'!A:AH,32,FALSE)),3,IF(ISBLANK(VLOOKUP(A511,'NHL PBP'!A:AH,34,FALSE)),4,5)))</f>
        <v>5</v>
      </c>
      <c r="L511">
        <f>IF(OR(EXACT(D511,"C"),EXACT(D511,"P"),EXACT(D511,"D"),EXACT(D511,"T"),EXACT(D511,"X"),EXACT(E511,"DZF"),EXACT(E511,"OZF"),EXACT(D511,"N"),EXACT(D511,"F")),1,0)</f>
        <v>0</v>
      </c>
      <c r="M511" t="str">
        <f t="shared" si="28"/>
        <v/>
      </c>
      <c r="N511">
        <f t="shared" si="29"/>
        <v>0</v>
      </c>
      <c r="O511">
        <f t="shared" si="30"/>
        <v>0</v>
      </c>
      <c r="P511" t="str">
        <f t="shared" si="31"/>
        <v/>
      </c>
    </row>
    <row r="512" spans="1:16" x14ac:dyDescent="0.25">
      <c r="A512">
        <v>357</v>
      </c>
      <c r="B512" t="str">
        <f>IF($A512&gt;$A$1,"",VLOOKUP($A512,'NHL PBP'!$A:$L,8,FALSE))</f>
        <v/>
      </c>
      <c r="C512" t="str">
        <f>IF($A512&gt;$A$1,"",IF(B512&gt;3,5/24,20/24)-VLOOKUP($A512,'NHL PBP'!$A:$L,10,FALSE))</f>
        <v/>
      </c>
      <c r="D512" t="str">
        <f>IF($A512&gt;$A$1,"",VLOOKUP($A512,'NHL PBP'!$A:$L,11,FALSE))</f>
        <v/>
      </c>
      <c r="E512" t="str">
        <f>IF(AND(EXACT(D512,"FAC"),NOT(EXACT(MID(F512,9,3),"Neu"))),IF(OR(AND(EXACT(MID(F512,9,3),"Off"),EXACT(LEFT(F512,3),UPPER('Entry data'!$C$2))),AND(EXACT(MID(F512,9,3),"Def"),NOT(EXACT(LEFT(F512,3),UPPER('Entry data'!$C$2))))),"DZF","OZF"),"")</f>
        <v/>
      </c>
      <c r="F512" t="str">
        <f>IF($A512&gt;$A$1,"",VLOOKUP($A512,'NHL PBP'!$A:$L,12,FALSE))</f>
        <v/>
      </c>
      <c r="J512">
        <f>IF(EXACT('Entry data'!$C$3,"Road"),IF(ISBLANK(VLOOKUP(A512,'NHL PBP'!A:AH,21,FALSE)),3,IF(ISBLANK(VLOOKUP(A512,'NHL PBP'!A:AH,23,FALSE)),4,5)),IF(ISBLANK(VLOOKUP(A512,'NHL PBP'!A:AH,32,FALSE)),3,IF(ISBLANK(VLOOKUP(A512,'NHL PBP'!A:AH,34,FALSE)),4,5)))</f>
        <v>5</v>
      </c>
      <c r="K512">
        <f>IF(EXACT('Entry data'!$C$3,"Home"),IF(ISBLANK(VLOOKUP(A512,'NHL PBP'!A:AH,21,FALSE)),3,IF(ISBLANK(VLOOKUP(A512,'NHL PBP'!A:AH,23,FALSE)),4,5)),IF(ISBLANK(VLOOKUP(A512,'NHL PBP'!A:AH,32,FALSE)),3,IF(ISBLANK(VLOOKUP(A512,'NHL PBP'!A:AH,34,FALSE)),4,5)))</f>
        <v>5</v>
      </c>
      <c r="L512">
        <f>IF(OR(EXACT(D512,"C"),EXACT(D512,"P"),EXACT(D512,"D"),EXACT(D512,"T"),EXACT(D512,"X"),EXACT(E512,"DZF"),EXACT(E512,"OZF"),EXACT(D512,"N"),EXACT(D512,"F")),1,0)</f>
        <v>0</v>
      </c>
      <c r="M512" t="str">
        <f t="shared" si="28"/>
        <v/>
      </c>
      <c r="N512">
        <f t="shared" si="29"/>
        <v>0</v>
      </c>
      <c r="O512">
        <f t="shared" si="30"/>
        <v>0</v>
      </c>
      <c r="P512" t="str">
        <f t="shared" si="31"/>
        <v/>
      </c>
    </row>
    <row r="513" spans="1:16" x14ac:dyDescent="0.25">
      <c r="A513">
        <v>358</v>
      </c>
      <c r="B513" t="str">
        <f>IF($A513&gt;$A$1,"",VLOOKUP($A513,'NHL PBP'!$A:$L,8,FALSE))</f>
        <v/>
      </c>
      <c r="C513" t="str">
        <f>IF($A513&gt;$A$1,"",IF(B513&gt;3,5/24,20/24)-VLOOKUP($A513,'NHL PBP'!$A:$L,10,FALSE))</f>
        <v/>
      </c>
      <c r="D513" t="str">
        <f>IF($A513&gt;$A$1,"",VLOOKUP($A513,'NHL PBP'!$A:$L,11,FALSE))</f>
        <v/>
      </c>
      <c r="E513" t="str">
        <f>IF(AND(EXACT(D513,"FAC"),NOT(EXACT(MID(F513,9,3),"Neu"))),IF(OR(AND(EXACT(MID(F513,9,3),"Off"),EXACT(LEFT(F513,3),UPPER('Entry data'!$C$2))),AND(EXACT(MID(F513,9,3),"Def"),NOT(EXACT(LEFT(F513,3),UPPER('Entry data'!$C$2))))),"DZF","OZF"),"")</f>
        <v/>
      </c>
      <c r="F513" t="str">
        <f>IF($A513&gt;$A$1,"",VLOOKUP($A513,'NHL PBP'!$A:$L,12,FALSE))</f>
        <v/>
      </c>
      <c r="J513">
        <f>IF(EXACT('Entry data'!$C$3,"Road"),IF(ISBLANK(VLOOKUP(A513,'NHL PBP'!A:AH,21,FALSE)),3,IF(ISBLANK(VLOOKUP(A513,'NHL PBP'!A:AH,23,FALSE)),4,5)),IF(ISBLANK(VLOOKUP(A513,'NHL PBP'!A:AH,32,FALSE)),3,IF(ISBLANK(VLOOKUP(A513,'NHL PBP'!A:AH,34,FALSE)),4,5)))</f>
        <v>5</v>
      </c>
      <c r="K513">
        <f>IF(EXACT('Entry data'!$C$3,"Home"),IF(ISBLANK(VLOOKUP(A513,'NHL PBP'!A:AH,21,FALSE)),3,IF(ISBLANK(VLOOKUP(A513,'NHL PBP'!A:AH,23,FALSE)),4,5)),IF(ISBLANK(VLOOKUP(A513,'NHL PBP'!A:AH,32,FALSE)),3,IF(ISBLANK(VLOOKUP(A513,'NHL PBP'!A:AH,34,FALSE)),4,5)))</f>
        <v>5</v>
      </c>
      <c r="L513">
        <f>IF(OR(EXACT(D513,"C"),EXACT(D513,"P"),EXACT(D513,"D"),EXACT(D513,"T"),EXACT(D513,"X"),EXACT(E513,"DZF"),EXACT(E513,"OZF"),EXACT(D513,"N"),EXACT(D513,"F")),1,0)</f>
        <v>0</v>
      </c>
      <c r="M513" t="str">
        <f t="shared" si="28"/>
        <v/>
      </c>
      <c r="N513">
        <f t="shared" si="29"/>
        <v>0</v>
      </c>
      <c r="O513">
        <f t="shared" si="30"/>
        <v>0</v>
      </c>
      <c r="P513" t="str">
        <f t="shared" si="31"/>
        <v/>
      </c>
    </row>
    <row r="514" spans="1:16" x14ac:dyDescent="0.25">
      <c r="A514">
        <v>359</v>
      </c>
      <c r="B514" t="str">
        <f>IF($A514&gt;$A$1,"",VLOOKUP($A514,'NHL PBP'!$A:$L,8,FALSE))</f>
        <v/>
      </c>
      <c r="C514" t="str">
        <f>IF($A514&gt;$A$1,"",IF(B514&gt;3,5/24,20/24)-VLOOKUP($A514,'NHL PBP'!$A:$L,10,FALSE))</f>
        <v/>
      </c>
      <c r="D514" t="str">
        <f>IF($A514&gt;$A$1,"",VLOOKUP($A514,'NHL PBP'!$A:$L,11,FALSE))</f>
        <v/>
      </c>
      <c r="E514" t="str">
        <f>IF(AND(EXACT(D514,"FAC"),NOT(EXACT(MID(F514,9,3),"Neu"))),IF(OR(AND(EXACT(MID(F514,9,3),"Off"),EXACT(LEFT(F514,3),UPPER('Entry data'!$C$2))),AND(EXACT(MID(F514,9,3),"Def"),NOT(EXACT(LEFT(F514,3),UPPER('Entry data'!$C$2))))),"DZF","OZF"),"")</f>
        <v/>
      </c>
      <c r="F514" t="str">
        <f>IF($A514&gt;$A$1,"",VLOOKUP($A514,'NHL PBP'!$A:$L,12,FALSE))</f>
        <v/>
      </c>
      <c r="J514">
        <f>IF(EXACT('Entry data'!$C$3,"Road"),IF(ISBLANK(VLOOKUP(A514,'NHL PBP'!A:AH,21,FALSE)),3,IF(ISBLANK(VLOOKUP(A514,'NHL PBP'!A:AH,23,FALSE)),4,5)),IF(ISBLANK(VLOOKUP(A514,'NHL PBP'!A:AH,32,FALSE)),3,IF(ISBLANK(VLOOKUP(A514,'NHL PBP'!A:AH,34,FALSE)),4,5)))</f>
        <v>5</v>
      </c>
      <c r="K514">
        <f>IF(EXACT('Entry data'!$C$3,"Home"),IF(ISBLANK(VLOOKUP(A514,'NHL PBP'!A:AH,21,FALSE)),3,IF(ISBLANK(VLOOKUP(A514,'NHL PBP'!A:AH,23,FALSE)),4,5)),IF(ISBLANK(VLOOKUP(A514,'NHL PBP'!A:AH,32,FALSE)),3,IF(ISBLANK(VLOOKUP(A514,'NHL PBP'!A:AH,34,FALSE)),4,5)))</f>
        <v>5</v>
      </c>
      <c r="L514">
        <f>IF(OR(EXACT(D514,"C"),EXACT(D514,"P"),EXACT(D514,"D"),EXACT(D514,"T"),EXACT(D514,"X"),EXACT(E514,"DZF"),EXACT(E514,"OZF"),EXACT(D514,"N"),EXACT(D514,"F")),1,0)</f>
        <v>0</v>
      </c>
      <c r="M514" t="str">
        <f t="shared" ref="M514:M577" si="32">IF(OR(EXACT(D514,"C"),EXACT(D514,"P")),E514,"")</f>
        <v/>
      </c>
      <c r="N514">
        <f t="shared" ref="N514:N577" si="33">IF(OR(EXACT(D514,"GOAL"),EXACT(D514,"SHOT"),EXACT(D514,"MISS")),1,0)+IF(L515=0,N515,0)</f>
        <v>0</v>
      </c>
      <c r="O514">
        <f t="shared" ref="O514:O577" si="34">IF(EXACT(D514,"GOAL"),1,0)+IF(L515=0,O515,0)</f>
        <v>0</v>
      </c>
      <c r="P514" t="str">
        <f t="shared" si="31"/>
        <v/>
      </c>
    </row>
    <row r="515" spans="1:16" x14ac:dyDescent="0.25">
      <c r="A515">
        <v>360</v>
      </c>
      <c r="B515" t="str">
        <f>IF($A515&gt;$A$1,"",VLOOKUP($A515,'NHL PBP'!$A:$L,8,FALSE))</f>
        <v/>
      </c>
      <c r="C515" t="str">
        <f>IF($A515&gt;$A$1,"",IF(B515&gt;3,5/24,20/24)-VLOOKUP($A515,'NHL PBP'!$A:$L,10,FALSE))</f>
        <v/>
      </c>
      <c r="D515" t="str">
        <f>IF($A515&gt;$A$1,"",VLOOKUP($A515,'NHL PBP'!$A:$L,11,FALSE))</f>
        <v/>
      </c>
      <c r="E515" t="str">
        <f>IF(AND(EXACT(D515,"FAC"),NOT(EXACT(MID(F515,9,3),"Neu"))),IF(OR(AND(EXACT(MID(F515,9,3),"Off"),EXACT(LEFT(F515,3),UPPER('Entry data'!$C$2))),AND(EXACT(MID(F515,9,3),"Def"),NOT(EXACT(LEFT(F515,3),UPPER('Entry data'!$C$2))))),"DZF","OZF"),"")</f>
        <v/>
      </c>
      <c r="F515" t="str">
        <f>IF($A515&gt;$A$1,"",VLOOKUP($A515,'NHL PBP'!$A:$L,12,FALSE))</f>
        <v/>
      </c>
      <c r="J515">
        <f>IF(EXACT('Entry data'!$C$3,"Road"),IF(ISBLANK(VLOOKUP(A515,'NHL PBP'!A:AH,21,FALSE)),3,IF(ISBLANK(VLOOKUP(A515,'NHL PBP'!A:AH,23,FALSE)),4,5)),IF(ISBLANK(VLOOKUP(A515,'NHL PBP'!A:AH,32,FALSE)),3,IF(ISBLANK(VLOOKUP(A515,'NHL PBP'!A:AH,34,FALSE)),4,5)))</f>
        <v>5</v>
      </c>
      <c r="K515">
        <f>IF(EXACT('Entry data'!$C$3,"Home"),IF(ISBLANK(VLOOKUP(A515,'NHL PBP'!A:AH,21,FALSE)),3,IF(ISBLANK(VLOOKUP(A515,'NHL PBP'!A:AH,23,FALSE)),4,5)),IF(ISBLANK(VLOOKUP(A515,'NHL PBP'!A:AH,32,FALSE)),3,IF(ISBLANK(VLOOKUP(A515,'NHL PBP'!A:AH,34,FALSE)),4,5)))</f>
        <v>5</v>
      </c>
      <c r="L515">
        <f>IF(OR(EXACT(D515,"C"),EXACT(D515,"P"),EXACT(D515,"D"),EXACT(D515,"T"),EXACT(D515,"X"),EXACT(E515,"DZF"),EXACT(E515,"OZF"),EXACT(D515,"N"),EXACT(D515,"F")),1,0)</f>
        <v>0</v>
      </c>
      <c r="M515" t="str">
        <f t="shared" si="32"/>
        <v/>
      </c>
      <c r="N515">
        <f t="shared" si="33"/>
        <v>0</v>
      </c>
      <c r="O515">
        <f t="shared" si="34"/>
        <v>0</v>
      </c>
      <c r="P515" t="str">
        <f t="shared" ref="P515:P578" si="35">IF(EXACT(D515,"F"),E515,"")</f>
        <v/>
      </c>
    </row>
    <row r="516" spans="1:16" x14ac:dyDescent="0.25">
      <c r="A516">
        <v>361</v>
      </c>
      <c r="B516" t="str">
        <f>IF($A516&gt;$A$1,"",VLOOKUP($A516,'NHL PBP'!$A:$L,8,FALSE))</f>
        <v/>
      </c>
      <c r="C516" t="str">
        <f>IF($A516&gt;$A$1,"",IF(B516&gt;3,5/24,20/24)-VLOOKUP($A516,'NHL PBP'!$A:$L,10,FALSE))</f>
        <v/>
      </c>
      <c r="D516" t="str">
        <f>IF($A516&gt;$A$1,"",VLOOKUP($A516,'NHL PBP'!$A:$L,11,FALSE))</f>
        <v/>
      </c>
      <c r="E516" t="str">
        <f>IF(AND(EXACT(D516,"FAC"),NOT(EXACT(MID(F516,9,3),"Neu"))),IF(OR(AND(EXACT(MID(F516,9,3),"Off"),EXACT(LEFT(F516,3),UPPER('Entry data'!$C$2))),AND(EXACT(MID(F516,9,3),"Def"),NOT(EXACT(LEFT(F516,3),UPPER('Entry data'!$C$2))))),"DZF","OZF"),"")</f>
        <v/>
      </c>
      <c r="F516" t="str">
        <f>IF($A516&gt;$A$1,"",VLOOKUP($A516,'NHL PBP'!$A:$L,12,FALSE))</f>
        <v/>
      </c>
      <c r="J516">
        <f>IF(EXACT('Entry data'!$C$3,"Road"),IF(ISBLANK(VLOOKUP(A516,'NHL PBP'!A:AH,21,FALSE)),3,IF(ISBLANK(VLOOKUP(A516,'NHL PBP'!A:AH,23,FALSE)),4,5)),IF(ISBLANK(VLOOKUP(A516,'NHL PBP'!A:AH,32,FALSE)),3,IF(ISBLANK(VLOOKUP(A516,'NHL PBP'!A:AH,34,FALSE)),4,5)))</f>
        <v>5</v>
      </c>
      <c r="K516">
        <f>IF(EXACT('Entry data'!$C$3,"Home"),IF(ISBLANK(VLOOKUP(A516,'NHL PBP'!A:AH,21,FALSE)),3,IF(ISBLANK(VLOOKUP(A516,'NHL PBP'!A:AH,23,FALSE)),4,5)),IF(ISBLANK(VLOOKUP(A516,'NHL PBP'!A:AH,32,FALSE)),3,IF(ISBLANK(VLOOKUP(A516,'NHL PBP'!A:AH,34,FALSE)),4,5)))</f>
        <v>5</v>
      </c>
      <c r="L516">
        <f>IF(OR(EXACT(D516,"C"),EXACT(D516,"P"),EXACT(D516,"D"),EXACT(D516,"T"),EXACT(D516,"X"),EXACT(E516,"DZF"),EXACT(E516,"OZF"),EXACT(D516,"N"),EXACT(D516,"F")),1,0)</f>
        <v>0</v>
      </c>
      <c r="M516" t="str">
        <f t="shared" si="32"/>
        <v/>
      </c>
      <c r="N516">
        <f t="shared" si="33"/>
        <v>0</v>
      </c>
      <c r="O516">
        <f t="shared" si="34"/>
        <v>0</v>
      </c>
      <c r="P516" t="str">
        <f t="shared" si="35"/>
        <v/>
      </c>
    </row>
    <row r="517" spans="1:16" x14ac:dyDescent="0.25">
      <c r="A517">
        <v>362</v>
      </c>
      <c r="B517" t="str">
        <f>IF($A517&gt;$A$1,"",VLOOKUP($A517,'NHL PBP'!$A:$L,8,FALSE))</f>
        <v/>
      </c>
      <c r="C517" t="str">
        <f>IF($A517&gt;$A$1,"",IF(B517&gt;3,5/24,20/24)-VLOOKUP($A517,'NHL PBP'!$A:$L,10,FALSE))</f>
        <v/>
      </c>
      <c r="D517" t="str">
        <f>IF($A517&gt;$A$1,"",VLOOKUP($A517,'NHL PBP'!$A:$L,11,FALSE))</f>
        <v/>
      </c>
      <c r="E517" t="str">
        <f>IF(AND(EXACT(D517,"FAC"),NOT(EXACT(MID(F517,9,3),"Neu"))),IF(OR(AND(EXACT(MID(F517,9,3),"Off"),EXACT(LEFT(F517,3),UPPER('Entry data'!$C$2))),AND(EXACT(MID(F517,9,3),"Def"),NOT(EXACT(LEFT(F517,3),UPPER('Entry data'!$C$2))))),"DZF","OZF"),"")</f>
        <v/>
      </c>
      <c r="F517" t="str">
        <f>IF($A517&gt;$A$1,"",VLOOKUP($A517,'NHL PBP'!$A:$L,12,FALSE))</f>
        <v/>
      </c>
      <c r="J517">
        <f>IF(EXACT('Entry data'!$C$3,"Road"),IF(ISBLANK(VLOOKUP(A517,'NHL PBP'!A:AH,21,FALSE)),3,IF(ISBLANK(VLOOKUP(A517,'NHL PBP'!A:AH,23,FALSE)),4,5)),IF(ISBLANK(VLOOKUP(A517,'NHL PBP'!A:AH,32,FALSE)),3,IF(ISBLANK(VLOOKUP(A517,'NHL PBP'!A:AH,34,FALSE)),4,5)))</f>
        <v>5</v>
      </c>
      <c r="K517">
        <f>IF(EXACT('Entry data'!$C$3,"Home"),IF(ISBLANK(VLOOKUP(A517,'NHL PBP'!A:AH,21,FALSE)),3,IF(ISBLANK(VLOOKUP(A517,'NHL PBP'!A:AH,23,FALSE)),4,5)),IF(ISBLANK(VLOOKUP(A517,'NHL PBP'!A:AH,32,FALSE)),3,IF(ISBLANK(VLOOKUP(A517,'NHL PBP'!A:AH,34,FALSE)),4,5)))</f>
        <v>5</v>
      </c>
      <c r="L517">
        <f>IF(OR(EXACT(D517,"C"),EXACT(D517,"P"),EXACT(D517,"D"),EXACT(D517,"T"),EXACT(D517,"X"),EXACT(E517,"DZF"),EXACT(E517,"OZF"),EXACT(D517,"N"),EXACT(D517,"F")),1,0)</f>
        <v>0</v>
      </c>
      <c r="M517" t="str">
        <f t="shared" si="32"/>
        <v/>
      </c>
      <c r="N517">
        <f t="shared" si="33"/>
        <v>0</v>
      </c>
      <c r="O517">
        <f t="shared" si="34"/>
        <v>0</v>
      </c>
      <c r="P517" t="str">
        <f t="shared" si="35"/>
        <v/>
      </c>
    </row>
    <row r="518" spans="1:16" x14ac:dyDescent="0.25">
      <c r="A518">
        <v>363</v>
      </c>
      <c r="B518" t="str">
        <f>IF($A518&gt;$A$1,"",VLOOKUP($A518,'NHL PBP'!$A:$L,8,FALSE))</f>
        <v/>
      </c>
      <c r="C518" t="str">
        <f>IF($A518&gt;$A$1,"",IF(B518&gt;3,5/24,20/24)-VLOOKUP($A518,'NHL PBP'!$A:$L,10,FALSE))</f>
        <v/>
      </c>
      <c r="D518" t="str">
        <f>IF($A518&gt;$A$1,"",VLOOKUP($A518,'NHL PBP'!$A:$L,11,FALSE))</f>
        <v/>
      </c>
      <c r="E518" t="str">
        <f>IF(AND(EXACT(D518,"FAC"),NOT(EXACT(MID(F518,9,3),"Neu"))),IF(OR(AND(EXACT(MID(F518,9,3),"Off"),EXACT(LEFT(F518,3),UPPER('Entry data'!$C$2))),AND(EXACT(MID(F518,9,3),"Def"),NOT(EXACT(LEFT(F518,3),UPPER('Entry data'!$C$2))))),"DZF","OZF"),"")</f>
        <v/>
      </c>
      <c r="F518" t="str">
        <f>IF($A518&gt;$A$1,"",VLOOKUP($A518,'NHL PBP'!$A:$L,12,FALSE))</f>
        <v/>
      </c>
      <c r="J518">
        <f>IF(EXACT('Entry data'!$C$3,"Road"),IF(ISBLANK(VLOOKUP(A518,'NHL PBP'!A:AH,21,FALSE)),3,IF(ISBLANK(VLOOKUP(A518,'NHL PBP'!A:AH,23,FALSE)),4,5)),IF(ISBLANK(VLOOKUP(A518,'NHL PBP'!A:AH,32,FALSE)),3,IF(ISBLANK(VLOOKUP(A518,'NHL PBP'!A:AH,34,FALSE)),4,5)))</f>
        <v>5</v>
      </c>
      <c r="K518">
        <f>IF(EXACT('Entry data'!$C$3,"Home"),IF(ISBLANK(VLOOKUP(A518,'NHL PBP'!A:AH,21,FALSE)),3,IF(ISBLANK(VLOOKUP(A518,'NHL PBP'!A:AH,23,FALSE)),4,5)),IF(ISBLANK(VLOOKUP(A518,'NHL PBP'!A:AH,32,FALSE)),3,IF(ISBLANK(VLOOKUP(A518,'NHL PBP'!A:AH,34,FALSE)),4,5)))</f>
        <v>5</v>
      </c>
      <c r="L518">
        <f>IF(OR(EXACT(D518,"C"),EXACT(D518,"P"),EXACT(D518,"D"),EXACT(D518,"T"),EXACT(D518,"X"),EXACT(E518,"DZF"),EXACT(E518,"OZF"),EXACT(D518,"N"),EXACT(D518,"F")),1,0)</f>
        <v>0</v>
      </c>
      <c r="M518" t="str">
        <f t="shared" si="32"/>
        <v/>
      </c>
      <c r="N518">
        <f t="shared" si="33"/>
        <v>0</v>
      </c>
      <c r="O518">
        <f t="shared" si="34"/>
        <v>0</v>
      </c>
      <c r="P518" t="str">
        <f t="shared" si="35"/>
        <v/>
      </c>
    </row>
    <row r="519" spans="1:16" x14ac:dyDescent="0.25">
      <c r="A519">
        <v>364</v>
      </c>
      <c r="B519" t="str">
        <f>IF($A519&gt;$A$1,"",VLOOKUP($A519,'NHL PBP'!$A:$L,8,FALSE))</f>
        <v/>
      </c>
      <c r="C519" t="str">
        <f>IF($A519&gt;$A$1,"",IF(B519&gt;3,5/24,20/24)-VLOOKUP($A519,'NHL PBP'!$A:$L,10,FALSE))</f>
        <v/>
      </c>
      <c r="D519" t="str">
        <f>IF($A519&gt;$A$1,"",VLOOKUP($A519,'NHL PBP'!$A:$L,11,FALSE))</f>
        <v/>
      </c>
      <c r="E519" t="str">
        <f>IF(AND(EXACT(D519,"FAC"),NOT(EXACT(MID(F519,9,3),"Neu"))),IF(OR(AND(EXACT(MID(F519,9,3),"Off"),EXACT(LEFT(F519,3),UPPER('Entry data'!$C$2))),AND(EXACT(MID(F519,9,3),"Def"),NOT(EXACT(LEFT(F519,3),UPPER('Entry data'!$C$2))))),"DZF","OZF"),"")</f>
        <v/>
      </c>
      <c r="F519" t="str">
        <f>IF($A519&gt;$A$1,"",VLOOKUP($A519,'NHL PBP'!$A:$L,12,FALSE))</f>
        <v/>
      </c>
      <c r="J519">
        <f>IF(EXACT('Entry data'!$C$3,"Road"),IF(ISBLANK(VLOOKUP(A519,'NHL PBP'!A:AH,21,FALSE)),3,IF(ISBLANK(VLOOKUP(A519,'NHL PBP'!A:AH,23,FALSE)),4,5)),IF(ISBLANK(VLOOKUP(A519,'NHL PBP'!A:AH,32,FALSE)),3,IF(ISBLANK(VLOOKUP(A519,'NHL PBP'!A:AH,34,FALSE)),4,5)))</f>
        <v>5</v>
      </c>
      <c r="K519">
        <f>IF(EXACT('Entry data'!$C$3,"Home"),IF(ISBLANK(VLOOKUP(A519,'NHL PBP'!A:AH,21,FALSE)),3,IF(ISBLANK(VLOOKUP(A519,'NHL PBP'!A:AH,23,FALSE)),4,5)),IF(ISBLANK(VLOOKUP(A519,'NHL PBP'!A:AH,32,FALSE)),3,IF(ISBLANK(VLOOKUP(A519,'NHL PBP'!A:AH,34,FALSE)),4,5)))</f>
        <v>5</v>
      </c>
      <c r="L519">
        <f>IF(OR(EXACT(D519,"C"),EXACT(D519,"P"),EXACT(D519,"D"),EXACT(D519,"T"),EXACT(D519,"X"),EXACT(E519,"DZF"),EXACT(E519,"OZF"),EXACT(D519,"N"),EXACT(D519,"F")),1,0)</f>
        <v>0</v>
      </c>
      <c r="M519" t="str">
        <f t="shared" si="32"/>
        <v/>
      </c>
      <c r="N519">
        <f t="shared" si="33"/>
        <v>0</v>
      </c>
      <c r="O519">
        <f t="shared" si="34"/>
        <v>0</v>
      </c>
      <c r="P519" t="str">
        <f t="shared" si="35"/>
        <v/>
      </c>
    </row>
    <row r="520" spans="1:16" x14ac:dyDescent="0.25">
      <c r="A520">
        <v>365</v>
      </c>
      <c r="B520" t="str">
        <f>IF($A520&gt;$A$1,"",VLOOKUP($A520,'NHL PBP'!$A:$L,8,FALSE))</f>
        <v/>
      </c>
      <c r="C520" t="str">
        <f>IF($A520&gt;$A$1,"",IF(B520&gt;3,5/24,20/24)-VLOOKUP($A520,'NHL PBP'!$A:$L,10,FALSE))</f>
        <v/>
      </c>
      <c r="D520" t="str">
        <f>IF($A520&gt;$A$1,"",VLOOKUP($A520,'NHL PBP'!$A:$L,11,FALSE))</f>
        <v/>
      </c>
      <c r="E520" t="str">
        <f>IF(AND(EXACT(D520,"FAC"),NOT(EXACT(MID(F520,9,3),"Neu"))),IF(OR(AND(EXACT(MID(F520,9,3),"Off"),EXACT(LEFT(F520,3),UPPER('Entry data'!$C$2))),AND(EXACT(MID(F520,9,3),"Def"),NOT(EXACT(LEFT(F520,3),UPPER('Entry data'!$C$2))))),"DZF","OZF"),"")</f>
        <v/>
      </c>
      <c r="F520" t="str">
        <f>IF($A520&gt;$A$1,"",VLOOKUP($A520,'NHL PBP'!$A:$L,12,FALSE))</f>
        <v/>
      </c>
      <c r="J520">
        <f>IF(EXACT('Entry data'!$C$3,"Road"),IF(ISBLANK(VLOOKUP(A520,'NHL PBP'!A:AH,21,FALSE)),3,IF(ISBLANK(VLOOKUP(A520,'NHL PBP'!A:AH,23,FALSE)),4,5)),IF(ISBLANK(VLOOKUP(A520,'NHL PBP'!A:AH,32,FALSE)),3,IF(ISBLANK(VLOOKUP(A520,'NHL PBP'!A:AH,34,FALSE)),4,5)))</f>
        <v>5</v>
      </c>
      <c r="K520">
        <f>IF(EXACT('Entry data'!$C$3,"Home"),IF(ISBLANK(VLOOKUP(A520,'NHL PBP'!A:AH,21,FALSE)),3,IF(ISBLANK(VLOOKUP(A520,'NHL PBP'!A:AH,23,FALSE)),4,5)),IF(ISBLANK(VLOOKUP(A520,'NHL PBP'!A:AH,32,FALSE)),3,IF(ISBLANK(VLOOKUP(A520,'NHL PBP'!A:AH,34,FALSE)),4,5)))</f>
        <v>5</v>
      </c>
      <c r="L520">
        <f>IF(OR(EXACT(D520,"C"),EXACT(D520,"P"),EXACT(D520,"D"),EXACT(D520,"T"),EXACT(D520,"X"),EXACT(E520,"DZF"),EXACT(E520,"OZF"),EXACT(D520,"N"),EXACT(D520,"F")),1,0)</f>
        <v>0</v>
      </c>
      <c r="M520" t="str">
        <f t="shared" si="32"/>
        <v/>
      </c>
      <c r="N520">
        <f t="shared" si="33"/>
        <v>0</v>
      </c>
      <c r="O520">
        <f t="shared" si="34"/>
        <v>0</v>
      </c>
      <c r="P520" t="str">
        <f t="shared" si="35"/>
        <v/>
      </c>
    </row>
    <row r="521" spans="1:16" x14ac:dyDescent="0.25">
      <c r="A521">
        <v>366</v>
      </c>
      <c r="B521" t="str">
        <f>IF($A521&gt;$A$1,"",VLOOKUP($A521,'NHL PBP'!$A:$L,8,FALSE))</f>
        <v/>
      </c>
      <c r="C521" t="str">
        <f>IF($A521&gt;$A$1,"",IF(B521&gt;3,5/24,20/24)-VLOOKUP($A521,'NHL PBP'!$A:$L,10,FALSE))</f>
        <v/>
      </c>
      <c r="D521" t="str">
        <f>IF($A521&gt;$A$1,"",VLOOKUP($A521,'NHL PBP'!$A:$L,11,FALSE))</f>
        <v/>
      </c>
      <c r="E521" t="str">
        <f>IF(AND(EXACT(D521,"FAC"),NOT(EXACT(MID(F521,9,3),"Neu"))),IF(OR(AND(EXACT(MID(F521,9,3),"Off"),EXACT(LEFT(F521,3),UPPER('Entry data'!$C$2))),AND(EXACT(MID(F521,9,3),"Def"),NOT(EXACT(LEFT(F521,3),UPPER('Entry data'!$C$2))))),"DZF","OZF"),"")</f>
        <v/>
      </c>
      <c r="F521" t="str">
        <f>IF($A521&gt;$A$1,"",VLOOKUP($A521,'NHL PBP'!$A:$L,12,FALSE))</f>
        <v/>
      </c>
      <c r="J521">
        <f>IF(EXACT('Entry data'!$C$3,"Road"),IF(ISBLANK(VLOOKUP(A521,'NHL PBP'!A:AH,21,FALSE)),3,IF(ISBLANK(VLOOKUP(A521,'NHL PBP'!A:AH,23,FALSE)),4,5)),IF(ISBLANK(VLOOKUP(A521,'NHL PBP'!A:AH,32,FALSE)),3,IF(ISBLANK(VLOOKUP(A521,'NHL PBP'!A:AH,34,FALSE)),4,5)))</f>
        <v>5</v>
      </c>
      <c r="K521">
        <f>IF(EXACT('Entry data'!$C$3,"Home"),IF(ISBLANK(VLOOKUP(A521,'NHL PBP'!A:AH,21,FALSE)),3,IF(ISBLANK(VLOOKUP(A521,'NHL PBP'!A:AH,23,FALSE)),4,5)),IF(ISBLANK(VLOOKUP(A521,'NHL PBP'!A:AH,32,FALSE)),3,IF(ISBLANK(VLOOKUP(A521,'NHL PBP'!A:AH,34,FALSE)),4,5)))</f>
        <v>5</v>
      </c>
      <c r="L521">
        <f>IF(OR(EXACT(D521,"C"),EXACT(D521,"P"),EXACT(D521,"D"),EXACT(D521,"T"),EXACT(D521,"X"),EXACT(E521,"DZF"),EXACT(E521,"OZF"),EXACT(D521,"N"),EXACT(D521,"F")),1,0)</f>
        <v>0</v>
      </c>
      <c r="M521" t="str">
        <f t="shared" si="32"/>
        <v/>
      </c>
      <c r="N521">
        <f t="shared" si="33"/>
        <v>0</v>
      </c>
      <c r="O521">
        <f t="shared" si="34"/>
        <v>0</v>
      </c>
      <c r="P521" t="str">
        <f t="shared" si="35"/>
        <v/>
      </c>
    </row>
    <row r="522" spans="1:16" x14ac:dyDescent="0.25">
      <c r="A522">
        <v>367</v>
      </c>
      <c r="B522" t="str">
        <f>IF($A522&gt;$A$1,"",VLOOKUP($A522,'NHL PBP'!$A:$L,8,FALSE))</f>
        <v/>
      </c>
      <c r="C522" t="str">
        <f>IF($A522&gt;$A$1,"",IF(B522&gt;3,5/24,20/24)-VLOOKUP($A522,'NHL PBP'!$A:$L,10,FALSE))</f>
        <v/>
      </c>
      <c r="D522" t="str">
        <f>IF($A522&gt;$A$1,"",VLOOKUP($A522,'NHL PBP'!$A:$L,11,FALSE))</f>
        <v/>
      </c>
      <c r="E522" t="str">
        <f>IF(AND(EXACT(D522,"FAC"),NOT(EXACT(MID(F522,9,3),"Neu"))),IF(OR(AND(EXACT(MID(F522,9,3),"Off"),EXACT(LEFT(F522,3),UPPER('Entry data'!$C$2))),AND(EXACT(MID(F522,9,3),"Def"),NOT(EXACT(LEFT(F522,3),UPPER('Entry data'!$C$2))))),"DZF","OZF"),"")</f>
        <v/>
      </c>
      <c r="F522" t="str">
        <f>IF($A522&gt;$A$1,"",VLOOKUP($A522,'NHL PBP'!$A:$L,12,FALSE))</f>
        <v/>
      </c>
      <c r="J522">
        <f>IF(EXACT('Entry data'!$C$3,"Road"),IF(ISBLANK(VLOOKUP(A522,'NHL PBP'!A:AH,21,FALSE)),3,IF(ISBLANK(VLOOKUP(A522,'NHL PBP'!A:AH,23,FALSE)),4,5)),IF(ISBLANK(VLOOKUP(A522,'NHL PBP'!A:AH,32,FALSE)),3,IF(ISBLANK(VLOOKUP(A522,'NHL PBP'!A:AH,34,FALSE)),4,5)))</f>
        <v>5</v>
      </c>
      <c r="K522">
        <f>IF(EXACT('Entry data'!$C$3,"Home"),IF(ISBLANK(VLOOKUP(A522,'NHL PBP'!A:AH,21,FALSE)),3,IF(ISBLANK(VLOOKUP(A522,'NHL PBP'!A:AH,23,FALSE)),4,5)),IF(ISBLANK(VLOOKUP(A522,'NHL PBP'!A:AH,32,FALSE)),3,IF(ISBLANK(VLOOKUP(A522,'NHL PBP'!A:AH,34,FALSE)),4,5)))</f>
        <v>5</v>
      </c>
      <c r="L522">
        <f>IF(OR(EXACT(D522,"C"),EXACT(D522,"P"),EXACT(D522,"D"),EXACT(D522,"T"),EXACT(D522,"X"),EXACT(E522,"DZF"),EXACT(E522,"OZF"),EXACT(D522,"N"),EXACT(D522,"F")),1,0)</f>
        <v>0</v>
      </c>
      <c r="M522" t="str">
        <f t="shared" si="32"/>
        <v/>
      </c>
      <c r="N522">
        <f t="shared" si="33"/>
        <v>0</v>
      </c>
      <c r="O522">
        <f t="shared" si="34"/>
        <v>0</v>
      </c>
      <c r="P522" t="str">
        <f t="shared" si="35"/>
        <v/>
      </c>
    </row>
    <row r="523" spans="1:16" x14ac:dyDescent="0.25">
      <c r="A523">
        <v>368</v>
      </c>
      <c r="B523" t="str">
        <f>IF($A523&gt;$A$1,"",VLOOKUP($A523,'NHL PBP'!$A:$L,8,FALSE))</f>
        <v/>
      </c>
      <c r="C523" t="str">
        <f>IF($A523&gt;$A$1,"",IF(B523&gt;3,5/24,20/24)-VLOOKUP($A523,'NHL PBP'!$A:$L,10,FALSE))</f>
        <v/>
      </c>
      <c r="D523" t="str">
        <f>IF($A523&gt;$A$1,"",VLOOKUP($A523,'NHL PBP'!$A:$L,11,FALSE))</f>
        <v/>
      </c>
      <c r="E523" t="str">
        <f>IF(AND(EXACT(D523,"FAC"),NOT(EXACT(MID(F523,9,3),"Neu"))),IF(OR(AND(EXACT(MID(F523,9,3),"Off"),EXACT(LEFT(F523,3),UPPER('Entry data'!$C$2))),AND(EXACT(MID(F523,9,3),"Def"),NOT(EXACT(LEFT(F523,3),UPPER('Entry data'!$C$2))))),"DZF","OZF"),"")</f>
        <v/>
      </c>
      <c r="F523" t="str">
        <f>IF($A523&gt;$A$1,"",VLOOKUP($A523,'NHL PBP'!$A:$L,12,FALSE))</f>
        <v/>
      </c>
      <c r="J523">
        <f>IF(EXACT('Entry data'!$C$3,"Road"),IF(ISBLANK(VLOOKUP(A523,'NHL PBP'!A:AH,21,FALSE)),3,IF(ISBLANK(VLOOKUP(A523,'NHL PBP'!A:AH,23,FALSE)),4,5)),IF(ISBLANK(VLOOKUP(A523,'NHL PBP'!A:AH,32,FALSE)),3,IF(ISBLANK(VLOOKUP(A523,'NHL PBP'!A:AH,34,FALSE)),4,5)))</f>
        <v>5</v>
      </c>
      <c r="K523">
        <f>IF(EXACT('Entry data'!$C$3,"Home"),IF(ISBLANK(VLOOKUP(A523,'NHL PBP'!A:AH,21,FALSE)),3,IF(ISBLANK(VLOOKUP(A523,'NHL PBP'!A:AH,23,FALSE)),4,5)),IF(ISBLANK(VLOOKUP(A523,'NHL PBP'!A:AH,32,FALSE)),3,IF(ISBLANK(VLOOKUP(A523,'NHL PBP'!A:AH,34,FALSE)),4,5)))</f>
        <v>5</v>
      </c>
      <c r="L523">
        <f>IF(OR(EXACT(D523,"C"),EXACT(D523,"P"),EXACT(D523,"D"),EXACT(D523,"T"),EXACT(D523,"X"),EXACT(E523,"DZF"),EXACT(E523,"OZF"),EXACT(D523,"N"),EXACT(D523,"F")),1,0)</f>
        <v>0</v>
      </c>
      <c r="M523" t="str">
        <f t="shared" si="32"/>
        <v/>
      </c>
      <c r="N523">
        <f t="shared" si="33"/>
        <v>0</v>
      </c>
      <c r="O523">
        <f t="shared" si="34"/>
        <v>0</v>
      </c>
      <c r="P523" t="str">
        <f t="shared" si="35"/>
        <v/>
      </c>
    </row>
    <row r="524" spans="1:16" x14ac:dyDescent="0.25">
      <c r="A524">
        <v>369</v>
      </c>
      <c r="B524" t="str">
        <f>IF($A524&gt;$A$1,"",VLOOKUP($A524,'NHL PBP'!$A:$L,8,FALSE))</f>
        <v/>
      </c>
      <c r="C524" t="str">
        <f>IF($A524&gt;$A$1,"",IF(B524&gt;3,5/24,20/24)-VLOOKUP($A524,'NHL PBP'!$A:$L,10,FALSE))</f>
        <v/>
      </c>
      <c r="D524" t="str">
        <f>IF($A524&gt;$A$1,"",VLOOKUP($A524,'NHL PBP'!$A:$L,11,FALSE))</f>
        <v/>
      </c>
      <c r="E524" t="str">
        <f>IF(AND(EXACT(D524,"FAC"),NOT(EXACT(MID(F524,9,3),"Neu"))),IF(OR(AND(EXACT(MID(F524,9,3),"Off"),EXACT(LEFT(F524,3),UPPER('Entry data'!$C$2))),AND(EXACT(MID(F524,9,3),"Def"),NOT(EXACT(LEFT(F524,3),UPPER('Entry data'!$C$2))))),"DZF","OZF"),"")</f>
        <v/>
      </c>
      <c r="F524" t="str">
        <f>IF($A524&gt;$A$1,"",VLOOKUP($A524,'NHL PBP'!$A:$L,12,FALSE))</f>
        <v/>
      </c>
      <c r="J524">
        <f>IF(EXACT('Entry data'!$C$3,"Road"),IF(ISBLANK(VLOOKUP(A524,'NHL PBP'!A:AH,21,FALSE)),3,IF(ISBLANK(VLOOKUP(A524,'NHL PBP'!A:AH,23,FALSE)),4,5)),IF(ISBLANK(VLOOKUP(A524,'NHL PBP'!A:AH,32,FALSE)),3,IF(ISBLANK(VLOOKUP(A524,'NHL PBP'!A:AH,34,FALSE)),4,5)))</f>
        <v>5</v>
      </c>
      <c r="K524">
        <f>IF(EXACT('Entry data'!$C$3,"Home"),IF(ISBLANK(VLOOKUP(A524,'NHL PBP'!A:AH,21,FALSE)),3,IF(ISBLANK(VLOOKUP(A524,'NHL PBP'!A:AH,23,FALSE)),4,5)),IF(ISBLANK(VLOOKUP(A524,'NHL PBP'!A:AH,32,FALSE)),3,IF(ISBLANK(VLOOKUP(A524,'NHL PBP'!A:AH,34,FALSE)),4,5)))</f>
        <v>5</v>
      </c>
      <c r="L524">
        <f>IF(OR(EXACT(D524,"C"),EXACT(D524,"P"),EXACT(D524,"D"),EXACT(D524,"T"),EXACT(D524,"X"),EXACT(E524,"DZF"),EXACT(E524,"OZF"),EXACT(D524,"N"),EXACT(D524,"F")),1,0)</f>
        <v>0</v>
      </c>
      <c r="M524" t="str">
        <f t="shared" si="32"/>
        <v/>
      </c>
      <c r="N524">
        <f t="shared" si="33"/>
        <v>0</v>
      </c>
      <c r="O524">
        <f t="shared" si="34"/>
        <v>0</v>
      </c>
      <c r="P524" t="str">
        <f t="shared" si="35"/>
        <v/>
      </c>
    </row>
    <row r="525" spans="1:16" x14ac:dyDescent="0.25">
      <c r="A525">
        <v>370</v>
      </c>
      <c r="B525" t="str">
        <f>IF($A525&gt;$A$1,"",VLOOKUP($A525,'NHL PBP'!$A:$L,8,FALSE))</f>
        <v/>
      </c>
      <c r="C525" t="str">
        <f>IF($A525&gt;$A$1,"",IF(B525&gt;3,5/24,20/24)-VLOOKUP($A525,'NHL PBP'!$A:$L,10,FALSE))</f>
        <v/>
      </c>
      <c r="D525" t="str">
        <f>IF($A525&gt;$A$1,"",VLOOKUP($A525,'NHL PBP'!$A:$L,11,FALSE))</f>
        <v/>
      </c>
      <c r="E525" t="str">
        <f>IF(AND(EXACT(D525,"FAC"),NOT(EXACT(MID(F525,9,3),"Neu"))),IF(OR(AND(EXACT(MID(F525,9,3),"Off"),EXACT(LEFT(F525,3),UPPER('Entry data'!$C$2))),AND(EXACT(MID(F525,9,3),"Def"),NOT(EXACT(LEFT(F525,3),UPPER('Entry data'!$C$2))))),"DZF","OZF"),"")</f>
        <v/>
      </c>
      <c r="F525" t="str">
        <f>IF($A525&gt;$A$1,"",VLOOKUP($A525,'NHL PBP'!$A:$L,12,FALSE))</f>
        <v/>
      </c>
      <c r="J525">
        <f>IF(EXACT('Entry data'!$C$3,"Road"),IF(ISBLANK(VLOOKUP(A525,'NHL PBP'!A:AH,21,FALSE)),3,IF(ISBLANK(VLOOKUP(A525,'NHL PBP'!A:AH,23,FALSE)),4,5)),IF(ISBLANK(VLOOKUP(A525,'NHL PBP'!A:AH,32,FALSE)),3,IF(ISBLANK(VLOOKUP(A525,'NHL PBP'!A:AH,34,FALSE)),4,5)))</f>
        <v>5</v>
      </c>
      <c r="K525">
        <f>IF(EXACT('Entry data'!$C$3,"Home"),IF(ISBLANK(VLOOKUP(A525,'NHL PBP'!A:AH,21,FALSE)),3,IF(ISBLANK(VLOOKUP(A525,'NHL PBP'!A:AH,23,FALSE)),4,5)),IF(ISBLANK(VLOOKUP(A525,'NHL PBP'!A:AH,32,FALSE)),3,IF(ISBLANK(VLOOKUP(A525,'NHL PBP'!A:AH,34,FALSE)),4,5)))</f>
        <v>5</v>
      </c>
      <c r="L525">
        <f>IF(OR(EXACT(D525,"C"),EXACT(D525,"P"),EXACT(D525,"D"),EXACT(D525,"T"),EXACT(D525,"X"),EXACT(E525,"DZF"),EXACT(E525,"OZF"),EXACT(D525,"N"),EXACT(D525,"F")),1,0)</f>
        <v>0</v>
      </c>
      <c r="M525" t="str">
        <f t="shared" si="32"/>
        <v/>
      </c>
      <c r="N525">
        <f t="shared" si="33"/>
        <v>0</v>
      </c>
      <c r="O525">
        <f t="shared" si="34"/>
        <v>0</v>
      </c>
      <c r="P525" t="str">
        <f t="shared" si="35"/>
        <v/>
      </c>
    </row>
    <row r="526" spans="1:16" x14ac:dyDescent="0.25">
      <c r="A526">
        <v>371</v>
      </c>
      <c r="B526" t="str">
        <f>IF($A526&gt;$A$1,"",VLOOKUP($A526,'NHL PBP'!$A:$L,8,FALSE))</f>
        <v/>
      </c>
      <c r="C526" t="str">
        <f>IF($A526&gt;$A$1,"",IF(B526&gt;3,5/24,20/24)-VLOOKUP($A526,'NHL PBP'!$A:$L,10,FALSE))</f>
        <v/>
      </c>
      <c r="D526" t="str">
        <f>IF($A526&gt;$A$1,"",VLOOKUP($A526,'NHL PBP'!$A:$L,11,FALSE))</f>
        <v/>
      </c>
      <c r="E526" t="str">
        <f>IF(AND(EXACT(D526,"FAC"),NOT(EXACT(MID(F526,9,3),"Neu"))),IF(OR(AND(EXACT(MID(F526,9,3),"Off"),EXACT(LEFT(F526,3),UPPER('Entry data'!$C$2))),AND(EXACT(MID(F526,9,3),"Def"),NOT(EXACT(LEFT(F526,3),UPPER('Entry data'!$C$2))))),"DZF","OZF"),"")</f>
        <v/>
      </c>
      <c r="F526" t="str">
        <f>IF($A526&gt;$A$1,"",VLOOKUP($A526,'NHL PBP'!$A:$L,12,FALSE))</f>
        <v/>
      </c>
      <c r="J526">
        <f>IF(EXACT('Entry data'!$C$3,"Road"),IF(ISBLANK(VLOOKUP(A526,'NHL PBP'!A:AH,21,FALSE)),3,IF(ISBLANK(VLOOKUP(A526,'NHL PBP'!A:AH,23,FALSE)),4,5)),IF(ISBLANK(VLOOKUP(A526,'NHL PBP'!A:AH,32,FALSE)),3,IF(ISBLANK(VLOOKUP(A526,'NHL PBP'!A:AH,34,FALSE)),4,5)))</f>
        <v>5</v>
      </c>
      <c r="K526">
        <f>IF(EXACT('Entry data'!$C$3,"Home"),IF(ISBLANK(VLOOKUP(A526,'NHL PBP'!A:AH,21,FALSE)),3,IF(ISBLANK(VLOOKUP(A526,'NHL PBP'!A:AH,23,FALSE)),4,5)),IF(ISBLANK(VLOOKUP(A526,'NHL PBP'!A:AH,32,FALSE)),3,IF(ISBLANK(VLOOKUP(A526,'NHL PBP'!A:AH,34,FALSE)),4,5)))</f>
        <v>5</v>
      </c>
      <c r="L526">
        <f>IF(OR(EXACT(D526,"C"),EXACT(D526,"P"),EXACT(D526,"D"),EXACT(D526,"T"),EXACT(D526,"X"),EXACT(E526,"DZF"),EXACT(E526,"OZF"),EXACT(D526,"N"),EXACT(D526,"F")),1,0)</f>
        <v>0</v>
      </c>
      <c r="M526" t="str">
        <f t="shared" si="32"/>
        <v/>
      </c>
      <c r="N526">
        <f t="shared" si="33"/>
        <v>0</v>
      </c>
      <c r="O526">
        <f t="shared" si="34"/>
        <v>0</v>
      </c>
      <c r="P526" t="str">
        <f t="shared" si="35"/>
        <v/>
      </c>
    </row>
    <row r="527" spans="1:16" x14ac:dyDescent="0.25">
      <c r="A527">
        <v>372</v>
      </c>
      <c r="B527" t="str">
        <f>IF($A527&gt;$A$1,"",VLOOKUP($A527,'NHL PBP'!$A:$L,8,FALSE))</f>
        <v/>
      </c>
      <c r="C527" t="str">
        <f>IF($A527&gt;$A$1,"",IF(B527&gt;3,5/24,20/24)-VLOOKUP($A527,'NHL PBP'!$A:$L,10,FALSE))</f>
        <v/>
      </c>
      <c r="D527" t="str">
        <f>IF($A527&gt;$A$1,"",VLOOKUP($A527,'NHL PBP'!$A:$L,11,FALSE))</f>
        <v/>
      </c>
      <c r="E527" t="str">
        <f>IF(AND(EXACT(D527,"FAC"),NOT(EXACT(MID(F527,9,3),"Neu"))),IF(OR(AND(EXACT(MID(F527,9,3),"Off"),EXACT(LEFT(F527,3),UPPER('Entry data'!$C$2))),AND(EXACT(MID(F527,9,3),"Def"),NOT(EXACT(LEFT(F527,3),UPPER('Entry data'!$C$2))))),"DZF","OZF"),"")</f>
        <v/>
      </c>
      <c r="F527" t="str">
        <f>IF($A527&gt;$A$1,"",VLOOKUP($A527,'NHL PBP'!$A:$L,12,FALSE))</f>
        <v/>
      </c>
      <c r="J527">
        <f>IF(EXACT('Entry data'!$C$3,"Road"),IF(ISBLANK(VLOOKUP(A527,'NHL PBP'!A:AH,21,FALSE)),3,IF(ISBLANK(VLOOKUP(A527,'NHL PBP'!A:AH,23,FALSE)),4,5)),IF(ISBLANK(VLOOKUP(A527,'NHL PBP'!A:AH,32,FALSE)),3,IF(ISBLANK(VLOOKUP(A527,'NHL PBP'!A:AH,34,FALSE)),4,5)))</f>
        <v>5</v>
      </c>
      <c r="K527">
        <f>IF(EXACT('Entry data'!$C$3,"Home"),IF(ISBLANK(VLOOKUP(A527,'NHL PBP'!A:AH,21,FALSE)),3,IF(ISBLANK(VLOOKUP(A527,'NHL PBP'!A:AH,23,FALSE)),4,5)),IF(ISBLANK(VLOOKUP(A527,'NHL PBP'!A:AH,32,FALSE)),3,IF(ISBLANK(VLOOKUP(A527,'NHL PBP'!A:AH,34,FALSE)),4,5)))</f>
        <v>5</v>
      </c>
      <c r="L527">
        <f>IF(OR(EXACT(D527,"C"),EXACT(D527,"P"),EXACT(D527,"D"),EXACT(D527,"T"),EXACT(D527,"X"),EXACT(E527,"DZF"),EXACT(E527,"OZF"),EXACT(D527,"N"),EXACT(D527,"F")),1,0)</f>
        <v>0</v>
      </c>
      <c r="M527" t="str">
        <f t="shared" si="32"/>
        <v/>
      </c>
      <c r="N527">
        <f t="shared" si="33"/>
        <v>0</v>
      </c>
      <c r="O527">
        <f t="shared" si="34"/>
        <v>0</v>
      </c>
      <c r="P527" t="str">
        <f t="shared" si="35"/>
        <v/>
      </c>
    </row>
    <row r="528" spans="1:16" x14ac:dyDescent="0.25">
      <c r="A528">
        <v>373</v>
      </c>
      <c r="B528" t="str">
        <f>IF($A528&gt;$A$1,"",VLOOKUP($A528,'NHL PBP'!$A:$L,8,FALSE))</f>
        <v/>
      </c>
      <c r="C528" t="str">
        <f>IF($A528&gt;$A$1,"",IF(B528&gt;3,5/24,20/24)-VLOOKUP($A528,'NHL PBP'!$A:$L,10,FALSE))</f>
        <v/>
      </c>
      <c r="D528" t="str">
        <f>IF($A528&gt;$A$1,"",VLOOKUP($A528,'NHL PBP'!$A:$L,11,FALSE))</f>
        <v/>
      </c>
      <c r="E528" t="str">
        <f>IF(AND(EXACT(D528,"FAC"),NOT(EXACT(MID(F528,9,3),"Neu"))),IF(OR(AND(EXACT(MID(F528,9,3),"Off"),EXACT(LEFT(F528,3),UPPER('Entry data'!$C$2))),AND(EXACT(MID(F528,9,3),"Def"),NOT(EXACT(LEFT(F528,3),UPPER('Entry data'!$C$2))))),"DZF","OZF"),"")</f>
        <v/>
      </c>
      <c r="F528" t="str">
        <f>IF($A528&gt;$A$1,"",VLOOKUP($A528,'NHL PBP'!$A:$L,12,FALSE))</f>
        <v/>
      </c>
      <c r="J528">
        <f>IF(EXACT('Entry data'!$C$3,"Road"),IF(ISBLANK(VLOOKUP(A528,'NHL PBP'!A:AH,21,FALSE)),3,IF(ISBLANK(VLOOKUP(A528,'NHL PBP'!A:AH,23,FALSE)),4,5)),IF(ISBLANK(VLOOKUP(A528,'NHL PBP'!A:AH,32,FALSE)),3,IF(ISBLANK(VLOOKUP(A528,'NHL PBP'!A:AH,34,FALSE)),4,5)))</f>
        <v>5</v>
      </c>
      <c r="K528">
        <f>IF(EXACT('Entry data'!$C$3,"Home"),IF(ISBLANK(VLOOKUP(A528,'NHL PBP'!A:AH,21,FALSE)),3,IF(ISBLANK(VLOOKUP(A528,'NHL PBP'!A:AH,23,FALSE)),4,5)),IF(ISBLANK(VLOOKUP(A528,'NHL PBP'!A:AH,32,FALSE)),3,IF(ISBLANK(VLOOKUP(A528,'NHL PBP'!A:AH,34,FALSE)),4,5)))</f>
        <v>5</v>
      </c>
      <c r="L528">
        <f>IF(OR(EXACT(D528,"C"),EXACT(D528,"P"),EXACT(D528,"D"),EXACT(D528,"T"),EXACT(D528,"X"),EXACT(E528,"DZF"),EXACT(E528,"OZF"),EXACT(D528,"N"),EXACT(D528,"F")),1,0)</f>
        <v>0</v>
      </c>
      <c r="M528" t="str">
        <f t="shared" si="32"/>
        <v/>
      </c>
      <c r="N528">
        <f t="shared" si="33"/>
        <v>0</v>
      </c>
      <c r="O528">
        <f t="shared" si="34"/>
        <v>0</v>
      </c>
      <c r="P528" t="str">
        <f t="shared" si="35"/>
        <v/>
      </c>
    </row>
    <row r="529" spans="1:16" x14ac:dyDescent="0.25">
      <c r="A529">
        <v>374</v>
      </c>
      <c r="B529" t="str">
        <f>IF($A529&gt;$A$1,"",VLOOKUP($A529,'NHL PBP'!$A:$L,8,FALSE))</f>
        <v/>
      </c>
      <c r="C529" t="str">
        <f>IF($A529&gt;$A$1,"",IF(B529&gt;3,5/24,20/24)-VLOOKUP($A529,'NHL PBP'!$A:$L,10,FALSE))</f>
        <v/>
      </c>
      <c r="D529" t="str">
        <f>IF($A529&gt;$A$1,"",VLOOKUP($A529,'NHL PBP'!$A:$L,11,FALSE))</f>
        <v/>
      </c>
      <c r="E529" t="str">
        <f>IF(AND(EXACT(D529,"FAC"),NOT(EXACT(MID(F529,9,3),"Neu"))),IF(OR(AND(EXACT(MID(F529,9,3),"Off"),EXACT(LEFT(F529,3),UPPER('Entry data'!$C$2))),AND(EXACT(MID(F529,9,3),"Def"),NOT(EXACT(LEFT(F529,3),UPPER('Entry data'!$C$2))))),"DZF","OZF"),"")</f>
        <v/>
      </c>
      <c r="F529" t="str">
        <f>IF($A529&gt;$A$1,"",VLOOKUP($A529,'NHL PBP'!$A:$L,12,FALSE))</f>
        <v/>
      </c>
      <c r="J529">
        <f>IF(EXACT('Entry data'!$C$3,"Road"),IF(ISBLANK(VLOOKUP(A529,'NHL PBP'!A:AH,21,FALSE)),3,IF(ISBLANK(VLOOKUP(A529,'NHL PBP'!A:AH,23,FALSE)),4,5)),IF(ISBLANK(VLOOKUP(A529,'NHL PBP'!A:AH,32,FALSE)),3,IF(ISBLANK(VLOOKUP(A529,'NHL PBP'!A:AH,34,FALSE)),4,5)))</f>
        <v>5</v>
      </c>
      <c r="K529">
        <f>IF(EXACT('Entry data'!$C$3,"Home"),IF(ISBLANK(VLOOKUP(A529,'NHL PBP'!A:AH,21,FALSE)),3,IF(ISBLANK(VLOOKUP(A529,'NHL PBP'!A:AH,23,FALSE)),4,5)),IF(ISBLANK(VLOOKUP(A529,'NHL PBP'!A:AH,32,FALSE)),3,IF(ISBLANK(VLOOKUP(A529,'NHL PBP'!A:AH,34,FALSE)),4,5)))</f>
        <v>5</v>
      </c>
      <c r="L529">
        <f>IF(OR(EXACT(D529,"C"),EXACT(D529,"P"),EXACT(D529,"D"),EXACT(D529,"T"),EXACT(D529,"X"),EXACT(E529,"DZF"),EXACT(E529,"OZF"),EXACT(D529,"N"),EXACT(D529,"F")),1,0)</f>
        <v>0</v>
      </c>
      <c r="M529" t="str">
        <f t="shared" si="32"/>
        <v/>
      </c>
      <c r="N529">
        <f t="shared" si="33"/>
        <v>0</v>
      </c>
      <c r="O529">
        <f t="shared" si="34"/>
        <v>0</v>
      </c>
      <c r="P529" t="str">
        <f t="shared" si="35"/>
        <v/>
      </c>
    </row>
    <row r="530" spans="1:16" x14ac:dyDescent="0.25">
      <c r="A530">
        <v>375</v>
      </c>
      <c r="B530" t="str">
        <f>IF($A530&gt;$A$1,"",VLOOKUP($A530,'NHL PBP'!$A:$L,8,FALSE))</f>
        <v/>
      </c>
      <c r="C530" t="str">
        <f>IF($A530&gt;$A$1,"",IF(B530&gt;3,5/24,20/24)-VLOOKUP($A530,'NHL PBP'!$A:$L,10,FALSE))</f>
        <v/>
      </c>
      <c r="D530" t="str">
        <f>IF($A530&gt;$A$1,"",VLOOKUP($A530,'NHL PBP'!$A:$L,11,FALSE))</f>
        <v/>
      </c>
      <c r="E530" t="str">
        <f>IF(AND(EXACT(D530,"FAC"),NOT(EXACT(MID(F530,9,3),"Neu"))),IF(OR(AND(EXACT(MID(F530,9,3),"Off"),EXACT(LEFT(F530,3),UPPER('Entry data'!$C$2))),AND(EXACT(MID(F530,9,3),"Def"),NOT(EXACT(LEFT(F530,3),UPPER('Entry data'!$C$2))))),"DZF","OZF"),"")</f>
        <v/>
      </c>
      <c r="F530" t="str">
        <f>IF($A530&gt;$A$1,"",VLOOKUP($A530,'NHL PBP'!$A:$L,12,FALSE))</f>
        <v/>
      </c>
      <c r="J530">
        <f>IF(EXACT('Entry data'!$C$3,"Road"),IF(ISBLANK(VLOOKUP(A530,'NHL PBP'!A:AH,21,FALSE)),3,IF(ISBLANK(VLOOKUP(A530,'NHL PBP'!A:AH,23,FALSE)),4,5)),IF(ISBLANK(VLOOKUP(A530,'NHL PBP'!A:AH,32,FALSE)),3,IF(ISBLANK(VLOOKUP(A530,'NHL PBP'!A:AH,34,FALSE)),4,5)))</f>
        <v>5</v>
      </c>
      <c r="K530">
        <f>IF(EXACT('Entry data'!$C$3,"Home"),IF(ISBLANK(VLOOKUP(A530,'NHL PBP'!A:AH,21,FALSE)),3,IF(ISBLANK(VLOOKUP(A530,'NHL PBP'!A:AH,23,FALSE)),4,5)),IF(ISBLANK(VLOOKUP(A530,'NHL PBP'!A:AH,32,FALSE)),3,IF(ISBLANK(VLOOKUP(A530,'NHL PBP'!A:AH,34,FALSE)),4,5)))</f>
        <v>5</v>
      </c>
      <c r="L530">
        <f>IF(OR(EXACT(D530,"C"),EXACT(D530,"P"),EXACT(D530,"D"),EXACT(D530,"T"),EXACT(D530,"X"),EXACT(E530,"DZF"),EXACT(E530,"OZF"),EXACT(D530,"N"),EXACT(D530,"F")),1,0)</f>
        <v>0</v>
      </c>
      <c r="M530" t="str">
        <f t="shared" si="32"/>
        <v/>
      </c>
      <c r="N530">
        <f t="shared" si="33"/>
        <v>0</v>
      </c>
      <c r="O530">
        <f t="shared" si="34"/>
        <v>0</v>
      </c>
      <c r="P530" t="str">
        <f t="shared" si="35"/>
        <v/>
      </c>
    </row>
    <row r="531" spans="1:16" x14ac:dyDescent="0.25">
      <c r="A531">
        <v>376</v>
      </c>
      <c r="B531" t="str">
        <f>IF($A531&gt;$A$1,"",VLOOKUP($A531,'NHL PBP'!$A:$L,8,FALSE))</f>
        <v/>
      </c>
      <c r="C531" t="str">
        <f>IF($A531&gt;$A$1,"",IF(B531&gt;3,5/24,20/24)-VLOOKUP($A531,'NHL PBP'!$A:$L,10,FALSE))</f>
        <v/>
      </c>
      <c r="D531" t="str">
        <f>IF($A531&gt;$A$1,"",VLOOKUP($A531,'NHL PBP'!$A:$L,11,FALSE))</f>
        <v/>
      </c>
      <c r="E531" t="str">
        <f>IF(AND(EXACT(D531,"FAC"),NOT(EXACT(MID(F531,9,3),"Neu"))),IF(OR(AND(EXACT(MID(F531,9,3),"Off"),EXACT(LEFT(F531,3),UPPER('Entry data'!$C$2))),AND(EXACT(MID(F531,9,3),"Def"),NOT(EXACT(LEFT(F531,3),UPPER('Entry data'!$C$2))))),"DZF","OZF"),"")</f>
        <v/>
      </c>
      <c r="F531" t="str">
        <f>IF($A531&gt;$A$1,"",VLOOKUP($A531,'NHL PBP'!$A:$L,12,FALSE))</f>
        <v/>
      </c>
      <c r="J531">
        <f>IF(EXACT('Entry data'!$C$3,"Road"),IF(ISBLANK(VLOOKUP(A531,'NHL PBP'!A:AH,21,FALSE)),3,IF(ISBLANK(VLOOKUP(A531,'NHL PBP'!A:AH,23,FALSE)),4,5)),IF(ISBLANK(VLOOKUP(A531,'NHL PBP'!A:AH,32,FALSE)),3,IF(ISBLANK(VLOOKUP(A531,'NHL PBP'!A:AH,34,FALSE)),4,5)))</f>
        <v>5</v>
      </c>
      <c r="K531">
        <f>IF(EXACT('Entry data'!$C$3,"Home"),IF(ISBLANK(VLOOKUP(A531,'NHL PBP'!A:AH,21,FALSE)),3,IF(ISBLANK(VLOOKUP(A531,'NHL PBP'!A:AH,23,FALSE)),4,5)),IF(ISBLANK(VLOOKUP(A531,'NHL PBP'!A:AH,32,FALSE)),3,IF(ISBLANK(VLOOKUP(A531,'NHL PBP'!A:AH,34,FALSE)),4,5)))</f>
        <v>5</v>
      </c>
      <c r="L531">
        <f>IF(OR(EXACT(D531,"C"),EXACT(D531,"P"),EXACT(D531,"D"),EXACT(D531,"T"),EXACT(D531,"X"),EXACT(E531,"DZF"),EXACT(E531,"OZF"),EXACT(D531,"N"),EXACT(D531,"F")),1,0)</f>
        <v>0</v>
      </c>
      <c r="M531" t="str">
        <f t="shared" si="32"/>
        <v/>
      </c>
      <c r="N531">
        <f t="shared" si="33"/>
        <v>0</v>
      </c>
      <c r="O531">
        <f t="shared" si="34"/>
        <v>0</v>
      </c>
      <c r="P531" t="str">
        <f t="shared" si="35"/>
        <v/>
      </c>
    </row>
    <row r="532" spans="1:16" x14ac:dyDescent="0.25">
      <c r="A532">
        <v>377</v>
      </c>
      <c r="B532" t="str">
        <f>IF($A532&gt;$A$1,"",VLOOKUP($A532,'NHL PBP'!$A:$L,8,FALSE))</f>
        <v/>
      </c>
      <c r="C532" t="str">
        <f>IF($A532&gt;$A$1,"",IF(B532&gt;3,5/24,20/24)-VLOOKUP($A532,'NHL PBP'!$A:$L,10,FALSE))</f>
        <v/>
      </c>
      <c r="D532" t="str">
        <f>IF($A532&gt;$A$1,"",VLOOKUP($A532,'NHL PBP'!$A:$L,11,FALSE))</f>
        <v/>
      </c>
      <c r="E532" t="str">
        <f>IF(AND(EXACT(D532,"FAC"),NOT(EXACT(MID(F532,9,3),"Neu"))),IF(OR(AND(EXACT(MID(F532,9,3),"Off"),EXACT(LEFT(F532,3),UPPER('Entry data'!$C$2))),AND(EXACT(MID(F532,9,3),"Def"),NOT(EXACT(LEFT(F532,3),UPPER('Entry data'!$C$2))))),"DZF","OZF"),"")</f>
        <v/>
      </c>
      <c r="F532" t="str">
        <f>IF($A532&gt;$A$1,"",VLOOKUP($A532,'NHL PBP'!$A:$L,12,FALSE))</f>
        <v/>
      </c>
      <c r="J532">
        <f>IF(EXACT('Entry data'!$C$3,"Road"),IF(ISBLANK(VLOOKUP(A532,'NHL PBP'!A:AH,21,FALSE)),3,IF(ISBLANK(VLOOKUP(A532,'NHL PBP'!A:AH,23,FALSE)),4,5)),IF(ISBLANK(VLOOKUP(A532,'NHL PBP'!A:AH,32,FALSE)),3,IF(ISBLANK(VLOOKUP(A532,'NHL PBP'!A:AH,34,FALSE)),4,5)))</f>
        <v>5</v>
      </c>
      <c r="K532">
        <f>IF(EXACT('Entry data'!$C$3,"Home"),IF(ISBLANK(VLOOKUP(A532,'NHL PBP'!A:AH,21,FALSE)),3,IF(ISBLANK(VLOOKUP(A532,'NHL PBP'!A:AH,23,FALSE)),4,5)),IF(ISBLANK(VLOOKUP(A532,'NHL PBP'!A:AH,32,FALSE)),3,IF(ISBLANK(VLOOKUP(A532,'NHL PBP'!A:AH,34,FALSE)),4,5)))</f>
        <v>5</v>
      </c>
      <c r="L532">
        <f>IF(OR(EXACT(D532,"C"),EXACT(D532,"P"),EXACT(D532,"D"),EXACT(D532,"T"),EXACT(D532,"X"),EXACT(E532,"DZF"),EXACT(E532,"OZF"),EXACT(D532,"N"),EXACT(D532,"F")),1,0)</f>
        <v>0</v>
      </c>
      <c r="M532" t="str">
        <f t="shared" si="32"/>
        <v/>
      </c>
      <c r="N532">
        <f t="shared" si="33"/>
        <v>0</v>
      </c>
      <c r="O532">
        <f t="shared" si="34"/>
        <v>0</v>
      </c>
      <c r="P532" t="str">
        <f t="shared" si="35"/>
        <v/>
      </c>
    </row>
    <row r="533" spans="1:16" x14ac:dyDescent="0.25">
      <c r="A533">
        <v>378</v>
      </c>
      <c r="B533" t="str">
        <f>IF($A533&gt;$A$1,"",VLOOKUP($A533,'NHL PBP'!$A:$L,8,FALSE))</f>
        <v/>
      </c>
      <c r="C533" t="str">
        <f>IF($A533&gt;$A$1,"",IF(B533&gt;3,5/24,20/24)-VLOOKUP($A533,'NHL PBP'!$A:$L,10,FALSE))</f>
        <v/>
      </c>
      <c r="D533" t="str">
        <f>IF($A533&gt;$A$1,"",VLOOKUP($A533,'NHL PBP'!$A:$L,11,FALSE))</f>
        <v/>
      </c>
      <c r="E533" t="str">
        <f>IF(AND(EXACT(D533,"FAC"),NOT(EXACT(MID(F533,9,3),"Neu"))),IF(OR(AND(EXACT(MID(F533,9,3),"Off"),EXACT(LEFT(F533,3),UPPER('Entry data'!$C$2))),AND(EXACT(MID(F533,9,3),"Def"),NOT(EXACT(LEFT(F533,3),UPPER('Entry data'!$C$2))))),"DZF","OZF"),"")</f>
        <v/>
      </c>
      <c r="F533" t="str">
        <f>IF($A533&gt;$A$1,"",VLOOKUP($A533,'NHL PBP'!$A:$L,12,FALSE))</f>
        <v/>
      </c>
      <c r="J533">
        <f>IF(EXACT('Entry data'!$C$3,"Road"),IF(ISBLANK(VLOOKUP(A533,'NHL PBP'!A:AH,21,FALSE)),3,IF(ISBLANK(VLOOKUP(A533,'NHL PBP'!A:AH,23,FALSE)),4,5)),IF(ISBLANK(VLOOKUP(A533,'NHL PBP'!A:AH,32,FALSE)),3,IF(ISBLANK(VLOOKUP(A533,'NHL PBP'!A:AH,34,FALSE)),4,5)))</f>
        <v>5</v>
      </c>
      <c r="K533">
        <f>IF(EXACT('Entry data'!$C$3,"Home"),IF(ISBLANK(VLOOKUP(A533,'NHL PBP'!A:AH,21,FALSE)),3,IF(ISBLANK(VLOOKUP(A533,'NHL PBP'!A:AH,23,FALSE)),4,5)),IF(ISBLANK(VLOOKUP(A533,'NHL PBP'!A:AH,32,FALSE)),3,IF(ISBLANK(VLOOKUP(A533,'NHL PBP'!A:AH,34,FALSE)),4,5)))</f>
        <v>5</v>
      </c>
      <c r="L533">
        <f>IF(OR(EXACT(D533,"C"),EXACT(D533,"P"),EXACT(D533,"D"),EXACT(D533,"T"),EXACT(D533,"X"),EXACT(E533,"DZF"),EXACT(E533,"OZF"),EXACT(D533,"N"),EXACT(D533,"F")),1,0)</f>
        <v>0</v>
      </c>
      <c r="M533" t="str">
        <f t="shared" si="32"/>
        <v/>
      </c>
      <c r="N533">
        <f t="shared" si="33"/>
        <v>0</v>
      </c>
      <c r="O533">
        <f t="shared" si="34"/>
        <v>0</v>
      </c>
      <c r="P533" t="str">
        <f t="shared" si="35"/>
        <v/>
      </c>
    </row>
    <row r="534" spans="1:16" x14ac:dyDescent="0.25">
      <c r="A534">
        <v>379</v>
      </c>
      <c r="B534" t="str">
        <f>IF($A534&gt;$A$1,"",VLOOKUP($A534,'NHL PBP'!$A:$L,8,FALSE))</f>
        <v/>
      </c>
      <c r="C534" t="str">
        <f>IF($A534&gt;$A$1,"",IF(B534&gt;3,5/24,20/24)-VLOOKUP($A534,'NHL PBP'!$A:$L,10,FALSE))</f>
        <v/>
      </c>
      <c r="D534" t="str">
        <f>IF($A534&gt;$A$1,"",VLOOKUP($A534,'NHL PBP'!$A:$L,11,FALSE))</f>
        <v/>
      </c>
      <c r="E534" t="str">
        <f>IF(AND(EXACT(D534,"FAC"),NOT(EXACT(MID(F534,9,3),"Neu"))),IF(OR(AND(EXACT(MID(F534,9,3),"Off"),EXACT(LEFT(F534,3),UPPER('Entry data'!$C$2))),AND(EXACT(MID(F534,9,3),"Def"),NOT(EXACT(LEFT(F534,3),UPPER('Entry data'!$C$2))))),"DZF","OZF"),"")</f>
        <v/>
      </c>
      <c r="F534" t="str">
        <f>IF($A534&gt;$A$1,"",VLOOKUP($A534,'NHL PBP'!$A:$L,12,FALSE))</f>
        <v/>
      </c>
      <c r="J534">
        <f>IF(EXACT('Entry data'!$C$3,"Road"),IF(ISBLANK(VLOOKUP(A534,'NHL PBP'!A:AH,21,FALSE)),3,IF(ISBLANK(VLOOKUP(A534,'NHL PBP'!A:AH,23,FALSE)),4,5)),IF(ISBLANK(VLOOKUP(A534,'NHL PBP'!A:AH,32,FALSE)),3,IF(ISBLANK(VLOOKUP(A534,'NHL PBP'!A:AH,34,FALSE)),4,5)))</f>
        <v>5</v>
      </c>
      <c r="K534">
        <f>IF(EXACT('Entry data'!$C$3,"Home"),IF(ISBLANK(VLOOKUP(A534,'NHL PBP'!A:AH,21,FALSE)),3,IF(ISBLANK(VLOOKUP(A534,'NHL PBP'!A:AH,23,FALSE)),4,5)),IF(ISBLANK(VLOOKUP(A534,'NHL PBP'!A:AH,32,FALSE)),3,IF(ISBLANK(VLOOKUP(A534,'NHL PBP'!A:AH,34,FALSE)),4,5)))</f>
        <v>5</v>
      </c>
      <c r="L534">
        <f>IF(OR(EXACT(D534,"C"),EXACT(D534,"P"),EXACT(D534,"D"),EXACT(D534,"T"),EXACT(D534,"X"),EXACT(E534,"DZF"),EXACT(E534,"OZF"),EXACT(D534,"N"),EXACT(D534,"F")),1,0)</f>
        <v>0</v>
      </c>
      <c r="M534" t="str">
        <f t="shared" si="32"/>
        <v/>
      </c>
      <c r="N534">
        <f t="shared" si="33"/>
        <v>0</v>
      </c>
      <c r="O534">
        <f t="shared" si="34"/>
        <v>0</v>
      </c>
      <c r="P534" t="str">
        <f t="shared" si="35"/>
        <v/>
      </c>
    </row>
    <row r="535" spans="1:16" x14ac:dyDescent="0.25">
      <c r="A535">
        <v>380</v>
      </c>
      <c r="B535" t="str">
        <f>IF($A535&gt;$A$1,"",VLOOKUP($A535,'NHL PBP'!$A:$L,8,FALSE))</f>
        <v/>
      </c>
      <c r="C535" t="str">
        <f>IF($A535&gt;$A$1,"",IF(B535&gt;3,5/24,20/24)-VLOOKUP($A535,'NHL PBP'!$A:$L,10,FALSE))</f>
        <v/>
      </c>
      <c r="D535" t="str">
        <f>IF($A535&gt;$A$1,"",VLOOKUP($A535,'NHL PBP'!$A:$L,11,FALSE))</f>
        <v/>
      </c>
      <c r="E535" t="str">
        <f>IF(AND(EXACT(D535,"FAC"),NOT(EXACT(MID(F535,9,3),"Neu"))),IF(OR(AND(EXACT(MID(F535,9,3),"Off"),EXACT(LEFT(F535,3),UPPER('Entry data'!$C$2))),AND(EXACT(MID(F535,9,3),"Def"),NOT(EXACT(LEFT(F535,3),UPPER('Entry data'!$C$2))))),"DZF","OZF"),"")</f>
        <v/>
      </c>
      <c r="F535" t="str">
        <f>IF($A535&gt;$A$1,"",VLOOKUP($A535,'NHL PBP'!$A:$L,12,FALSE))</f>
        <v/>
      </c>
      <c r="J535">
        <f>IF(EXACT('Entry data'!$C$3,"Road"),IF(ISBLANK(VLOOKUP(A535,'NHL PBP'!A:AH,21,FALSE)),3,IF(ISBLANK(VLOOKUP(A535,'NHL PBP'!A:AH,23,FALSE)),4,5)),IF(ISBLANK(VLOOKUP(A535,'NHL PBP'!A:AH,32,FALSE)),3,IF(ISBLANK(VLOOKUP(A535,'NHL PBP'!A:AH,34,FALSE)),4,5)))</f>
        <v>5</v>
      </c>
      <c r="K535">
        <f>IF(EXACT('Entry data'!$C$3,"Home"),IF(ISBLANK(VLOOKUP(A535,'NHL PBP'!A:AH,21,FALSE)),3,IF(ISBLANK(VLOOKUP(A535,'NHL PBP'!A:AH,23,FALSE)),4,5)),IF(ISBLANK(VLOOKUP(A535,'NHL PBP'!A:AH,32,FALSE)),3,IF(ISBLANK(VLOOKUP(A535,'NHL PBP'!A:AH,34,FALSE)),4,5)))</f>
        <v>5</v>
      </c>
      <c r="L535">
        <f>IF(OR(EXACT(D535,"C"),EXACT(D535,"P"),EXACT(D535,"D"),EXACT(D535,"T"),EXACT(D535,"X"),EXACT(E535,"DZF"),EXACT(E535,"OZF"),EXACT(D535,"N"),EXACT(D535,"F")),1,0)</f>
        <v>0</v>
      </c>
      <c r="M535" t="str">
        <f t="shared" si="32"/>
        <v/>
      </c>
      <c r="N535">
        <f t="shared" si="33"/>
        <v>0</v>
      </c>
      <c r="O535">
        <f t="shared" si="34"/>
        <v>0</v>
      </c>
      <c r="P535" t="str">
        <f t="shared" si="35"/>
        <v/>
      </c>
    </row>
    <row r="536" spans="1:16" x14ac:dyDescent="0.25">
      <c r="A536">
        <v>381</v>
      </c>
      <c r="B536" t="str">
        <f>IF($A536&gt;$A$1,"",VLOOKUP($A536,'NHL PBP'!$A:$L,8,FALSE))</f>
        <v/>
      </c>
      <c r="C536" t="str">
        <f>IF($A536&gt;$A$1,"",IF(B536&gt;3,5/24,20/24)-VLOOKUP($A536,'NHL PBP'!$A:$L,10,FALSE))</f>
        <v/>
      </c>
      <c r="D536" t="str">
        <f>IF($A536&gt;$A$1,"",VLOOKUP($A536,'NHL PBP'!$A:$L,11,FALSE))</f>
        <v/>
      </c>
      <c r="E536" t="str">
        <f>IF(AND(EXACT(D536,"FAC"),NOT(EXACT(MID(F536,9,3),"Neu"))),IF(OR(AND(EXACT(MID(F536,9,3),"Off"),EXACT(LEFT(F536,3),UPPER('Entry data'!$C$2))),AND(EXACT(MID(F536,9,3),"Def"),NOT(EXACT(LEFT(F536,3),UPPER('Entry data'!$C$2))))),"DZF","OZF"),"")</f>
        <v/>
      </c>
      <c r="F536" t="str">
        <f>IF($A536&gt;$A$1,"",VLOOKUP($A536,'NHL PBP'!$A:$L,12,FALSE))</f>
        <v/>
      </c>
      <c r="J536">
        <f>IF(EXACT('Entry data'!$C$3,"Road"),IF(ISBLANK(VLOOKUP(A536,'NHL PBP'!A:AH,21,FALSE)),3,IF(ISBLANK(VLOOKUP(A536,'NHL PBP'!A:AH,23,FALSE)),4,5)),IF(ISBLANK(VLOOKUP(A536,'NHL PBP'!A:AH,32,FALSE)),3,IF(ISBLANK(VLOOKUP(A536,'NHL PBP'!A:AH,34,FALSE)),4,5)))</f>
        <v>5</v>
      </c>
      <c r="K536">
        <f>IF(EXACT('Entry data'!$C$3,"Home"),IF(ISBLANK(VLOOKUP(A536,'NHL PBP'!A:AH,21,FALSE)),3,IF(ISBLANK(VLOOKUP(A536,'NHL PBP'!A:AH,23,FALSE)),4,5)),IF(ISBLANK(VLOOKUP(A536,'NHL PBP'!A:AH,32,FALSE)),3,IF(ISBLANK(VLOOKUP(A536,'NHL PBP'!A:AH,34,FALSE)),4,5)))</f>
        <v>5</v>
      </c>
      <c r="L536">
        <f>IF(OR(EXACT(D536,"C"),EXACT(D536,"P"),EXACT(D536,"D"),EXACT(D536,"T"),EXACT(D536,"X"),EXACT(E536,"DZF"),EXACT(E536,"OZF"),EXACT(D536,"N"),EXACT(D536,"F")),1,0)</f>
        <v>0</v>
      </c>
      <c r="M536" t="str">
        <f t="shared" si="32"/>
        <v/>
      </c>
      <c r="N536">
        <f t="shared" si="33"/>
        <v>0</v>
      </c>
      <c r="O536">
        <f t="shared" si="34"/>
        <v>0</v>
      </c>
      <c r="P536" t="str">
        <f t="shared" si="35"/>
        <v/>
      </c>
    </row>
    <row r="537" spans="1:16" x14ac:dyDescent="0.25">
      <c r="A537">
        <v>382</v>
      </c>
      <c r="B537" t="str">
        <f>IF($A537&gt;$A$1,"",VLOOKUP($A537,'NHL PBP'!$A:$L,8,FALSE))</f>
        <v/>
      </c>
      <c r="C537" t="str">
        <f>IF($A537&gt;$A$1,"",IF(B537&gt;3,5/24,20/24)-VLOOKUP($A537,'NHL PBP'!$A:$L,10,FALSE))</f>
        <v/>
      </c>
      <c r="D537" t="str">
        <f>IF($A537&gt;$A$1,"",VLOOKUP($A537,'NHL PBP'!$A:$L,11,FALSE))</f>
        <v/>
      </c>
      <c r="E537" t="str">
        <f>IF(AND(EXACT(D537,"FAC"),NOT(EXACT(MID(F537,9,3),"Neu"))),IF(OR(AND(EXACT(MID(F537,9,3),"Off"),EXACT(LEFT(F537,3),UPPER('Entry data'!$C$2))),AND(EXACT(MID(F537,9,3),"Def"),NOT(EXACT(LEFT(F537,3),UPPER('Entry data'!$C$2))))),"DZF","OZF"),"")</f>
        <v/>
      </c>
      <c r="F537" t="str">
        <f>IF($A537&gt;$A$1,"",VLOOKUP($A537,'NHL PBP'!$A:$L,12,FALSE))</f>
        <v/>
      </c>
      <c r="J537">
        <f>IF(EXACT('Entry data'!$C$3,"Road"),IF(ISBLANK(VLOOKUP(A537,'NHL PBP'!A:AH,21,FALSE)),3,IF(ISBLANK(VLOOKUP(A537,'NHL PBP'!A:AH,23,FALSE)),4,5)),IF(ISBLANK(VLOOKUP(A537,'NHL PBP'!A:AH,32,FALSE)),3,IF(ISBLANK(VLOOKUP(A537,'NHL PBP'!A:AH,34,FALSE)),4,5)))</f>
        <v>5</v>
      </c>
      <c r="K537">
        <f>IF(EXACT('Entry data'!$C$3,"Home"),IF(ISBLANK(VLOOKUP(A537,'NHL PBP'!A:AH,21,FALSE)),3,IF(ISBLANK(VLOOKUP(A537,'NHL PBP'!A:AH,23,FALSE)),4,5)),IF(ISBLANK(VLOOKUP(A537,'NHL PBP'!A:AH,32,FALSE)),3,IF(ISBLANK(VLOOKUP(A537,'NHL PBP'!A:AH,34,FALSE)),4,5)))</f>
        <v>5</v>
      </c>
      <c r="L537">
        <f>IF(OR(EXACT(D537,"C"),EXACT(D537,"P"),EXACT(D537,"D"),EXACT(D537,"T"),EXACT(D537,"X"),EXACT(E537,"DZF"),EXACT(E537,"OZF"),EXACT(D537,"N"),EXACT(D537,"F")),1,0)</f>
        <v>0</v>
      </c>
      <c r="M537" t="str">
        <f t="shared" si="32"/>
        <v/>
      </c>
      <c r="N537">
        <f t="shared" si="33"/>
        <v>0</v>
      </c>
      <c r="O537">
        <f t="shared" si="34"/>
        <v>0</v>
      </c>
      <c r="P537" t="str">
        <f t="shared" si="35"/>
        <v/>
      </c>
    </row>
    <row r="538" spans="1:16" x14ac:dyDescent="0.25">
      <c r="A538">
        <v>383</v>
      </c>
      <c r="B538" t="str">
        <f>IF($A538&gt;$A$1,"",VLOOKUP($A538,'NHL PBP'!$A:$L,8,FALSE))</f>
        <v/>
      </c>
      <c r="C538" t="str">
        <f>IF($A538&gt;$A$1,"",IF(B538&gt;3,5/24,20/24)-VLOOKUP($A538,'NHL PBP'!$A:$L,10,FALSE))</f>
        <v/>
      </c>
      <c r="D538" t="str">
        <f>IF($A538&gt;$A$1,"",VLOOKUP($A538,'NHL PBP'!$A:$L,11,FALSE))</f>
        <v/>
      </c>
      <c r="E538" t="str">
        <f>IF(AND(EXACT(D538,"FAC"),NOT(EXACT(MID(F538,9,3),"Neu"))),IF(OR(AND(EXACT(MID(F538,9,3),"Off"),EXACT(LEFT(F538,3),UPPER('Entry data'!$C$2))),AND(EXACT(MID(F538,9,3),"Def"),NOT(EXACT(LEFT(F538,3),UPPER('Entry data'!$C$2))))),"DZF","OZF"),"")</f>
        <v/>
      </c>
      <c r="F538" t="str">
        <f>IF($A538&gt;$A$1,"",VLOOKUP($A538,'NHL PBP'!$A:$L,12,FALSE))</f>
        <v/>
      </c>
      <c r="J538">
        <f>IF(EXACT('Entry data'!$C$3,"Road"),IF(ISBLANK(VLOOKUP(A538,'NHL PBP'!A:AH,21,FALSE)),3,IF(ISBLANK(VLOOKUP(A538,'NHL PBP'!A:AH,23,FALSE)),4,5)),IF(ISBLANK(VLOOKUP(A538,'NHL PBP'!A:AH,32,FALSE)),3,IF(ISBLANK(VLOOKUP(A538,'NHL PBP'!A:AH,34,FALSE)),4,5)))</f>
        <v>5</v>
      </c>
      <c r="K538">
        <f>IF(EXACT('Entry data'!$C$3,"Home"),IF(ISBLANK(VLOOKUP(A538,'NHL PBP'!A:AH,21,FALSE)),3,IF(ISBLANK(VLOOKUP(A538,'NHL PBP'!A:AH,23,FALSE)),4,5)),IF(ISBLANK(VLOOKUP(A538,'NHL PBP'!A:AH,32,FALSE)),3,IF(ISBLANK(VLOOKUP(A538,'NHL PBP'!A:AH,34,FALSE)),4,5)))</f>
        <v>5</v>
      </c>
      <c r="L538">
        <f>IF(OR(EXACT(D538,"C"),EXACT(D538,"P"),EXACT(D538,"D"),EXACT(D538,"T"),EXACT(D538,"X"),EXACT(E538,"DZF"),EXACT(E538,"OZF"),EXACT(D538,"N"),EXACT(D538,"F")),1,0)</f>
        <v>0</v>
      </c>
      <c r="M538" t="str">
        <f t="shared" si="32"/>
        <v/>
      </c>
      <c r="N538">
        <f t="shared" si="33"/>
        <v>0</v>
      </c>
      <c r="O538">
        <f t="shared" si="34"/>
        <v>0</v>
      </c>
      <c r="P538" t="str">
        <f t="shared" si="35"/>
        <v/>
      </c>
    </row>
    <row r="539" spans="1:16" x14ac:dyDescent="0.25">
      <c r="A539">
        <v>384</v>
      </c>
      <c r="B539" t="str">
        <f>IF($A539&gt;$A$1,"",VLOOKUP($A539,'NHL PBP'!$A:$L,8,FALSE))</f>
        <v/>
      </c>
      <c r="C539" t="str">
        <f>IF($A539&gt;$A$1,"",IF(B539&gt;3,5/24,20/24)-VLOOKUP($A539,'NHL PBP'!$A:$L,10,FALSE))</f>
        <v/>
      </c>
      <c r="D539" t="str">
        <f>IF($A539&gt;$A$1,"",VLOOKUP($A539,'NHL PBP'!$A:$L,11,FALSE))</f>
        <v/>
      </c>
      <c r="E539" t="str">
        <f>IF(AND(EXACT(D539,"FAC"),NOT(EXACT(MID(F539,9,3),"Neu"))),IF(OR(AND(EXACT(MID(F539,9,3),"Off"),EXACT(LEFT(F539,3),UPPER('Entry data'!$C$2))),AND(EXACT(MID(F539,9,3),"Def"),NOT(EXACT(LEFT(F539,3),UPPER('Entry data'!$C$2))))),"DZF","OZF"),"")</f>
        <v/>
      </c>
      <c r="F539" t="str">
        <f>IF($A539&gt;$A$1,"",VLOOKUP($A539,'NHL PBP'!$A:$L,12,FALSE))</f>
        <v/>
      </c>
      <c r="J539">
        <f>IF(EXACT('Entry data'!$C$3,"Road"),IF(ISBLANK(VLOOKUP(A539,'NHL PBP'!A:AH,21,FALSE)),3,IF(ISBLANK(VLOOKUP(A539,'NHL PBP'!A:AH,23,FALSE)),4,5)),IF(ISBLANK(VLOOKUP(A539,'NHL PBP'!A:AH,32,FALSE)),3,IF(ISBLANK(VLOOKUP(A539,'NHL PBP'!A:AH,34,FALSE)),4,5)))</f>
        <v>5</v>
      </c>
      <c r="K539">
        <f>IF(EXACT('Entry data'!$C$3,"Home"),IF(ISBLANK(VLOOKUP(A539,'NHL PBP'!A:AH,21,FALSE)),3,IF(ISBLANK(VLOOKUP(A539,'NHL PBP'!A:AH,23,FALSE)),4,5)),IF(ISBLANK(VLOOKUP(A539,'NHL PBP'!A:AH,32,FALSE)),3,IF(ISBLANK(VLOOKUP(A539,'NHL PBP'!A:AH,34,FALSE)),4,5)))</f>
        <v>5</v>
      </c>
      <c r="L539">
        <f>IF(OR(EXACT(D539,"C"),EXACT(D539,"P"),EXACT(D539,"D"),EXACT(D539,"T"),EXACT(D539,"X"),EXACT(E539,"DZF"),EXACT(E539,"OZF"),EXACT(D539,"N"),EXACT(D539,"F")),1,0)</f>
        <v>0</v>
      </c>
      <c r="M539" t="str">
        <f t="shared" si="32"/>
        <v/>
      </c>
      <c r="N539">
        <f t="shared" si="33"/>
        <v>0</v>
      </c>
      <c r="O539">
        <f t="shared" si="34"/>
        <v>0</v>
      </c>
      <c r="P539" t="str">
        <f t="shared" si="35"/>
        <v/>
      </c>
    </row>
    <row r="540" spans="1:16" x14ac:dyDescent="0.25">
      <c r="A540">
        <v>385</v>
      </c>
      <c r="B540" t="str">
        <f>IF($A540&gt;$A$1,"",VLOOKUP($A540,'NHL PBP'!$A:$L,8,FALSE))</f>
        <v/>
      </c>
      <c r="C540" t="str">
        <f>IF($A540&gt;$A$1,"",IF(B540&gt;3,5/24,20/24)-VLOOKUP($A540,'NHL PBP'!$A:$L,10,FALSE))</f>
        <v/>
      </c>
      <c r="D540" t="str">
        <f>IF($A540&gt;$A$1,"",VLOOKUP($A540,'NHL PBP'!$A:$L,11,FALSE))</f>
        <v/>
      </c>
      <c r="E540" t="str">
        <f>IF(AND(EXACT(D540,"FAC"),NOT(EXACT(MID(F540,9,3),"Neu"))),IF(OR(AND(EXACT(MID(F540,9,3),"Off"),EXACT(LEFT(F540,3),UPPER('Entry data'!$C$2))),AND(EXACT(MID(F540,9,3),"Def"),NOT(EXACT(LEFT(F540,3),UPPER('Entry data'!$C$2))))),"DZF","OZF"),"")</f>
        <v/>
      </c>
      <c r="F540" t="str">
        <f>IF($A540&gt;$A$1,"",VLOOKUP($A540,'NHL PBP'!$A:$L,12,FALSE))</f>
        <v/>
      </c>
      <c r="J540">
        <f>IF(EXACT('Entry data'!$C$3,"Road"),IF(ISBLANK(VLOOKUP(A540,'NHL PBP'!A:AH,21,FALSE)),3,IF(ISBLANK(VLOOKUP(A540,'NHL PBP'!A:AH,23,FALSE)),4,5)),IF(ISBLANK(VLOOKUP(A540,'NHL PBP'!A:AH,32,FALSE)),3,IF(ISBLANK(VLOOKUP(A540,'NHL PBP'!A:AH,34,FALSE)),4,5)))</f>
        <v>5</v>
      </c>
      <c r="K540">
        <f>IF(EXACT('Entry data'!$C$3,"Home"),IF(ISBLANK(VLOOKUP(A540,'NHL PBP'!A:AH,21,FALSE)),3,IF(ISBLANK(VLOOKUP(A540,'NHL PBP'!A:AH,23,FALSE)),4,5)),IF(ISBLANK(VLOOKUP(A540,'NHL PBP'!A:AH,32,FALSE)),3,IF(ISBLANK(VLOOKUP(A540,'NHL PBP'!A:AH,34,FALSE)),4,5)))</f>
        <v>5</v>
      </c>
      <c r="L540">
        <f>IF(OR(EXACT(D540,"C"),EXACT(D540,"P"),EXACT(D540,"D"),EXACT(D540,"T"),EXACT(D540,"X"),EXACT(E540,"DZF"),EXACT(E540,"OZF"),EXACT(D540,"N"),EXACT(D540,"F")),1,0)</f>
        <v>0</v>
      </c>
      <c r="M540" t="str">
        <f t="shared" si="32"/>
        <v/>
      </c>
      <c r="N540">
        <f t="shared" si="33"/>
        <v>0</v>
      </c>
      <c r="O540">
        <f t="shared" si="34"/>
        <v>0</v>
      </c>
      <c r="P540" t="str">
        <f t="shared" si="35"/>
        <v/>
      </c>
    </row>
    <row r="541" spans="1:16" x14ac:dyDescent="0.25">
      <c r="A541">
        <v>386</v>
      </c>
      <c r="B541" t="str">
        <f>IF($A541&gt;$A$1,"",VLOOKUP($A541,'NHL PBP'!$A:$L,8,FALSE))</f>
        <v/>
      </c>
      <c r="C541" t="str">
        <f>IF($A541&gt;$A$1,"",IF(B541&gt;3,5/24,20/24)-VLOOKUP($A541,'NHL PBP'!$A:$L,10,FALSE))</f>
        <v/>
      </c>
      <c r="D541" t="str">
        <f>IF($A541&gt;$A$1,"",VLOOKUP($A541,'NHL PBP'!$A:$L,11,FALSE))</f>
        <v/>
      </c>
      <c r="E541" t="str">
        <f>IF(AND(EXACT(D541,"FAC"),NOT(EXACT(MID(F541,9,3),"Neu"))),IF(OR(AND(EXACT(MID(F541,9,3),"Off"),EXACT(LEFT(F541,3),UPPER('Entry data'!$C$2))),AND(EXACT(MID(F541,9,3),"Def"),NOT(EXACT(LEFT(F541,3),UPPER('Entry data'!$C$2))))),"DZF","OZF"),"")</f>
        <v/>
      </c>
      <c r="F541" t="str">
        <f>IF($A541&gt;$A$1,"",VLOOKUP($A541,'NHL PBP'!$A:$L,12,FALSE))</f>
        <v/>
      </c>
      <c r="J541">
        <f>IF(EXACT('Entry data'!$C$3,"Road"),IF(ISBLANK(VLOOKUP(A541,'NHL PBP'!A:AH,21,FALSE)),3,IF(ISBLANK(VLOOKUP(A541,'NHL PBP'!A:AH,23,FALSE)),4,5)),IF(ISBLANK(VLOOKUP(A541,'NHL PBP'!A:AH,32,FALSE)),3,IF(ISBLANK(VLOOKUP(A541,'NHL PBP'!A:AH,34,FALSE)),4,5)))</f>
        <v>5</v>
      </c>
      <c r="K541">
        <f>IF(EXACT('Entry data'!$C$3,"Home"),IF(ISBLANK(VLOOKUP(A541,'NHL PBP'!A:AH,21,FALSE)),3,IF(ISBLANK(VLOOKUP(A541,'NHL PBP'!A:AH,23,FALSE)),4,5)),IF(ISBLANK(VLOOKUP(A541,'NHL PBP'!A:AH,32,FALSE)),3,IF(ISBLANK(VLOOKUP(A541,'NHL PBP'!A:AH,34,FALSE)),4,5)))</f>
        <v>5</v>
      </c>
      <c r="L541">
        <f>IF(OR(EXACT(D541,"C"),EXACT(D541,"P"),EXACT(D541,"D"),EXACT(D541,"T"),EXACT(D541,"X"),EXACT(E541,"DZF"),EXACT(E541,"OZF"),EXACT(D541,"N"),EXACT(D541,"F")),1,0)</f>
        <v>0</v>
      </c>
      <c r="M541" t="str">
        <f t="shared" si="32"/>
        <v/>
      </c>
      <c r="N541">
        <f t="shared" si="33"/>
        <v>0</v>
      </c>
      <c r="O541">
        <f t="shared" si="34"/>
        <v>0</v>
      </c>
      <c r="P541" t="str">
        <f t="shared" si="35"/>
        <v/>
      </c>
    </row>
    <row r="542" spans="1:16" x14ac:dyDescent="0.25">
      <c r="A542">
        <v>387</v>
      </c>
      <c r="B542" t="str">
        <f>IF($A542&gt;$A$1,"",VLOOKUP($A542,'NHL PBP'!$A:$L,8,FALSE))</f>
        <v/>
      </c>
      <c r="C542" t="str">
        <f>IF($A542&gt;$A$1,"",IF(B542&gt;3,5/24,20/24)-VLOOKUP($A542,'NHL PBP'!$A:$L,10,FALSE))</f>
        <v/>
      </c>
      <c r="D542" t="str">
        <f>IF($A542&gt;$A$1,"",VLOOKUP($A542,'NHL PBP'!$A:$L,11,FALSE))</f>
        <v/>
      </c>
      <c r="E542" t="str">
        <f>IF(AND(EXACT(D542,"FAC"),NOT(EXACT(MID(F542,9,3),"Neu"))),IF(OR(AND(EXACT(MID(F542,9,3),"Off"),EXACT(LEFT(F542,3),UPPER('Entry data'!$C$2))),AND(EXACT(MID(F542,9,3),"Def"),NOT(EXACT(LEFT(F542,3),UPPER('Entry data'!$C$2))))),"DZF","OZF"),"")</f>
        <v/>
      </c>
      <c r="F542" t="str">
        <f>IF($A542&gt;$A$1,"",VLOOKUP($A542,'NHL PBP'!$A:$L,12,FALSE))</f>
        <v/>
      </c>
      <c r="J542">
        <f>IF(EXACT('Entry data'!$C$3,"Road"),IF(ISBLANK(VLOOKUP(A542,'NHL PBP'!A:AH,21,FALSE)),3,IF(ISBLANK(VLOOKUP(A542,'NHL PBP'!A:AH,23,FALSE)),4,5)),IF(ISBLANK(VLOOKUP(A542,'NHL PBP'!A:AH,32,FALSE)),3,IF(ISBLANK(VLOOKUP(A542,'NHL PBP'!A:AH,34,FALSE)),4,5)))</f>
        <v>5</v>
      </c>
      <c r="K542">
        <f>IF(EXACT('Entry data'!$C$3,"Home"),IF(ISBLANK(VLOOKUP(A542,'NHL PBP'!A:AH,21,FALSE)),3,IF(ISBLANK(VLOOKUP(A542,'NHL PBP'!A:AH,23,FALSE)),4,5)),IF(ISBLANK(VLOOKUP(A542,'NHL PBP'!A:AH,32,FALSE)),3,IF(ISBLANK(VLOOKUP(A542,'NHL PBP'!A:AH,34,FALSE)),4,5)))</f>
        <v>5</v>
      </c>
      <c r="L542">
        <f>IF(OR(EXACT(D542,"C"),EXACT(D542,"P"),EXACT(D542,"D"),EXACT(D542,"T"),EXACT(D542,"X"),EXACT(E542,"DZF"),EXACT(E542,"OZF"),EXACT(D542,"N"),EXACT(D542,"F")),1,0)</f>
        <v>0</v>
      </c>
      <c r="M542" t="str">
        <f t="shared" si="32"/>
        <v/>
      </c>
      <c r="N542">
        <f t="shared" si="33"/>
        <v>0</v>
      </c>
      <c r="O542">
        <f t="shared" si="34"/>
        <v>0</v>
      </c>
      <c r="P542" t="str">
        <f t="shared" si="35"/>
        <v/>
      </c>
    </row>
    <row r="543" spans="1:16" x14ac:dyDescent="0.25">
      <c r="A543">
        <v>388</v>
      </c>
      <c r="B543" t="str">
        <f>IF($A543&gt;$A$1,"",VLOOKUP($A543,'NHL PBP'!$A:$L,8,FALSE))</f>
        <v/>
      </c>
      <c r="C543" t="str">
        <f>IF($A543&gt;$A$1,"",IF(B543&gt;3,5/24,20/24)-VLOOKUP($A543,'NHL PBP'!$A:$L,10,FALSE))</f>
        <v/>
      </c>
      <c r="D543" t="str">
        <f>IF($A543&gt;$A$1,"",VLOOKUP($A543,'NHL PBP'!$A:$L,11,FALSE))</f>
        <v/>
      </c>
      <c r="E543" t="str">
        <f>IF(AND(EXACT(D543,"FAC"),NOT(EXACT(MID(F543,9,3),"Neu"))),IF(OR(AND(EXACT(MID(F543,9,3),"Off"),EXACT(LEFT(F543,3),UPPER('Entry data'!$C$2))),AND(EXACT(MID(F543,9,3),"Def"),NOT(EXACT(LEFT(F543,3),UPPER('Entry data'!$C$2))))),"DZF","OZF"),"")</f>
        <v/>
      </c>
      <c r="F543" t="str">
        <f>IF($A543&gt;$A$1,"",VLOOKUP($A543,'NHL PBP'!$A:$L,12,FALSE))</f>
        <v/>
      </c>
      <c r="J543">
        <f>IF(EXACT('Entry data'!$C$3,"Road"),IF(ISBLANK(VLOOKUP(A543,'NHL PBP'!A:AH,21,FALSE)),3,IF(ISBLANK(VLOOKUP(A543,'NHL PBP'!A:AH,23,FALSE)),4,5)),IF(ISBLANK(VLOOKUP(A543,'NHL PBP'!A:AH,32,FALSE)),3,IF(ISBLANK(VLOOKUP(A543,'NHL PBP'!A:AH,34,FALSE)),4,5)))</f>
        <v>5</v>
      </c>
      <c r="K543">
        <f>IF(EXACT('Entry data'!$C$3,"Home"),IF(ISBLANK(VLOOKUP(A543,'NHL PBP'!A:AH,21,FALSE)),3,IF(ISBLANK(VLOOKUP(A543,'NHL PBP'!A:AH,23,FALSE)),4,5)),IF(ISBLANK(VLOOKUP(A543,'NHL PBP'!A:AH,32,FALSE)),3,IF(ISBLANK(VLOOKUP(A543,'NHL PBP'!A:AH,34,FALSE)),4,5)))</f>
        <v>5</v>
      </c>
      <c r="L543">
        <f>IF(OR(EXACT(D543,"C"),EXACT(D543,"P"),EXACT(D543,"D"),EXACT(D543,"T"),EXACT(D543,"X"),EXACT(E543,"DZF"),EXACT(E543,"OZF"),EXACT(D543,"N"),EXACT(D543,"F")),1,0)</f>
        <v>0</v>
      </c>
      <c r="M543" t="str">
        <f t="shared" si="32"/>
        <v/>
      </c>
      <c r="N543">
        <f t="shared" si="33"/>
        <v>0</v>
      </c>
      <c r="O543">
        <f t="shared" si="34"/>
        <v>0</v>
      </c>
      <c r="P543" t="str">
        <f t="shared" si="35"/>
        <v/>
      </c>
    </row>
    <row r="544" spans="1:16" x14ac:dyDescent="0.25">
      <c r="A544">
        <v>389</v>
      </c>
      <c r="B544" t="str">
        <f>IF($A544&gt;$A$1,"",VLOOKUP($A544,'NHL PBP'!$A:$L,8,FALSE))</f>
        <v/>
      </c>
      <c r="C544" t="str">
        <f>IF($A544&gt;$A$1,"",IF(B544&gt;3,5/24,20/24)-VLOOKUP($A544,'NHL PBP'!$A:$L,10,FALSE))</f>
        <v/>
      </c>
      <c r="D544" t="str">
        <f>IF($A544&gt;$A$1,"",VLOOKUP($A544,'NHL PBP'!$A:$L,11,FALSE))</f>
        <v/>
      </c>
      <c r="E544" t="str">
        <f>IF(AND(EXACT(D544,"FAC"),NOT(EXACT(MID(F544,9,3),"Neu"))),IF(OR(AND(EXACT(MID(F544,9,3),"Off"),EXACT(LEFT(F544,3),UPPER('Entry data'!$C$2))),AND(EXACT(MID(F544,9,3),"Def"),NOT(EXACT(LEFT(F544,3),UPPER('Entry data'!$C$2))))),"DZF","OZF"),"")</f>
        <v/>
      </c>
      <c r="F544" t="str">
        <f>IF($A544&gt;$A$1,"",VLOOKUP($A544,'NHL PBP'!$A:$L,12,FALSE))</f>
        <v/>
      </c>
      <c r="J544">
        <f>IF(EXACT('Entry data'!$C$3,"Road"),IF(ISBLANK(VLOOKUP(A544,'NHL PBP'!A:AH,21,FALSE)),3,IF(ISBLANK(VLOOKUP(A544,'NHL PBP'!A:AH,23,FALSE)),4,5)),IF(ISBLANK(VLOOKUP(A544,'NHL PBP'!A:AH,32,FALSE)),3,IF(ISBLANK(VLOOKUP(A544,'NHL PBP'!A:AH,34,FALSE)),4,5)))</f>
        <v>5</v>
      </c>
      <c r="K544">
        <f>IF(EXACT('Entry data'!$C$3,"Home"),IF(ISBLANK(VLOOKUP(A544,'NHL PBP'!A:AH,21,FALSE)),3,IF(ISBLANK(VLOOKUP(A544,'NHL PBP'!A:AH,23,FALSE)),4,5)),IF(ISBLANK(VLOOKUP(A544,'NHL PBP'!A:AH,32,FALSE)),3,IF(ISBLANK(VLOOKUP(A544,'NHL PBP'!A:AH,34,FALSE)),4,5)))</f>
        <v>5</v>
      </c>
      <c r="L544">
        <f>IF(OR(EXACT(D544,"C"),EXACT(D544,"P"),EXACT(D544,"D"),EXACT(D544,"T"),EXACT(D544,"X"),EXACT(E544,"DZF"),EXACT(E544,"OZF"),EXACT(D544,"N"),EXACT(D544,"F")),1,0)</f>
        <v>0</v>
      </c>
      <c r="M544" t="str">
        <f t="shared" si="32"/>
        <v/>
      </c>
      <c r="N544">
        <f t="shared" si="33"/>
        <v>0</v>
      </c>
      <c r="O544">
        <f t="shared" si="34"/>
        <v>0</v>
      </c>
      <c r="P544" t="str">
        <f t="shared" si="35"/>
        <v/>
      </c>
    </row>
    <row r="545" spans="1:16" x14ac:dyDescent="0.25">
      <c r="A545">
        <v>390</v>
      </c>
      <c r="B545" t="str">
        <f>IF($A545&gt;$A$1,"",VLOOKUP($A545,'NHL PBP'!$A:$L,8,FALSE))</f>
        <v/>
      </c>
      <c r="C545" t="str">
        <f>IF($A545&gt;$A$1,"",IF(B545&gt;3,5/24,20/24)-VLOOKUP($A545,'NHL PBP'!$A:$L,10,FALSE))</f>
        <v/>
      </c>
      <c r="D545" t="str">
        <f>IF($A545&gt;$A$1,"",VLOOKUP($A545,'NHL PBP'!$A:$L,11,FALSE))</f>
        <v/>
      </c>
      <c r="E545" t="str">
        <f>IF(AND(EXACT(D545,"FAC"),NOT(EXACT(MID(F545,9,3),"Neu"))),IF(OR(AND(EXACT(MID(F545,9,3),"Off"),EXACT(LEFT(F545,3),UPPER('Entry data'!$C$2))),AND(EXACT(MID(F545,9,3),"Def"),NOT(EXACT(LEFT(F545,3),UPPER('Entry data'!$C$2))))),"DZF","OZF"),"")</f>
        <v/>
      </c>
      <c r="F545" t="str">
        <f>IF($A545&gt;$A$1,"",VLOOKUP($A545,'NHL PBP'!$A:$L,12,FALSE))</f>
        <v/>
      </c>
      <c r="J545">
        <f>IF(EXACT('Entry data'!$C$3,"Road"),IF(ISBLANK(VLOOKUP(A545,'NHL PBP'!A:AH,21,FALSE)),3,IF(ISBLANK(VLOOKUP(A545,'NHL PBP'!A:AH,23,FALSE)),4,5)),IF(ISBLANK(VLOOKUP(A545,'NHL PBP'!A:AH,32,FALSE)),3,IF(ISBLANK(VLOOKUP(A545,'NHL PBP'!A:AH,34,FALSE)),4,5)))</f>
        <v>5</v>
      </c>
      <c r="K545">
        <f>IF(EXACT('Entry data'!$C$3,"Home"),IF(ISBLANK(VLOOKUP(A545,'NHL PBP'!A:AH,21,FALSE)),3,IF(ISBLANK(VLOOKUP(A545,'NHL PBP'!A:AH,23,FALSE)),4,5)),IF(ISBLANK(VLOOKUP(A545,'NHL PBP'!A:AH,32,FALSE)),3,IF(ISBLANK(VLOOKUP(A545,'NHL PBP'!A:AH,34,FALSE)),4,5)))</f>
        <v>5</v>
      </c>
      <c r="L545">
        <f>IF(OR(EXACT(D545,"C"),EXACT(D545,"P"),EXACT(D545,"D"),EXACT(D545,"T"),EXACT(D545,"X"),EXACT(E545,"DZF"),EXACT(E545,"OZF"),EXACT(D545,"N"),EXACT(D545,"F")),1,0)</f>
        <v>0</v>
      </c>
      <c r="M545" t="str">
        <f t="shared" si="32"/>
        <v/>
      </c>
      <c r="N545">
        <f t="shared" si="33"/>
        <v>0</v>
      </c>
      <c r="O545">
        <f t="shared" si="34"/>
        <v>0</v>
      </c>
      <c r="P545" t="str">
        <f t="shared" si="35"/>
        <v/>
      </c>
    </row>
    <row r="546" spans="1:16" x14ac:dyDescent="0.25">
      <c r="A546">
        <v>391</v>
      </c>
      <c r="B546" t="str">
        <f>IF($A546&gt;$A$1,"",VLOOKUP($A546,'NHL PBP'!$A:$L,8,FALSE))</f>
        <v/>
      </c>
      <c r="C546" t="str">
        <f>IF($A546&gt;$A$1,"",IF(B546&gt;3,5/24,20/24)-VLOOKUP($A546,'NHL PBP'!$A:$L,10,FALSE))</f>
        <v/>
      </c>
      <c r="D546" t="str">
        <f>IF($A546&gt;$A$1,"",VLOOKUP($A546,'NHL PBP'!$A:$L,11,FALSE))</f>
        <v/>
      </c>
      <c r="E546" t="str">
        <f>IF(AND(EXACT(D546,"FAC"),NOT(EXACT(MID(F546,9,3),"Neu"))),IF(OR(AND(EXACT(MID(F546,9,3),"Off"),EXACT(LEFT(F546,3),UPPER('Entry data'!$C$2))),AND(EXACT(MID(F546,9,3),"Def"),NOT(EXACT(LEFT(F546,3),UPPER('Entry data'!$C$2))))),"DZF","OZF"),"")</f>
        <v/>
      </c>
      <c r="F546" t="str">
        <f>IF($A546&gt;$A$1,"",VLOOKUP($A546,'NHL PBP'!$A:$L,12,FALSE))</f>
        <v/>
      </c>
      <c r="J546">
        <f>IF(EXACT('Entry data'!$C$3,"Road"),IF(ISBLANK(VLOOKUP(A546,'NHL PBP'!A:AH,21,FALSE)),3,IF(ISBLANK(VLOOKUP(A546,'NHL PBP'!A:AH,23,FALSE)),4,5)),IF(ISBLANK(VLOOKUP(A546,'NHL PBP'!A:AH,32,FALSE)),3,IF(ISBLANK(VLOOKUP(A546,'NHL PBP'!A:AH,34,FALSE)),4,5)))</f>
        <v>5</v>
      </c>
      <c r="K546">
        <f>IF(EXACT('Entry data'!$C$3,"Home"),IF(ISBLANK(VLOOKUP(A546,'NHL PBP'!A:AH,21,FALSE)),3,IF(ISBLANK(VLOOKUP(A546,'NHL PBP'!A:AH,23,FALSE)),4,5)),IF(ISBLANK(VLOOKUP(A546,'NHL PBP'!A:AH,32,FALSE)),3,IF(ISBLANK(VLOOKUP(A546,'NHL PBP'!A:AH,34,FALSE)),4,5)))</f>
        <v>5</v>
      </c>
      <c r="L546">
        <f>IF(OR(EXACT(D546,"C"),EXACT(D546,"P"),EXACT(D546,"D"),EXACT(D546,"T"),EXACT(D546,"X"),EXACT(E546,"DZF"),EXACT(E546,"OZF"),EXACT(D546,"N"),EXACT(D546,"F")),1,0)</f>
        <v>0</v>
      </c>
      <c r="M546" t="str">
        <f t="shared" si="32"/>
        <v/>
      </c>
      <c r="N546">
        <f t="shared" si="33"/>
        <v>0</v>
      </c>
      <c r="O546">
        <f t="shared" si="34"/>
        <v>0</v>
      </c>
      <c r="P546" t="str">
        <f t="shared" si="35"/>
        <v/>
      </c>
    </row>
    <row r="547" spans="1:16" x14ac:dyDescent="0.25">
      <c r="A547">
        <v>392</v>
      </c>
      <c r="B547" t="str">
        <f>IF($A547&gt;$A$1,"",VLOOKUP($A547,'NHL PBP'!$A:$L,8,FALSE))</f>
        <v/>
      </c>
      <c r="C547" t="str">
        <f>IF($A547&gt;$A$1,"",IF(B547&gt;3,5/24,20/24)-VLOOKUP($A547,'NHL PBP'!$A:$L,10,FALSE))</f>
        <v/>
      </c>
      <c r="D547" t="str">
        <f>IF($A547&gt;$A$1,"",VLOOKUP($A547,'NHL PBP'!$A:$L,11,FALSE))</f>
        <v/>
      </c>
      <c r="E547" t="str">
        <f>IF(AND(EXACT(D547,"FAC"),NOT(EXACT(MID(F547,9,3),"Neu"))),IF(OR(AND(EXACT(MID(F547,9,3),"Off"),EXACT(LEFT(F547,3),UPPER('Entry data'!$C$2))),AND(EXACT(MID(F547,9,3),"Def"),NOT(EXACT(LEFT(F547,3),UPPER('Entry data'!$C$2))))),"DZF","OZF"),"")</f>
        <v/>
      </c>
      <c r="F547" t="str">
        <f>IF($A547&gt;$A$1,"",VLOOKUP($A547,'NHL PBP'!$A:$L,12,FALSE))</f>
        <v/>
      </c>
      <c r="J547">
        <f>IF(EXACT('Entry data'!$C$3,"Road"),IF(ISBLANK(VLOOKUP(A547,'NHL PBP'!A:AH,21,FALSE)),3,IF(ISBLANK(VLOOKUP(A547,'NHL PBP'!A:AH,23,FALSE)),4,5)),IF(ISBLANK(VLOOKUP(A547,'NHL PBP'!A:AH,32,FALSE)),3,IF(ISBLANK(VLOOKUP(A547,'NHL PBP'!A:AH,34,FALSE)),4,5)))</f>
        <v>5</v>
      </c>
      <c r="K547">
        <f>IF(EXACT('Entry data'!$C$3,"Home"),IF(ISBLANK(VLOOKUP(A547,'NHL PBP'!A:AH,21,FALSE)),3,IF(ISBLANK(VLOOKUP(A547,'NHL PBP'!A:AH,23,FALSE)),4,5)),IF(ISBLANK(VLOOKUP(A547,'NHL PBP'!A:AH,32,FALSE)),3,IF(ISBLANK(VLOOKUP(A547,'NHL PBP'!A:AH,34,FALSE)),4,5)))</f>
        <v>5</v>
      </c>
      <c r="L547">
        <f>IF(OR(EXACT(D547,"C"),EXACT(D547,"P"),EXACT(D547,"D"),EXACT(D547,"T"),EXACT(D547,"X"),EXACT(E547,"DZF"),EXACT(E547,"OZF"),EXACT(D547,"N"),EXACT(D547,"F")),1,0)</f>
        <v>0</v>
      </c>
      <c r="M547" t="str">
        <f t="shared" si="32"/>
        <v/>
      </c>
      <c r="N547">
        <f t="shared" si="33"/>
        <v>0</v>
      </c>
      <c r="O547">
        <f t="shared" si="34"/>
        <v>0</v>
      </c>
      <c r="P547" t="str">
        <f t="shared" si="35"/>
        <v/>
      </c>
    </row>
    <row r="548" spans="1:16" x14ac:dyDescent="0.25">
      <c r="A548">
        <v>393</v>
      </c>
      <c r="B548" t="str">
        <f>IF($A548&gt;$A$1,"",VLOOKUP($A548,'NHL PBP'!$A:$L,8,FALSE))</f>
        <v/>
      </c>
      <c r="C548" t="str">
        <f>IF($A548&gt;$A$1,"",IF(B548&gt;3,5/24,20/24)-VLOOKUP($A548,'NHL PBP'!$A:$L,10,FALSE))</f>
        <v/>
      </c>
      <c r="D548" t="str">
        <f>IF($A548&gt;$A$1,"",VLOOKUP($A548,'NHL PBP'!$A:$L,11,FALSE))</f>
        <v/>
      </c>
      <c r="E548" t="str">
        <f>IF(AND(EXACT(D548,"FAC"),NOT(EXACT(MID(F548,9,3),"Neu"))),IF(OR(AND(EXACT(MID(F548,9,3),"Off"),EXACT(LEFT(F548,3),UPPER('Entry data'!$C$2))),AND(EXACT(MID(F548,9,3),"Def"),NOT(EXACT(LEFT(F548,3),UPPER('Entry data'!$C$2))))),"DZF","OZF"),"")</f>
        <v/>
      </c>
      <c r="F548" t="str">
        <f>IF($A548&gt;$A$1,"",VLOOKUP($A548,'NHL PBP'!$A:$L,12,FALSE))</f>
        <v/>
      </c>
      <c r="J548">
        <f>IF(EXACT('Entry data'!$C$3,"Road"),IF(ISBLANK(VLOOKUP(A548,'NHL PBP'!A:AH,21,FALSE)),3,IF(ISBLANK(VLOOKUP(A548,'NHL PBP'!A:AH,23,FALSE)),4,5)),IF(ISBLANK(VLOOKUP(A548,'NHL PBP'!A:AH,32,FALSE)),3,IF(ISBLANK(VLOOKUP(A548,'NHL PBP'!A:AH,34,FALSE)),4,5)))</f>
        <v>5</v>
      </c>
      <c r="K548">
        <f>IF(EXACT('Entry data'!$C$3,"Home"),IF(ISBLANK(VLOOKUP(A548,'NHL PBP'!A:AH,21,FALSE)),3,IF(ISBLANK(VLOOKUP(A548,'NHL PBP'!A:AH,23,FALSE)),4,5)),IF(ISBLANK(VLOOKUP(A548,'NHL PBP'!A:AH,32,FALSE)),3,IF(ISBLANK(VLOOKUP(A548,'NHL PBP'!A:AH,34,FALSE)),4,5)))</f>
        <v>5</v>
      </c>
      <c r="L548">
        <f>IF(OR(EXACT(D548,"C"),EXACT(D548,"P"),EXACT(D548,"D"),EXACT(D548,"T"),EXACT(D548,"X"),EXACT(E548,"DZF"),EXACT(E548,"OZF"),EXACT(D548,"N"),EXACT(D548,"F")),1,0)</f>
        <v>0</v>
      </c>
      <c r="M548" t="str">
        <f t="shared" si="32"/>
        <v/>
      </c>
      <c r="N548">
        <f t="shared" si="33"/>
        <v>0</v>
      </c>
      <c r="O548">
        <f t="shared" si="34"/>
        <v>0</v>
      </c>
      <c r="P548" t="str">
        <f t="shared" si="35"/>
        <v/>
      </c>
    </row>
    <row r="549" spans="1:16" x14ac:dyDescent="0.25">
      <c r="A549">
        <v>394</v>
      </c>
      <c r="B549" t="str">
        <f>IF($A549&gt;$A$1,"",VLOOKUP($A549,'NHL PBP'!$A:$L,8,FALSE))</f>
        <v/>
      </c>
      <c r="C549" t="str">
        <f>IF($A549&gt;$A$1,"",IF(B549&gt;3,5/24,20/24)-VLOOKUP($A549,'NHL PBP'!$A:$L,10,FALSE))</f>
        <v/>
      </c>
      <c r="D549" t="str">
        <f>IF($A549&gt;$A$1,"",VLOOKUP($A549,'NHL PBP'!$A:$L,11,FALSE))</f>
        <v/>
      </c>
      <c r="E549" t="str">
        <f>IF(AND(EXACT(D549,"FAC"),NOT(EXACT(MID(F549,9,3),"Neu"))),IF(OR(AND(EXACT(MID(F549,9,3),"Off"),EXACT(LEFT(F549,3),UPPER('Entry data'!$C$2))),AND(EXACT(MID(F549,9,3),"Def"),NOT(EXACT(LEFT(F549,3),UPPER('Entry data'!$C$2))))),"DZF","OZF"),"")</f>
        <v/>
      </c>
      <c r="F549" t="str">
        <f>IF($A549&gt;$A$1,"",VLOOKUP($A549,'NHL PBP'!$A:$L,12,FALSE))</f>
        <v/>
      </c>
      <c r="J549">
        <f>IF(EXACT('Entry data'!$C$3,"Road"),IF(ISBLANK(VLOOKUP(A549,'NHL PBP'!A:AH,21,FALSE)),3,IF(ISBLANK(VLOOKUP(A549,'NHL PBP'!A:AH,23,FALSE)),4,5)),IF(ISBLANK(VLOOKUP(A549,'NHL PBP'!A:AH,32,FALSE)),3,IF(ISBLANK(VLOOKUP(A549,'NHL PBP'!A:AH,34,FALSE)),4,5)))</f>
        <v>5</v>
      </c>
      <c r="K549">
        <f>IF(EXACT('Entry data'!$C$3,"Home"),IF(ISBLANK(VLOOKUP(A549,'NHL PBP'!A:AH,21,FALSE)),3,IF(ISBLANK(VLOOKUP(A549,'NHL PBP'!A:AH,23,FALSE)),4,5)),IF(ISBLANK(VLOOKUP(A549,'NHL PBP'!A:AH,32,FALSE)),3,IF(ISBLANK(VLOOKUP(A549,'NHL PBP'!A:AH,34,FALSE)),4,5)))</f>
        <v>5</v>
      </c>
      <c r="L549">
        <f>IF(OR(EXACT(D549,"C"),EXACT(D549,"P"),EXACT(D549,"D"),EXACT(D549,"T"),EXACT(D549,"X"),EXACT(E549,"DZF"),EXACT(E549,"OZF"),EXACT(D549,"N"),EXACT(D549,"F")),1,0)</f>
        <v>0</v>
      </c>
      <c r="M549" t="str">
        <f t="shared" si="32"/>
        <v/>
      </c>
      <c r="N549">
        <f t="shared" si="33"/>
        <v>0</v>
      </c>
      <c r="O549">
        <f t="shared" si="34"/>
        <v>0</v>
      </c>
      <c r="P549" t="str">
        <f t="shared" si="35"/>
        <v/>
      </c>
    </row>
    <row r="550" spans="1:16" x14ac:dyDescent="0.25">
      <c r="A550">
        <v>395</v>
      </c>
      <c r="B550" t="str">
        <f>IF($A550&gt;$A$1,"",VLOOKUP($A550,'NHL PBP'!$A:$L,8,FALSE))</f>
        <v/>
      </c>
      <c r="C550" t="str">
        <f>IF($A550&gt;$A$1,"",IF(B550&gt;3,5/24,20/24)-VLOOKUP($A550,'NHL PBP'!$A:$L,10,FALSE))</f>
        <v/>
      </c>
      <c r="D550" t="str">
        <f>IF($A550&gt;$A$1,"",VLOOKUP($A550,'NHL PBP'!$A:$L,11,FALSE))</f>
        <v/>
      </c>
      <c r="E550" t="str">
        <f>IF(AND(EXACT(D550,"FAC"),NOT(EXACT(MID(F550,9,3),"Neu"))),IF(OR(AND(EXACT(MID(F550,9,3),"Off"),EXACT(LEFT(F550,3),UPPER('Entry data'!$C$2))),AND(EXACT(MID(F550,9,3),"Def"),NOT(EXACT(LEFT(F550,3),UPPER('Entry data'!$C$2))))),"DZF","OZF"),"")</f>
        <v/>
      </c>
      <c r="F550" t="str">
        <f>IF($A550&gt;$A$1,"",VLOOKUP($A550,'NHL PBP'!$A:$L,12,FALSE))</f>
        <v/>
      </c>
      <c r="J550">
        <f>IF(EXACT('Entry data'!$C$3,"Road"),IF(ISBLANK(VLOOKUP(A550,'NHL PBP'!A:AH,21,FALSE)),3,IF(ISBLANK(VLOOKUP(A550,'NHL PBP'!A:AH,23,FALSE)),4,5)),IF(ISBLANK(VLOOKUP(A550,'NHL PBP'!A:AH,32,FALSE)),3,IF(ISBLANK(VLOOKUP(A550,'NHL PBP'!A:AH,34,FALSE)),4,5)))</f>
        <v>5</v>
      </c>
      <c r="K550">
        <f>IF(EXACT('Entry data'!$C$3,"Home"),IF(ISBLANK(VLOOKUP(A550,'NHL PBP'!A:AH,21,FALSE)),3,IF(ISBLANK(VLOOKUP(A550,'NHL PBP'!A:AH,23,FALSE)),4,5)),IF(ISBLANK(VLOOKUP(A550,'NHL PBP'!A:AH,32,FALSE)),3,IF(ISBLANK(VLOOKUP(A550,'NHL PBP'!A:AH,34,FALSE)),4,5)))</f>
        <v>5</v>
      </c>
      <c r="L550">
        <f>IF(OR(EXACT(D550,"C"),EXACT(D550,"P"),EXACT(D550,"D"),EXACT(D550,"T"),EXACT(D550,"X"),EXACT(E550,"DZF"),EXACT(E550,"OZF"),EXACT(D550,"N"),EXACT(D550,"F")),1,0)</f>
        <v>0</v>
      </c>
      <c r="M550" t="str">
        <f t="shared" si="32"/>
        <v/>
      </c>
      <c r="N550">
        <f t="shared" si="33"/>
        <v>0</v>
      </c>
      <c r="O550">
        <f t="shared" si="34"/>
        <v>0</v>
      </c>
      <c r="P550" t="str">
        <f t="shared" si="35"/>
        <v/>
      </c>
    </row>
    <row r="551" spans="1:16" x14ac:dyDescent="0.25">
      <c r="A551">
        <v>396</v>
      </c>
      <c r="B551" t="str">
        <f>IF($A551&gt;$A$1,"",VLOOKUP($A551,'NHL PBP'!$A:$L,8,FALSE))</f>
        <v/>
      </c>
      <c r="C551" t="str">
        <f>IF($A551&gt;$A$1,"",IF(B551&gt;3,5/24,20/24)-VLOOKUP($A551,'NHL PBP'!$A:$L,10,FALSE))</f>
        <v/>
      </c>
      <c r="D551" t="str">
        <f>IF($A551&gt;$A$1,"",VLOOKUP($A551,'NHL PBP'!$A:$L,11,FALSE))</f>
        <v/>
      </c>
      <c r="E551" t="str">
        <f>IF(AND(EXACT(D551,"FAC"),NOT(EXACT(MID(F551,9,3),"Neu"))),IF(OR(AND(EXACT(MID(F551,9,3),"Off"),EXACT(LEFT(F551,3),UPPER('Entry data'!$C$2))),AND(EXACT(MID(F551,9,3),"Def"),NOT(EXACT(LEFT(F551,3),UPPER('Entry data'!$C$2))))),"DZF","OZF"),"")</f>
        <v/>
      </c>
      <c r="F551" t="str">
        <f>IF($A551&gt;$A$1,"",VLOOKUP($A551,'NHL PBP'!$A:$L,12,FALSE))</f>
        <v/>
      </c>
      <c r="J551">
        <f>IF(EXACT('Entry data'!$C$3,"Road"),IF(ISBLANK(VLOOKUP(A551,'NHL PBP'!A:AH,21,FALSE)),3,IF(ISBLANK(VLOOKUP(A551,'NHL PBP'!A:AH,23,FALSE)),4,5)),IF(ISBLANK(VLOOKUP(A551,'NHL PBP'!A:AH,32,FALSE)),3,IF(ISBLANK(VLOOKUP(A551,'NHL PBP'!A:AH,34,FALSE)),4,5)))</f>
        <v>5</v>
      </c>
      <c r="K551">
        <f>IF(EXACT('Entry data'!$C$3,"Home"),IF(ISBLANK(VLOOKUP(A551,'NHL PBP'!A:AH,21,FALSE)),3,IF(ISBLANK(VLOOKUP(A551,'NHL PBP'!A:AH,23,FALSE)),4,5)),IF(ISBLANK(VLOOKUP(A551,'NHL PBP'!A:AH,32,FALSE)),3,IF(ISBLANK(VLOOKUP(A551,'NHL PBP'!A:AH,34,FALSE)),4,5)))</f>
        <v>5</v>
      </c>
      <c r="L551">
        <f>IF(OR(EXACT(D551,"C"),EXACT(D551,"P"),EXACT(D551,"D"),EXACT(D551,"T"),EXACT(D551,"X"),EXACT(E551,"DZF"),EXACT(E551,"OZF"),EXACT(D551,"N"),EXACT(D551,"F")),1,0)</f>
        <v>0</v>
      </c>
      <c r="M551" t="str">
        <f t="shared" si="32"/>
        <v/>
      </c>
      <c r="N551">
        <f t="shared" si="33"/>
        <v>0</v>
      </c>
      <c r="O551">
        <f t="shared" si="34"/>
        <v>0</v>
      </c>
      <c r="P551" t="str">
        <f t="shared" si="35"/>
        <v/>
      </c>
    </row>
    <row r="552" spans="1:16" x14ac:dyDescent="0.25">
      <c r="A552">
        <v>397</v>
      </c>
      <c r="B552" t="str">
        <f>IF($A552&gt;$A$1,"",VLOOKUP($A552,'NHL PBP'!$A:$L,8,FALSE))</f>
        <v/>
      </c>
      <c r="C552" t="str">
        <f>IF($A552&gt;$A$1,"",IF(B552&gt;3,5/24,20/24)-VLOOKUP($A552,'NHL PBP'!$A:$L,10,FALSE))</f>
        <v/>
      </c>
      <c r="D552" t="str">
        <f>IF($A552&gt;$A$1,"",VLOOKUP($A552,'NHL PBP'!$A:$L,11,FALSE))</f>
        <v/>
      </c>
      <c r="E552" t="str">
        <f>IF(AND(EXACT(D552,"FAC"),NOT(EXACT(MID(F552,9,3),"Neu"))),IF(OR(AND(EXACT(MID(F552,9,3),"Off"),EXACT(LEFT(F552,3),UPPER('Entry data'!$C$2))),AND(EXACT(MID(F552,9,3),"Def"),NOT(EXACT(LEFT(F552,3),UPPER('Entry data'!$C$2))))),"DZF","OZF"),"")</f>
        <v/>
      </c>
      <c r="F552" t="str">
        <f>IF($A552&gt;$A$1,"",VLOOKUP($A552,'NHL PBP'!$A:$L,12,FALSE))</f>
        <v/>
      </c>
      <c r="J552">
        <f>IF(EXACT('Entry data'!$C$3,"Road"),IF(ISBLANK(VLOOKUP(A552,'NHL PBP'!A:AH,21,FALSE)),3,IF(ISBLANK(VLOOKUP(A552,'NHL PBP'!A:AH,23,FALSE)),4,5)),IF(ISBLANK(VLOOKUP(A552,'NHL PBP'!A:AH,32,FALSE)),3,IF(ISBLANK(VLOOKUP(A552,'NHL PBP'!A:AH,34,FALSE)),4,5)))</f>
        <v>5</v>
      </c>
      <c r="K552">
        <f>IF(EXACT('Entry data'!$C$3,"Home"),IF(ISBLANK(VLOOKUP(A552,'NHL PBP'!A:AH,21,FALSE)),3,IF(ISBLANK(VLOOKUP(A552,'NHL PBP'!A:AH,23,FALSE)),4,5)),IF(ISBLANK(VLOOKUP(A552,'NHL PBP'!A:AH,32,FALSE)),3,IF(ISBLANK(VLOOKUP(A552,'NHL PBP'!A:AH,34,FALSE)),4,5)))</f>
        <v>5</v>
      </c>
      <c r="L552">
        <f>IF(OR(EXACT(D552,"C"),EXACT(D552,"P"),EXACT(D552,"D"),EXACT(D552,"T"),EXACT(D552,"X"),EXACT(E552,"DZF"),EXACT(E552,"OZF"),EXACT(D552,"N"),EXACT(D552,"F")),1,0)</f>
        <v>0</v>
      </c>
      <c r="M552" t="str">
        <f t="shared" si="32"/>
        <v/>
      </c>
      <c r="N552">
        <f t="shared" si="33"/>
        <v>0</v>
      </c>
      <c r="O552">
        <f t="shared" si="34"/>
        <v>0</v>
      </c>
      <c r="P552" t="str">
        <f t="shared" si="35"/>
        <v/>
      </c>
    </row>
    <row r="553" spans="1:16" x14ac:dyDescent="0.25">
      <c r="A553">
        <v>398</v>
      </c>
      <c r="B553" t="str">
        <f>IF($A553&gt;$A$1,"",VLOOKUP($A553,'NHL PBP'!$A:$L,8,FALSE))</f>
        <v/>
      </c>
      <c r="C553" t="str">
        <f>IF($A553&gt;$A$1,"",IF(B553&gt;3,5/24,20/24)-VLOOKUP($A553,'NHL PBP'!$A:$L,10,FALSE))</f>
        <v/>
      </c>
      <c r="D553" t="str">
        <f>IF($A553&gt;$A$1,"",VLOOKUP($A553,'NHL PBP'!$A:$L,11,FALSE))</f>
        <v/>
      </c>
      <c r="E553" t="str">
        <f>IF(AND(EXACT(D553,"FAC"),NOT(EXACT(MID(F553,9,3),"Neu"))),IF(OR(AND(EXACT(MID(F553,9,3),"Off"),EXACT(LEFT(F553,3),UPPER('Entry data'!$C$2))),AND(EXACT(MID(F553,9,3),"Def"),NOT(EXACT(LEFT(F553,3),UPPER('Entry data'!$C$2))))),"DZF","OZF"),"")</f>
        <v/>
      </c>
      <c r="F553" t="str">
        <f>IF($A553&gt;$A$1,"",VLOOKUP($A553,'NHL PBP'!$A:$L,12,FALSE))</f>
        <v/>
      </c>
      <c r="J553">
        <f>IF(EXACT('Entry data'!$C$3,"Road"),IF(ISBLANK(VLOOKUP(A553,'NHL PBP'!A:AH,21,FALSE)),3,IF(ISBLANK(VLOOKUP(A553,'NHL PBP'!A:AH,23,FALSE)),4,5)),IF(ISBLANK(VLOOKUP(A553,'NHL PBP'!A:AH,32,FALSE)),3,IF(ISBLANK(VLOOKUP(A553,'NHL PBP'!A:AH,34,FALSE)),4,5)))</f>
        <v>5</v>
      </c>
      <c r="K553">
        <f>IF(EXACT('Entry data'!$C$3,"Home"),IF(ISBLANK(VLOOKUP(A553,'NHL PBP'!A:AH,21,FALSE)),3,IF(ISBLANK(VLOOKUP(A553,'NHL PBP'!A:AH,23,FALSE)),4,5)),IF(ISBLANK(VLOOKUP(A553,'NHL PBP'!A:AH,32,FALSE)),3,IF(ISBLANK(VLOOKUP(A553,'NHL PBP'!A:AH,34,FALSE)),4,5)))</f>
        <v>5</v>
      </c>
      <c r="L553">
        <f>IF(OR(EXACT(D553,"C"),EXACT(D553,"P"),EXACT(D553,"D"),EXACT(D553,"T"),EXACT(D553,"X"),EXACT(E553,"DZF"),EXACT(E553,"OZF"),EXACT(D553,"N"),EXACT(D553,"F")),1,0)</f>
        <v>0</v>
      </c>
      <c r="M553" t="str">
        <f t="shared" si="32"/>
        <v/>
      </c>
      <c r="N553">
        <f t="shared" si="33"/>
        <v>0</v>
      </c>
      <c r="O553">
        <f t="shared" si="34"/>
        <v>0</v>
      </c>
      <c r="P553" t="str">
        <f t="shared" si="35"/>
        <v/>
      </c>
    </row>
    <row r="554" spans="1:16" x14ac:dyDescent="0.25">
      <c r="A554">
        <v>399</v>
      </c>
      <c r="B554" t="str">
        <f>IF($A554&gt;$A$1,"",VLOOKUP($A554,'NHL PBP'!$A:$L,8,FALSE))</f>
        <v/>
      </c>
      <c r="C554" t="str">
        <f>IF($A554&gt;$A$1,"",IF(B554&gt;3,5/24,20/24)-VLOOKUP($A554,'NHL PBP'!$A:$L,10,FALSE))</f>
        <v/>
      </c>
      <c r="D554" t="str">
        <f>IF($A554&gt;$A$1,"",VLOOKUP($A554,'NHL PBP'!$A:$L,11,FALSE))</f>
        <v/>
      </c>
      <c r="E554" t="str">
        <f>IF(AND(EXACT(D554,"FAC"),NOT(EXACT(MID(F554,9,3),"Neu"))),IF(OR(AND(EXACT(MID(F554,9,3),"Off"),EXACT(LEFT(F554,3),UPPER('Entry data'!$C$2))),AND(EXACT(MID(F554,9,3),"Def"),NOT(EXACT(LEFT(F554,3),UPPER('Entry data'!$C$2))))),"DZF","OZF"),"")</f>
        <v/>
      </c>
      <c r="F554" t="str">
        <f>IF($A554&gt;$A$1,"",VLOOKUP($A554,'NHL PBP'!$A:$L,12,FALSE))</f>
        <v/>
      </c>
      <c r="J554">
        <f>IF(EXACT('Entry data'!$C$3,"Road"),IF(ISBLANK(VLOOKUP(A554,'NHL PBP'!A:AH,21,FALSE)),3,IF(ISBLANK(VLOOKUP(A554,'NHL PBP'!A:AH,23,FALSE)),4,5)),IF(ISBLANK(VLOOKUP(A554,'NHL PBP'!A:AH,32,FALSE)),3,IF(ISBLANK(VLOOKUP(A554,'NHL PBP'!A:AH,34,FALSE)),4,5)))</f>
        <v>5</v>
      </c>
      <c r="K554">
        <f>IF(EXACT('Entry data'!$C$3,"Home"),IF(ISBLANK(VLOOKUP(A554,'NHL PBP'!A:AH,21,FALSE)),3,IF(ISBLANK(VLOOKUP(A554,'NHL PBP'!A:AH,23,FALSE)),4,5)),IF(ISBLANK(VLOOKUP(A554,'NHL PBP'!A:AH,32,FALSE)),3,IF(ISBLANK(VLOOKUP(A554,'NHL PBP'!A:AH,34,FALSE)),4,5)))</f>
        <v>5</v>
      </c>
      <c r="L554">
        <f>IF(OR(EXACT(D554,"C"),EXACT(D554,"P"),EXACT(D554,"D"),EXACT(D554,"T"),EXACT(D554,"X"),EXACT(E554,"DZF"),EXACT(E554,"OZF"),EXACT(D554,"N"),EXACT(D554,"F")),1,0)</f>
        <v>0</v>
      </c>
      <c r="M554" t="str">
        <f t="shared" si="32"/>
        <v/>
      </c>
      <c r="N554">
        <f t="shared" si="33"/>
        <v>0</v>
      </c>
      <c r="O554">
        <f t="shared" si="34"/>
        <v>0</v>
      </c>
      <c r="P554" t="str">
        <f t="shared" si="35"/>
        <v/>
      </c>
    </row>
    <row r="555" spans="1:16" x14ac:dyDescent="0.25">
      <c r="A555">
        <v>400</v>
      </c>
      <c r="B555" t="str">
        <f>IF($A555&gt;$A$1,"",VLOOKUP($A555,'NHL PBP'!$A:$L,8,FALSE))</f>
        <v/>
      </c>
      <c r="C555" t="str">
        <f>IF($A555&gt;$A$1,"",IF(B555&gt;3,5/24,20/24)-VLOOKUP($A555,'NHL PBP'!$A:$L,10,FALSE))</f>
        <v/>
      </c>
      <c r="D555" t="str">
        <f>IF($A555&gt;$A$1,"",VLOOKUP($A555,'NHL PBP'!$A:$L,11,FALSE))</f>
        <v/>
      </c>
      <c r="E555" t="str">
        <f>IF(AND(EXACT(D555,"FAC"),NOT(EXACT(MID(F555,9,3),"Neu"))),IF(OR(AND(EXACT(MID(F555,9,3),"Off"),EXACT(LEFT(F555,3),UPPER('Entry data'!$C$2))),AND(EXACT(MID(F555,9,3),"Def"),NOT(EXACT(LEFT(F555,3),UPPER('Entry data'!$C$2))))),"DZF","OZF"),"")</f>
        <v/>
      </c>
      <c r="F555" t="str">
        <f>IF($A555&gt;$A$1,"",VLOOKUP($A555,'NHL PBP'!$A:$L,12,FALSE))</f>
        <v/>
      </c>
      <c r="J555">
        <f>IF(EXACT('Entry data'!$C$3,"Road"),IF(ISBLANK(VLOOKUP(A555,'NHL PBP'!A:AH,21,FALSE)),3,IF(ISBLANK(VLOOKUP(A555,'NHL PBP'!A:AH,23,FALSE)),4,5)),IF(ISBLANK(VLOOKUP(A555,'NHL PBP'!A:AH,32,FALSE)),3,IF(ISBLANK(VLOOKUP(A555,'NHL PBP'!A:AH,34,FALSE)),4,5)))</f>
        <v>5</v>
      </c>
      <c r="K555">
        <f>IF(EXACT('Entry data'!$C$3,"Home"),IF(ISBLANK(VLOOKUP(A555,'NHL PBP'!A:AH,21,FALSE)),3,IF(ISBLANK(VLOOKUP(A555,'NHL PBP'!A:AH,23,FALSE)),4,5)),IF(ISBLANK(VLOOKUP(A555,'NHL PBP'!A:AH,32,FALSE)),3,IF(ISBLANK(VLOOKUP(A555,'NHL PBP'!A:AH,34,FALSE)),4,5)))</f>
        <v>5</v>
      </c>
      <c r="L555">
        <f>IF(OR(EXACT(D555,"C"),EXACT(D555,"P"),EXACT(D555,"D"),EXACT(D555,"T"),EXACT(D555,"X"),EXACT(E555,"DZF"),EXACT(E555,"OZF"),EXACT(D555,"N"),EXACT(D555,"F")),1,0)</f>
        <v>0</v>
      </c>
      <c r="M555" t="str">
        <f t="shared" si="32"/>
        <v/>
      </c>
      <c r="N555">
        <f t="shared" si="33"/>
        <v>0</v>
      </c>
      <c r="O555">
        <f t="shared" si="34"/>
        <v>0</v>
      </c>
      <c r="P555" t="str">
        <f t="shared" si="35"/>
        <v/>
      </c>
    </row>
    <row r="556" spans="1:16" x14ac:dyDescent="0.25">
      <c r="A556">
        <v>401</v>
      </c>
      <c r="B556" t="str">
        <f>IF($A556&gt;$A$1,"",VLOOKUP($A556,'NHL PBP'!$A:$L,8,FALSE))</f>
        <v/>
      </c>
      <c r="C556" t="str">
        <f>IF($A556&gt;$A$1,"",IF(B556&gt;3,5/24,20/24)-VLOOKUP($A556,'NHL PBP'!$A:$L,10,FALSE))</f>
        <v/>
      </c>
      <c r="D556" t="str">
        <f>IF($A556&gt;$A$1,"",VLOOKUP($A556,'NHL PBP'!$A:$L,11,FALSE))</f>
        <v/>
      </c>
      <c r="E556" t="str">
        <f>IF(AND(EXACT(D556,"FAC"),NOT(EXACT(MID(F556,9,3),"Neu"))),IF(OR(AND(EXACT(MID(F556,9,3),"Off"),EXACT(LEFT(F556,3),UPPER('Entry data'!$C$2))),AND(EXACT(MID(F556,9,3),"Def"),NOT(EXACT(LEFT(F556,3),UPPER('Entry data'!$C$2))))),"DZF","OZF"),"")</f>
        <v/>
      </c>
      <c r="F556" t="str">
        <f>IF($A556&gt;$A$1,"",VLOOKUP($A556,'NHL PBP'!$A:$L,12,FALSE))</f>
        <v/>
      </c>
      <c r="J556">
        <f>IF(EXACT('Entry data'!$C$3,"Road"),IF(ISBLANK(VLOOKUP(A556,'NHL PBP'!A:AH,21,FALSE)),3,IF(ISBLANK(VLOOKUP(A556,'NHL PBP'!A:AH,23,FALSE)),4,5)),IF(ISBLANK(VLOOKUP(A556,'NHL PBP'!A:AH,32,FALSE)),3,IF(ISBLANK(VLOOKUP(A556,'NHL PBP'!A:AH,34,FALSE)),4,5)))</f>
        <v>5</v>
      </c>
      <c r="K556">
        <f>IF(EXACT('Entry data'!$C$3,"Home"),IF(ISBLANK(VLOOKUP(A556,'NHL PBP'!A:AH,21,FALSE)),3,IF(ISBLANK(VLOOKUP(A556,'NHL PBP'!A:AH,23,FALSE)),4,5)),IF(ISBLANK(VLOOKUP(A556,'NHL PBP'!A:AH,32,FALSE)),3,IF(ISBLANK(VLOOKUP(A556,'NHL PBP'!A:AH,34,FALSE)),4,5)))</f>
        <v>5</v>
      </c>
      <c r="L556">
        <f>IF(OR(EXACT(D556,"C"),EXACT(D556,"P"),EXACT(D556,"D"),EXACT(D556,"T"),EXACT(D556,"X"),EXACT(E556,"DZF"),EXACT(E556,"OZF"),EXACT(D556,"N"),EXACT(D556,"F")),1,0)</f>
        <v>0</v>
      </c>
      <c r="M556" t="str">
        <f t="shared" si="32"/>
        <v/>
      </c>
      <c r="N556">
        <f t="shared" si="33"/>
        <v>0</v>
      </c>
      <c r="O556">
        <f t="shared" si="34"/>
        <v>0</v>
      </c>
      <c r="P556" t="str">
        <f t="shared" si="35"/>
        <v/>
      </c>
    </row>
    <row r="557" spans="1:16" x14ac:dyDescent="0.25">
      <c r="A557">
        <v>402</v>
      </c>
      <c r="B557" t="str">
        <f>IF($A557&gt;$A$1,"",VLOOKUP($A557,'NHL PBP'!$A:$L,8,FALSE))</f>
        <v/>
      </c>
      <c r="C557" t="str">
        <f>IF($A557&gt;$A$1,"",IF(B557&gt;3,5/24,20/24)-VLOOKUP($A557,'NHL PBP'!$A:$L,10,FALSE))</f>
        <v/>
      </c>
      <c r="D557" t="str">
        <f>IF($A557&gt;$A$1,"",VLOOKUP($A557,'NHL PBP'!$A:$L,11,FALSE))</f>
        <v/>
      </c>
      <c r="E557" t="str">
        <f>IF(AND(EXACT(D557,"FAC"),NOT(EXACT(MID(F557,9,3),"Neu"))),IF(OR(AND(EXACT(MID(F557,9,3),"Off"),EXACT(LEFT(F557,3),UPPER('Entry data'!$C$2))),AND(EXACT(MID(F557,9,3),"Def"),NOT(EXACT(LEFT(F557,3),UPPER('Entry data'!$C$2))))),"DZF","OZF"),"")</f>
        <v/>
      </c>
      <c r="F557" t="str">
        <f>IF($A557&gt;$A$1,"",VLOOKUP($A557,'NHL PBP'!$A:$L,12,FALSE))</f>
        <v/>
      </c>
      <c r="J557">
        <f>IF(EXACT('Entry data'!$C$3,"Road"),IF(ISBLANK(VLOOKUP(A557,'NHL PBP'!A:AH,21,FALSE)),3,IF(ISBLANK(VLOOKUP(A557,'NHL PBP'!A:AH,23,FALSE)),4,5)),IF(ISBLANK(VLOOKUP(A557,'NHL PBP'!A:AH,32,FALSE)),3,IF(ISBLANK(VLOOKUP(A557,'NHL PBP'!A:AH,34,FALSE)),4,5)))</f>
        <v>5</v>
      </c>
      <c r="K557">
        <f>IF(EXACT('Entry data'!$C$3,"Home"),IF(ISBLANK(VLOOKUP(A557,'NHL PBP'!A:AH,21,FALSE)),3,IF(ISBLANK(VLOOKUP(A557,'NHL PBP'!A:AH,23,FALSE)),4,5)),IF(ISBLANK(VLOOKUP(A557,'NHL PBP'!A:AH,32,FALSE)),3,IF(ISBLANK(VLOOKUP(A557,'NHL PBP'!A:AH,34,FALSE)),4,5)))</f>
        <v>5</v>
      </c>
      <c r="L557">
        <f>IF(OR(EXACT(D557,"C"),EXACT(D557,"P"),EXACT(D557,"D"),EXACT(D557,"T"),EXACT(D557,"X"),EXACT(E557,"DZF"),EXACT(E557,"OZF"),EXACT(D557,"N"),EXACT(D557,"F")),1,0)</f>
        <v>0</v>
      </c>
      <c r="M557" t="str">
        <f t="shared" si="32"/>
        <v/>
      </c>
      <c r="N557">
        <f t="shared" si="33"/>
        <v>0</v>
      </c>
      <c r="O557">
        <f t="shared" si="34"/>
        <v>0</v>
      </c>
      <c r="P557" t="str">
        <f t="shared" si="35"/>
        <v/>
      </c>
    </row>
    <row r="558" spans="1:16" x14ac:dyDescent="0.25">
      <c r="A558">
        <v>403</v>
      </c>
      <c r="B558" t="str">
        <f>IF($A558&gt;$A$1,"",VLOOKUP($A558,'NHL PBP'!$A:$L,8,FALSE))</f>
        <v/>
      </c>
      <c r="C558" t="str">
        <f>IF($A558&gt;$A$1,"",IF(B558&gt;3,5/24,20/24)-VLOOKUP($A558,'NHL PBP'!$A:$L,10,FALSE))</f>
        <v/>
      </c>
      <c r="D558" t="str">
        <f>IF($A558&gt;$A$1,"",VLOOKUP($A558,'NHL PBP'!$A:$L,11,FALSE))</f>
        <v/>
      </c>
      <c r="E558" t="str">
        <f>IF(AND(EXACT(D558,"FAC"),NOT(EXACT(MID(F558,9,3),"Neu"))),IF(OR(AND(EXACT(MID(F558,9,3),"Off"),EXACT(LEFT(F558,3),UPPER('Entry data'!$C$2))),AND(EXACT(MID(F558,9,3),"Def"),NOT(EXACT(LEFT(F558,3),UPPER('Entry data'!$C$2))))),"DZF","OZF"),"")</f>
        <v/>
      </c>
      <c r="F558" t="str">
        <f>IF($A558&gt;$A$1,"",VLOOKUP($A558,'NHL PBP'!$A:$L,12,FALSE))</f>
        <v/>
      </c>
      <c r="J558">
        <f>IF(EXACT('Entry data'!$C$3,"Road"),IF(ISBLANK(VLOOKUP(A558,'NHL PBP'!A:AH,21,FALSE)),3,IF(ISBLANK(VLOOKUP(A558,'NHL PBP'!A:AH,23,FALSE)),4,5)),IF(ISBLANK(VLOOKUP(A558,'NHL PBP'!A:AH,32,FALSE)),3,IF(ISBLANK(VLOOKUP(A558,'NHL PBP'!A:AH,34,FALSE)),4,5)))</f>
        <v>5</v>
      </c>
      <c r="K558">
        <f>IF(EXACT('Entry data'!$C$3,"Home"),IF(ISBLANK(VLOOKUP(A558,'NHL PBP'!A:AH,21,FALSE)),3,IF(ISBLANK(VLOOKUP(A558,'NHL PBP'!A:AH,23,FALSE)),4,5)),IF(ISBLANK(VLOOKUP(A558,'NHL PBP'!A:AH,32,FALSE)),3,IF(ISBLANK(VLOOKUP(A558,'NHL PBP'!A:AH,34,FALSE)),4,5)))</f>
        <v>5</v>
      </c>
      <c r="L558">
        <f>IF(OR(EXACT(D558,"C"),EXACT(D558,"P"),EXACT(D558,"D"),EXACT(D558,"T"),EXACT(D558,"X"),EXACT(E558,"DZF"),EXACT(E558,"OZF"),EXACT(D558,"N"),EXACT(D558,"F")),1,0)</f>
        <v>0</v>
      </c>
      <c r="M558" t="str">
        <f t="shared" si="32"/>
        <v/>
      </c>
      <c r="N558">
        <f t="shared" si="33"/>
        <v>0</v>
      </c>
      <c r="O558">
        <f t="shared" si="34"/>
        <v>0</v>
      </c>
      <c r="P558" t="str">
        <f t="shared" si="35"/>
        <v/>
      </c>
    </row>
    <row r="559" spans="1:16" x14ac:dyDescent="0.25">
      <c r="A559">
        <v>404</v>
      </c>
      <c r="B559" t="str">
        <f>IF($A559&gt;$A$1,"",VLOOKUP($A559,'NHL PBP'!$A:$L,8,FALSE))</f>
        <v/>
      </c>
      <c r="C559" t="str">
        <f>IF($A559&gt;$A$1,"",IF(B559&gt;3,5/24,20/24)-VLOOKUP($A559,'NHL PBP'!$A:$L,10,FALSE))</f>
        <v/>
      </c>
      <c r="D559" t="str">
        <f>IF($A559&gt;$A$1,"",VLOOKUP($A559,'NHL PBP'!$A:$L,11,FALSE))</f>
        <v/>
      </c>
      <c r="E559" t="str">
        <f>IF(AND(EXACT(D559,"FAC"),NOT(EXACT(MID(F559,9,3),"Neu"))),IF(OR(AND(EXACT(MID(F559,9,3),"Off"),EXACT(LEFT(F559,3),UPPER('Entry data'!$C$2))),AND(EXACT(MID(F559,9,3),"Def"),NOT(EXACT(LEFT(F559,3),UPPER('Entry data'!$C$2))))),"DZF","OZF"),"")</f>
        <v/>
      </c>
      <c r="F559" t="str">
        <f>IF($A559&gt;$A$1,"",VLOOKUP($A559,'NHL PBP'!$A:$L,12,FALSE))</f>
        <v/>
      </c>
      <c r="J559">
        <f>IF(EXACT('Entry data'!$C$3,"Road"),IF(ISBLANK(VLOOKUP(A559,'NHL PBP'!A:AH,21,FALSE)),3,IF(ISBLANK(VLOOKUP(A559,'NHL PBP'!A:AH,23,FALSE)),4,5)),IF(ISBLANK(VLOOKUP(A559,'NHL PBP'!A:AH,32,FALSE)),3,IF(ISBLANK(VLOOKUP(A559,'NHL PBP'!A:AH,34,FALSE)),4,5)))</f>
        <v>5</v>
      </c>
      <c r="K559">
        <f>IF(EXACT('Entry data'!$C$3,"Home"),IF(ISBLANK(VLOOKUP(A559,'NHL PBP'!A:AH,21,FALSE)),3,IF(ISBLANK(VLOOKUP(A559,'NHL PBP'!A:AH,23,FALSE)),4,5)),IF(ISBLANK(VLOOKUP(A559,'NHL PBP'!A:AH,32,FALSE)),3,IF(ISBLANK(VLOOKUP(A559,'NHL PBP'!A:AH,34,FALSE)),4,5)))</f>
        <v>5</v>
      </c>
      <c r="L559">
        <f>IF(OR(EXACT(D559,"C"),EXACT(D559,"P"),EXACT(D559,"D"),EXACT(D559,"T"),EXACT(D559,"X"),EXACT(E559,"DZF"),EXACT(E559,"OZF"),EXACT(D559,"N"),EXACT(D559,"F")),1,0)</f>
        <v>0</v>
      </c>
      <c r="M559" t="str">
        <f t="shared" si="32"/>
        <v/>
      </c>
      <c r="N559">
        <f t="shared" si="33"/>
        <v>0</v>
      </c>
      <c r="O559">
        <f t="shared" si="34"/>
        <v>0</v>
      </c>
      <c r="P559" t="str">
        <f t="shared" si="35"/>
        <v/>
      </c>
    </row>
    <row r="560" spans="1:16" x14ac:dyDescent="0.25">
      <c r="A560">
        <v>405</v>
      </c>
      <c r="B560" t="str">
        <f>IF($A560&gt;$A$1,"",VLOOKUP($A560,'NHL PBP'!$A:$L,8,FALSE))</f>
        <v/>
      </c>
      <c r="C560" t="str">
        <f>IF($A560&gt;$A$1,"",IF(B560&gt;3,5/24,20/24)-VLOOKUP($A560,'NHL PBP'!$A:$L,10,FALSE))</f>
        <v/>
      </c>
      <c r="D560" t="str">
        <f>IF($A560&gt;$A$1,"",VLOOKUP($A560,'NHL PBP'!$A:$L,11,FALSE))</f>
        <v/>
      </c>
      <c r="E560" t="str">
        <f>IF(AND(EXACT(D560,"FAC"),NOT(EXACT(MID(F560,9,3),"Neu"))),IF(OR(AND(EXACT(MID(F560,9,3),"Off"),EXACT(LEFT(F560,3),UPPER('Entry data'!$C$2))),AND(EXACT(MID(F560,9,3),"Def"),NOT(EXACT(LEFT(F560,3),UPPER('Entry data'!$C$2))))),"DZF","OZF"),"")</f>
        <v/>
      </c>
      <c r="F560" t="str">
        <f>IF($A560&gt;$A$1,"",VLOOKUP($A560,'NHL PBP'!$A:$L,12,FALSE))</f>
        <v/>
      </c>
      <c r="J560">
        <f>IF(EXACT('Entry data'!$C$3,"Road"),IF(ISBLANK(VLOOKUP(A560,'NHL PBP'!A:AH,21,FALSE)),3,IF(ISBLANK(VLOOKUP(A560,'NHL PBP'!A:AH,23,FALSE)),4,5)),IF(ISBLANK(VLOOKUP(A560,'NHL PBP'!A:AH,32,FALSE)),3,IF(ISBLANK(VLOOKUP(A560,'NHL PBP'!A:AH,34,FALSE)),4,5)))</f>
        <v>5</v>
      </c>
      <c r="K560">
        <f>IF(EXACT('Entry data'!$C$3,"Home"),IF(ISBLANK(VLOOKUP(A560,'NHL PBP'!A:AH,21,FALSE)),3,IF(ISBLANK(VLOOKUP(A560,'NHL PBP'!A:AH,23,FALSE)),4,5)),IF(ISBLANK(VLOOKUP(A560,'NHL PBP'!A:AH,32,FALSE)),3,IF(ISBLANK(VLOOKUP(A560,'NHL PBP'!A:AH,34,FALSE)),4,5)))</f>
        <v>5</v>
      </c>
      <c r="L560">
        <f>IF(OR(EXACT(D560,"C"),EXACT(D560,"P"),EXACT(D560,"D"),EXACT(D560,"T"),EXACT(D560,"X"),EXACT(E560,"DZF"),EXACT(E560,"OZF"),EXACT(D560,"N"),EXACT(D560,"F")),1,0)</f>
        <v>0</v>
      </c>
      <c r="M560" t="str">
        <f t="shared" si="32"/>
        <v/>
      </c>
      <c r="N560">
        <f t="shared" si="33"/>
        <v>0</v>
      </c>
      <c r="O560">
        <f t="shared" si="34"/>
        <v>0</v>
      </c>
      <c r="P560" t="str">
        <f t="shared" si="35"/>
        <v/>
      </c>
    </row>
    <row r="561" spans="1:16" x14ac:dyDescent="0.25">
      <c r="A561">
        <v>406</v>
      </c>
      <c r="B561" t="str">
        <f>IF($A561&gt;$A$1,"",VLOOKUP($A561,'NHL PBP'!$A:$L,8,FALSE))</f>
        <v/>
      </c>
      <c r="C561" t="str">
        <f>IF($A561&gt;$A$1,"",IF(B561&gt;3,5/24,20/24)-VLOOKUP($A561,'NHL PBP'!$A:$L,10,FALSE))</f>
        <v/>
      </c>
      <c r="D561" t="str">
        <f>IF($A561&gt;$A$1,"",VLOOKUP($A561,'NHL PBP'!$A:$L,11,FALSE))</f>
        <v/>
      </c>
      <c r="E561" t="str">
        <f>IF(AND(EXACT(D561,"FAC"),NOT(EXACT(MID(F561,9,3),"Neu"))),IF(OR(AND(EXACT(MID(F561,9,3),"Off"),EXACT(LEFT(F561,3),UPPER('Entry data'!$C$2))),AND(EXACT(MID(F561,9,3),"Def"),NOT(EXACT(LEFT(F561,3),UPPER('Entry data'!$C$2))))),"DZF","OZF"),"")</f>
        <v/>
      </c>
      <c r="F561" t="str">
        <f>IF($A561&gt;$A$1,"",VLOOKUP($A561,'NHL PBP'!$A:$L,12,FALSE))</f>
        <v/>
      </c>
      <c r="J561">
        <f>IF(EXACT('Entry data'!$C$3,"Road"),IF(ISBLANK(VLOOKUP(A561,'NHL PBP'!A:AH,21,FALSE)),3,IF(ISBLANK(VLOOKUP(A561,'NHL PBP'!A:AH,23,FALSE)),4,5)),IF(ISBLANK(VLOOKUP(A561,'NHL PBP'!A:AH,32,FALSE)),3,IF(ISBLANK(VLOOKUP(A561,'NHL PBP'!A:AH,34,FALSE)),4,5)))</f>
        <v>5</v>
      </c>
      <c r="K561">
        <f>IF(EXACT('Entry data'!$C$3,"Home"),IF(ISBLANK(VLOOKUP(A561,'NHL PBP'!A:AH,21,FALSE)),3,IF(ISBLANK(VLOOKUP(A561,'NHL PBP'!A:AH,23,FALSE)),4,5)),IF(ISBLANK(VLOOKUP(A561,'NHL PBP'!A:AH,32,FALSE)),3,IF(ISBLANK(VLOOKUP(A561,'NHL PBP'!A:AH,34,FALSE)),4,5)))</f>
        <v>5</v>
      </c>
      <c r="L561">
        <f>IF(OR(EXACT(D561,"C"),EXACT(D561,"P"),EXACT(D561,"D"),EXACT(D561,"T"),EXACT(D561,"X"),EXACT(E561,"DZF"),EXACT(E561,"OZF"),EXACT(D561,"N"),EXACT(D561,"F")),1,0)</f>
        <v>0</v>
      </c>
      <c r="M561" t="str">
        <f t="shared" si="32"/>
        <v/>
      </c>
      <c r="N561">
        <f t="shared" si="33"/>
        <v>0</v>
      </c>
      <c r="O561">
        <f t="shared" si="34"/>
        <v>0</v>
      </c>
      <c r="P561" t="str">
        <f t="shared" si="35"/>
        <v/>
      </c>
    </row>
    <row r="562" spans="1:16" x14ac:dyDescent="0.25">
      <c r="A562">
        <v>407</v>
      </c>
      <c r="B562" t="str">
        <f>IF($A562&gt;$A$1,"",VLOOKUP($A562,'NHL PBP'!$A:$L,8,FALSE))</f>
        <v/>
      </c>
      <c r="C562" t="str">
        <f>IF($A562&gt;$A$1,"",IF(B562&gt;3,5/24,20/24)-VLOOKUP($A562,'NHL PBP'!$A:$L,10,FALSE))</f>
        <v/>
      </c>
      <c r="D562" t="str">
        <f>IF($A562&gt;$A$1,"",VLOOKUP($A562,'NHL PBP'!$A:$L,11,FALSE))</f>
        <v/>
      </c>
      <c r="E562" t="str">
        <f>IF(AND(EXACT(D562,"FAC"),NOT(EXACT(MID(F562,9,3),"Neu"))),IF(OR(AND(EXACT(MID(F562,9,3),"Off"),EXACT(LEFT(F562,3),UPPER('Entry data'!$C$2))),AND(EXACT(MID(F562,9,3),"Def"),NOT(EXACT(LEFT(F562,3),UPPER('Entry data'!$C$2))))),"DZF","OZF"),"")</f>
        <v/>
      </c>
      <c r="F562" t="str">
        <f>IF($A562&gt;$A$1,"",VLOOKUP($A562,'NHL PBP'!$A:$L,12,FALSE))</f>
        <v/>
      </c>
      <c r="J562">
        <f>IF(EXACT('Entry data'!$C$3,"Road"),IF(ISBLANK(VLOOKUP(A562,'NHL PBP'!A:AH,21,FALSE)),3,IF(ISBLANK(VLOOKUP(A562,'NHL PBP'!A:AH,23,FALSE)),4,5)),IF(ISBLANK(VLOOKUP(A562,'NHL PBP'!A:AH,32,FALSE)),3,IF(ISBLANK(VLOOKUP(A562,'NHL PBP'!A:AH,34,FALSE)),4,5)))</f>
        <v>5</v>
      </c>
      <c r="K562">
        <f>IF(EXACT('Entry data'!$C$3,"Home"),IF(ISBLANK(VLOOKUP(A562,'NHL PBP'!A:AH,21,FALSE)),3,IF(ISBLANK(VLOOKUP(A562,'NHL PBP'!A:AH,23,FALSE)),4,5)),IF(ISBLANK(VLOOKUP(A562,'NHL PBP'!A:AH,32,FALSE)),3,IF(ISBLANK(VLOOKUP(A562,'NHL PBP'!A:AH,34,FALSE)),4,5)))</f>
        <v>5</v>
      </c>
      <c r="L562">
        <f>IF(OR(EXACT(D562,"C"),EXACT(D562,"P"),EXACT(D562,"D"),EXACT(D562,"T"),EXACT(D562,"X"),EXACT(E562,"DZF"),EXACT(E562,"OZF"),EXACT(D562,"N"),EXACT(D562,"F")),1,0)</f>
        <v>0</v>
      </c>
      <c r="M562" t="str">
        <f t="shared" si="32"/>
        <v/>
      </c>
      <c r="N562">
        <f t="shared" si="33"/>
        <v>0</v>
      </c>
      <c r="O562">
        <f t="shared" si="34"/>
        <v>0</v>
      </c>
      <c r="P562" t="str">
        <f t="shared" si="35"/>
        <v/>
      </c>
    </row>
    <row r="563" spans="1:16" x14ac:dyDescent="0.25">
      <c r="A563">
        <v>408</v>
      </c>
      <c r="B563" t="str">
        <f>IF($A563&gt;$A$1,"",VLOOKUP($A563,'NHL PBP'!$A:$L,8,FALSE))</f>
        <v/>
      </c>
      <c r="C563" t="str">
        <f>IF($A563&gt;$A$1,"",IF(B563&gt;3,5/24,20/24)-VLOOKUP($A563,'NHL PBP'!$A:$L,10,FALSE))</f>
        <v/>
      </c>
      <c r="D563" t="str">
        <f>IF($A563&gt;$A$1,"",VLOOKUP($A563,'NHL PBP'!$A:$L,11,FALSE))</f>
        <v/>
      </c>
      <c r="E563" t="str">
        <f>IF(AND(EXACT(D563,"FAC"),NOT(EXACT(MID(F563,9,3),"Neu"))),IF(OR(AND(EXACT(MID(F563,9,3),"Off"),EXACT(LEFT(F563,3),UPPER('Entry data'!$C$2))),AND(EXACT(MID(F563,9,3),"Def"),NOT(EXACT(LEFT(F563,3),UPPER('Entry data'!$C$2))))),"DZF","OZF"),"")</f>
        <v/>
      </c>
      <c r="F563" t="str">
        <f>IF($A563&gt;$A$1,"",VLOOKUP($A563,'NHL PBP'!$A:$L,12,FALSE))</f>
        <v/>
      </c>
      <c r="J563">
        <f>IF(EXACT('Entry data'!$C$3,"Road"),IF(ISBLANK(VLOOKUP(A563,'NHL PBP'!A:AH,21,FALSE)),3,IF(ISBLANK(VLOOKUP(A563,'NHL PBP'!A:AH,23,FALSE)),4,5)),IF(ISBLANK(VLOOKUP(A563,'NHL PBP'!A:AH,32,FALSE)),3,IF(ISBLANK(VLOOKUP(A563,'NHL PBP'!A:AH,34,FALSE)),4,5)))</f>
        <v>5</v>
      </c>
      <c r="K563">
        <f>IF(EXACT('Entry data'!$C$3,"Home"),IF(ISBLANK(VLOOKUP(A563,'NHL PBP'!A:AH,21,FALSE)),3,IF(ISBLANK(VLOOKUP(A563,'NHL PBP'!A:AH,23,FALSE)),4,5)),IF(ISBLANK(VLOOKUP(A563,'NHL PBP'!A:AH,32,FALSE)),3,IF(ISBLANK(VLOOKUP(A563,'NHL PBP'!A:AH,34,FALSE)),4,5)))</f>
        <v>5</v>
      </c>
      <c r="L563">
        <f>IF(OR(EXACT(D563,"C"),EXACT(D563,"P"),EXACT(D563,"D"),EXACT(D563,"T"),EXACT(D563,"X"),EXACT(E563,"DZF"),EXACT(E563,"OZF"),EXACT(D563,"N"),EXACT(D563,"F")),1,0)</f>
        <v>0</v>
      </c>
      <c r="M563" t="str">
        <f t="shared" si="32"/>
        <v/>
      </c>
      <c r="N563">
        <f t="shared" si="33"/>
        <v>0</v>
      </c>
      <c r="O563">
        <f t="shared" si="34"/>
        <v>0</v>
      </c>
      <c r="P563" t="str">
        <f t="shared" si="35"/>
        <v/>
      </c>
    </row>
    <row r="564" spans="1:16" x14ac:dyDescent="0.25">
      <c r="A564">
        <v>409</v>
      </c>
      <c r="B564" t="str">
        <f>IF($A564&gt;$A$1,"",VLOOKUP($A564,'NHL PBP'!$A:$L,8,FALSE))</f>
        <v/>
      </c>
      <c r="C564" t="str">
        <f>IF($A564&gt;$A$1,"",IF(B564&gt;3,5/24,20/24)-VLOOKUP($A564,'NHL PBP'!$A:$L,10,FALSE))</f>
        <v/>
      </c>
      <c r="D564" t="str">
        <f>IF($A564&gt;$A$1,"",VLOOKUP($A564,'NHL PBP'!$A:$L,11,FALSE))</f>
        <v/>
      </c>
      <c r="E564" t="str">
        <f>IF(AND(EXACT(D564,"FAC"),NOT(EXACT(MID(F564,9,3),"Neu"))),IF(OR(AND(EXACT(MID(F564,9,3),"Off"),EXACT(LEFT(F564,3),UPPER('Entry data'!$C$2))),AND(EXACT(MID(F564,9,3),"Def"),NOT(EXACT(LEFT(F564,3),UPPER('Entry data'!$C$2))))),"DZF","OZF"),"")</f>
        <v/>
      </c>
      <c r="F564" t="str">
        <f>IF($A564&gt;$A$1,"",VLOOKUP($A564,'NHL PBP'!$A:$L,12,FALSE))</f>
        <v/>
      </c>
      <c r="J564">
        <f>IF(EXACT('Entry data'!$C$3,"Road"),IF(ISBLANK(VLOOKUP(A564,'NHL PBP'!A:AH,21,FALSE)),3,IF(ISBLANK(VLOOKUP(A564,'NHL PBP'!A:AH,23,FALSE)),4,5)),IF(ISBLANK(VLOOKUP(A564,'NHL PBP'!A:AH,32,FALSE)),3,IF(ISBLANK(VLOOKUP(A564,'NHL PBP'!A:AH,34,FALSE)),4,5)))</f>
        <v>5</v>
      </c>
      <c r="K564">
        <f>IF(EXACT('Entry data'!$C$3,"Home"),IF(ISBLANK(VLOOKUP(A564,'NHL PBP'!A:AH,21,FALSE)),3,IF(ISBLANK(VLOOKUP(A564,'NHL PBP'!A:AH,23,FALSE)),4,5)),IF(ISBLANK(VLOOKUP(A564,'NHL PBP'!A:AH,32,FALSE)),3,IF(ISBLANK(VLOOKUP(A564,'NHL PBP'!A:AH,34,FALSE)),4,5)))</f>
        <v>5</v>
      </c>
      <c r="L564">
        <f>IF(OR(EXACT(D564,"C"),EXACT(D564,"P"),EXACT(D564,"D"),EXACT(D564,"T"),EXACT(D564,"X"),EXACT(E564,"DZF"),EXACT(E564,"OZF"),EXACT(D564,"N"),EXACT(D564,"F")),1,0)</f>
        <v>0</v>
      </c>
      <c r="M564" t="str">
        <f t="shared" si="32"/>
        <v/>
      </c>
      <c r="N564">
        <f t="shared" si="33"/>
        <v>0</v>
      </c>
      <c r="O564">
        <f t="shared" si="34"/>
        <v>0</v>
      </c>
      <c r="P564" t="str">
        <f t="shared" si="35"/>
        <v/>
      </c>
    </row>
    <row r="565" spans="1:16" x14ac:dyDescent="0.25">
      <c r="A565">
        <v>410</v>
      </c>
      <c r="B565" t="str">
        <f>IF($A565&gt;$A$1,"",VLOOKUP($A565,'NHL PBP'!$A:$L,8,FALSE))</f>
        <v/>
      </c>
      <c r="C565" t="str">
        <f>IF($A565&gt;$A$1,"",IF(B565&gt;3,5/24,20/24)-VLOOKUP($A565,'NHL PBP'!$A:$L,10,FALSE))</f>
        <v/>
      </c>
      <c r="D565" t="str">
        <f>IF($A565&gt;$A$1,"",VLOOKUP($A565,'NHL PBP'!$A:$L,11,FALSE))</f>
        <v/>
      </c>
      <c r="E565" t="str">
        <f>IF(AND(EXACT(D565,"FAC"),NOT(EXACT(MID(F565,9,3),"Neu"))),IF(OR(AND(EXACT(MID(F565,9,3),"Off"),EXACT(LEFT(F565,3),UPPER('Entry data'!$C$2))),AND(EXACT(MID(F565,9,3),"Def"),NOT(EXACT(LEFT(F565,3),UPPER('Entry data'!$C$2))))),"DZF","OZF"),"")</f>
        <v/>
      </c>
      <c r="F565" t="str">
        <f>IF($A565&gt;$A$1,"",VLOOKUP($A565,'NHL PBP'!$A:$L,12,FALSE))</f>
        <v/>
      </c>
      <c r="J565">
        <f>IF(EXACT('Entry data'!$C$3,"Road"),IF(ISBLANK(VLOOKUP(A565,'NHL PBP'!A:AH,21,FALSE)),3,IF(ISBLANK(VLOOKUP(A565,'NHL PBP'!A:AH,23,FALSE)),4,5)),IF(ISBLANK(VLOOKUP(A565,'NHL PBP'!A:AH,32,FALSE)),3,IF(ISBLANK(VLOOKUP(A565,'NHL PBP'!A:AH,34,FALSE)),4,5)))</f>
        <v>5</v>
      </c>
      <c r="K565">
        <f>IF(EXACT('Entry data'!$C$3,"Home"),IF(ISBLANK(VLOOKUP(A565,'NHL PBP'!A:AH,21,FALSE)),3,IF(ISBLANK(VLOOKUP(A565,'NHL PBP'!A:AH,23,FALSE)),4,5)),IF(ISBLANK(VLOOKUP(A565,'NHL PBP'!A:AH,32,FALSE)),3,IF(ISBLANK(VLOOKUP(A565,'NHL PBP'!A:AH,34,FALSE)),4,5)))</f>
        <v>5</v>
      </c>
      <c r="L565">
        <f>IF(OR(EXACT(D565,"C"),EXACT(D565,"P"),EXACT(D565,"D"),EXACT(D565,"T"),EXACT(D565,"X"),EXACT(E565,"DZF"),EXACT(E565,"OZF"),EXACT(D565,"N"),EXACT(D565,"F")),1,0)</f>
        <v>0</v>
      </c>
      <c r="M565" t="str">
        <f t="shared" si="32"/>
        <v/>
      </c>
      <c r="N565">
        <f t="shared" si="33"/>
        <v>0</v>
      </c>
      <c r="O565">
        <f t="shared" si="34"/>
        <v>0</v>
      </c>
      <c r="P565" t="str">
        <f t="shared" si="35"/>
        <v/>
      </c>
    </row>
    <row r="566" spans="1:16" x14ac:dyDescent="0.25">
      <c r="A566">
        <v>411</v>
      </c>
      <c r="B566" t="str">
        <f>IF($A566&gt;$A$1,"",VLOOKUP($A566,'NHL PBP'!$A:$L,8,FALSE))</f>
        <v/>
      </c>
      <c r="C566" t="str">
        <f>IF($A566&gt;$A$1,"",IF(B566&gt;3,5/24,20/24)-VLOOKUP($A566,'NHL PBP'!$A:$L,10,FALSE))</f>
        <v/>
      </c>
      <c r="D566" t="str">
        <f>IF($A566&gt;$A$1,"",VLOOKUP($A566,'NHL PBP'!$A:$L,11,FALSE))</f>
        <v/>
      </c>
      <c r="E566" t="str">
        <f>IF(AND(EXACT(D566,"FAC"),NOT(EXACT(MID(F566,9,3),"Neu"))),IF(OR(AND(EXACT(MID(F566,9,3),"Off"),EXACT(LEFT(F566,3),UPPER('Entry data'!$C$2))),AND(EXACT(MID(F566,9,3),"Def"),NOT(EXACT(LEFT(F566,3),UPPER('Entry data'!$C$2))))),"DZF","OZF"),"")</f>
        <v/>
      </c>
      <c r="F566" t="str">
        <f>IF($A566&gt;$A$1,"",VLOOKUP($A566,'NHL PBP'!$A:$L,12,FALSE))</f>
        <v/>
      </c>
      <c r="J566">
        <f>IF(EXACT('Entry data'!$C$3,"Road"),IF(ISBLANK(VLOOKUP(A566,'NHL PBP'!A:AH,21,FALSE)),3,IF(ISBLANK(VLOOKUP(A566,'NHL PBP'!A:AH,23,FALSE)),4,5)),IF(ISBLANK(VLOOKUP(A566,'NHL PBP'!A:AH,32,FALSE)),3,IF(ISBLANK(VLOOKUP(A566,'NHL PBP'!A:AH,34,FALSE)),4,5)))</f>
        <v>5</v>
      </c>
      <c r="K566">
        <f>IF(EXACT('Entry data'!$C$3,"Home"),IF(ISBLANK(VLOOKUP(A566,'NHL PBP'!A:AH,21,FALSE)),3,IF(ISBLANK(VLOOKUP(A566,'NHL PBP'!A:AH,23,FALSE)),4,5)),IF(ISBLANK(VLOOKUP(A566,'NHL PBP'!A:AH,32,FALSE)),3,IF(ISBLANK(VLOOKUP(A566,'NHL PBP'!A:AH,34,FALSE)),4,5)))</f>
        <v>5</v>
      </c>
      <c r="L566">
        <f>IF(OR(EXACT(D566,"C"),EXACT(D566,"P"),EXACT(D566,"D"),EXACT(D566,"T"),EXACT(D566,"X"),EXACT(E566,"DZF"),EXACT(E566,"OZF"),EXACT(D566,"N"),EXACT(D566,"F")),1,0)</f>
        <v>0</v>
      </c>
      <c r="M566" t="str">
        <f t="shared" si="32"/>
        <v/>
      </c>
      <c r="N566">
        <f t="shared" si="33"/>
        <v>0</v>
      </c>
      <c r="O566">
        <f t="shared" si="34"/>
        <v>0</v>
      </c>
      <c r="P566" t="str">
        <f t="shared" si="35"/>
        <v/>
      </c>
    </row>
    <row r="567" spans="1:16" x14ac:dyDescent="0.25">
      <c r="A567">
        <v>412</v>
      </c>
      <c r="B567" t="str">
        <f>IF($A567&gt;$A$1,"",VLOOKUP($A567,'NHL PBP'!$A:$L,8,FALSE))</f>
        <v/>
      </c>
      <c r="C567" t="str">
        <f>IF($A567&gt;$A$1,"",IF(B567&gt;3,5/24,20/24)-VLOOKUP($A567,'NHL PBP'!$A:$L,10,FALSE))</f>
        <v/>
      </c>
      <c r="D567" t="str">
        <f>IF($A567&gt;$A$1,"",VLOOKUP($A567,'NHL PBP'!$A:$L,11,FALSE))</f>
        <v/>
      </c>
      <c r="E567" t="str">
        <f>IF(AND(EXACT(D567,"FAC"),NOT(EXACT(MID(F567,9,3),"Neu"))),IF(OR(AND(EXACT(MID(F567,9,3),"Off"),EXACT(LEFT(F567,3),UPPER('Entry data'!$C$2))),AND(EXACT(MID(F567,9,3),"Def"),NOT(EXACT(LEFT(F567,3),UPPER('Entry data'!$C$2))))),"DZF","OZF"),"")</f>
        <v/>
      </c>
      <c r="F567" t="str">
        <f>IF($A567&gt;$A$1,"",VLOOKUP($A567,'NHL PBP'!$A:$L,12,FALSE))</f>
        <v/>
      </c>
      <c r="J567">
        <f>IF(EXACT('Entry data'!$C$3,"Road"),IF(ISBLANK(VLOOKUP(A567,'NHL PBP'!A:AH,21,FALSE)),3,IF(ISBLANK(VLOOKUP(A567,'NHL PBP'!A:AH,23,FALSE)),4,5)),IF(ISBLANK(VLOOKUP(A567,'NHL PBP'!A:AH,32,FALSE)),3,IF(ISBLANK(VLOOKUP(A567,'NHL PBP'!A:AH,34,FALSE)),4,5)))</f>
        <v>5</v>
      </c>
      <c r="K567">
        <f>IF(EXACT('Entry data'!$C$3,"Home"),IF(ISBLANK(VLOOKUP(A567,'NHL PBP'!A:AH,21,FALSE)),3,IF(ISBLANK(VLOOKUP(A567,'NHL PBP'!A:AH,23,FALSE)),4,5)),IF(ISBLANK(VLOOKUP(A567,'NHL PBP'!A:AH,32,FALSE)),3,IF(ISBLANK(VLOOKUP(A567,'NHL PBP'!A:AH,34,FALSE)),4,5)))</f>
        <v>5</v>
      </c>
      <c r="L567">
        <f>IF(OR(EXACT(D567,"C"),EXACT(D567,"P"),EXACT(D567,"D"),EXACT(D567,"T"),EXACT(D567,"X"),EXACT(E567,"DZF"),EXACT(E567,"OZF"),EXACT(D567,"N"),EXACT(D567,"F")),1,0)</f>
        <v>0</v>
      </c>
      <c r="M567" t="str">
        <f t="shared" si="32"/>
        <v/>
      </c>
      <c r="N567">
        <f t="shared" si="33"/>
        <v>0</v>
      </c>
      <c r="O567">
        <f t="shared" si="34"/>
        <v>0</v>
      </c>
      <c r="P567" t="str">
        <f t="shared" si="35"/>
        <v/>
      </c>
    </row>
    <row r="568" spans="1:16" x14ac:dyDescent="0.25">
      <c r="A568">
        <v>413</v>
      </c>
      <c r="B568" t="str">
        <f>IF($A568&gt;$A$1,"",VLOOKUP($A568,'NHL PBP'!$A:$L,8,FALSE))</f>
        <v/>
      </c>
      <c r="C568" t="str">
        <f>IF($A568&gt;$A$1,"",IF(B568&gt;3,5/24,20/24)-VLOOKUP($A568,'NHL PBP'!$A:$L,10,FALSE))</f>
        <v/>
      </c>
      <c r="D568" t="str">
        <f>IF($A568&gt;$A$1,"",VLOOKUP($A568,'NHL PBP'!$A:$L,11,FALSE))</f>
        <v/>
      </c>
      <c r="E568" t="str">
        <f>IF(AND(EXACT(D568,"FAC"),NOT(EXACT(MID(F568,9,3),"Neu"))),IF(OR(AND(EXACT(MID(F568,9,3),"Off"),EXACT(LEFT(F568,3),UPPER('Entry data'!$C$2))),AND(EXACT(MID(F568,9,3),"Def"),NOT(EXACT(LEFT(F568,3),UPPER('Entry data'!$C$2))))),"DZF","OZF"),"")</f>
        <v/>
      </c>
      <c r="F568" t="str">
        <f>IF($A568&gt;$A$1,"",VLOOKUP($A568,'NHL PBP'!$A:$L,12,FALSE))</f>
        <v/>
      </c>
      <c r="J568">
        <f>IF(EXACT('Entry data'!$C$3,"Road"),IF(ISBLANK(VLOOKUP(A568,'NHL PBP'!A:AH,21,FALSE)),3,IF(ISBLANK(VLOOKUP(A568,'NHL PBP'!A:AH,23,FALSE)),4,5)),IF(ISBLANK(VLOOKUP(A568,'NHL PBP'!A:AH,32,FALSE)),3,IF(ISBLANK(VLOOKUP(A568,'NHL PBP'!A:AH,34,FALSE)),4,5)))</f>
        <v>5</v>
      </c>
      <c r="K568">
        <f>IF(EXACT('Entry data'!$C$3,"Home"),IF(ISBLANK(VLOOKUP(A568,'NHL PBP'!A:AH,21,FALSE)),3,IF(ISBLANK(VLOOKUP(A568,'NHL PBP'!A:AH,23,FALSE)),4,5)),IF(ISBLANK(VLOOKUP(A568,'NHL PBP'!A:AH,32,FALSE)),3,IF(ISBLANK(VLOOKUP(A568,'NHL PBP'!A:AH,34,FALSE)),4,5)))</f>
        <v>5</v>
      </c>
      <c r="L568">
        <f>IF(OR(EXACT(D568,"C"),EXACT(D568,"P"),EXACT(D568,"D"),EXACT(D568,"T"),EXACT(D568,"X"),EXACT(E568,"DZF"),EXACT(E568,"OZF"),EXACT(D568,"N"),EXACT(D568,"F")),1,0)</f>
        <v>0</v>
      </c>
      <c r="M568" t="str">
        <f t="shared" si="32"/>
        <v/>
      </c>
      <c r="N568">
        <f t="shared" si="33"/>
        <v>0</v>
      </c>
      <c r="O568">
        <f t="shared" si="34"/>
        <v>0</v>
      </c>
      <c r="P568" t="str">
        <f t="shared" si="35"/>
        <v/>
      </c>
    </row>
    <row r="569" spans="1:16" x14ac:dyDescent="0.25">
      <c r="A569">
        <v>414</v>
      </c>
      <c r="B569" t="str">
        <f>IF($A569&gt;$A$1,"",VLOOKUP($A569,'NHL PBP'!$A:$L,8,FALSE))</f>
        <v/>
      </c>
      <c r="C569" t="str">
        <f>IF($A569&gt;$A$1,"",IF(B569&gt;3,5/24,20/24)-VLOOKUP($A569,'NHL PBP'!$A:$L,10,FALSE))</f>
        <v/>
      </c>
      <c r="D569" t="str">
        <f>IF($A569&gt;$A$1,"",VLOOKUP($A569,'NHL PBP'!$A:$L,11,FALSE))</f>
        <v/>
      </c>
      <c r="E569" t="str">
        <f>IF(AND(EXACT(D569,"FAC"),NOT(EXACT(MID(F569,9,3),"Neu"))),IF(OR(AND(EXACT(MID(F569,9,3),"Off"),EXACT(LEFT(F569,3),UPPER('Entry data'!$C$2))),AND(EXACT(MID(F569,9,3),"Def"),NOT(EXACT(LEFT(F569,3),UPPER('Entry data'!$C$2))))),"DZF","OZF"),"")</f>
        <v/>
      </c>
      <c r="F569" t="str">
        <f>IF($A569&gt;$A$1,"",VLOOKUP($A569,'NHL PBP'!$A:$L,12,FALSE))</f>
        <v/>
      </c>
      <c r="J569">
        <f>IF(EXACT('Entry data'!$C$3,"Road"),IF(ISBLANK(VLOOKUP(A569,'NHL PBP'!A:AH,21,FALSE)),3,IF(ISBLANK(VLOOKUP(A569,'NHL PBP'!A:AH,23,FALSE)),4,5)),IF(ISBLANK(VLOOKUP(A569,'NHL PBP'!A:AH,32,FALSE)),3,IF(ISBLANK(VLOOKUP(A569,'NHL PBP'!A:AH,34,FALSE)),4,5)))</f>
        <v>5</v>
      </c>
      <c r="K569">
        <f>IF(EXACT('Entry data'!$C$3,"Home"),IF(ISBLANK(VLOOKUP(A569,'NHL PBP'!A:AH,21,FALSE)),3,IF(ISBLANK(VLOOKUP(A569,'NHL PBP'!A:AH,23,FALSE)),4,5)),IF(ISBLANK(VLOOKUP(A569,'NHL PBP'!A:AH,32,FALSE)),3,IF(ISBLANK(VLOOKUP(A569,'NHL PBP'!A:AH,34,FALSE)),4,5)))</f>
        <v>5</v>
      </c>
      <c r="L569">
        <f>IF(OR(EXACT(D569,"C"),EXACT(D569,"P"),EXACT(D569,"D"),EXACT(D569,"T"),EXACT(D569,"X"),EXACT(E569,"DZF"),EXACT(E569,"OZF"),EXACT(D569,"N"),EXACT(D569,"F")),1,0)</f>
        <v>0</v>
      </c>
      <c r="M569" t="str">
        <f t="shared" si="32"/>
        <v/>
      </c>
      <c r="N569">
        <f t="shared" si="33"/>
        <v>0</v>
      </c>
      <c r="O569">
        <f t="shared" si="34"/>
        <v>0</v>
      </c>
      <c r="P569" t="str">
        <f t="shared" si="35"/>
        <v/>
      </c>
    </row>
    <row r="570" spans="1:16" x14ac:dyDescent="0.25">
      <c r="A570">
        <v>415</v>
      </c>
      <c r="B570" t="str">
        <f>IF($A570&gt;$A$1,"",VLOOKUP($A570,'NHL PBP'!$A:$L,8,FALSE))</f>
        <v/>
      </c>
      <c r="C570" t="str">
        <f>IF($A570&gt;$A$1,"",IF(B570&gt;3,5/24,20/24)-VLOOKUP($A570,'NHL PBP'!$A:$L,10,FALSE))</f>
        <v/>
      </c>
      <c r="D570" t="str">
        <f>IF($A570&gt;$A$1,"",VLOOKUP($A570,'NHL PBP'!$A:$L,11,FALSE))</f>
        <v/>
      </c>
      <c r="E570" t="str">
        <f>IF(AND(EXACT(D570,"FAC"),NOT(EXACT(MID(F570,9,3),"Neu"))),IF(OR(AND(EXACT(MID(F570,9,3),"Off"),EXACT(LEFT(F570,3),UPPER('Entry data'!$C$2))),AND(EXACT(MID(F570,9,3),"Def"),NOT(EXACT(LEFT(F570,3),UPPER('Entry data'!$C$2))))),"DZF","OZF"),"")</f>
        <v/>
      </c>
      <c r="F570" t="str">
        <f>IF($A570&gt;$A$1,"",VLOOKUP($A570,'NHL PBP'!$A:$L,12,FALSE))</f>
        <v/>
      </c>
      <c r="J570">
        <f>IF(EXACT('Entry data'!$C$3,"Road"),IF(ISBLANK(VLOOKUP(A570,'NHL PBP'!A:AH,21,FALSE)),3,IF(ISBLANK(VLOOKUP(A570,'NHL PBP'!A:AH,23,FALSE)),4,5)),IF(ISBLANK(VLOOKUP(A570,'NHL PBP'!A:AH,32,FALSE)),3,IF(ISBLANK(VLOOKUP(A570,'NHL PBP'!A:AH,34,FALSE)),4,5)))</f>
        <v>5</v>
      </c>
      <c r="K570">
        <f>IF(EXACT('Entry data'!$C$3,"Home"),IF(ISBLANK(VLOOKUP(A570,'NHL PBP'!A:AH,21,FALSE)),3,IF(ISBLANK(VLOOKUP(A570,'NHL PBP'!A:AH,23,FALSE)),4,5)),IF(ISBLANK(VLOOKUP(A570,'NHL PBP'!A:AH,32,FALSE)),3,IF(ISBLANK(VLOOKUP(A570,'NHL PBP'!A:AH,34,FALSE)),4,5)))</f>
        <v>5</v>
      </c>
      <c r="L570">
        <f>IF(OR(EXACT(D570,"C"),EXACT(D570,"P"),EXACT(D570,"D"),EXACT(D570,"T"),EXACT(D570,"X"),EXACT(E570,"DZF"),EXACT(E570,"OZF"),EXACT(D570,"N"),EXACT(D570,"F")),1,0)</f>
        <v>0</v>
      </c>
      <c r="M570" t="str">
        <f t="shared" si="32"/>
        <v/>
      </c>
      <c r="N570">
        <f t="shared" si="33"/>
        <v>0</v>
      </c>
      <c r="O570">
        <f t="shared" si="34"/>
        <v>0</v>
      </c>
      <c r="P570" t="str">
        <f t="shared" si="35"/>
        <v/>
      </c>
    </row>
    <row r="571" spans="1:16" x14ac:dyDescent="0.25">
      <c r="A571">
        <v>416</v>
      </c>
      <c r="B571" t="str">
        <f>IF($A571&gt;$A$1,"",VLOOKUP($A571,'NHL PBP'!$A:$L,8,FALSE))</f>
        <v/>
      </c>
      <c r="C571" t="str">
        <f>IF($A571&gt;$A$1,"",IF(B571&gt;3,5/24,20/24)-VLOOKUP($A571,'NHL PBP'!$A:$L,10,FALSE))</f>
        <v/>
      </c>
      <c r="D571" t="str">
        <f>IF($A571&gt;$A$1,"",VLOOKUP($A571,'NHL PBP'!$A:$L,11,FALSE))</f>
        <v/>
      </c>
      <c r="E571" t="str">
        <f>IF(AND(EXACT(D571,"FAC"),NOT(EXACT(MID(F571,9,3),"Neu"))),IF(OR(AND(EXACT(MID(F571,9,3),"Off"),EXACT(LEFT(F571,3),UPPER('Entry data'!$C$2))),AND(EXACT(MID(F571,9,3),"Def"),NOT(EXACT(LEFT(F571,3),UPPER('Entry data'!$C$2))))),"DZF","OZF"),"")</f>
        <v/>
      </c>
      <c r="F571" t="str">
        <f>IF($A571&gt;$A$1,"",VLOOKUP($A571,'NHL PBP'!$A:$L,12,FALSE))</f>
        <v/>
      </c>
      <c r="J571">
        <f>IF(EXACT('Entry data'!$C$3,"Road"),IF(ISBLANK(VLOOKUP(A571,'NHL PBP'!A:AH,21,FALSE)),3,IF(ISBLANK(VLOOKUP(A571,'NHL PBP'!A:AH,23,FALSE)),4,5)),IF(ISBLANK(VLOOKUP(A571,'NHL PBP'!A:AH,32,FALSE)),3,IF(ISBLANK(VLOOKUP(A571,'NHL PBP'!A:AH,34,FALSE)),4,5)))</f>
        <v>5</v>
      </c>
      <c r="K571">
        <f>IF(EXACT('Entry data'!$C$3,"Home"),IF(ISBLANK(VLOOKUP(A571,'NHL PBP'!A:AH,21,FALSE)),3,IF(ISBLANK(VLOOKUP(A571,'NHL PBP'!A:AH,23,FALSE)),4,5)),IF(ISBLANK(VLOOKUP(A571,'NHL PBP'!A:AH,32,FALSE)),3,IF(ISBLANK(VLOOKUP(A571,'NHL PBP'!A:AH,34,FALSE)),4,5)))</f>
        <v>5</v>
      </c>
      <c r="L571">
        <f>IF(OR(EXACT(D571,"C"),EXACT(D571,"P"),EXACT(D571,"D"),EXACT(D571,"T"),EXACT(D571,"X"),EXACT(E571,"DZF"),EXACT(E571,"OZF"),EXACT(D571,"N"),EXACT(D571,"F")),1,0)</f>
        <v>0</v>
      </c>
      <c r="M571" t="str">
        <f t="shared" si="32"/>
        <v/>
      </c>
      <c r="N571">
        <f t="shared" si="33"/>
        <v>0</v>
      </c>
      <c r="O571">
        <f t="shared" si="34"/>
        <v>0</v>
      </c>
      <c r="P571" t="str">
        <f t="shared" si="35"/>
        <v/>
      </c>
    </row>
    <row r="572" spans="1:16" x14ac:dyDescent="0.25">
      <c r="A572">
        <v>417</v>
      </c>
      <c r="B572" t="str">
        <f>IF($A572&gt;$A$1,"",VLOOKUP($A572,'NHL PBP'!$A:$L,8,FALSE))</f>
        <v/>
      </c>
      <c r="C572" t="str">
        <f>IF($A572&gt;$A$1,"",IF(B572&gt;3,5/24,20/24)-VLOOKUP($A572,'NHL PBP'!$A:$L,10,FALSE))</f>
        <v/>
      </c>
      <c r="D572" t="str">
        <f>IF($A572&gt;$A$1,"",VLOOKUP($A572,'NHL PBP'!$A:$L,11,FALSE))</f>
        <v/>
      </c>
      <c r="E572" t="str">
        <f>IF(AND(EXACT(D572,"FAC"),NOT(EXACT(MID(F572,9,3),"Neu"))),IF(OR(AND(EXACT(MID(F572,9,3),"Off"),EXACT(LEFT(F572,3),UPPER('Entry data'!$C$2))),AND(EXACT(MID(F572,9,3),"Def"),NOT(EXACT(LEFT(F572,3),UPPER('Entry data'!$C$2))))),"DZF","OZF"),"")</f>
        <v/>
      </c>
      <c r="F572" t="str">
        <f>IF($A572&gt;$A$1,"",VLOOKUP($A572,'NHL PBP'!$A:$L,12,FALSE))</f>
        <v/>
      </c>
      <c r="J572">
        <f>IF(EXACT('Entry data'!$C$3,"Road"),IF(ISBLANK(VLOOKUP(A572,'NHL PBP'!A:AH,21,FALSE)),3,IF(ISBLANK(VLOOKUP(A572,'NHL PBP'!A:AH,23,FALSE)),4,5)),IF(ISBLANK(VLOOKUP(A572,'NHL PBP'!A:AH,32,FALSE)),3,IF(ISBLANK(VLOOKUP(A572,'NHL PBP'!A:AH,34,FALSE)),4,5)))</f>
        <v>5</v>
      </c>
      <c r="K572">
        <f>IF(EXACT('Entry data'!$C$3,"Home"),IF(ISBLANK(VLOOKUP(A572,'NHL PBP'!A:AH,21,FALSE)),3,IF(ISBLANK(VLOOKUP(A572,'NHL PBP'!A:AH,23,FALSE)),4,5)),IF(ISBLANK(VLOOKUP(A572,'NHL PBP'!A:AH,32,FALSE)),3,IF(ISBLANK(VLOOKUP(A572,'NHL PBP'!A:AH,34,FALSE)),4,5)))</f>
        <v>5</v>
      </c>
      <c r="L572">
        <f>IF(OR(EXACT(D572,"C"),EXACT(D572,"P"),EXACT(D572,"D"),EXACT(D572,"T"),EXACT(D572,"X"),EXACT(E572,"DZF"),EXACT(E572,"OZF"),EXACT(D572,"N"),EXACT(D572,"F")),1,0)</f>
        <v>0</v>
      </c>
      <c r="M572" t="str">
        <f t="shared" si="32"/>
        <v/>
      </c>
      <c r="N572">
        <f t="shared" si="33"/>
        <v>0</v>
      </c>
      <c r="O572">
        <f t="shared" si="34"/>
        <v>0</v>
      </c>
      <c r="P572" t="str">
        <f t="shared" si="35"/>
        <v/>
      </c>
    </row>
    <row r="573" spans="1:16" x14ac:dyDescent="0.25">
      <c r="A573">
        <v>418</v>
      </c>
      <c r="B573" t="str">
        <f>IF($A573&gt;$A$1,"",VLOOKUP($A573,'NHL PBP'!$A:$L,8,FALSE))</f>
        <v/>
      </c>
      <c r="C573" t="str">
        <f>IF($A573&gt;$A$1,"",IF(B573&gt;3,5/24,20/24)-VLOOKUP($A573,'NHL PBP'!$A:$L,10,FALSE))</f>
        <v/>
      </c>
      <c r="D573" t="str">
        <f>IF($A573&gt;$A$1,"",VLOOKUP($A573,'NHL PBP'!$A:$L,11,FALSE))</f>
        <v/>
      </c>
      <c r="E573" t="str">
        <f>IF(AND(EXACT(D573,"FAC"),NOT(EXACT(MID(F573,9,3),"Neu"))),IF(OR(AND(EXACT(MID(F573,9,3),"Off"),EXACT(LEFT(F573,3),UPPER('Entry data'!$C$2))),AND(EXACT(MID(F573,9,3),"Def"),NOT(EXACT(LEFT(F573,3),UPPER('Entry data'!$C$2))))),"DZF","OZF"),"")</f>
        <v/>
      </c>
      <c r="F573" t="str">
        <f>IF($A573&gt;$A$1,"",VLOOKUP($A573,'NHL PBP'!$A:$L,12,FALSE))</f>
        <v/>
      </c>
      <c r="J573">
        <f>IF(EXACT('Entry data'!$C$3,"Road"),IF(ISBLANK(VLOOKUP(A573,'NHL PBP'!A:AH,21,FALSE)),3,IF(ISBLANK(VLOOKUP(A573,'NHL PBP'!A:AH,23,FALSE)),4,5)),IF(ISBLANK(VLOOKUP(A573,'NHL PBP'!A:AH,32,FALSE)),3,IF(ISBLANK(VLOOKUP(A573,'NHL PBP'!A:AH,34,FALSE)),4,5)))</f>
        <v>5</v>
      </c>
      <c r="K573">
        <f>IF(EXACT('Entry data'!$C$3,"Home"),IF(ISBLANK(VLOOKUP(A573,'NHL PBP'!A:AH,21,FALSE)),3,IF(ISBLANK(VLOOKUP(A573,'NHL PBP'!A:AH,23,FALSE)),4,5)),IF(ISBLANK(VLOOKUP(A573,'NHL PBP'!A:AH,32,FALSE)),3,IF(ISBLANK(VLOOKUP(A573,'NHL PBP'!A:AH,34,FALSE)),4,5)))</f>
        <v>5</v>
      </c>
      <c r="L573">
        <f>IF(OR(EXACT(D573,"C"),EXACT(D573,"P"),EXACT(D573,"D"),EXACT(D573,"T"),EXACT(D573,"X"),EXACT(E573,"DZF"),EXACT(E573,"OZF"),EXACT(D573,"N"),EXACT(D573,"F")),1,0)</f>
        <v>0</v>
      </c>
      <c r="M573" t="str">
        <f t="shared" si="32"/>
        <v/>
      </c>
      <c r="N573">
        <f t="shared" si="33"/>
        <v>0</v>
      </c>
      <c r="O573">
        <f t="shared" si="34"/>
        <v>0</v>
      </c>
      <c r="P573" t="str">
        <f t="shared" si="35"/>
        <v/>
      </c>
    </row>
    <row r="574" spans="1:16" x14ac:dyDescent="0.25">
      <c r="A574">
        <v>419</v>
      </c>
      <c r="B574" t="str">
        <f>IF($A574&gt;$A$1,"",VLOOKUP($A574,'NHL PBP'!$A:$L,8,FALSE))</f>
        <v/>
      </c>
      <c r="C574" t="str">
        <f>IF($A574&gt;$A$1,"",IF(B574&gt;3,5/24,20/24)-VLOOKUP($A574,'NHL PBP'!$A:$L,10,FALSE))</f>
        <v/>
      </c>
      <c r="D574" t="str">
        <f>IF($A574&gt;$A$1,"",VLOOKUP($A574,'NHL PBP'!$A:$L,11,FALSE))</f>
        <v/>
      </c>
      <c r="E574" t="str">
        <f>IF(AND(EXACT(D574,"FAC"),NOT(EXACT(MID(F574,9,3),"Neu"))),IF(OR(AND(EXACT(MID(F574,9,3),"Off"),EXACT(LEFT(F574,3),UPPER('Entry data'!$C$2))),AND(EXACT(MID(F574,9,3),"Def"),NOT(EXACT(LEFT(F574,3),UPPER('Entry data'!$C$2))))),"DZF","OZF"),"")</f>
        <v/>
      </c>
      <c r="F574" t="str">
        <f>IF($A574&gt;$A$1,"",VLOOKUP($A574,'NHL PBP'!$A:$L,12,FALSE))</f>
        <v/>
      </c>
      <c r="J574">
        <f>IF(EXACT('Entry data'!$C$3,"Road"),IF(ISBLANK(VLOOKUP(A574,'NHL PBP'!A:AH,21,FALSE)),3,IF(ISBLANK(VLOOKUP(A574,'NHL PBP'!A:AH,23,FALSE)),4,5)),IF(ISBLANK(VLOOKUP(A574,'NHL PBP'!A:AH,32,FALSE)),3,IF(ISBLANK(VLOOKUP(A574,'NHL PBP'!A:AH,34,FALSE)),4,5)))</f>
        <v>5</v>
      </c>
      <c r="K574">
        <f>IF(EXACT('Entry data'!$C$3,"Home"),IF(ISBLANK(VLOOKUP(A574,'NHL PBP'!A:AH,21,FALSE)),3,IF(ISBLANK(VLOOKUP(A574,'NHL PBP'!A:AH,23,FALSE)),4,5)),IF(ISBLANK(VLOOKUP(A574,'NHL PBP'!A:AH,32,FALSE)),3,IF(ISBLANK(VLOOKUP(A574,'NHL PBP'!A:AH,34,FALSE)),4,5)))</f>
        <v>5</v>
      </c>
      <c r="L574">
        <f>IF(OR(EXACT(D574,"C"),EXACT(D574,"P"),EXACT(D574,"D"),EXACT(D574,"T"),EXACT(D574,"X"),EXACT(E574,"DZF"),EXACT(E574,"OZF"),EXACT(D574,"N"),EXACT(D574,"F")),1,0)</f>
        <v>0</v>
      </c>
      <c r="M574" t="str">
        <f t="shared" si="32"/>
        <v/>
      </c>
      <c r="N574">
        <f t="shared" si="33"/>
        <v>0</v>
      </c>
      <c r="O574">
        <f t="shared" si="34"/>
        <v>0</v>
      </c>
      <c r="P574" t="str">
        <f t="shared" si="35"/>
        <v/>
      </c>
    </row>
    <row r="575" spans="1:16" x14ac:dyDescent="0.25">
      <c r="A575">
        <v>420</v>
      </c>
      <c r="B575" t="str">
        <f>IF($A575&gt;$A$1,"",VLOOKUP($A575,'NHL PBP'!$A:$L,8,FALSE))</f>
        <v/>
      </c>
      <c r="C575" t="str">
        <f>IF($A575&gt;$A$1,"",IF(B575&gt;3,5/24,20/24)-VLOOKUP($A575,'NHL PBP'!$A:$L,10,FALSE))</f>
        <v/>
      </c>
      <c r="D575" t="str">
        <f>IF($A575&gt;$A$1,"",VLOOKUP($A575,'NHL PBP'!$A:$L,11,FALSE))</f>
        <v/>
      </c>
      <c r="E575" t="str">
        <f>IF(AND(EXACT(D575,"FAC"),NOT(EXACT(MID(F575,9,3),"Neu"))),IF(OR(AND(EXACT(MID(F575,9,3),"Off"),EXACT(LEFT(F575,3),UPPER('Entry data'!$C$2))),AND(EXACT(MID(F575,9,3),"Def"),NOT(EXACT(LEFT(F575,3),UPPER('Entry data'!$C$2))))),"DZF","OZF"),"")</f>
        <v/>
      </c>
      <c r="F575" t="str">
        <f>IF($A575&gt;$A$1,"",VLOOKUP($A575,'NHL PBP'!$A:$L,12,FALSE))</f>
        <v/>
      </c>
      <c r="J575">
        <f>IF(EXACT('Entry data'!$C$3,"Road"),IF(ISBLANK(VLOOKUP(A575,'NHL PBP'!A:AH,21,FALSE)),3,IF(ISBLANK(VLOOKUP(A575,'NHL PBP'!A:AH,23,FALSE)),4,5)),IF(ISBLANK(VLOOKUP(A575,'NHL PBP'!A:AH,32,FALSE)),3,IF(ISBLANK(VLOOKUP(A575,'NHL PBP'!A:AH,34,FALSE)),4,5)))</f>
        <v>5</v>
      </c>
      <c r="K575">
        <f>IF(EXACT('Entry data'!$C$3,"Home"),IF(ISBLANK(VLOOKUP(A575,'NHL PBP'!A:AH,21,FALSE)),3,IF(ISBLANK(VLOOKUP(A575,'NHL PBP'!A:AH,23,FALSE)),4,5)),IF(ISBLANK(VLOOKUP(A575,'NHL PBP'!A:AH,32,FALSE)),3,IF(ISBLANK(VLOOKUP(A575,'NHL PBP'!A:AH,34,FALSE)),4,5)))</f>
        <v>5</v>
      </c>
      <c r="L575">
        <f>IF(OR(EXACT(D575,"C"),EXACT(D575,"P"),EXACT(D575,"D"),EXACT(D575,"T"),EXACT(D575,"X"),EXACT(E575,"DZF"),EXACT(E575,"OZF"),EXACT(D575,"N"),EXACT(D575,"F")),1,0)</f>
        <v>0</v>
      </c>
      <c r="M575" t="str">
        <f t="shared" si="32"/>
        <v/>
      </c>
      <c r="N575">
        <f t="shared" si="33"/>
        <v>0</v>
      </c>
      <c r="O575">
        <f t="shared" si="34"/>
        <v>0</v>
      </c>
      <c r="P575" t="str">
        <f t="shared" si="35"/>
        <v/>
      </c>
    </row>
    <row r="576" spans="1:16" x14ac:dyDescent="0.25">
      <c r="A576">
        <v>421</v>
      </c>
      <c r="B576" t="str">
        <f>IF($A576&gt;$A$1,"",VLOOKUP($A576,'NHL PBP'!$A:$L,8,FALSE))</f>
        <v/>
      </c>
      <c r="C576" t="str">
        <f>IF($A576&gt;$A$1,"",IF(B576&gt;3,5/24,20/24)-VLOOKUP($A576,'NHL PBP'!$A:$L,10,FALSE))</f>
        <v/>
      </c>
      <c r="D576" t="str">
        <f>IF($A576&gt;$A$1,"",VLOOKUP($A576,'NHL PBP'!$A:$L,11,FALSE))</f>
        <v/>
      </c>
      <c r="E576" t="str">
        <f>IF(AND(EXACT(D576,"FAC"),NOT(EXACT(MID(F576,9,3),"Neu"))),IF(OR(AND(EXACT(MID(F576,9,3),"Off"),EXACT(LEFT(F576,3),UPPER('Entry data'!$C$2))),AND(EXACT(MID(F576,9,3),"Def"),NOT(EXACT(LEFT(F576,3),UPPER('Entry data'!$C$2))))),"DZF","OZF"),"")</f>
        <v/>
      </c>
      <c r="F576" t="str">
        <f>IF($A576&gt;$A$1,"",VLOOKUP($A576,'NHL PBP'!$A:$L,12,FALSE))</f>
        <v/>
      </c>
      <c r="J576">
        <f>IF(EXACT('Entry data'!$C$3,"Road"),IF(ISBLANK(VLOOKUP(A576,'NHL PBP'!A:AH,21,FALSE)),3,IF(ISBLANK(VLOOKUP(A576,'NHL PBP'!A:AH,23,FALSE)),4,5)),IF(ISBLANK(VLOOKUP(A576,'NHL PBP'!A:AH,32,FALSE)),3,IF(ISBLANK(VLOOKUP(A576,'NHL PBP'!A:AH,34,FALSE)),4,5)))</f>
        <v>5</v>
      </c>
      <c r="K576">
        <f>IF(EXACT('Entry data'!$C$3,"Home"),IF(ISBLANK(VLOOKUP(A576,'NHL PBP'!A:AH,21,FALSE)),3,IF(ISBLANK(VLOOKUP(A576,'NHL PBP'!A:AH,23,FALSE)),4,5)),IF(ISBLANK(VLOOKUP(A576,'NHL PBP'!A:AH,32,FALSE)),3,IF(ISBLANK(VLOOKUP(A576,'NHL PBP'!A:AH,34,FALSE)),4,5)))</f>
        <v>5</v>
      </c>
      <c r="L576">
        <f>IF(OR(EXACT(D576,"C"),EXACT(D576,"P"),EXACT(D576,"D"),EXACT(D576,"T"),EXACT(D576,"X"),EXACT(E576,"DZF"),EXACT(E576,"OZF"),EXACT(D576,"N"),EXACT(D576,"F")),1,0)</f>
        <v>0</v>
      </c>
      <c r="M576" t="str">
        <f t="shared" si="32"/>
        <v/>
      </c>
      <c r="N576">
        <f t="shared" si="33"/>
        <v>0</v>
      </c>
      <c r="O576">
        <f t="shared" si="34"/>
        <v>0</v>
      </c>
      <c r="P576" t="str">
        <f t="shared" si="35"/>
        <v/>
      </c>
    </row>
    <row r="577" spans="1:16" x14ac:dyDescent="0.25">
      <c r="A577">
        <v>422</v>
      </c>
      <c r="B577" t="str">
        <f>IF($A577&gt;$A$1,"",VLOOKUP($A577,'NHL PBP'!$A:$L,8,FALSE))</f>
        <v/>
      </c>
      <c r="C577" t="str">
        <f>IF($A577&gt;$A$1,"",IF(B577&gt;3,5/24,20/24)-VLOOKUP($A577,'NHL PBP'!$A:$L,10,FALSE))</f>
        <v/>
      </c>
      <c r="D577" t="str">
        <f>IF($A577&gt;$A$1,"",VLOOKUP($A577,'NHL PBP'!$A:$L,11,FALSE))</f>
        <v/>
      </c>
      <c r="E577" t="str">
        <f>IF(AND(EXACT(D577,"FAC"),NOT(EXACT(MID(F577,9,3),"Neu"))),IF(OR(AND(EXACT(MID(F577,9,3),"Off"),EXACT(LEFT(F577,3),UPPER('Entry data'!$C$2))),AND(EXACT(MID(F577,9,3),"Def"),NOT(EXACT(LEFT(F577,3),UPPER('Entry data'!$C$2))))),"DZF","OZF"),"")</f>
        <v/>
      </c>
      <c r="F577" t="str">
        <f>IF($A577&gt;$A$1,"",VLOOKUP($A577,'NHL PBP'!$A:$L,12,FALSE))</f>
        <v/>
      </c>
      <c r="J577">
        <f>IF(EXACT('Entry data'!$C$3,"Road"),IF(ISBLANK(VLOOKUP(A577,'NHL PBP'!A:AH,21,FALSE)),3,IF(ISBLANK(VLOOKUP(A577,'NHL PBP'!A:AH,23,FALSE)),4,5)),IF(ISBLANK(VLOOKUP(A577,'NHL PBP'!A:AH,32,FALSE)),3,IF(ISBLANK(VLOOKUP(A577,'NHL PBP'!A:AH,34,FALSE)),4,5)))</f>
        <v>5</v>
      </c>
      <c r="K577">
        <f>IF(EXACT('Entry data'!$C$3,"Home"),IF(ISBLANK(VLOOKUP(A577,'NHL PBP'!A:AH,21,FALSE)),3,IF(ISBLANK(VLOOKUP(A577,'NHL PBP'!A:AH,23,FALSE)),4,5)),IF(ISBLANK(VLOOKUP(A577,'NHL PBP'!A:AH,32,FALSE)),3,IF(ISBLANK(VLOOKUP(A577,'NHL PBP'!A:AH,34,FALSE)),4,5)))</f>
        <v>5</v>
      </c>
      <c r="L577">
        <f>IF(OR(EXACT(D577,"C"),EXACT(D577,"P"),EXACT(D577,"D"),EXACT(D577,"T"),EXACT(D577,"X"),EXACT(E577,"DZF"),EXACT(E577,"OZF"),EXACT(D577,"N"),EXACT(D577,"F")),1,0)</f>
        <v>0</v>
      </c>
      <c r="M577" t="str">
        <f t="shared" si="32"/>
        <v/>
      </c>
      <c r="N577">
        <f t="shared" si="33"/>
        <v>0</v>
      </c>
      <c r="O577">
        <f t="shared" si="34"/>
        <v>0</v>
      </c>
      <c r="P577" t="str">
        <f t="shared" si="35"/>
        <v/>
      </c>
    </row>
    <row r="578" spans="1:16" x14ac:dyDescent="0.25">
      <c r="A578">
        <v>423</v>
      </c>
      <c r="B578" t="str">
        <f>IF($A578&gt;$A$1,"",VLOOKUP($A578,'NHL PBP'!$A:$L,8,FALSE))</f>
        <v/>
      </c>
      <c r="C578" t="str">
        <f>IF($A578&gt;$A$1,"",IF(B578&gt;3,5/24,20/24)-VLOOKUP($A578,'NHL PBP'!$A:$L,10,FALSE))</f>
        <v/>
      </c>
      <c r="D578" t="str">
        <f>IF($A578&gt;$A$1,"",VLOOKUP($A578,'NHL PBP'!$A:$L,11,FALSE))</f>
        <v/>
      </c>
      <c r="E578" t="str">
        <f>IF(AND(EXACT(D578,"FAC"),NOT(EXACT(MID(F578,9,3),"Neu"))),IF(OR(AND(EXACT(MID(F578,9,3),"Off"),EXACT(LEFT(F578,3),UPPER('Entry data'!$C$2))),AND(EXACT(MID(F578,9,3),"Def"),NOT(EXACT(LEFT(F578,3),UPPER('Entry data'!$C$2))))),"DZF","OZF"),"")</f>
        <v/>
      </c>
      <c r="F578" t="str">
        <f>IF($A578&gt;$A$1,"",VLOOKUP($A578,'NHL PBP'!$A:$L,12,FALSE))</f>
        <v/>
      </c>
      <c r="J578">
        <f>IF(EXACT('Entry data'!$C$3,"Road"),IF(ISBLANK(VLOOKUP(A578,'NHL PBP'!A:AH,21,FALSE)),3,IF(ISBLANK(VLOOKUP(A578,'NHL PBP'!A:AH,23,FALSE)),4,5)),IF(ISBLANK(VLOOKUP(A578,'NHL PBP'!A:AH,32,FALSE)),3,IF(ISBLANK(VLOOKUP(A578,'NHL PBP'!A:AH,34,FALSE)),4,5)))</f>
        <v>5</v>
      </c>
      <c r="K578">
        <f>IF(EXACT('Entry data'!$C$3,"Home"),IF(ISBLANK(VLOOKUP(A578,'NHL PBP'!A:AH,21,FALSE)),3,IF(ISBLANK(VLOOKUP(A578,'NHL PBP'!A:AH,23,FALSE)),4,5)),IF(ISBLANK(VLOOKUP(A578,'NHL PBP'!A:AH,32,FALSE)),3,IF(ISBLANK(VLOOKUP(A578,'NHL PBP'!A:AH,34,FALSE)),4,5)))</f>
        <v>5</v>
      </c>
      <c r="L578">
        <f>IF(OR(EXACT(D578,"C"),EXACT(D578,"P"),EXACT(D578,"D"),EXACT(D578,"T"),EXACT(D578,"X"),EXACT(E578,"DZF"),EXACT(E578,"OZF"),EXACT(D578,"N"),EXACT(D578,"F")),1,0)</f>
        <v>0</v>
      </c>
      <c r="M578" t="str">
        <f t="shared" ref="M578:M641" si="36">IF(OR(EXACT(D578,"C"),EXACT(D578,"P")),E578,"")</f>
        <v/>
      </c>
      <c r="N578">
        <f t="shared" ref="N578:N641" si="37">IF(OR(EXACT(D578,"GOAL"),EXACT(D578,"SHOT"),EXACT(D578,"MISS")),1,0)+IF(L579=0,N579,0)</f>
        <v>0</v>
      </c>
      <c r="O578">
        <f t="shared" ref="O578:O641" si="38">IF(EXACT(D578,"GOAL"),1,0)+IF(L579=0,O579,0)</f>
        <v>0</v>
      </c>
      <c r="P578" t="str">
        <f t="shared" si="35"/>
        <v/>
      </c>
    </row>
    <row r="579" spans="1:16" x14ac:dyDescent="0.25">
      <c r="A579">
        <v>424</v>
      </c>
      <c r="B579" t="str">
        <f>IF($A579&gt;$A$1,"",VLOOKUP($A579,'NHL PBP'!$A:$L,8,FALSE))</f>
        <v/>
      </c>
      <c r="C579" t="str">
        <f>IF($A579&gt;$A$1,"",IF(B579&gt;3,5/24,20/24)-VLOOKUP($A579,'NHL PBP'!$A:$L,10,FALSE))</f>
        <v/>
      </c>
      <c r="D579" t="str">
        <f>IF($A579&gt;$A$1,"",VLOOKUP($A579,'NHL PBP'!$A:$L,11,FALSE))</f>
        <v/>
      </c>
      <c r="E579" t="str">
        <f>IF(AND(EXACT(D579,"FAC"),NOT(EXACT(MID(F579,9,3),"Neu"))),IF(OR(AND(EXACT(MID(F579,9,3),"Off"),EXACT(LEFT(F579,3),UPPER('Entry data'!$C$2))),AND(EXACT(MID(F579,9,3),"Def"),NOT(EXACT(LEFT(F579,3),UPPER('Entry data'!$C$2))))),"DZF","OZF"),"")</f>
        <v/>
      </c>
      <c r="F579" t="str">
        <f>IF($A579&gt;$A$1,"",VLOOKUP($A579,'NHL PBP'!$A:$L,12,FALSE))</f>
        <v/>
      </c>
      <c r="J579">
        <f>IF(EXACT('Entry data'!$C$3,"Road"),IF(ISBLANK(VLOOKUP(A579,'NHL PBP'!A:AH,21,FALSE)),3,IF(ISBLANK(VLOOKUP(A579,'NHL PBP'!A:AH,23,FALSE)),4,5)),IF(ISBLANK(VLOOKUP(A579,'NHL PBP'!A:AH,32,FALSE)),3,IF(ISBLANK(VLOOKUP(A579,'NHL PBP'!A:AH,34,FALSE)),4,5)))</f>
        <v>5</v>
      </c>
      <c r="K579">
        <f>IF(EXACT('Entry data'!$C$3,"Home"),IF(ISBLANK(VLOOKUP(A579,'NHL PBP'!A:AH,21,FALSE)),3,IF(ISBLANK(VLOOKUP(A579,'NHL PBP'!A:AH,23,FALSE)),4,5)),IF(ISBLANK(VLOOKUP(A579,'NHL PBP'!A:AH,32,FALSE)),3,IF(ISBLANK(VLOOKUP(A579,'NHL PBP'!A:AH,34,FALSE)),4,5)))</f>
        <v>5</v>
      </c>
      <c r="L579">
        <f>IF(OR(EXACT(D579,"C"),EXACT(D579,"P"),EXACT(D579,"D"),EXACT(D579,"T"),EXACT(D579,"X"),EXACT(E579,"DZF"),EXACT(E579,"OZF"),EXACT(D579,"N"),EXACT(D579,"F")),1,0)</f>
        <v>0</v>
      </c>
      <c r="M579" t="str">
        <f t="shared" si="36"/>
        <v/>
      </c>
      <c r="N579">
        <f t="shared" si="37"/>
        <v>0</v>
      </c>
      <c r="O579">
        <f t="shared" si="38"/>
        <v>0</v>
      </c>
      <c r="P579" t="str">
        <f t="shared" ref="P579:P642" si="39">IF(EXACT(D579,"F"),E579,"")</f>
        <v/>
      </c>
    </row>
    <row r="580" spans="1:16" x14ac:dyDescent="0.25">
      <c r="A580">
        <v>425</v>
      </c>
      <c r="B580" t="str">
        <f>IF($A580&gt;$A$1,"",VLOOKUP($A580,'NHL PBP'!$A:$L,8,FALSE))</f>
        <v/>
      </c>
      <c r="C580" t="str">
        <f>IF($A580&gt;$A$1,"",IF(B580&gt;3,5/24,20/24)-VLOOKUP($A580,'NHL PBP'!$A:$L,10,FALSE))</f>
        <v/>
      </c>
      <c r="D580" t="str">
        <f>IF($A580&gt;$A$1,"",VLOOKUP($A580,'NHL PBP'!$A:$L,11,FALSE))</f>
        <v/>
      </c>
      <c r="E580" t="str">
        <f>IF(AND(EXACT(D580,"FAC"),NOT(EXACT(MID(F580,9,3),"Neu"))),IF(OR(AND(EXACT(MID(F580,9,3),"Off"),EXACT(LEFT(F580,3),UPPER('Entry data'!$C$2))),AND(EXACT(MID(F580,9,3),"Def"),NOT(EXACT(LEFT(F580,3),UPPER('Entry data'!$C$2))))),"DZF","OZF"),"")</f>
        <v/>
      </c>
      <c r="F580" t="str">
        <f>IF($A580&gt;$A$1,"",VLOOKUP($A580,'NHL PBP'!$A:$L,12,FALSE))</f>
        <v/>
      </c>
      <c r="J580">
        <f>IF(EXACT('Entry data'!$C$3,"Road"),IF(ISBLANK(VLOOKUP(A580,'NHL PBP'!A:AH,21,FALSE)),3,IF(ISBLANK(VLOOKUP(A580,'NHL PBP'!A:AH,23,FALSE)),4,5)),IF(ISBLANK(VLOOKUP(A580,'NHL PBP'!A:AH,32,FALSE)),3,IF(ISBLANK(VLOOKUP(A580,'NHL PBP'!A:AH,34,FALSE)),4,5)))</f>
        <v>5</v>
      </c>
      <c r="K580">
        <f>IF(EXACT('Entry data'!$C$3,"Home"),IF(ISBLANK(VLOOKUP(A580,'NHL PBP'!A:AH,21,FALSE)),3,IF(ISBLANK(VLOOKUP(A580,'NHL PBP'!A:AH,23,FALSE)),4,5)),IF(ISBLANK(VLOOKUP(A580,'NHL PBP'!A:AH,32,FALSE)),3,IF(ISBLANK(VLOOKUP(A580,'NHL PBP'!A:AH,34,FALSE)),4,5)))</f>
        <v>5</v>
      </c>
      <c r="L580">
        <f>IF(OR(EXACT(D580,"C"),EXACT(D580,"P"),EXACT(D580,"D"),EXACT(D580,"T"),EXACT(D580,"X"),EXACT(E580,"DZF"),EXACT(E580,"OZF"),EXACT(D580,"N"),EXACT(D580,"F")),1,0)</f>
        <v>0</v>
      </c>
      <c r="M580" t="str">
        <f t="shared" si="36"/>
        <v/>
      </c>
      <c r="N580">
        <f t="shared" si="37"/>
        <v>0</v>
      </c>
      <c r="O580">
        <f t="shared" si="38"/>
        <v>0</v>
      </c>
      <c r="P580" t="str">
        <f t="shared" si="39"/>
        <v/>
      </c>
    </row>
    <row r="581" spans="1:16" x14ac:dyDescent="0.25">
      <c r="A581">
        <v>426</v>
      </c>
      <c r="B581" t="str">
        <f>IF($A581&gt;$A$1,"",VLOOKUP($A581,'NHL PBP'!$A:$L,8,FALSE))</f>
        <v/>
      </c>
      <c r="C581" t="str">
        <f>IF($A581&gt;$A$1,"",IF(B581&gt;3,5/24,20/24)-VLOOKUP($A581,'NHL PBP'!$A:$L,10,FALSE))</f>
        <v/>
      </c>
      <c r="D581" t="str">
        <f>IF($A581&gt;$A$1,"",VLOOKUP($A581,'NHL PBP'!$A:$L,11,FALSE))</f>
        <v/>
      </c>
      <c r="E581" t="str">
        <f>IF(AND(EXACT(D581,"FAC"),NOT(EXACT(MID(F581,9,3),"Neu"))),IF(OR(AND(EXACT(MID(F581,9,3),"Off"),EXACT(LEFT(F581,3),UPPER('Entry data'!$C$2))),AND(EXACT(MID(F581,9,3),"Def"),NOT(EXACT(LEFT(F581,3),UPPER('Entry data'!$C$2))))),"DZF","OZF"),"")</f>
        <v/>
      </c>
      <c r="F581" t="str">
        <f>IF($A581&gt;$A$1,"",VLOOKUP($A581,'NHL PBP'!$A:$L,12,FALSE))</f>
        <v/>
      </c>
      <c r="J581">
        <f>IF(EXACT('Entry data'!$C$3,"Road"),IF(ISBLANK(VLOOKUP(A581,'NHL PBP'!A:AH,21,FALSE)),3,IF(ISBLANK(VLOOKUP(A581,'NHL PBP'!A:AH,23,FALSE)),4,5)),IF(ISBLANK(VLOOKUP(A581,'NHL PBP'!A:AH,32,FALSE)),3,IF(ISBLANK(VLOOKUP(A581,'NHL PBP'!A:AH,34,FALSE)),4,5)))</f>
        <v>5</v>
      </c>
      <c r="K581">
        <f>IF(EXACT('Entry data'!$C$3,"Home"),IF(ISBLANK(VLOOKUP(A581,'NHL PBP'!A:AH,21,FALSE)),3,IF(ISBLANK(VLOOKUP(A581,'NHL PBP'!A:AH,23,FALSE)),4,5)),IF(ISBLANK(VLOOKUP(A581,'NHL PBP'!A:AH,32,FALSE)),3,IF(ISBLANK(VLOOKUP(A581,'NHL PBP'!A:AH,34,FALSE)),4,5)))</f>
        <v>5</v>
      </c>
      <c r="L581">
        <f>IF(OR(EXACT(D581,"C"),EXACT(D581,"P"),EXACT(D581,"D"),EXACT(D581,"T"),EXACT(D581,"X"),EXACT(E581,"DZF"),EXACT(E581,"OZF"),EXACT(D581,"N"),EXACT(D581,"F")),1,0)</f>
        <v>0</v>
      </c>
      <c r="M581" t="str">
        <f t="shared" si="36"/>
        <v/>
      </c>
      <c r="N581">
        <f t="shared" si="37"/>
        <v>0</v>
      </c>
      <c r="O581">
        <f t="shared" si="38"/>
        <v>0</v>
      </c>
      <c r="P581" t="str">
        <f t="shared" si="39"/>
        <v/>
      </c>
    </row>
    <row r="582" spans="1:16" x14ac:dyDescent="0.25">
      <c r="A582">
        <v>427</v>
      </c>
      <c r="B582" t="str">
        <f>IF($A582&gt;$A$1,"",VLOOKUP($A582,'NHL PBP'!$A:$L,8,FALSE))</f>
        <v/>
      </c>
      <c r="C582" t="str">
        <f>IF($A582&gt;$A$1,"",IF(B582&gt;3,5/24,20/24)-VLOOKUP($A582,'NHL PBP'!$A:$L,10,FALSE))</f>
        <v/>
      </c>
      <c r="D582" t="str">
        <f>IF($A582&gt;$A$1,"",VLOOKUP($A582,'NHL PBP'!$A:$L,11,FALSE))</f>
        <v/>
      </c>
      <c r="E582" t="str">
        <f>IF(AND(EXACT(D582,"FAC"),NOT(EXACT(MID(F582,9,3),"Neu"))),IF(OR(AND(EXACT(MID(F582,9,3),"Off"),EXACT(LEFT(F582,3),UPPER('Entry data'!$C$2))),AND(EXACT(MID(F582,9,3),"Def"),NOT(EXACT(LEFT(F582,3),UPPER('Entry data'!$C$2))))),"DZF","OZF"),"")</f>
        <v/>
      </c>
      <c r="F582" t="str">
        <f>IF($A582&gt;$A$1,"",VLOOKUP($A582,'NHL PBP'!$A:$L,12,FALSE))</f>
        <v/>
      </c>
      <c r="J582">
        <f>IF(EXACT('Entry data'!$C$3,"Road"),IF(ISBLANK(VLOOKUP(A582,'NHL PBP'!A:AH,21,FALSE)),3,IF(ISBLANK(VLOOKUP(A582,'NHL PBP'!A:AH,23,FALSE)),4,5)),IF(ISBLANK(VLOOKUP(A582,'NHL PBP'!A:AH,32,FALSE)),3,IF(ISBLANK(VLOOKUP(A582,'NHL PBP'!A:AH,34,FALSE)),4,5)))</f>
        <v>5</v>
      </c>
      <c r="K582">
        <f>IF(EXACT('Entry data'!$C$3,"Home"),IF(ISBLANK(VLOOKUP(A582,'NHL PBP'!A:AH,21,FALSE)),3,IF(ISBLANK(VLOOKUP(A582,'NHL PBP'!A:AH,23,FALSE)),4,5)),IF(ISBLANK(VLOOKUP(A582,'NHL PBP'!A:AH,32,FALSE)),3,IF(ISBLANK(VLOOKUP(A582,'NHL PBP'!A:AH,34,FALSE)),4,5)))</f>
        <v>5</v>
      </c>
      <c r="L582">
        <f>IF(OR(EXACT(D582,"C"),EXACT(D582,"P"),EXACT(D582,"D"),EXACT(D582,"T"),EXACT(D582,"X"),EXACT(E582,"DZF"),EXACT(E582,"OZF"),EXACT(D582,"N"),EXACT(D582,"F")),1,0)</f>
        <v>0</v>
      </c>
      <c r="M582" t="str">
        <f t="shared" si="36"/>
        <v/>
      </c>
      <c r="N582">
        <f t="shared" si="37"/>
        <v>0</v>
      </c>
      <c r="O582">
        <f t="shared" si="38"/>
        <v>0</v>
      </c>
      <c r="P582" t="str">
        <f t="shared" si="39"/>
        <v/>
      </c>
    </row>
    <row r="583" spans="1:16" x14ac:dyDescent="0.25">
      <c r="A583">
        <v>428</v>
      </c>
      <c r="B583" t="str">
        <f>IF($A583&gt;$A$1,"",VLOOKUP($A583,'NHL PBP'!$A:$L,8,FALSE))</f>
        <v/>
      </c>
      <c r="C583" t="str">
        <f>IF($A583&gt;$A$1,"",IF(B583&gt;3,5/24,20/24)-VLOOKUP($A583,'NHL PBP'!$A:$L,10,FALSE))</f>
        <v/>
      </c>
      <c r="D583" t="str">
        <f>IF($A583&gt;$A$1,"",VLOOKUP($A583,'NHL PBP'!$A:$L,11,FALSE))</f>
        <v/>
      </c>
      <c r="E583" t="str">
        <f>IF(AND(EXACT(D583,"FAC"),NOT(EXACT(MID(F583,9,3),"Neu"))),IF(OR(AND(EXACT(MID(F583,9,3),"Off"),EXACT(LEFT(F583,3),UPPER('Entry data'!$C$2))),AND(EXACT(MID(F583,9,3),"Def"),NOT(EXACT(LEFT(F583,3),UPPER('Entry data'!$C$2))))),"DZF","OZF"),"")</f>
        <v/>
      </c>
      <c r="F583" t="str">
        <f>IF($A583&gt;$A$1,"",VLOOKUP($A583,'NHL PBP'!$A:$L,12,FALSE))</f>
        <v/>
      </c>
      <c r="J583">
        <f>IF(EXACT('Entry data'!$C$3,"Road"),IF(ISBLANK(VLOOKUP(A583,'NHL PBP'!A:AH,21,FALSE)),3,IF(ISBLANK(VLOOKUP(A583,'NHL PBP'!A:AH,23,FALSE)),4,5)),IF(ISBLANK(VLOOKUP(A583,'NHL PBP'!A:AH,32,FALSE)),3,IF(ISBLANK(VLOOKUP(A583,'NHL PBP'!A:AH,34,FALSE)),4,5)))</f>
        <v>5</v>
      </c>
      <c r="K583">
        <f>IF(EXACT('Entry data'!$C$3,"Home"),IF(ISBLANK(VLOOKUP(A583,'NHL PBP'!A:AH,21,FALSE)),3,IF(ISBLANK(VLOOKUP(A583,'NHL PBP'!A:AH,23,FALSE)),4,5)),IF(ISBLANK(VLOOKUP(A583,'NHL PBP'!A:AH,32,FALSE)),3,IF(ISBLANK(VLOOKUP(A583,'NHL PBP'!A:AH,34,FALSE)),4,5)))</f>
        <v>5</v>
      </c>
      <c r="L583">
        <f>IF(OR(EXACT(D583,"C"),EXACT(D583,"P"),EXACT(D583,"D"),EXACT(D583,"T"),EXACT(D583,"X"),EXACT(E583,"DZF"),EXACT(E583,"OZF"),EXACT(D583,"N"),EXACT(D583,"F")),1,0)</f>
        <v>0</v>
      </c>
      <c r="M583" t="str">
        <f t="shared" si="36"/>
        <v/>
      </c>
      <c r="N583">
        <f t="shared" si="37"/>
        <v>0</v>
      </c>
      <c r="O583">
        <f t="shared" si="38"/>
        <v>0</v>
      </c>
      <c r="P583" t="str">
        <f t="shared" si="39"/>
        <v/>
      </c>
    </row>
    <row r="584" spans="1:16" x14ac:dyDescent="0.25">
      <c r="A584">
        <v>429</v>
      </c>
      <c r="B584" t="str">
        <f>IF($A584&gt;$A$1,"",VLOOKUP($A584,'NHL PBP'!$A:$L,8,FALSE))</f>
        <v/>
      </c>
      <c r="C584" t="str">
        <f>IF($A584&gt;$A$1,"",IF(B584&gt;3,5/24,20/24)-VLOOKUP($A584,'NHL PBP'!$A:$L,10,FALSE))</f>
        <v/>
      </c>
      <c r="D584" t="str">
        <f>IF($A584&gt;$A$1,"",VLOOKUP($A584,'NHL PBP'!$A:$L,11,FALSE))</f>
        <v/>
      </c>
      <c r="E584" t="str">
        <f>IF(AND(EXACT(D584,"FAC"),NOT(EXACT(MID(F584,9,3),"Neu"))),IF(OR(AND(EXACT(MID(F584,9,3),"Off"),EXACT(LEFT(F584,3),UPPER('Entry data'!$C$2))),AND(EXACT(MID(F584,9,3),"Def"),NOT(EXACT(LEFT(F584,3),UPPER('Entry data'!$C$2))))),"DZF","OZF"),"")</f>
        <v/>
      </c>
      <c r="F584" t="str">
        <f>IF($A584&gt;$A$1,"",VLOOKUP($A584,'NHL PBP'!$A:$L,12,FALSE))</f>
        <v/>
      </c>
      <c r="J584">
        <f>IF(EXACT('Entry data'!$C$3,"Road"),IF(ISBLANK(VLOOKUP(A584,'NHL PBP'!A:AH,21,FALSE)),3,IF(ISBLANK(VLOOKUP(A584,'NHL PBP'!A:AH,23,FALSE)),4,5)),IF(ISBLANK(VLOOKUP(A584,'NHL PBP'!A:AH,32,FALSE)),3,IF(ISBLANK(VLOOKUP(A584,'NHL PBP'!A:AH,34,FALSE)),4,5)))</f>
        <v>5</v>
      </c>
      <c r="K584">
        <f>IF(EXACT('Entry data'!$C$3,"Home"),IF(ISBLANK(VLOOKUP(A584,'NHL PBP'!A:AH,21,FALSE)),3,IF(ISBLANK(VLOOKUP(A584,'NHL PBP'!A:AH,23,FALSE)),4,5)),IF(ISBLANK(VLOOKUP(A584,'NHL PBP'!A:AH,32,FALSE)),3,IF(ISBLANK(VLOOKUP(A584,'NHL PBP'!A:AH,34,FALSE)),4,5)))</f>
        <v>5</v>
      </c>
      <c r="L584">
        <f>IF(OR(EXACT(D584,"C"),EXACT(D584,"P"),EXACT(D584,"D"),EXACT(D584,"T"),EXACT(D584,"X"),EXACT(E584,"DZF"),EXACT(E584,"OZF"),EXACT(D584,"N"),EXACT(D584,"F")),1,0)</f>
        <v>0</v>
      </c>
      <c r="M584" t="str">
        <f t="shared" si="36"/>
        <v/>
      </c>
      <c r="N584">
        <f t="shared" si="37"/>
        <v>0</v>
      </c>
      <c r="O584">
        <f t="shared" si="38"/>
        <v>0</v>
      </c>
      <c r="P584" t="str">
        <f t="shared" si="39"/>
        <v/>
      </c>
    </row>
    <row r="585" spans="1:16" x14ac:dyDescent="0.25">
      <c r="A585">
        <v>430</v>
      </c>
      <c r="B585" t="str">
        <f>IF($A585&gt;$A$1,"",VLOOKUP($A585,'NHL PBP'!$A:$L,8,FALSE))</f>
        <v/>
      </c>
      <c r="C585" t="str">
        <f>IF($A585&gt;$A$1,"",IF(B585&gt;3,5/24,20/24)-VLOOKUP($A585,'NHL PBP'!$A:$L,10,FALSE))</f>
        <v/>
      </c>
      <c r="D585" t="str">
        <f>IF($A585&gt;$A$1,"",VLOOKUP($A585,'NHL PBP'!$A:$L,11,FALSE))</f>
        <v/>
      </c>
      <c r="E585" t="str">
        <f>IF(AND(EXACT(D585,"FAC"),NOT(EXACT(MID(F585,9,3),"Neu"))),IF(OR(AND(EXACT(MID(F585,9,3),"Off"),EXACT(LEFT(F585,3),UPPER('Entry data'!$C$2))),AND(EXACT(MID(F585,9,3),"Def"),NOT(EXACT(LEFT(F585,3),UPPER('Entry data'!$C$2))))),"DZF","OZF"),"")</f>
        <v/>
      </c>
      <c r="F585" t="str">
        <f>IF($A585&gt;$A$1,"",VLOOKUP($A585,'NHL PBP'!$A:$L,12,FALSE))</f>
        <v/>
      </c>
      <c r="J585">
        <f>IF(EXACT('Entry data'!$C$3,"Road"),IF(ISBLANK(VLOOKUP(A585,'NHL PBP'!A:AH,21,FALSE)),3,IF(ISBLANK(VLOOKUP(A585,'NHL PBP'!A:AH,23,FALSE)),4,5)),IF(ISBLANK(VLOOKUP(A585,'NHL PBP'!A:AH,32,FALSE)),3,IF(ISBLANK(VLOOKUP(A585,'NHL PBP'!A:AH,34,FALSE)),4,5)))</f>
        <v>5</v>
      </c>
      <c r="K585">
        <f>IF(EXACT('Entry data'!$C$3,"Home"),IF(ISBLANK(VLOOKUP(A585,'NHL PBP'!A:AH,21,FALSE)),3,IF(ISBLANK(VLOOKUP(A585,'NHL PBP'!A:AH,23,FALSE)),4,5)),IF(ISBLANK(VLOOKUP(A585,'NHL PBP'!A:AH,32,FALSE)),3,IF(ISBLANK(VLOOKUP(A585,'NHL PBP'!A:AH,34,FALSE)),4,5)))</f>
        <v>5</v>
      </c>
      <c r="L585">
        <f>IF(OR(EXACT(D585,"C"),EXACT(D585,"P"),EXACT(D585,"D"),EXACT(D585,"T"),EXACT(D585,"X"),EXACT(E585,"DZF"),EXACT(E585,"OZF"),EXACT(D585,"N"),EXACT(D585,"F")),1,0)</f>
        <v>0</v>
      </c>
      <c r="M585" t="str">
        <f t="shared" si="36"/>
        <v/>
      </c>
      <c r="N585">
        <f t="shared" si="37"/>
        <v>0</v>
      </c>
      <c r="O585">
        <f t="shared" si="38"/>
        <v>0</v>
      </c>
      <c r="P585" t="str">
        <f t="shared" si="39"/>
        <v/>
      </c>
    </row>
    <row r="586" spans="1:16" x14ac:dyDescent="0.25">
      <c r="A586">
        <v>431</v>
      </c>
      <c r="B586" t="str">
        <f>IF($A586&gt;$A$1,"",VLOOKUP($A586,'NHL PBP'!$A:$L,8,FALSE))</f>
        <v/>
      </c>
      <c r="C586" t="str">
        <f>IF($A586&gt;$A$1,"",IF(B586&gt;3,5/24,20/24)-VLOOKUP($A586,'NHL PBP'!$A:$L,10,FALSE))</f>
        <v/>
      </c>
      <c r="D586" t="str">
        <f>IF($A586&gt;$A$1,"",VLOOKUP($A586,'NHL PBP'!$A:$L,11,FALSE))</f>
        <v/>
      </c>
      <c r="E586" t="str">
        <f>IF(AND(EXACT(D586,"FAC"),NOT(EXACT(MID(F586,9,3),"Neu"))),IF(OR(AND(EXACT(MID(F586,9,3),"Off"),EXACT(LEFT(F586,3),UPPER('Entry data'!$C$2))),AND(EXACT(MID(F586,9,3),"Def"),NOT(EXACT(LEFT(F586,3),UPPER('Entry data'!$C$2))))),"DZF","OZF"),"")</f>
        <v/>
      </c>
      <c r="F586" t="str">
        <f>IF($A586&gt;$A$1,"",VLOOKUP($A586,'NHL PBP'!$A:$L,12,FALSE))</f>
        <v/>
      </c>
      <c r="J586">
        <f>IF(EXACT('Entry data'!$C$3,"Road"),IF(ISBLANK(VLOOKUP(A586,'NHL PBP'!A:AH,21,FALSE)),3,IF(ISBLANK(VLOOKUP(A586,'NHL PBP'!A:AH,23,FALSE)),4,5)),IF(ISBLANK(VLOOKUP(A586,'NHL PBP'!A:AH,32,FALSE)),3,IF(ISBLANK(VLOOKUP(A586,'NHL PBP'!A:AH,34,FALSE)),4,5)))</f>
        <v>5</v>
      </c>
      <c r="K586">
        <f>IF(EXACT('Entry data'!$C$3,"Home"),IF(ISBLANK(VLOOKUP(A586,'NHL PBP'!A:AH,21,FALSE)),3,IF(ISBLANK(VLOOKUP(A586,'NHL PBP'!A:AH,23,FALSE)),4,5)),IF(ISBLANK(VLOOKUP(A586,'NHL PBP'!A:AH,32,FALSE)),3,IF(ISBLANK(VLOOKUP(A586,'NHL PBP'!A:AH,34,FALSE)),4,5)))</f>
        <v>5</v>
      </c>
      <c r="L586">
        <f>IF(OR(EXACT(D586,"C"),EXACT(D586,"P"),EXACT(D586,"D"),EXACT(D586,"T"),EXACT(D586,"X"),EXACT(E586,"DZF"),EXACT(E586,"OZF"),EXACT(D586,"N"),EXACT(D586,"F")),1,0)</f>
        <v>0</v>
      </c>
      <c r="M586" t="str">
        <f t="shared" si="36"/>
        <v/>
      </c>
      <c r="N586">
        <f t="shared" si="37"/>
        <v>0</v>
      </c>
      <c r="O586">
        <f t="shared" si="38"/>
        <v>0</v>
      </c>
      <c r="P586" t="str">
        <f t="shared" si="39"/>
        <v/>
      </c>
    </row>
    <row r="587" spans="1:16" x14ac:dyDescent="0.25">
      <c r="A587">
        <v>432</v>
      </c>
      <c r="B587" t="str">
        <f>IF($A587&gt;$A$1,"",VLOOKUP($A587,'NHL PBP'!$A:$L,8,FALSE))</f>
        <v/>
      </c>
      <c r="C587" t="str">
        <f>IF($A587&gt;$A$1,"",IF(B587&gt;3,5/24,20/24)-VLOOKUP($A587,'NHL PBP'!$A:$L,10,FALSE))</f>
        <v/>
      </c>
      <c r="D587" t="str">
        <f>IF($A587&gt;$A$1,"",VLOOKUP($A587,'NHL PBP'!$A:$L,11,FALSE))</f>
        <v/>
      </c>
      <c r="E587" t="str">
        <f>IF(AND(EXACT(D587,"FAC"),NOT(EXACT(MID(F587,9,3),"Neu"))),IF(OR(AND(EXACT(MID(F587,9,3),"Off"),EXACT(LEFT(F587,3),UPPER('Entry data'!$C$2))),AND(EXACT(MID(F587,9,3),"Def"),NOT(EXACT(LEFT(F587,3),UPPER('Entry data'!$C$2))))),"DZF","OZF"),"")</f>
        <v/>
      </c>
      <c r="F587" t="str">
        <f>IF($A587&gt;$A$1,"",VLOOKUP($A587,'NHL PBP'!$A:$L,12,FALSE))</f>
        <v/>
      </c>
      <c r="J587">
        <f>IF(EXACT('Entry data'!$C$3,"Road"),IF(ISBLANK(VLOOKUP(A587,'NHL PBP'!A:AH,21,FALSE)),3,IF(ISBLANK(VLOOKUP(A587,'NHL PBP'!A:AH,23,FALSE)),4,5)),IF(ISBLANK(VLOOKUP(A587,'NHL PBP'!A:AH,32,FALSE)),3,IF(ISBLANK(VLOOKUP(A587,'NHL PBP'!A:AH,34,FALSE)),4,5)))</f>
        <v>5</v>
      </c>
      <c r="K587">
        <f>IF(EXACT('Entry data'!$C$3,"Home"),IF(ISBLANK(VLOOKUP(A587,'NHL PBP'!A:AH,21,FALSE)),3,IF(ISBLANK(VLOOKUP(A587,'NHL PBP'!A:AH,23,FALSE)),4,5)),IF(ISBLANK(VLOOKUP(A587,'NHL PBP'!A:AH,32,FALSE)),3,IF(ISBLANK(VLOOKUP(A587,'NHL PBP'!A:AH,34,FALSE)),4,5)))</f>
        <v>5</v>
      </c>
      <c r="L587">
        <f>IF(OR(EXACT(D587,"C"),EXACT(D587,"P"),EXACT(D587,"D"),EXACT(D587,"T"),EXACT(D587,"X"),EXACT(E587,"DZF"),EXACT(E587,"OZF"),EXACT(D587,"N"),EXACT(D587,"F")),1,0)</f>
        <v>0</v>
      </c>
      <c r="M587" t="str">
        <f t="shared" si="36"/>
        <v/>
      </c>
      <c r="N587">
        <f t="shared" si="37"/>
        <v>0</v>
      </c>
      <c r="O587">
        <f t="shared" si="38"/>
        <v>0</v>
      </c>
      <c r="P587" t="str">
        <f t="shared" si="39"/>
        <v/>
      </c>
    </row>
    <row r="588" spans="1:16" x14ac:dyDescent="0.25">
      <c r="A588">
        <v>433</v>
      </c>
      <c r="B588" t="str">
        <f>IF($A588&gt;$A$1,"",VLOOKUP($A588,'NHL PBP'!$A:$L,8,FALSE))</f>
        <v/>
      </c>
      <c r="C588" t="str">
        <f>IF($A588&gt;$A$1,"",IF(B588&gt;3,5/24,20/24)-VLOOKUP($A588,'NHL PBP'!$A:$L,10,FALSE))</f>
        <v/>
      </c>
      <c r="D588" t="str">
        <f>IF($A588&gt;$A$1,"",VLOOKUP($A588,'NHL PBP'!$A:$L,11,FALSE))</f>
        <v/>
      </c>
      <c r="E588" t="str">
        <f>IF(AND(EXACT(D588,"FAC"),NOT(EXACT(MID(F588,9,3),"Neu"))),IF(OR(AND(EXACT(MID(F588,9,3),"Off"),EXACT(LEFT(F588,3),UPPER('Entry data'!$C$2))),AND(EXACT(MID(F588,9,3),"Def"),NOT(EXACT(LEFT(F588,3),UPPER('Entry data'!$C$2))))),"DZF","OZF"),"")</f>
        <v/>
      </c>
      <c r="F588" t="str">
        <f>IF($A588&gt;$A$1,"",VLOOKUP($A588,'NHL PBP'!$A:$L,12,FALSE))</f>
        <v/>
      </c>
      <c r="J588">
        <f>IF(EXACT('Entry data'!$C$3,"Road"),IF(ISBLANK(VLOOKUP(A588,'NHL PBP'!A:AH,21,FALSE)),3,IF(ISBLANK(VLOOKUP(A588,'NHL PBP'!A:AH,23,FALSE)),4,5)),IF(ISBLANK(VLOOKUP(A588,'NHL PBP'!A:AH,32,FALSE)),3,IF(ISBLANK(VLOOKUP(A588,'NHL PBP'!A:AH,34,FALSE)),4,5)))</f>
        <v>5</v>
      </c>
      <c r="K588">
        <f>IF(EXACT('Entry data'!$C$3,"Home"),IF(ISBLANK(VLOOKUP(A588,'NHL PBP'!A:AH,21,FALSE)),3,IF(ISBLANK(VLOOKUP(A588,'NHL PBP'!A:AH,23,FALSE)),4,5)),IF(ISBLANK(VLOOKUP(A588,'NHL PBP'!A:AH,32,FALSE)),3,IF(ISBLANK(VLOOKUP(A588,'NHL PBP'!A:AH,34,FALSE)),4,5)))</f>
        <v>5</v>
      </c>
      <c r="L588">
        <f>IF(OR(EXACT(D588,"C"),EXACT(D588,"P"),EXACT(D588,"D"),EXACT(D588,"T"),EXACT(D588,"X"),EXACT(E588,"DZF"),EXACT(E588,"OZF"),EXACT(D588,"N"),EXACT(D588,"F")),1,0)</f>
        <v>0</v>
      </c>
      <c r="M588" t="str">
        <f t="shared" si="36"/>
        <v/>
      </c>
      <c r="N588">
        <f t="shared" si="37"/>
        <v>0</v>
      </c>
      <c r="O588">
        <f t="shared" si="38"/>
        <v>0</v>
      </c>
      <c r="P588" t="str">
        <f t="shared" si="39"/>
        <v/>
      </c>
    </row>
    <row r="589" spans="1:16" x14ac:dyDescent="0.25">
      <c r="A589">
        <v>434</v>
      </c>
      <c r="B589" t="str">
        <f>IF($A589&gt;$A$1,"",VLOOKUP($A589,'NHL PBP'!$A:$L,8,FALSE))</f>
        <v/>
      </c>
      <c r="C589" t="str">
        <f>IF($A589&gt;$A$1,"",IF(B589&gt;3,5/24,20/24)-VLOOKUP($A589,'NHL PBP'!$A:$L,10,FALSE))</f>
        <v/>
      </c>
      <c r="D589" t="str">
        <f>IF($A589&gt;$A$1,"",VLOOKUP($A589,'NHL PBP'!$A:$L,11,FALSE))</f>
        <v/>
      </c>
      <c r="E589" t="str">
        <f>IF(AND(EXACT(D589,"FAC"),NOT(EXACT(MID(F589,9,3),"Neu"))),IF(OR(AND(EXACT(MID(F589,9,3),"Off"),EXACT(LEFT(F589,3),UPPER('Entry data'!$C$2))),AND(EXACT(MID(F589,9,3),"Def"),NOT(EXACT(LEFT(F589,3),UPPER('Entry data'!$C$2))))),"DZF","OZF"),"")</f>
        <v/>
      </c>
      <c r="F589" t="str">
        <f>IF($A589&gt;$A$1,"",VLOOKUP($A589,'NHL PBP'!$A:$L,12,FALSE))</f>
        <v/>
      </c>
      <c r="J589">
        <f>IF(EXACT('Entry data'!$C$3,"Road"),IF(ISBLANK(VLOOKUP(A589,'NHL PBP'!A:AH,21,FALSE)),3,IF(ISBLANK(VLOOKUP(A589,'NHL PBP'!A:AH,23,FALSE)),4,5)),IF(ISBLANK(VLOOKUP(A589,'NHL PBP'!A:AH,32,FALSE)),3,IF(ISBLANK(VLOOKUP(A589,'NHL PBP'!A:AH,34,FALSE)),4,5)))</f>
        <v>5</v>
      </c>
      <c r="K589">
        <f>IF(EXACT('Entry data'!$C$3,"Home"),IF(ISBLANK(VLOOKUP(A589,'NHL PBP'!A:AH,21,FALSE)),3,IF(ISBLANK(VLOOKUP(A589,'NHL PBP'!A:AH,23,FALSE)),4,5)),IF(ISBLANK(VLOOKUP(A589,'NHL PBP'!A:AH,32,FALSE)),3,IF(ISBLANK(VLOOKUP(A589,'NHL PBP'!A:AH,34,FALSE)),4,5)))</f>
        <v>5</v>
      </c>
      <c r="L589">
        <f>IF(OR(EXACT(D589,"C"),EXACT(D589,"P"),EXACT(D589,"D"),EXACT(D589,"T"),EXACT(D589,"X"),EXACT(E589,"DZF"),EXACT(E589,"OZF"),EXACT(D589,"N"),EXACT(D589,"F")),1,0)</f>
        <v>0</v>
      </c>
      <c r="M589" t="str">
        <f t="shared" si="36"/>
        <v/>
      </c>
      <c r="N589">
        <f t="shared" si="37"/>
        <v>0</v>
      </c>
      <c r="O589">
        <f t="shared" si="38"/>
        <v>0</v>
      </c>
      <c r="P589" t="str">
        <f t="shared" si="39"/>
        <v/>
      </c>
    </row>
    <row r="590" spans="1:16" x14ac:dyDescent="0.25">
      <c r="A590">
        <v>435</v>
      </c>
      <c r="B590" t="str">
        <f>IF($A590&gt;$A$1,"",VLOOKUP($A590,'NHL PBP'!$A:$L,8,FALSE))</f>
        <v/>
      </c>
      <c r="C590" t="str">
        <f>IF($A590&gt;$A$1,"",IF(B590&gt;3,5/24,20/24)-VLOOKUP($A590,'NHL PBP'!$A:$L,10,FALSE))</f>
        <v/>
      </c>
      <c r="D590" t="str">
        <f>IF($A590&gt;$A$1,"",VLOOKUP($A590,'NHL PBP'!$A:$L,11,FALSE))</f>
        <v/>
      </c>
      <c r="E590" t="str">
        <f>IF(AND(EXACT(D590,"FAC"),NOT(EXACT(MID(F590,9,3),"Neu"))),IF(OR(AND(EXACT(MID(F590,9,3),"Off"),EXACT(LEFT(F590,3),UPPER('Entry data'!$C$2))),AND(EXACT(MID(F590,9,3),"Def"),NOT(EXACT(LEFT(F590,3),UPPER('Entry data'!$C$2))))),"DZF","OZF"),"")</f>
        <v/>
      </c>
      <c r="F590" t="str">
        <f>IF($A590&gt;$A$1,"",VLOOKUP($A590,'NHL PBP'!$A:$L,12,FALSE))</f>
        <v/>
      </c>
      <c r="J590">
        <f>IF(EXACT('Entry data'!$C$3,"Road"),IF(ISBLANK(VLOOKUP(A590,'NHL PBP'!A:AH,21,FALSE)),3,IF(ISBLANK(VLOOKUP(A590,'NHL PBP'!A:AH,23,FALSE)),4,5)),IF(ISBLANK(VLOOKUP(A590,'NHL PBP'!A:AH,32,FALSE)),3,IF(ISBLANK(VLOOKUP(A590,'NHL PBP'!A:AH,34,FALSE)),4,5)))</f>
        <v>5</v>
      </c>
      <c r="K590">
        <f>IF(EXACT('Entry data'!$C$3,"Home"),IF(ISBLANK(VLOOKUP(A590,'NHL PBP'!A:AH,21,FALSE)),3,IF(ISBLANK(VLOOKUP(A590,'NHL PBP'!A:AH,23,FALSE)),4,5)),IF(ISBLANK(VLOOKUP(A590,'NHL PBP'!A:AH,32,FALSE)),3,IF(ISBLANK(VLOOKUP(A590,'NHL PBP'!A:AH,34,FALSE)),4,5)))</f>
        <v>5</v>
      </c>
      <c r="L590">
        <f>IF(OR(EXACT(D590,"C"),EXACT(D590,"P"),EXACT(D590,"D"),EXACT(D590,"T"),EXACT(D590,"X"),EXACT(E590,"DZF"),EXACT(E590,"OZF"),EXACT(D590,"N"),EXACT(D590,"F")),1,0)</f>
        <v>0</v>
      </c>
      <c r="M590" t="str">
        <f t="shared" si="36"/>
        <v/>
      </c>
      <c r="N590">
        <f t="shared" si="37"/>
        <v>0</v>
      </c>
      <c r="O590">
        <f t="shared" si="38"/>
        <v>0</v>
      </c>
      <c r="P590" t="str">
        <f t="shared" si="39"/>
        <v/>
      </c>
    </row>
    <row r="591" spans="1:16" x14ac:dyDescent="0.25">
      <c r="A591">
        <v>436</v>
      </c>
      <c r="B591" t="str">
        <f>IF($A591&gt;$A$1,"",VLOOKUP($A591,'NHL PBP'!$A:$L,8,FALSE))</f>
        <v/>
      </c>
      <c r="C591" t="str">
        <f>IF($A591&gt;$A$1,"",IF(B591&gt;3,5/24,20/24)-VLOOKUP($A591,'NHL PBP'!$A:$L,10,FALSE))</f>
        <v/>
      </c>
      <c r="D591" t="str">
        <f>IF($A591&gt;$A$1,"",VLOOKUP($A591,'NHL PBP'!$A:$L,11,FALSE))</f>
        <v/>
      </c>
      <c r="E591" t="str">
        <f>IF(AND(EXACT(D591,"FAC"),NOT(EXACT(MID(F591,9,3),"Neu"))),IF(OR(AND(EXACT(MID(F591,9,3),"Off"),EXACT(LEFT(F591,3),UPPER('Entry data'!$C$2))),AND(EXACT(MID(F591,9,3),"Def"),NOT(EXACT(LEFT(F591,3),UPPER('Entry data'!$C$2))))),"DZF","OZF"),"")</f>
        <v/>
      </c>
      <c r="F591" t="str">
        <f>IF($A591&gt;$A$1,"",VLOOKUP($A591,'NHL PBP'!$A:$L,12,FALSE))</f>
        <v/>
      </c>
      <c r="J591">
        <f>IF(EXACT('Entry data'!$C$3,"Road"),IF(ISBLANK(VLOOKUP(A591,'NHL PBP'!A:AH,21,FALSE)),3,IF(ISBLANK(VLOOKUP(A591,'NHL PBP'!A:AH,23,FALSE)),4,5)),IF(ISBLANK(VLOOKUP(A591,'NHL PBP'!A:AH,32,FALSE)),3,IF(ISBLANK(VLOOKUP(A591,'NHL PBP'!A:AH,34,FALSE)),4,5)))</f>
        <v>5</v>
      </c>
      <c r="K591">
        <f>IF(EXACT('Entry data'!$C$3,"Home"),IF(ISBLANK(VLOOKUP(A591,'NHL PBP'!A:AH,21,FALSE)),3,IF(ISBLANK(VLOOKUP(A591,'NHL PBP'!A:AH,23,FALSE)),4,5)),IF(ISBLANK(VLOOKUP(A591,'NHL PBP'!A:AH,32,FALSE)),3,IF(ISBLANK(VLOOKUP(A591,'NHL PBP'!A:AH,34,FALSE)),4,5)))</f>
        <v>5</v>
      </c>
      <c r="L591">
        <f>IF(OR(EXACT(D591,"C"),EXACT(D591,"P"),EXACT(D591,"D"),EXACT(D591,"T"),EXACT(D591,"X"),EXACT(E591,"DZF"),EXACT(E591,"OZF"),EXACT(D591,"N"),EXACT(D591,"F")),1,0)</f>
        <v>0</v>
      </c>
      <c r="M591" t="str">
        <f t="shared" si="36"/>
        <v/>
      </c>
      <c r="N591">
        <f t="shared" si="37"/>
        <v>0</v>
      </c>
      <c r="O591">
        <f t="shared" si="38"/>
        <v>0</v>
      </c>
      <c r="P591" t="str">
        <f t="shared" si="39"/>
        <v/>
      </c>
    </row>
    <row r="592" spans="1:16" x14ac:dyDescent="0.25">
      <c r="A592">
        <v>437</v>
      </c>
      <c r="B592" t="str">
        <f>IF($A592&gt;$A$1,"",VLOOKUP($A592,'NHL PBP'!$A:$L,8,FALSE))</f>
        <v/>
      </c>
      <c r="C592" t="str">
        <f>IF($A592&gt;$A$1,"",IF(B592&gt;3,5/24,20/24)-VLOOKUP($A592,'NHL PBP'!$A:$L,10,FALSE))</f>
        <v/>
      </c>
      <c r="D592" t="str">
        <f>IF($A592&gt;$A$1,"",VLOOKUP($A592,'NHL PBP'!$A:$L,11,FALSE))</f>
        <v/>
      </c>
      <c r="E592" t="str">
        <f>IF(AND(EXACT(D592,"FAC"),NOT(EXACT(MID(F592,9,3),"Neu"))),IF(OR(AND(EXACT(MID(F592,9,3),"Off"),EXACT(LEFT(F592,3),UPPER('Entry data'!$C$2))),AND(EXACT(MID(F592,9,3),"Def"),NOT(EXACT(LEFT(F592,3),UPPER('Entry data'!$C$2))))),"DZF","OZF"),"")</f>
        <v/>
      </c>
      <c r="F592" t="str">
        <f>IF($A592&gt;$A$1,"",VLOOKUP($A592,'NHL PBP'!$A:$L,12,FALSE))</f>
        <v/>
      </c>
      <c r="J592">
        <f>IF(EXACT('Entry data'!$C$3,"Road"),IF(ISBLANK(VLOOKUP(A592,'NHL PBP'!A:AH,21,FALSE)),3,IF(ISBLANK(VLOOKUP(A592,'NHL PBP'!A:AH,23,FALSE)),4,5)),IF(ISBLANK(VLOOKUP(A592,'NHL PBP'!A:AH,32,FALSE)),3,IF(ISBLANK(VLOOKUP(A592,'NHL PBP'!A:AH,34,FALSE)),4,5)))</f>
        <v>5</v>
      </c>
      <c r="K592">
        <f>IF(EXACT('Entry data'!$C$3,"Home"),IF(ISBLANK(VLOOKUP(A592,'NHL PBP'!A:AH,21,FALSE)),3,IF(ISBLANK(VLOOKUP(A592,'NHL PBP'!A:AH,23,FALSE)),4,5)),IF(ISBLANK(VLOOKUP(A592,'NHL PBP'!A:AH,32,FALSE)),3,IF(ISBLANK(VLOOKUP(A592,'NHL PBP'!A:AH,34,FALSE)),4,5)))</f>
        <v>5</v>
      </c>
      <c r="L592">
        <f>IF(OR(EXACT(D592,"C"),EXACT(D592,"P"),EXACT(D592,"D"),EXACT(D592,"T"),EXACT(D592,"X"),EXACT(E592,"DZF"),EXACT(E592,"OZF"),EXACT(D592,"N"),EXACT(D592,"F")),1,0)</f>
        <v>0</v>
      </c>
      <c r="M592" t="str">
        <f t="shared" si="36"/>
        <v/>
      </c>
      <c r="N592">
        <f t="shared" si="37"/>
        <v>0</v>
      </c>
      <c r="O592">
        <f t="shared" si="38"/>
        <v>0</v>
      </c>
      <c r="P592" t="str">
        <f t="shared" si="39"/>
        <v/>
      </c>
    </row>
    <row r="593" spans="1:16" x14ac:dyDescent="0.25">
      <c r="A593">
        <v>438</v>
      </c>
      <c r="B593" t="str">
        <f>IF($A593&gt;$A$1,"",VLOOKUP($A593,'NHL PBP'!$A:$L,8,FALSE))</f>
        <v/>
      </c>
      <c r="C593" t="str">
        <f>IF($A593&gt;$A$1,"",IF(B593&gt;3,5/24,20/24)-VLOOKUP($A593,'NHL PBP'!$A:$L,10,FALSE))</f>
        <v/>
      </c>
      <c r="D593" t="str">
        <f>IF($A593&gt;$A$1,"",VLOOKUP($A593,'NHL PBP'!$A:$L,11,FALSE))</f>
        <v/>
      </c>
      <c r="E593" t="str">
        <f>IF(AND(EXACT(D593,"FAC"),NOT(EXACT(MID(F593,9,3),"Neu"))),IF(OR(AND(EXACT(MID(F593,9,3),"Off"),EXACT(LEFT(F593,3),UPPER('Entry data'!$C$2))),AND(EXACT(MID(F593,9,3),"Def"),NOT(EXACT(LEFT(F593,3),UPPER('Entry data'!$C$2))))),"DZF","OZF"),"")</f>
        <v/>
      </c>
      <c r="F593" t="str">
        <f>IF($A593&gt;$A$1,"",VLOOKUP($A593,'NHL PBP'!$A:$L,12,FALSE))</f>
        <v/>
      </c>
      <c r="J593">
        <f>IF(EXACT('Entry data'!$C$3,"Road"),IF(ISBLANK(VLOOKUP(A593,'NHL PBP'!A:AH,21,FALSE)),3,IF(ISBLANK(VLOOKUP(A593,'NHL PBP'!A:AH,23,FALSE)),4,5)),IF(ISBLANK(VLOOKUP(A593,'NHL PBP'!A:AH,32,FALSE)),3,IF(ISBLANK(VLOOKUP(A593,'NHL PBP'!A:AH,34,FALSE)),4,5)))</f>
        <v>5</v>
      </c>
      <c r="K593">
        <f>IF(EXACT('Entry data'!$C$3,"Home"),IF(ISBLANK(VLOOKUP(A593,'NHL PBP'!A:AH,21,FALSE)),3,IF(ISBLANK(VLOOKUP(A593,'NHL PBP'!A:AH,23,FALSE)),4,5)),IF(ISBLANK(VLOOKUP(A593,'NHL PBP'!A:AH,32,FALSE)),3,IF(ISBLANK(VLOOKUP(A593,'NHL PBP'!A:AH,34,FALSE)),4,5)))</f>
        <v>5</v>
      </c>
      <c r="L593">
        <f>IF(OR(EXACT(D593,"C"),EXACT(D593,"P"),EXACT(D593,"D"),EXACT(D593,"T"),EXACT(D593,"X"),EXACT(E593,"DZF"),EXACT(E593,"OZF"),EXACT(D593,"N"),EXACT(D593,"F")),1,0)</f>
        <v>0</v>
      </c>
      <c r="M593" t="str">
        <f t="shared" si="36"/>
        <v/>
      </c>
      <c r="N593">
        <f t="shared" si="37"/>
        <v>0</v>
      </c>
      <c r="O593">
        <f t="shared" si="38"/>
        <v>0</v>
      </c>
      <c r="P593" t="str">
        <f t="shared" si="39"/>
        <v/>
      </c>
    </row>
    <row r="594" spans="1:16" x14ac:dyDescent="0.25">
      <c r="A594">
        <v>439</v>
      </c>
      <c r="B594" t="str">
        <f>IF($A594&gt;$A$1,"",VLOOKUP($A594,'NHL PBP'!$A:$L,8,FALSE))</f>
        <v/>
      </c>
      <c r="C594" t="str">
        <f>IF($A594&gt;$A$1,"",IF(B594&gt;3,5/24,20/24)-VLOOKUP($A594,'NHL PBP'!$A:$L,10,FALSE))</f>
        <v/>
      </c>
      <c r="D594" t="str">
        <f>IF($A594&gt;$A$1,"",VLOOKUP($A594,'NHL PBP'!$A:$L,11,FALSE))</f>
        <v/>
      </c>
      <c r="E594" t="str">
        <f>IF(AND(EXACT(D594,"FAC"),NOT(EXACT(MID(F594,9,3),"Neu"))),IF(OR(AND(EXACT(MID(F594,9,3),"Off"),EXACT(LEFT(F594,3),UPPER('Entry data'!$C$2))),AND(EXACT(MID(F594,9,3),"Def"),NOT(EXACT(LEFT(F594,3),UPPER('Entry data'!$C$2))))),"DZF","OZF"),"")</f>
        <v/>
      </c>
      <c r="F594" t="str">
        <f>IF($A594&gt;$A$1,"",VLOOKUP($A594,'NHL PBP'!$A:$L,12,FALSE))</f>
        <v/>
      </c>
      <c r="J594">
        <f>IF(EXACT('Entry data'!$C$3,"Road"),IF(ISBLANK(VLOOKUP(A594,'NHL PBP'!A:AH,21,FALSE)),3,IF(ISBLANK(VLOOKUP(A594,'NHL PBP'!A:AH,23,FALSE)),4,5)),IF(ISBLANK(VLOOKUP(A594,'NHL PBP'!A:AH,32,FALSE)),3,IF(ISBLANK(VLOOKUP(A594,'NHL PBP'!A:AH,34,FALSE)),4,5)))</f>
        <v>5</v>
      </c>
      <c r="K594">
        <f>IF(EXACT('Entry data'!$C$3,"Home"),IF(ISBLANK(VLOOKUP(A594,'NHL PBP'!A:AH,21,FALSE)),3,IF(ISBLANK(VLOOKUP(A594,'NHL PBP'!A:AH,23,FALSE)),4,5)),IF(ISBLANK(VLOOKUP(A594,'NHL PBP'!A:AH,32,FALSE)),3,IF(ISBLANK(VLOOKUP(A594,'NHL PBP'!A:AH,34,FALSE)),4,5)))</f>
        <v>5</v>
      </c>
      <c r="L594">
        <f>IF(OR(EXACT(D594,"C"),EXACT(D594,"P"),EXACT(D594,"D"),EXACT(D594,"T"),EXACT(D594,"X"),EXACT(E594,"DZF"),EXACT(E594,"OZF"),EXACT(D594,"N"),EXACT(D594,"F")),1,0)</f>
        <v>0</v>
      </c>
      <c r="M594" t="str">
        <f t="shared" si="36"/>
        <v/>
      </c>
      <c r="N594">
        <f t="shared" si="37"/>
        <v>0</v>
      </c>
      <c r="O594">
        <f t="shared" si="38"/>
        <v>0</v>
      </c>
      <c r="P594" t="str">
        <f t="shared" si="39"/>
        <v/>
      </c>
    </row>
    <row r="595" spans="1:16" x14ac:dyDescent="0.25">
      <c r="A595">
        <v>440</v>
      </c>
      <c r="B595" t="str">
        <f>IF($A595&gt;$A$1,"",VLOOKUP($A595,'NHL PBP'!$A:$L,8,FALSE))</f>
        <v/>
      </c>
      <c r="C595" t="str">
        <f>IF($A595&gt;$A$1,"",IF(B595&gt;3,5/24,20/24)-VLOOKUP($A595,'NHL PBP'!$A:$L,10,FALSE))</f>
        <v/>
      </c>
      <c r="D595" t="str">
        <f>IF($A595&gt;$A$1,"",VLOOKUP($A595,'NHL PBP'!$A:$L,11,FALSE))</f>
        <v/>
      </c>
      <c r="E595" t="str">
        <f>IF(AND(EXACT(D595,"FAC"),NOT(EXACT(MID(F595,9,3),"Neu"))),IF(OR(AND(EXACT(MID(F595,9,3),"Off"),EXACT(LEFT(F595,3),UPPER('Entry data'!$C$2))),AND(EXACT(MID(F595,9,3),"Def"),NOT(EXACT(LEFT(F595,3),UPPER('Entry data'!$C$2))))),"DZF","OZF"),"")</f>
        <v/>
      </c>
      <c r="F595" t="str">
        <f>IF($A595&gt;$A$1,"",VLOOKUP($A595,'NHL PBP'!$A:$L,12,FALSE))</f>
        <v/>
      </c>
      <c r="J595">
        <f>IF(EXACT('Entry data'!$C$3,"Road"),IF(ISBLANK(VLOOKUP(A595,'NHL PBP'!A:AH,21,FALSE)),3,IF(ISBLANK(VLOOKUP(A595,'NHL PBP'!A:AH,23,FALSE)),4,5)),IF(ISBLANK(VLOOKUP(A595,'NHL PBP'!A:AH,32,FALSE)),3,IF(ISBLANK(VLOOKUP(A595,'NHL PBP'!A:AH,34,FALSE)),4,5)))</f>
        <v>5</v>
      </c>
      <c r="K595">
        <f>IF(EXACT('Entry data'!$C$3,"Home"),IF(ISBLANK(VLOOKUP(A595,'NHL PBP'!A:AH,21,FALSE)),3,IF(ISBLANK(VLOOKUP(A595,'NHL PBP'!A:AH,23,FALSE)),4,5)),IF(ISBLANK(VLOOKUP(A595,'NHL PBP'!A:AH,32,FALSE)),3,IF(ISBLANK(VLOOKUP(A595,'NHL PBP'!A:AH,34,FALSE)),4,5)))</f>
        <v>5</v>
      </c>
      <c r="L595">
        <f>IF(OR(EXACT(D595,"C"),EXACT(D595,"P"),EXACT(D595,"D"),EXACT(D595,"T"),EXACT(D595,"X"),EXACT(E595,"DZF"),EXACT(E595,"OZF"),EXACT(D595,"N"),EXACT(D595,"F")),1,0)</f>
        <v>0</v>
      </c>
      <c r="M595" t="str">
        <f t="shared" si="36"/>
        <v/>
      </c>
      <c r="N595">
        <f t="shared" si="37"/>
        <v>0</v>
      </c>
      <c r="O595">
        <f t="shared" si="38"/>
        <v>0</v>
      </c>
      <c r="P595" t="str">
        <f t="shared" si="39"/>
        <v/>
      </c>
    </row>
    <row r="596" spans="1:16" x14ac:dyDescent="0.25">
      <c r="A596">
        <v>441</v>
      </c>
      <c r="B596" t="str">
        <f>IF($A596&gt;$A$1,"",VLOOKUP($A596,'NHL PBP'!$A:$L,8,FALSE))</f>
        <v/>
      </c>
      <c r="C596" t="str">
        <f>IF($A596&gt;$A$1,"",IF(B596&gt;3,5/24,20/24)-VLOOKUP($A596,'NHL PBP'!$A:$L,10,FALSE))</f>
        <v/>
      </c>
      <c r="D596" t="str">
        <f>IF($A596&gt;$A$1,"",VLOOKUP($A596,'NHL PBP'!$A:$L,11,FALSE))</f>
        <v/>
      </c>
      <c r="E596" t="str">
        <f>IF(AND(EXACT(D596,"FAC"),NOT(EXACT(MID(F596,9,3),"Neu"))),IF(OR(AND(EXACT(MID(F596,9,3),"Off"),EXACT(LEFT(F596,3),UPPER('Entry data'!$C$2))),AND(EXACT(MID(F596,9,3),"Def"),NOT(EXACT(LEFT(F596,3),UPPER('Entry data'!$C$2))))),"DZF","OZF"),"")</f>
        <v/>
      </c>
      <c r="F596" t="str">
        <f>IF($A596&gt;$A$1,"",VLOOKUP($A596,'NHL PBP'!$A:$L,12,FALSE))</f>
        <v/>
      </c>
      <c r="J596">
        <f>IF(EXACT('Entry data'!$C$3,"Road"),IF(ISBLANK(VLOOKUP(A596,'NHL PBP'!A:AH,21,FALSE)),3,IF(ISBLANK(VLOOKUP(A596,'NHL PBP'!A:AH,23,FALSE)),4,5)),IF(ISBLANK(VLOOKUP(A596,'NHL PBP'!A:AH,32,FALSE)),3,IF(ISBLANK(VLOOKUP(A596,'NHL PBP'!A:AH,34,FALSE)),4,5)))</f>
        <v>5</v>
      </c>
      <c r="K596">
        <f>IF(EXACT('Entry data'!$C$3,"Home"),IF(ISBLANK(VLOOKUP(A596,'NHL PBP'!A:AH,21,FALSE)),3,IF(ISBLANK(VLOOKUP(A596,'NHL PBP'!A:AH,23,FALSE)),4,5)),IF(ISBLANK(VLOOKUP(A596,'NHL PBP'!A:AH,32,FALSE)),3,IF(ISBLANK(VLOOKUP(A596,'NHL PBP'!A:AH,34,FALSE)),4,5)))</f>
        <v>5</v>
      </c>
      <c r="L596">
        <f>IF(OR(EXACT(D596,"C"),EXACT(D596,"P"),EXACT(D596,"D"),EXACT(D596,"T"),EXACT(D596,"X"),EXACT(E596,"DZF"),EXACT(E596,"OZF"),EXACT(D596,"N"),EXACT(D596,"F")),1,0)</f>
        <v>0</v>
      </c>
      <c r="M596" t="str">
        <f t="shared" si="36"/>
        <v/>
      </c>
      <c r="N596">
        <f t="shared" si="37"/>
        <v>0</v>
      </c>
      <c r="O596">
        <f t="shared" si="38"/>
        <v>0</v>
      </c>
      <c r="P596" t="str">
        <f t="shared" si="39"/>
        <v/>
      </c>
    </row>
    <row r="597" spans="1:16" x14ac:dyDescent="0.25">
      <c r="A597">
        <v>442</v>
      </c>
      <c r="B597" t="str">
        <f>IF($A597&gt;$A$1,"",VLOOKUP($A597,'NHL PBP'!$A:$L,8,FALSE))</f>
        <v/>
      </c>
      <c r="C597" t="str">
        <f>IF($A597&gt;$A$1,"",IF(B597&gt;3,5/24,20/24)-VLOOKUP($A597,'NHL PBP'!$A:$L,10,FALSE))</f>
        <v/>
      </c>
      <c r="D597" t="str">
        <f>IF($A597&gt;$A$1,"",VLOOKUP($A597,'NHL PBP'!$A:$L,11,FALSE))</f>
        <v/>
      </c>
      <c r="E597" t="str">
        <f>IF(AND(EXACT(D597,"FAC"),NOT(EXACT(MID(F597,9,3),"Neu"))),IF(OR(AND(EXACT(MID(F597,9,3),"Off"),EXACT(LEFT(F597,3),UPPER('Entry data'!$C$2))),AND(EXACT(MID(F597,9,3),"Def"),NOT(EXACT(LEFT(F597,3),UPPER('Entry data'!$C$2))))),"DZF","OZF"),"")</f>
        <v/>
      </c>
      <c r="F597" t="str">
        <f>IF($A597&gt;$A$1,"",VLOOKUP($A597,'NHL PBP'!$A:$L,12,FALSE))</f>
        <v/>
      </c>
      <c r="J597">
        <f>IF(EXACT('Entry data'!$C$3,"Road"),IF(ISBLANK(VLOOKUP(A597,'NHL PBP'!A:AH,21,FALSE)),3,IF(ISBLANK(VLOOKUP(A597,'NHL PBP'!A:AH,23,FALSE)),4,5)),IF(ISBLANK(VLOOKUP(A597,'NHL PBP'!A:AH,32,FALSE)),3,IF(ISBLANK(VLOOKUP(A597,'NHL PBP'!A:AH,34,FALSE)),4,5)))</f>
        <v>5</v>
      </c>
      <c r="K597">
        <f>IF(EXACT('Entry data'!$C$3,"Home"),IF(ISBLANK(VLOOKUP(A597,'NHL PBP'!A:AH,21,FALSE)),3,IF(ISBLANK(VLOOKUP(A597,'NHL PBP'!A:AH,23,FALSE)),4,5)),IF(ISBLANK(VLOOKUP(A597,'NHL PBP'!A:AH,32,FALSE)),3,IF(ISBLANK(VLOOKUP(A597,'NHL PBP'!A:AH,34,FALSE)),4,5)))</f>
        <v>5</v>
      </c>
      <c r="L597">
        <f>IF(OR(EXACT(D597,"C"),EXACT(D597,"P"),EXACT(D597,"D"),EXACT(D597,"T"),EXACT(D597,"X"),EXACT(E597,"DZF"),EXACT(E597,"OZF"),EXACT(D597,"N"),EXACT(D597,"F")),1,0)</f>
        <v>0</v>
      </c>
      <c r="M597" t="str">
        <f t="shared" si="36"/>
        <v/>
      </c>
      <c r="N597">
        <f t="shared" si="37"/>
        <v>0</v>
      </c>
      <c r="O597">
        <f t="shared" si="38"/>
        <v>0</v>
      </c>
      <c r="P597" t="str">
        <f t="shared" si="39"/>
        <v/>
      </c>
    </row>
    <row r="598" spans="1:16" x14ac:dyDescent="0.25">
      <c r="A598">
        <v>443</v>
      </c>
      <c r="B598" t="str">
        <f>IF($A598&gt;$A$1,"",VLOOKUP($A598,'NHL PBP'!$A:$L,8,FALSE))</f>
        <v/>
      </c>
      <c r="C598" t="str">
        <f>IF($A598&gt;$A$1,"",IF(B598&gt;3,5/24,20/24)-VLOOKUP($A598,'NHL PBP'!$A:$L,10,FALSE))</f>
        <v/>
      </c>
      <c r="D598" t="str">
        <f>IF($A598&gt;$A$1,"",VLOOKUP($A598,'NHL PBP'!$A:$L,11,FALSE))</f>
        <v/>
      </c>
      <c r="E598" t="str">
        <f>IF(AND(EXACT(D598,"FAC"),NOT(EXACT(MID(F598,9,3),"Neu"))),IF(OR(AND(EXACT(MID(F598,9,3),"Off"),EXACT(LEFT(F598,3),UPPER('Entry data'!$C$2))),AND(EXACT(MID(F598,9,3),"Def"),NOT(EXACT(LEFT(F598,3),UPPER('Entry data'!$C$2))))),"DZF","OZF"),"")</f>
        <v/>
      </c>
      <c r="F598" t="str">
        <f>IF($A598&gt;$A$1,"",VLOOKUP($A598,'NHL PBP'!$A:$L,12,FALSE))</f>
        <v/>
      </c>
      <c r="J598">
        <f>IF(EXACT('Entry data'!$C$3,"Road"),IF(ISBLANK(VLOOKUP(A598,'NHL PBP'!A:AH,21,FALSE)),3,IF(ISBLANK(VLOOKUP(A598,'NHL PBP'!A:AH,23,FALSE)),4,5)),IF(ISBLANK(VLOOKUP(A598,'NHL PBP'!A:AH,32,FALSE)),3,IF(ISBLANK(VLOOKUP(A598,'NHL PBP'!A:AH,34,FALSE)),4,5)))</f>
        <v>5</v>
      </c>
      <c r="K598">
        <f>IF(EXACT('Entry data'!$C$3,"Home"),IF(ISBLANK(VLOOKUP(A598,'NHL PBP'!A:AH,21,FALSE)),3,IF(ISBLANK(VLOOKUP(A598,'NHL PBP'!A:AH,23,FALSE)),4,5)),IF(ISBLANK(VLOOKUP(A598,'NHL PBP'!A:AH,32,FALSE)),3,IF(ISBLANK(VLOOKUP(A598,'NHL PBP'!A:AH,34,FALSE)),4,5)))</f>
        <v>5</v>
      </c>
      <c r="L598">
        <f>IF(OR(EXACT(D598,"C"),EXACT(D598,"P"),EXACT(D598,"D"),EXACT(D598,"T"),EXACT(D598,"X"),EXACT(E598,"DZF"),EXACT(E598,"OZF"),EXACT(D598,"N"),EXACT(D598,"F")),1,0)</f>
        <v>0</v>
      </c>
      <c r="M598" t="str">
        <f t="shared" si="36"/>
        <v/>
      </c>
      <c r="N598">
        <f t="shared" si="37"/>
        <v>0</v>
      </c>
      <c r="O598">
        <f t="shared" si="38"/>
        <v>0</v>
      </c>
      <c r="P598" t="str">
        <f t="shared" si="39"/>
        <v/>
      </c>
    </row>
    <row r="599" spans="1:16" x14ac:dyDescent="0.25">
      <c r="A599">
        <v>444</v>
      </c>
      <c r="B599" t="str">
        <f>IF($A599&gt;$A$1,"",VLOOKUP($A599,'NHL PBP'!$A:$L,8,FALSE))</f>
        <v/>
      </c>
      <c r="C599" t="str">
        <f>IF($A599&gt;$A$1,"",IF(B599&gt;3,5/24,20/24)-VLOOKUP($A599,'NHL PBP'!$A:$L,10,FALSE))</f>
        <v/>
      </c>
      <c r="D599" t="str">
        <f>IF($A599&gt;$A$1,"",VLOOKUP($A599,'NHL PBP'!$A:$L,11,FALSE))</f>
        <v/>
      </c>
      <c r="E599" t="str">
        <f>IF(AND(EXACT(D599,"FAC"),NOT(EXACT(MID(F599,9,3),"Neu"))),IF(OR(AND(EXACT(MID(F599,9,3),"Off"),EXACT(LEFT(F599,3),UPPER('Entry data'!$C$2))),AND(EXACT(MID(F599,9,3),"Def"),NOT(EXACT(LEFT(F599,3),UPPER('Entry data'!$C$2))))),"DZF","OZF"),"")</f>
        <v/>
      </c>
      <c r="F599" t="str">
        <f>IF($A599&gt;$A$1,"",VLOOKUP($A599,'NHL PBP'!$A:$L,12,FALSE))</f>
        <v/>
      </c>
      <c r="J599">
        <f>IF(EXACT('Entry data'!$C$3,"Road"),IF(ISBLANK(VLOOKUP(A599,'NHL PBP'!A:AH,21,FALSE)),3,IF(ISBLANK(VLOOKUP(A599,'NHL PBP'!A:AH,23,FALSE)),4,5)),IF(ISBLANK(VLOOKUP(A599,'NHL PBP'!A:AH,32,FALSE)),3,IF(ISBLANK(VLOOKUP(A599,'NHL PBP'!A:AH,34,FALSE)),4,5)))</f>
        <v>5</v>
      </c>
      <c r="K599">
        <f>IF(EXACT('Entry data'!$C$3,"Home"),IF(ISBLANK(VLOOKUP(A599,'NHL PBP'!A:AH,21,FALSE)),3,IF(ISBLANK(VLOOKUP(A599,'NHL PBP'!A:AH,23,FALSE)),4,5)),IF(ISBLANK(VLOOKUP(A599,'NHL PBP'!A:AH,32,FALSE)),3,IF(ISBLANK(VLOOKUP(A599,'NHL PBP'!A:AH,34,FALSE)),4,5)))</f>
        <v>5</v>
      </c>
      <c r="L599">
        <f>IF(OR(EXACT(D599,"C"),EXACT(D599,"P"),EXACT(D599,"D"),EXACT(D599,"T"),EXACT(D599,"X"),EXACT(E599,"DZF"),EXACT(E599,"OZF"),EXACT(D599,"N"),EXACT(D599,"F")),1,0)</f>
        <v>0</v>
      </c>
      <c r="M599" t="str">
        <f t="shared" si="36"/>
        <v/>
      </c>
      <c r="N599">
        <f t="shared" si="37"/>
        <v>0</v>
      </c>
      <c r="O599">
        <f t="shared" si="38"/>
        <v>0</v>
      </c>
      <c r="P599" t="str">
        <f t="shared" si="39"/>
        <v/>
      </c>
    </row>
    <row r="600" spans="1:16" x14ac:dyDescent="0.25">
      <c r="A600">
        <v>445</v>
      </c>
      <c r="B600" t="str">
        <f>IF($A600&gt;$A$1,"",VLOOKUP($A600,'NHL PBP'!$A:$L,8,FALSE))</f>
        <v/>
      </c>
      <c r="C600" t="str">
        <f>IF($A600&gt;$A$1,"",IF(B600&gt;3,5/24,20/24)-VLOOKUP($A600,'NHL PBP'!$A:$L,10,FALSE))</f>
        <v/>
      </c>
      <c r="D600" t="str">
        <f>IF($A600&gt;$A$1,"",VLOOKUP($A600,'NHL PBP'!$A:$L,11,FALSE))</f>
        <v/>
      </c>
      <c r="E600" t="str">
        <f>IF(AND(EXACT(D600,"FAC"),NOT(EXACT(MID(F600,9,3),"Neu"))),IF(OR(AND(EXACT(MID(F600,9,3),"Off"),EXACT(LEFT(F600,3),UPPER('Entry data'!$C$2))),AND(EXACT(MID(F600,9,3),"Def"),NOT(EXACT(LEFT(F600,3),UPPER('Entry data'!$C$2))))),"DZF","OZF"),"")</f>
        <v/>
      </c>
      <c r="F600" t="str">
        <f>IF($A600&gt;$A$1,"",VLOOKUP($A600,'NHL PBP'!$A:$L,12,FALSE))</f>
        <v/>
      </c>
      <c r="J600">
        <f>IF(EXACT('Entry data'!$C$3,"Road"),IF(ISBLANK(VLOOKUP(A600,'NHL PBP'!A:AH,21,FALSE)),3,IF(ISBLANK(VLOOKUP(A600,'NHL PBP'!A:AH,23,FALSE)),4,5)),IF(ISBLANK(VLOOKUP(A600,'NHL PBP'!A:AH,32,FALSE)),3,IF(ISBLANK(VLOOKUP(A600,'NHL PBP'!A:AH,34,FALSE)),4,5)))</f>
        <v>5</v>
      </c>
      <c r="K600">
        <f>IF(EXACT('Entry data'!$C$3,"Home"),IF(ISBLANK(VLOOKUP(A600,'NHL PBP'!A:AH,21,FALSE)),3,IF(ISBLANK(VLOOKUP(A600,'NHL PBP'!A:AH,23,FALSE)),4,5)),IF(ISBLANK(VLOOKUP(A600,'NHL PBP'!A:AH,32,FALSE)),3,IF(ISBLANK(VLOOKUP(A600,'NHL PBP'!A:AH,34,FALSE)),4,5)))</f>
        <v>5</v>
      </c>
      <c r="L600">
        <f>IF(OR(EXACT(D600,"C"),EXACT(D600,"P"),EXACT(D600,"D"),EXACT(D600,"T"),EXACT(D600,"X"),EXACT(E600,"DZF"),EXACT(E600,"OZF"),EXACT(D600,"N"),EXACT(D600,"F")),1,0)</f>
        <v>0</v>
      </c>
      <c r="M600" t="str">
        <f t="shared" si="36"/>
        <v/>
      </c>
      <c r="N600">
        <f t="shared" si="37"/>
        <v>0</v>
      </c>
      <c r="O600">
        <f t="shared" si="38"/>
        <v>0</v>
      </c>
      <c r="P600" t="str">
        <f t="shared" si="39"/>
        <v/>
      </c>
    </row>
    <row r="601" spans="1:16" x14ac:dyDescent="0.25">
      <c r="A601">
        <v>446</v>
      </c>
      <c r="B601" t="str">
        <f>IF($A601&gt;$A$1,"",VLOOKUP($A601,'NHL PBP'!$A:$L,8,FALSE))</f>
        <v/>
      </c>
      <c r="C601" t="str">
        <f>IF($A601&gt;$A$1,"",IF(B601&gt;3,5/24,20/24)-VLOOKUP($A601,'NHL PBP'!$A:$L,10,FALSE))</f>
        <v/>
      </c>
      <c r="D601" t="str">
        <f>IF($A601&gt;$A$1,"",VLOOKUP($A601,'NHL PBP'!$A:$L,11,FALSE))</f>
        <v/>
      </c>
      <c r="E601" t="str">
        <f>IF(AND(EXACT(D601,"FAC"),NOT(EXACT(MID(F601,9,3),"Neu"))),IF(OR(AND(EXACT(MID(F601,9,3),"Off"),EXACT(LEFT(F601,3),UPPER('Entry data'!$C$2))),AND(EXACT(MID(F601,9,3),"Def"),NOT(EXACT(LEFT(F601,3),UPPER('Entry data'!$C$2))))),"DZF","OZF"),"")</f>
        <v/>
      </c>
      <c r="F601" t="str">
        <f>IF($A601&gt;$A$1,"",VLOOKUP($A601,'NHL PBP'!$A:$L,12,FALSE))</f>
        <v/>
      </c>
      <c r="J601">
        <f>IF(EXACT('Entry data'!$C$3,"Road"),IF(ISBLANK(VLOOKUP(A601,'NHL PBP'!A:AH,21,FALSE)),3,IF(ISBLANK(VLOOKUP(A601,'NHL PBP'!A:AH,23,FALSE)),4,5)),IF(ISBLANK(VLOOKUP(A601,'NHL PBP'!A:AH,32,FALSE)),3,IF(ISBLANK(VLOOKUP(A601,'NHL PBP'!A:AH,34,FALSE)),4,5)))</f>
        <v>5</v>
      </c>
      <c r="K601">
        <f>IF(EXACT('Entry data'!$C$3,"Home"),IF(ISBLANK(VLOOKUP(A601,'NHL PBP'!A:AH,21,FALSE)),3,IF(ISBLANK(VLOOKUP(A601,'NHL PBP'!A:AH,23,FALSE)),4,5)),IF(ISBLANK(VLOOKUP(A601,'NHL PBP'!A:AH,32,FALSE)),3,IF(ISBLANK(VLOOKUP(A601,'NHL PBP'!A:AH,34,FALSE)),4,5)))</f>
        <v>5</v>
      </c>
      <c r="L601">
        <f>IF(OR(EXACT(D601,"C"),EXACT(D601,"P"),EXACT(D601,"D"),EXACT(D601,"T"),EXACT(D601,"X"),EXACT(E601,"DZF"),EXACT(E601,"OZF"),EXACT(D601,"N"),EXACT(D601,"F")),1,0)</f>
        <v>0</v>
      </c>
      <c r="M601" t="str">
        <f t="shared" si="36"/>
        <v/>
      </c>
      <c r="N601">
        <f t="shared" si="37"/>
        <v>0</v>
      </c>
      <c r="O601">
        <f t="shared" si="38"/>
        <v>0</v>
      </c>
      <c r="P601" t="str">
        <f t="shared" si="39"/>
        <v/>
      </c>
    </row>
    <row r="602" spans="1:16" x14ac:dyDescent="0.25">
      <c r="A602">
        <v>447</v>
      </c>
      <c r="B602" t="str">
        <f>IF($A602&gt;$A$1,"",VLOOKUP($A602,'NHL PBP'!$A:$L,8,FALSE))</f>
        <v/>
      </c>
      <c r="C602" t="str">
        <f>IF($A602&gt;$A$1,"",IF(B602&gt;3,5/24,20/24)-VLOOKUP($A602,'NHL PBP'!$A:$L,10,FALSE))</f>
        <v/>
      </c>
      <c r="D602" t="str">
        <f>IF($A602&gt;$A$1,"",VLOOKUP($A602,'NHL PBP'!$A:$L,11,FALSE))</f>
        <v/>
      </c>
      <c r="E602" t="str">
        <f>IF(AND(EXACT(D602,"FAC"),NOT(EXACT(MID(F602,9,3),"Neu"))),IF(OR(AND(EXACT(MID(F602,9,3),"Off"),EXACT(LEFT(F602,3),UPPER('Entry data'!$C$2))),AND(EXACT(MID(F602,9,3),"Def"),NOT(EXACT(LEFT(F602,3),UPPER('Entry data'!$C$2))))),"DZF","OZF"),"")</f>
        <v/>
      </c>
      <c r="F602" t="str">
        <f>IF($A602&gt;$A$1,"",VLOOKUP($A602,'NHL PBP'!$A:$L,12,FALSE))</f>
        <v/>
      </c>
      <c r="J602">
        <f>IF(EXACT('Entry data'!$C$3,"Road"),IF(ISBLANK(VLOOKUP(A602,'NHL PBP'!A:AH,21,FALSE)),3,IF(ISBLANK(VLOOKUP(A602,'NHL PBP'!A:AH,23,FALSE)),4,5)),IF(ISBLANK(VLOOKUP(A602,'NHL PBP'!A:AH,32,FALSE)),3,IF(ISBLANK(VLOOKUP(A602,'NHL PBP'!A:AH,34,FALSE)),4,5)))</f>
        <v>5</v>
      </c>
      <c r="K602">
        <f>IF(EXACT('Entry data'!$C$3,"Home"),IF(ISBLANK(VLOOKUP(A602,'NHL PBP'!A:AH,21,FALSE)),3,IF(ISBLANK(VLOOKUP(A602,'NHL PBP'!A:AH,23,FALSE)),4,5)),IF(ISBLANK(VLOOKUP(A602,'NHL PBP'!A:AH,32,FALSE)),3,IF(ISBLANK(VLOOKUP(A602,'NHL PBP'!A:AH,34,FALSE)),4,5)))</f>
        <v>5</v>
      </c>
      <c r="L602">
        <f>IF(OR(EXACT(D602,"C"),EXACT(D602,"P"),EXACT(D602,"D"),EXACT(D602,"T"),EXACT(D602,"X"),EXACT(E602,"DZF"),EXACT(E602,"OZF"),EXACT(D602,"N"),EXACT(D602,"F")),1,0)</f>
        <v>0</v>
      </c>
      <c r="M602" t="str">
        <f t="shared" si="36"/>
        <v/>
      </c>
      <c r="N602">
        <f t="shared" si="37"/>
        <v>0</v>
      </c>
      <c r="O602">
        <f t="shared" si="38"/>
        <v>0</v>
      </c>
      <c r="P602" t="str">
        <f t="shared" si="39"/>
        <v/>
      </c>
    </row>
    <row r="603" spans="1:16" x14ac:dyDescent="0.25">
      <c r="A603">
        <v>448</v>
      </c>
      <c r="B603" t="str">
        <f>IF($A603&gt;$A$1,"",VLOOKUP($A603,'NHL PBP'!$A:$L,8,FALSE))</f>
        <v/>
      </c>
      <c r="C603" t="str">
        <f>IF($A603&gt;$A$1,"",IF(B603&gt;3,5/24,20/24)-VLOOKUP($A603,'NHL PBP'!$A:$L,10,FALSE))</f>
        <v/>
      </c>
      <c r="D603" t="str">
        <f>IF($A603&gt;$A$1,"",VLOOKUP($A603,'NHL PBP'!$A:$L,11,FALSE))</f>
        <v/>
      </c>
      <c r="E603" t="str">
        <f>IF(AND(EXACT(D603,"FAC"),NOT(EXACT(MID(F603,9,3),"Neu"))),IF(OR(AND(EXACT(MID(F603,9,3),"Off"),EXACT(LEFT(F603,3),UPPER('Entry data'!$C$2))),AND(EXACT(MID(F603,9,3),"Def"),NOT(EXACT(LEFT(F603,3),UPPER('Entry data'!$C$2))))),"DZF","OZF"),"")</f>
        <v/>
      </c>
      <c r="F603" t="str">
        <f>IF($A603&gt;$A$1,"",VLOOKUP($A603,'NHL PBP'!$A:$L,12,FALSE))</f>
        <v/>
      </c>
      <c r="J603">
        <f>IF(EXACT('Entry data'!$C$3,"Road"),IF(ISBLANK(VLOOKUP(A603,'NHL PBP'!A:AH,21,FALSE)),3,IF(ISBLANK(VLOOKUP(A603,'NHL PBP'!A:AH,23,FALSE)),4,5)),IF(ISBLANK(VLOOKUP(A603,'NHL PBP'!A:AH,32,FALSE)),3,IF(ISBLANK(VLOOKUP(A603,'NHL PBP'!A:AH,34,FALSE)),4,5)))</f>
        <v>5</v>
      </c>
      <c r="K603">
        <f>IF(EXACT('Entry data'!$C$3,"Home"),IF(ISBLANK(VLOOKUP(A603,'NHL PBP'!A:AH,21,FALSE)),3,IF(ISBLANK(VLOOKUP(A603,'NHL PBP'!A:AH,23,FALSE)),4,5)),IF(ISBLANK(VLOOKUP(A603,'NHL PBP'!A:AH,32,FALSE)),3,IF(ISBLANK(VLOOKUP(A603,'NHL PBP'!A:AH,34,FALSE)),4,5)))</f>
        <v>5</v>
      </c>
      <c r="L603">
        <f>IF(OR(EXACT(D603,"C"),EXACT(D603,"P"),EXACT(D603,"D"),EXACT(D603,"T"),EXACT(D603,"X"),EXACT(E603,"DZF"),EXACT(E603,"OZF"),EXACT(D603,"N"),EXACT(D603,"F")),1,0)</f>
        <v>0</v>
      </c>
      <c r="M603" t="str">
        <f t="shared" si="36"/>
        <v/>
      </c>
      <c r="N603">
        <f t="shared" si="37"/>
        <v>0</v>
      </c>
      <c r="O603">
        <f t="shared" si="38"/>
        <v>0</v>
      </c>
      <c r="P603" t="str">
        <f t="shared" si="39"/>
        <v/>
      </c>
    </row>
    <row r="604" spans="1:16" x14ac:dyDescent="0.25">
      <c r="A604">
        <v>449</v>
      </c>
      <c r="B604" t="str">
        <f>IF($A604&gt;$A$1,"",VLOOKUP($A604,'NHL PBP'!$A:$L,8,FALSE))</f>
        <v/>
      </c>
      <c r="C604" t="str">
        <f>IF($A604&gt;$A$1,"",IF(B604&gt;3,5/24,20/24)-VLOOKUP($A604,'NHL PBP'!$A:$L,10,FALSE))</f>
        <v/>
      </c>
      <c r="D604" t="str">
        <f>IF($A604&gt;$A$1,"",VLOOKUP($A604,'NHL PBP'!$A:$L,11,FALSE))</f>
        <v/>
      </c>
      <c r="E604" t="str">
        <f>IF(AND(EXACT(D604,"FAC"),NOT(EXACT(MID(F604,9,3),"Neu"))),IF(OR(AND(EXACT(MID(F604,9,3),"Off"),EXACT(LEFT(F604,3),UPPER('Entry data'!$C$2))),AND(EXACT(MID(F604,9,3),"Def"),NOT(EXACT(LEFT(F604,3),UPPER('Entry data'!$C$2))))),"DZF","OZF"),"")</f>
        <v/>
      </c>
      <c r="F604" t="str">
        <f>IF($A604&gt;$A$1,"",VLOOKUP($A604,'NHL PBP'!$A:$L,12,FALSE))</f>
        <v/>
      </c>
      <c r="J604">
        <f>IF(EXACT('Entry data'!$C$3,"Road"),IF(ISBLANK(VLOOKUP(A604,'NHL PBP'!A:AH,21,FALSE)),3,IF(ISBLANK(VLOOKUP(A604,'NHL PBP'!A:AH,23,FALSE)),4,5)),IF(ISBLANK(VLOOKUP(A604,'NHL PBP'!A:AH,32,FALSE)),3,IF(ISBLANK(VLOOKUP(A604,'NHL PBP'!A:AH,34,FALSE)),4,5)))</f>
        <v>5</v>
      </c>
      <c r="K604">
        <f>IF(EXACT('Entry data'!$C$3,"Home"),IF(ISBLANK(VLOOKUP(A604,'NHL PBP'!A:AH,21,FALSE)),3,IF(ISBLANK(VLOOKUP(A604,'NHL PBP'!A:AH,23,FALSE)),4,5)),IF(ISBLANK(VLOOKUP(A604,'NHL PBP'!A:AH,32,FALSE)),3,IF(ISBLANK(VLOOKUP(A604,'NHL PBP'!A:AH,34,FALSE)),4,5)))</f>
        <v>5</v>
      </c>
      <c r="L604">
        <f>IF(OR(EXACT(D604,"C"),EXACT(D604,"P"),EXACT(D604,"D"),EXACT(D604,"T"),EXACT(D604,"X"),EXACT(E604,"DZF"),EXACT(E604,"OZF"),EXACT(D604,"N"),EXACT(D604,"F")),1,0)</f>
        <v>0</v>
      </c>
      <c r="M604" t="str">
        <f t="shared" si="36"/>
        <v/>
      </c>
      <c r="N604">
        <f t="shared" si="37"/>
        <v>0</v>
      </c>
      <c r="O604">
        <f t="shared" si="38"/>
        <v>0</v>
      </c>
      <c r="P604" t="str">
        <f t="shared" si="39"/>
        <v/>
      </c>
    </row>
    <row r="605" spans="1:16" x14ac:dyDescent="0.25">
      <c r="A605">
        <v>450</v>
      </c>
      <c r="B605" t="str">
        <f>IF($A605&gt;$A$1,"",VLOOKUP($A605,'NHL PBP'!$A:$L,8,FALSE))</f>
        <v/>
      </c>
      <c r="C605" t="str">
        <f>IF($A605&gt;$A$1,"",IF(B605&gt;3,5/24,20/24)-VLOOKUP($A605,'NHL PBP'!$A:$L,10,FALSE))</f>
        <v/>
      </c>
      <c r="D605" t="str">
        <f>IF($A605&gt;$A$1,"",VLOOKUP($A605,'NHL PBP'!$A:$L,11,FALSE))</f>
        <v/>
      </c>
      <c r="E605" t="str">
        <f>IF(AND(EXACT(D605,"FAC"),NOT(EXACT(MID(F605,9,3),"Neu"))),IF(OR(AND(EXACT(MID(F605,9,3),"Off"),EXACT(LEFT(F605,3),UPPER('Entry data'!$C$2))),AND(EXACT(MID(F605,9,3),"Def"),NOT(EXACT(LEFT(F605,3),UPPER('Entry data'!$C$2))))),"DZF","OZF"),"")</f>
        <v/>
      </c>
      <c r="F605" t="str">
        <f>IF($A605&gt;$A$1,"",VLOOKUP($A605,'NHL PBP'!$A:$L,12,FALSE))</f>
        <v/>
      </c>
      <c r="J605">
        <f>IF(EXACT('Entry data'!$C$3,"Road"),IF(ISBLANK(VLOOKUP(A605,'NHL PBP'!A:AH,21,FALSE)),3,IF(ISBLANK(VLOOKUP(A605,'NHL PBP'!A:AH,23,FALSE)),4,5)),IF(ISBLANK(VLOOKUP(A605,'NHL PBP'!A:AH,32,FALSE)),3,IF(ISBLANK(VLOOKUP(A605,'NHL PBP'!A:AH,34,FALSE)),4,5)))</f>
        <v>5</v>
      </c>
      <c r="K605">
        <f>IF(EXACT('Entry data'!$C$3,"Home"),IF(ISBLANK(VLOOKUP(A605,'NHL PBP'!A:AH,21,FALSE)),3,IF(ISBLANK(VLOOKUP(A605,'NHL PBP'!A:AH,23,FALSE)),4,5)),IF(ISBLANK(VLOOKUP(A605,'NHL PBP'!A:AH,32,FALSE)),3,IF(ISBLANK(VLOOKUP(A605,'NHL PBP'!A:AH,34,FALSE)),4,5)))</f>
        <v>5</v>
      </c>
      <c r="L605">
        <f>IF(OR(EXACT(D605,"C"),EXACT(D605,"P"),EXACT(D605,"D"),EXACT(D605,"T"),EXACT(D605,"X"),EXACT(E605,"DZF"),EXACT(E605,"OZF"),EXACT(D605,"N"),EXACT(D605,"F")),1,0)</f>
        <v>0</v>
      </c>
      <c r="M605" t="str">
        <f t="shared" si="36"/>
        <v/>
      </c>
      <c r="N605">
        <f t="shared" si="37"/>
        <v>0</v>
      </c>
      <c r="O605">
        <f t="shared" si="38"/>
        <v>0</v>
      </c>
      <c r="P605" t="str">
        <f t="shared" si="39"/>
        <v/>
      </c>
    </row>
    <row r="606" spans="1:16" x14ac:dyDescent="0.25">
      <c r="A606">
        <v>451</v>
      </c>
      <c r="B606" t="str">
        <f>IF($A606&gt;$A$1,"",VLOOKUP($A606,'NHL PBP'!$A:$L,8,FALSE))</f>
        <v/>
      </c>
      <c r="C606" t="str">
        <f>IF($A606&gt;$A$1,"",IF(B606&gt;3,5/24,20/24)-VLOOKUP($A606,'NHL PBP'!$A:$L,10,FALSE))</f>
        <v/>
      </c>
      <c r="D606" t="str">
        <f>IF($A606&gt;$A$1,"",VLOOKUP($A606,'NHL PBP'!$A:$L,11,FALSE))</f>
        <v/>
      </c>
      <c r="E606" t="str">
        <f>IF(AND(EXACT(D606,"FAC"),NOT(EXACT(MID(F606,9,3),"Neu"))),IF(OR(AND(EXACT(MID(F606,9,3),"Off"),EXACT(LEFT(F606,3),UPPER('Entry data'!$C$2))),AND(EXACT(MID(F606,9,3),"Def"),NOT(EXACT(LEFT(F606,3),UPPER('Entry data'!$C$2))))),"DZF","OZF"),"")</f>
        <v/>
      </c>
      <c r="F606" t="str">
        <f>IF($A606&gt;$A$1,"",VLOOKUP($A606,'NHL PBP'!$A:$L,12,FALSE))</f>
        <v/>
      </c>
      <c r="J606">
        <f>IF(EXACT('Entry data'!$C$3,"Road"),IF(ISBLANK(VLOOKUP(A606,'NHL PBP'!A:AH,21,FALSE)),3,IF(ISBLANK(VLOOKUP(A606,'NHL PBP'!A:AH,23,FALSE)),4,5)),IF(ISBLANK(VLOOKUP(A606,'NHL PBP'!A:AH,32,FALSE)),3,IF(ISBLANK(VLOOKUP(A606,'NHL PBP'!A:AH,34,FALSE)),4,5)))</f>
        <v>5</v>
      </c>
      <c r="K606">
        <f>IF(EXACT('Entry data'!$C$3,"Home"),IF(ISBLANK(VLOOKUP(A606,'NHL PBP'!A:AH,21,FALSE)),3,IF(ISBLANK(VLOOKUP(A606,'NHL PBP'!A:AH,23,FALSE)),4,5)),IF(ISBLANK(VLOOKUP(A606,'NHL PBP'!A:AH,32,FALSE)),3,IF(ISBLANK(VLOOKUP(A606,'NHL PBP'!A:AH,34,FALSE)),4,5)))</f>
        <v>5</v>
      </c>
      <c r="L606">
        <f>IF(OR(EXACT(D606,"C"),EXACT(D606,"P"),EXACT(D606,"D"),EXACT(D606,"T"),EXACT(D606,"X"),EXACT(E606,"DZF"),EXACT(E606,"OZF"),EXACT(D606,"N"),EXACT(D606,"F")),1,0)</f>
        <v>0</v>
      </c>
      <c r="M606" t="str">
        <f t="shared" si="36"/>
        <v/>
      </c>
      <c r="N606">
        <f t="shared" si="37"/>
        <v>0</v>
      </c>
      <c r="O606">
        <f t="shared" si="38"/>
        <v>0</v>
      </c>
      <c r="P606" t="str">
        <f t="shared" si="39"/>
        <v/>
      </c>
    </row>
    <row r="607" spans="1:16" x14ac:dyDescent="0.25">
      <c r="A607">
        <v>452</v>
      </c>
      <c r="B607" t="str">
        <f>IF($A607&gt;$A$1,"",VLOOKUP($A607,'NHL PBP'!$A:$L,8,FALSE))</f>
        <v/>
      </c>
      <c r="C607" t="str">
        <f>IF($A607&gt;$A$1,"",IF(B607&gt;3,5/24,20/24)-VLOOKUP($A607,'NHL PBP'!$A:$L,10,FALSE))</f>
        <v/>
      </c>
      <c r="D607" t="str">
        <f>IF($A607&gt;$A$1,"",VLOOKUP($A607,'NHL PBP'!$A:$L,11,FALSE))</f>
        <v/>
      </c>
      <c r="E607" t="str">
        <f>IF(AND(EXACT(D607,"FAC"),NOT(EXACT(MID(F607,9,3),"Neu"))),IF(OR(AND(EXACT(MID(F607,9,3),"Off"),EXACT(LEFT(F607,3),UPPER('Entry data'!$C$2))),AND(EXACT(MID(F607,9,3),"Def"),NOT(EXACT(LEFT(F607,3),UPPER('Entry data'!$C$2))))),"DZF","OZF"),"")</f>
        <v/>
      </c>
      <c r="F607" t="str">
        <f>IF($A607&gt;$A$1,"",VLOOKUP($A607,'NHL PBP'!$A:$L,12,FALSE))</f>
        <v/>
      </c>
      <c r="J607">
        <f>IF(EXACT('Entry data'!$C$3,"Road"),IF(ISBLANK(VLOOKUP(A607,'NHL PBP'!A:AH,21,FALSE)),3,IF(ISBLANK(VLOOKUP(A607,'NHL PBP'!A:AH,23,FALSE)),4,5)),IF(ISBLANK(VLOOKUP(A607,'NHL PBP'!A:AH,32,FALSE)),3,IF(ISBLANK(VLOOKUP(A607,'NHL PBP'!A:AH,34,FALSE)),4,5)))</f>
        <v>5</v>
      </c>
      <c r="K607">
        <f>IF(EXACT('Entry data'!$C$3,"Home"),IF(ISBLANK(VLOOKUP(A607,'NHL PBP'!A:AH,21,FALSE)),3,IF(ISBLANK(VLOOKUP(A607,'NHL PBP'!A:AH,23,FALSE)),4,5)),IF(ISBLANK(VLOOKUP(A607,'NHL PBP'!A:AH,32,FALSE)),3,IF(ISBLANK(VLOOKUP(A607,'NHL PBP'!A:AH,34,FALSE)),4,5)))</f>
        <v>5</v>
      </c>
      <c r="L607">
        <f>IF(OR(EXACT(D607,"C"),EXACT(D607,"P"),EXACT(D607,"D"),EXACT(D607,"T"),EXACT(D607,"X"),EXACT(E607,"DZF"),EXACT(E607,"OZF"),EXACT(D607,"N"),EXACT(D607,"F")),1,0)</f>
        <v>0</v>
      </c>
      <c r="M607" t="str">
        <f t="shared" si="36"/>
        <v/>
      </c>
      <c r="N607">
        <f t="shared" si="37"/>
        <v>0</v>
      </c>
      <c r="O607">
        <f t="shared" si="38"/>
        <v>0</v>
      </c>
      <c r="P607" t="str">
        <f t="shared" si="39"/>
        <v/>
      </c>
    </row>
    <row r="608" spans="1:16" x14ac:dyDescent="0.25">
      <c r="A608">
        <v>453</v>
      </c>
      <c r="B608" t="str">
        <f>IF($A608&gt;$A$1,"",VLOOKUP($A608,'NHL PBP'!$A:$L,8,FALSE))</f>
        <v/>
      </c>
      <c r="C608" t="str">
        <f>IF($A608&gt;$A$1,"",IF(B608&gt;3,5/24,20/24)-VLOOKUP($A608,'NHL PBP'!$A:$L,10,FALSE))</f>
        <v/>
      </c>
      <c r="D608" t="str">
        <f>IF($A608&gt;$A$1,"",VLOOKUP($A608,'NHL PBP'!$A:$L,11,FALSE))</f>
        <v/>
      </c>
      <c r="E608" t="str">
        <f>IF(AND(EXACT(D608,"FAC"),NOT(EXACT(MID(F608,9,3),"Neu"))),IF(OR(AND(EXACT(MID(F608,9,3),"Off"),EXACT(LEFT(F608,3),UPPER('Entry data'!$C$2))),AND(EXACT(MID(F608,9,3),"Def"),NOT(EXACT(LEFT(F608,3),UPPER('Entry data'!$C$2))))),"DZF","OZF"),"")</f>
        <v/>
      </c>
      <c r="F608" t="str">
        <f>IF($A608&gt;$A$1,"",VLOOKUP($A608,'NHL PBP'!$A:$L,12,FALSE))</f>
        <v/>
      </c>
      <c r="J608">
        <f>IF(EXACT('Entry data'!$C$3,"Road"),IF(ISBLANK(VLOOKUP(A608,'NHL PBP'!A:AH,21,FALSE)),3,IF(ISBLANK(VLOOKUP(A608,'NHL PBP'!A:AH,23,FALSE)),4,5)),IF(ISBLANK(VLOOKUP(A608,'NHL PBP'!A:AH,32,FALSE)),3,IF(ISBLANK(VLOOKUP(A608,'NHL PBP'!A:AH,34,FALSE)),4,5)))</f>
        <v>5</v>
      </c>
      <c r="K608">
        <f>IF(EXACT('Entry data'!$C$3,"Home"),IF(ISBLANK(VLOOKUP(A608,'NHL PBP'!A:AH,21,FALSE)),3,IF(ISBLANK(VLOOKUP(A608,'NHL PBP'!A:AH,23,FALSE)),4,5)),IF(ISBLANK(VLOOKUP(A608,'NHL PBP'!A:AH,32,FALSE)),3,IF(ISBLANK(VLOOKUP(A608,'NHL PBP'!A:AH,34,FALSE)),4,5)))</f>
        <v>5</v>
      </c>
      <c r="L608">
        <f>IF(OR(EXACT(D608,"C"),EXACT(D608,"P"),EXACT(D608,"D"),EXACT(D608,"T"),EXACT(D608,"X"),EXACT(E608,"DZF"),EXACT(E608,"OZF"),EXACT(D608,"N"),EXACT(D608,"F")),1,0)</f>
        <v>0</v>
      </c>
      <c r="M608" t="str">
        <f t="shared" si="36"/>
        <v/>
      </c>
      <c r="N608">
        <f t="shared" si="37"/>
        <v>0</v>
      </c>
      <c r="O608">
        <f t="shared" si="38"/>
        <v>0</v>
      </c>
      <c r="P608" t="str">
        <f t="shared" si="39"/>
        <v/>
      </c>
    </row>
    <row r="609" spans="1:16" x14ac:dyDescent="0.25">
      <c r="A609">
        <v>454</v>
      </c>
      <c r="B609" t="str">
        <f>IF($A609&gt;$A$1,"",VLOOKUP($A609,'NHL PBP'!$A:$L,8,FALSE))</f>
        <v/>
      </c>
      <c r="C609" t="str">
        <f>IF($A609&gt;$A$1,"",IF(B609&gt;3,5/24,20/24)-VLOOKUP($A609,'NHL PBP'!$A:$L,10,FALSE))</f>
        <v/>
      </c>
      <c r="D609" t="str">
        <f>IF($A609&gt;$A$1,"",VLOOKUP($A609,'NHL PBP'!$A:$L,11,FALSE))</f>
        <v/>
      </c>
      <c r="E609" t="str">
        <f>IF(AND(EXACT(D609,"FAC"),NOT(EXACT(MID(F609,9,3),"Neu"))),IF(OR(AND(EXACT(MID(F609,9,3),"Off"),EXACT(LEFT(F609,3),UPPER('Entry data'!$C$2))),AND(EXACT(MID(F609,9,3),"Def"),NOT(EXACT(LEFT(F609,3),UPPER('Entry data'!$C$2))))),"DZF","OZF"),"")</f>
        <v/>
      </c>
      <c r="F609" t="str">
        <f>IF($A609&gt;$A$1,"",VLOOKUP($A609,'NHL PBP'!$A:$L,12,FALSE))</f>
        <v/>
      </c>
      <c r="J609">
        <f>IF(EXACT('Entry data'!$C$3,"Road"),IF(ISBLANK(VLOOKUP(A609,'NHL PBP'!A:AH,21,FALSE)),3,IF(ISBLANK(VLOOKUP(A609,'NHL PBP'!A:AH,23,FALSE)),4,5)),IF(ISBLANK(VLOOKUP(A609,'NHL PBP'!A:AH,32,FALSE)),3,IF(ISBLANK(VLOOKUP(A609,'NHL PBP'!A:AH,34,FALSE)),4,5)))</f>
        <v>5</v>
      </c>
      <c r="K609">
        <f>IF(EXACT('Entry data'!$C$3,"Home"),IF(ISBLANK(VLOOKUP(A609,'NHL PBP'!A:AH,21,FALSE)),3,IF(ISBLANK(VLOOKUP(A609,'NHL PBP'!A:AH,23,FALSE)),4,5)),IF(ISBLANK(VLOOKUP(A609,'NHL PBP'!A:AH,32,FALSE)),3,IF(ISBLANK(VLOOKUP(A609,'NHL PBP'!A:AH,34,FALSE)),4,5)))</f>
        <v>5</v>
      </c>
      <c r="L609">
        <f>IF(OR(EXACT(D609,"C"),EXACT(D609,"P"),EXACT(D609,"D"),EXACT(D609,"T"),EXACT(D609,"X"),EXACT(E609,"DZF"),EXACT(E609,"OZF"),EXACT(D609,"N"),EXACT(D609,"F")),1,0)</f>
        <v>0</v>
      </c>
      <c r="M609" t="str">
        <f t="shared" si="36"/>
        <v/>
      </c>
      <c r="N609">
        <f t="shared" si="37"/>
        <v>0</v>
      </c>
      <c r="O609">
        <f t="shared" si="38"/>
        <v>0</v>
      </c>
      <c r="P609" t="str">
        <f t="shared" si="39"/>
        <v/>
      </c>
    </row>
    <row r="610" spans="1:16" x14ac:dyDescent="0.25">
      <c r="A610">
        <v>455</v>
      </c>
      <c r="B610" t="str">
        <f>IF($A610&gt;$A$1,"",VLOOKUP($A610,'NHL PBP'!$A:$L,8,FALSE))</f>
        <v/>
      </c>
      <c r="C610" t="str">
        <f>IF($A610&gt;$A$1,"",IF(B610&gt;3,5/24,20/24)-VLOOKUP($A610,'NHL PBP'!$A:$L,10,FALSE))</f>
        <v/>
      </c>
      <c r="D610" t="str">
        <f>IF($A610&gt;$A$1,"",VLOOKUP($A610,'NHL PBP'!$A:$L,11,FALSE))</f>
        <v/>
      </c>
      <c r="E610" t="str">
        <f>IF(AND(EXACT(D610,"FAC"),NOT(EXACT(MID(F610,9,3),"Neu"))),IF(OR(AND(EXACT(MID(F610,9,3),"Off"),EXACT(LEFT(F610,3),UPPER('Entry data'!$C$2))),AND(EXACT(MID(F610,9,3),"Def"),NOT(EXACT(LEFT(F610,3),UPPER('Entry data'!$C$2))))),"DZF","OZF"),"")</f>
        <v/>
      </c>
      <c r="F610" t="str">
        <f>IF($A610&gt;$A$1,"",VLOOKUP($A610,'NHL PBP'!$A:$L,12,FALSE))</f>
        <v/>
      </c>
      <c r="J610">
        <f>IF(EXACT('Entry data'!$C$3,"Road"),IF(ISBLANK(VLOOKUP(A610,'NHL PBP'!A:AH,21,FALSE)),3,IF(ISBLANK(VLOOKUP(A610,'NHL PBP'!A:AH,23,FALSE)),4,5)),IF(ISBLANK(VLOOKUP(A610,'NHL PBP'!A:AH,32,FALSE)),3,IF(ISBLANK(VLOOKUP(A610,'NHL PBP'!A:AH,34,FALSE)),4,5)))</f>
        <v>5</v>
      </c>
      <c r="K610">
        <f>IF(EXACT('Entry data'!$C$3,"Home"),IF(ISBLANK(VLOOKUP(A610,'NHL PBP'!A:AH,21,FALSE)),3,IF(ISBLANK(VLOOKUP(A610,'NHL PBP'!A:AH,23,FALSE)),4,5)),IF(ISBLANK(VLOOKUP(A610,'NHL PBP'!A:AH,32,FALSE)),3,IF(ISBLANK(VLOOKUP(A610,'NHL PBP'!A:AH,34,FALSE)),4,5)))</f>
        <v>5</v>
      </c>
      <c r="L610">
        <f>IF(OR(EXACT(D610,"C"),EXACT(D610,"P"),EXACT(D610,"D"),EXACT(D610,"T"),EXACT(D610,"X"),EXACT(E610,"DZF"),EXACT(E610,"OZF"),EXACT(D610,"N"),EXACT(D610,"F")),1,0)</f>
        <v>0</v>
      </c>
      <c r="M610" t="str">
        <f t="shared" si="36"/>
        <v/>
      </c>
      <c r="N610">
        <f t="shared" si="37"/>
        <v>0</v>
      </c>
      <c r="O610">
        <f t="shared" si="38"/>
        <v>0</v>
      </c>
      <c r="P610" t="str">
        <f t="shared" si="39"/>
        <v/>
      </c>
    </row>
    <row r="611" spans="1:16" x14ac:dyDescent="0.25">
      <c r="A611">
        <v>456</v>
      </c>
      <c r="B611" t="str">
        <f>IF($A611&gt;$A$1,"",VLOOKUP($A611,'NHL PBP'!$A:$L,8,FALSE))</f>
        <v/>
      </c>
      <c r="C611" t="str">
        <f>IF($A611&gt;$A$1,"",IF(B611&gt;3,5/24,20/24)-VLOOKUP($A611,'NHL PBP'!$A:$L,10,FALSE))</f>
        <v/>
      </c>
      <c r="D611" t="str">
        <f>IF($A611&gt;$A$1,"",VLOOKUP($A611,'NHL PBP'!$A:$L,11,FALSE))</f>
        <v/>
      </c>
      <c r="E611" t="str">
        <f>IF(AND(EXACT(D611,"FAC"),NOT(EXACT(MID(F611,9,3),"Neu"))),IF(OR(AND(EXACT(MID(F611,9,3),"Off"),EXACT(LEFT(F611,3),UPPER('Entry data'!$C$2))),AND(EXACT(MID(F611,9,3),"Def"),NOT(EXACT(LEFT(F611,3),UPPER('Entry data'!$C$2))))),"DZF","OZF"),"")</f>
        <v/>
      </c>
      <c r="F611" t="str">
        <f>IF($A611&gt;$A$1,"",VLOOKUP($A611,'NHL PBP'!$A:$L,12,FALSE))</f>
        <v/>
      </c>
      <c r="J611">
        <f>IF(EXACT('Entry data'!$C$3,"Road"),IF(ISBLANK(VLOOKUP(A611,'NHL PBP'!A:AH,21,FALSE)),3,IF(ISBLANK(VLOOKUP(A611,'NHL PBP'!A:AH,23,FALSE)),4,5)),IF(ISBLANK(VLOOKUP(A611,'NHL PBP'!A:AH,32,FALSE)),3,IF(ISBLANK(VLOOKUP(A611,'NHL PBP'!A:AH,34,FALSE)),4,5)))</f>
        <v>5</v>
      </c>
      <c r="K611">
        <f>IF(EXACT('Entry data'!$C$3,"Home"),IF(ISBLANK(VLOOKUP(A611,'NHL PBP'!A:AH,21,FALSE)),3,IF(ISBLANK(VLOOKUP(A611,'NHL PBP'!A:AH,23,FALSE)),4,5)),IF(ISBLANK(VLOOKUP(A611,'NHL PBP'!A:AH,32,FALSE)),3,IF(ISBLANK(VLOOKUP(A611,'NHL PBP'!A:AH,34,FALSE)),4,5)))</f>
        <v>5</v>
      </c>
      <c r="L611">
        <f>IF(OR(EXACT(D611,"C"),EXACT(D611,"P"),EXACT(D611,"D"),EXACT(D611,"T"),EXACT(D611,"X"),EXACT(E611,"DZF"),EXACT(E611,"OZF"),EXACT(D611,"N"),EXACT(D611,"F")),1,0)</f>
        <v>0</v>
      </c>
      <c r="M611" t="str">
        <f t="shared" si="36"/>
        <v/>
      </c>
      <c r="N611">
        <f t="shared" si="37"/>
        <v>0</v>
      </c>
      <c r="O611">
        <f t="shared" si="38"/>
        <v>0</v>
      </c>
      <c r="P611" t="str">
        <f t="shared" si="39"/>
        <v/>
      </c>
    </row>
    <row r="612" spans="1:16" x14ac:dyDescent="0.25">
      <c r="A612">
        <v>457</v>
      </c>
      <c r="B612" t="str">
        <f>IF($A612&gt;$A$1,"",VLOOKUP($A612,'NHL PBP'!$A:$L,8,FALSE))</f>
        <v/>
      </c>
      <c r="C612" t="str">
        <f>IF($A612&gt;$A$1,"",IF(B612&gt;3,5/24,20/24)-VLOOKUP($A612,'NHL PBP'!$A:$L,10,FALSE))</f>
        <v/>
      </c>
      <c r="D612" t="str">
        <f>IF($A612&gt;$A$1,"",VLOOKUP($A612,'NHL PBP'!$A:$L,11,FALSE))</f>
        <v/>
      </c>
      <c r="E612" t="str">
        <f>IF(AND(EXACT(D612,"FAC"),NOT(EXACT(MID(F612,9,3),"Neu"))),IF(OR(AND(EXACT(MID(F612,9,3),"Off"),EXACT(LEFT(F612,3),UPPER('Entry data'!$C$2))),AND(EXACT(MID(F612,9,3),"Def"),NOT(EXACT(LEFT(F612,3),UPPER('Entry data'!$C$2))))),"DZF","OZF"),"")</f>
        <v/>
      </c>
      <c r="F612" t="str">
        <f>IF($A612&gt;$A$1,"",VLOOKUP($A612,'NHL PBP'!$A:$L,12,FALSE))</f>
        <v/>
      </c>
      <c r="J612">
        <f>IF(EXACT('Entry data'!$C$3,"Road"),IF(ISBLANK(VLOOKUP(A612,'NHL PBP'!A:AH,21,FALSE)),3,IF(ISBLANK(VLOOKUP(A612,'NHL PBP'!A:AH,23,FALSE)),4,5)),IF(ISBLANK(VLOOKUP(A612,'NHL PBP'!A:AH,32,FALSE)),3,IF(ISBLANK(VLOOKUP(A612,'NHL PBP'!A:AH,34,FALSE)),4,5)))</f>
        <v>5</v>
      </c>
      <c r="K612">
        <f>IF(EXACT('Entry data'!$C$3,"Home"),IF(ISBLANK(VLOOKUP(A612,'NHL PBP'!A:AH,21,FALSE)),3,IF(ISBLANK(VLOOKUP(A612,'NHL PBP'!A:AH,23,FALSE)),4,5)),IF(ISBLANK(VLOOKUP(A612,'NHL PBP'!A:AH,32,FALSE)),3,IF(ISBLANK(VLOOKUP(A612,'NHL PBP'!A:AH,34,FALSE)),4,5)))</f>
        <v>5</v>
      </c>
      <c r="L612">
        <f>IF(OR(EXACT(D612,"C"),EXACT(D612,"P"),EXACT(D612,"D"),EXACT(D612,"T"),EXACT(D612,"X"),EXACT(E612,"DZF"),EXACT(E612,"OZF"),EXACT(D612,"N"),EXACT(D612,"F")),1,0)</f>
        <v>0</v>
      </c>
      <c r="M612" t="str">
        <f t="shared" si="36"/>
        <v/>
      </c>
      <c r="N612">
        <f t="shared" si="37"/>
        <v>0</v>
      </c>
      <c r="O612">
        <f t="shared" si="38"/>
        <v>0</v>
      </c>
      <c r="P612" t="str">
        <f t="shared" si="39"/>
        <v/>
      </c>
    </row>
    <row r="613" spans="1:16" x14ac:dyDescent="0.25">
      <c r="A613">
        <v>458</v>
      </c>
      <c r="B613" t="str">
        <f>IF($A613&gt;$A$1,"",VLOOKUP($A613,'NHL PBP'!$A:$L,8,FALSE))</f>
        <v/>
      </c>
      <c r="C613" t="str">
        <f>IF($A613&gt;$A$1,"",IF(B613&gt;3,5/24,20/24)-VLOOKUP($A613,'NHL PBP'!$A:$L,10,FALSE))</f>
        <v/>
      </c>
      <c r="D613" t="str">
        <f>IF($A613&gt;$A$1,"",VLOOKUP($A613,'NHL PBP'!$A:$L,11,FALSE))</f>
        <v/>
      </c>
      <c r="E613" t="str">
        <f>IF(AND(EXACT(D613,"FAC"),NOT(EXACT(MID(F613,9,3),"Neu"))),IF(OR(AND(EXACT(MID(F613,9,3),"Off"),EXACT(LEFT(F613,3),UPPER('Entry data'!$C$2))),AND(EXACT(MID(F613,9,3),"Def"),NOT(EXACT(LEFT(F613,3),UPPER('Entry data'!$C$2))))),"DZF","OZF"),"")</f>
        <v/>
      </c>
      <c r="F613" t="str">
        <f>IF($A613&gt;$A$1,"",VLOOKUP($A613,'NHL PBP'!$A:$L,12,FALSE))</f>
        <v/>
      </c>
      <c r="J613">
        <f>IF(EXACT('Entry data'!$C$3,"Road"),IF(ISBLANK(VLOOKUP(A613,'NHL PBP'!A:AH,21,FALSE)),3,IF(ISBLANK(VLOOKUP(A613,'NHL PBP'!A:AH,23,FALSE)),4,5)),IF(ISBLANK(VLOOKUP(A613,'NHL PBP'!A:AH,32,FALSE)),3,IF(ISBLANK(VLOOKUP(A613,'NHL PBP'!A:AH,34,FALSE)),4,5)))</f>
        <v>5</v>
      </c>
      <c r="K613">
        <f>IF(EXACT('Entry data'!$C$3,"Home"),IF(ISBLANK(VLOOKUP(A613,'NHL PBP'!A:AH,21,FALSE)),3,IF(ISBLANK(VLOOKUP(A613,'NHL PBP'!A:AH,23,FALSE)),4,5)),IF(ISBLANK(VLOOKUP(A613,'NHL PBP'!A:AH,32,FALSE)),3,IF(ISBLANK(VLOOKUP(A613,'NHL PBP'!A:AH,34,FALSE)),4,5)))</f>
        <v>5</v>
      </c>
      <c r="L613">
        <f>IF(OR(EXACT(D613,"C"),EXACT(D613,"P"),EXACT(D613,"D"),EXACT(D613,"T"),EXACT(D613,"X"),EXACT(E613,"DZF"),EXACT(E613,"OZF"),EXACT(D613,"N"),EXACT(D613,"F")),1,0)</f>
        <v>0</v>
      </c>
      <c r="M613" t="str">
        <f t="shared" si="36"/>
        <v/>
      </c>
      <c r="N613">
        <f t="shared" si="37"/>
        <v>0</v>
      </c>
      <c r="O613">
        <f t="shared" si="38"/>
        <v>0</v>
      </c>
      <c r="P613" t="str">
        <f t="shared" si="39"/>
        <v/>
      </c>
    </row>
    <row r="614" spans="1:16" x14ac:dyDescent="0.25">
      <c r="A614">
        <v>459</v>
      </c>
      <c r="B614" t="str">
        <f>IF($A614&gt;$A$1,"",VLOOKUP($A614,'NHL PBP'!$A:$L,8,FALSE))</f>
        <v/>
      </c>
      <c r="C614" t="str">
        <f>IF($A614&gt;$A$1,"",IF(B614&gt;3,5/24,20/24)-VLOOKUP($A614,'NHL PBP'!$A:$L,10,FALSE))</f>
        <v/>
      </c>
      <c r="D614" t="str">
        <f>IF($A614&gt;$A$1,"",VLOOKUP($A614,'NHL PBP'!$A:$L,11,FALSE))</f>
        <v/>
      </c>
      <c r="E614" t="str">
        <f>IF(AND(EXACT(D614,"FAC"),NOT(EXACT(MID(F614,9,3),"Neu"))),IF(OR(AND(EXACT(MID(F614,9,3),"Off"),EXACT(LEFT(F614,3),UPPER('Entry data'!$C$2))),AND(EXACT(MID(F614,9,3),"Def"),NOT(EXACT(LEFT(F614,3),UPPER('Entry data'!$C$2))))),"DZF","OZF"),"")</f>
        <v/>
      </c>
      <c r="F614" t="str">
        <f>IF($A614&gt;$A$1,"",VLOOKUP($A614,'NHL PBP'!$A:$L,12,FALSE))</f>
        <v/>
      </c>
      <c r="J614">
        <f>IF(EXACT('Entry data'!$C$3,"Road"),IF(ISBLANK(VLOOKUP(A614,'NHL PBP'!A:AH,21,FALSE)),3,IF(ISBLANK(VLOOKUP(A614,'NHL PBP'!A:AH,23,FALSE)),4,5)),IF(ISBLANK(VLOOKUP(A614,'NHL PBP'!A:AH,32,FALSE)),3,IF(ISBLANK(VLOOKUP(A614,'NHL PBP'!A:AH,34,FALSE)),4,5)))</f>
        <v>5</v>
      </c>
      <c r="K614">
        <f>IF(EXACT('Entry data'!$C$3,"Home"),IF(ISBLANK(VLOOKUP(A614,'NHL PBP'!A:AH,21,FALSE)),3,IF(ISBLANK(VLOOKUP(A614,'NHL PBP'!A:AH,23,FALSE)),4,5)),IF(ISBLANK(VLOOKUP(A614,'NHL PBP'!A:AH,32,FALSE)),3,IF(ISBLANK(VLOOKUP(A614,'NHL PBP'!A:AH,34,FALSE)),4,5)))</f>
        <v>5</v>
      </c>
      <c r="L614">
        <f>IF(OR(EXACT(D614,"C"),EXACT(D614,"P"),EXACT(D614,"D"),EXACT(D614,"T"),EXACT(D614,"X"),EXACT(E614,"DZF"),EXACT(E614,"OZF"),EXACT(D614,"N"),EXACT(D614,"F")),1,0)</f>
        <v>0</v>
      </c>
      <c r="M614" t="str">
        <f t="shared" si="36"/>
        <v/>
      </c>
      <c r="N614">
        <f t="shared" si="37"/>
        <v>0</v>
      </c>
      <c r="O614">
        <f t="shared" si="38"/>
        <v>0</v>
      </c>
      <c r="P614" t="str">
        <f t="shared" si="39"/>
        <v/>
      </c>
    </row>
    <row r="615" spans="1:16" x14ac:dyDescent="0.25">
      <c r="A615">
        <v>460</v>
      </c>
      <c r="B615" t="str">
        <f>IF($A615&gt;$A$1,"",VLOOKUP($A615,'NHL PBP'!$A:$L,8,FALSE))</f>
        <v/>
      </c>
      <c r="C615" t="str">
        <f>IF($A615&gt;$A$1,"",IF(B615&gt;3,5/24,20/24)-VLOOKUP($A615,'NHL PBP'!$A:$L,10,FALSE))</f>
        <v/>
      </c>
      <c r="D615" t="str">
        <f>IF($A615&gt;$A$1,"",VLOOKUP($A615,'NHL PBP'!$A:$L,11,FALSE))</f>
        <v/>
      </c>
      <c r="E615" t="str">
        <f>IF(AND(EXACT(D615,"FAC"),NOT(EXACT(MID(F615,9,3),"Neu"))),IF(OR(AND(EXACT(MID(F615,9,3),"Off"),EXACT(LEFT(F615,3),UPPER('Entry data'!$C$2))),AND(EXACT(MID(F615,9,3),"Def"),NOT(EXACT(LEFT(F615,3),UPPER('Entry data'!$C$2))))),"DZF","OZF"),"")</f>
        <v/>
      </c>
      <c r="F615" t="str">
        <f>IF($A615&gt;$A$1,"",VLOOKUP($A615,'NHL PBP'!$A:$L,12,FALSE))</f>
        <v/>
      </c>
      <c r="J615">
        <f>IF(EXACT('Entry data'!$C$3,"Road"),IF(ISBLANK(VLOOKUP(A615,'NHL PBP'!A:AH,21,FALSE)),3,IF(ISBLANK(VLOOKUP(A615,'NHL PBP'!A:AH,23,FALSE)),4,5)),IF(ISBLANK(VLOOKUP(A615,'NHL PBP'!A:AH,32,FALSE)),3,IF(ISBLANK(VLOOKUP(A615,'NHL PBP'!A:AH,34,FALSE)),4,5)))</f>
        <v>5</v>
      </c>
      <c r="K615">
        <f>IF(EXACT('Entry data'!$C$3,"Home"),IF(ISBLANK(VLOOKUP(A615,'NHL PBP'!A:AH,21,FALSE)),3,IF(ISBLANK(VLOOKUP(A615,'NHL PBP'!A:AH,23,FALSE)),4,5)),IF(ISBLANK(VLOOKUP(A615,'NHL PBP'!A:AH,32,FALSE)),3,IF(ISBLANK(VLOOKUP(A615,'NHL PBP'!A:AH,34,FALSE)),4,5)))</f>
        <v>5</v>
      </c>
      <c r="L615">
        <f>IF(OR(EXACT(D615,"C"),EXACT(D615,"P"),EXACT(D615,"D"),EXACT(D615,"T"),EXACT(D615,"X"),EXACT(E615,"DZF"),EXACT(E615,"OZF"),EXACT(D615,"N"),EXACT(D615,"F")),1,0)</f>
        <v>0</v>
      </c>
      <c r="M615" t="str">
        <f t="shared" si="36"/>
        <v/>
      </c>
      <c r="N615">
        <f t="shared" si="37"/>
        <v>0</v>
      </c>
      <c r="O615">
        <f t="shared" si="38"/>
        <v>0</v>
      </c>
      <c r="P615" t="str">
        <f t="shared" si="39"/>
        <v/>
      </c>
    </row>
    <row r="616" spans="1:16" x14ac:dyDescent="0.25">
      <c r="A616">
        <v>461</v>
      </c>
      <c r="B616" t="str">
        <f>IF($A616&gt;$A$1,"",VLOOKUP($A616,'NHL PBP'!$A:$L,8,FALSE))</f>
        <v/>
      </c>
      <c r="C616" t="str">
        <f>IF($A616&gt;$A$1,"",IF(B616&gt;3,5/24,20/24)-VLOOKUP($A616,'NHL PBP'!$A:$L,10,FALSE))</f>
        <v/>
      </c>
      <c r="D616" t="str">
        <f>IF($A616&gt;$A$1,"",VLOOKUP($A616,'NHL PBP'!$A:$L,11,FALSE))</f>
        <v/>
      </c>
      <c r="E616" t="str">
        <f>IF(AND(EXACT(D616,"FAC"),NOT(EXACT(MID(F616,9,3),"Neu"))),IF(OR(AND(EXACT(MID(F616,9,3),"Off"),EXACT(LEFT(F616,3),UPPER('Entry data'!$C$2))),AND(EXACT(MID(F616,9,3),"Def"),NOT(EXACT(LEFT(F616,3),UPPER('Entry data'!$C$2))))),"DZF","OZF"),"")</f>
        <v/>
      </c>
      <c r="F616" t="str">
        <f>IF($A616&gt;$A$1,"",VLOOKUP($A616,'NHL PBP'!$A:$L,12,FALSE))</f>
        <v/>
      </c>
      <c r="J616">
        <f>IF(EXACT('Entry data'!$C$3,"Road"),IF(ISBLANK(VLOOKUP(A616,'NHL PBP'!A:AH,21,FALSE)),3,IF(ISBLANK(VLOOKUP(A616,'NHL PBP'!A:AH,23,FALSE)),4,5)),IF(ISBLANK(VLOOKUP(A616,'NHL PBP'!A:AH,32,FALSE)),3,IF(ISBLANK(VLOOKUP(A616,'NHL PBP'!A:AH,34,FALSE)),4,5)))</f>
        <v>5</v>
      </c>
      <c r="K616">
        <f>IF(EXACT('Entry data'!$C$3,"Home"),IF(ISBLANK(VLOOKUP(A616,'NHL PBP'!A:AH,21,FALSE)),3,IF(ISBLANK(VLOOKUP(A616,'NHL PBP'!A:AH,23,FALSE)),4,5)),IF(ISBLANK(VLOOKUP(A616,'NHL PBP'!A:AH,32,FALSE)),3,IF(ISBLANK(VLOOKUP(A616,'NHL PBP'!A:AH,34,FALSE)),4,5)))</f>
        <v>5</v>
      </c>
      <c r="L616">
        <f>IF(OR(EXACT(D616,"C"),EXACT(D616,"P"),EXACT(D616,"D"),EXACT(D616,"T"),EXACT(D616,"X"),EXACT(E616,"DZF"),EXACT(E616,"OZF"),EXACT(D616,"N"),EXACT(D616,"F")),1,0)</f>
        <v>0</v>
      </c>
      <c r="M616" t="str">
        <f t="shared" si="36"/>
        <v/>
      </c>
      <c r="N616">
        <f t="shared" si="37"/>
        <v>0</v>
      </c>
      <c r="O616">
        <f t="shared" si="38"/>
        <v>0</v>
      </c>
      <c r="P616" t="str">
        <f t="shared" si="39"/>
        <v/>
      </c>
    </row>
    <row r="617" spans="1:16" x14ac:dyDescent="0.25">
      <c r="A617">
        <v>462</v>
      </c>
      <c r="B617" t="str">
        <f>IF($A617&gt;$A$1,"",VLOOKUP($A617,'NHL PBP'!$A:$L,8,FALSE))</f>
        <v/>
      </c>
      <c r="C617" t="str">
        <f>IF($A617&gt;$A$1,"",IF(B617&gt;3,5/24,20/24)-VLOOKUP($A617,'NHL PBP'!$A:$L,10,FALSE))</f>
        <v/>
      </c>
      <c r="D617" t="str">
        <f>IF($A617&gt;$A$1,"",VLOOKUP($A617,'NHL PBP'!$A:$L,11,FALSE))</f>
        <v/>
      </c>
      <c r="E617" t="str">
        <f>IF(AND(EXACT(D617,"FAC"),NOT(EXACT(MID(F617,9,3),"Neu"))),IF(OR(AND(EXACT(MID(F617,9,3),"Off"),EXACT(LEFT(F617,3),UPPER('Entry data'!$C$2))),AND(EXACT(MID(F617,9,3),"Def"),NOT(EXACT(LEFT(F617,3),UPPER('Entry data'!$C$2))))),"DZF","OZF"),"")</f>
        <v/>
      </c>
      <c r="F617" t="str">
        <f>IF($A617&gt;$A$1,"",VLOOKUP($A617,'NHL PBP'!$A:$L,12,FALSE))</f>
        <v/>
      </c>
      <c r="J617">
        <f>IF(EXACT('Entry data'!$C$3,"Road"),IF(ISBLANK(VLOOKUP(A617,'NHL PBP'!A:AH,21,FALSE)),3,IF(ISBLANK(VLOOKUP(A617,'NHL PBP'!A:AH,23,FALSE)),4,5)),IF(ISBLANK(VLOOKUP(A617,'NHL PBP'!A:AH,32,FALSE)),3,IF(ISBLANK(VLOOKUP(A617,'NHL PBP'!A:AH,34,FALSE)),4,5)))</f>
        <v>5</v>
      </c>
      <c r="K617">
        <f>IF(EXACT('Entry data'!$C$3,"Home"),IF(ISBLANK(VLOOKUP(A617,'NHL PBP'!A:AH,21,FALSE)),3,IF(ISBLANK(VLOOKUP(A617,'NHL PBP'!A:AH,23,FALSE)),4,5)),IF(ISBLANK(VLOOKUP(A617,'NHL PBP'!A:AH,32,FALSE)),3,IF(ISBLANK(VLOOKUP(A617,'NHL PBP'!A:AH,34,FALSE)),4,5)))</f>
        <v>5</v>
      </c>
      <c r="L617">
        <f>IF(OR(EXACT(D617,"C"),EXACT(D617,"P"),EXACT(D617,"D"),EXACT(D617,"T"),EXACT(D617,"X"),EXACT(E617,"DZF"),EXACT(E617,"OZF"),EXACT(D617,"N"),EXACT(D617,"F")),1,0)</f>
        <v>0</v>
      </c>
      <c r="M617" t="str">
        <f t="shared" si="36"/>
        <v/>
      </c>
      <c r="N617">
        <f t="shared" si="37"/>
        <v>0</v>
      </c>
      <c r="O617">
        <f t="shared" si="38"/>
        <v>0</v>
      </c>
      <c r="P617" t="str">
        <f t="shared" si="39"/>
        <v/>
      </c>
    </row>
    <row r="618" spans="1:16" x14ac:dyDescent="0.25">
      <c r="A618">
        <v>463</v>
      </c>
      <c r="B618" t="str">
        <f>IF($A618&gt;$A$1,"",VLOOKUP($A618,'NHL PBP'!$A:$L,8,FALSE))</f>
        <v/>
      </c>
      <c r="C618" t="str">
        <f>IF($A618&gt;$A$1,"",IF(B618&gt;3,5/24,20/24)-VLOOKUP($A618,'NHL PBP'!$A:$L,10,FALSE))</f>
        <v/>
      </c>
      <c r="D618" t="str">
        <f>IF($A618&gt;$A$1,"",VLOOKUP($A618,'NHL PBP'!$A:$L,11,FALSE))</f>
        <v/>
      </c>
      <c r="E618" t="str">
        <f>IF(AND(EXACT(D618,"FAC"),NOT(EXACT(MID(F618,9,3),"Neu"))),IF(OR(AND(EXACT(MID(F618,9,3),"Off"),EXACT(LEFT(F618,3),UPPER('Entry data'!$C$2))),AND(EXACT(MID(F618,9,3),"Def"),NOT(EXACT(LEFT(F618,3),UPPER('Entry data'!$C$2))))),"DZF","OZF"),"")</f>
        <v/>
      </c>
      <c r="F618" t="str">
        <f>IF($A618&gt;$A$1,"",VLOOKUP($A618,'NHL PBP'!$A:$L,12,FALSE))</f>
        <v/>
      </c>
      <c r="J618">
        <f>IF(EXACT('Entry data'!$C$3,"Road"),IF(ISBLANK(VLOOKUP(A618,'NHL PBP'!A:AH,21,FALSE)),3,IF(ISBLANK(VLOOKUP(A618,'NHL PBP'!A:AH,23,FALSE)),4,5)),IF(ISBLANK(VLOOKUP(A618,'NHL PBP'!A:AH,32,FALSE)),3,IF(ISBLANK(VLOOKUP(A618,'NHL PBP'!A:AH,34,FALSE)),4,5)))</f>
        <v>5</v>
      </c>
      <c r="K618">
        <f>IF(EXACT('Entry data'!$C$3,"Home"),IF(ISBLANK(VLOOKUP(A618,'NHL PBP'!A:AH,21,FALSE)),3,IF(ISBLANK(VLOOKUP(A618,'NHL PBP'!A:AH,23,FALSE)),4,5)),IF(ISBLANK(VLOOKUP(A618,'NHL PBP'!A:AH,32,FALSE)),3,IF(ISBLANK(VLOOKUP(A618,'NHL PBP'!A:AH,34,FALSE)),4,5)))</f>
        <v>5</v>
      </c>
      <c r="L618">
        <f>IF(OR(EXACT(D618,"C"),EXACT(D618,"P"),EXACT(D618,"D"),EXACT(D618,"T"),EXACT(D618,"X"),EXACT(E618,"DZF"),EXACT(E618,"OZF"),EXACT(D618,"N"),EXACT(D618,"F")),1,0)</f>
        <v>0</v>
      </c>
      <c r="M618" t="str">
        <f t="shared" si="36"/>
        <v/>
      </c>
      <c r="N618">
        <f t="shared" si="37"/>
        <v>0</v>
      </c>
      <c r="O618">
        <f t="shared" si="38"/>
        <v>0</v>
      </c>
      <c r="P618" t="str">
        <f t="shared" si="39"/>
        <v/>
      </c>
    </row>
    <row r="619" spans="1:16" x14ac:dyDescent="0.25">
      <c r="A619">
        <v>464</v>
      </c>
      <c r="B619" t="str">
        <f>IF($A619&gt;$A$1,"",VLOOKUP($A619,'NHL PBP'!$A:$L,8,FALSE))</f>
        <v/>
      </c>
      <c r="C619" t="str">
        <f>IF($A619&gt;$A$1,"",IF(B619&gt;3,5/24,20/24)-VLOOKUP($A619,'NHL PBP'!$A:$L,10,FALSE))</f>
        <v/>
      </c>
      <c r="D619" t="str">
        <f>IF($A619&gt;$A$1,"",VLOOKUP($A619,'NHL PBP'!$A:$L,11,FALSE))</f>
        <v/>
      </c>
      <c r="E619" t="str">
        <f>IF(AND(EXACT(D619,"FAC"),NOT(EXACT(MID(F619,9,3),"Neu"))),IF(OR(AND(EXACT(MID(F619,9,3),"Off"),EXACT(LEFT(F619,3),UPPER('Entry data'!$C$2))),AND(EXACT(MID(F619,9,3),"Def"),NOT(EXACT(LEFT(F619,3),UPPER('Entry data'!$C$2))))),"DZF","OZF"),"")</f>
        <v/>
      </c>
      <c r="F619" t="str">
        <f>IF($A619&gt;$A$1,"",VLOOKUP($A619,'NHL PBP'!$A:$L,12,FALSE))</f>
        <v/>
      </c>
      <c r="J619">
        <f>IF(EXACT('Entry data'!$C$3,"Road"),IF(ISBLANK(VLOOKUP(A619,'NHL PBP'!A:AH,21,FALSE)),3,IF(ISBLANK(VLOOKUP(A619,'NHL PBP'!A:AH,23,FALSE)),4,5)),IF(ISBLANK(VLOOKUP(A619,'NHL PBP'!A:AH,32,FALSE)),3,IF(ISBLANK(VLOOKUP(A619,'NHL PBP'!A:AH,34,FALSE)),4,5)))</f>
        <v>5</v>
      </c>
      <c r="K619">
        <f>IF(EXACT('Entry data'!$C$3,"Home"),IF(ISBLANK(VLOOKUP(A619,'NHL PBP'!A:AH,21,FALSE)),3,IF(ISBLANK(VLOOKUP(A619,'NHL PBP'!A:AH,23,FALSE)),4,5)),IF(ISBLANK(VLOOKUP(A619,'NHL PBP'!A:AH,32,FALSE)),3,IF(ISBLANK(VLOOKUP(A619,'NHL PBP'!A:AH,34,FALSE)),4,5)))</f>
        <v>5</v>
      </c>
      <c r="L619">
        <f>IF(OR(EXACT(D619,"C"),EXACT(D619,"P"),EXACT(D619,"D"),EXACT(D619,"T"),EXACT(D619,"X"),EXACT(E619,"DZF"),EXACT(E619,"OZF"),EXACT(D619,"N"),EXACT(D619,"F")),1,0)</f>
        <v>0</v>
      </c>
      <c r="M619" t="str">
        <f t="shared" si="36"/>
        <v/>
      </c>
      <c r="N619">
        <f t="shared" si="37"/>
        <v>0</v>
      </c>
      <c r="O619">
        <f t="shared" si="38"/>
        <v>0</v>
      </c>
      <c r="P619" t="str">
        <f t="shared" si="39"/>
        <v/>
      </c>
    </row>
    <row r="620" spans="1:16" x14ac:dyDescent="0.25">
      <c r="A620">
        <v>465</v>
      </c>
      <c r="B620" t="str">
        <f>IF($A620&gt;$A$1,"",VLOOKUP($A620,'NHL PBP'!$A:$L,8,FALSE))</f>
        <v/>
      </c>
      <c r="C620" t="str">
        <f>IF($A620&gt;$A$1,"",IF(B620&gt;3,5/24,20/24)-VLOOKUP($A620,'NHL PBP'!$A:$L,10,FALSE))</f>
        <v/>
      </c>
      <c r="D620" t="str">
        <f>IF($A620&gt;$A$1,"",VLOOKUP($A620,'NHL PBP'!$A:$L,11,FALSE))</f>
        <v/>
      </c>
      <c r="E620" t="str">
        <f>IF(AND(EXACT(D620,"FAC"),NOT(EXACT(MID(F620,9,3),"Neu"))),IF(OR(AND(EXACT(MID(F620,9,3),"Off"),EXACT(LEFT(F620,3),UPPER('Entry data'!$C$2))),AND(EXACT(MID(F620,9,3),"Def"),NOT(EXACT(LEFT(F620,3),UPPER('Entry data'!$C$2))))),"DZF","OZF"),"")</f>
        <v/>
      </c>
      <c r="F620" t="str">
        <f>IF($A620&gt;$A$1,"",VLOOKUP($A620,'NHL PBP'!$A:$L,12,FALSE))</f>
        <v/>
      </c>
      <c r="J620">
        <f>IF(EXACT('Entry data'!$C$3,"Road"),IF(ISBLANK(VLOOKUP(A620,'NHL PBP'!A:AH,21,FALSE)),3,IF(ISBLANK(VLOOKUP(A620,'NHL PBP'!A:AH,23,FALSE)),4,5)),IF(ISBLANK(VLOOKUP(A620,'NHL PBP'!A:AH,32,FALSE)),3,IF(ISBLANK(VLOOKUP(A620,'NHL PBP'!A:AH,34,FALSE)),4,5)))</f>
        <v>5</v>
      </c>
      <c r="K620">
        <f>IF(EXACT('Entry data'!$C$3,"Home"),IF(ISBLANK(VLOOKUP(A620,'NHL PBP'!A:AH,21,FALSE)),3,IF(ISBLANK(VLOOKUP(A620,'NHL PBP'!A:AH,23,FALSE)),4,5)),IF(ISBLANK(VLOOKUP(A620,'NHL PBP'!A:AH,32,FALSE)),3,IF(ISBLANK(VLOOKUP(A620,'NHL PBP'!A:AH,34,FALSE)),4,5)))</f>
        <v>5</v>
      </c>
      <c r="L620">
        <f>IF(OR(EXACT(D620,"C"),EXACT(D620,"P"),EXACT(D620,"D"),EXACT(D620,"T"),EXACT(D620,"X"),EXACT(E620,"DZF"),EXACT(E620,"OZF"),EXACT(D620,"N"),EXACT(D620,"F")),1,0)</f>
        <v>0</v>
      </c>
      <c r="M620" t="str">
        <f t="shared" si="36"/>
        <v/>
      </c>
      <c r="N620">
        <f t="shared" si="37"/>
        <v>0</v>
      </c>
      <c r="O620">
        <f t="shared" si="38"/>
        <v>0</v>
      </c>
      <c r="P620" t="str">
        <f t="shared" si="39"/>
        <v/>
      </c>
    </row>
    <row r="621" spans="1:16" x14ac:dyDescent="0.25">
      <c r="A621">
        <v>466</v>
      </c>
      <c r="B621" t="str">
        <f>IF($A621&gt;$A$1,"",VLOOKUP($A621,'NHL PBP'!$A:$L,8,FALSE))</f>
        <v/>
      </c>
      <c r="C621" t="str">
        <f>IF($A621&gt;$A$1,"",IF(B621&gt;3,5/24,20/24)-VLOOKUP($A621,'NHL PBP'!$A:$L,10,FALSE))</f>
        <v/>
      </c>
      <c r="D621" t="str">
        <f>IF($A621&gt;$A$1,"",VLOOKUP($A621,'NHL PBP'!$A:$L,11,FALSE))</f>
        <v/>
      </c>
      <c r="E621" t="str">
        <f>IF(AND(EXACT(D621,"FAC"),NOT(EXACT(MID(F621,9,3),"Neu"))),IF(OR(AND(EXACT(MID(F621,9,3),"Off"),EXACT(LEFT(F621,3),UPPER('Entry data'!$C$2))),AND(EXACT(MID(F621,9,3),"Def"),NOT(EXACT(LEFT(F621,3),UPPER('Entry data'!$C$2))))),"DZF","OZF"),"")</f>
        <v/>
      </c>
      <c r="F621" t="str">
        <f>IF($A621&gt;$A$1,"",VLOOKUP($A621,'NHL PBP'!$A:$L,12,FALSE))</f>
        <v/>
      </c>
      <c r="J621">
        <f>IF(EXACT('Entry data'!$C$3,"Road"),IF(ISBLANK(VLOOKUP(A621,'NHL PBP'!A:AH,21,FALSE)),3,IF(ISBLANK(VLOOKUP(A621,'NHL PBP'!A:AH,23,FALSE)),4,5)),IF(ISBLANK(VLOOKUP(A621,'NHL PBP'!A:AH,32,FALSE)),3,IF(ISBLANK(VLOOKUP(A621,'NHL PBP'!A:AH,34,FALSE)),4,5)))</f>
        <v>5</v>
      </c>
      <c r="K621">
        <f>IF(EXACT('Entry data'!$C$3,"Home"),IF(ISBLANK(VLOOKUP(A621,'NHL PBP'!A:AH,21,FALSE)),3,IF(ISBLANK(VLOOKUP(A621,'NHL PBP'!A:AH,23,FALSE)),4,5)),IF(ISBLANK(VLOOKUP(A621,'NHL PBP'!A:AH,32,FALSE)),3,IF(ISBLANK(VLOOKUP(A621,'NHL PBP'!A:AH,34,FALSE)),4,5)))</f>
        <v>5</v>
      </c>
      <c r="L621">
        <f>IF(OR(EXACT(D621,"C"),EXACT(D621,"P"),EXACT(D621,"D"),EXACT(D621,"T"),EXACT(D621,"X"),EXACT(E621,"DZF"),EXACT(E621,"OZF"),EXACT(D621,"N"),EXACT(D621,"F")),1,0)</f>
        <v>0</v>
      </c>
      <c r="M621" t="str">
        <f t="shared" si="36"/>
        <v/>
      </c>
      <c r="N621">
        <f t="shared" si="37"/>
        <v>0</v>
      </c>
      <c r="O621">
        <f t="shared" si="38"/>
        <v>0</v>
      </c>
      <c r="P621" t="str">
        <f t="shared" si="39"/>
        <v/>
      </c>
    </row>
    <row r="622" spans="1:16" x14ac:dyDescent="0.25">
      <c r="A622">
        <v>467</v>
      </c>
      <c r="B622" t="str">
        <f>IF($A622&gt;$A$1,"",VLOOKUP($A622,'NHL PBP'!$A:$L,8,FALSE))</f>
        <v/>
      </c>
      <c r="C622" t="str">
        <f>IF($A622&gt;$A$1,"",IF(B622&gt;3,5/24,20/24)-VLOOKUP($A622,'NHL PBP'!$A:$L,10,FALSE))</f>
        <v/>
      </c>
      <c r="D622" t="str">
        <f>IF($A622&gt;$A$1,"",VLOOKUP($A622,'NHL PBP'!$A:$L,11,FALSE))</f>
        <v/>
      </c>
      <c r="E622" t="str">
        <f>IF(AND(EXACT(D622,"FAC"),NOT(EXACT(MID(F622,9,3),"Neu"))),IF(OR(AND(EXACT(MID(F622,9,3),"Off"),EXACT(LEFT(F622,3),UPPER('Entry data'!$C$2))),AND(EXACT(MID(F622,9,3),"Def"),NOT(EXACT(LEFT(F622,3),UPPER('Entry data'!$C$2))))),"DZF","OZF"),"")</f>
        <v/>
      </c>
      <c r="F622" t="str">
        <f>IF($A622&gt;$A$1,"",VLOOKUP($A622,'NHL PBP'!$A:$L,12,FALSE))</f>
        <v/>
      </c>
      <c r="J622">
        <f>IF(EXACT('Entry data'!$C$3,"Road"),IF(ISBLANK(VLOOKUP(A622,'NHL PBP'!A:AH,21,FALSE)),3,IF(ISBLANK(VLOOKUP(A622,'NHL PBP'!A:AH,23,FALSE)),4,5)),IF(ISBLANK(VLOOKUP(A622,'NHL PBP'!A:AH,32,FALSE)),3,IF(ISBLANK(VLOOKUP(A622,'NHL PBP'!A:AH,34,FALSE)),4,5)))</f>
        <v>5</v>
      </c>
      <c r="K622">
        <f>IF(EXACT('Entry data'!$C$3,"Home"),IF(ISBLANK(VLOOKUP(A622,'NHL PBP'!A:AH,21,FALSE)),3,IF(ISBLANK(VLOOKUP(A622,'NHL PBP'!A:AH,23,FALSE)),4,5)),IF(ISBLANK(VLOOKUP(A622,'NHL PBP'!A:AH,32,FALSE)),3,IF(ISBLANK(VLOOKUP(A622,'NHL PBP'!A:AH,34,FALSE)),4,5)))</f>
        <v>5</v>
      </c>
      <c r="L622">
        <f>IF(OR(EXACT(D622,"C"),EXACT(D622,"P"),EXACT(D622,"D"),EXACT(D622,"T"),EXACT(D622,"X"),EXACT(E622,"DZF"),EXACT(E622,"OZF"),EXACT(D622,"N"),EXACT(D622,"F")),1,0)</f>
        <v>0</v>
      </c>
      <c r="M622" t="str">
        <f t="shared" si="36"/>
        <v/>
      </c>
      <c r="N622">
        <f t="shared" si="37"/>
        <v>0</v>
      </c>
      <c r="O622">
        <f t="shared" si="38"/>
        <v>0</v>
      </c>
      <c r="P622" t="str">
        <f t="shared" si="39"/>
        <v/>
      </c>
    </row>
    <row r="623" spans="1:16" x14ac:dyDescent="0.25">
      <c r="A623">
        <v>468</v>
      </c>
      <c r="B623" t="str">
        <f>IF($A623&gt;$A$1,"",VLOOKUP($A623,'NHL PBP'!$A:$L,8,FALSE))</f>
        <v/>
      </c>
      <c r="C623" t="str">
        <f>IF($A623&gt;$A$1,"",IF(B623&gt;3,5/24,20/24)-VLOOKUP($A623,'NHL PBP'!$A:$L,10,FALSE))</f>
        <v/>
      </c>
      <c r="D623" t="str">
        <f>IF($A623&gt;$A$1,"",VLOOKUP($A623,'NHL PBP'!$A:$L,11,FALSE))</f>
        <v/>
      </c>
      <c r="E623" t="str">
        <f>IF(AND(EXACT(D623,"FAC"),NOT(EXACT(MID(F623,9,3),"Neu"))),IF(OR(AND(EXACT(MID(F623,9,3),"Off"),EXACT(LEFT(F623,3),UPPER('Entry data'!$C$2))),AND(EXACT(MID(F623,9,3),"Def"),NOT(EXACT(LEFT(F623,3),UPPER('Entry data'!$C$2))))),"DZF","OZF"),"")</f>
        <v/>
      </c>
      <c r="F623" t="str">
        <f>IF($A623&gt;$A$1,"",VLOOKUP($A623,'NHL PBP'!$A:$L,12,FALSE))</f>
        <v/>
      </c>
      <c r="J623">
        <f>IF(EXACT('Entry data'!$C$3,"Road"),IF(ISBLANK(VLOOKUP(A623,'NHL PBP'!A:AH,21,FALSE)),3,IF(ISBLANK(VLOOKUP(A623,'NHL PBP'!A:AH,23,FALSE)),4,5)),IF(ISBLANK(VLOOKUP(A623,'NHL PBP'!A:AH,32,FALSE)),3,IF(ISBLANK(VLOOKUP(A623,'NHL PBP'!A:AH,34,FALSE)),4,5)))</f>
        <v>5</v>
      </c>
      <c r="K623">
        <f>IF(EXACT('Entry data'!$C$3,"Home"),IF(ISBLANK(VLOOKUP(A623,'NHL PBP'!A:AH,21,FALSE)),3,IF(ISBLANK(VLOOKUP(A623,'NHL PBP'!A:AH,23,FALSE)),4,5)),IF(ISBLANK(VLOOKUP(A623,'NHL PBP'!A:AH,32,FALSE)),3,IF(ISBLANK(VLOOKUP(A623,'NHL PBP'!A:AH,34,FALSE)),4,5)))</f>
        <v>5</v>
      </c>
      <c r="L623">
        <f>IF(OR(EXACT(D623,"C"),EXACT(D623,"P"),EXACT(D623,"D"),EXACT(D623,"T"),EXACT(D623,"X"),EXACT(E623,"DZF"),EXACT(E623,"OZF"),EXACT(D623,"N"),EXACT(D623,"F")),1,0)</f>
        <v>0</v>
      </c>
      <c r="M623" t="str">
        <f t="shared" si="36"/>
        <v/>
      </c>
      <c r="N623">
        <f t="shared" si="37"/>
        <v>0</v>
      </c>
      <c r="O623">
        <f t="shared" si="38"/>
        <v>0</v>
      </c>
      <c r="P623" t="str">
        <f t="shared" si="39"/>
        <v/>
      </c>
    </row>
    <row r="624" spans="1:16" x14ac:dyDescent="0.25">
      <c r="A624">
        <v>469</v>
      </c>
      <c r="B624" t="str">
        <f>IF($A624&gt;$A$1,"",VLOOKUP($A624,'NHL PBP'!$A:$L,8,FALSE))</f>
        <v/>
      </c>
      <c r="C624" t="str">
        <f>IF($A624&gt;$A$1,"",IF(B624&gt;3,5/24,20/24)-VLOOKUP($A624,'NHL PBP'!$A:$L,10,FALSE))</f>
        <v/>
      </c>
      <c r="D624" t="str">
        <f>IF($A624&gt;$A$1,"",VLOOKUP($A624,'NHL PBP'!$A:$L,11,FALSE))</f>
        <v/>
      </c>
      <c r="E624" t="str">
        <f>IF(AND(EXACT(D624,"FAC"),NOT(EXACT(MID(F624,9,3),"Neu"))),IF(OR(AND(EXACT(MID(F624,9,3),"Off"),EXACT(LEFT(F624,3),UPPER('Entry data'!$C$2))),AND(EXACT(MID(F624,9,3),"Def"),NOT(EXACT(LEFT(F624,3),UPPER('Entry data'!$C$2))))),"DZF","OZF"),"")</f>
        <v/>
      </c>
      <c r="F624" t="str">
        <f>IF($A624&gt;$A$1,"",VLOOKUP($A624,'NHL PBP'!$A:$L,12,FALSE))</f>
        <v/>
      </c>
      <c r="J624">
        <f>IF(EXACT('Entry data'!$C$3,"Road"),IF(ISBLANK(VLOOKUP(A624,'NHL PBP'!A:AH,21,FALSE)),3,IF(ISBLANK(VLOOKUP(A624,'NHL PBP'!A:AH,23,FALSE)),4,5)),IF(ISBLANK(VLOOKUP(A624,'NHL PBP'!A:AH,32,FALSE)),3,IF(ISBLANK(VLOOKUP(A624,'NHL PBP'!A:AH,34,FALSE)),4,5)))</f>
        <v>5</v>
      </c>
      <c r="K624">
        <f>IF(EXACT('Entry data'!$C$3,"Home"),IF(ISBLANK(VLOOKUP(A624,'NHL PBP'!A:AH,21,FALSE)),3,IF(ISBLANK(VLOOKUP(A624,'NHL PBP'!A:AH,23,FALSE)),4,5)),IF(ISBLANK(VLOOKUP(A624,'NHL PBP'!A:AH,32,FALSE)),3,IF(ISBLANK(VLOOKUP(A624,'NHL PBP'!A:AH,34,FALSE)),4,5)))</f>
        <v>5</v>
      </c>
      <c r="L624">
        <f>IF(OR(EXACT(D624,"C"),EXACT(D624,"P"),EXACT(D624,"D"),EXACT(D624,"T"),EXACT(D624,"X"),EXACT(E624,"DZF"),EXACT(E624,"OZF"),EXACT(D624,"N"),EXACT(D624,"F")),1,0)</f>
        <v>0</v>
      </c>
      <c r="M624" t="str">
        <f t="shared" si="36"/>
        <v/>
      </c>
      <c r="N624">
        <f t="shared" si="37"/>
        <v>0</v>
      </c>
      <c r="O624">
        <f t="shared" si="38"/>
        <v>0</v>
      </c>
      <c r="P624" t="str">
        <f t="shared" si="39"/>
        <v/>
      </c>
    </row>
    <row r="625" spans="1:16" x14ac:dyDescent="0.25">
      <c r="A625">
        <v>470</v>
      </c>
      <c r="B625" t="str">
        <f>IF($A625&gt;$A$1,"",VLOOKUP($A625,'NHL PBP'!$A:$L,8,FALSE))</f>
        <v/>
      </c>
      <c r="C625" t="str">
        <f>IF($A625&gt;$A$1,"",IF(B625&gt;3,5/24,20/24)-VLOOKUP($A625,'NHL PBP'!$A:$L,10,FALSE))</f>
        <v/>
      </c>
      <c r="D625" t="str">
        <f>IF($A625&gt;$A$1,"",VLOOKUP($A625,'NHL PBP'!$A:$L,11,FALSE))</f>
        <v/>
      </c>
      <c r="E625" t="str">
        <f>IF(AND(EXACT(D625,"FAC"),NOT(EXACT(MID(F625,9,3),"Neu"))),IF(OR(AND(EXACT(MID(F625,9,3),"Off"),EXACT(LEFT(F625,3),UPPER('Entry data'!$C$2))),AND(EXACT(MID(F625,9,3),"Def"),NOT(EXACT(LEFT(F625,3),UPPER('Entry data'!$C$2))))),"DZF","OZF"),"")</f>
        <v/>
      </c>
      <c r="F625" t="str">
        <f>IF($A625&gt;$A$1,"",VLOOKUP($A625,'NHL PBP'!$A:$L,12,FALSE))</f>
        <v/>
      </c>
      <c r="J625">
        <f>IF(EXACT('Entry data'!$C$3,"Road"),IF(ISBLANK(VLOOKUP(A625,'NHL PBP'!A:AH,21,FALSE)),3,IF(ISBLANK(VLOOKUP(A625,'NHL PBP'!A:AH,23,FALSE)),4,5)),IF(ISBLANK(VLOOKUP(A625,'NHL PBP'!A:AH,32,FALSE)),3,IF(ISBLANK(VLOOKUP(A625,'NHL PBP'!A:AH,34,FALSE)),4,5)))</f>
        <v>5</v>
      </c>
      <c r="K625">
        <f>IF(EXACT('Entry data'!$C$3,"Home"),IF(ISBLANK(VLOOKUP(A625,'NHL PBP'!A:AH,21,FALSE)),3,IF(ISBLANK(VLOOKUP(A625,'NHL PBP'!A:AH,23,FALSE)),4,5)),IF(ISBLANK(VLOOKUP(A625,'NHL PBP'!A:AH,32,FALSE)),3,IF(ISBLANK(VLOOKUP(A625,'NHL PBP'!A:AH,34,FALSE)),4,5)))</f>
        <v>5</v>
      </c>
      <c r="L625">
        <f>IF(OR(EXACT(D625,"C"),EXACT(D625,"P"),EXACT(D625,"D"),EXACT(D625,"T"),EXACT(D625,"X"),EXACT(E625,"DZF"),EXACT(E625,"OZF"),EXACT(D625,"N"),EXACT(D625,"F")),1,0)</f>
        <v>0</v>
      </c>
      <c r="M625" t="str">
        <f t="shared" si="36"/>
        <v/>
      </c>
      <c r="N625">
        <f t="shared" si="37"/>
        <v>0</v>
      </c>
      <c r="O625">
        <f t="shared" si="38"/>
        <v>0</v>
      </c>
      <c r="P625" t="str">
        <f t="shared" si="39"/>
        <v/>
      </c>
    </row>
    <row r="626" spans="1:16" x14ac:dyDescent="0.25">
      <c r="A626">
        <v>471</v>
      </c>
      <c r="B626" t="str">
        <f>IF($A626&gt;$A$1,"",VLOOKUP($A626,'NHL PBP'!$A:$L,8,FALSE))</f>
        <v/>
      </c>
      <c r="C626" t="str">
        <f>IF($A626&gt;$A$1,"",IF(B626&gt;3,5/24,20/24)-VLOOKUP($A626,'NHL PBP'!$A:$L,10,FALSE))</f>
        <v/>
      </c>
      <c r="D626" t="str">
        <f>IF($A626&gt;$A$1,"",VLOOKUP($A626,'NHL PBP'!$A:$L,11,FALSE))</f>
        <v/>
      </c>
      <c r="E626" t="str">
        <f>IF(AND(EXACT(D626,"FAC"),NOT(EXACT(MID(F626,9,3),"Neu"))),IF(OR(AND(EXACT(MID(F626,9,3),"Off"),EXACT(LEFT(F626,3),UPPER('Entry data'!$C$2))),AND(EXACT(MID(F626,9,3),"Def"),NOT(EXACT(LEFT(F626,3),UPPER('Entry data'!$C$2))))),"DZF","OZF"),"")</f>
        <v/>
      </c>
      <c r="F626" t="str">
        <f>IF($A626&gt;$A$1,"",VLOOKUP($A626,'NHL PBP'!$A:$L,12,FALSE))</f>
        <v/>
      </c>
      <c r="J626">
        <f>IF(EXACT('Entry data'!$C$3,"Road"),IF(ISBLANK(VLOOKUP(A626,'NHL PBP'!A:AH,21,FALSE)),3,IF(ISBLANK(VLOOKUP(A626,'NHL PBP'!A:AH,23,FALSE)),4,5)),IF(ISBLANK(VLOOKUP(A626,'NHL PBP'!A:AH,32,FALSE)),3,IF(ISBLANK(VLOOKUP(A626,'NHL PBP'!A:AH,34,FALSE)),4,5)))</f>
        <v>5</v>
      </c>
      <c r="K626">
        <f>IF(EXACT('Entry data'!$C$3,"Home"),IF(ISBLANK(VLOOKUP(A626,'NHL PBP'!A:AH,21,FALSE)),3,IF(ISBLANK(VLOOKUP(A626,'NHL PBP'!A:AH,23,FALSE)),4,5)),IF(ISBLANK(VLOOKUP(A626,'NHL PBP'!A:AH,32,FALSE)),3,IF(ISBLANK(VLOOKUP(A626,'NHL PBP'!A:AH,34,FALSE)),4,5)))</f>
        <v>5</v>
      </c>
      <c r="L626">
        <f>IF(OR(EXACT(D626,"C"),EXACT(D626,"P"),EXACT(D626,"D"),EXACT(D626,"T"),EXACT(D626,"X"),EXACT(E626,"DZF"),EXACT(E626,"OZF"),EXACT(D626,"N"),EXACT(D626,"F")),1,0)</f>
        <v>0</v>
      </c>
      <c r="M626" t="str">
        <f t="shared" si="36"/>
        <v/>
      </c>
      <c r="N626">
        <f t="shared" si="37"/>
        <v>0</v>
      </c>
      <c r="O626">
        <f t="shared" si="38"/>
        <v>0</v>
      </c>
      <c r="P626" t="str">
        <f t="shared" si="39"/>
        <v/>
      </c>
    </row>
    <row r="627" spans="1:16" x14ac:dyDescent="0.25">
      <c r="A627">
        <v>472</v>
      </c>
      <c r="B627" t="str">
        <f>IF($A627&gt;$A$1,"",VLOOKUP($A627,'NHL PBP'!$A:$L,8,FALSE))</f>
        <v/>
      </c>
      <c r="C627" t="str">
        <f>IF($A627&gt;$A$1,"",IF(B627&gt;3,5/24,20/24)-VLOOKUP($A627,'NHL PBP'!$A:$L,10,FALSE))</f>
        <v/>
      </c>
      <c r="D627" t="str">
        <f>IF($A627&gt;$A$1,"",VLOOKUP($A627,'NHL PBP'!$A:$L,11,FALSE))</f>
        <v/>
      </c>
      <c r="E627" t="str">
        <f>IF(AND(EXACT(D627,"FAC"),NOT(EXACT(MID(F627,9,3),"Neu"))),IF(OR(AND(EXACT(MID(F627,9,3),"Off"),EXACT(LEFT(F627,3),UPPER('Entry data'!$C$2))),AND(EXACT(MID(F627,9,3),"Def"),NOT(EXACT(LEFT(F627,3),UPPER('Entry data'!$C$2))))),"DZF","OZF"),"")</f>
        <v/>
      </c>
      <c r="F627" t="str">
        <f>IF($A627&gt;$A$1,"",VLOOKUP($A627,'NHL PBP'!$A:$L,12,FALSE))</f>
        <v/>
      </c>
      <c r="J627">
        <f>IF(EXACT('Entry data'!$C$3,"Road"),IF(ISBLANK(VLOOKUP(A627,'NHL PBP'!A:AH,21,FALSE)),3,IF(ISBLANK(VLOOKUP(A627,'NHL PBP'!A:AH,23,FALSE)),4,5)),IF(ISBLANK(VLOOKUP(A627,'NHL PBP'!A:AH,32,FALSE)),3,IF(ISBLANK(VLOOKUP(A627,'NHL PBP'!A:AH,34,FALSE)),4,5)))</f>
        <v>5</v>
      </c>
      <c r="K627">
        <f>IF(EXACT('Entry data'!$C$3,"Home"),IF(ISBLANK(VLOOKUP(A627,'NHL PBP'!A:AH,21,FALSE)),3,IF(ISBLANK(VLOOKUP(A627,'NHL PBP'!A:AH,23,FALSE)),4,5)),IF(ISBLANK(VLOOKUP(A627,'NHL PBP'!A:AH,32,FALSE)),3,IF(ISBLANK(VLOOKUP(A627,'NHL PBP'!A:AH,34,FALSE)),4,5)))</f>
        <v>5</v>
      </c>
      <c r="L627">
        <f>IF(OR(EXACT(D627,"C"),EXACT(D627,"P"),EXACT(D627,"D"),EXACT(D627,"T"),EXACT(D627,"X"),EXACT(E627,"DZF"),EXACT(E627,"OZF"),EXACT(D627,"N"),EXACT(D627,"F")),1,0)</f>
        <v>0</v>
      </c>
      <c r="M627" t="str">
        <f t="shared" si="36"/>
        <v/>
      </c>
      <c r="N627">
        <f t="shared" si="37"/>
        <v>0</v>
      </c>
      <c r="O627">
        <f t="shared" si="38"/>
        <v>0</v>
      </c>
      <c r="P627" t="str">
        <f t="shared" si="39"/>
        <v/>
      </c>
    </row>
    <row r="628" spans="1:16" x14ac:dyDescent="0.25">
      <c r="A628">
        <v>473</v>
      </c>
      <c r="B628" t="str">
        <f>IF($A628&gt;$A$1,"",VLOOKUP($A628,'NHL PBP'!$A:$L,8,FALSE))</f>
        <v/>
      </c>
      <c r="C628" t="str">
        <f>IF($A628&gt;$A$1,"",IF(B628&gt;3,5/24,20/24)-VLOOKUP($A628,'NHL PBP'!$A:$L,10,FALSE))</f>
        <v/>
      </c>
      <c r="D628" t="str">
        <f>IF($A628&gt;$A$1,"",VLOOKUP($A628,'NHL PBP'!$A:$L,11,FALSE))</f>
        <v/>
      </c>
      <c r="E628" t="str">
        <f>IF(AND(EXACT(D628,"FAC"),NOT(EXACT(MID(F628,9,3),"Neu"))),IF(OR(AND(EXACT(MID(F628,9,3),"Off"),EXACT(LEFT(F628,3),UPPER('Entry data'!$C$2))),AND(EXACT(MID(F628,9,3),"Def"),NOT(EXACT(LEFT(F628,3),UPPER('Entry data'!$C$2))))),"DZF","OZF"),"")</f>
        <v/>
      </c>
      <c r="F628" t="str">
        <f>IF($A628&gt;$A$1,"",VLOOKUP($A628,'NHL PBP'!$A:$L,12,FALSE))</f>
        <v/>
      </c>
      <c r="J628">
        <f>IF(EXACT('Entry data'!$C$3,"Road"),IF(ISBLANK(VLOOKUP(A628,'NHL PBP'!A:AH,21,FALSE)),3,IF(ISBLANK(VLOOKUP(A628,'NHL PBP'!A:AH,23,FALSE)),4,5)),IF(ISBLANK(VLOOKUP(A628,'NHL PBP'!A:AH,32,FALSE)),3,IF(ISBLANK(VLOOKUP(A628,'NHL PBP'!A:AH,34,FALSE)),4,5)))</f>
        <v>5</v>
      </c>
      <c r="K628">
        <f>IF(EXACT('Entry data'!$C$3,"Home"),IF(ISBLANK(VLOOKUP(A628,'NHL PBP'!A:AH,21,FALSE)),3,IF(ISBLANK(VLOOKUP(A628,'NHL PBP'!A:AH,23,FALSE)),4,5)),IF(ISBLANK(VLOOKUP(A628,'NHL PBP'!A:AH,32,FALSE)),3,IF(ISBLANK(VLOOKUP(A628,'NHL PBP'!A:AH,34,FALSE)),4,5)))</f>
        <v>5</v>
      </c>
      <c r="L628">
        <f>IF(OR(EXACT(D628,"C"),EXACT(D628,"P"),EXACT(D628,"D"),EXACT(D628,"T"),EXACT(D628,"X"),EXACT(E628,"DZF"),EXACT(E628,"OZF"),EXACT(D628,"N"),EXACT(D628,"F")),1,0)</f>
        <v>0</v>
      </c>
      <c r="M628" t="str">
        <f t="shared" si="36"/>
        <v/>
      </c>
      <c r="N628">
        <f t="shared" si="37"/>
        <v>0</v>
      </c>
      <c r="O628">
        <f t="shared" si="38"/>
        <v>0</v>
      </c>
      <c r="P628" t="str">
        <f t="shared" si="39"/>
        <v/>
      </c>
    </row>
    <row r="629" spans="1:16" x14ac:dyDescent="0.25">
      <c r="A629">
        <v>474</v>
      </c>
      <c r="B629" t="str">
        <f>IF($A629&gt;$A$1,"",VLOOKUP($A629,'NHL PBP'!$A:$L,8,FALSE))</f>
        <v/>
      </c>
      <c r="C629" t="str">
        <f>IF($A629&gt;$A$1,"",IF(B629&gt;3,5/24,20/24)-VLOOKUP($A629,'NHL PBP'!$A:$L,10,FALSE))</f>
        <v/>
      </c>
      <c r="D629" t="str">
        <f>IF($A629&gt;$A$1,"",VLOOKUP($A629,'NHL PBP'!$A:$L,11,FALSE))</f>
        <v/>
      </c>
      <c r="E629" t="str">
        <f>IF(AND(EXACT(D629,"FAC"),NOT(EXACT(MID(F629,9,3),"Neu"))),IF(OR(AND(EXACT(MID(F629,9,3),"Off"),EXACT(LEFT(F629,3),UPPER('Entry data'!$C$2))),AND(EXACT(MID(F629,9,3),"Def"),NOT(EXACT(LEFT(F629,3),UPPER('Entry data'!$C$2))))),"DZF","OZF"),"")</f>
        <v/>
      </c>
      <c r="F629" t="str">
        <f>IF($A629&gt;$A$1,"",VLOOKUP($A629,'NHL PBP'!$A:$L,12,FALSE))</f>
        <v/>
      </c>
      <c r="J629">
        <f>IF(EXACT('Entry data'!$C$3,"Road"),IF(ISBLANK(VLOOKUP(A629,'NHL PBP'!A:AH,21,FALSE)),3,IF(ISBLANK(VLOOKUP(A629,'NHL PBP'!A:AH,23,FALSE)),4,5)),IF(ISBLANK(VLOOKUP(A629,'NHL PBP'!A:AH,32,FALSE)),3,IF(ISBLANK(VLOOKUP(A629,'NHL PBP'!A:AH,34,FALSE)),4,5)))</f>
        <v>5</v>
      </c>
      <c r="K629">
        <f>IF(EXACT('Entry data'!$C$3,"Home"),IF(ISBLANK(VLOOKUP(A629,'NHL PBP'!A:AH,21,FALSE)),3,IF(ISBLANK(VLOOKUP(A629,'NHL PBP'!A:AH,23,FALSE)),4,5)),IF(ISBLANK(VLOOKUP(A629,'NHL PBP'!A:AH,32,FALSE)),3,IF(ISBLANK(VLOOKUP(A629,'NHL PBP'!A:AH,34,FALSE)),4,5)))</f>
        <v>5</v>
      </c>
      <c r="L629">
        <f>IF(OR(EXACT(D629,"C"),EXACT(D629,"P"),EXACT(D629,"D"),EXACT(D629,"T"),EXACT(D629,"X"),EXACT(E629,"DZF"),EXACT(E629,"OZF"),EXACT(D629,"N"),EXACT(D629,"F")),1,0)</f>
        <v>0</v>
      </c>
      <c r="M629" t="str">
        <f t="shared" si="36"/>
        <v/>
      </c>
      <c r="N629">
        <f t="shared" si="37"/>
        <v>0</v>
      </c>
      <c r="O629">
        <f t="shared" si="38"/>
        <v>0</v>
      </c>
      <c r="P629" t="str">
        <f t="shared" si="39"/>
        <v/>
      </c>
    </row>
    <row r="630" spans="1:16" x14ac:dyDescent="0.25">
      <c r="A630">
        <v>475</v>
      </c>
      <c r="B630" t="str">
        <f>IF($A630&gt;$A$1,"",VLOOKUP($A630,'NHL PBP'!$A:$L,8,FALSE))</f>
        <v/>
      </c>
      <c r="C630" t="str">
        <f>IF($A630&gt;$A$1,"",IF(B630&gt;3,5/24,20/24)-VLOOKUP($A630,'NHL PBP'!$A:$L,10,FALSE))</f>
        <v/>
      </c>
      <c r="D630" t="str">
        <f>IF($A630&gt;$A$1,"",VLOOKUP($A630,'NHL PBP'!$A:$L,11,FALSE))</f>
        <v/>
      </c>
      <c r="E630" t="str">
        <f>IF(AND(EXACT(D630,"FAC"),NOT(EXACT(MID(F630,9,3),"Neu"))),IF(OR(AND(EXACT(MID(F630,9,3),"Off"),EXACT(LEFT(F630,3),UPPER('Entry data'!$C$2))),AND(EXACT(MID(F630,9,3),"Def"),NOT(EXACT(LEFT(F630,3),UPPER('Entry data'!$C$2))))),"DZF","OZF"),"")</f>
        <v/>
      </c>
      <c r="F630" t="str">
        <f>IF($A630&gt;$A$1,"",VLOOKUP($A630,'NHL PBP'!$A:$L,12,FALSE))</f>
        <v/>
      </c>
      <c r="J630">
        <f>IF(EXACT('Entry data'!$C$3,"Road"),IF(ISBLANK(VLOOKUP(A630,'NHL PBP'!A:AH,21,FALSE)),3,IF(ISBLANK(VLOOKUP(A630,'NHL PBP'!A:AH,23,FALSE)),4,5)),IF(ISBLANK(VLOOKUP(A630,'NHL PBP'!A:AH,32,FALSE)),3,IF(ISBLANK(VLOOKUP(A630,'NHL PBP'!A:AH,34,FALSE)),4,5)))</f>
        <v>5</v>
      </c>
      <c r="K630">
        <f>IF(EXACT('Entry data'!$C$3,"Home"),IF(ISBLANK(VLOOKUP(A630,'NHL PBP'!A:AH,21,FALSE)),3,IF(ISBLANK(VLOOKUP(A630,'NHL PBP'!A:AH,23,FALSE)),4,5)),IF(ISBLANK(VLOOKUP(A630,'NHL PBP'!A:AH,32,FALSE)),3,IF(ISBLANK(VLOOKUP(A630,'NHL PBP'!A:AH,34,FALSE)),4,5)))</f>
        <v>5</v>
      </c>
      <c r="L630">
        <f>IF(OR(EXACT(D630,"C"),EXACT(D630,"P"),EXACT(D630,"D"),EXACT(D630,"T"),EXACT(D630,"X"),EXACT(E630,"DZF"),EXACT(E630,"OZF"),EXACT(D630,"N"),EXACT(D630,"F")),1,0)</f>
        <v>0</v>
      </c>
      <c r="M630" t="str">
        <f t="shared" si="36"/>
        <v/>
      </c>
      <c r="N630">
        <f t="shared" si="37"/>
        <v>0</v>
      </c>
      <c r="O630">
        <f t="shared" si="38"/>
        <v>0</v>
      </c>
      <c r="P630" t="str">
        <f t="shared" si="39"/>
        <v/>
      </c>
    </row>
    <row r="631" spans="1:16" x14ac:dyDescent="0.25">
      <c r="A631">
        <v>476</v>
      </c>
      <c r="B631" t="str">
        <f>IF($A631&gt;$A$1,"",VLOOKUP($A631,'NHL PBP'!$A:$L,8,FALSE))</f>
        <v/>
      </c>
      <c r="C631" t="str">
        <f>IF($A631&gt;$A$1,"",IF(B631&gt;3,5/24,20/24)-VLOOKUP($A631,'NHL PBP'!$A:$L,10,FALSE))</f>
        <v/>
      </c>
      <c r="D631" t="str">
        <f>IF($A631&gt;$A$1,"",VLOOKUP($A631,'NHL PBP'!$A:$L,11,FALSE))</f>
        <v/>
      </c>
      <c r="E631" t="str">
        <f>IF(AND(EXACT(D631,"FAC"),NOT(EXACT(MID(F631,9,3),"Neu"))),IF(OR(AND(EXACT(MID(F631,9,3),"Off"),EXACT(LEFT(F631,3),UPPER('Entry data'!$C$2))),AND(EXACT(MID(F631,9,3),"Def"),NOT(EXACT(LEFT(F631,3),UPPER('Entry data'!$C$2))))),"DZF","OZF"),"")</f>
        <v/>
      </c>
      <c r="F631" t="str">
        <f>IF($A631&gt;$A$1,"",VLOOKUP($A631,'NHL PBP'!$A:$L,12,FALSE))</f>
        <v/>
      </c>
      <c r="J631">
        <f>IF(EXACT('Entry data'!$C$3,"Road"),IF(ISBLANK(VLOOKUP(A631,'NHL PBP'!A:AH,21,FALSE)),3,IF(ISBLANK(VLOOKUP(A631,'NHL PBP'!A:AH,23,FALSE)),4,5)),IF(ISBLANK(VLOOKUP(A631,'NHL PBP'!A:AH,32,FALSE)),3,IF(ISBLANK(VLOOKUP(A631,'NHL PBP'!A:AH,34,FALSE)),4,5)))</f>
        <v>5</v>
      </c>
      <c r="K631">
        <f>IF(EXACT('Entry data'!$C$3,"Home"),IF(ISBLANK(VLOOKUP(A631,'NHL PBP'!A:AH,21,FALSE)),3,IF(ISBLANK(VLOOKUP(A631,'NHL PBP'!A:AH,23,FALSE)),4,5)),IF(ISBLANK(VLOOKUP(A631,'NHL PBP'!A:AH,32,FALSE)),3,IF(ISBLANK(VLOOKUP(A631,'NHL PBP'!A:AH,34,FALSE)),4,5)))</f>
        <v>5</v>
      </c>
      <c r="L631">
        <f>IF(OR(EXACT(D631,"C"),EXACT(D631,"P"),EXACT(D631,"D"),EXACT(D631,"T"),EXACT(D631,"X"),EXACT(E631,"DZF"),EXACT(E631,"OZF"),EXACT(D631,"N"),EXACT(D631,"F")),1,0)</f>
        <v>0</v>
      </c>
      <c r="M631" t="str">
        <f t="shared" si="36"/>
        <v/>
      </c>
      <c r="N631">
        <f t="shared" si="37"/>
        <v>0</v>
      </c>
      <c r="O631">
        <f t="shared" si="38"/>
        <v>0</v>
      </c>
      <c r="P631" t="str">
        <f t="shared" si="39"/>
        <v/>
      </c>
    </row>
    <row r="632" spans="1:16" x14ac:dyDescent="0.25">
      <c r="A632">
        <v>477</v>
      </c>
      <c r="B632" t="str">
        <f>IF($A632&gt;$A$1,"",VLOOKUP($A632,'NHL PBP'!$A:$L,8,FALSE))</f>
        <v/>
      </c>
      <c r="C632" t="str">
        <f>IF($A632&gt;$A$1,"",IF(B632&gt;3,5/24,20/24)-VLOOKUP($A632,'NHL PBP'!$A:$L,10,FALSE))</f>
        <v/>
      </c>
      <c r="D632" t="str">
        <f>IF($A632&gt;$A$1,"",VLOOKUP($A632,'NHL PBP'!$A:$L,11,FALSE))</f>
        <v/>
      </c>
      <c r="E632" t="str">
        <f>IF(AND(EXACT(D632,"FAC"),NOT(EXACT(MID(F632,9,3),"Neu"))),IF(OR(AND(EXACT(MID(F632,9,3),"Off"),EXACT(LEFT(F632,3),UPPER('Entry data'!$C$2))),AND(EXACT(MID(F632,9,3),"Def"),NOT(EXACT(LEFT(F632,3),UPPER('Entry data'!$C$2))))),"DZF","OZF"),"")</f>
        <v/>
      </c>
      <c r="F632" t="str">
        <f>IF($A632&gt;$A$1,"",VLOOKUP($A632,'NHL PBP'!$A:$L,12,FALSE))</f>
        <v/>
      </c>
      <c r="J632">
        <f>IF(EXACT('Entry data'!$C$3,"Road"),IF(ISBLANK(VLOOKUP(A632,'NHL PBP'!A:AH,21,FALSE)),3,IF(ISBLANK(VLOOKUP(A632,'NHL PBP'!A:AH,23,FALSE)),4,5)),IF(ISBLANK(VLOOKUP(A632,'NHL PBP'!A:AH,32,FALSE)),3,IF(ISBLANK(VLOOKUP(A632,'NHL PBP'!A:AH,34,FALSE)),4,5)))</f>
        <v>5</v>
      </c>
      <c r="K632">
        <f>IF(EXACT('Entry data'!$C$3,"Home"),IF(ISBLANK(VLOOKUP(A632,'NHL PBP'!A:AH,21,FALSE)),3,IF(ISBLANK(VLOOKUP(A632,'NHL PBP'!A:AH,23,FALSE)),4,5)),IF(ISBLANK(VLOOKUP(A632,'NHL PBP'!A:AH,32,FALSE)),3,IF(ISBLANK(VLOOKUP(A632,'NHL PBP'!A:AH,34,FALSE)),4,5)))</f>
        <v>5</v>
      </c>
      <c r="L632">
        <f>IF(OR(EXACT(D632,"C"),EXACT(D632,"P"),EXACT(D632,"D"),EXACT(D632,"T"),EXACT(D632,"X"),EXACT(E632,"DZF"),EXACT(E632,"OZF"),EXACT(D632,"N"),EXACT(D632,"F")),1,0)</f>
        <v>0</v>
      </c>
      <c r="M632" t="str">
        <f t="shared" si="36"/>
        <v/>
      </c>
      <c r="N632">
        <f t="shared" si="37"/>
        <v>0</v>
      </c>
      <c r="O632">
        <f t="shared" si="38"/>
        <v>0</v>
      </c>
      <c r="P632" t="str">
        <f t="shared" si="39"/>
        <v/>
      </c>
    </row>
    <row r="633" spans="1:16" x14ac:dyDescent="0.25">
      <c r="A633">
        <v>478</v>
      </c>
      <c r="B633" t="str">
        <f>IF($A633&gt;$A$1,"",VLOOKUP($A633,'NHL PBP'!$A:$L,8,FALSE))</f>
        <v/>
      </c>
      <c r="C633" t="str">
        <f>IF($A633&gt;$A$1,"",IF(B633&gt;3,5/24,20/24)-VLOOKUP($A633,'NHL PBP'!$A:$L,10,FALSE))</f>
        <v/>
      </c>
      <c r="D633" t="str">
        <f>IF($A633&gt;$A$1,"",VLOOKUP($A633,'NHL PBP'!$A:$L,11,FALSE))</f>
        <v/>
      </c>
      <c r="E633" t="str">
        <f>IF(AND(EXACT(D633,"FAC"),NOT(EXACT(MID(F633,9,3),"Neu"))),IF(OR(AND(EXACT(MID(F633,9,3),"Off"),EXACT(LEFT(F633,3),UPPER('Entry data'!$C$2))),AND(EXACT(MID(F633,9,3),"Def"),NOT(EXACT(LEFT(F633,3),UPPER('Entry data'!$C$2))))),"DZF","OZF"),"")</f>
        <v/>
      </c>
      <c r="F633" t="str">
        <f>IF($A633&gt;$A$1,"",VLOOKUP($A633,'NHL PBP'!$A:$L,12,FALSE))</f>
        <v/>
      </c>
      <c r="J633">
        <f>IF(EXACT('Entry data'!$C$3,"Road"),IF(ISBLANK(VLOOKUP(A633,'NHL PBP'!A:AH,21,FALSE)),3,IF(ISBLANK(VLOOKUP(A633,'NHL PBP'!A:AH,23,FALSE)),4,5)),IF(ISBLANK(VLOOKUP(A633,'NHL PBP'!A:AH,32,FALSE)),3,IF(ISBLANK(VLOOKUP(A633,'NHL PBP'!A:AH,34,FALSE)),4,5)))</f>
        <v>5</v>
      </c>
      <c r="K633">
        <f>IF(EXACT('Entry data'!$C$3,"Home"),IF(ISBLANK(VLOOKUP(A633,'NHL PBP'!A:AH,21,FALSE)),3,IF(ISBLANK(VLOOKUP(A633,'NHL PBP'!A:AH,23,FALSE)),4,5)),IF(ISBLANK(VLOOKUP(A633,'NHL PBP'!A:AH,32,FALSE)),3,IF(ISBLANK(VLOOKUP(A633,'NHL PBP'!A:AH,34,FALSE)),4,5)))</f>
        <v>5</v>
      </c>
      <c r="L633">
        <f>IF(OR(EXACT(D633,"C"),EXACT(D633,"P"),EXACT(D633,"D"),EXACT(D633,"T"),EXACT(D633,"X"),EXACT(E633,"DZF"),EXACT(E633,"OZF"),EXACT(D633,"N"),EXACT(D633,"F")),1,0)</f>
        <v>0</v>
      </c>
      <c r="M633" t="str">
        <f t="shared" si="36"/>
        <v/>
      </c>
      <c r="N633">
        <f t="shared" si="37"/>
        <v>0</v>
      </c>
      <c r="O633">
        <f t="shared" si="38"/>
        <v>0</v>
      </c>
      <c r="P633" t="str">
        <f t="shared" si="39"/>
        <v/>
      </c>
    </row>
    <row r="634" spans="1:16" x14ac:dyDescent="0.25">
      <c r="A634">
        <v>479</v>
      </c>
      <c r="B634" t="str">
        <f>IF($A634&gt;$A$1,"",VLOOKUP($A634,'NHL PBP'!$A:$L,8,FALSE))</f>
        <v/>
      </c>
      <c r="C634" t="str">
        <f>IF($A634&gt;$A$1,"",IF(B634&gt;3,5/24,20/24)-VLOOKUP($A634,'NHL PBP'!$A:$L,10,FALSE))</f>
        <v/>
      </c>
      <c r="D634" t="str">
        <f>IF($A634&gt;$A$1,"",VLOOKUP($A634,'NHL PBP'!$A:$L,11,FALSE))</f>
        <v/>
      </c>
      <c r="E634" t="str">
        <f>IF(AND(EXACT(D634,"FAC"),NOT(EXACT(MID(F634,9,3),"Neu"))),IF(OR(AND(EXACT(MID(F634,9,3),"Off"),EXACT(LEFT(F634,3),UPPER('Entry data'!$C$2))),AND(EXACT(MID(F634,9,3),"Def"),NOT(EXACT(LEFT(F634,3),UPPER('Entry data'!$C$2))))),"DZF","OZF"),"")</f>
        <v/>
      </c>
      <c r="F634" t="str">
        <f>IF($A634&gt;$A$1,"",VLOOKUP($A634,'NHL PBP'!$A:$L,12,FALSE))</f>
        <v/>
      </c>
      <c r="J634">
        <f>IF(EXACT('Entry data'!$C$3,"Road"),IF(ISBLANK(VLOOKUP(A634,'NHL PBP'!A:AH,21,FALSE)),3,IF(ISBLANK(VLOOKUP(A634,'NHL PBP'!A:AH,23,FALSE)),4,5)),IF(ISBLANK(VLOOKUP(A634,'NHL PBP'!A:AH,32,FALSE)),3,IF(ISBLANK(VLOOKUP(A634,'NHL PBP'!A:AH,34,FALSE)),4,5)))</f>
        <v>5</v>
      </c>
      <c r="K634">
        <f>IF(EXACT('Entry data'!$C$3,"Home"),IF(ISBLANK(VLOOKUP(A634,'NHL PBP'!A:AH,21,FALSE)),3,IF(ISBLANK(VLOOKUP(A634,'NHL PBP'!A:AH,23,FALSE)),4,5)),IF(ISBLANK(VLOOKUP(A634,'NHL PBP'!A:AH,32,FALSE)),3,IF(ISBLANK(VLOOKUP(A634,'NHL PBP'!A:AH,34,FALSE)),4,5)))</f>
        <v>5</v>
      </c>
      <c r="L634">
        <f>IF(OR(EXACT(D634,"C"),EXACT(D634,"P"),EXACT(D634,"D"),EXACT(D634,"T"),EXACT(D634,"X"),EXACT(E634,"DZF"),EXACT(E634,"OZF"),EXACT(D634,"N"),EXACT(D634,"F")),1,0)</f>
        <v>0</v>
      </c>
      <c r="M634" t="str">
        <f t="shared" si="36"/>
        <v/>
      </c>
      <c r="N634">
        <f t="shared" si="37"/>
        <v>0</v>
      </c>
      <c r="O634">
        <f t="shared" si="38"/>
        <v>0</v>
      </c>
      <c r="P634" t="str">
        <f t="shared" si="39"/>
        <v/>
      </c>
    </row>
    <row r="635" spans="1:16" x14ac:dyDescent="0.25">
      <c r="A635">
        <v>480</v>
      </c>
      <c r="B635" t="str">
        <f>IF($A635&gt;$A$1,"",VLOOKUP($A635,'NHL PBP'!$A:$L,8,FALSE))</f>
        <v/>
      </c>
      <c r="C635" t="str">
        <f>IF($A635&gt;$A$1,"",IF(B635&gt;3,5/24,20/24)-VLOOKUP($A635,'NHL PBP'!$A:$L,10,FALSE))</f>
        <v/>
      </c>
      <c r="D635" t="str">
        <f>IF($A635&gt;$A$1,"",VLOOKUP($A635,'NHL PBP'!$A:$L,11,FALSE))</f>
        <v/>
      </c>
      <c r="E635" t="str">
        <f>IF(AND(EXACT(D635,"FAC"),NOT(EXACT(MID(F635,9,3),"Neu"))),IF(OR(AND(EXACT(MID(F635,9,3),"Off"),EXACT(LEFT(F635,3),UPPER('Entry data'!$C$2))),AND(EXACT(MID(F635,9,3),"Def"),NOT(EXACT(LEFT(F635,3),UPPER('Entry data'!$C$2))))),"DZF","OZF"),"")</f>
        <v/>
      </c>
      <c r="F635" t="str">
        <f>IF($A635&gt;$A$1,"",VLOOKUP($A635,'NHL PBP'!$A:$L,12,FALSE))</f>
        <v/>
      </c>
      <c r="J635">
        <f>IF(EXACT('Entry data'!$C$3,"Road"),IF(ISBLANK(VLOOKUP(A635,'NHL PBP'!A:AH,21,FALSE)),3,IF(ISBLANK(VLOOKUP(A635,'NHL PBP'!A:AH,23,FALSE)),4,5)),IF(ISBLANK(VLOOKUP(A635,'NHL PBP'!A:AH,32,FALSE)),3,IF(ISBLANK(VLOOKUP(A635,'NHL PBP'!A:AH,34,FALSE)),4,5)))</f>
        <v>5</v>
      </c>
      <c r="K635">
        <f>IF(EXACT('Entry data'!$C$3,"Home"),IF(ISBLANK(VLOOKUP(A635,'NHL PBP'!A:AH,21,FALSE)),3,IF(ISBLANK(VLOOKUP(A635,'NHL PBP'!A:AH,23,FALSE)),4,5)),IF(ISBLANK(VLOOKUP(A635,'NHL PBP'!A:AH,32,FALSE)),3,IF(ISBLANK(VLOOKUP(A635,'NHL PBP'!A:AH,34,FALSE)),4,5)))</f>
        <v>5</v>
      </c>
      <c r="L635">
        <f>IF(OR(EXACT(D635,"C"),EXACT(D635,"P"),EXACT(D635,"D"),EXACT(D635,"T"),EXACT(D635,"X"),EXACT(E635,"DZF"),EXACT(E635,"OZF"),EXACT(D635,"N"),EXACT(D635,"F")),1,0)</f>
        <v>0</v>
      </c>
      <c r="M635" t="str">
        <f t="shared" si="36"/>
        <v/>
      </c>
      <c r="N635">
        <f t="shared" si="37"/>
        <v>0</v>
      </c>
      <c r="O635">
        <f t="shared" si="38"/>
        <v>0</v>
      </c>
      <c r="P635" t="str">
        <f t="shared" si="39"/>
        <v/>
      </c>
    </row>
    <row r="636" spans="1:16" x14ac:dyDescent="0.25">
      <c r="A636">
        <v>481</v>
      </c>
      <c r="B636" t="str">
        <f>IF($A636&gt;$A$1,"",VLOOKUP($A636,'NHL PBP'!$A:$L,8,FALSE))</f>
        <v/>
      </c>
      <c r="C636" t="str">
        <f>IF($A636&gt;$A$1,"",IF(B636&gt;3,5/24,20/24)-VLOOKUP($A636,'NHL PBP'!$A:$L,10,FALSE))</f>
        <v/>
      </c>
      <c r="D636" t="str">
        <f>IF($A636&gt;$A$1,"",VLOOKUP($A636,'NHL PBP'!$A:$L,11,FALSE))</f>
        <v/>
      </c>
      <c r="E636" t="str">
        <f>IF(AND(EXACT(D636,"FAC"),NOT(EXACT(MID(F636,9,3),"Neu"))),IF(OR(AND(EXACT(MID(F636,9,3),"Off"),EXACT(LEFT(F636,3),UPPER('Entry data'!$C$2))),AND(EXACT(MID(F636,9,3),"Def"),NOT(EXACT(LEFT(F636,3),UPPER('Entry data'!$C$2))))),"DZF","OZF"),"")</f>
        <v/>
      </c>
      <c r="F636" t="str">
        <f>IF($A636&gt;$A$1,"",VLOOKUP($A636,'NHL PBP'!$A:$L,12,FALSE))</f>
        <v/>
      </c>
      <c r="J636">
        <f>IF(EXACT('Entry data'!$C$3,"Road"),IF(ISBLANK(VLOOKUP(A636,'NHL PBP'!A:AH,21,FALSE)),3,IF(ISBLANK(VLOOKUP(A636,'NHL PBP'!A:AH,23,FALSE)),4,5)),IF(ISBLANK(VLOOKUP(A636,'NHL PBP'!A:AH,32,FALSE)),3,IF(ISBLANK(VLOOKUP(A636,'NHL PBP'!A:AH,34,FALSE)),4,5)))</f>
        <v>5</v>
      </c>
      <c r="K636">
        <f>IF(EXACT('Entry data'!$C$3,"Home"),IF(ISBLANK(VLOOKUP(A636,'NHL PBP'!A:AH,21,FALSE)),3,IF(ISBLANK(VLOOKUP(A636,'NHL PBP'!A:AH,23,FALSE)),4,5)),IF(ISBLANK(VLOOKUP(A636,'NHL PBP'!A:AH,32,FALSE)),3,IF(ISBLANK(VLOOKUP(A636,'NHL PBP'!A:AH,34,FALSE)),4,5)))</f>
        <v>5</v>
      </c>
      <c r="L636">
        <f>IF(OR(EXACT(D636,"C"),EXACT(D636,"P"),EXACT(D636,"D"),EXACT(D636,"T"),EXACT(D636,"X"),EXACT(E636,"DZF"),EXACT(E636,"OZF"),EXACT(D636,"N"),EXACT(D636,"F")),1,0)</f>
        <v>0</v>
      </c>
      <c r="M636" t="str">
        <f t="shared" si="36"/>
        <v/>
      </c>
      <c r="N636">
        <f t="shared" si="37"/>
        <v>0</v>
      </c>
      <c r="O636">
        <f t="shared" si="38"/>
        <v>0</v>
      </c>
      <c r="P636" t="str">
        <f t="shared" si="39"/>
        <v/>
      </c>
    </row>
    <row r="637" spans="1:16" x14ac:dyDescent="0.25">
      <c r="A637">
        <v>482</v>
      </c>
      <c r="B637" t="str">
        <f>IF($A637&gt;$A$1,"",VLOOKUP($A637,'NHL PBP'!$A:$L,8,FALSE))</f>
        <v/>
      </c>
      <c r="C637" t="str">
        <f>IF($A637&gt;$A$1,"",IF(B637&gt;3,5/24,20/24)-VLOOKUP($A637,'NHL PBP'!$A:$L,10,FALSE))</f>
        <v/>
      </c>
      <c r="D637" t="str">
        <f>IF($A637&gt;$A$1,"",VLOOKUP($A637,'NHL PBP'!$A:$L,11,FALSE))</f>
        <v/>
      </c>
      <c r="E637" t="str">
        <f>IF(AND(EXACT(D637,"FAC"),NOT(EXACT(MID(F637,9,3),"Neu"))),IF(OR(AND(EXACT(MID(F637,9,3),"Off"),EXACT(LEFT(F637,3),UPPER('Entry data'!$C$2))),AND(EXACT(MID(F637,9,3),"Def"),NOT(EXACT(LEFT(F637,3),UPPER('Entry data'!$C$2))))),"DZF","OZF"),"")</f>
        <v/>
      </c>
      <c r="F637" t="str">
        <f>IF($A637&gt;$A$1,"",VLOOKUP($A637,'NHL PBP'!$A:$L,12,FALSE))</f>
        <v/>
      </c>
      <c r="J637">
        <f>IF(EXACT('Entry data'!$C$3,"Road"),IF(ISBLANK(VLOOKUP(A637,'NHL PBP'!A:AH,21,FALSE)),3,IF(ISBLANK(VLOOKUP(A637,'NHL PBP'!A:AH,23,FALSE)),4,5)),IF(ISBLANK(VLOOKUP(A637,'NHL PBP'!A:AH,32,FALSE)),3,IF(ISBLANK(VLOOKUP(A637,'NHL PBP'!A:AH,34,FALSE)),4,5)))</f>
        <v>5</v>
      </c>
      <c r="K637">
        <f>IF(EXACT('Entry data'!$C$3,"Home"),IF(ISBLANK(VLOOKUP(A637,'NHL PBP'!A:AH,21,FALSE)),3,IF(ISBLANK(VLOOKUP(A637,'NHL PBP'!A:AH,23,FALSE)),4,5)),IF(ISBLANK(VLOOKUP(A637,'NHL PBP'!A:AH,32,FALSE)),3,IF(ISBLANK(VLOOKUP(A637,'NHL PBP'!A:AH,34,FALSE)),4,5)))</f>
        <v>5</v>
      </c>
      <c r="L637">
        <f>IF(OR(EXACT(D637,"C"),EXACT(D637,"P"),EXACT(D637,"D"),EXACT(D637,"T"),EXACT(D637,"X"),EXACT(E637,"DZF"),EXACT(E637,"OZF"),EXACT(D637,"N"),EXACT(D637,"F")),1,0)</f>
        <v>0</v>
      </c>
      <c r="M637" t="str">
        <f t="shared" si="36"/>
        <v/>
      </c>
      <c r="N637">
        <f t="shared" si="37"/>
        <v>0</v>
      </c>
      <c r="O637">
        <f t="shared" si="38"/>
        <v>0</v>
      </c>
      <c r="P637" t="str">
        <f t="shared" si="39"/>
        <v/>
      </c>
    </row>
    <row r="638" spans="1:16" x14ac:dyDescent="0.25">
      <c r="A638">
        <v>483</v>
      </c>
      <c r="B638" t="str">
        <f>IF($A638&gt;$A$1,"",VLOOKUP($A638,'NHL PBP'!$A:$L,8,FALSE))</f>
        <v/>
      </c>
      <c r="C638" t="str">
        <f>IF($A638&gt;$A$1,"",IF(B638&gt;3,5/24,20/24)-VLOOKUP($A638,'NHL PBP'!$A:$L,10,FALSE))</f>
        <v/>
      </c>
      <c r="D638" t="str">
        <f>IF($A638&gt;$A$1,"",VLOOKUP($A638,'NHL PBP'!$A:$L,11,FALSE))</f>
        <v/>
      </c>
      <c r="E638" t="str">
        <f>IF(AND(EXACT(D638,"FAC"),NOT(EXACT(MID(F638,9,3),"Neu"))),IF(OR(AND(EXACT(MID(F638,9,3),"Off"),EXACT(LEFT(F638,3),UPPER('Entry data'!$C$2))),AND(EXACT(MID(F638,9,3),"Def"),NOT(EXACT(LEFT(F638,3),UPPER('Entry data'!$C$2))))),"DZF","OZF"),"")</f>
        <v/>
      </c>
      <c r="F638" t="str">
        <f>IF($A638&gt;$A$1,"",VLOOKUP($A638,'NHL PBP'!$A:$L,12,FALSE))</f>
        <v/>
      </c>
      <c r="J638">
        <f>IF(EXACT('Entry data'!$C$3,"Road"),IF(ISBLANK(VLOOKUP(A638,'NHL PBP'!A:AH,21,FALSE)),3,IF(ISBLANK(VLOOKUP(A638,'NHL PBP'!A:AH,23,FALSE)),4,5)),IF(ISBLANK(VLOOKUP(A638,'NHL PBP'!A:AH,32,FALSE)),3,IF(ISBLANK(VLOOKUP(A638,'NHL PBP'!A:AH,34,FALSE)),4,5)))</f>
        <v>5</v>
      </c>
      <c r="K638">
        <f>IF(EXACT('Entry data'!$C$3,"Home"),IF(ISBLANK(VLOOKUP(A638,'NHL PBP'!A:AH,21,FALSE)),3,IF(ISBLANK(VLOOKUP(A638,'NHL PBP'!A:AH,23,FALSE)),4,5)),IF(ISBLANK(VLOOKUP(A638,'NHL PBP'!A:AH,32,FALSE)),3,IF(ISBLANK(VLOOKUP(A638,'NHL PBP'!A:AH,34,FALSE)),4,5)))</f>
        <v>5</v>
      </c>
      <c r="L638">
        <f>IF(OR(EXACT(D638,"C"),EXACT(D638,"P"),EXACT(D638,"D"),EXACT(D638,"T"),EXACT(D638,"X"),EXACT(E638,"DZF"),EXACT(E638,"OZF"),EXACT(D638,"N"),EXACT(D638,"F")),1,0)</f>
        <v>0</v>
      </c>
      <c r="M638" t="str">
        <f t="shared" si="36"/>
        <v/>
      </c>
      <c r="N638">
        <f t="shared" si="37"/>
        <v>0</v>
      </c>
      <c r="O638">
        <f t="shared" si="38"/>
        <v>0</v>
      </c>
      <c r="P638" t="str">
        <f t="shared" si="39"/>
        <v/>
      </c>
    </row>
    <row r="639" spans="1:16" x14ac:dyDescent="0.25">
      <c r="A639">
        <v>484</v>
      </c>
      <c r="B639" t="str">
        <f>IF($A639&gt;$A$1,"",VLOOKUP($A639,'NHL PBP'!$A:$L,8,FALSE))</f>
        <v/>
      </c>
      <c r="C639" t="str">
        <f>IF($A639&gt;$A$1,"",IF(B639&gt;3,5/24,20/24)-VLOOKUP($A639,'NHL PBP'!$A:$L,10,FALSE))</f>
        <v/>
      </c>
      <c r="D639" t="str">
        <f>IF($A639&gt;$A$1,"",VLOOKUP($A639,'NHL PBP'!$A:$L,11,FALSE))</f>
        <v/>
      </c>
      <c r="E639" t="str">
        <f>IF(AND(EXACT(D639,"FAC"),NOT(EXACT(MID(F639,9,3),"Neu"))),IF(OR(AND(EXACT(MID(F639,9,3),"Off"),EXACT(LEFT(F639,3),UPPER('Entry data'!$C$2))),AND(EXACT(MID(F639,9,3),"Def"),NOT(EXACT(LEFT(F639,3),UPPER('Entry data'!$C$2))))),"DZF","OZF"),"")</f>
        <v/>
      </c>
      <c r="F639" t="str">
        <f>IF($A639&gt;$A$1,"",VLOOKUP($A639,'NHL PBP'!$A:$L,12,FALSE))</f>
        <v/>
      </c>
      <c r="J639">
        <f>IF(EXACT('Entry data'!$C$3,"Road"),IF(ISBLANK(VLOOKUP(A639,'NHL PBP'!A:AH,21,FALSE)),3,IF(ISBLANK(VLOOKUP(A639,'NHL PBP'!A:AH,23,FALSE)),4,5)),IF(ISBLANK(VLOOKUP(A639,'NHL PBP'!A:AH,32,FALSE)),3,IF(ISBLANK(VLOOKUP(A639,'NHL PBP'!A:AH,34,FALSE)),4,5)))</f>
        <v>5</v>
      </c>
      <c r="K639">
        <f>IF(EXACT('Entry data'!$C$3,"Home"),IF(ISBLANK(VLOOKUP(A639,'NHL PBP'!A:AH,21,FALSE)),3,IF(ISBLANK(VLOOKUP(A639,'NHL PBP'!A:AH,23,FALSE)),4,5)),IF(ISBLANK(VLOOKUP(A639,'NHL PBP'!A:AH,32,FALSE)),3,IF(ISBLANK(VLOOKUP(A639,'NHL PBP'!A:AH,34,FALSE)),4,5)))</f>
        <v>5</v>
      </c>
      <c r="L639">
        <f>IF(OR(EXACT(D639,"C"),EXACT(D639,"P"),EXACT(D639,"D"),EXACT(D639,"T"),EXACT(D639,"X"),EXACT(E639,"DZF"),EXACT(E639,"OZF"),EXACT(D639,"N"),EXACT(D639,"F")),1,0)</f>
        <v>0</v>
      </c>
      <c r="M639" t="str">
        <f t="shared" si="36"/>
        <v/>
      </c>
      <c r="N639">
        <f t="shared" si="37"/>
        <v>0</v>
      </c>
      <c r="O639">
        <f t="shared" si="38"/>
        <v>0</v>
      </c>
      <c r="P639" t="str">
        <f t="shared" si="39"/>
        <v/>
      </c>
    </row>
    <row r="640" spans="1:16" x14ac:dyDescent="0.25">
      <c r="A640">
        <v>485</v>
      </c>
      <c r="B640" t="str">
        <f>IF($A640&gt;$A$1,"",VLOOKUP($A640,'NHL PBP'!$A:$L,8,FALSE))</f>
        <v/>
      </c>
      <c r="C640" t="str">
        <f>IF($A640&gt;$A$1,"",IF(B640&gt;3,5/24,20/24)-VLOOKUP($A640,'NHL PBP'!$A:$L,10,FALSE))</f>
        <v/>
      </c>
      <c r="D640" t="str">
        <f>IF($A640&gt;$A$1,"",VLOOKUP($A640,'NHL PBP'!$A:$L,11,FALSE))</f>
        <v/>
      </c>
      <c r="E640" t="str">
        <f>IF(AND(EXACT(D640,"FAC"),NOT(EXACT(MID(F640,9,3),"Neu"))),IF(OR(AND(EXACT(MID(F640,9,3),"Off"),EXACT(LEFT(F640,3),UPPER('Entry data'!$C$2))),AND(EXACT(MID(F640,9,3),"Def"),NOT(EXACT(LEFT(F640,3),UPPER('Entry data'!$C$2))))),"DZF","OZF"),"")</f>
        <v/>
      </c>
      <c r="F640" t="str">
        <f>IF($A640&gt;$A$1,"",VLOOKUP($A640,'NHL PBP'!$A:$L,12,FALSE))</f>
        <v/>
      </c>
      <c r="J640">
        <f>IF(EXACT('Entry data'!$C$3,"Road"),IF(ISBLANK(VLOOKUP(A640,'NHL PBP'!A:AH,21,FALSE)),3,IF(ISBLANK(VLOOKUP(A640,'NHL PBP'!A:AH,23,FALSE)),4,5)),IF(ISBLANK(VLOOKUP(A640,'NHL PBP'!A:AH,32,FALSE)),3,IF(ISBLANK(VLOOKUP(A640,'NHL PBP'!A:AH,34,FALSE)),4,5)))</f>
        <v>5</v>
      </c>
      <c r="K640">
        <f>IF(EXACT('Entry data'!$C$3,"Home"),IF(ISBLANK(VLOOKUP(A640,'NHL PBP'!A:AH,21,FALSE)),3,IF(ISBLANK(VLOOKUP(A640,'NHL PBP'!A:AH,23,FALSE)),4,5)),IF(ISBLANK(VLOOKUP(A640,'NHL PBP'!A:AH,32,FALSE)),3,IF(ISBLANK(VLOOKUP(A640,'NHL PBP'!A:AH,34,FALSE)),4,5)))</f>
        <v>5</v>
      </c>
      <c r="L640">
        <f>IF(OR(EXACT(D640,"C"),EXACT(D640,"P"),EXACT(D640,"D"),EXACT(D640,"T"),EXACT(D640,"X"),EXACT(E640,"DZF"),EXACT(E640,"OZF"),EXACT(D640,"N"),EXACT(D640,"F")),1,0)</f>
        <v>0</v>
      </c>
      <c r="M640" t="str">
        <f t="shared" si="36"/>
        <v/>
      </c>
      <c r="N640">
        <f t="shared" si="37"/>
        <v>0</v>
      </c>
      <c r="O640">
        <f t="shared" si="38"/>
        <v>0</v>
      </c>
      <c r="P640" t="str">
        <f t="shared" si="39"/>
        <v/>
      </c>
    </row>
    <row r="641" spans="1:16" x14ac:dyDescent="0.25">
      <c r="A641">
        <v>486</v>
      </c>
      <c r="B641" t="str">
        <f>IF($A641&gt;$A$1,"",VLOOKUP($A641,'NHL PBP'!$A:$L,8,FALSE))</f>
        <v/>
      </c>
      <c r="C641" t="str">
        <f>IF($A641&gt;$A$1,"",IF(B641&gt;3,5/24,20/24)-VLOOKUP($A641,'NHL PBP'!$A:$L,10,FALSE))</f>
        <v/>
      </c>
      <c r="D641" t="str">
        <f>IF($A641&gt;$A$1,"",VLOOKUP($A641,'NHL PBP'!$A:$L,11,FALSE))</f>
        <v/>
      </c>
      <c r="E641" t="str">
        <f>IF(AND(EXACT(D641,"FAC"),NOT(EXACT(MID(F641,9,3),"Neu"))),IF(OR(AND(EXACT(MID(F641,9,3),"Off"),EXACT(LEFT(F641,3),UPPER('Entry data'!$C$2))),AND(EXACT(MID(F641,9,3),"Def"),NOT(EXACT(LEFT(F641,3),UPPER('Entry data'!$C$2))))),"DZF","OZF"),"")</f>
        <v/>
      </c>
      <c r="F641" t="str">
        <f>IF($A641&gt;$A$1,"",VLOOKUP($A641,'NHL PBP'!$A:$L,12,FALSE))</f>
        <v/>
      </c>
      <c r="J641">
        <f>IF(EXACT('Entry data'!$C$3,"Road"),IF(ISBLANK(VLOOKUP(A641,'NHL PBP'!A:AH,21,FALSE)),3,IF(ISBLANK(VLOOKUP(A641,'NHL PBP'!A:AH,23,FALSE)),4,5)),IF(ISBLANK(VLOOKUP(A641,'NHL PBP'!A:AH,32,FALSE)),3,IF(ISBLANK(VLOOKUP(A641,'NHL PBP'!A:AH,34,FALSE)),4,5)))</f>
        <v>5</v>
      </c>
      <c r="K641">
        <f>IF(EXACT('Entry data'!$C$3,"Home"),IF(ISBLANK(VLOOKUP(A641,'NHL PBP'!A:AH,21,FALSE)),3,IF(ISBLANK(VLOOKUP(A641,'NHL PBP'!A:AH,23,FALSE)),4,5)),IF(ISBLANK(VLOOKUP(A641,'NHL PBP'!A:AH,32,FALSE)),3,IF(ISBLANK(VLOOKUP(A641,'NHL PBP'!A:AH,34,FALSE)),4,5)))</f>
        <v>5</v>
      </c>
      <c r="L641">
        <f>IF(OR(EXACT(D641,"C"),EXACT(D641,"P"),EXACT(D641,"D"),EXACT(D641,"T"),EXACT(D641,"X"),EXACT(E641,"DZF"),EXACT(E641,"OZF"),EXACT(D641,"N"),EXACT(D641,"F")),1,0)</f>
        <v>0</v>
      </c>
      <c r="M641" t="str">
        <f t="shared" si="36"/>
        <v/>
      </c>
      <c r="N641">
        <f t="shared" si="37"/>
        <v>0</v>
      </c>
      <c r="O641">
        <f t="shared" si="38"/>
        <v>0</v>
      </c>
      <c r="P641" t="str">
        <f t="shared" si="39"/>
        <v/>
      </c>
    </row>
    <row r="642" spans="1:16" x14ac:dyDescent="0.25">
      <c r="A642">
        <v>487</v>
      </c>
      <c r="B642" t="str">
        <f>IF($A642&gt;$A$1,"",VLOOKUP($A642,'NHL PBP'!$A:$L,8,FALSE))</f>
        <v/>
      </c>
      <c r="C642" t="str">
        <f>IF($A642&gt;$A$1,"",IF(B642&gt;3,5/24,20/24)-VLOOKUP($A642,'NHL PBP'!$A:$L,10,FALSE))</f>
        <v/>
      </c>
      <c r="D642" t="str">
        <f>IF($A642&gt;$A$1,"",VLOOKUP($A642,'NHL PBP'!$A:$L,11,FALSE))</f>
        <v/>
      </c>
      <c r="E642" t="str">
        <f>IF(AND(EXACT(D642,"FAC"),NOT(EXACT(MID(F642,9,3),"Neu"))),IF(OR(AND(EXACT(MID(F642,9,3),"Off"),EXACT(LEFT(F642,3),UPPER('Entry data'!$C$2))),AND(EXACT(MID(F642,9,3),"Def"),NOT(EXACT(LEFT(F642,3),UPPER('Entry data'!$C$2))))),"DZF","OZF"),"")</f>
        <v/>
      </c>
      <c r="F642" t="str">
        <f>IF($A642&gt;$A$1,"",VLOOKUP($A642,'NHL PBP'!$A:$L,12,FALSE))</f>
        <v/>
      </c>
      <c r="J642">
        <f>IF(EXACT('Entry data'!$C$3,"Road"),IF(ISBLANK(VLOOKUP(A642,'NHL PBP'!A:AH,21,FALSE)),3,IF(ISBLANK(VLOOKUP(A642,'NHL PBP'!A:AH,23,FALSE)),4,5)),IF(ISBLANK(VLOOKUP(A642,'NHL PBP'!A:AH,32,FALSE)),3,IF(ISBLANK(VLOOKUP(A642,'NHL PBP'!A:AH,34,FALSE)),4,5)))</f>
        <v>5</v>
      </c>
      <c r="K642">
        <f>IF(EXACT('Entry data'!$C$3,"Home"),IF(ISBLANK(VLOOKUP(A642,'NHL PBP'!A:AH,21,FALSE)),3,IF(ISBLANK(VLOOKUP(A642,'NHL PBP'!A:AH,23,FALSE)),4,5)),IF(ISBLANK(VLOOKUP(A642,'NHL PBP'!A:AH,32,FALSE)),3,IF(ISBLANK(VLOOKUP(A642,'NHL PBP'!A:AH,34,FALSE)),4,5)))</f>
        <v>5</v>
      </c>
      <c r="L642">
        <f>IF(OR(EXACT(D642,"C"),EXACT(D642,"P"),EXACT(D642,"D"),EXACT(D642,"T"),EXACT(D642,"X"),EXACT(E642,"DZF"),EXACT(E642,"OZF"),EXACT(D642,"N"),EXACT(D642,"F")),1,0)</f>
        <v>0</v>
      </c>
      <c r="M642" t="str">
        <f t="shared" ref="M642:M705" si="40">IF(OR(EXACT(D642,"C"),EXACT(D642,"P")),E642,"")</f>
        <v/>
      </c>
      <c r="N642">
        <f t="shared" ref="N642:N705" si="41">IF(OR(EXACT(D642,"GOAL"),EXACT(D642,"SHOT"),EXACT(D642,"MISS")),1,0)+IF(L643=0,N643,0)</f>
        <v>0</v>
      </c>
      <c r="O642">
        <f t="shared" ref="O642:O705" si="42">IF(EXACT(D642,"GOAL"),1,0)+IF(L643=0,O643,0)</f>
        <v>0</v>
      </c>
      <c r="P642" t="str">
        <f t="shared" si="39"/>
        <v/>
      </c>
    </row>
    <row r="643" spans="1:16" x14ac:dyDescent="0.25">
      <c r="A643">
        <v>488</v>
      </c>
      <c r="B643" t="str">
        <f>IF($A643&gt;$A$1,"",VLOOKUP($A643,'NHL PBP'!$A:$L,8,FALSE))</f>
        <v/>
      </c>
      <c r="C643" t="str">
        <f>IF($A643&gt;$A$1,"",IF(B643&gt;3,5/24,20/24)-VLOOKUP($A643,'NHL PBP'!$A:$L,10,FALSE))</f>
        <v/>
      </c>
      <c r="D643" t="str">
        <f>IF($A643&gt;$A$1,"",VLOOKUP($A643,'NHL PBP'!$A:$L,11,FALSE))</f>
        <v/>
      </c>
      <c r="E643" t="str">
        <f>IF(AND(EXACT(D643,"FAC"),NOT(EXACT(MID(F643,9,3),"Neu"))),IF(OR(AND(EXACT(MID(F643,9,3),"Off"),EXACT(LEFT(F643,3),UPPER('Entry data'!$C$2))),AND(EXACT(MID(F643,9,3),"Def"),NOT(EXACT(LEFT(F643,3),UPPER('Entry data'!$C$2))))),"DZF","OZF"),"")</f>
        <v/>
      </c>
      <c r="F643" t="str">
        <f>IF($A643&gt;$A$1,"",VLOOKUP($A643,'NHL PBP'!$A:$L,12,FALSE))</f>
        <v/>
      </c>
      <c r="J643">
        <f>IF(EXACT('Entry data'!$C$3,"Road"),IF(ISBLANK(VLOOKUP(A643,'NHL PBP'!A:AH,21,FALSE)),3,IF(ISBLANK(VLOOKUP(A643,'NHL PBP'!A:AH,23,FALSE)),4,5)),IF(ISBLANK(VLOOKUP(A643,'NHL PBP'!A:AH,32,FALSE)),3,IF(ISBLANK(VLOOKUP(A643,'NHL PBP'!A:AH,34,FALSE)),4,5)))</f>
        <v>5</v>
      </c>
      <c r="K643">
        <f>IF(EXACT('Entry data'!$C$3,"Home"),IF(ISBLANK(VLOOKUP(A643,'NHL PBP'!A:AH,21,FALSE)),3,IF(ISBLANK(VLOOKUP(A643,'NHL PBP'!A:AH,23,FALSE)),4,5)),IF(ISBLANK(VLOOKUP(A643,'NHL PBP'!A:AH,32,FALSE)),3,IF(ISBLANK(VLOOKUP(A643,'NHL PBP'!A:AH,34,FALSE)),4,5)))</f>
        <v>5</v>
      </c>
      <c r="L643">
        <f>IF(OR(EXACT(D643,"C"),EXACT(D643,"P"),EXACT(D643,"D"),EXACT(D643,"T"),EXACT(D643,"X"),EXACT(E643,"DZF"),EXACT(E643,"OZF"),EXACT(D643,"N"),EXACT(D643,"F")),1,0)</f>
        <v>0</v>
      </c>
      <c r="M643" t="str">
        <f t="shared" si="40"/>
        <v/>
      </c>
      <c r="N643">
        <f t="shared" si="41"/>
        <v>0</v>
      </c>
      <c r="O643">
        <f t="shared" si="42"/>
        <v>0</v>
      </c>
      <c r="P643" t="str">
        <f t="shared" ref="P643:P706" si="43">IF(EXACT(D643,"F"),E643,"")</f>
        <v/>
      </c>
    </row>
    <row r="644" spans="1:16" x14ac:dyDescent="0.25">
      <c r="A644">
        <v>489</v>
      </c>
      <c r="B644" t="str">
        <f>IF($A644&gt;$A$1,"",VLOOKUP($A644,'NHL PBP'!$A:$L,8,FALSE))</f>
        <v/>
      </c>
      <c r="C644" t="str">
        <f>IF($A644&gt;$A$1,"",IF(B644&gt;3,5/24,20/24)-VLOOKUP($A644,'NHL PBP'!$A:$L,10,FALSE))</f>
        <v/>
      </c>
      <c r="D644" t="str">
        <f>IF($A644&gt;$A$1,"",VLOOKUP($A644,'NHL PBP'!$A:$L,11,FALSE))</f>
        <v/>
      </c>
      <c r="E644" t="str">
        <f>IF(AND(EXACT(D644,"FAC"),NOT(EXACT(MID(F644,9,3),"Neu"))),IF(OR(AND(EXACT(MID(F644,9,3),"Off"),EXACT(LEFT(F644,3),UPPER('Entry data'!$C$2))),AND(EXACT(MID(F644,9,3),"Def"),NOT(EXACT(LEFT(F644,3),UPPER('Entry data'!$C$2))))),"DZF","OZF"),"")</f>
        <v/>
      </c>
      <c r="F644" t="str">
        <f>IF($A644&gt;$A$1,"",VLOOKUP($A644,'NHL PBP'!$A:$L,12,FALSE))</f>
        <v/>
      </c>
      <c r="J644">
        <f>IF(EXACT('Entry data'!$C$3,"Road"),IF(ISBLANK(VLOOKUP(A644,'NHL PBP'!A:AH,21,FALSE)),3,IF(ISBLANK(VLOOKUP(A644,'NHL PBP'!A:AH,23,FALSE)),4,5)),IF(ISBLANK(VLOOKUP(A644,'NHL PBP'!A:AH,32,FALSE)),3,IF(ISBLANK(VLOOKUP(A644,'NHL PBP'!A:AH,34,FALSE)),4,5)))</f>
        <v>5</v>
      </c>
      <c r="K644">
        <f>IF(EXACT('Entry data'!$C$3,"Home"),IF(ISBLANK(VLOOKUP(A644,'NHL PBP'!A:AH,21,FALSE)),3,IF(ISBLANK(VLOOKUP(A644,'NHL PBP'!A:AH,23,FALSE)),4,5)),IF(ISBLANK(VLOOKUP(A644,'NHL PBP'!A:AH,32,FALSE)),3,IF(ISBLANK(VLOOKUP(A644,'NHL PBP'!A:AH,34,FALSE)),4,5)))</f>
        <v>5</v>
      </c>
      <c r="L644">
        <f>IF(OR(EXACT(D644,"C"),EXACT(D644,"P"),EXACT(D644,"D"),EXACT(D644,"T"),EXACT(D644,"X"),EXACT(E644,"DZF"),EXACT(E644,"OZF"),EXACT(D644,"N"),EXACT(D644,"F")),1,0)</f>
        <v>0</v>
      </c>
      <c r="M644" t="str">
        <f t="shared" si="40"/>
        <v/>
      </c>
      <c r="N644">
        <f t="shared" si="41"/>
        <v>0</v>
      </c>
      <c r="O644">
        <f t="shared" si="42"/>
        <v>0</v>
      </c>
      <c r="P644" t="str">
        <f t="shared" si="43"/>
        <v/>
      </c>
    </row>
    <row r="645" spans="1:16" x14ac:dyDescent="0.25">
      <c r="A645">
        <v>490</v>
      </c>
      <c r="B645" t="str">
        <f>IF($A645&gt;$A$1,"",VLOOKUP($A645,'NHL PBP'!$A:$L,8,FALSE))</f>
        <v/>
      </c>
      <c r="C645" t="str">
        <f>IF($A645&gt;$A$1,"",IF(B645&gt;3,5/24,20/24)-VLOOKUP($A645,'NHL PBP'!$A:$L,10,FALSE))</f>
        <v/>
      </c>
      <c r="D645" t="str">
        <f>IF($A645&gt;$A$1,"",VLOOKUP($A645,'NHL PBP'!$A:$L,11,FALSE))</f>
        <v/>
      </c>
      <c r="E645" t="str">
        <f>IF(AND(EXACT(D645,"FAC"),NOT(EXACT(MID(F645,9,3),"Neu"))),IF(OR(AND(EXACT(MID(F645,9,3),"Off"),EXACT(LEFT(F645,3),UPPER('Entry data'!$C$2))),AND(EXACT(MID(F645,9,3),"Def"),NOT(EXACT(LEFT(F645,3),UPPER('Entry data'!$C$2))))),"DZF","OZF"),"")</f>
        <v/>
      </c>
      <c r="F645" t="str">
        <f>IF($A645&gt;$A$1,"",VLOOKUP($A645,'NHL PBP'!$A:$L,12,FALSE))</f>
        <v/>
      </c>
      <c r="J645">
        <f>IF(EXACT('Entry data'!$C$3,"Road"),IF(ISBLANK(VLOOKUP(A645,'NHL PBP'!A:AH,21,FALSE)),3,IF(ISBLANK(VLOOKUP(A645,'NHL PBP'!A:AH,23,FALSE)),4,5)),IF(ISBLANK(VLOOKUP(A645,'NHL PBP'!A:AH,32,FALSE)),3,IF(ISBLANK(VLOOKUP(A645,'NHL PBP'!A:AH,34,FALSE)),4,5)))</f>
        <v>5</v>
      </c>
      <c r="K645">
        <f>IF(EXACT('Entry data'!$C$3,"Home"),IF(ISBLANK(VLOOKUP(A645,'NHL PBP'!A:AH,21,FALSE)),3,IF(ISBLANK(VLOOKUP(A645,'NHL PBP'!A:AH,23,FALSE)),4,5)),IF(ISBLANK(VLOOKUP(A645,'NHL PBP'!A:AH,32,FALSE)),3,IF(ISBLANK(VLOOKUP(A645,'NHL PBP'!A:AH,34,FALSE)),4,5)))</f>
        <v>5</v>
      </c>
      <c r="L645">
        <f>IF(OR(EXACT(D645,"C"),EXACT(D645,"P"),EXACT(D645,"D"),EXACT(D645,"T"),EXACT(D645,"X"),EXACT(E645,"DZF"),EXACT(E645,"OZF"),EXACT(D645,"N"),EXACT(D645,"F")),1,0)</f>
        <v>0</v>
      </c>
      <c r="M645" t="str">
        <f t="shared" si="40"/>
        <v/>
      </c>
      <c r="N645">
        <f t="shared" si="41"/>
        <v>0</v>
      </c>
      <c r="O645">
        <f t="shared" si="42"/>
        <v>0</v>
      </c>
      <c r="P645" t="str">
        <f t="shared" si="43"/>
        <v/>
      </c>
    </row>
    <row r="646" spans="1:16" x14ac:dyDescent="0.25">
      <c r="A646">
        <v>491</v>
      </c>
      <c r="B646" t="str">
        <f>IF($A646&gt;$A$1,"",VLOOKUP($A646,'NHL PBP'!$A:$L,8,FALSE))</f>
        <v/>
      </c>
      <c r="C646" t="str">
        <f>IF($A646&gt;$A$1,"",IF(B646&gt;3,5/24,20/24)-VLOOKUP($A646,'NHL PBP'!$A:$L,10,FALSE))</f>
        <v/>
      </c>
      <c r="D646" t="str">
        <f>IF($A646&gt;$A$1,"",VLOOKUP($A646,'NHL PBP'!$A:$L,11,FALSE))</f>
        <v/>
      </c>
      <c r="E646" t="str">
        <f>IF(AND(EXACT(D646,"FAC"),NOT(EXACT(MID(F646,9,3),"Neu"))),IF(OR(AND(EXACT(MID(F646,9,3),"Off"),EXACT(LEFT(F646,3),UPPER('Entry data'!$C$2))),AND(EXACT(MID(F646,9,3),"Def"),NOT(EXACT(LEFT(F646,3),UPPER('Entry data'!$C$2))))),"DZF","OZF"),"")</f>
        <v/>
      </c>
      <c r="F646" t="str">
        <f>IF($A646&gt;$A$1,"",VLOOKUP($A646,'NHL PBP'!$A:$L,12,FALSE))</f>
        <v/>
      </c>
      <c r="J646">
        <f>IF(EXACT('Entry data'!$C$3,"Road"),IF(ISBLANK(VLOOKUP(A646,'NHL PBP'!A:AH,21,FALSE)),3,IF(ISBLANK(VLOOKUP(A646,'NHL PBP'!A:AH,23,FALSE)),4,5)),IF(ISBLANK(VLOOKUP(A646,'NHL PBP'!A:AH,32,FALSE)),3,IF(ISBLANK(VLOOKUP(A646,'NHL PBP'!A:AH,34,FALSE)),4,5)))</f>
        <v>5</v>
      </c>
      <c r="K646">
        <f>IF(EXACT('Entry data'!$C$3,"Home"),IF(ISBLANK(VLOOKUP(A646,'NHL PBP'!A:AH,21,FALSE)),3,IF(ISBLANK(VLOOKUP(A646,'NHL PBP'!A:AH,23,FALSE)),4,5)),IF(ISBLANK(VLOOKUP(A646,'NHL PBP'!A:AH,32,FALSE)),3,IF(ISBLANK(VLOOKUP(A646,'NHL PBP'!A:AH,34,FALSE)),4,5)))</f>
        <v>5</v>
      </c>
      <c r="L646">
        <f>IF(OR(EXACT(D646,"C"),EXACT(D646,"P"),EXACT(D646,"D"),EXACT(D646,"T"),EXACT(D646,"X"),EXACT(E646,"DZF"),EXACT(E646,"OZF"),EXACT(D646,"N"),EXACT(D646,"F")),1,0)</f>
        <v>0</v>
      </c>
      <c r="M646" t="str">
        <f t="shared" si="40"/>
        <v/>
      </c>
      <c r="N646">
        <f t="shared" si="41"/>
        <v>0</v>
      </c>
      <c r="O646">
        <f t="shared" si="42"/>
        <v>0</v>
      </c>
      <c r="P646" t="str">
        <f t="shared" si="43"/>
        <v/>
      </c>
    </row>
    <row r="647" spans="1:16" x14ac:dyDescent="0.25">
      <c r="A647">
        <v>492</v>
      </c>
      <c r="B647" t="str">
        <f>IF($A647&gt;$A$1,"",VLOOKUP($A647,'NHL PBP'!$A:$L,8,FALSE))</f>
        <v/>
      </c>
      <c r="C647" t="str">
        <f>IF($A647&gt;$A$1,"",IF(B647&gt;3,5/24,20/24)-VLOOKUP($A647,'NHL PBP'!$A:$L,10,FALSE))</f>
        <v/>
      </c>
      <c r="D647" t="str">
        <f>IF($A647&gt;$A$1,"",VLOOKUP($A647,'NHL PBP'!$A:$L,11,FALSE))</f>
        <v/>
      </c>
      <c r="E647" t="str">
        <f>IF(AND(EXACT(D647,"FAC"),NOT(EXACT(MID(F647,9,3),"Neu"))),IF(OR(AND(EXACT(MID(F647,9,3),"Off"),EXACT(LEFT(F647,3),UPPER('Entry data'!$C$2))),AND(EXACT(MID(F647,9,3),"Def"),NOT(EXACT(LEFT(F647,3),UPPER('Entry data'!$C$2))))),"DZF","OZF"),"")</f>
        <v/>
      </c>
      <c r="F647" t="str">
        <f>IF($A647&gt;$A$1,"",VLOOKUP($A647,'NHL PBP'!$A:$L,12,FALSE))</f>
        <v/>
      </c>
      <c r="J647">
        <f>IF(EXACT('Entry data'!$C$3,"Road"),IF(ISBLANK(VLOOKUP(A647,'NHL PBP'!A:AH,21,FALSE)),3,IF(ISBLANK(VLOOKUP(A647,'NHL PBP'!A:AH,23,FALSE)),4,5)),IF(ISBLANK(VLOOKUP(A647,'NHL PBP'!A:AH,32,FALSE)),3,IF(ISBLANK(VLOOKUP(A647,'NHL PBP'!A:AH,34,FALSE)),4,5)))</f>
        <v>5</v>
      </c>
      <c r="K647">
        <f>IF(EXACT('Entry data'!$C$3,"Home"),IF(ISBLANK(VLOOKUP(A647,'NHL PBP'!A:AH,21,FALSE)),3,IF(ISBLANK(VLOOKUP(A647,'NHL PBP'!A:AH,23,FALSE)),4,5)),IF(ISBLANK(VLOOKUP(A647,'NHL PBP'!A:AH,32,FALSE)),3,IF(ISBLANK(VLOOKUP(A647,'NHL PBP'!A:AH,34,FALSE)),4,5)))</f>
        <v>5</v>
      </c>
      <c r="L647">
        <f>IF(OR(EXACT(D647,"C"),EXACT(D647,"P"),EXACT(D647,"D"),EXACT(D647,"T"),EXACT(D647,"X"),EXACT(E647,"DZF"),EXACT(E647,"OZF"),EXACT(D647,"N"),EXACT(D647,"F")),1,0)</f>
        <v>0</v>
      </c>
      <c r="M647" t="str">
        <f t="shared" si="40"/>
        <v/>
      </c>
      <c r="N647">
        <f t="shared" si="41"/>
        <v>0</v>
      </c>
      <c r="O647">
        <f t="shared" si="42"/>
        <v>0</v>
      </c>
      <c r="P647" t="str">
        <f t="shared" si="43"/>
        <v/>
      </c>
    </row>
    <row r="648" spans="1:16" x14ac:dyDescent="0.25">
      <c r="A648">
        <v>493</v>
      </c>
      <c r="B648" t="str">
        <f>IF($A648&gt;$A$1,"",VLOOKUP($A648,'NHL PBP'!$A:$L,8,FALSE))</f>
        <v/>
      </c>
      <c r="C648" t="str">
        <f>IF($A648&gt;$A$1,"",IF(B648&gt;3,5/24,20/24)-VLOOKUP($A648,'NHL PBP'!$A:$L,10,FALSE))</f>
        <v/>
      </c>
      <c r="D648" t="str">
        <f>IF($A648&gt;$A$1,"",VLOOKUP($A648,'NHL PBP'!$A:$L,11,FALSE))</f>
        <v/>
      </c>
      <c r="E648" t="str">
        <f>IF(AND(EXACT(D648,"FAC"),NOT(EXACT(MID(F648,9,3),"Neu"))),IF(OR(AND(EXACT(MID(F648,9,3),"Off"),EXACT(LEFT(F648,3),UPPER('Entry data'!$C$2))),AND(EXACT(MID(F648,9,3),"Def"),NOT(EXACT(LEFT(F648,3),UPPER('Entry data'!$C$2))))),"DZF","OZF"),"")</f>
        <v/>
      </c>
      <c r="F648" t="str">
        <f>IF($A648&gt;$A$1,"",VLOOKUP($A648,'NHL PBP'!$A:$L,12,FALSE))</f>
        <v/>
      </c>
      <c r="J648">
        <f>IF(EXACT('Entry data'!$C$3,"Road"),IF(ISBLANK(VLOOKUP(A648,'NHL PBP'!A:AH,21,FALSE)),3,IF(ISBLANK(VLOOKUP(A648,'NHL PBP'!A:AH,23,FALSE)),4,5)),IF(ISBLANK(VLOOKUP(A648,'NHL PBP'!A:AH,32,FALSE)),3,IF(ISBLANK(VLOOKUP(A648,'NHL PBP'!A:AH,34,FALSE)),4,5)))</f>
        <v>5</v>
      </c>
      <c r="K648">
        <f>IF(EXACT('Entry data'!$C$3,"Home"),IF(ISBLANK(VLOOKUP(A648,'NHL PBP'!A:AH,21,FALSE)),3,IF(ISBLANK(VLOOKUP(A648,'NHL PBP'!A:AH,23,FALSE)),4,5)),IF(ISBLANK(VLOOKUP(A648,'NHL PBP'!A:AH,32,FALSE)),3,IF(ISBLANK(VLOOKUP(A648,'NHL PBP'!A:AH,34,FALSE)),4,5)))</f>
        <v>5</v>
      </c>
      <c r="L648">
        <f>IF(OR(EXACT(D648,"C"),EXACT(D648,"P"),EXACT(D648,"D"),EXACT(D648,"T"),EXACT(D648,"X"),EXACT(E648,"DZF"),EXACT(E648,"OZF"),EXACT(D648,"N"),EXACT(D648,"F")),1,0)</f>
        <v>0</v>
      </c>
      <c r="M648" t="str">
        <f t="shared" si="40"/>
        <v/>
      </c>
      <c r="N648">
        <f t="shared" si="41"/>
        <v>0</v>
      </c>
      <c r="O648">
        <f t="shared" si="42"/>
        <v>0</v>
      </c>
      <c r="P648" t="str">
        <f t="shared" si="43"/>
        <v/>
      </c>
    </row>
    <row r="649" spans="1:16" x14ac:dyDescent="0.25">
      <c r="A649">
        <v>494</v>
      </c>
      <c r="B649" t="str">
        <f>IF($A649&gt;$A$1,"",VLOOKUP($A649,'NHL PBP'!$A:$L,8,FALSE))</f>
        <v/>
      </c>
      <c r="C649" t="str">
        <f>IF($A649&gt;$A$1,"",IF(B649&gt;3,5/24,20/24)-VLOOKUP($A649,'NHL PBP'!$A:$L,10,FALSE))</f>
        <v/>
      </c>
      <c r="D649" t="str">
        <f>IF($A649&gt;$A$1,"",VLOOKUP($A649,'NHL PBP'!$A:$L,11,FALSE))</f>
        <v/>
      </c>
      <c r="E649" t="str">
        <f>IF(AND(EXACT(D649,"FAC"),NOT(EXACT(MID(F649,9,3),"Neu"))),IF(OR(AND(EXACT(MID(F649,9,3),"Off"),EXACT(LEFT(F649,3),UPPER('Entry data'!$C$2))),AND(EXACT(MID(F649,9,3),"Def"),NOT(EXACT(LEFT(F649,3),UPPER('Entry data'!$C$2))))),"DZF","OZF"),"")</f>
        <v/>
      </c>
      <c r="F649" t="str">
        <f>IF($A649&gt;$A$1,"",VLOOKUP($A649,'NHL PBP'!$A:$L,12,FALSE))</f>
        <v/>
      </c>
      <c r="J649">
        <f>IF(EXACT('Entry data'!$C$3,"Road"),IF(ISBLANK(VLOOKUP(A649,'NHL PBP'!A:AH,21,FALSE)),3,IF(ISBLANK(VLOOKUP(A649,'NHL PBP'!A:AH,23,FALSE)),4,5)),IF(ISBLANK(VLOOKUP(A649,'NHL PBP'!A:AH,32,FALSE)),3,IF(ISBLANK(VLOOKUP(A649,'NHL PBP'!A:AH,34,FALSE)),4,5)))</f>
        <v>5</v>
      </c>
      <c r="K649">
        <f>IF(EXACT('Entry data'!$C$3,"Home"),IF(ISBLANK(VLOOKUP(A649,'NHL PBP'!A:AH,21,FALSE)),3,IF(ISBLANK(VLOOKUP(A649,'NHL PBP'!A:AH,23,FALSE)),4,5)),IF(ISBLANK(VLOOKUP(A649,'NHL PBP'!A:AH,32,FALSE)),3,IF(ISBLANK(VLOOKUP(A649,'NHL PBP'!A:AH,34,FALSE)),4,5)))</f>
        <v>5</v>
      </c>
      <c r="L649">
        <f>IF(OR(EXACT(D649,"C"),EXACT(D649,"P"),EXACT(D649,"D"),EXACT(D649,"T"),EXACT(D649,"X"),EXACT(E649,"DZF"),EXACT(E649,"OZF"),EXACT(D649,"N"),EXACT(D649,"F")),1,0)</f>
        <v>0</v>
      </c>
      <c r="M649" t="str">
        <f t="shared" si="40"/>
        <v/>
      </c>
      <c r="N649">
        <f t="shared" si="41"/>
        <v>0</v>
      </c>
      <c r="O649">
        <f t="shared" si="42"/>
        <v>0</v>
      </c>
      <c r="P649" t="str">
        <f t="shared" si="43"/>
        <v/>
      </c>
    </row>
    <row r="650" spans="1:16" x14ac:dyDescent="0.25">
      <c r="A650">
        <v>495</v>
      </c>
      <c r="B650" t="str">
        <f>IF($A650&gt;$A$1,"",VLOOKUP($A650,'NHL PBP'!$A:$L,8,FALSE))</f>
        <v/>
      </c>
      <c r="C650" t="str">
        <f>IF($A650&gt;$A$1,"",IF(B650&gt;3,5/24,20/24)-VLOOKUP($A650,'NHL PBP'!$A:$L,10,FALSE))</f>
        <v/>
      </c>
      <c r="D650" t="str">
        <f>IF($A650&gt;$A$1,"",VLOOKUP($A650,'NHL PBP'!$A:$L,11,FALSE))</f>
        <v/>
      </c>
      <c r="E650" t="str">
        <f>IF(AND(EXACT(D650,"FAC"),NOT(EXACT(MID(F650,9,3),"Neu"))),IF(OR(AND(EXACT(MID(F650,9,3),"Off"),EXACT(LEFT(F650,3),UPPER('Entry data'!$C$2))),AND(EXACT(MID(F650,9,3),"Def"),NOT(EXACT(LEFT(F650,3),UPPER('Entry data'!$C$2))))),"DZF","OZF"),"")</f>
        <v/>
      </c>
      <c r="F650" t="str">
        <f>IF($A650&gt;$A$1,"",VLOOKUP($A650,'NHL PBP'!$A:$L,12,FALSE))</f>
        <v/>
      </c>
      <c r="J650">
        <f>IF(EXACT('Entry data'!$C$3,"Road"),IF(ISBLANK(VLOOKUP(A650,'NHL PBP'!A:AH,21,FALSE)),3,IF(ISBLANK(VLOOKUP(A650,'NHL PBP'!A:AH,23,FALSE)),4,5)),IF(ISBLANK(VLOOKUP(A650,'NHL PBP'!A:AH,32,FALSE)),3,IF(ISBLANK(VLOOKUP(A650,'NHL PBP'!A:AH,34,FALSE)),4,5)))</f>
        <v>5</v>
      </c>
      <c r="K650">
        <f>IF(EXACT('Entry data'!$C$3,"Home"),IF(ISBLANK(VLOOKUP(A650,'NHL PBP'!A:AH,21,FALSE)),3,IF(ISBLANK(VLOOKUP(A650,'NHL PBP'!A:AH,23,FALSE)),4,5)),IF(ISBLANK(VLOOKUP(A650,'NHL PBP'!A:AH,32,FALSE)),3,IF(ISBLANK(VLOOKUP(A650,'NHL PBP'!A:AH,34,FALSE)),4,5)))</f>
        <v>5</v>
      </c>
      <c r="L650">
        <f>IF(OR(EXACT(D650,"C"),EXACT(D650,"P"),EXACT(D650,"D"),EXACT(D650,"T"),EXACT(D650,"X"),EXACT(E650,"DZF"),EXACT(E650,"OZF"),EXACT(D650,"N"),EXACT(D650,"F")),1,0)</f>
        <v>0</v>
      </c>
      <c r="M650" t="str">
        <f t="shared" si="40"/>
        <v/>
      </c>
      <c r="N650">
        <f t="shared" si="41"/>
        <v>0</v>
      </c>
      <c r="O650">
        <f t="shared" si="42"/>
        <v>0</v>
      </c>
      <c r="P650" t="str">
        <f t="shared" si="43"/>
        <v/>
      </c>
    </row>
    <row r="651" spans="1:16" x14ac:dyDescent="0.25">
      <c r="A651">
        <v>496</v>
      </c>
      <c r="B651" t="str">
        <f>IF($A651&gt;$A$1,"",VLOOKUP($A651,'NHL PBP'!$A:$L,8,FALSE))</f>
        <v/>
      </c>
      <c r="C651" t="str">
        <f>IF($A651&gt;$A$1,"",IF(B651&gt;3,5/24,20/24)-VLOOKUP($A651,'NHL PBP'!$A:$L,10,FALSE))</f>
        <v/>
      </c>
      <c r="D651" t="str">
        <f>IF($A651&gt;$A$1,"",VLOOKUP($A651,'NHL PBP'!$A:$L,11,FALSE))</f>
        <v/>
      </c>
      <c r="E651" t="str">
        <f>IF(AND(EXACT(D651,"FAC"),NOT(EXACT(MID(F651,9,3),"Neu"))),IF(OR(AND(EXACT(MID(F651,9,3),"Off"),EXACT(LEFT(F651,3),UPPER('Entry data'!$C$2))),AND(EXACT(MID(F651,9,3),"Def"),NOT(EXACT(LEFT(F651,3),UPPER('Entry data'!$C$2))))),"DZF","OZF"),"")</f>
        <v/>
      </c>
      <c r="F651" t="str">
        <f>IF($A651&gt;$A$1,"",VLOOKUP($A651,'NHL PBP'!$A:$L,12,FALSE))</f>
        <v/>
      </c>
      <c r="J651">
        <f>IF(EXACT('Entry data'!$C$3,"Road"),IF(ISBLANK(VLOOKUP(A651,'NHL PBP'!A:AH,21,FALSE)),3,IF(ISBLANK(VLOOKUP(A651,'NHL PBP'!A:AH,23,FALSE)),4,5)),IF(ISBLANK(VLOOKUP(A651,'NHL PBP'!A:AH,32,FALSE)),3,IF(ISBLANK(VLOOKUP(A651,'NHL PBP'!A:AH,34,FALSE)),4,5)))</f>
        <v>5</v>
      </c>
      <c r="K651">
        <f>IF(EXACT('Entry data'!$C$3,"Home"),IF(ISBLANK(VLOOKUP(A651,'NHL PBP'!A:AH,21,FALSE)),3,IF(ISBLANK(VLOOKUP(A651,'NHL PBP'!A:AH,23,FALSE)),4,5)),IF(ISBLANK(VLOOKUP(A651,'NHL PBP'!A:AH,32,FALSE)),3,IF(ISBLANK(VLOOKUP(A651,'NHL PBP'!A:AH,34,FALSE)),4,5)))</f>
        <v>5</v>
      </c>
      <c r="L651">
        <f>IF(OR(EXACT(D651,"C"),EXACT(D651,"P"),EXACT(D651,"D"),EXACT(D651,"T"),EXACT(D651,"X"),EXACT(E651,"DZF"),EXACT(E651,"OZF"),EXACT(D651,"N"),EXACT(D651,"F")),1,0)</f>
        <v>0</v>
      </c>
      <c r="M651" t="str">
        <f t="shared" si="40"/>
        <v/>
      </c>
      <c r="N651">
        <f t="shared" si="41"/>
        <v>0</v>
      </c>
      <c r="O651">
        <f t="shared" si="42"/>
        <v>0</v>
      </c>
      <c r="P651" t="str">
        <f t="shared" si="43"/>
        <v/>
      </c>
    </row>
    <row r="652" spans="1:16" x14ac:dyDescent="0.25">
      <c r="A652">
        <v>497</v>
      </c>
      <c r="B652" t="str">
        <f>IF($A652&gt;$A$1,"",VLOOKUP($A652,'NHL PBP'!$A:$L,8,FALSE))</f>
        <v/>
      </c>
      <c r="C652" t="str">
        <f>IF($A652&gt;$A$1,"",IF(B652&gt;3,5/24,20/24)-VLOOKUP($A652,'NHL PBP'!$A:$L,10,FALSE))</f>
        <v/>
      </c>
      <c r="D652" t="str">
        <f>IF($A652&gt;$A$1,"",VLOOKUP($A652,'NHL PBP'!$A:$L,11,FALSE))</f>
        <v/>
      </c>
      <c r="E652" t="str">
        <f>IF(AND(EXACT(D652,"FAC"),NOT(EXACT(MID(F652,9,3),"Neu"))),IF(OR(AND(EXACT(MID(F652,9,3),"Off"),EXACT(LEFT(F652,3),UPPER('Entry data'!$C$2))),AND(EXACT(MID(F652,9,3),"Def"),NOT(EXACT(LEFT(F652,3),UPPER('Entry data'!$C$2))))),"DZF","OZF"),"")</f>
        <v/>
      </c>
      <c r="F652" t="str">
        <f>IF($A652&gt;$A$1,"",VLOOKUP($A652,'NHL PBP'!$A:$L,12,FALSE))</f>
        <v/>
      </c>
      <c r="J652">
        <f>IF(EXACT('Entry data'!$C$3,"Road"),IF(ISBLANK(VLOOKUP(A652,'NHL PBP'!A:AH,21,FALSE)),3,IF(ISBLANK(VLOOKUP(A652,'NHL PBP'!A:AH,23,FALSE)),4,5)),IF(ISBLANK(VLOOKUP(A652,'NHL PBP'!A:AH,32,FALSE)),3,IF(ISBLANK(VLOOKUP(A652,'NHL PBP'!A:AH,34,FALSE)),4,5)))</f>
        <v>5</v>
      </c>
      <c r="K652">
        <f>IF(EXACT('Entry data'!$C$3,"Home"),IF(ISBLANK(VLOOKUP(A652,'NHL PBP'!A:AH,21,FALSE)),3,IF(ISBLANK(VLOOKUP(A652,'NHL PBP'!A:AH,23,FALSE)),4,5)),IF(ISBLANK(VLOOKUP(A652,'NHL PBP'!A:AH,32,FALSE)),3,IF(ISBLANK(VLOOKUP(A652,'NHL PBP'!A:AH,34,FALSE)),4,5)))</f>
        <v>5</v>
      </c>
      <c r="L652">
        <f>IF(OR(EXACT(D652,"C"),EXACT(D652,"P"),EXACT(D652,"D"),EXACT(D652,"T"),EXACT(D652,"X"),EXACT(E652,"DZF"),EXACT(E652,"OZF"),EXACT(D652,"N"),EXACT(D652,"F")),1,0)</f>
        <v>0</v>
      </c>
      <c r="M652" t="str">
        <f t="shared" si="40"/>
        <v/>
      </c>
      <c r="N652">
        <f t="shared" si="41"/>
        <v>0</v>
      </c>
      <c r="O652">
        <f t="shared" si="42"/>
        <v>0</v>
      </c>
      <c r="P652" t="str">
        <f t="shared" si="43"/>
        <v/>
      </c>
    </row>
    <row r="653" spans="1:16" x14ac:dyDescent="0.25">
      <c r="A653">
        <v>498</v>
      </c>
      <c r="B653" t="str">
        <f>IF($A653&gt;$A$1,"",VLOOKUP($A653,'NHL PBP'!$A:$L,8,FALSE))</f>
        <v/>
      </c>
      <c r="C653" t="str">
        <f>IF($A653&gt;$A$1,"",IF(B653&gt;3,5/24,20/24)-VLOOKUP($A653,'NHL PBP'!$A:$L,10,FALSE))</f>
        <v/>
      </c>
      <c r="D653" t="str">
        <f>IF($A653&gt;$A$1,"",VLOOKUP($A653,'NHL PBP'!$A:$L,11,FALSE))</f>
        <v/>
      </c>
      <c r="E653" t="str">
        <f>IF(AND(EXACT(D653,"FAC"),NOT(EXACT(MID(F653,9,3),"Neu"))),IF(OR(AND(EXACT(MID(F653,9,3),"Off"),EXACT(LEFT(F653,3),UPPER('Entry data'!$C$2))),AND(EXACT(MID(F653,9,3),"Def"),NOT(EXACT(LEFT(F653,3),UPPER('Entry data'!$C$2))))),"DZF","OZF"),"")</f>
        <v/>
      </c>
      <c r="F653" t="str">
        <f>IF($A653&gt;$A$1,"",VLOOKUP($A653,'NHL PBP'!$A:$L,12,FALSE))</f>
        <v/>
      </c>
      <c r="J653">
        <f>IF(EXACT('Entry data'!$C$3,"Road"),IF(ISBLANK(VLOOKUP(A653,'NHL PBP'!A:AH,21,FALSE)),3,IF(ISBLANK(VLOOKUP(A653,'NHL PBP'!A:AH,23,FALSE)),4,5)),IF(ISBLANK(VLOOKUP(A653,'NHL PBP'!A:AH,32,FALSE)),3,IF(ISBLANK(VLOOKUP(A653,'NHL PBP'!A:AH,34,FALSE)),4,5)))</f>
        <v>5</v>
      </c>
      <c r="K653">
        <f>IF(EXACT('Entry data'!$C$3,"Home"),IF(ISBLANK(VLOOKUP(A653,'NHL PBP'!A:AH,21,FALSE)),3,IF(ISBLANK(VLOOKUP(A653,'NHL PBP'!A:AH,23,FALSE)),4,5)),IF(ISBLANK(VLOOKUP(A653,'NHL PBP'!A:AH,32,FALSE)),3,IF(ISBLANK(VLOOKUP(A653,'NHL PBP'!A:AH,34,FALSE)),4,5)))</f>
        <v>5</v>
      </c>
      <c r="L653">
        <f>IF(OR(EXACT(D653,"C"),EXACT(D653,"P"),EXACT(D653,"D"),EXACT(D653,"T"),EXACT(D653,"X"),EXACT(E653,"DZF"),EXACT(E653,"OZF"),EXACT(D653,"N"),EXACT(D653,"F")),1,0)</f>
        <v>0</v>
      </c>
      <c r="M653" t="str">
        <f t="shared" si="40"/>
        <v/>
      </c>
      <c r="N653">
        <f t="shared" si="41"/>
        <v>0</v>
      </c>
      <c r="O653">
        <f t="shared" si="42"/>
        <v>0</v>
      </c>
      <c r="P653" t="str">
        <f t="shared" si="43"/>
        <v/>
      </c>
    </row>
    <row r="654" spans="1:16" x14ac:dyDescent="0.25">
      <c r="A654">
        <v>499</v>
      </c>
      <c r="B654" t="str">
        <f>IF($A654&gt;$A$1,"",VLOOKUP($A654,'NHL PBP'!$A:$L,8,FALSE))</f>
        <v/>
      </c>
      <c r="C654" t="str">
        <f>IF($A654&gt;$A$1,"",IF(B654&gt;3,5/24,20/24)-VLOOKUP($A654,'NHL PBP'!$A:$L,10,FALSE))</f>
        <v/>
      </c>
      <c r="D654" t="str">
        <f>IF($A654&gt;$A$1,"",VLOOKUP($A654,'NHL PBP'!$A:$L,11,FALSE))</f>
        <v/>
      </c>
      <c r="E654" t="str">
        <f>IF(AND(EXACT(D654,"FAC"),NOT(EXACT(MID(F654,9,3),"Neu"))),IF(OR(AND(EXACT(MID(F654,9,3),"Off"),EXACT(LEFT(F654,3),UPPER('Entry data'!$C$2))),AND(EXACT(MID(F654,9,3),"Def"),NOT(EXACT(LEFT(F654,3),UPPER('Entry data'!$C$2))))),"DZF","OZF"),"")</f>
        <v/>
      </c>
      <c r="F654" t="str">
        <f>IF($A654&gt;$A$1,"",VLOOKUP($A654,'NHL PBP'!$A:$L,12,FALSE))</f>
        <v/>
      </c>
      <c r="J654">
        <f>IF(EXACT('Entry data'!$C$3,"Road"),IF(ISBLANK(VLOOKUP(A654,'NHL PBP'!A:AH,21,FALSE)),3,IF(ISBLANK(VLOOKUP(A654,'NHL PBP'!A:AH,23,FALSE)),4,5)),IF(ISBLANK(VLOOKUP(A654,'NHL PBP'!A:AH,32,FALSE)),3,IF(ISBLANK(VLOOKUP(A654,'NHL PBP'!A:AH,34,FALSE)),4,5)))</f>
        <v>5</v>
      </c>
      <c r="K654">
        <f>IF(EXACT('Entry data'!$C$3,"Home"),IF(ISBLANK(VLOOKUP(A654,'NHL PBP'!A:AH,21,FALSE)),3,IF(ISBLANK(VLOOKUP(A654,'NHL PBP'!A:AH,23,FALSE)),4,5)),IF(ISBLANK(VLOOKUP(A654,'NHL PBP'!A:AH,32,FALSE)),3,IF(ISBLANK(VLOOKUP(A654,'NHL PBP'!A:AH,34,FALSE)),4,5)))</f>
        <v>5</v>
      </c>
      <c r="L654">
        <f>IF(OR(EXACT(D654,"C"),EXACT(D654,"P"),EXACT(D654,"D"),EXACT(D654,"T"),EXACT(D654,"X"),EXACT(E654,"DZF"),EXACT(E654,"OZF"),EXACT(D654,"N"),EXACT(D654,"F")),1,0)</f>
        <v>0</v>
      </c>
      <c r="M654" t="str">
        <f t="shared" si="40"/>
        <v/>
      </c>
      <c r="N654">
        <f t="shared" si="41"/>
        <v>0</v>
      </c>
      <c r="O654">
        <f t="shared" si="42"/>
        <v>0</v>
      </c>
      <c r="P654" t="str">
        <f t="shared" si="43"/>
        <v/>
      </c>
    </row>
    <row r="655" spans="1:16" x14ac:dyDescent="0.25">
      <c r="A655">
        <v>500</v>
      </c>
      <c r="B655" t="str">
        <f>IF($A655&gt;$A$1,"",VLOOKUP($A655,'NHL PBP'!$A:$L,8,FALSE))</f>
        <v/>
      </c>
      <c r="C655" t="str">
        <f>IF($A655&gt;$A$1,"",IF(B655&gt;3,5/24,20/24)-VLOOKUP($A655,'NHL PBP'!$A:$L,10,FALSE))</f>
        <v/>
      </c>
      <c r="D655" t="str">
        <f>IF($A655&gt;$A$1,"",VLOOKUP($A655,'NHL PBP'!$A:$L,11,FALSE))</f>
        <v/>
      </c>
      <c r="E655" t="str">
        <f>IF(AND(EXACT(D655,"FAC"),NOT(EXACT(MID(F655,9,3),"Neu"))),IF(OR(AND(EXACT(MID(F655,9,3),"Off"),EXACT(LEFT(F655,3),UPPER('Entry data'!$C$2))),AND(EXACT(MID(F655,9,3),"Def"),NOT(EXACT(LEFT(F655,3),UPPER('Entry data'!$C$2))))),"DZF","OZF"),"")</f>
        <v/>
      </c>
      <c r="F655" t="str">
        <f>IF($A655&gt;$A$1,"",VLOOKUP($A655,'NHL PBP'!$A:$L,12,FALSE))</f>
        <v/>
      </c>
      <c r="J655">
        <f>IF(EXACT('Entry data'!$C$3,"Road"),IF(ISBLANK(VLOOKUP(A655,'NHL PBP'!A:AH,21,FALSE)),3,IF(ISBLANK(VLOOKUP(A655,'NHL PBP'!A:AH,23,FALSE)),4,5)),IF(ISBLANK(VLOOKUP(A655,'NHL PBP'!A:AH,32,FALSE)),3,IF(ISBLANK(VLOOKUP(A655,'NHL PBP'!A:AH,34,FALSE)),4,5)))</f>
        <v>5</v>
      </c>
      <c r="K655">
        <f>IF(EXACT('Entry data'!$C$3,"Home"),IF(ISBLANK(VLOOKUP(A655,'NHL PBP'!A:AH,21,FALSE)),3,IF(ISBLANK(VLOOKUP(A655,'NHL PBP'!A:AH,23,FALSE)),4,5)),IF(ISBLANK(VLOOKUP(A655,'NHL PBP'!A:AH,32,FALSE)),3,IF(ISBLANK(VLOOKUP(A655,'NHL PBP'!A:AH,34,FALSE)),4,5)))</f>
        <v>5</v>
      </c>
      <c r="L655">
        <f>IF(OR(EXACT(D655,"C"),EXACT(D655,"P"),EXACT(D655,"D"),EXACT(D655,"T"),EXACT(D655,"X"),EXACT(E655,"DZF"),EXACT(E655,"OZF"),EXACT(D655,"N"),EXACT(D655,"F")),1,0)</f>
        <v>0</v>
      </c>
      <c r="M655" t="str">
        <f t="shared" si="40"/>
        <v/>
      </c>
      <c r="N655">
        <f t="shared" si="41"/>
        <v>0</v>
      </c>
      <c r="O655">
        <f t="shared" si="42"/>
        <v>0</v>
      </c>
      <c r="P655" t="str">
        <f t="shared" si="43"/>
        <v/>
      </c>
    </row>
    <row r="656" spans="1:16" x14ac:dyDescent="0.25">
      <c r="A656">
        <v>155</v>
      </c>
      <c r="B656" t="str">
        <f>IF(ISBLANK(VLOOKUP($A656,'Entry data'!$A:$K,2,FALSE)),"",VLOOKUP($A656,'Entry data'!$A:$K,2,FALSE))</f>
        <v/>
      </c>
      <c r="C656" t="str">
        <f>IF(ISBLANK(VLOOKUP($A656,'Entry data'!$A:$K,3,FALSE)),"",VLOOKUP($A656,'Entry data'!$A:$K,3,FALSE))</f>
        <v/>
      </c>
      <c r="D656" t="str">
        <f>IF(ISBLANK(VLOOKUP($A656,'Entry data'!$A:$K,4,FALSE)),"",VLOOKUP($A656,'Entry data'!$A:$K,4,FALSE))</f>
        <v/>
      </c>
      <c r="E656" t="str">
        <f>IF(ISBLANK(VLOOKUP($A656,'Entry data'!$A:$K,5,FALSE)),"",VLOOKUP($A656,'Entry data'!$A:$K,5,FALSE))</f>
        <v/>
      </c>
      <c r="F656" t="str">
        <f>IF(ISBLANK(VLOOKUP($A656,'Entry data'!$A:$K,6,FALSE)),"",VLOOKUP($A656,'Entry data'!$A:$K,6,FALSE))</f>
        <v/>
      </c>
      <c r="G656" t="str">
        <f>IF(ISBLANK(VLOOKUP($A656,'Entry data'!$A:$K,7,FALSE)),"",VLOOKUP($A656,'Entry data'!$A:$K,7,FALSE))</f>
        <v/>
      </c>
      <c r="H656" t="str">
        <f>IF(ISBLANK(VLOOKUP($A656,'Entry data'!$A:$K,8,FALSE)),"",VLOOKUP($A656,'Entry data'!$A:$K,8,FALSE))</f>
        <v/>
      </c>
      <c r="I656" t="str">
        <f>IF(ISBLANK(VLOOKUP($A656,'Entry data'!$A:$K,9,FALSE)),"",VLOOKUP($A656,'Entry data'!$A:$K,9,FALSE))</f>
        <v/>
      </c>
      <c r="J656" t="str">
        <f>IF(ISBLANK(VLOOKUP($A656,'Entry data'!$A:$K,10,FALSE)),"",VLOOKUP($A656,'Entry data'!$A:$K,10,FALSE))</f>
        <v/>
      </c>
      <c r="K656" t="str">
        <f>IF(ISBLANK(VLOOKUP($A656,'Entry data'!$A:$K,11,FALSE)),"",VLOOKUP($A656,'Entry data'!$A:$K,11,FALSE))</f>
        <v/>
      </c>
      <c r="L656">
        <f>IF(OR(EXACT(D656,"C"),EXACT(D656,"P"),EXACT(D656,"D"),EXACT(D656,"T"),EXACT(D656,"X"),EXACT(E656,"DZF"),EXACT(E656,"OZF"),EXACT(D656,"N"),EXACT(D656,"F")),1,0)</f>
        <v>0</v>
      </c>
      <c r="M656" t="str">
        <f t="shared" si="40"/>
        <v/>
      </c>
      <c r="N656">
        <f t="shared" si="41"/>
        <v>0</v>
      </c>
      <c r="O656">
        <f t="shared" si="42"/>
        <v>0</v>
      </c>
      <c r="P656" t="str">
        <f t="shared" si="43"/>
        <v/>
      </c>
    </row>
    <row r="657" spans="1:16" x14ac:dyDescent="0.25">
      <c r="A657">
        <v>156</v>
      </c>
      <c r="B657" t="str">
        <f>IF(ISBLANK(VLOOKUP($A657,'Entry data'!$A:$K,2,FALSE)),"",VLOOKUP($A657,'Entry data'!$A:$K,2,FALSE))</f>
        <v/>
      </c>
      <c r="C657" t="str">
        <f>IF(ISBLANK(VLOOKUP($A657,'Entry data'!$A:$K,3,FALSE)),"",VLOOKUP($A657,'Entry data'!$A:$K,3,FALSE))</f>
        <v/>
      </c>
      <c r="D657" t="str">
        <f>IF(ISBLANK(VLOOKUP($A657,'Entry data'!$A:$K,4,FALSE)),"",VLOOKUP($A657,'Entry data'!$A:$K,4,FALSE))</f>
        <v/>
      </c>
      <c r="E657" t="str">
        <f>IF(ISBLANK(VLOOKUP($A657,'Entry data'!$A:$K,5,FALSE)),"",VLOOKUP($A657,'Entry data'!$A:$K,5,FALSE))</f>
        <v/>
      </c>
      <c r="F657" t="str">
        <f>IF(ISBLANK(VLOOKUP($A657,'Entry data'!$A:$K,6,FALSE)),"",VLOOKUP($A657,'Entry data'!$A:$K,6,FALSE))</f>
        <v/>
      </c>
      <c r="G657" t="str">
        <f>IF(ISBLANK(VLOOKUP($A657,'Entry data'!$A:$K,7,FALSE)),"",VLOOKUP($A657,'Entry data'!$A:$K,7,FALSE))</f>
        <v/>
      </c>
      <c r="H657" t="str">
        <f>IF(ISBLANK(VLOOKUP($A657,'Entry data'!$A:$K,8,FALSE)),"",VLOOKUP($A657,'Entry data'!$A:$K,8,FALSE))</f>
        <v/>
      </c>
      <c r="I657" t="str">
        <f>IF(ISBLANK(VLOOKUP($A657,'Entry data'!$A:$K,9,FALSE)),"",VLOOKUP($A657,'Entry data'!$A:$K,9,FALSE))</f>
        <v/>
      </c>
      <c r="J657" t="str">
        <f>IF(ISBLANK(VLOOKUP($A657,'Entry data'!$A:$K,10,FALSE)),"",VLOOKUP($A657,'Entry data'!$A:$K,10,FALSE))</f>
        <v/>
      </c>
      <c r="K657" t="str">
        <f>IF(ISBLANK(VLOOKUP($A657,'Entry data'!$A:$K,11,FALSE)),"",VLOOKUP($A657,'Entry data'!$A:$K,11,FALSE))</f>
        <v/>
      </c>
      <c r="L657">
        <f>IF(OR(EXACT(D657,"C"),EXACT(D657,"P"),EXACT(D657,"D"),EXACT(D657,"T"),EXACT(D657,"X"),EXACT(E657,"DZF"),EXACT(E657,"OZF"),EXACT(D657,"N"),EXACT(D657,"F")),1,0)</f>
        <v>0</v>
      </c>
      <c r="M657" t="str">
        <f t="shared" si="40"/>
        <v/>
      </c>
      <c r="N657">
        <f t="shared" si="41"/>
        <v>0</v>
      </c>
      <c r="O657">
        <f t="shared" si="42"/>
        <v>0</v>
      </c>
      <c r="P657" t="str">
        <f t="shared" si="43"/>
        <v/>
      </c>
    </row>
    <row r="658" spans="1:16" x14ac:dyDescent="0.25">
      <c r="A658">
        <v>157</v>
      </c>
      <c r="B658" t="str">
        <f>IF(ISBLANK(VLOOKUP($A658,'Entry data'!$A:$K,2,FALSE)),"",VLOOKUP($A658,'Entry data'!$A:$K,2,FALSE))</f>
        <v/>
      </c>
      <c r="C658" t="str">
        <f>IF(ISBLANK(VLOOKUP($A658,'Entry data'!$A:$K,3,FALSE)),"",VLOOKUP($A658,'Entry data'!$A:$K,3,FALSE))</f>
        <v/>
      </c>
      <c r="D658" t="str">
        <f>IF(ISBLANK(VLOOKUP($A658,'Entry data'!$A:$K,4,FALSE)),"",VLOOKUP($A658,'Entry data'!$A:$K,4,FALSE))</f>
        <v/>
      </c>
      <c r="E658" t="str">
        <f>IF(ISBLANK(VLOOKUP($A658,'Entry data'!$A:$K,5,FALSE)),"",VLOOKUP($A658,'Entry data'!$A:$K,5,FALSE))</f>
        <v/>
      </c>
      <c r="F658" t="str">
        <f>IF(ISBLANK(VLOOKUP($A658,'Entry data'!$A:$K,6,FALSE)),"",VLOOKUP($A658,'Entry data'!$A:$K,6,FALSE))</f>
        <v/>
      </c>
      <c r="G658" t="str">
        <f>IF(ISBLANK(VLOOKUP($A658,'Entry data'!$A:$K,7,FALSE)),"",VLOOKUP($A658,'Entry data'!$A:$K,7,FALSE))</f>
        <v/>
      </c>
      <c r="H658" t="str">
        <f>IF(ISBLANK(VLOOKUP($A658,'Entry data'!$A:$K,8,FALSE)),"",VLOOKUP($A658,'Entry data'!$A:$K,8,FALSE))</f>
        <v/>
      </c>
      <c r="I658" t="str">
        <f>IF(ISBLANK(VLOOKUP($A658,'Entry data'!$A:$K,9,FALSE)),"",VLOOKUP($A658,'Entry data'!$A:$K,9,FALSE))</f>
        <v/>
      </c>
      <c r="J658" t="str">
        <f>IF(ISBLANK(VLOOKUP($A658,'Entry data'!$A:$K,10,FALSE)),"",VLOOKUP($A658,'Entry data'!$A:$K,10,FALSE))</f>
        <v/>
      </c>
      <c r="K658" t="str">
        <f>IF(ISBLANK(VLOOKUP($A658,'Entry data'!$A:$K,11,FALSE)),"",VLOOKUP($A658,'Entry data'!$A:$K,11,FALSE))</f>
        <v/>
      </c>
      <c r="L658">
        <f>IF(OR(EXACT(D658,"C"),EXACT(D658,"P"),EXACT(D658,"D"),EXACT(D658,"T"),EXACT(D658,"X"),EXACT(E658,"DZF"),EXACT(E658,"OZF"),EXACT(D658,"N"),EXACT(D658,"F")),1,0)</f>
        <v>0</v>
      </c>
      <c r="M658" t="str">
        <f t="shared" si="40"/>
        <v/>
      </c>
      <c r="N658">
        <f t="shared" si="41"/>
        <v>0</v>
      </c>
      <c r="O658">
        <f t="shared" si="42"/>
        <v>0</v>
      </c>
      <c r="P658" t="str">
        <f t="shared" si="43"/>
        <v/>
      </c>
    </row>
    <row r="659" spans="1:16" x14ac:dyDescent="0.25">
      <c r="A659">
        <v>158</v>
      </c>
      <c r="B659" t="str">
        <f>IF(ISBLANK(VLOOKUP($A659,'Entry data'!$A:$K,2,FALSE)),"",VLOOKUP($A659,'Entry data'!$A:$K,2,FALSE))</f>
        <v/>
      </c>
      <c r="C659" t="str">
        <f>IF(ISBLANK(VLOOKUP($A659,'Entry data'!$A:$K,3,FALSE)),"",VLOOKUP($A659,'Entry data'!$A:$K,3,FALSE))</f>
        <v/>
      </c>
      <c r="D659" t="str">
        <f>IF(ISBLANK(VLOOKUP($A659,'Entry data'!$A:$K,4,FALSE)),"",VLOOKUP($A659,'Entry data'!$A:$K,4,FALSE))</f>
        <v/>
      </c>
      <c r="E659" t="str">
        <f>IF(ISBLANK(VLOOKUP($A659,'Entry data'!$A:$K,5,FALSE)),"",VLOOKUP($A659,'Entry data'!$A:$K,5,FALSE))</f>
        <v/>
      </c>
      <c r="F659" t="str">
        <f>IF(ISBLANK(VLOOKUP($A659,'Entry data'!$A:$K,6,FALSE)),"",VLOOKUP($A659,'Entry data'!$A:$K,6,FALSE))</f>
        <v/>
      </c>
      <c r="G659" t="str">
        <f>IF(ISBLANK(VLOOKUP($A659,'Entry data'!$A:$K,7,FALSE)),"",VLOOKUP($A659,'Entry data'!$A:$K,7,FALSE))</f>
        <v/>
      </c>
      <c r="H659" t="str">
        <f>IF(ISBLANK(VLOOKUP($A659,'Entry data'!$A:$K,8,FALSE)),"",VLOOKUP($A659,'Entry data'!$A:$K,8,FALSE))</f>
        <v/>
      </c>
      <c r="I659" t="str">
        <f>IF(ISBLANK(VLOOKUP($A659,'Entry data'!$A:$K,9,FALSE)),"",VLOOKUP($A659,'Entry data'!$A:$K,9,FALSE))</f>
        <v/>
      </c>
      <c r="J659" t="str">
        <f>IF(ISBLANK(VLOOKUP($A659,'Entry data'!$A:$K,10,FALSE)),"",VLOOKUP($A659,'Entry data'!$A:$K,10,FALSE))</f>
        <v/>
      </c>
      <c r="K659" t="str">
        <f>IF(ISBLANK(VLOOKUP($A659,'Entry data'!$A:$K,11,FALSE)),"",VLOOKUP($A659,'Entry data'!$A:$K,11,FALSE))</f>
        <v/>
      </c>
      <c r="L659">
        <f>IF(OR(EXACT(D659,"C"),EXACT(D659,"P"),EXACT(D659,"D"),EXACT(D659,"T"),EXACT(D659,"X"),EXACT(E659,"DZF"),EXACT(E659,"OZF"),EXACT(D659,"N"),EXACT(D659,"F")),1,0)</f>
        <v>0</v>
      </c>
      <c r="M659" t="str">
        <f t="shared" si="40"/>
        <v/>
      </c>
      <c r="N659">
        <f t="shared" si="41"/>
        <v>0</v>
      </c>
      <c r="O659">
        <f t="shared" si="42"/>
        <v>0</v>
      </c>
      <c r="P659" t="str">
        <f t="shared" si="43"/>
        <v/>
      </c>
    </row>
    <row r="660" spans="1:16" x14ac:dyDescent="0.25">
      <c r="A660">
        <v>159</v>
      </c>
      <c r="B660" t="str">
        <f>IF(ISBLANK(VLOOKUP($A660,'Entry data'!$A:$K,2,FALSE)),"",VLOOKUP($A660,'Entry data'!$A:$K,2,FALSE))</f>
        <v/>
      </c>
      <c r="C660" t="str">
        <f>IF(ISBLANK(VLOOKUP($A660,'Entry data'!$A:$K,3,FALSE)),"",VLOOKUP($A660,'Entry data'!$A:$K,3,FALSE))</f>
        <v/>
      </c>
      <c r="D660" t="str">
        <f>IF(ISBLANK(VLOOKUP($A660,'Entry data'!$A:$K,4,FALSE)),"",VLOOKUP($A660,'Entry data'!$A:$K,4,FALSE))</f>
        <v/>
      </c>
      <c r="E660" t="str">
        <f>IF(ISBLANK(VLOOKUP($A660,'Entry data'!$A:$K,5,FALSE)),"",VLOOKUP($A660,'Entry data'!$A:$K,5,FALSE))</f>
        <v/>
      </c>
      <c r="F660" t="str">
        <f>IF(ISBLANK(VLOOKUP($A660,'Entry data'!$A:$K,6,FALSE)),"",VLOOKUP($A660,'Entry data'!$A:$K,6,FALSE))</f>
        <v/>
      </c>
      <c r="G660" t="str">
        <f>IF(ISBLANK(VLOOKUP($A660,'Entry data'!$A:$K,7,FALSE)),"",VLOOKUP($A660,'Entry data'!$A:$K,7,FALSE))</f>
        <v/>
      </c>
      <c r="H660" t="str">
        <f>IF(ISBLANK(VLOOKUP($A660,'Entry data'!$A:$K,8,FALSE)),"",VLOOKUP($A660,'Entry data'!$A:$K,8,FALSE))</f>
        <v/>
      </c>
      <c r="I660" t="str">
        <f>IF(ISBLANK(VLOOKUP($A660,'Entry data'!$A:$K,9,FALSE)),"",VLOOKUP($A660,'Entry data'!$A:$K,9,FALSE))</f>
        <v/>
      </c>
      <c r="J660" t="str">
        <f>IF(ISBLANK(VLOOKUP($A660,'Entry data'!$A:$K,10,FALSE)),"",VLOOKUP($A660,'Entry data'!$A:$K,10,FALSE))</f>
        <v/>
      </c>
      <c r="K660" t="str">
        <f>IF(ISBLANK(VLOOKUP($A660,'Entry data'!$A:$K,11,FALSE)),"",VLOOKUP($A660,'Entry data'!$A:$K,11,FALSE))</f>
        <v/>
      </c>
      <c r="L660">
        <f>IF(OR(EXACT(D660,"C"),EXACT(D660,"P"),EXACT(D660,"D"),EXACT(D660,"T"),EXACT(D660,"X"),EXACT(E660,"DZF"),EXACT(E660,"OZF"),EXACT(D660,"N"),EXACT(D660,"F")),1,0)</f>
        <v>0</v>
      </c>
      <c r="M660" t="str">
        <f t="shared" si="40"/>
        <v/>
      </c>
      <c r="N660">
        <f t="shared" si="41"/>
        <v>0</v>
      </c>
      <c r="O660">
        <f t="shared" si="42"/>
        <v>0</v>
      </c>
      <c r="P660" t="str">
        <f t="shared" si="43"/>
        <v/>
      </c>
    </row>
    <row r="661" spans="1:16" x14ac:dyDescent="0.25">
      <c r="A661">
        <v>160</v>
      </c>
      <c r="B661" t="str">
        <f>IF(ISBLANK(VLOOKUP($A661,'Entry data'!$A:$K,2,FALSE)),"",VLOOKUP($A661,'Entry data'!$A:$K,2,FALSE))</f>
        <v/>
      </c>
      <c r="C661" t="str">
        <f>IF(ISBLANK(VLOOKUP($A661,'Entry data'!$A:$K,3,FALSE)),"",VLOOKUP($A661,'Entry data'!$A:$K,3,FALSE))</f>
        <v/>
      </c>
      <c r="D661" t="str">
        <f>IF(ISBLANK(VLOOKUP($A661,'Entry data'!$A:$K,4,FALSE)),"",VLOOKUP($A661,'Entry data'!$A:$K,4,FALSE))</f>
        <v/>
      </c>
      <c r="E661" t="str">
        <f>IF(ISBLANK(VLOOKUP($A661,'Entry data'!$A:$K,5,FALSE)),"",VLOOKUP($A661,'Entry data'!$A:$K,5,FALSE))</f>
        <v/>
      </c>
      <c r="F661" t="str">
        <f>IF(ISBLANK(VLOOKUP($A661,'Entry data'!$A:$K,6,FALSE)),"",VLOOKUP($A661,'Entry data'!$A:$K,6,FALSE))</f>
        <v/>
      </c>
      <c r="G661" t="str">
        <f>IF(ISBLANK(VLOOKUP($A661,'Entry data'!$A:$K,7,FALSE)),"",VLOOKUP($A661,'Entry data'!$A:$K,7,FALSE))</f>
        <v/>
      </c>
      <c r="H661" t="str">
        <f>IF(ISBLANK(VLOOKUP($A661,'Entry data'!$A:$K,8,FALSE)),"",VLOOKUP($A661,'Entry data'!$A:$K,8,FALSE))</f>
        <v/>
      </c>
      <c r="I661" t="str">
        <f>IF(ISBLANK(VLOOKUP($A661,'Entry data'!$A:$K,9,FALSE)),"",VLOOKUP($A661,'Entry data'!$A:$K,9,FALSE))</f>
        <v/>
      </c>
      <c r="J661" t="str">
        <f>IF(ISBLANK(VLOOKUP($A661,'Entry data'!$A:$K,10,FALSE)),"",VLOOKUP($A661,'Entry data'!$A:$K,10,FALSE))</f>
        <v/>
      </c>
      <c r="K661" t="str">
        <f>IF(ISBLANK(VLOOKUP($A661,'Entry data'!$A:$K,11,FALSE)),"",VLOOKUP($A661,'Entry data'!$A:$K,11,FALSE))</f>
        <v/>
      </c>
      <c r="L661">
        <f>IF(OR(EXACT(D661,"C"),EXACT(D661,"P"),EXACT(D661,"D"),EXACT(D661,"T"),EXACT(D661,"X"),EXACT(E661,"DZF"),EXACT(E661,"OZF"),EXACT(D661,"N"),EXACT(D661,"F")),1,0)</f>
        <v>0</v>
      </c>
      <c r="M661" t="str">
        <f t="shared" si="40"/>
        <v/>
      </c>
      <c r="N661">
        <f t="shared" si="41"/>
        <v>0</v>
      </c>
      <c r="O661">
        <f t="shared" si="42"/>
        <v>0</v>
      </c>
      <c r="P661" t="str">
        <f t="shared" si="43"/>
        <v/>
      </c>
    </row>
    <row r="662" spans="1:16" x14ac:dyDescent="0.25">
      <c r="A662">
        <v>161</v>
      </c>
      <c r="B662" t="str">
        <f>IF(ISBLANK(VLOOKUP($A662,'Entry data'!$A:$K,2,FALSE)),"",VLOOKUP($A662,'Entry data'!$A:$K,2,FALSE))</f>
        <v/>
      </c>
      <c r="C662" t="str">
        <f>IF(ISBLANK(VLOOKUP($A662,'Entry data'!$A:$K,3,FALSE)),"",VLOOKUP($A662,'Entry data'!$A:$K,3,FALSE))</f>
        <v/>
      </c>
      <c r="D662" t="str">
        <f>IF(ISBLANK(VLOOKUP($A662,'Entry data'!$A:$K,4,FALSE)),"",VLOOKUP($A662,'Entry data'!$A:$K,4,FALSE))</f>
        <v/>
      </c>
      <c r="E662" t="str">
        <f>IF(ISBLANK(VLOOKUP($A662,'Entry data'!$A:$K,5,FALSE)),"",VLOOKUP($A662,'Entry data'!$A:$K,5,FALSE))</f>
        <v/>
      </c>
      <c r="F662" t="str">
        <f>IF(ISBLANK(VLOOKUP($A662,'Entry data'!$A:$K,6,FALSE)),"",VLOOKUP($A662,'Entry data'!$A:$K,6,FALSE))</f>
        <v/>
      </c>
      <c r="G662" t="str">
        <f>IF(ISBLANK(VLOOKUP($A662,'Entry data'!$A:$K,7,FALSE)),"",VLOOKUP($A662,'Entry data'!$A:$K,7,FALSE))</f>
        <v/>
      </c>
      <c r="H662" t="str">
        <f>IF(ISBLANK(VLOOKUP($A662,'Entry data'!$A:$K,8,FALSE)),"",VLOOKUP($A662,'Entry data'!$A:$K,8,FALSE))</f>
        <v/>
      </c>
      <c r="I662" t="str">
        <f>IF(ISBLANK(VLOOKUP($A662,'Entry data'!$A:$K,9,FALSE)),"",VLOOKUP($A662,'Entry data'!$A:$K,9,FALSE))</f>
        <v/>
      </c>
      <c r="J662" t="str">
        <f>IF(ISBLANK(VLOOKUP($A662,'Entry data'!$A:$K,10,FALSE)),"",VLOOKUP($A662,'Entry data'!$A:$K,10,FALSE))</f>
        <v/>
      </c>
      <c r="K662" t="str">
        <f>IF(ISBLANK(VLOOKUP($A662,'Entry data'!$A:$K,11,FALSE)),"",VLOOKUP($A662,'Entry data'!$A:$K,11,FALSE))</f>
        <v/>
      </c>
      <c r="L662">
        <f>IF(OR(EXACT(D662,"C"),EXACT(D662,"P"),EXACT(D662,"D"),EXACT(D662,"T"),EXACT(D662,"X"),EXACT(E662,"DZF"),EXACT(E662,"OZF"),EXACT(D662,"N"),EXACT(D662,"F")),1,0)</f>
        <v>0</v>
      </c>
      <c r="M662" t="str">
        <f t="shared" si="40"/>
        <v/>
      </c>
      <c r="N662">
        <f t="shared" si="41"/>
        <v>0</v>
      </c>
      <c r="O662">
        <f t="shared" si="42"/>
        <v>0</v>
      </c>
      <c r="P662" t="str">
        <f t="shared" si="43"/>
        <v/>
      </c>
    </row>
    <row r="663" spans="1:16" x14ac:dyDescent="0.25">
      <c r="A663">
        <v>162</v>
      </c>
      <c r="B663" t="str">
        <f>IF(ISBLANK(VLOOKUP($A663,'Entry data'!$A:$K,2,FALSE)),"",VLOOKUP($A663,'Entry data'!$A:$K,2,FALSE))</f>
        <v/>
      </c>
      <c r="C663" t="str">
        <f>IF(ISBLANK(VLOOKUP($A663,'Entry data'!$A:$K,3,FALSE)),"",VLOOKUP($A663,'Entry data'!$A:$K,3,FALSE))</f>
        <v/>
      </c>
      <c r="D663" t="str">
        <f>IF(ISBLANK(VLOOKUP($A663,'Entry data'!$A:$K,4,FALSE)),"",VLOOKUP($A663,'Entry data'!$A:$K,4,FALSE))</f>
        <v/>
      </c>
      <c r="E663" t="str">
        <f>IF(ISBLANK(VLOOKUP($A663,'Entry data'!$A:$K,5,FALSE)),"",VLOOKUP($A663,'Entry data'!$A:$K,5,FALSE))</f>
        <v/>
      </c>
      <c r="F663" t="str">
        <f>IF(ISBLANK(VLOOKUP($A663,'Entry data'!$A:$K,6,FALSE)),"",VLOOKUP($A663,'Entry data'!$A:$K,6,FALSE))</f>
        <v/>
      </c>
      <c r="G663" t="str">
        <f>IF(ISBLANK(VLOOKUP($A663,'Entry data'!$A:$K,7,FALSE)),"",VLOOKUP($A663,'Entry data'!$A:$K,7,FALSE))</f>
        <v/>
      </c>
      <c r="H663" t="str">
        <f>IF(ISBLANK(VLOOKUP($A663,'Entry data'!$A:$K,8,FALSE)),"",VLOOKUP($A663,'Entry data'!$A:$K,8,FALSE))</f>
        <v/>
      </c>
      <c r="I663" t="str">
        <f>IF(ISBLANK(VLOOKUP($A663,'Entry data'!$A:$K,9,FALSE)),"",VLOOKUP($A663,'Entry data'!$A:$K,9,FALSE))</f>
        <v/>
      </c>
      <c r="J663" t="str">
        <f>IF(ISBLANK(VLOOKUP($A663,'Entry data'!$A:$K,10,FALSE)),"",VLOOKUP($A663,'Entry data'!$A:$K,10,FALSE))</f>
        <v/>
      </c>
      <c r="K663" t="str">
        <f>IF(ISBLANK(VLOOKUP($A663,'Entry data'!$A:$K,11,FALSE)),"",VLOOKUP($A663,'Entry data'!$A:$K,11,FALSE))</f>
        <v/>
      </c>
      <c r="L663">
        <f>IF(OR(EXACT(D663,"C"),EXACT(D663,"P"),EXACT(D663,"D"),EXACT(D663,"T"),EXACT(D663,"X"),EXACT(E663,"DZF"),EXACT(E663,"OZF"),EXACT(D663,"N"),EXACT(D663,"F")),1,0)</f>
        <v>0</v>
      </c>
      <c r="M663" t="str">
        <f t="shared" si="40"/>
        <v/>
      </c>
      <c r="N663">
        <f t="shared" si="41"/>
        <v>0</v>
      </c>
      <c r="O663">
        <f t="shared" si="42"/>
        <v>0</v>
      </c>
      <c r="P663" t="str">
        <f t="shared" si="43"/>
        <v/>
      </c>
    </row>
    <row r="664" spans="1:16" x14ac:dyDescent="0.25">
      <c r="A664">
        <v>163</v>
      </c>
      <c r="B664" t="str">
        <f>IF(ISBLANK(VLOOKUP($A664,'Entry data'!$A:$K,2,FALSE)),"",VLOOKUP($A664,'Entry data'!$A:$K,2,FALSE))</f>
        <v/>
      </c>
      <c r="C664" t="str">
        <f>IF(ISBLANK(VLOOKUP($A664,'Entry data'!$A:$K,3,FALSE)),"",VLOOKUP($A664,'Entry data'!$A:$K,3,FALSE))</f>
        <v/>
      </c>
      <c r="D664" t="str">
        <f>IF(ISBLANK(VLOOKUP($A664,'Entry data'!$A:$K,4,FALSE)),"",VLOOKUP($A664,'Entry data'!$A:$K,4,FALSE))</f>
        <v/>
      </c>
      <c r="E664" t="str">
        <f>IF(ISBLANK(VLOOKUP($A664,'Entry data'!$A:$K,5,FALSE)),"",VLOOKUP($A664,'Entry data'!$A:$K,5,FALSE))</f>
        <v/>
      </c>
      <c r="F664" t="str">
        <f>IF(ISBLANK(VLOOKUP($A664,'Entry data'!$A:$K,6,FALSE)),"",VLOOKUP($A664,'Entry data'!$A:$K,6,FALSE))</f>
        <v/>
      </c>
      <c r="G664" t="str">
        <f>IF(ISBLANK(VLOOKUP($A664,'Entry data'!$A:$K,7,FALSE)),"",VLOOKUP($A664,'Entry data'!$A:$K,7,FALSE))</f>
        <v/>
      </c>
      <c r="H664" t="str">
        <f>IF(ISBLANK(VLOOKUP($A664,'Entry data'!$A:$K,8,FALSE)),"",VLOOKUP($A664,'Entry data'!$A:$K,8,FALSE))</f>
        <v/>
      </c>
      <c r="I664" t="str">
        <f>IF(ISBLANK(VLOOKUP($A664,'Entry data'!$A:$K,9,FALSE)),"",VLOOKUP($A664,'Entry data'!$A:$K,9,FALSE))</f>
        <v/>
      </c>
      <c r="J664" t="str">
        <f>IF(ISBLANK(VLOOKUP($A664,'Entry data'!$A:$K,10,FALSE)),"",VLOOKUP($A664,'Entry data'!$A:$K,10,FALSE))</f>
        <v/>
      </c>
      <c r="K664" t="str">
        <f>IF(ISBLANK(VLOOKUP($A664,'Entry data'!$A:$K,11,FALSE)),"",VLOOKUP($A664,'Entry data'!$A:$K,11,FALSE))</f>
        <v/>
      </c>
      <c r="L664">
        <f>IF(OR(EXACT(D664,"C"),EXACT(D664,"P"),EXACT(D664,"D"),EXACT(D664,"T"),EXACT(D664,"X"),EXACT(E664,"DZF"),EXACT(E664,"OZF"),EXACT(D664,"N"),EXACT(D664,"F")),1,0)</f>
        <v>0</v>
      </c>
      <c r="M664" t="str">
        <f t="shared" si="40"/>
        <v/>
      </c>
      <c r="N664">
        <f t="shared" si="41"/>
        <v>0</v>
      </c>
      <c r="O664">
        <f t="shared" si="42"/>
        <v>0</v>
      </c>
      <c r="P664" t="str">
        <f t="shared" si="43"/>
        <v/>
      </c>
    </row>
    <row r="665" spans="1:16" x14ac:dyDescent="0.25">
      <c r="A665">
        <v>164</v>
      </c>
      <c r="B665" t="str">
        <f>IF(ISBLANK(VLOOKUP($A665,'Entry data'!$A:$K,2,FALSE)),"",VLOOKUP($A665,'Entry data'!$A:$K,2,FALSE))</f>
        <v/>
      </c>
      <c r="C665" t="str">
        <f>IF(ISBLANK(VLOOKUP($A665,'Entry data'!$A:$K,3,FALSE)),"",VLOOKUP($A665,'Entry data'!$A:$K,3,FALSE))</f>
        <v/>
      </c>
      <c r="D665" t="str">
        <f>IF(ISBLANK(VLOOKUP($A665,'Entry data'!$A:$K,4,FALSE)),"",VLOOKUP($A665,'Entry data'!$A:$K,4,FALSE))</f>
        <v/>
      </c>
      <c r="E665" t="str">
        <f>IF(ISBLANK(VLOOKUP($A665,'Entry data'!$A:$K,5,FALSE)),"",VLOOKUP($A665,'Entry data'!$A:$K,5,FALSE))</f>
        <v/>
      </c>
      <c r="F665" t="str">
        <f>IF(ISBLANK(VLOOKUP($A665,'Entry data'!$A:$K,6,FALSE)),"",VLOOKUP($A665,'Entry data'!$A:$K,6,FALSE))</f>
        <v/>
      </c>
      <c r="G665" t="str">
        <f>IF(ISBLANK(VLOOKUP($A665,'Entry data'!$A:$K,7,FALSE)),"",VLOOKUP($A665,'Entry data'!$A:$K,7,FALSE))</f>
        <v/>
      </c>
      <c r="H665" t="str">
        <f>IF(ISBLANK(VLOOKUP($A665,'Entry data'!$A:$K,8,FALSE)),"",VLOOKUP($A665,'Entry data'!$A:$K,8,FALSE))</f>
        <v/>
      </c>
      <c r="I665" t="str">
        <f>IF(ISBLANK(VLOOKUP($A665,'Entry data'!$A:$K,9,FALSE)),"",VLOOKUP($A665,'Entry data'!$A:$K,9,FALSE))</f>
        <v/>
      </c>
      <c r="J665" t="str">
        <f>IF(ISBLANK(VLOOKUP($A665,'Entry data'!$A:$K,10,FALSE)),"",VLOOKUP($A665,'Entry data'!$A:$K,10,FALSE))</f>
        <v/>
      </c>
      <c r="K665" t="str">
        <f>IF(ISBLANK(VLOOKUP($A665,'Entry data'!$A:$K,11,FALSE)),"",VLOOKUP($A665,'Entry data'!$A:$K,11,FALSE))</f>
        <v/>
      </c>
      <c r="L665">
        <f>IF(OR(EXACT(D665,"C"),EXACT(D665,"P"),EXACT(D665,"D"),EXACT(D665,"T"),EXACT(D665,"X"),EXACT(E665,"DZF"),EXACT(E665,"OZF"),EXACT(D665,"N"),EXACT(D665,"F")),1,0)</f>
        <v>0</v>
      </c>
      <c r="M665" t="str">
        <f t="shared" si="40"/>
        <v/>
      </c>
      <c r="N665">
        <f t="shared" si="41"/>
        <v>0</v>
      </c>
      <c r="O665">
        <f t="shared" si="42"/>
        <v>0</v>
      </c>
      <c r="P665" t="str">
        <f t="shared" si="43"/>
        <v/>
      </c>
    </row>
    <row r="666" spans="1:16" x14ac:dyDescent="0.25">
      <c r="A666">
        <v>165</v>
      </c>
      <c r="B666" t="str">
        <f>IF(ISBLANK(VLOOKUP($A666,'Entry data'!$A:$K,2,FALSE)),"",VLOOKUP($A666,'Entry data'!$A:$K,2,FALSE))</f>
        <v/>
      </c>
      <c r="C666" t="str">
        <f>IF(ISBLANK(VLOOKUP($A666,'Entry data'!$A:$K,3,FALSE)),"",VLOOKUP($A666,'Entry data'!$A:$K,3,FALSE))</f>
        <v/>
      </c>
      <c r="D666" t="str">
        <f>IF(ISBLANK(VLOOKUP($A666,'Entry data'!$A:$K,4,FALSE)),"",VLOOKUP($A666,'Entry data'!$A:$K,4,FALSE))</f>
        <v/>
      </c>
      <c r="E666" t="str">
        <f>IF(ISBLANK(VLOOKUP($A666,'Entry data'!$A:$K,5,FALSE)),"",VLOOKUP($A666,'Entry data'!$A:$K,5,FALSE))</f>
        <v/>
      </c>
      <c r="F666" t="str">
        <f>IF(ISBLANK(VLOOKUP($A666,'Entry data'!$A:$K,6,FALSE)),"",VLOOKUP($A666,'Entry data'!$A:$K,6,FALSE))</f>
        <v/>
      </c>
      <c r="G666" t="str">
        <f>IF(ISBLANK(VLOOKUP($A666,'Entry data'!$A:$K,7,FALSE)),"",VLOOKUP($A666,'Entry data'!$A:$K,7,FALSE))</f>
        <v/>
      </c>
      <c r="H666" t="str">
        <f>IF(ISBLANK(VLOOKUP($A666,'Entry data'!$A:$K,8,FALSE)),"",VLOOKUP($A666,'Entry data'!$A:$K,8,FALSE))</f>
        <v/>
      </c>
      <c r="I666" t="str">
        <f>IF(ISBLANK(VLOOKUP($A666,'Entry data'!$A:$K,9,FALSE)),"",VLOOKUP($A666,'Entry data'!$A:$K,9,FALSE))</f>
        <v/>
      </c>
      <c r="J666" t="str">
        <f>IF(ISBLANK(VLOOKUP($A666,'Entry data'!$A:$K,10,FALSE)),"",VLOOKUP($A666,'Entry data'!$A:$K,10,FALSE))</f>
        <v/>
      </c>
      <c r="K666" t="str">
        <f>IF(ISBLANK(VLOOKUP($A666,'Entry data'!$A:$K,11,FALSE)),"",VLOOKUP($A666,'Entry data'!$A:$K,11,FALSE))</f>
        <v/>
      </c>
      <c r="L666">
        <f>IF(OR(EXACT(D666,"C"),EXACT(D666,"P"),EXACT(D666,"D"),EXACT(D666,"T"),EXACT(D666,"X"),EXACT(E666,"DZF"),EXACT(E666,"OZF"),EXACT(D666,"N"),EXACT(D666,"F")),1,0)</f>
        <v>0</v>
      </c>
      <c r="M666" t="str">
        <f t="shared" si="40"/>
        <v/>
      </c>
      <c r="N666">
        <f t="shared" si="41"/>
        <v>0</v>
      </c>
      <c r="O666">
        <f t="shared" si="42"/>
        <v>0</v>
      </c>
      <c r="P666" t="str">
        <f t="shared" si="43"/>
        <v/>
      </c>
    </row>
    <row r="667" spans="1:16" x14ac:dyDescent="0.25">
      <c r="A667">
        <v>166</v>
      </c>
      <c r="B667" t="str">
        <f>IF(ISBLANK(VLOOKUP($A667,'Entry data'!$A:$K,2,FALSE)),"",VLOOKUP($A667,'Entry data'!$A:$K,2,FALSE))</f>
        <v/>
      </c>
      <c r="C667" t="str">
        <f>IF(ISBLANK(VLOOKUP($A667,'Entry data'!$A:$K,3,FALSE)),"",VLOOKUP($A667,'Entry data'!$A:$K,3,FALSE))</f>
        <v/>
      </c>
      <c r="D667" t="str">
        <f>IF(ISBLANK(VLOOKUP($A667,'Entry data'!$A:$K,4,FALSE)),"",VLOOKUP($A667,'Entry data'!$A:$K,4,FALSE))</f>
        <v/>
      </c>
      <c r="E667" t="str">
        <f>IF(ISBLANK(VLOOKUP($A667,'Entry data'!$A:$K,5,FALSE)),"",VLOOKUP($A667,'Entry data'!$A:$K,5,FALSE))</f>
        <v/>
      </c>
      <c r="F667" t="str">
        <f>IF(ISBLANK(VLOOKUP($A667,'Entry data'!$A:$K,6,FALSE)),"",VLOOKUP($A667,'Entry data'!$A:$K,6,FALSE))</f>
        <v/>
      </c>
      <c r="G667" t="str">
        <f>IF(ISBLANK(VLOOKUP($A667,'Entry data'!$A:$K,7,FALSE)),"",VLOOKUP($A667,'Entry data'!$A:$K,7,FALSE))</f>
        <v/>
      </c>
      <c r="H667" t="str">
        <f>IF(ISBLANK(VLOOKUP($A667,'Entry data'!$A:$K,8,FALSE)),"",VLOOKUP($A667,'Entry data'!$A:$K,8,FALSE))</f>
        <v/>
      </c>
      <c r="I667" t="str">
        <f>IF(ISBLANK(VLOOKUP($A667,'Entry data'!$A:$K,9,FALSE)),"",VLOOKUP($A667,'Entry data'!$A:$K,9,FALSE))</f>
        <v/>
      </c>
      <c r="J667" t="str">
        <f>IF(ISBLANK(VLOOKUP($A667,'Entry data'!$A:$K,10,FALSE)),"",VLOOKUP($A667,'Entry data'!$A:$K,10,FALSE))</f>
        <v/>
      </c>
      <c r="K667" t="str">
        <f>IF(ISBLANK(VLOOKUP($A667,'Entry data'!$A:$K,11,FALSE)),"",VLOOKUP($A667,'Entry data'!$A:$K,11,FALSE))</f>
        <v/>
      </c>
      <c r="L667">
        <f>IF(OR(EXACT(D667,"C"),EXACT(D667,"P"),EXACT(D667,"D"),EXACT(D667,"T"),EXACT(D667,"X"),EXACT(E667,"DZF"),EXACT(E667,"OZF"),EXACT(D667,"N"),EXACT(D667,"F")),1,0)</f>
        <v>0</v>
      </c>
      <c r="M667" t="str">
        <f t="shared" si="40"/>
        <v/>
      </c>
      <c r="N667">
        <f t="shared" si="41"/>
        <v>0</v>
      </c>
      <c r="O667">
        <f t="shared" si="42"/>
        <v>0</v>
      </c>
      <c r="P667" t="str">
        <f t="shared" si="43"/>
        <v/>
      </c>
    </row>
    <row r="668" spans="1:16" x14ac:dyDescent="0.25">
      <c r="A668">
        <v>167</v>
      </c>
      <c r="B668" t="str">
        <f>IF(ISBLANK(VLOOKUP($A668,'Entry data'!$A:$K,2,FALSE)),"",VLOOKUP($A668,'Entry data'!$A:$K,2,FALSE))</f>
        <v/>
      </c>
      <c r="C668" t="str">
        <f>IF(ISBLANK(VLOOKUP($A668,'Entry data'!$A:$K,3,FALSE)),"",VLOOKUP($A668,'Entry data'!$A:$K,3,FALSE))</f>
        <v/>
      </c>
      <c r="D668" t="str">
        <f>IF(ISBLANK(VLOOKUP($A668,'Entry data'!$A:$K,4,FALSE)),"",VLOOKUP($A668,'Entry data'!$A:$K,4,FALSE))</f>
        <v/>
      </c>
      <c r="E668" t="str">
        <f>IF(ISBLANK(VLOOKUP($A668,'Entry data'!$A:$K,5,FALSE)),"",VLOOKUP($A668,'Entry data'!$A:$K,5,FALSE))</f>
        <v/>
      </c>
      <c r="F668" t="str">
        <f>IF(ISBLANK(VLOOKUP($A668,'Entry data'!$A:$K,6,FALSE)),"",VLOOKUP($A668,'Entry data'!$A:$K,6,FALSE))</f>
        <v/>
      </c>
      <c r="G668" t="str">
        <f>IF(ISBLANK(VLOOKUP($A668,'Entry data'!$A:$K,7,FALSE)),"",VLOOKUP($A668,'Entry data'!$A:$K,7,FALSE))</f>
        <v/>
      </c>
      <c r="H668" t="str">
        <f>IF(ISBLANK(VLOOKUP($A668,'Entry data'!$A:$K,8,FALSE)),"",VLOOKUP($A668,'Entry data'!$A:$K,8,FALSE))</f>
        <v/>
      </c>
      <c r="I668" t="str">
        <f>IF(ISBLANK(VLOOKUP($A668,'Entry data'!$A:$K,9,FALSE)),"",VLOOKUP($A668,'Entry data'!$A:$K,9,FALSE))</f>
        <v/>
      </c>
      <c r="J668" t="str">
        <f>IF(ISBLANK(VLOOKUP($A668,'Entry data'!$A:$K,10,FALSE)),"",VLOOKUP($A668,'Entry data'!$A:$K,10,FALSE))</f>
        <v/>
      </c>
      <c r="K668" t="str">
        <f>IF(ISBLANK(VLOOKUP($A668,'Entry data'!$A:$K,11,FALSE)),"",VLOOKUP($A668,'Entry data'!$A:$K,11,FALSE))</f>
        <v/>
      </c>
      <c r="L668">
        <f>IF(OR(EXACT(D668,"C"),EXACT(D668,"P"),EXACT(D668,"D"),EXACT(D668,"T"),EXACT(D668,"X"),EXACT(E668,"DZF"),EXACT(E668,"OZF"),EXACT(D668,"N"),EXACT(D668,"F")),1,0)</f>
        <v>0</v>
      </c>
      <c r="M668" t="str">
        <f t="shared" si="40"/>
        <v/>
      </c>
      <c r="N668">
        <f t="shared" si="41"/>
        <v>0</v>
      </c>
      <c r="O668">
        <f t="shared" si="42"/>
        <v>0</v>
      </c>
      <c r="P668" t="str">
        <f t="shared" si="43"/>
        <v/>
      </c>
    </row>
    <row r="669" spans="1:16" x14ac:dyDescent="0.25">
      <c r="A669">
        <v>168</v>
      </c>
      <c r="B669" t="str">
        <f>IF(ISBLANK(VLOOKUP($A669,'Entry data'!$A:$K,2,FALSE)),"",VLOOKUP($A669,'Entry data'!$A:$K,2,FALSE))</f>
        <v/>
      </c>
      <c r="C669" t="str">
        <f>IF(ISBLANK(VLOOKUP($A669,'Entry data'!$A:$K,3,FALSE)),"",VLOOKUP($A669,'Entry data'!$A:$K,3,FALSE))</f>
        <v/>
      </c>
      <c r="D669" t="str">
        <f>IF(ISBLANK(VLOOKUP($A669,'Entry data'!$A:$K,4,FALSE)),"",VLOOKUP($A669,'Entry data'!$A:$K,4,FALSE))</f>
        <v/>
      </c>
      <c r="E669" t="str">
        <f>IF(ISBLANK(VLOOKUP($A669,'Entry data'!$A:$K,5,FALSE)),"",VLOOKUP($A669,'Entry data'!$A:$K,5,FALSE))</f>
        <v/>
      </c>
      <c r="F669" t="str">
        <f>IF(ISBLANK(VLOOKUP($A669,'Entry data'!$A:$K,6,FALSE)),"",VLOOKUP($A669,'Entry data'!$A:$K,6,FALSE))</f>
        <v/>
      </c>
      <c r="G669" t="str">
        <f>IF(ISBLANK(VLOOKUP($A669,'Entry data'!$A:$K,7,FALSE)),"",VLOOKUP($A669,'Entry data'!$A:$K,7,FALSE))</f>
        <v/>
      </c>
      <c r="H669" t="str">
        <f>IF(ISBLANK(VLOOKUP($A669,'Entry data'!$A:$K,8,FALSE)),"",VLOOKUP($A669,'Entry data'!$A:$K,8,FALSE))</f>
        <v/>
      </c>
      <c r="I669" t="str">
        <f>IF(ISBLANK(VLOOKUP($A669,'Entry data'!$A:$K,9,FALSE)),"",VLOOKUP($A669,'Entry data'!$A:$K,9,FALSE))</f>
        <v/>
      </c>
      <c r="J669" t="str">
        <f>IF(ISBLANK(VLOOKUP($A669,'Entry data'!$A:$K,10,FALSE)),"",VLOOKUP($A669,'Entry data'!$A:$K,10,FALSE))</f>
        <v/>
      </c>
      <c r="K669" t="str">
        <f>IF(ISBLANK(VLOOKUP($A669,'Entry data'!$A:$K,11,FALSE)),"",VLOOKUP($A669,'Entry data'!$A:$K,11,FALSE))</f>
        <v/>
      </c>
      <c r="L669">
        <f>IF(OR(EXACT(D669,"C"),EXACT(D669,"P"),EXACT(D669,"D"),EXACT(D669,"T"),EXACT(D669,"X"),EXACT(E669,"DZF"),EXACT(E669,"OZF"),EXACT(D669,"N"),EXACT(D669,"F")),1,0)</f>
        <v>0</v>
      </c>
      <c r="M669" t="str">
        <f t="shared" si="40"/>
        <v/>
      </c>
      <c r="N669">
        <f t="shared" si="41"/>
        <v>0</v>
      </c>
      <c r="O669">
        <f t="shared" si="42"/>
        <v>0</v>
      </c>
      <c r="P669" t="str">
        <f t="shared" si="43"/>
        <v/>
      </c>
    </row>
    <row r="670" spans="1:16" x14ac:dyDescent="0.25">
      <c r="A670">
        <v>169</v>
      </c>
      <c r="B670" t="str">
        <f>IF(ISBLANK(VLOOKUP($A670,'Entry data'!$A:$K,2,FALSE)),"",VLOOKUP($A670,'Entry data'!$A:$K,2,FALSE))</f>
        <v/>
      </c>
      <c r="C670" t="str">
        <f>IF(ISBLANK(VLOOKUP($A670,'Entry data'!$A:$K,3,FALSE)),"",VLOOKUP($A670,'Entry data'!$A:$K,3,FALSE))</f>
        <v/>
      </c>
      <c r="D670" t="str">
        <f>IF(ISBLANK(VLOOKUP($A670,'Entry data'!$A:$K,4,FALSE)),"",VLOOKUP($A670,'Entry data'!$A:$K,4,FALSE))</f>
        <v/>
      </c>
      <c r="E670" t="str">
        <f>IF(ISBLANK(VLOOKUP($A670,'Entry data'!$A:$K,5,FALSE)),"",VLOOKUP($A670,'Entry data'!$A:$K,5,FALSE))</f>
        <v/>
      </c>
      <c r="F670" t="str">
        <f>IF(ISBLANK(VLOOKUP($A670,'Entry data'!$A:$K,6,FALSE)),"",VLOOKUP($A670,'Entry data'!$A:$K,6,FALSE))</f>
        <v/>
      </c>
      <c r="G670" t="str">
        <f>IF(ISBLANK(VLOOKUP($A670,'Entry data'!$A:$K,7,FALSE)),"",VLOOKUP($A670,'Entry data'!$A:$K,7,FALSE))</f>
        <v/>
      </c>
      <c r="H670" t="str">
        <f>IF(ISBLANK(VLOOKUP($A670,'Entry data'!$A:$K,8,FALSE)),"",VLOOKUP($A670,'Entry data'!$A:$K,8,FALSE))</f>
        <v/>
      </c>
      <c r="I670" t="str">
        <f>IF(ISBLANK(VLOOKUP($A670,'Entry data'!$A:$K,9,FALSE)),"",VLOOKUP($A670,'Entry data'!$A:$K,9,FALSE))</f>
        <v/>
      </c>
      <c r="J670" t="str">
        <f>IF(ISBLANK(VLOOKUP($A670,'Entry data'!$A:$K,10,FALSE)),"",VLOOKUP($A670,'Entry data'!$A:$K,10,FALSE))</f>
        <v/>
      </c>
      <c r="K670" t="str">
        <f>IF(ISBLANK(VLOOKUP($A670,'Entry data'!$A:$K,11,FALSE)),"",VLOOKUP($A670,'Entry data'!$A:$K,11,FALSE))</f>
        <v/>
      </c>
      <c r="L670">
        <f>IF(OR(EXACT(D670,"C"),EXACT(D670,"P"),EXACT(D670,"D"),EXACT(D670,"T"),EXACT(D670,"X"),EXACT(E670,"DZF"),EXACT(E670,"OZF"),EXACT(D670,"N"),EXACT(D670,"F")),1,0)</f>
        <v>0</v>
      </c>
      <c r="M670" t="str">
        <f t="shared" si="40"/>
        <v/>
      </c>
      <c r="N670">
        <f t="shared" si="41"/>
        <v>0</v>
      </c>
      <c r="O670">
        <f t="shared" si="42"/>
        <v>0</v>
      </c>
      <c r="P670" t="str">
        <f t="shared" si="43"/>
        <v/>
      </c>
    </row>
    <row r="671" spans="1:16" x14ac:dyDescent="0.25">
      <c r="A671">
        <v>170</v>
      </c>
      <c r="B671" t="str">
        <f>IF(ISBLANK(VLOOKUP($A671,'Entry data'!$A:$K,2,FALSE)),"",VLOOKUP($A671,'Entry data'!$A:$K,2,FALSE))</f>
        <v/>
      </c>
      <c r="C671" t="str">
        <f>IF(ISBLANK(VLOOKUP($A671,'Entry data'!$A:$K,3,FALSE)),"",VLOOKUP($A671,'Entry data'!$A:$K,3,FALSE))</f>
        <v/>
      </c>
      <c r="D671" t="str">
        <f>IF(ISBLANK(VLOOKUP($A671,'Entry data'!$A:$K,4,FALSE)),"",VLOOKUP($A671,'Entry data'!$A:$K,4,FALSE))</f>
        <v/>
      </c>
      <c r="E671" t="str">
        <f>IF(ISBLANK(VLOOKUP($A671,'Entry data'!$A:$K,5,FALSE)),"",VLOOKUP($A671,'Entry data'!$A:$K,5,FALSE))</f>
        <v/>
      </c>
      <c r="F671" t="str">
        <f>IF(ISBLANK(VLOOKUP($A671,'Entry data'!$A:$K,6,FALSE)),"",VLOOKUP($A671,'Entry data'!$A:$K,6,FALSE))</f>
        <v/>
      </c>
      <c r="G671" t="str">
        <f>IF(ISBLANK(VLOOKUP($A671,'Entry data'!$A:$K,7,FALSE)),"",VLOOKUP($A671,'Entry data'!$A:$K,7,FALSE))</f>
        <v/>
      </c>
      <c r="H671" t="str">
        <f>IF(ISBLANK(VLOOKUP($A671,'Entry data'!$A:$K,8,FALSE)),"",VLOOKUP($A671,'Entry data'!$A:$K,8,FALSE))</f>
        <v/>
      </c>
      <c r="I671" t="str">
        <f>IF(ISBLANK(VLOOKUP($A671,'Entry data'!$A:$K,9,FALSE)),"",VLOOKUP($A671,'Entry data'!$A:$K,9,FALSE))</f>
        <v/>
      </c>
      <c r="J671" t="str">
        <f>IF(ISBLANK(VLOOKUP($A671,'Entry data'!$A:$K,10,FALSE)),"",VLOOKUP($A671,'Entry data'!$A:$K,10,FALSE))</f>
        <v/>
      </c>
      <c r="K671" t="str">
        <f>IF(ISBLANK(VLOOKUP($A671,'Entry data'!$A:$K,11,FALSE)),"",VLOOKUP($A671,'Entry data'!$A:$K,11,FALSE))</f>
        <v/>
      </c>
      <c r="L671">
        <f>IF(OR(EXACT(D671,"C"),EXACT(D671,"P"),EXACT(D671,"D"),EXACT(D671,"T"),EXACT(D671,"X"),EXACT(E671,"DZF"),EXACT(E671,"OZF"),EXACT(D671,"N"),EXACT(D671,"F")),1,0)</f>
        <v>0</v>
      </c>
      <c r="M671" t="str">
        <f t="shared" si="40"/>
        <v/>
      </c>
      <c r="N671">
        <f t="shared" si="41"/>
        <v>0</v>
      </c>
      <c r="O671">
        <f t="shared" si="42"/>
        <v>0</v>
      </c>
      <c r="P671" t="str">
        <f t="shared" si="43"/>
        <v/>
      </c>
    </row>
    <row r="672" spans="1:16" x14ac:dyDescent="0.25">
      <c r="A672">
        <v>171</v>
      </c>
      <c r="B672" t="str">
        <f>IF(ISBLANK(VLOOKUP($A672,'Entry data'!$A:$K,2,FALSE)),"",VLOOKUP($A672,'Entry data'!$A:$K,2,FALSE))</f>
        <v/>
      </c>
      <c r="C672" t="str">
        <f>IF(ISBLANK(VLOOKUP($A672,'Entry data'!$A:$K,3,FALSE)),"",VLOOKUP($A672,'Entry data'!$A:$K,3,FALSE))</f>
        <v/>
      </c>
      <c r="D672" t="str">
        <f>IF(ISBLANK(VLOOKUP($A672,'Entry data'!$A:$K,4,FALSE)),"",VLOOKUP($A672,'Entry data'!$A:$K,4,FALSE))</f>
        <v/>
      </c>
      <c r="E672" t="str">
        <f>IF(ISBLANK(VLOOKUP($A672,'Entry data'!$A:$K,5,FALSE)),"",VLOOKUP($A672,'Entry data'!$A:$K,5,FALSE))</f>
        <v/>
      </c>
      <c r="F672" t="str">
        <f>IF(ISBLANK(VLOOKUP($A672,'Entry data'!$A:$K,6,FALSE)),"",VLOOKUP($A672,'Entry data'!$A:$K,6,FALSE))</f>
        <v/>
      </c>
      <c r="G672" t="str">
        <f>IF(ISBLANK(VLOOKUP($A672,'Entry data'!$A:$K,7,FALSE)),"",VLOOKUP($A672,'Entry data'!$A:$K,7,FALSE))</f>
        <v/>
      </c>
      <c r="H672" t="str">
        <f>IF(ISBLANK(VLOOKUP($A672,'Entry data'!$A:$K,8,FALSE)),"",VLOOKUP($A672,'Entry data'!$A:$K,8,FALSE))</f>
        <v/>
      </c>
      <c r="I672" t="str">
        <f>IF(ISBLANK(VLOOKUP($A672,'Entry data'!$A:$K,9,FALSE)),"",VLOOKUP($A672,'Entry data'!$A:$K,9,FALSE))</f>
        <v/>
      </c>
      <c r="J672" t="str">
        <f>IF(ISBLANK(VLOOKUP($A672,'Entry data'!$A:$K,10,FALSE)),"",VLOOKUP($A672,'Entry data'!$A:$K,10,FALSE))</f>
        <v/>
      </c>
      <c r="K672" t="str">
        <f>IF(ISBLANK(VLOOKUP($A672,'Entry data'!$A:$K,11,FALSE)),"",VLOOKUP($A672,'Entry data'!$A:$K,11,FALSE))</f>
        <v/>
      </c>
      <c r="L672">
        <f>IF(OR(EXACT(D672,"C"),EXACT(D672,"P"),EXACT(D672,"D"),EXACT(D672,"T"),EXACT(D672,"X"),EXACT(E672,"DZF"),EXACT(E672,"OZF"),EXACT(D672,"N"),EXACT(D672,"F")),1,0)</f>
        <v>0</v>
      </c>
      <c r="M672" t="str">
        <f t="shared" si="40"/>
        <v/>
      </c>
      <c r="N672">
        <f t="shared" si="41"/>
        <v>0</v>
      </c>
      <c r="O672">
        <f t="shared" si="42"/>
        <v>0</v>
      </c>
      <c r="P672" t="str">
        <f t="shared" si="43"/>
        <v/>
      </c>
    </row>
    <row r="673" spans="1:16" x14ac:dyDescent="0.25">
      <c r="A673">
        <v>172</v>
      </c>
      <c r="B673" t="str">
        <f>IF(ISBLANK(VLOOKUP($A673,'Entry data'!$A:$K,2,FALSE)),"",VLOOKUP($A673,'Entry data'!$A:$K,2,FALSE))</f>
        <v/>
      </c>
      <c r="C673" t="str">
        <f>IF(ISBLANK(VLOOKUP($A673,'Entry data'!$A:$K,3,FALSE)),"",VLOOKUP($A673,'Entry data'!$A:$K,3,FALSE))</f>
        <v/>
      </c>
      <c r="D673" t="str">
        <f>IF(ISBLANK(VLOOKUP($A673,'Entry data'!$A:$K,4,FALSE)),"",VLOOKUP($A673,'Entry data'!$A:$K,4,FALSE))</f>
        <v/>
      </c>
      <c r="E673" t="str">
        <f>IF(ISBLANK(VLOOKUP($A673,'Entry data'!$A:$K,5,FALSE)),"",VLOOKUP($A673,'Entry data'!$A:$K,5,FALSE))</f>
        <v/>
      </c>
      <c r="F673" t="str">
        <f>IF(ISBLANK(VLOOKUP($A673,'Entry data'!$A:$K,6,FALSE)),"",VLOOKUP($A673,'Entry data'!$A:$K,6,FALSE))</f>
        <v/>
      </c>
      <c r="G673" t="str">
        <f>IF(ISBLANK(VLOOKUP($A673,'Entry data'!$A:$K,7,FALSE)),"",VLOOKUP($A673,'Entry data'!$A:$K,7,FALSE))</f>
        <v/>
      </c>
      <c r="H673" t="str">
        <f>IF(ISBLANK(VLOOKUP($A673,'Entry data'!$A:$K,8,FALSE)),"",VLOOKUP($A673,'Entry data'!$A:$K,8,FALSE))</f>
        <v/>
      </c>
      <c r="I673" t="str">
        <f>IF(ISBLANK(VLOOKUP($A673,'Entry data'!$A:$K,9,FALSE)),"",VLOOKUP($A673,'Entry data'!$A:$K,9,FALSE))</f>
        <v/>
      </c>
      <c r="J673" t="str">
        <f>IF(ISBLANK(VLOOKUP($A673,'Entry data'!$A:$K,10,FALSE)),"",VLOOKUP($A673,'Entry data'!$A:$K,10,FALSE))</f>
        <v/>
      </c>
      <c r="K673" t="str">
        <f>IF(ISBLANK(VLOOKUP($A673,'Entry data'!$A:$K,11,FALSE)),"",VLOOKUP($A673,'Entry data'!$A:$K,11,FALSE))</f>
        <v/>
      </c>
      <c r="L673">
        <f>IF(OR(EXACT(D673,"C"),EXACT(D673,"P"),EXACT(D673,"D"),EXACT(D673,"T"),EXACT(D673,"X"),EXACT(E673,"DZF"),EXACT(E673,"OZF"),EXACT(D673,"N"),EXACT(D673,"F")),1,0)</f>
        <v>0</v>
      </c>
      <c r="M673" t="str">
        <f t="shared" si="40"/>
        <v/>
      </c>
      <c r="N673">
        <f t="shared" si="41"/>
        <v>0</v>
      </c>
      <c r="O673">
        <f t="shared" si="42"/>
        <v>0</v>
      </c>
      <c r="P673" t="str">
        <f t="shared" si="43"/>
        <v/>
      </c>
    </row>
    <row r="674" spans="1:16" x14ac:dyDescent="0.25">
      <c r="A674">
        <v>173</v>
      </c>
      <c r="B674" t="str">
        <f>IF(ISBLANK(VLOOKUP($A674,'Entry data'!$A:$K,2,FALSE)),"",VLOOKUP($A674,'Entry data'!$A:$K,2,FALSE))</f>
        <v/>
      </c>
      <c r="C674" t="str">
        <f>IF(ISBLANK(VLOOKUP($A674,'Entry data'!$A:$K,3,FALSE)),"",VLOOKUP($A674,'Entry data'!$A:$K,3,FALSE))</f>
        <v/>
      </c>
      <c r="D674" t="str">
        <f>IF(ISBLANK(VLOOKUP($A674,'Entry data'!$A:$K,4,FALSE)),"",VLOOKUP($A674,'Entry data'!$A:$K,4,FALSE))</f>
        <v/>
      </c>
      <c r="E674" t="str">
        <f>IF(ISBLANK(VLOOKUP($A674,'Entry data'!$A:$K,5,FALSE)),"",VLOOKUP($A674,'Entry data'!$A:$K,5,FALSE))</f>
        <v/>
      </c>
      <c r="F674" t="str">
        <f>IF(ISBLANK(VLOOKUP($A674,'Entry data'!$A:$K,6,FALSE)),"",VLOOKUP($A674,'Entry data'!$A:$K,6,FALSE))</f>
        <v/>
      </c>
      <c r="G674" t="str">
        <f>IF(ISBLANK(VLOOKUP($A674,'Entry data'!$A:$K,7,FALSE)),"",VLOOKUP($A674,'Entry data'!$A:$K,7,FALSE))</f>
        <v/>
      </c>
      <c r="H674" t="str">
        <f>IF(ISBLANK(VLOOKUP($A674,'Entry data'!$A:$K,8,FALSE)),"",VLOOKUP($A674,'Entry data'!$A:$K,8,FALSE))</f>
        <v/>
      </c>
      <c r="I674" t="str">
        <f>IF(ISBLANK(VLOOKUP($A674,'Entry data'!$A:$K,9,FALSE)),"",VLOOKUP($A674,'Entry data'!$A:$K,9,FALSE))</f>
        <v/>
      </c>
      <c r="J674" t="str">
        <f>IF(ISBLANK(VLOOKUP($A674,'Entry data'!$A:$K,10,FALSE)),"",VLOOKUP($A674,'Entry data'!$A:$K,10,FALSE))</f>
        <v/>
      </c>
      <c r="K674" t="str">
        <f>IF(ISBLANK(VLOOKUP($A674,'Entry data'!$A:$K,11,FALSE)),"",VLOOKUP($A674,'Entry data'!$A:$K,11,FALSE))</f>
        <v/>
      </c>
      <c r="L674">
        <f>IF(OR(EXACT(D674,"C"),EXACT(D674,"P"),EXACT(D674,"D"),EXACT(D674,"T"),EXACT(D674,"X"),EXACT(E674,"DZF"),EXACT(E674,"OZF"),EXACT(D674,"N"),EXACT(D674,"F")),1,0)</f>
        <v>0</v>
      </c>
      <c r="M674" t="str">
        <f t="shared" si="40"/>
        <v/>
      </c>
      <c r="N674">
        <f t="shared" si="41"/>
        <v>0</v>
      </c>
      <c r="O674">
        <f t="shared" si="42"/>
        <v>0</v>
      </c>
      <c r="P674" t="str">
        <f t="shared" si="43"/>
        <v/>
      </c>
    </row>
    <row r="675" spans="1:16" x14ac:dyDescent="0.25">
      <c r="A675">
        <v>174</v>
      </c>
      <c r="B675" t="str">
        <f>IF(ISBLANK(VLOOKUP($A675,'Entry data'!$A:$K,2,FALSE)),"",VLOOKUP($A675,'Entry data'!$A:$K,2,FALSE))</f>
        <v/>
      </c>
      <c r="C675" t="str">
        <f>IF(ISBLANK(VLOOKUP($A675,'Entry data'!$A:$K,3,FALSE)),"",VLOOKUP($A675,'Entry data'!$A:$K,3,FALSE))</f>
        <v/>
      </c>
      <c r="D675" t="str">
        <f>IF(ISBLANK(VLOOKUP($A675,'Entry data'!$A:$K,4,FALSE)),"",VLOOKUP($A675,'Entry data'!$A:$K,4,FALSE))</f>
        <v/>
      </c>
      <c r="E675" t="str">
        <f>IF(ISBLANK(VLOOKUP($A675,'Entry data'!$A:$K,5,FALSE)),"",VLOOKUP($A675,'Entry data'!$A:$K,5,FALSE))</f>
        <v/>
      </c>
      <c r="F675" t="str">
        <f>IF(ISBLANK(VLOOKUP($A675,'Entry data'!$A:$K,6,FALSE)),"",VLOOKUP($A675,'Entry data'!$A:$K,6,FALSE))</f>
        <v/>
      </c>
      <c r="G675" t="str">
        <f>IF(ISBLANK(VLOOKUP($A675,'Entry data'!$A:$K,7,FALSE)),"",VLOOKUP($A675,'Entry data'!$A:$K,7,FALSE))</f>
        <v/>
      </c>
      <c r="H675" t="str">
        <f>IF(ISBLANK(VLOOKUP($A675,'Entry data'!$A:$K,8,FALSE)),"",VLOOKUP($A675,'Entry data'!$A:$K,8,FALSE))</f>
        <v/>
      </c>
      <c r="I675" t="str">
        <f>IF(ISBLANK(VLOOKUP($A675,'Entry data'!$A:$K,9,FALSE)),"",VLOOKUP($A675,'Entry data'!$A:$K,9,FALSE))</f>
        <v/>
      </c>
      <c r="J675" t="str">
        <f>IF(ISBLANK(VLOOKUP($A675,'Entry data'!$A:$K,10,FALSE)),"",VLOOKUP($A675,'Entry data'!$A:$K,10,FALSE))</f>
        <v/>
      </c>
      <c r="K675" t="str">
        <f>IF(ISBLANK(VLOOKUP($A675,'Entry data'!$A:$K,11,FALSE)),"",VLOOKUP($A675,'Entry data'!$A:$K,11,FALSE))</f>
        <v/>
      </c>
      <c r="L675">
        <f>IF(OR(EXACT(D675,"C"),EXACT(D675,"P"),EXACT(D675,"D"),EXACT(D675,"T"),EXACT(D675,"X"),EXACT(E675,"DZF"),EXACT(E675,"OZF"),EXACT(D675,"N"),EXACT(D675,"F")),1,0)</f>
        <v>0</v>
      </c>
      <c r="M675" t="str">
        <f t="shared" si="40"/>
        <v/>
      </c>
      <c r="N675">
        <f t="shared" si="41"/>
        <v>0</v>
      </c>
      <c r="O675">
        <f t="shared" si="42"/>
        <v>0</v>
      </c>
      <c r="P675" t="str">
        <f t="shared" si="43"/>
        <v/>
      </c>
    </row>
    <row r="676" spans="1:16" x14ac:dyDescent="0.25">
      <c r="A676">
        <v>175</v>
      </c>
      <c r="B676" t="str">
        <f>IF(ISBLANK(VLOOKUP($A676,'Entry data'!$A:$K,2,FALSE)),"",VLOOKUP($A676,'Entry data'!$A:$K,2,FALSE))</f>
        <v/>
      </c>
      <c r="C676" t="str">
        <f>IF(ISBLANK(VLOOKUP($A676,'Entry data'!$A:$K,3,FALSE)),"",VLOOKUP($A676,'Entry data'!$A:$K,3,FALSE))</f>
        <v/>
      </c>
      <c r="D676" t="str">
        <f>IF(ISBLANK(VLOOKUP($A676,'Entry data'!$A:$K,4,FALSE)),"",VLOOKUP($A676,'Entry data'!$A:$K,4,FALSE))</f>
        <v/>
      </c>
      <c r="E676" t="str">
        <f>IF(ISBLANK(VLOOKUP($A676,'Entry data'!$A:$K,5,FALSE)),"",VLOOKUP($A676,'Entry data'!$A:$K,5,FALSE))</f>
        <v/>
      </c>
      <c r="F676" t="str">
        <f>IF(ISBLANK(VLOOKUP($A676,'Entry data'!$A:$K,6,FALSE)),"",VLOOKUP($A676,'Entry data'!$A:$K,6,FALSE))</f>
        <v/>
      </c>
      <c r="G676" t="str">
        <f>IF(ISBLANK(VLOOKUP($A676,'Entry data'!$A:$K,7,FALSE)),"",VLOOKUP($A676,'Entry data'!$A:$K,7,FALSE))</f>
        <v/>
      </c>
      <c r="H676" t="str">
        <f>IF(ISBLANK(VLOOKUP($A676,'Entry data'!$A:$K,8,FALSE)),"",VLOOKUP($A676,'Entry data'!$A:$K,8,FALSE))</f>
        <v/>
      </c>
      <c r="I676" t="str">
        <f>IF(ISBLANK(VLOOKUP($A676,'Entry data'!$A:$K,9,FALSE)),"",VLOOKUP($A676,'Entry data'!$A:$K,9,FALSE))</f>
        <v/>
      </c>
      <c r="J676" t="str">
        <f>IF(ISBLANK(VLOOKUP($A676,'Entry data'!$A:$K,10,FALSE)),"",VLOOKUP($A676,'Entry data'!$A:$K,10,FALSE))</f>
        <v/>
      </c>
      <c r="K676" t="str">
        <f>IF(ISBLANK(VLOOKUP($A676,'Entry data'!$A:$K,11,FALSE)),"",VLOOKUP($A676,'Entry data'!$A:$K,11,FALSE))</f>
        <v/>
      </c>
      <c r="L676">
        <f>IF(OR(EXACT(D676,"C"),EXACT(D676,"P"),EXACT(D676,"D"),EXACT(D676,"T"),EXACT(D676,"X"),EXACT(E676,"DZF"),EXACT(E676,"OZF"),EXACT(D676,"N"),EXACT(D676,"F")),1,0)</f>
        <v>0</v>
      </c>
      <c r="M676" t="str">
        <f t="shared" si="40"/>
        <v/>
      </c>
      <c r="N676">
        <f t="shared" si="41"/>
        <v>0</v>
      </c>
      <c r="O676">
        <f t="shared" si="42"/>
        <v>0</v>
      </c>
      <c r="P676" t="str">
        <f t="shared" si="43"/>
        <v/>
      </c>
    </row>
    <row r="677" spans="1:16" x14ac:dyDescent="0.25">
      <c r="A677">
        <v>176</v>
      </c>
      <c r="B677" t="str">
        <f>IF(ISBLANK(VLOOKUP($A677,'Entry data'!$A:$K,2,FALSE)),"",VLOOKUP($A677,'Entry data'!$A:$K,2,FALSE))</f>
        <v/>
      </c>
      <c r="C677" t="str">
        <f>IF(ISBLANK(VLOOKUP($A677,'Entry data'!$A:$K,3,FALSE)),"",VLOOKUP($A677,'Entry data'!$A:$K,3,FALSE))</f>
        <v/>
      </c>
      <c r="D677" t="str">
        <f>IF(ISBLANK(VLOOKUP($A677,'Entry data'!$A:$K,4,FALSE)),"",VLOOKUP($A677,'Entry data'!$A:$K,4,FALSE))</f>
        <v/>
      </c>
      <c r="E677" t="str">
        <f>IF(ISBLANK(VLOOKUP($A677,'Entry data'!$A:$K,5,FALSE)),"",VLOOKUP($A677,'Entry data'!$A:$K,5,FALSE))</f>
        <v/>
      </c>
      <c r="F677" t="str">
        <f>IF(ISBLANK(VLOOKUP($A677,'Entry data'!$A:$K,6,FALSE)),"",VLOOKUP($A677,'Entry data'!$A:$K,6,FALSE))</f>
        <v/>
      </c>
      <c r="G677" t="str">
        <f>IF(ISBLANK(VLOOKUP($A677,'Entry data'!$A:$K,7,FALSE)),"",VLOOKUP($A677,'Entry data'!$A:$K,7,FALSE))</f>
        <v/>
      </c>
      <c r="H677" t="str">
        <f>IF(ISBLANK(VLOOKUP($A677,'Entry data'!$A:$K,8,FALSE)),"",VLOOKUP($A677,'Entry data'!$A:$K,8,FALSE))</f>
        <v/>
      </c>
      <c r="I677" t="str">
        <f>IF(ISBLANK(VLOOKUP($A677,'Entry data'!$A:$K,9,FALSE)),"",VLOOKUP($A677,'Entry data'!$A:$K,9,FALSE))</f>
        <v/>
      </c>
      <c r="J677" t="str">
        <f>IF(ISBLANK(VLOOKUP($A677,'Entry data'!$A:$K,10,FALSE)),"",VLOOKUP($A677,'Entry data'!$A:$K,10,FALSE))</f>
        <v/>
      </c>
      <c r="K677" t="str">
        <f>IF(ISBLANK(VLOOKUP($A677,'Entry data'!$A:$K,11,FALSE)),"",VLOOKUP($A677,'Entry data'!$A:$K,11,FALSE))</f>
        <v/>
      </c>
      <c r="L677">
        <f>IF(OR(EXACT(D677,"C"),EXACT(D677,"P"),EXACT(D677,"D"),EXACT(D677,"T"),EXACT(D677,"X"),EXACT(E677,"DZF"),EXACT(E677,"OZF"),EXACT(D677,"N"),EXACT(D677,"F")),1,0)</f>
        <v>0</v>
      </c>
      <c r="M677" t="str">
        <f t="shared" si="40"/>
        <v/>
      </c>
      <c r="N677">
        <f t="shared" si="41"/>
        <v>0</v>
      </c>
      <c r="O677">
        <f t="shared" si="42"/>
        <v>0</v>
      </c>
      <c r="P677" t="str">
        <f t="shared" si="43"/>
        <v/>
      </c>
    </row>
    <row r="678" spans="1:16" x14ac:dyDescent="0.25">
      <c r="A678">
        <v>177</v>
      </c>
      <c r="B678" t="str">
        <f>IF(ISBLANK(VLOOKUP($A678,'Entry data'!$A:$K,2,FALSE)),"",VLOOKUP($A678,'Entry data'!$A:$K,2,FALSE))</f>
        <v/>
      </c>
      <c r="C678" t="str">
        <f>IF(ISBLANK(VLOOKUP($A678,'Entry data'!$A:$K,3,FALSE)),"",VLOOKUP($A678,'Entry data'!$A:$K,3,FALSE))</f>
        <v/>
      </c>
      <c r="D678" t="str">
        <f>IF(ISBLANK(VLOOKUP($A678,'Entry data'!$A:$K,4,FALSE)),"",VLOOKUP($A678,'Entry data'!$A:$K,4,FALSE))</f>
        <v/>
      </c>
      <c r="E678" t="str">
        <f>IF(ISBLANK(VLOOKUP($A678,'Entry data'!$A:$K,5,FALSE)),"",VLOOKUP($A678,'Entry data'!$A:$K,5,FALSE))</f>
        <v/>
      </c>
      <c r="F678" t="str">
        <f>IF(ISBLANK(VLOOKUP($A678,'Entry data'!$A:$K,6,FALSE)),"",VLOOKUP($A678,'Entry data'!$A:$K,6,FALSE))</f>
        <v/>
      </c>
      <c r="G678" t="str">
        <f>IF(ISBLANK(VLOOKUP($A678,'Entry data'!$A:$K,7,FALSE)),"",VLOOKUP($A678,'Entry data'!$A:$K,7,FALSE))</f>
        <v/>
      </c>
      <c r="H678" t="str">
        <f>IF(ISBLANK(VLOOKUP($A678,'Entry data'!$A:$K,8,FALSE)),"",VLOOKUP($A678,'Entry data'!$A:$K,8,FALSE))</f>
        <v/>
      </c>
      <c r="I678" t="str">
        <f>IF(ISBLANK(VLOOKUP($A678,'Entry data'!$A:$K,9,FALSE)),"",VLOOKUP($A678,'Entry data'!$A:$K,9,FALSE))</f>
        <v/>
      </c>
      <c r="J678" t="str">
        <f>IF(ISBLANK(VLOOKUP($A678,'Entry data'!$A:$K,10,FALSE)),"",VLOOKUP($A678,'Entry data'!$A:$K,10,FALSE))</f>
        <v/>
      </c>
      <c r="K678" t="str">
        <f>IF(ISBLANK(VLOOKUP($A678,'Entry data'!$A:$K,11,FALSE)),"",VLOOKUP($A678,'Entry data'!$A:$K,11,FALSE))</f>
        <v/>
      </c>
      <c r="L678">
        <f>IF(OR(EXACT(D678,"C"),EXACT(D678,"P"),EXACT(D678,"D"),EXACT(D678,"T"),EXACT(D678,"X"),EXACT(E678,"DZF"),EXACT(E678,"OZF"),EXACT(D678,"N"),EXACT(D678,"F")),1,0)</f>
        <v>0</v>
      </c>
      <c r="M678" t="str">
        <f t="shared" si="40"/>
        <v/>
      </c>
      <c r="N678">
        <f t="shared" si="41"/>
        <v>0</v>
      </c>
      <c r="O678">
        <f t="shared" si="42"/>
        <v>0</v>
      </c>
      <c r="P678" t="str">
        <f t="shared" si="43"/>
        <v/>
      </c>
    </row>
    <row r="679" spans="1:16" x14ac:dyDescent="0.25">
      <c r="A679">
        <v>178</v>
      </c>
      <c r="B679" t="str">
        <f>IF(ISBLANK(VLOOKUP($A679,'Entry data'!$A:$K,2,FALSE)),"",VLOOKUP($A679,'Entry data'!$A:$K,2,FALSE))</f>
        <v/>
      </c>
      <c r="C679" t="str">
        <f>IF(ISBLANK(VLOOKUP($A679,'Entry data'!$A:$K,3,FALSE)),"",VLOOKUP($A679,'Entry data'!$A:$K,3,FALSE))</f>
        <v/>
      </c>
      <c r="D679" t="str">
        <f>IF(ISBLANK(VLOOKUP($A679,'Entry data'!$A:$K,4,FALSE)),"",VLOOKUP($A679,'Entry data'!$A:$K,4,FALSE))</f>
        <v/>
      </c>
      <c r="E679" t="str">
        <f>IF(ISBLANK(VLOOKUP($A679,'Entry data'!$A:$K,5,FALSE)),"",VLOOKUP($A679,'Entry data'!$A:$K,5,FALSE))</f>
        <v/>
      </c>
      <c r="F679" t="str">
        <f>IF(ISBLANK(VLOOKUP($A679,'Entry data'!$A:$K,6,FALSE)),"",VLOOKUP($A679,'Entry data'!$A:$K,6,FALSE))</f>
        <v/>
      </c>
      <c r="G679" t="str">
        <f>IF(ISBLANK(VLOOKUP($A679,'Entry data'!$A:$K,7,FALSE)),"",VLOOKUP($A679,'Entry data'!$A:$K,7,FALSE))</f>
        <v/>
      </c>
      <c r="H679" t="str">
        <f>IF(ISBLANK(VLOOKUP($A679,'Entry data'!$A:$K,8,FALSE)),"",VLOOKUP($A679,'Entry data'!$A:$K,8,FALSE))</f>
        <v/>
      </c>
      <c r="I679" t="str">
        <f>IF(ISBLANK(VLOOKUP($A679,'Entry data'!$A:$K,9,FALSE)),"",VLOOKUP($A679,'Entry data'!$A:$K,9,FALSE))</f>
        <v/>
      </c>
      <c r="J679" t="str">
        <f>IF(ISBLANK(VLOOKUP($A679,'Entry data'!$A:$K,10,FALSE)),"",VLOOKUP($A679,'Entry data'!$A:$K,10,FALSE))</f>
        <v/>
      </c>
      <c r="K679" t="str">
        <f>IF(ISBLANK(VLOOKUP($A679,'Entry data'!$A:$K,11,FALSE)),"",VLOOKUP($A679,'Entry data'!$A:$K,11,FALSE))</f>
        <v/>
      </c>
      <c r="L679">
        <f>IF(OR(EXACT(D679,"C"),EXACT(D679,"P"),EXACT(D679,"D"),EXACT(D679,"T"),EXACT(D679,"X"),EXACT(E679,"DZF"),EXACT(E679,"OZF"),EXACT(D679,"N"),EXACT(D679,"F")),1,0)</f>
        <v>0</v>
      </c>
      <c r="M679" t="str">
        <f t="shared" si="40"/>
        <v/>
      </c>
      <c r="N679">
        <f t="shared" si="41"/>
        <v>0</v>
      </c>
      <c r="O679">
        <f t="shared" si="42"/>
        <v>0</v>
      </c>
      <c r="P679" t="str">
        <f t="shared" si="43"/>
        <v/>
      </c>
    </row>
    <row r="680" spans="1:16" x14ac:dyDescent="0.25">
      <c r="A680">
        <v>179</v>
      </c>
      <c r="B680" t="str">
        <f>IF(ISBLANK(VLOOKUP($A680,'Entry data'!$A:$K,2,FALSE)),"",VLOOKUP($A680,'Entry data'!$A:$K,2,FALSE))</f>
        <v/>
      </c>
      <c r="C680" t="str">
        <f>IF(ISBLANK(VLOOKUP($A680,'Entry data'!$A:$K,3,FALSE)),"",VLOOKUP($A680,'Entry data'!$A:$K,3,FALSE))</f>
        <v/>
      </c>
      <c r="D680" t="str">
        <f>IF(ISBLANK(VLOOKUP($A680,'Entry data'!$A:$K,4,FALSE)),"",VLOOKUP($A680,'Entry data'!$A:$K,4,FALSE))</f>
        <v/>
      </c>
      <c r="E680" t="str">
        <f>IF(ISBLANK(VLOOKUP($A680,'Entry data'!$A:$K,5,FALSE)),"",VLOOKUP($A680,'Entry data'!$A:$K,5,FALSE))</f>
        <v/>
      </c>
      <c r="F680" t="str">
        <f>IF(ISBLANK(VLOOKUP($A680,'Entry data'!$A:$K,6,FALSE)),"",VLOOKUP($A680,'Entry data'!$A:$K,6,FALSE))</f>
        <v/>
      </c>
      <c r="G680" t="str">
        <f>IF(ISBLANK(VLOOKUP($A680,'Entry data'!$A:$K,7,FALSE)),"",VLOOKUP($A680,'Entry data'!$A:$K,7,FALSE))</f>
        <v/>
      </c>
      <c r="H680" t="str">
        <f>IF(ISBLANK(VLOOKUP($A680,'Entry data'!$A:$K,8,FALSE)),"",VLOOKUP($A680,'Entry data'!$A:$K,8,FALSE))</f>
        <v/>
      </c>
      <c r="I680" t="str">
        <f>IF(ISBLANK(VLOOKUP($A680,'Entry data'!$A:$K,9,FALSE)),"",VLOOKUP($A680,'Entry data'!$A:$K,9,FALSE))</f>
        <v/>
      </c>
      <c r="J680" t="str">
        <f>IF(ISBLANK(VLOOKUP($A680,'Entry data'!$A:$K,10,FALSE)),"",VLOOKUP($A680,'Entry data'!$A:$K,10,FALSE))</f>
        <v/>
      </c>
      <c r="K680" t="str">
        <f>IF(ISBLANK(VLOOKUP($A680,'Entry data'!$A:$K,11,FALSE)),"",VLOOKUP($A680,'Entry data'!$A:$K,11,FALSE))</f>
        <v/>
      </c>
      <c r="L680">
        <f>IF(OR(EXACT(D680,"C"),EXACT(D680,"P"),EXACT(D680,"D"),EXACT(D680,"T"),EXACT(D680,"X"),EXACT(E680,"DZF"),EXACT(E680,"OZF"),EXACT(D680,"N"),EXACT(D680,"F")),1,0)</f>
        <v>0</v>
      </c>
      <c r="M680" t="str">
        <f t="shared" si="40"/>
        <v/>
      </c>
      <c r="N680">
        <f t="shared" si="41"/>
        <v>0</v>
      </c>
      <c r="O680">
        <f t="shared" si="42"/>
        <v>0</v>
      </c>
      <c r="P680" t="str">
        <f t="shared" si="43"/>
        <v/>
      </c>
    </row>
    <row r="681" spans="1:16" x14ac:dyDescent="0.25">
      <c r="A681">
        <v>180</v>
      </c>
      <c r="B681" t="str">
        <f>IF(ISBLANK(VLOOKUP($A681,'Entry data'!$A:$K,2,FALSE)),"",VLOOKUP($A681,'Entry data'!$A:$K,2,FALSE))</f>
        <v/>
      </c>
      <c r="C681" t="str">
        <f>IF(ISBLANK(VLOOKUP($A681,'Entry data'!$A:$K,3,FALSE)),"",VLOOKUP($A681,'Entry data'!$A:$K,3,FALSE))</f>
        <v/>
      </c>
      <c r="D681" t="str">
        <f>IF(ISBLANK(VLOOKUP($A681,'Entry data'!$A:$K,4,FALSE)),"",VLOOKUP($A681,'Entry data'!$A:$K,4,FALSE))</f>
        <v/>
      </c>
      <c r="E681" t="str">
        <f>IF(ISBLANK(VLOOKUP($A681,'Entry data'!$A:$K,5,FALSE)),"",VLOOKUP($A681,'Entry data'!$A:$K,5,FALSE))</f>
        <v/>
      </c>
      <c r="F681" t="str">
        <f>IF(ISBLANK(VLOOKUP($A681,'Entry data'!$A:$K,6,FALSE)),"",VLOOKUP($A681,'Entry data'!$A:$K,6,FALSE))</f>
        <v/>
      </c>
      <c r="G681" t="str">
        <f>IF(ISBLANK(VLOOKUP($A681,'Entry data'!$A:$K,7,FALSE)),"",VLOOKUP($A681,'Entry data'!$A:$K,7,FALSE))</f>
        <v/>
      </c>
      <c r="H681" t="str">
        <f>IF(ISBLANK(VLOOKUP($A681,'Entry data'!$A:$K,8,FALSE)),"",VLOOKUP($A681,'Entry data'!$A:$K,8,FALSE))</f>
        <v/>
      </c>
      <c r="I681" t="str">
        <f>IF(ISBLANK(VLOOKUP($A681,'Entry data'!$A:$K,9,FALSE)),"",VLOOKUP($A681,'Entry data'!$A:$K,9,FALSE))</f>
        <v/>
      </c>
      <c r="J681" t="str">
        <f>IF(ISBLANK(VLOOKUP($A681,'Entry data'!$A:$K,10,FALSE)),"",VLOOKUP($A681,'Entry data'!$A:$K,10,FALSE))</f>
        <v/>
      </c>
      <c r="K681" t="str">
        <f>IF(ISBLANK(VLOOKUP($A681,'Entry data'!$A:$K,11,FALSE)),"",VLOOKUP($A681,'Entry data'!$A:$K,11,FALSE))</f>
        <v/>
      </c>
      <c r="L681">
        <f>IF(OR(EXACT(D681,"C"),EXACT(D681,"P"),EXACT(D681,"D"),EXACT(D681,"T"),EXACT(D681,"X"),EXACT(E681,"DZF"),EXACT(E681,"OZF"),EXACT(D681,"N"),EXACT(D681,"F")),1,0)</f>
        <v>0</v>
      </c>
      <c r="M681" t="str">
        <f t="shared" si="40"/>
        <v/>
      </c>
      <c r="N681">
        <f t="shared" si="41"/>
        <v>0</v>
      </c>
      <c r="O681">
        <f t="shared" si="42"/>
        <v>0</v>
      </c>
      <c r="P681" t="str">
        <f t="shared" si="43"/>
        <v/>
      </c>
    </row>
    <row r="682" spans="1:16" x14ac:dyDescent="0.25">
      <c r="A682">
        <v>181</v>
      </c>
      <c r="B682" t="str">
        <f>IF(ISBLANK(VLOOKUP($A682,'Entry data'!$A:$K,2,FALSE)),"",VLOOKUP($A682,'Entry data'!$A:$K,2,FALSE))</f>
        <v/>
      </c>
      <c r="C682" t="str">
        <f>IF(ISBLANK(VLOOKUP($A682,'Entry data'!$A:$K,3,FALSE)),"",VLOOKUP($A682,'Entry data'!$A:$K,3,FALSE))</f>
        <v/>
      </c>
      <c r="D682" t="str">
        <f>IF(ISBLANK(VLOOKUP($A682,'Entry data'!$A:$K,4,FALSE)),"",VLOOKUP($A682,'Entry data'!$A:$K,4,FALSE))</f>
        <v/>
      </c>
      <c r="E682" t="str">
        <f>IF(ISBLANK(VLOOKUP($A682,'Entry data'!$A:$K,5,FALSE)),"",VLOOKUP($A682,'Entry data'!$A:$K,5,FALSE))</f>
        <v/>
      </c>
      <c r="F682" t="str">
        <f>IF(ISBLANK(VLOOKUP($A682,'Entry data'!$A:$K,6,FALSE)),"",VLOOKUP($A682,'Entry data'!$A:$K,6,FALSE))</f>
        <v/>
      </c>
      <c r="G682" t="str">
        <f>IF(ISBLANK(VLOOKUP($A682,'Entry data'!$A:$K,7,FALSE)),"",VLOOKUP($A682,'Entry data'!$A:$K,7,FALSE))</f>
        <v/>
      </c>
      <c r="H682" t="str">
        <f>IF(ISBLANK(VLOOKUP($A682,'Entry data'!$A:$K,8,FALSE)),"",VLOOKUP($A682,'Entry data'!$A:$K,8,FALSE))</f>
        <v/>
      </c>
      <c r="I682" t="str">
        <f>IF(ISBLANK(VLOOKUP($A682,'Entry data'!$A:$K,9,FALSE)),"",VLOOKUP($A682,'Entry data'!$A:$K,9,FALSE))</f>
        <v/>
      </c>
      <c r="J682" t="str">
        <f>IF(ISBLANK(VLOOKUP($A682,'Entry data'!$A:$K,10,FALSE)),"",VLOOKUP($A682,'Entry data'!$A:$K,10,FALSE))</f>
        <v/>
      </c>
      <c r="K682" t="str">
        <f>IF(ISBLANK(VLOOKUP($A682,'Entry data'!$A:$K,11,FALSE)),"",VLOOKUP($A682,'Entry data'!$A:$K,11,FALSE))</f>
        <v/>
      </c>
      <c r="L682">
        <f>IF(OR(EXACT(D682,"C"),EXACT(D682,"P"),EXACT(D682,"D"),EXACT(D682,"T"),EXACT(D682,"X"),EXACT(E682,"DZF"),EXACT(E682,"OZF"),EXACT(D682,"N"),EXACT(D682,"F")),1,0)</f>
        <v>0</v>
      </c>
      <c r="M682" t="str">
        <f t="shared" si="40"/>
        <v/>
      </c>
      <c r="N682">
        <f t="shared" si="41"/>
        <v>0</v>
      </c>
      <c r="O682">
        <f t="shared" si="42"/>
        <v>0</v>
      </c>
      <c r="P682" t="str">
        <f t="shared" si="43"/>
        <v/>
      </c>
    </row>
    <row r="683" spans="1:16" x14ac:dyDescent="0.25">
      <c r="A683">
        <v>182</v>
      </c>
      <c r="B683" t="str">
        <f>IF(ISBLANK(VLOOKUP($A683,'Entry data'!$A:$K,2,FALSE)),"",VLOOKUP($A683,'Entry data'!$A:$K,2,FALSE))</f>
        <v/>
      </c>
      <c r="C683" t="str">
        <f>IF(ISBLANK(VLOOKUP($A683,'Entry data'!$A:$K,3,FALSE)),"",VLOOKUP($A683,'Entry data'!$A:$K,3,FALSE))</f>
        <v/>
      </c>
      <c r="D683" t="str">
        <f>IF(ISBLANK(VLOOKUP($A683,'Entry data'!$A:$K,4,FALSE)),"",VLOOKUP($A683,'Entry data'!$A:$K,4,FALSE))</f>
        <v/>
      </c>
      <c r="E683" t="str">
        <f>IF(ISBLANK(VLOOKUP($A683,'Entry data'!$A:$K,5,FALSE)),"",VLOOKUP($A683,'Entry data'!$A:$K,5,FALSE))</f>
        <v/>
      </c>
      <c r="F683" t="str">
        <f>IF(ISBLANK(VLOOKUP($A683,'Entry data'!$A:$K,6,FALSE)),"",VLOOKUP($A683,'Entry data'!$A:$K,6,FALSE))</f>
        <v/>
      </c>
      <c r="G683" t="str">
        <f>IF(ISBLANK(VLOOKUP($A683,'Entry data'!$A:$K,7,FALSE)),"",VLOOKUP($A683,'Entry data'!$A:$K,7,FALSE))</f>
        <v/>
      </c>
      <c r="H683" t="str">
        <f>IF(ISBLANK(VLOOKUP($A683,'Entry data'!$A:$K,8,FALSE)),"",VLOOKUP($A683,'Entry data'!$A:$K,8,FALSE))</f>
        <v/>
      </c>
      <c r="I683" t="str">
        <f>IF(ISBLANK(VLOOKUP($A683,'Entry data'!$A:$K,9,FALSE)),"",VLOOKUP($A683,'Entry data'!$A:$K,9,FALSE))</f>
        <v/>
      </c>
      <c r="J683" t="str">
        <f>IF(ISBLANK(VLOOKUP($A683,'Entry data'!$A:$K,10,FALSE)),"",VLOOKUP($A683,'Entry data'!$A:$K,10,FALSE))</f>
        <v/>
      </c>
      <c r="K683" t="str">
        <f>IF(ISBLANK(VLOOKUP($A683,'Entry data'!$A:$K,11,FALSE)),"",VLOOKUP($A683,'Entry data'!$A:$K,11,FALSE))</f>
        <v/>
      </c>
      <c r="L683">
        <f>IF(OR(EXACT(D683,"C"),EXACT(D683,"P"),EXACT(D683,"D"),EXACT(D683,"T"),EXACT(D683,"X"),EXACT(E683,"DZF"),EXACT(E683,"OZF"),EXACT(D683,"N"),EXACT(D683,"F")),1,0)</f>
        <v>0</v>
      </c>
      <c r="M683" t="str">
        <f t="shared" si="40"/>
        <v/>
      </c>
      <c r="N683">
        <f t="shared" si="41"/>
        <v>0</v>
      </c>
      <c r="O683">
        <f t="shared" si="42"/>
        <v>0</v>
      </c>
      <c r="P683" t="str">
        <f t="shared" si="43"/>
        <v/>
      </c>
    </row>
    <row r="684" spans="1:16" x14ac:dyDescent="0.25">
      <c r="A684">
        <v>183</v>
      </c>
      <c r="B684" t="str">
        <f>IF(ISBLANK(VLOOKUP($A684,'Entry data'!$A:$K,2,FALSE)),"",VLOOKUP($A684,'Entry data'!$A:$K,2,FALSE))</f>
        <v/>
      </c>
      <c r="C684" t="str">
        <f>IF(ISBLANK(VLOOKUP($A684,'Entry data'!$A:$K,3,FALSE)),"",VLOOKUP($A684,'Entry data'!$A:$K,3,FALSE))</f>
        <v/>
      </c>
      <c r="D684" t="str">
        <f>IF(ISBLANK(VLOOKUP($A684,'Entry data'!$A:$K,4,FALSE)),"",VLOOKUP($A684,'Entry data'!$A:$K,4,FALSE))</f>
        <v/>
      </c>
      <c r="E684" t="str">
        <f>IF(ISBLANK(VLOOKUP($A684,'Entry data'!$A:$K,5,FALSE)),"",VLOOKUP($A684,'Entry data'!$A:$K,5,FALSE))</f>
        <v/>
      </c>
      <c r="F684" t="str">
        <f>IF(ISBLANK(VLOOKUP($A684,'Entry data'!$A:$K,6,FALSE)),"",VLOOKUP($A684,'Entry data'!$A:$K,6,FALSE))</f>
        <v/>
      </c>
      <c r="G684" t="str">
        <f>IF(ISBLANK(VLOOKUP($A684,'Entry data'!$A:$K,7,FALSE)),"",VLOOKUP($A684,'Entry data'!$A:$K,7,FALSE))</f>
        <v/>
      </c>
      <c r="H684" t="str">
        <f>IF(ISBLANK(VLOOKUP($A684,'Entry data'!$A:$K,8,FALSE)),"",VLOOKUP($A684,'Entry data'!$A:$K,8,FALSE))</f>
        <v/>
      </c>
      <c r="I684" t="str">
        <f>IF(ISBLANK(VLOOKUP($A684,'Entry data'!$A:$K,9,FALSE)),"",VLOOKUP($A684,'Entry data'!$A:$K,9,FALSE))</f>
        <v/>
      </c>
      <c r="J684" t="str">
        <f>IF(ISBLANK(VLOOKUP($A684,'Entry data'!$A:$K,10,FALSE)),"",VLOOKUP($A684,'Entry data'!$A:$K,10,FALSE))</f>
        <v/>
      </c>
      <c r="K684" t="str">
        <f>IF(ISBLANK(VLOOKUP($A684,'Entry data'!$A:$K,11,FALSE)),"",VLOOKUP($A684,'Entry data'!$A:$K,11,FALSE))</f>
        <v/>
      </c>
      <c r="L684">
        <f>IF(OR(EXACT(D684,"C"),EXACT(D684,"P"),EXACT(D684,"D"),EXACT(D684,"T"),EXACT(D684,"X"),EXACT(E684,"DZF"),EXACT(E684,"OZF"),EXACT(D684,"N"),EXACT(D684,"F")),1,0)</f>
        <v>0</v>
      </c>
      <c r="M684" t="str">
        <f t="shared" si="40"/>
        <v/>
      </c>
      <c r="N684">
        <f t="shared" si="41"/>
        <v>0</v>
      </c>
      <c r="O684">
        <f t="shared" si="42"/>
        <v>0</v>
      </c>
      <c r="P684" t="str">
        <f t="shared" si="43"/>
        <v/>
      </c>
    </row>
    <row r="685" spans="1:16" x14ac:dyDescent="0.25">
      <c r="A685">
        <v>184</v>
      </c>
      <c r="B685" t="str">
        <f>IF(ISBLANK(VLOOKUP($A685,'Entry data'!$A:$K,2,FALSE)),"",VLOOKUP($A685,'Entry data'!$A:$K,2,FALSE))</f>
        <v/>
      </c>
      <c r="C685" t="str">
        <f>IF(ISBLANK(VLOOKUP($A685,'Entry data'!$A:$K,3,FALSE)),"",VLOOKUP($A685,'Entry data'!$A:$K,3,FALSE))</f>
        <v/>
      </c>
      <c r="D685" t="str">
        <f>IF(ISBLANK(VLOOKUP($A685,'Entry data'!$A:$K,4,FALSE)),"",VLOOKUP($A685,'Entry data'!$A:$K,4,FALSE))</f>
        <v/>
      </c>
      <c r="E685" t="str">
        <f>IF(ISBLANK(VLOOKUP($A685,'Entry data'!$A:$K,5,FALSE)),"",VLOOKUP($A685,'Entry data'!$A:$K,5,FALSE))</f>
        <v/>
      </c>
      <c r="F685" t="str">
        <f>IF(ISBLANK(VLOOKUP($A685,'Entry data'!$A:$K,6,FALSE)),"",VLOOKUP($A685,'Entry data'!$A:$K,6,FALSE))</f>
        <v/>
      </c>
      <c r="G685" t="str">
        <f>IF(ISBLANK(VLOOKUP($A685,'Entry data'!$A:$K,7,FALSE)),"",VLOOKUP($A685,'Entry data'!$A:$K,7,FALSE))</f>
        <v/>
      </c>
      <c r="H685" t="str">
        <f>IF(ISBLANK(VLOOKUP($A685,'Entry data'!$A:$K,8,FALSE)),"",VLOOKUP($A685,'Entry data'!$A:$K,8,FALSE))</f>
        <v/>
      </c>
      <c r="I685" t="str">
        <f>IF(ISBLANK(VLOOKUP($A685,'Entry data'!$A:$K,9,FALSE)),"",VLOOKUP($A685,'Entry data'!$A:$K,9,FALSE))</f>
        <v/>
      </c>
      <c r="J685" t="str">
        <f>IF(ISBLANK(VLOOKUP($A685,'Entry data'!$A:$K,10,FALSE)),"",VLOOKUP($A685,'Entry data'!$A:$K,10,FALSE))</f>
        <v/>
      </c>
      <c r="K685" t="str">
        <f>IF(ISBLANK(VLOOKUP($A685,'Entry data'!$A:$K,11,FALSE)),"",VLOOKUP($A685,'Entry data'!$A:$K,11,FALSE))</f>
        <v/>
      </c>
      <c r="L685">
        <f>IF(OR(EXACT(D685,"C"),EXACT(D685,"P"),EXACT(D685,"D"),EXACT(D685,"T"),EXACT(D685,"X"),EXACT(E685,"DZF"),EXACT(E685,"OZF"),EXACT(D685,"N"),EXACT(D685,"F")),1,0)</f>
        <v>0</v>
      </c>
      <c r="M685" t="str">
        <f t="shared" si="40"/>
        <v/>
      </c>
      <c r="N685">
        <f t="shared" si="41"/>
        <v>0</v>
      </c>
      <c r="O685">
        <f t="shared" si="42"/>
        <v>0</v>
      </c>
      <c r="P685" t="str">
        <f t="shared" si="43"/>
        <v/>
      </c>
    </row>
    <row r="686" spans="1:16" x14ac:dyDescent="0.25">
      <c r="A686">
        <v>185</v>
      </c>
      <c r="B686" t="str">
        <f>IF(ISBLANK(VLOOKUP($A686,'Entry data'!$A:$K,2,FALSE)),"",VLOOKUP($A686,'Entry data'!$A:$K,2,FALSE))</f>
        <v/>
      </c>
      <c r="C686" t="str">
        <f>IF(ISBLANK(VLOOKUP($A686,'Entry data'!$A:$K,3,FALSE)),"",VLOOKUP($A686,'Entry data'!$A:$K,3,FALSE))</f>
        <v/>
      </c>
      <c r="D686" t="str">
        <f>IF(ISBLANK(VLOOKUP($A686,'Entry data'!$A:$K,4,FALSE)),"",VLOOKUP($A686,'Entry data'!$A:$K,4,FALSE))</f>
        <v/>
      </c>
      <c r="E686" t="str">
        <f>IF(ISBLANK(VLOOKUP($A686,'Entry data'!$A:$K,5,FALSE)),"",VLOOKUP($A686,'Entry data'!$A:$K,5,FALSE))</f>
        <v/>
      </c>
      <c r="F686" t="str">
        <f>IF(ISBLANK(VLOOKUP($A686,'Entry data'!$A:$K,6,FALSE)),"",VLOOKUP($A686,'Entry data'!$A:$K,6,FALSE))</f>
        <v/>
      </c>
      <c r="G686" t="str">
        <f>IF(ISBLANK(VLOOKUP($A686,'Entry data'!$A:$K,7,FALSE)),"",VLOOKUP($A686,'Entry data'!$A:$K,7,FALSE))</f>
        <v/>
      </c>
      <c r="H686" t="str">
        <f>IF(ISBLANK(VLOOKUP($A686,'Entry data'!$A:$K,8,FALSE)),"",VLOOKUP($A686,'Entry data'!$A:$K,8,FALSE))</f>
        <v/>
      </c>
      <c r="I686" t="str">
        <f>IF(ISBLANK(VLOOKUP($A686,'Entry data'!$A:$K,9,FALSE)),"",VLOOKUP($A686,'Entry data'!$A:$K,9,FALSE))</f>
        <v/>
      </c>
      <c r="J686" t="str">
        <f>IF(ISBLANK(VLOOKUP($A686,'Entry data'!$A:$K,10,FALSE)),"",VLOOKUP($A686,'Entry data'!$A:$K,10,FALSE))</f>
        <v/>
      </c>
      <c r="K686" t="str">
        <f>IF(ISBLANK(VLOOKUP($A686,'Entry data'!$A:$K,11,FALSE)),"",VLOOKUP($A686,'Entry data'!$A:$K,11,FALSE))</f>
        <v/>
      </c>
      <c r="L686">
        <f>IF(OR(EXACT(D686,"C"),EXACT(D686,"P"),EXACT(D686,"D"),EXACT(D686,"T"),EXACT(D686,"X"),EXACT(E686,"DZF"),EXACT(E686,"OZF"),EXACT(D686,"N"),EXACT(D686,"F")),1,0)</f>
        <v>0</v>
      </c>
      <c r="M686" t="str">
        <f t="shared" si="40"/>
        <v/>
      </c>
      <c r="N686">
        <f t="shared" si="41"/>
        <v>0</v>
      </c>
      <c r="O686">
        <f t="shared" si="42"/>
        <v>0</v>
      </c>
      <c r="P686" t="str">
        <f t="shared" si="43"/>
        <v/>
      </c>
    </row>
    <row r="687" spans="1:16" x14ac:dyDescent="0.25">
      <c r="A687">
        <v>186</v>
      </c>
      <c r="B687" t="str">
        <f>IF(ISBLANK(VLOOKUP($A687,'Entry data'!$A:$K,2,FALSE)),"",VLOOKUP($A687,'Entry data'!$A:$K,2,FALSE))</f>
        <v/>
      </c>
      <c r="C687" t="str">
        <f>IF(ISBLANK(VLOOKUP($A687,'Entry data'!$A:$K,3,FALSE)),"",VLOOKUP($A687,'Entry data'!$A:$K,3,FALSE))</f>
        <v/>
      </c>
      <c r="D687" t="str">
        <f>IF(ISBLANK(VLOOKUP($A687,'Entry data'!$A:$K,4,FALSE)),"",VLOOKUP($A687,'Entry data'!$A:$K,4,FALSE))</f>
        <v/>
      </c>
      <c r="E687" t="str">
        <f>IF(ISBLANK(VLOOKUP($A687,'Entry data'!$A:$K,5,FALSE)),"",VLOOKUP($A687,'Entry data'!$A:$K,5,FALSE))</f>
        <v/>
      </c>
      <c r="F687" t="str">
        <f>IF(ISBLANK(VLOOKUP($A687,'Entry data'!$A:$K,6,FALSE)),"",VLOOKUP($A687,'Entry data'!$A:$K,6,FALSE))</f>
        <v/>
      </c>
      <c r="G687" t="str">
        <f>IF(ISBLANK(VLOOKUP($A687,'Entry data'!$A:$K,7,FALSE)),"",VLOOKUP($A687,'Entry data'!$A:$K,7,FALSE))</f>
        <v/>
      </c>
      <c r="H687" t="str">
        <f>IF(ISBLANK(VLOOKUP($A687,'Entry data'!$A:$K,8,FALSE)),"",VLOOKUP($A687,'Entry data'!$A:$K,8,FALSE))</f>
        <v/>
      </c>
      <c r="I687" t="str">
        <f>IF(ISBLANK(VLOOKUP($A687,'Entry data'!$A:$K,9,FALSE)),"",VLOOKUP($A687,'Entry data'!$A:$K,9,FALSE))</f>
        <v/>
      </c>
      <c r="J687" t="str">
        <f>IF(ISBLANK(VLOOKUP($A687,'Entry data'!$A:$K,10,FALSE)),"",VLOOKUP($A687,'Entry data'!$A:$K,10,FALSE))</f>
        <v/>
      </c>
      <c r="K687" t="str">
        <f>IF(ISBLANK(VLOOKUP($A687,'Entry data'!$A:$K,11,FALSE)),"",VLOOKUP($A687,'Entry data'!$A:$K,11,FALSE))</f>
        <v/>
      </c>
      <c r="L687">
        <f>IF(OR(EXACT(D687,"C"),EXACT(D687,"P"),EXACT(D687,"D"),EXACT(D687,"T"),EXACT(D687,"X"),EXACT(E687,"DZF"),EXACT(E687,"OZF"),EXACT(D687,"N"),EXACT(D687,"F")),1,0)</f>
        <v>0</v>
      </c>
      <c r="M687" t="str">
        <f t="shared" si="40"/>
        <v/>
      </c>
      <c r="N687">
        <f t="shared" si="41"/>
        <v>0</v>
      </c>
      <c r="O687">
        <f t="shared" si="42"/>
        <v>0</v>
      </c>
      <c r="P687" t="str">
        <f t="shared" si="43"/>
        <v/>
      </c>
    </row>
    <row r="688" spans="1:16" x14ac:dyDescent="0.25">
      <c r="A688">
        <v>187</v>
      </c>
      <c r="B688" t="str">
        <f>IF(ISBLANK(VLOOKUP($A688,'Entry data'!$A:$K,2,FALSE)),"",VLOOKUP($A688,'Entry data'!$A:$K,2,FALSE))</f>
        <v/>
      </c>
      <c r="C688" t="str">
        <f>IF(ISBLANK(VLOOKUP($A688,'Entry data'!$A:$K,3,FALSE)),"",VLOOKUP($A688,'Entry data'!$A:$K,3,FALSE))</f>
        <v/>
      </c>
      <c r="D688" t="str">
        <f>IF(ISBLANK(VLOOKUP($A688,'Entry data'!$A:$K,4,FALSE)),"",VLOOKUP($A688,'Entry data'!$A:$K,4,FALSE))</f>
        <v/>
      </c>
      <c r="E688" t="str">
        <f>IF(ISBLANK(VLOOKUP($A688,'Entry data'!$A:$K,5,FALSE)),"",VLOOKUP($A688,'Entry data'!$A:$K,5,FALSE))</f>
        <v/>
      </c>
      <c r="F688" t="str">
        <f>IF(ISBLANK(VLOOKUP($A688,'Entry data'!$A:$K,6,FALSE)),"",VLOOKUP($A688,'Entry data'!$A:$K,6,FALSE))</f>
        <v/>
      </c>
      <c r="G688" t="str">
        <f>IF(ISBLANK(VLOOKUP($A688,'Entry data'!$A:$K,7,FALSE)),"",VLOOKUP($A688,'Entry data'!$A:$K,7,FALSE))</f>
        <v/>
      </c>
      <c r="H688" t="str">
        <f>IF(ISBLANK(VLOOKUP($A688,'Entry data'!$A:$K,8,FALSE)),"",VLOOKUP($A688,'Entry data'!$A:$K,8,FALSE))</f>
        <v/>
      </c>
      <c r="I688" t="str">
        <f>IF(ISBLANK(VLOOKUP($A688,'Entry data'!$A:$K,9,FALSE)),"",VLOOKUP($A688,'Entry data'!$A:$K,9,FALSE))</f>
        <v/>
      </c>
      <c r="J688" t="str">
        <f>IF(ISBLANK(VLOOKUP($A688,'Entry data'!$A:$K,10,FALSE)),"",VLOOKUP($A688,'Entry data'!$A:$K,10,FALSE))</f>
        <v/>
      </c>
      <c r="K688" t="str">
        <f>IF(ISBLANK(VLOOKUP($A688,'Entry data'!$A:$K,11,FALSE)),"",VLOOKUP($A688,'Entry data'!$A:$K,11,FALSE))</f>
        <v/>
      </c>
      <c r="L688">
        <f>IF(OR(EXACT(D688,"C"),EXACT(D688,"P"),EXACT(D688,"D"),EXACT(D688,"T"),EXACT(D688,"X"),EXACT(E688,"DZF"),EXACT(E688,"OZF"),EXACT(D688,"N"),EXACT(D688,"F")),1,0)</f>
        <v>0</v>
      </c>
      <c r="M688" t="str">
        <f t="shared" si="40"/>
        <v/>
      </c>
      <c r="N688">
        <f t="shared" si="41"/>
        <v>0</v>
      </c>
      <c r="O688">
        <f t="shared" si="42"/>
        <v>0</v>
      </c>
      <c r="P688" t="str">
        <f t="shared" si="43"/>
        <v/>
      </c>
    </row>
    <row r="689" spans="1:16" x14ac:dyDescent="0.25">
      <c r="A689">
        <v>188</v>
      </c>
      <c r="B689" t="str">
        <f>IF(ISBLANK(VLOOKUP($A689,'Entry data'!$A:$K,2,FALSE)),"",VLOOKUP($A689,'Entry data'!$A:$K,2,FALSE))</f>
        <v/>
      </c>
      <c r="C689" t="str">
        <f>IF(ISBLANK(VLOOKUP($A689,'Entry data'!$A:$K,3,FALSE)),"",VLOOKUP($A689,'Entry data'!$A:$K,3,FALSE))</f>
        <v/>
      </c>
      <c r="D689" t="str">
        <f>IF(ISBLANK(VLOOKUP($A689,'Entry data'!$A:$K,4,FALSE)),"",VLOOKUP($A689,'Entry data'!$A:$K,4,FALSE))</f>
        <v/>
      </c>
      <c r="E689" t="str">
        <f>IF(ISBLANK(VLOOKUP($A689,'Entry data'!$A:$K,5,FALSE)),"",VLOOKUP($A689,'Entry data'!$A:$K,5,FALSE))</f>
        <v/>
      </c>
      <c r="F689" t="str">
        <f>IF(ISBLANK(VLOOKUP($A689,'Entry data'!$A:$K,6,FALSE)),"",VLOOKUP($A689,'Entry data'!$A:$K,6,FALSE))</f>
        <v/>
      </c>
      <c r="G689" t="str">
        <f>IF(ISBLANK(VLOOKUP($A689,'Entry data'!$A:$K,7,FALSE)),"",VLOOKUP($A689,'Entry data'!$A:$K,7,FALSE))</f>
        <v/>
      </c>
      <c r="H689" t="str">
        <f>IF(ISBLANK(VLOOKUP($A689,'Entry data'!$A:$K,8,FALSE)),"",VLOOKUP($A689,'Entry data'!$A:$K,8,FALSE))</f>
        <v/>
      </c>
      <c r="I689" t="str">
        <f>IF(ISBLANK(VLOOKUP($A689,'Entry data'!$A:$K,9,FALSE)),"",VLOOKUP($A689,'Entry data'!$A:$K,9,FALSE))</f>
        <v/>
      </c>
      <c r="J689" t="str">
        <f>IF(ISBLANK(VLOOKUP($A689,'Entry data'!$A:$K,10,FALSE)),"",VLOOKUP($A689,'Entry data'!$A:$K,10,FALSE))</f>
        <v/>
      </c>
      <c r="K689" t="str">
        <f>IF(ISBLANK(VLOOKUP($A689,'Entry data'!$A:$K,11,FALSE)),"",VLOOKUP($A689,'Entry data'!$A:$K,11,FALSE))</f>
        <v/>
      </c>
      <c r="L689">
        <f>IF(OR(EXACT(D689,"C"),EXACT(D689,"P"),EXACT(D689,"D"),EXACT(D689,"T"),EXACT(D689,"X"),EXACT(E689,"DZF"),EXACT(E689,"OZF"),EXACT(D689,"N"),EXACT(D689,"F")),1,0)</f>
        <v>0</v>
      </c>
      <c r="M689" t="str">
        <f t="shared" si="40"/>
        <v/>
      </c>
      <c r="N689">
        <f t="shared" si="41"/>
        <v>0</v>
      </c>
      <c r="O689">
        <f t="shared" si="42"/>
        <v>0</v>
      </c>
      <c r="P689" t="str">
        <f t="shared" si="43"/>
        <v/>
      </c>
    </row>
    <row r="690" spans="1:16" x14ac:dyDescent="0.25">
      <c r="A690">
        <v>189</v>
      </c>
      <c r="B690" t="str">
        <f>IF(ISBLANK(VLOOKUP($A690,'Entry data'!$A:$K,2,FALSE)),"",VLOOKUP($A690,'Entry data'!$A:$K,2,FALSE))</f>
        <v/>
      </c>
      <c r="C690" t="str">
        <f>IF(ISBLANK(VLOOKUP($A690,'Entry data'!$A:$K,3,FALSE)),"",VLOOKUP($A690,'Entry data'!$A:$K,3,FALSE))</f>
        <v/>
      </c>
      <c r="D690" t="str">
        <f>IF(ISBLANK(VLOOKUP($A690,'Entry data'!$A:$K,4,FALSE)),"",VLOOKUP($A690,'Entry data'!$A:$K,4,FALSE))</f>
        <v/>
      </c>
      <c r="E690" t="str">
        <f>IF(ISBLANK(VLOOKUP($A690,'Entry data'!$A:$K,5,FALSE)),"",VLOOKUP($A690,'Entry data'!$A:$K,5,FALSE))</f>
        <v/>
      </c>
      <c r="F690" t="str">
        <f>IF(ISBLANK(VLOOKUP($A690,'Entry data'!$A:$K,6,FALSE)),"",VLOOKUP($A690,'Entry data'!$A:$K,6,FALSE))</f>
        <v/>
      </c>
      <c r="G690" t="str">
        <f>IF(ISBLANK(VLOOKUP($A690,'Entry data'!$A:$K,7,FALSE)),"",VLOOKUP($A690,'Entry data'!$A:$K,7,FALSE))</f>
        <v/>
      </c>
      <c r="H690" t="str">
        <f>IF(ISBLANK(VLOOKUP($A690,'Entry data'!$A:$K,8,FALSE)),"",VLOOKUP($A690,'Entry data'!$A:$K,8,FALSE))</f>
        <v/>
      </c>
      <c r="I690" t="str">
        <f>IF(ISBLANK(VLOOKUP($A690,'Entry data'!$A:$K,9,FALSE)),"",VLOOKUP($A690,'Entry data'!$A:$K,9,FALSE))</f>
        <v/>
      </c>
      <c r="J690" t="str">
        <f>IF(ISBLANK(VLOOKUP($A690,'Entry data'!$A:$K,10,FALSE)),"",VLOOKUP($A690,'Entry data'!$A:$K,10,FALSE))</f>
        <v/>
      </c>
      <c r="K690" t="str">
        <f>IF(ISBLANK(VLOOKUP($A690,'Entry data'!$A:$K,11,FALSE)),"",VLOOKUP($A690,'Entry data'!$A:$K,11,FALSE))</f>
        <v/>
      </c>
      <c r="L690">
        <f>IF(OR(EXACT(D690,"C"),EXACT(D690,"P"),EXACT(D690,"D"),EXACT(D690,"T"),EXACT(D690,"X"),EXACT(E690,"DZF"),EXACT(E690,"OZF"),EXACT(D690,"N"),EXACT(D690,"F")),1,0)</f>
        <v>0</v>
      </c>
      <c r="M690" t="str">
        <f t="shared" si="40"/>
        <v/>
      </c>
      <c r="N690">
        <f t="shared" si="41"/>
        <v>0</v>
      </c>
      <c r="O690">
        <f t="shared" si="42"/>
        <v>0</v>
      </c>
      <c r="P690" t="str">
        <f t="shared" si="43"/>
        <v/>
      </c>
    </row>
    <row r="691" spans="1:16" x14ac:dyDescent="0.25">
      <c r="A691">
        <v>190</v>
      </c>
      <c r="B691" t="str">
        <f>IF(ISBLANK(VLOOKUP($A691,'Entry data'!$A:$K,2,FALSE)),"",VLOOKUP($A691,'Entry data'!$A:$K,2,FALSE))</f>
        <v/>
      </c>
      <c r="C691" t="str">
        <f>IF(ISBLANK(VLOOKUP($A691,'Entry data'!$A:$K,3,FALSE)),"",VLOOKUP($A691,'Entry data'!$A:$K,3,FALSE))</f>
        <v/>
      </c>
      <c r="D691" t="str">
        <f>IF(ISBLANK(VLOOKUP($A691,'Entry data'!$A:$K,4,FALSE)),"",VLOOKUP($A691,'Entry data'!$A:$K,4,FALSE))</f>
        <v/>
      </c>
      <c r="E691" t="str">
        <f>IF(ISBLANK(VLOOKUP($A691,'Entry data'!$A:$K,5,FALSE)),"",VLOOKUP($A691,'Entry data'!$A:$K,5,FALSE))</f>
        <v/>
      </c>
      <c r="F691" t="str">
        <f>IF(ISBLANK(VLOOKUP($A691,'Entry data'!$A:$K,6,FALSE)),"",VLOOKUP($A691,'Entry data'!$A:$K,6,FALSE))</f>
        <v/>
      </c>
      <c r="G691" t="str">
        <f>IF(ISBLANK(VLOOKUP($A691,'Entry data'!$A:$K,7,FALSE)),"",VLOOKUP($A691,'Entry data'!$A:$K,7,FALSE))</f>
        <v/>
      </c>
      <c r="H691" t="str">
        <f>IF(ISBLANK(VLOOKUP($A691,'Entry data'!$A:$K,8,FALSE)),"",VLOOKUP($A691,'Entry data'!$A:$K,8,FALSE))</f>
        <v/>
      </c>
      <c r="I691" t="str">
        <f>IF(ISBLANK(VLOOKUP($A691,'Entry data'!$A:$K,9,FALSE)),"",VLOOKUP($A691,'Entry data'!$A:$K,9,FALSE))</f>
        <v/>
      </c>
      <c r="J691" t="str">
        <f>IF(ISBLANK(VLOOKUP($A691,'Entry data'!$A:$K,10,FALSE)),"",VLOOKUP($A691,'Entry data'!$A:$K,10,FALSE))</f>
        <v/>
      </c>
      <c r="K691" t="str">
        <f>IF(ISBLANK(VLOOKUP($A691,'Entry data'!$A:$K,11,FALSE)),"",VLOOKUP($A691,'Entry data'!$A:$K,11,FALSE))</f>
        <v/>
      </c>
      <c r="L691">
        <f>IF(OR(EXACT(D691,"C"),EXACT(D691,"P"),EXACT(D691,"D"),EXACT(D691,"T"),EXACT(D691,"X"),EXACT(E691,"DZF"),EXACT(E691,"OZF"),EXACT(D691,"N"),EXACT(D691,"F")),1,0)</f>
        <v>0</v>
      </c>
      <c r="M691" t="str">
        <f t="shared" si="40"/>
        <v/>
      </c>
      <c r="N691">
        <f t="shared" si="41"/>
        <v>0</v>
      </c>
      <c r="O691">
        <f t="shared" si="42"/>
        <v>0</v>
      </c>
      <c r="P691" t="str">
        <f t="shared" si="43"/>
        <v/>
      </c>
    </row>
    <row r="692" spans="1:16" x14ac:dyDescent="0.25">
      <c r="A692">
        <v>191</v>
      </c>
      <c r="B692" t="str">
        <f>IF(ISBLANK(VLOOKUP($A692,'Entry data'!$A:$K,2,FALSE)),"",VLOOKUP($A692,'Entry data'!$A:$K,2,FALSE))</f>
        <v/>
      </c>
      <c r="C692" t="str">
        <f>IF(ISBLANK(VLOOKUP($A692,'Entry data'!$A:$K,3,FALSE)),"",VLOOKUP($A692,'Entry data'!$A:$K,3,FALSE))</f>
        <v/>
      </c>
      <c r="D692" t="str">
        <f>IF(ISBLANK(VLOOKUP($A692,'Entry data'!$A:$K,4,FALSE)),"",VLOOKUP($A692,'Entry data'!$A:$K,4,FALSE))</f>
        <v/>
      </c>
      <c r="E692" t="str">
        <f>IF(ISBLANK(VLOOKUP($A692,'Entry data'!$A:$K,5,FALSE)),"",VLOOKUP($A692,'Entry data'!$A:$K,5,FALSE))</f>
        <v/>
      </c>
      <c r="F692" t="str">
        <f>IF(ISBLANK(VLOOKUP($A692,'Entry data'!$A:$K,6,FALSE)),"",VLOOKUP($A692,'Entry data'!$A:$K,6,FALSE))</f>
        <v/>
      </c>
      <c r="G692" t="str">
        <f>IF(ISBLANK(VLOOKUP($A692,'Entry data'!$A:$K,7,FALSE)),"",VLOOKUP($A692,'Entry data'!$A:$K,7,FALSE))</f>
        <v/>
      </c>
      <c r="H692" t="str">
        <f>IF(ISBLANK(VLOOKUP($A692,'Entry data'!$A:$K,8,FALSE)),"",VLOOKUP($A692,'Entry data'!$A:$K,8,FALSE))</f>
        <v/>
      </c>
      <c r="I692" t="str">
        <f>IF(ISBLANK(VLOOKUP($A692,'Entry data'!$A:$K,9,FALSE)),"",VLOOKUP($A692,'Entry data'!$A:$K,9,FALSE))</f>
        <v/>
      </c>
      <c r="J692" t="str">
        <f>IF(ISBLANK(VLOOKUP($A692,'Entry data'!$A:$K,10,FALSE)),"",VLOOKUP($A692,'Entry data'!$A:$K,10,FALSE))</f>
        <v/>
      </c>
      <c r="K692" t="str">
        <f>IF(ISBLANK(VLOOKUP($A692,'Entry data'!$A:$K,11,FALSE)),"",VLOOKUP($A692,'Entry data'!$A:$K,11,FALSE))</f>
        <v/>
      </c>
      <c r="L692">
        <f>IF(OR(EXACT(D692,"C"),EXACT(D692,"P"),EXACT(D692,"D"),EXACT(D692,"T"),EXACT(D692,"X"),EXACT(E692,"DZF"),EXACT(E692,"OZF"),EXACT(D692,"N"),EXACT(D692,"F")),1,0)</f>
        <v>0</v>
      </c>
      <c r="M692" t="str">
        <f t="shared" si="40"/>
        <v/>
      </c>
      <c r="N692">
        <f t="shared" si="41"/>
        <v>0</v>
      </c>
      <c r="O692">
        <f t="shared" si="42"/>
        <v>0</v>
      </c>
      <c r="P692" t="str">
        <f t="shared" si="43"/>
        <v/>
      </c>
    </row>
    <row r="693" spans="1:16" x14ac:dyDescent="0.25">
      <c r="A693">
        <v>192</v>
      </c>
      <c r="B693" t="str">
        <f>IF(ISBLANK(VLOOKUP($A693,'Entry data'!$A:$K,2,FALSE)),"",VLOOKUP($A693,'Entry data'!$A:$K,2,FALSE))</f>
        <v/>
      </c>
      <c r="C693" t="str">
        <f>IF(ISBLANK(VLOOKUP($A693,'Entry data'!$A:$K,3,FALSE)),"",VLOOKUP($A693,'Entry data'!$A:$K,3,FALSE))</f>
        <v/>
      </c>
      <c r="D693" t="str">
        <f>IF(ISBLANK(VLOOKUP($A693,'Entry data'!$A:$K,4,FALSE)),"",VLOOKUP($A693,'Entry data'!$A:$K,4,FALSE))</f>
        <v/>
      </c>
      <c r="E693" t="str">
        <f>IF(ISBLANK(VLOOKUP($A693,'Entry data'!$A:$K,5,FALSE)),"",VLOOKUP($A693,'Entry data'!$A:$K,5,FALSE))</f>
        <v/>
      </c>
      <c r="F693" t="str">
        <f>IF(ISBLANK(VLOOKUP($A693,'Entry data'!$A:$K,6,FALSE)),"",VLOOKUP($A693,'Entry data'!$A:$K,6,FALSE))</f>
        <v/>
      </c>
      <c r="G693" t="str">
        <f>IF(ISBLANK(VLOOKUP($A693,'Entry data'!$A:$K,7,FALSE)),"",VLOOKUP($A693,'Entry data'!$A:$K,7,FALSE))</f>
        <v/>
      </c>
      <c r="H693" t="str">
        <f>IF(ISBLANK(VLOOKUP($A693,'Entry data'!$A:$K,8,FALSE)),"",VLOOKUP($A693,'Entry data'!$A:$K,8,FALSE))</f>
        <v/>
      </c>
      <c r="I693" t="str">
        <f>IF(ISBLANK(VLOOKUP($A693,'Entry data'!$A:$K,9,FALSE)),"",VLOOKUP($A693,'Entry data'!$A:$K,9,FALSE))</f>
        <v/>
      </c>
      <c r="J693" t="str">
        <f>IF(ISBLANK(VLOOKUP($A693,'Entry data'!$A:$K,10,FALSE)),"",VLOOKUP($A693,'Entry data'!$A:$K,10,FALSE))</f>
        <v/>
      </c>
      <c r="K693" t="str">
        <f>IF(ISBLANK(VLOOKUP($A693,'Entry data'!$A:$K,11,FALSE)),"",VLOOKUP($A693,'Entry data'!$A:$K,11,FALSE))</f>
        <v/>
      </c>
      <c r="L693">
        <f>IF(OR(EXACT(D693,"C"),EXACT(D693,"P"),EXACT(D693,"D"),EXACT(D693,"T"),EXACT(D693,"X"),EXACT(E693,"DZF"),EXACT(E693,"OZF"),EXACT(D693,"N"),EXACT(D693,"F")),1,0)</f>
        <v>0</v>
      </c>
      <c r="M693" t="str">
        <f t="shared" si="40"/>
        <v/>
      </c>
      <c r="N693">
        <f t="shared" si="41"/>
        <v>0</v>
      </c>
      <c r="O693">
        <f t="shared" si="42"/>
        <v>0</v>
      </c>
      <c r="P693" t="str">
        <f t="shared" si="43"/>
        <v/>
      </c>
    </row>
    <row r="694" spans="1:16" x14ac:dyDescent="0.25">
      <c r="A694">
        <v>193</v>
      </c>
      <c r="B694" t="str">
        <f>IF(ISBLANK(VLOOKUP($A694,'Entry data'!$A:$K,2,FALSE)),"",VLOOKUP($A694,'Entry data'!$A:$K,2,FALSE))</f>
        <v/>
      </c>
      <c r="C694" t="str">
        <f>IF(ISBLANK(VLOOKUP($A694,'Entry data'!$A:$K,3,FALSE)),"",VLOOKUP($A694,'Entry data'!$A:$K,3,FALSE))</f>
        <v/>
      </c>
      <c r="D694" t="str">
        <f>IF(ISBLANK(VLOOKUP($A694,'Entry data'!$A:$K,4,FALSE)),"",VLOOKUP($A694,'Entry data'!$A:$K,4,FALSE))</f>
        <v/>
      </c>
      <c r="E694" t="str">
        <f>IF(ISBLANK(VLOOKUP($A694,'Entry data'!$A:$K,5,FALSE)),"",VLOOKUP($A694,'Entry data'!$A:$K,5,FALSE))</f>
        <v/>
      </c>
      <c r="F694" t="str">
        <f>IF(ISBLANK(VLOOKUP($A694,'Entry data'!$A:$K,6,FALSE)),"",VLOOKUP($A694,'Entry data'!$A:$K,6,FALSE))</f>
        <v/>
      </c>
      <c r="G694" t="str">
        <f>IF(ISBLANK(VLOOKUP($A694,'Entry data'!$A:$K,7,FALSE)),"",VLOOKUP($A694,'Entry data'!$A:$K,7,FALSE))</f>
        <v/>
      </c>
      <c r="H694" t="str">
        <f>IF(ISBLANK(VLOOKUP($A694,'Entry data'!$A:$K,8,FALSE)),"",VLOOKUP($A694,'Entry data'!$A:$K,8,FALSE))</f>
        <v/>
      </c>
      <c r="I694" t="str">
        <f>IF(ISBLANK(VLOOKUP($A694,'Entry data'!$A:$K,9,FALSE)),"",VLOOKUP($A694,'Entry data'!$A:$K,9,FALSE))</f>
        <v/>
      </c>
      <c r="J694" t="str">
        <f>IF(ISBLANK(VLOOKUP($A694,'Entry data'!$A:$K,10,FALSE)),"",VLOOKUP($A694,'Entry data'!$A:$K,10,FALSE))</f>
        <v/>
      </c>
      <c r="K694" t="str">
        <f>IF(ISBLANK(VLOOKUP($A694,'Entry data'!$A:$K,11,FALSE)),"",VLOOKUP($A694,'Entry data'!$A:$K,11,FALSE))</f>
        <v/>
      </c>
      <c r="L694">
        <f>IF(OR(EXACT(D694,"C"),EXACT(D694,"P"),EXACT(D694,"D"),EXACT(D694,"T"),EXACT(D694,"X"),EXACT(E694,"DZF"),EXACT(E694,"OZF"),EXACT(D694,"N"),EXACT(D694,"F")),1,0)</f>
        <v>0</v>
      </c>
      <c r="M694" t="str">
        <f t="shared" si="40"/>
        <v/>
      </c>
      <c r="N694">
        <f t="shared" si="41"/>
        <v>0</v>
      </c>
      <c r="O694">
        <f t="shared" si="42"/>
        <v>0</v>
      </c>
      <c r="P694" t="str">
        <f t="shared" si="43"/>
        <v/>
      </c>
    </row>
    <row r="695" spans="1:16" x14ac:dyDescent="0.25">
      <c r="A695">
        <v>194</v>
      </c>
      <c r="B695" t="str">
        <f>IF(ISBLANK(VLOOKUP($A695,'Entry data'!$A:$K,2,FALSE)),"",VLOOKUP($A695,'Entry data'!$A:$K,2,FALSE))</f>
        <v/>
      </c>
      <c r="C695" t="str">
        <f>IF(ISBLANK(VLOOKUP($A695,'Entry data'!$A:$K,3,FALSE)),"",VLOOKUP($A695,'Entry data'!$A:$K,3,FALSE))</f>
        <v/>
      </c>
      <c r="D695" t="str">
        <f>IF(ISBLANK(VLOOKUP($A695,'Entry data'!$A:$K,4,FALSE)),"",VLOOKUP($A695,'Entry data'!$A:$K,4,FALSE))</f>
        <v/>
      </c>
      <c r="E695" t="str">
        <f>IF(ISBLANK(VLOOKUP($A695,'Entry data'!$A:$K,5,FALSE)),"",VLOOKUP($A695,'Entry data'!$A:$K,5,FALSE))</f>
        <v/>
      </c>
      <c r="F695" t="str">
        <f>IF(ISBLANK(VLOOKUP($A695,'Entry data'!$A:$K,6,FALSE)),"",VLOOKUP($A695,'Entry data'!$A:$K,6,FALSE))</f>
        <v/>
      </c>
      <c r="G695" t="str">
        <f>IF(ISBLANK(VLOOKUP($A695,'Entry data'!$A:$K,7,FALSE)),"",VLOOKUP($A695,'Entry data'!$A:$K,7,FALSE))</f>
        <v/>
      </c>
      <c r="H695" t="str">
        <f>IF(ISBLANK(VLOOKUP($A695,'Entry data'!$A:$K,8,FALSE)),"",VLOOKUP($A695,'Entry data'!$A:$K,8,FALSE))</f>
        <v/>
      </c>
      <c r="I695" t="str">
        <f>IF(ISBLANK(VLOOKUP($A695,'Entry data'!$A:$K,9,FALSE)),"",VLOOKUP($A695,'Entry data'!$A:$K,9,FALSE))</f>
        <v/>
      </c>
      <c r="J695" t="str">
        <f>IF(ISBLANK(VLOOKUP($A695,'Entry data'!$A:$K,10,FALSE)),"",VLOOKUP($A695,'Entry data'!$A:$K,10,FALSE))</f>
        <v/>
      </c>
      <c r="K695" t="str">
        <f>IF(ISBLANK(VLOOKUP($A695,'Entry data'!$A:$K,11,FALSE)),"",VLOOKUP($A695,'Entry data'!$A:$K,11,FALSE))</f>
        <v/>
      </c>
      <c r="L695">
        <f>IF(OR(EXACT(D695,"C"),EXACT(D695,"P"),EXACT(D695,"D"),EXACT(D695,"T"),EXACT(D695,"X"),EXACT(E695,"DZF"),EXACT(E695,"OZF"),EXACT(D695,"N"),EXACT(D695,"F")),1,0)</f>
        <v>0</v>
      </c>
      <c r="M695" t="str">
        <f t="shared" si="40"/>
        <v/>
      </c>
      <c r="N695">
        <f t="shared" si="41"/>
        <v>0</v>
      </c>
      <c r="O695">
        <f t="shared" si="42"/>
        <v>0</v>
      </c>
      <c r="P695" t="str">
        <f t="shared" si="43"/>
        <v/>
      </c>
    </row>
    <row r="696" spans="1:16" x14ac:dyDescent="0.25">
      <c r="A696">
        <v>195</v>
      </c>
      <c r="B696" t="str">
        <f>IF(ISBLANK(VLOOKUP($A696,'Entry data'!$A:$K,2,FALSE)),"",VLOOKUP($A696,'Entry data'!$A:$K,2,FALSE))</f>
        <v/>
      </c>
      <c r="C696" t="str">
        <f>IF(ISBLANK(VLOOKUP($A696,'Entry data'!$A:$K,3,FALSE)),"",VLOOKUP($A696,'Entry data'!$A:$K,3,FALSE))</f>
        <v/>
      </c>
      <c r="D696" t="str">
        <f>IF(ISBLANK(VLOOKUP($A696,'Entry data'!$A:$K,4,FALSE)),"",VLOOKUP($A696,'Entry data'!$A:$K,4,FALSE))</f>
        <v/>
      </c>
      <c r="E696" t="str">
        <f>IF(ISBLANK(VLOOKUP($A696,'Entry data'!$A:$K,5,FALSE)),"",VLOOKUP($A696,'Entry data'!$A:$K,5,FALSE))</f>
        <v/>
      </c>
      <c r="F696" t="str">
        <f>IF(ISBLANK(VLOOKUP($A696,'Entry data'!$A:$K,6,FALSE)),"",VLOOKUP($A696,'Entry data'!$A:$K,6,FALSE))</f>
        <v/>
      </c>
      <c r="G696" t="str">
        <f>IF(ISBLANK(VLOOKUP($A696,'Entry data'!$A:$K,7,FALSE)),"",VLOOKUP($A696,'Entry data'!$A:$K,7,FALSE))</f>
        <v/>
      </c>
      <c r="H696" t="str">
        <f>IF(ISBLANK(VLOOKUP($A696,'Entry data'!$A:$K,8,FALSE)),"",VLOOKUP($A696,'Entry data'!$A:$K,8,FALSE))</f>
        <v/>
      </c>
      <c r="I696" t="str">
        <f>IF(ISBLANK(VLOOKUP($A696,'Entry data'!$A:$K,9,FALSE)),"",VLOOKUP($A696,'Entry data'!$A:$K,9,FALSE))</f>
        <v/>
      </c>
      <c r="J696" t="str">
        <f>IF(ISBLANK(VLOOKUP($A696,'Entry data'!$A:$K,10,FALSE)),"",VLOOKUP($A696,'Entry data'!$A:$K,10,FALSE))</f>
        <v/>
      </c>
      <c r="K696" t="str">
        <f>IF(ISBLANK(VLOOKUP($A696,'Entry data'!$A:$K,11,FALSE)),"",VLOOKUP($A696,'Entry data'!$A:$K,11,FALSE))</f>
        <v/>
      </c>
      <c r="L696">
        <f>IF(OR(EXACT(D696,"C"),EXACT(D696,"P"),EXACT(D696,"D"),EXACT(D696,"T"),EXACT(D696,"X"),EXACT(E696,"DZF"),EXACT(E696,"OZF"),EXACT(D696,"N"),EXACT(D696,"F")),1,0)</f>
        <v>0</v>
      </c>
      <c r="M696" t="str">
        <f t="shared" si="40"/>
        <v/>
      </c>
      <c r="N696">
        <f t="shared" si="41"/>
        <v>0</v>
      </c>
      <c r="O696">
        <f t="shared" si="42"/>
        <v>0</v>
      </c>
      <c r="P696" t="str">
        <f t="shared" si="43"/>
        <v/>
      </c>
    </row>
    <row r="697" spans="1:16" x14ac:dyDescent="0.25">
      <c r="A697">
        <v>196</v>
      </c>
      <c r="B697" t="str">
        <f>IF(ISBLANK(VLOOKUP($A697,'Entry data'!$A:$K,2,FALSE)),"",VLOOKUP($A697,'Entry data'!$A:$K,2,FALSE))</f>
        <v/>
      </c>
      <c r="C697" t="str">
        <f>IF(ISBLANK(VLOOKUP($A697,'Entry data'!$A:$K,3,FALSE)),"",VLOOKUP($A697,'Entry data'!$A:$K,3,FALSE))</f>
        <v/>
      </c>
      <c r="D697" t="str">
        <f>IF(ISBLANK(VLOOKUP($A697,'Entry data'!$A:$K,4,FALSE)),"",VLOOKUP($A697,'Entry data'!$A:$K,4,FALSE))</f>
        <v/>
      </c>
      <c r="E697" t="str">
        <f>IF(ISBLANK(VLOOKUP($A697,'Entry data'!$A:$K,5,FALSE)),"",VLOOKUP($A697,'Entry data'!$A:$K,5,FALSE))</f>
        <v/>
      </c>
      <c r="F697" t="str">
        <f>IF(ISBLANK(VLOOKUP($A697,'Entry data'!$A:$K,6,FALSE)),"",VLOOKUP($A697,'Entry data'!$A:$K,6,FALSE))</f>
        <v/>
      </c>
      <c r="G697" t="str">
        <f>IF(ISBLANK(VLOOKUP($A697,'Entry data'!$A:$K,7,FALSE)),"",VLOOKUP($A697,'Entry data'!$A:$K,7,FALSE))</f>
        <v/>
      </c>
      <c r="H697" t="str">
        <f>IF(ISBLANK(VLOOKUP($A697,'Entry data'!$A:$K,8,FALSE)),"",VLOOKUP($A697,'Entry data'!$A:$K,8,FALSE))</f>
        <v/>
      </c>
      <c r="I697" t="str">
        <f>IF(ISBLANK(VLOOKUP($A697,'Entry data'!$A:$K,9,FALSE)),"",VLOOKUP($A697,'Entry data'!$A:$K,9,FALSE))</f>
        <v/>
      </c>
      <c r="J697" t="str">
        <f>IF(ISBLANK(VLOOKUP($A697,'Entry data'!$A:$K,10,FALSE)),"",VLOOKUP($A697,'Entry data'!$A:$K,10,FALSE))</f>
        <v/>
      </c>
      <c r="K697" t="str">
        <f>IF(ISBLANK(VLOOKUP($A697,'Entry data'!$A:$K,11,FALSE)),"",VLOOKUP($A697,'Entry data'!$A:$K,11,FALSE))</f>
        <v/>
      </c>
      <c r="L697">
        <f>IF(OR(EXACT(D697,"C"),EXACT(D697,"P"),EXACT(D697,"D"),EXACT(D697,"T"),EXACT(D697,"X"),EXACT(E697,"DZF"),EXACT(E697,"OZF"),EXACT(D697,"N"),EXACT(D697,"F")),1,0)</f>
        <v>0</v>
      </c>
      <c r="M697" t="str">
        <f t="shared" si="40"/>
        <v/>
      </c>
      <c r="N697">
        <f t="shared" si="41"/>
        <v>0</v>
      </c>
      <c r="O697">
        <f t="shared" si="42"/>
        <v>0</v>
      </c>
      <c r="P697" t="str">
        <f t="shared" si="43"/>
        <v/>
      </c>
    </row>
    <row r="698" spans="1:16" x14ac:dyDescent="0.25">
      <c r="A698">
        <v>197</v>
      </c>
      <c r="B698" t="str">
        <f>IF(ISBLANK(VLOOKUP($A698,'Entry data'!$A:$K,2,FALSE)),"",VLOOKUP($A698,'Entry data'!$A:$K,2,FALSE))</f>
        <v/>
      </c>
      <c r="C698" t="str">
        <f>IF(ISBLANK(VLOOKUP($A698,'Entry data'!$A:$K,3,FALSE)),"",VLOOKUP($A698,'Entry data'!$A:$K,3,FALSE))</f>
        <v/>
      </c>
      <c r="D698" t="str">
        <f>IF(ISBLANK(VLOOKUP($A698,'Entry data'!$A:$K,4,FALSE)),"",VLOOKUP($A698,'Entry data'!$A:$K,4,FALSE))</f>
        <v/>
      </c>
      <c r="E698" t="str">
        <f>IF(ISBLANK(VLOOKUP($A698,'Entry data'!$A:$K,5,FALSE)),"",VLOOKUP($A698,'Entry data'!$A:$K,5,FALSE))</f>
        <v/>
      </c>
      <c r="F698" t="str">
        <f>IF(ISBLANK(VLOOKUP($A698,'Entry data'!$A:$K,6,FALSE)),"",VLOOKUP($A698,'Entry data'!$A:$K,6,FALSE))</f>
        <v/>
      </c>
      <c r="G698" t="str">
        <f>IF(ISBLANK(VLOOKUP($A698,'Entry data'!$A:$K,7,FALSE)),"",VLOOKUP($A698,'Entry data'!$A:$K,7,FALSE))</f>
        <v/>
      </c>
      <c r="H698" t="str">
        <f>IF(ISBLANK(VLOOKUP($A698,'Entry data'!$A:$K,8,FALSE)),"",VLOOKUP($A698,'Entry data'!$A:$K,8,FALSE))</f>
        <v/>
      </c>
      <c r="I698" t="str">
        <f>IF(ISBLANK(VLOOKUP($A698,'Entry data'!$A:$K,9,FALSE)),"",VLOOKUP($A698,'Entry data'!$A:$K,9,FALSE))</f>
        <v/>
      </c>
      <c r="J698" t="str">
        <f>IF(ISBLANK(VLOOKUP($A698,'Entry data'!$A:$K,10,FALSE)),"",VLOOKUP($A698,'Entry data'!$A:$K,10,FALSE))</f>
        <v/>
      </c>
      <c r="K698" t="str">
        <f>IF(ISBLANK(VLOOKUP($A698,'Entry data'!$A:$K,11,FALSE)),"",VLOOKUP($A698,'Entry data'!$A:$K,11,FALSE))</f>
        <v/>
      </c>
      <c r="L698">
        <f>IF(OR(EXACT(D698,"C"),EXACT(D698,"P"),EXACT(D698,"D"),EXACT(D698,"T"),EXACT(D698,"X"),EXACT(E698,"DZF"),EXACT(E698,"OZF"),EXACT(D698,"N"),EXACT(D698,"F")),1,0)</f>
        <v>0</v>
      </c>
      <c r="M698" t="str">
        <f t="shared" si="40"/>
        <v/>
      </c>
      <c r="N698">
        <f t="shared" si="41"/>
        <v>0</v>
      </c>
      <c r="O698">
        <f t="shared" si="42"/>
        <v>0</v>
      </c>
      <c r="P698" t="str">
        <f t="shared" si="43"/>
        <v/>
      </c>
    </row>
    <row r="699" spans="1:16" x14ac:dyDescent="0.25">
      <c r="A699">
        <v>198</v>
      </c>
      <c r="B699" t="str">
        <f>IF(ISBLANK(VLOOKUP($A699,'Entry data'!$A:$K,2,FALSE)),"",VLOOKUP($A699,'Entry data'!$A:$K,2,FALSE))</f>
        <v/>
      </c>
      <c r="C699" t="str">
        <f>IF(ISBLANK(VLOOKUP($A699,'Entry data'!$A:$K,3,FALSE)),"",VLOOKUP($A699,'Entry data'!$A:$K,3,FALSE))</f>
        <v/>
      </c>
      <c r="D699" t="str">
        <f>IF(ISBLANK(VLOOKUP($A699,'Entry data'!$A:$K,4,FALSE)),"",VLOOKUP($A699,'Entry data'!$A:$K,4,FALSE))</f>
        <v/>
      </c>
      <c r="E699" t="str">
        <f>IF(ISBLANK(VLOOKUP($A699,'Entry data'!$A:$K,5,FALSE)),"",VLOOKUP($A699,'Entry data'!$A:$K,5,FALSE))</f>
        <v/>
      </c>
      <c r="F699" t="str">
        <f>IF(ISBLANK(VLOOKUP($A699,'Entry data'!$A:$K,6,FALSE)),"",VLOOKUP($A699,'Entry data'!$A:$K,6,FALSE))</f>
        <v/>
      </c>
      <c r="G699" t="str">
        <f>IF(ISBLANK(VLOOKUP($A699,'Entry data'!$A:$K,7,FALSE)),"",VLOOKUP($A699,'Entry data'!$A:$K,7,FALSE))</f>
        <v/>
      </c>
      <c r="H699" t="str">
        <f>IF(ISBLANK(VLOOKUP($A699,'Entry data'!$A:$K,8,FALSE)),"",VLOOKUP($A699,'Entry data'!$A:$K,8,FALSE))</f>
        <v/>
      </c>
      <c r="I699" t="str">
        <f>IF(ISBLANK(VLOOKUP($A699,'Entry data'!$A:$K,9,FALSE)),"",VLOOKUP($A699,'Entry data'!$A:$K,9,FALSE))</f>
        <v/>
      </c>
      <c r="J699" t="str">
        <f>IF(ISBLANK(VLOOKUP($A699,'Entry data'!$A:$K,10,FALSE)),"",VLOOKUP($A699,'Entry data'!$A:$K,10,FALSE))</f>
        <v/>
      </c>
      <c r="K699" t="str">
        <f>IF(ISBLANK(VLOOKUP($A699,'Entry data'!$A:$K,11,FALSE)),"",VLOOKUP($A699,'Entry data'!$A:$K,11,FALSE))</f>
        <v/>
      </c>
      <c r="L699">
        <f>IF(OR(EXACT(D699,"C"),EXACT(D699,"P"),EXACT(D699,"D"),EXACT(D699,"T"),EXACT(D699,"X"),EXACT(E699,"DZF"),EXACT(E699,"OZF"),EXACT(D699,"N"),EXACT(D699,"F")),1,0)</f>
        <v>0</v>
      </c>
      <c r="M699" t="str">
        <f t="shared" si="40"/>
        <v/>
      </c>
      <c r="N699">
        <f t="shared" si="41"/>
        <v>0</v>
      </c>
      <c r="O699">
        <f t="shared" si="42"/>
        <v>0</v>
      </c>
      <c r="P699" t="str">
        <f t="shared" si="43"/>
        <v/>
      </c>
    </row>
    <row r="700" spans="1:16" x14ac:dyDescent="0.25">
      <c r="A700">
        <v>199</v>
      </c>
      <c r="B700" t="str">
        <f>IF(ISBLANK(VLOOKUP($A700,'Entry data'!$A:$K,2,FALSE)),"",VLOOKUP($A700,'Entry data'!$A:$K,2,FALSE))</f>
        <v/>
      </c>
      <c r="C700" t="str">
        <f>IF(ISBLANK(VLOOKUP($A700,'Entry data'!$A:$K,3,FALSE)),"",VLOOKUP($A700,'Entry data'!$A:$K,3,FALSE))</f>
        <v/>
      </c>
      <c r="D700" t="str">
        <f>IF(ISBLANK(VLOOKUP($A700,'Entry data'!$A:$K,4,FALSE)),"",VLOOKUP($A700,'Entry data'!$A:$K,4,FALSE))</f>
        <v/>
      </c>
      <c r="E700" t="str">
        <f>IF(ISBLANK(VLOOKUP($A700,'Entry data'!$A:$K,5,FALSE)),"",VLOOKUP($A700,'Entry data'!$A:$K,5,FALSE))</f>
        <v/>
      </c>
      <c r="F700" t="str">
        <f>IF(ISBLANK(VLOOKUP($A700,'Entry data'!$A:$K,6,FALSE)),"",VLOOKUP($A700,'Entry data'!$A:$K,6,FALSE))</f>
        <v/>
      </c>
      <c r="G700" t="str">
        <f>IF(ISBLANK(VLOOKUP($A700,'Entry data'!$A:$K,7,FALSE)),"",VLOOKUP($A700,'Entry data'!$A:$K,7,FALSE))</f>
        <v/>
      </c>
      <c r="H700" t="str">
        <f>IF(ISBLANK(VLOOKUP($A700,'Entry data'!$A:$K,8,FALSE)),"",VLOOKUP($A700,'Entry data'!$A:$K,8,FALSE))</f>
        <v/>
      </c>
      <c r="I700" t="str">
        <f>IF(ISBLANK(VLOOKUP($A700,'Entry data'!$A:$K,9,FALSE)),"",VLOOKUP($A700,'Entry data'!$A:$K,9,FALSE))</f>
        <v/>
      </c>
      <c r="J700" t="str">
        <f>IF(ISBLANK(VLOOKUP($A700,'Entry data'!$A:$K,10,FALSE)),"",VLOOKUP($A700,'Entry data'!$A:$K,10,FALSE))</f>
        <v/>
      </c>
      <c r="K700" t="str">
        <f>IF(ISBLANK(VLOOKUP($A700,'Entry data'!$A:$K,11,FALSE)),"",VLOOKUP($A700,'Entry data'!$A:$K,11,FALSE))</f>
        <v/>
      </c>
      <c r="L700">
        <f>IF(OR(EXACT(D700,"C"),EXACT(D700,"P"),EXACT(D700,"D"),EXACT(D700,"T"),EXACT(D700,"X"),EXACT(E700,"DZF"),EXACT(E700,"OZF"),EXACT(D700,"N"),EXACT(D700,"F")),1,0)</f>
        <v>0</v>
      </c>
      <c r="M700" t="str">
        <f t="shared" si="40"/>
        <v/>
      </c>
      <c r="N700">
        <f t="shared" si="41"/>
        <v>0</v>
      </c>
      <c r="O700">
        <f t="shared" si="42"/>
        <v>0</v>
      </c>
      <c r="P700" t="str">
        <f t="shared" si="43"/>
        <v/>
      </c>
    </row>
    <row r="701" spans="1:16" x14ac:dyDescent="0.25">
      <c r="A701">
        <v>200</v>
      </c>
      <c r="B701" t="str">
        <f>IF(ISBLANK(VLOOKUP($A701,'Entry data'!$A:$K,2,FALSE)),"",VLOOKUP($A701,'Entry data'!$A:$K,2,FALSE))</f>
        <v/>
      </c>
      <c r="C701" t="str">
        <f>IF(ISBLANK(VLOOKUP($A701,'Entry data'!$A:$K,3,FALSE)),"",VLOOKUP($A701,'Entry data'!$A:$K,3,FALSE))</f>
        <v/>
      </c>
      <c r="D701" t="str">
        <f>IF(ISBLANK(VLOOKUP($A701,'Entry data'!$A:$K,4,FALSE)),"",VLOOKUP($A701,'Entry data'!$A:$K,4,FALSE))</f>
        <v/>
      </c>
      <c r="E701" t="str">
        <f>IF(ISBLANK(VLOOKUP($A701,'Entry data'!$A:$K,5,FALSE)),"",VLOOKUP($A701,'Entry data'!$A:$K,5,FALSE))</f>
        <v/>
      </c>
      <c r="F701" t="str">
        <f>IF(ISBLANK(VLOOKUP($A701,'Entry data'!$A:$K,6,FALSE)),"",VLOOKUP($A701,'Entry data'!$A:$K,6,FALSE))</f>
        <v/>
      </c>
      <c r="G701" t="str">
        <f>IF(ISBLANK(VLOOKUP($A701,'Entry data'!$A:$K,7,FALSE)),"",VLOOKUP($A701,'Entry data'!$A:$K,7,FALSE))</f>
        <v/>
      </c>
      <c r="H701" t="str">
        <f>IF(ISBLANK(VLOOKUP($A701,'Entry data'!$A:$K,8,FALSE)),"",VLOOKUP($A701,'Entry data'!$A:$K,8,FALSE))</f>
        <v/>
      </c>
      <c r="I701" t="str">
        <f>IF(ISBLANK(VLOOKUP($A701,'Entry data'!$A:$K,9,FALSE)),"",VLOOKUP($A701,'Entry data'!$A:$K,9,FALSE))</f>
        <v/>
      </c>
      <c r="J701" t="str">
        <f>IF(ISBLANK(VLOOKUP($A701,'Entry data'!$A:$K,10,FALSE)),"",VLOOKUP($A701,'Entry data'!$A:$K,10,FALSE))</f>
        <v/>
      </c>
      <c r="K701" t="str">
        <f>IF(ISBLANK(VLOOKUP($A701,'Entry data'!$A:$K,11,FALSE)),"",VLOOKUP($A701,'Entry data'!$A:$K,11,FALSE))</f>
        <v/>
      </c>
      <c r="L701">
        <f>IF(OR(EXACT(D701,"C"),EXACT(D701,"P"),EXACT(D701,"D"),EXACT(D701,"T"),EXACT(D701,"X"),EXACT(E701,"DZF"),EXACT(E701,"OZF"),EXACT(D701,"N"),EXACT(D701,"F")),1,0)</f>
        <v>0</v>
      </c>
      <c r="M701" t="str">
        <f t="shared" si="40"/>
        <v/>
      </c>
      <c r="N701">
        <f t="shared" si="41"/>
        <v>0</v>
      </c>
      <c r="O701">
        <f t="shared" si="42"/>
        <v>0</v>
      </c>
      <c r="P701" t="str">
        <f t="shared" si="43"/>
        <v/>
      </c>
    </row>
    <row r="702" spans="1:16" x14ac:dyDescent="0.25">
      <c r="A702">
        <v>201</v>
      </c>
      <c r="B702" t="str">
        <f>IF(ISBLANK(VLOOKUP($A702,'Entry data'!$A:$K,2,FALSE)),"",VLOOKUP($A702,'Entry data'!$A:$K,2,FALSE))</f>
        <v/>
      </c>
      <c r="C702" t="str">
        <f>IF(ISBLANK(VLOOKUP($A702,'Entry data'!$A:$K,3,FALSE)),"",VLOOKUP($A702,'Entry data'!$A:$K,3,FALSE))</f>
        <v/>
      </c>
      <c r="D702" t="str">
        <f>IF(ISBLANK(VLOOKUP($A702,'Entry data'!$A:$K,4,FALSE)),"",VLOOKUP($A702,'Entry data'!$A:$K,4,FALSE))</f>
        <v/>
      </c>
      <c r="E702" t="str">
        <f>IF(ISBLANK(VLOOKUP($A702,'Entry data'!$A:$K,5,FALSE)),"",VLOOKUP($A702,'Entry data'!$A:$K,5,FALSE))</f>
        <v/>
      </c>
      <c r="F702" t="str">
        <f>IF(ISBLANK(VLOOKUP($A702,'Entry data'!$A:$K,6,FALSE)),"",VLOOKUP($A702,'Entry data'!$A:$K,6,FALSE))</f>
        <v/>
      </c>
      <c r="G702" t="str">
        <f>IF(ISBLANK(VLOOKUP($A702,'Entry data'!$A:$K,7,FALSE)),"",VLOOKUP($A702,'Entry data'!$A:$K,7,FALSE))</f>
        <v/>
      </c>
      <c r="H702" t="str">
        <f>IF(ISBLANK(VLOOKUP($A702,'Entry data'!$A:$K,8,FALSE)),"",VLOOKUP($A702,'Entry data'!$A:$K,8,FALSE))</f>
        <v/>
      </c>
      <c r="I702" t="str">
        <f>IF(ISBLANK(VLOOKUP($A702,'Entry data'!$A:$K,9,FALSE)),"",VLOOKUP($A702,'Entry data'!$A:$K,9,FALSE))</f>
        <v/>
      </c>
      <c r="J702" t="str">
        <f>IF(ISBLANK(VLOOKUP($A702,'Entry data'!$A:$K,10,FALSE)),"",VLOOKUP($A702,'Entry data'!$A:$K,10,FALSE))</f>
        <v/>
      </c>
      <c r="K702" t="str">
        <f>IF(ISBLANK(VLOOKUP($A702,'Entry data'!$A:$K,11,FALSE)),"",VLOOKUP($A702,'Entry data'!$A:$K,11,FALSE))</f>
        <v/>
      </c>
      <c r="L702">
        <f>IF(OR(EXACT(D702,"C"),EXACT(D702,"P"),EXACT(D702,"D"),EXACT(D702,"T"),EXACT(D702,"X"),EXACT(E702,"DZF"),EXACT(E702,"OZF"),EXACT(D702,"N"),EXACT(D702,"F")),1,0)</f>
        <v>0</v>
      </c>
      <c r="M702" t="str">
        <f t="shared" si="40"/>
        <v/>
      </c>
      <c r="N702">
        <f t="shared" si="41"/>
        <v>0</v>
      </c>
      <c r="O702">
        <f t="shared" si="42"/>
        <v>0</v>
      </c>
      <c r="P702" t="str">
        <f t="shared" si="43"/>
        <v/>
      </c>
    </row>
    <row r="703" spans="1:16" x14ac:dyDescent="0.25">
      <c r="A703">
        <v>202</v>
      </c>
      <c r="B703" t="str">
        <f>IF(ISBLANK(VLOOKUP($A703,'Entry data'!$A:$K,2,FALSE)),"",VLOOKUP($A703,'Entry data'!$A:$K,2,FALSE))</f>
        <v/>
      </c>
      <c r="C703" t="str">
        <f>IF(ISBLANK(VLOOKUP($A703,'Entry data'!$A:$K,3,FALSE)),"",VLOOKUP($A703,'Entry data'!$A:$K,3,FALSE))</f>
        <v/>
      </c>
      <c r="D703" t="str">
        <f>IF(ISBLANK(VLOOKUP($A703,'Entry data'!$A:$K,4,FALSE)),"",VLOOKUP($A703,'Entry data'!$A:$K,4,FALSE))</f>
        <v/>
      </c>
      <c r="E703" t="str">
        <f>IF(ISBLANK(VLOOKUP($A703,'Entry data'!$A:$K,5,FALSE)),"",VLOOKUP($A703,'Entry data'!$A:$K,5,FALSE))</f>
        <v/>
      </c>
      <c r="F703" t="str">
        <f>IF(ISBLANK(VLOOKUP($A703,'Entry data'!$A:$K,6,FALSE)),"",VLOOKUP($A703,'Entry data'!$A:$K,6,FALSE))</f>
        <v/>
      </c>
      <c r="G703" t="str">
        <f>IF(ISBLANK(VLOOKUP($A703,'Entry data'!$A:$K,7,FALSE)),"",VLOOKUP($A703,'Entry data'!$A:$K,7,FALSE))</f>
        <v/>
      </c>
      <c r="H703" t="str">
        <f>IF(ISBLANK(VLOOKUP($A703,'Entry data'!$A:$K,8,FALSE)),"",VLOOKUP($A703,'Entry data'!$A:$K,8,FALSE))</f>
        <v/>
      </c>
      <c r="I703" t="str">
        <f>IF(ISBLANK(VLOOKUP($A703,'Entry data'!$A:$K,9,FALSE)),"",VLOOKUP($A703,'Entry data'!$A:$K,9,FALSE))</f>
        <v/>
      </c>
      <c r="J703" t="str">
        <f>IF(ISBLANK(VLOOKUP($A703,'Entry data'!$A:$K,10,FALSE)),"",VLOOKUP($A703,'Entry data'!$A:$K,10,FALSE))</f>
        <v/>
      </c>
      <c r="K703" t="str">
        <f>IF(ISBLANK(VLOOKUP($A703,'Entry data'!$A:$K,11,FALSE)),"",VLOOKUP($A703,'Entry data'!$A:$K,11,FALSE))</f>
        <v/>
      </c>
      <c r="L703">
        <f>IF(OR(EXACT(D703,"C"),EXACT(D703,"P"),EXACT(D703,"D"),EXACT(D703,"T"),EXACT(D703,"X"),EXACT(E703,"DZF"),EXACT(E703,"OZF"),EXACT(D703,"N"),EXACT(D703,"F")),1,0)</f>
        <v>0</v>
      </c>
      <c r="M703" t="str">
        <f t="shared" si="40"/>
        <v/>
      </c>
      <c r="N703">
        <f t="shared" si="41"/>
        <v>0</v>
      </c>
      <c r="O703">
        <f t="shared" si="42"/>
        <v>0</v>
      </c>
      <c r="P703" t="str">
        <f t="shared" si="43"/>
        <v/>
      </c>
    </row>
    <row r="704" spans="1:16" x14ac:dyDescent="0.25">
      <c r="A704">
        <v>203</v>
      </c>
      <c r="B704" t="str">
        <f>IF(ISBLANK(VLOOKUP($A704,'Entry data'!$A:$K,2,FALSE)),"",VLOOKUP($A704,'Entry data'!$A:$K,2,FALSE))</f>
        <v/>
      </c>
      <c r="C704" t="str">
        <f>IF(ISBLANK(VLOOKUP($A704,'Entry data'!$A:$K,3,FALSE)),"",VLOOKUP($A704,'Entry data'!$A:$K,3,FALSE))</f>
        <v/>
      </c>
      <c r="D704" t="str">
        <f>IF(ISBLANK(VLOOKUP($A704,'Entry data'!$A:$K,4,FALSE)),"",VLOOKUP($A704,'Entry data'!$A:$K,4,FALSE))</f>
        <v/>
      </c>
      <c r="E704" t="str">
        <f>IF(ISBLANK(VLOOKUP($A704,'Entry data'!$A:$K,5,FALSE)),"",VLOOKUP($A704,'Entry data'!$A:$K,5,FALSE))</f>
        <v/>
      </c>
      <c r="F704" t="str">
        <f>IF(ISBLANK(VLOOKUP($A704,'Entry data'!$A:$K,6,FALSE)),"",VLOOKUP($A704,'Entry data'!$A:$K,6,FALSE))</f>
        <v/>
      </c>
      <c r="G704" t="str">
        <f>IF(ISBLANK(VLOOKUP($A704,'Entry data'!$A:$K,7,FALSE)),"",VLOOKUP($A704,'Entry data'!$A:$K,7,FALSE))</f>
        <v/>
      </c>
      <c r="H704" t="str">
        <f>IF(ISBLANK(VLOOKUP($A704,'Entry data'!$A:$K,8,FALSE)),"",VLOOKUP($A704,'Entry data'!$A:$K,8,FALSE))</f>
        <v/>
      </c>
      <c r="I704" t="str">
        <f>IF(ISBLANK(VLOOKUP($A704,'Entry data'!$A:$K,9,FALSE)),"",VLOOKUP($A704,'Entry data'!$A:$K,9,FALSE))</f>
        <v/>
      </c>
      <c r="J704" t="str">
        <f>IF(ISBLANK(VLOOKUP($A704,'Entry data'!$A:$K,10,FALSE)),"",VLOOKUP($A704,'Entry data'!$A:$K,10,FALSE))</f>
        <v/>
      </c>
      <c r="K704" t="str">
        <f>IF(ISBLANK(VLOOKUP($A704,'Entry data'!$A:$K,11,FALSE)),"",VLOOKUP($A704,'Entry data'!$A:$K,11,FALSE))</f>
        <v/>
      </c>
      <c r="L704">
        <f>IF(OR(EXACT(D704,"C"),EXACT(D704,"P"),EXACT(D704,"D"),EXACT(D704,"T"),EXACT(D704,"X"),EXACT(E704,"DZF"),EXACT(E704,"OZF"),EXACT(D704,"N"),EXACT(D704,"F")),1,0)</f>
        <v>0</v>
      </c>
      <c r="M704" t="str">
        <f t="shared" si="40"/>
        <v/>
      </c>
      <c r="N704">
        <f t="shared" si="41"/>
        <v>0</v>
      </c>
      <c r="O704">
        <f t="shared" si="42"/>
        <v>0</v>
      </c>
      <c r="P704" t="str">
        <f t="shared" si="43"/>
        <v/>
      </c>
    </row>
    <row r="705" spans="1:16" x14ac:dyDescent="0.25">
      <c r="A705">
        <v>204</v>
      </c>
      <c r="B705" t="str">
        <f>IF(ISBLANK(VLOOKUP($A705,'Entry data'!$A:$K,2,FALSE)),"",VLOOKUP($A705,'Entry data'!$A:$K,2,FALSE))</f>
        <v/>
      </c>
      <c r="C705" t="str">
        <f>IF(ISBLANK(VLOOKUP($A705,'Entry data'!$A:$K,3,FALSE)),"",VLOOKUP($A705,'Entry data'!$A:$K,3,FALSE))</f>
        <v/>
      </c>
      <c r="D705" t="str">
        <f>IF(ISBLANK(VLOOKUP($A705,'Entry data'!$A:$K,4,FALSE)),"",VLOOKUP($A705,'Entry data'!$A:$K,4,FALSE))</f>
        <v/>
      </c>
      <c r="E705" t="str">
        <f>IF(ISBLANK(VLOOKUP($A705,'Entry data'!$A:$K,5,FALSE)),"",VLOOKUP($A705,'Entry data'!$A:$K,5,FALSE))</f>
        <v/>
      </c>
      <c r="F705" t="str">
        <f>IF(ISBLANK(VLOOKUP($A705,'Entry data'!$A:$K,6,FALSE)),"",VLOOKUP($A705,'Entry data'!$A:$K,6,FALSE))</f>
        <v/>
      </c>
      <c r="G705" t="str">
        <f>IF(ISBLANK(VLOOKUP($A705,'Entry data'!$A:$K,7,FALSE)),"",VLOOKUP($A705,'Entry data'!$A:$K,7,FALSE))</f>
        <v/>
      </c>
      <c r="H705" t="str">
        <f>IF(ISBLANK(VLOOKUP($A705,'Entry data'!$A:$K,8,FALSE)),"",VLOOKUP($A705,'Entry data'!$A:$K,8,FALSE))</f>
        <v/>
      </c>
      <c r="I705" t="str">
        <f>IF(ISBLANK(VLOOKUP($A705,'Entry data'!$A:$K,9,FALSE)),"",VLOOKUP($A705,'Entry data'!$A:$K,9,FALSE))</f>
        <v/>
      </c>
      <c r="J705" t="str">
        <f>IF(ISBLANK(VLOOKUP($A705,'Entry data'!$A:$K,10,FALSE)),"",VLOOKUP($A705,'Entry data'!$A:$K,10,FALSE))</f>
        <v/>
      </c>
      <c r="K705" t="str">
        <f>IF(ISBLANK(VLOOKUP($A705,'Entry data'!$A:$K,11,FALSE)),"",VLOOKUP($A705,'Entry data'!$A:$K,11,FALSE))</f>
        <v/>
      </c>
      <c r="L705">
        <f>IF(OR(EXACT(D705,"C"),EXACT(D705,"P"),EXACT(D705,"D"),EXACT(D705,"T"),EXACT(D705,"X"),EXACT(E705,"DZF"),EXACT(E705,"OZF"),EXACT(D705,"N"),EXACT(D705,"F")),1,0)</f>
        <v>0</v>
      </c>
      <c r="M705" t="str">
        <f t="shared" si="40"/>
        <v/>
      </c>
      <c r="N705">
        <f t="shared" si="41"/>
        <v>0</v>
      </c>
      <c r="O705">
        <f t="shared" si="42"/>
        <v>0</v>
      </c>
      <c r="P705" t="str">
        <f t="shared" si="43"/>
        <v/>
      </c>
    </row>
    <row r="706" spans="1:16" x14ac:dyDescent="0.25">
      <c r="A706">
        <v>205</v>
      </c>
      <c r="B706" t="str">
        <f>IF(ISBLANK(VLOOKUP($A706,'Entry data'!$A:$K,2,FALSE)),"",VLOOKUP($A706,'Entry data'!$A:$K,2,FALSE))</f>
        <v/>
      </c>
      <c r="C706" t="str">
        <f>IF(ISBLANK(VLOOKUP($A706,'Entry data'!$A:$K,3,FALSE)),"",VLOOKUP($A706,'Entry data'!$A:$K,3,FALSE))</f>
        <v/>
      </c>
      <c r="D706" t="str">
        <f>IF(ISBLANK(VLOOKUP($A706,'Entry data'!$A:$K,4,FALSE)),"",VLOOKUP($A706,'Entry data'!$A:$K,4,FALSE))</f>
        <v/>
      </c>
      <c r="E706" t="str">
        <f>IF(ISBLANK(VLOOKUP($A706,'Entry data'!$A:$K,5,FALSE)),"",VLOOKUP($A706,'Entry data'!$A:$K,5,FALSE))</f>
        <v/>
      </c>
      <c r="F706" t="str">
        <f>IF(ISBLANK(VLOOKUP($A706,'Entry data'!$A:$K,6,FALSE)),"",VLOOKUP($A706,'Entry data'!$A:$K,6,FALSE))</f>
        <v/>
      </c>
      <c r="G706" t="str">
        <f>IF(ISBLANK(VLOOKUP($A706,'Entry data'!$A:$K,7,FALSE)),"",VLOOKUP($A706,'Entry data'!$A:$K,7,FALSE))</f>
        <v/>
      </c>
      <c r="H706" t="str">
        <f>IF(ISBLANK(VLOOKUP($A706,'Entry data'!$A:$K,8,FALSE)),"",VLOOKUP($A706,'Entry data'!$A:$K,8,FALSE))</f>
        <v/>
      </c>
      <c r="I706" t="str">
        <f>IF(ISBLANK(VLOOKUP($A706,'Entry data'!$A:$K,9,FALSE)),"",VLOOKUP($A706,'Entry data'!$A:$K,9,FALSE))</f>
        <v/>
      </c>
      <c r="J706" t="str">
        <f>IF(ISBLANK(VLOOKUP($A706,'Entry data'!$A:$K,10,FALSE)),"",VLOOKUP($A706,'Entry data'!$A:$K,10,FALSE))</f>
        <v/>
      </c>
      <c r="K706" t="str">
        <f>IF(ISBLANK(VLOOKUP($A706,'Entry data'!$A:$K,11,FALSE)),"",VLOOKUP($A706,'Entry data'!$A:$K,11,FALSE))</f>
        <v/>
      </c>
      <c r="L706">
        <f>IF(OR(EXACT(D706,"C"),EXACT(D706,"P"),EXACT(D706,"D"),EXACT(D706,"T"),EXACT(D706,"X"),EXACT(E706,"DZF"),EXACT(E706,"OZF"),EXACT(D706,"N"),EXACT(D706,"F")),1,0)</f>
        <v>0</v>
      </c>
      <c r="M706" t="str">
        <f t="shared" ref="M706:M769" si="44">IF(OR(EXACT(D706,"C"),EXACT(D706,"P")),E706,"")</f>
        <v/>
      </c>
      <c r="N706">
        <f t="shared" ref="N706:N769" si="45">IF(OR(EXACT(D706,"GOAL"),EXACT(D706,"SHOT"),EXACT(D706,"MISS")),1,0)+IF(L707=0,N707,0)</f>
        <v>0</v>
      </c>
      <c r="O706">
        <f t="shared" ref="O706:O769" si="46">IF(EXACT(D706,"GOAL"),1,0)+IF(L707=0,O707,0)</f>
        <v>0</v>
      </c>
      <c r="P706" t="str">
        <f t="shared" si="43"/>
        <v/>
      </c>
    </row>
    <row r="707" spans="1:16" x14ac:dyDescent="0.25">
      <c r="A707">
        <v>206</v>
      </c>
      <c r="B707" t="str">
        <f>IF(ISBLANK(VLOOKUP($A707,'Entry data'!$A:$K,2,FALSE)),"",VLOOKUP($A707,'Entry data'!$A:$K,2,FALSE))</f>
        <v/>
      </c>
      <c r="C707" t="str">
        <f>IF(ISBLANK(VLOOKUP($A707,'Entry data'!$A:$K,3,FALSE)),"",VLOOKUP($A707,'Entry data'!$A:$K,3,FALSE))</f>
        <v/>
      </c>
      <c r="D707" t="str">
        <f>IF(ISBLANK(VLOOKUP($A707,'Entry data'!$A:$K,4,FALSE)),"",VLOOKUP($A707,'Entry data'!$A:$K,4,FALSE))</f>
        <v/>
      </c>
      <c r="E707" t="str">
        <f>IF(ISBLANK(VLOOKUP($A707,'Entry data'!$A:$K,5,FALSE)),"",VLOOKUP($A707,'Entry data'!$A:$K,5,FALSE))</f>
        <v/>
      </c>
      <c r="F707" t="str">
        <f>IF(ISBLANK(VLOOKUP($A707,'Entry data'!$A:$K,6,FALSE)),"",VLOOKUP($A707,'Entry data'!$A:$K,6,FALSE))</f>
        <v/>
      </c>
      <c r="G707" t="str">
        <f>IF(ISBLANK(VLOOKUP($A707,'Entry data'!$A:$K,7,FALSE)),"",VLOOKUP($A707,'Entry data'!$A:$K,7,FALSE))</f>
        <v/>
      </c>
      <c r="H707" t="str">
        <f>IF(ISBLANK(VLOOKUP($A707,'Entry data'!$A:$K,8,FALSE)),"",VLOOKUP($A707,'Entry data'!$A:$K,8,FALSE))</f>
        <v/>
      </c>
      <c r="I707" t="str">
        <f>IF(ISBLANK(VLOOKUP($A707,'Entry data'!$A:$K,9,FALSE)),"",VLOOKUP($A707,'Entry data'!$A:$K,9,FALSE))</f>
        <v/>
      </c>
      <c r="J707" t="str">
        <f>IF(ISBLANK(VLOOKUP($A707,'Entry data'!$A:$K,10,FALSE)),"",VLOOKUP($A707,'Entry data'!$A:$K,10,FALSE))</f>
        <v/>
      </c>
      <c r="K707" t="str">
        <f>IF(ISBLANK(VLOOKUP($A707,'Entry data'!$A:$K,11,FALSE)),"",VLOOKUP($A707,'Entry data'!$A:$K,11,FALSE))</f>
        <v/>
      </c>
      <c r="L707">
        <f>IF(OR(EXACT(D707,"C"),EXACT(D707,"P"),EXACT(D707,"D"),EXACT(D707,"T"),EXACT(D707,"X"),EXACT(E707,"DZF"),EXACT(E707,"OZF"),EXACT(D707,"N"),EXACT(D707,"F")),1,0)</f>
        <v>0</v>
      </c>
      <c r="M707" t="str">
        <f t="shared" si="44"/>
        <v/>
      </c>
      <c r="N707">
        <f t="shared" si="45"/>
        <v>0</v>
      </c>
      <c r="O707">
        <f t="shared" si="46"/>
        <v>0</v>
      </c>
      <c r="P707" t="str">
        <f t="shared" ref="P707:P770" si="47">IF(EXACT(D707,"F"),E707,"")</f>
        <v/>
      </c>
    </row>
    <row r="708" spans="1:16" x14ac:dyDescent="0.25">
      <c r="A708">
        <v>207</v>
      </c>
      <c r="B708" t="str">
        <f>IF(ISBLANK(VLOOKUP($A708,'Entry data'!$A:$K,2,FALSE)),"",VLOOKUP($A708,'Entry data'!$A:$K,2,FALSE))</f>
        <v/>
      </c>
      <c r="C708" t="str">
        <f>IF(ISBLANK(VLOOKUP($A708,'Entry data'!$A:$K,3,FALSE)),"",VLOOKUP($A708,'Entry data'!$A:$K,3,FALSE))</f>
        <v/>
      </c>
      <c r="D708" t="str">
        <f>IF(ISBLANK(VLOOKUP($A708,'Entry data'!$A:$K,4,FALSE)),"",VLOOKUP($A708,'Entry data'!$A:$K,4,FALSE))</f>
        <v/>
      </c>
      <c r="E708" t="str">
        <f>IF(ISBLANK(VLOOKUP($A708,'Entry data'!$A:$K,5,FALSE)),"",VLOOKUP($A708,'Entry data'!$A:$K,5,FALSE))</f>
        <v/>
      </c>
      <c r="F708" t="str">
        <f>IF(ISBLANK(VLOOKUP($A708,'Entry data'!$A:$K,6,FALSE)),"",VLOOKUP($A708,'Entry data'!$A:$K,6,FALSE))</f>
        <v/>
      </c>
      <c r="G708" t="str">
        <f>IF(ISBLANK(VLOOKUP($A708,'Entry data'!$A:$K,7,FALSE)),"",VLOOKUP($A708,'Entry data'!$A:$K,7,FALSE))</f>
        <v/>
      </c>
      <c r="H708" t="str">
        <f>IF(ISBLANK(VLOOKUP($A708,'Entry data'!$A:$K,8,FALSE)),"",VLOOKUP($A708,'Entry data'!$A:$K,8,FALSE))</f>
        <v/>
      </c>
      <c r="I708" t="str">
        <f>IF(ISBLANK(VLOOKUP($A708,'Entry data'!$A:$K,9,FALSE)),"",VLOOKUP($A708,'Entry data'!$A:$K,9,FALSE))</f>
        <v/>
      </c>
      <c r="J708" t="str">
        <f>IF(ISBLANK(VLOOKUP($A708,'Entry data'!$A:$K,10,FALSE)),"",VLOOKUP($A708,'Entry data'!$A:$K,10,FALSE))</f>
        <v/>
      </c>
      <c r="K708" t="str">
        <f>IF(ISBLANK(VLOOKUP($A708,'Entry data'!$A:$K,11,FALSE)),"",VLOOKUP($A708,'Entry data'!$A:$K,11,FALSE))</f>
        <v/>
      </c>
      <c r="L708">
        <f>IF(OR(EXACT(D708,"C"),EXACT(D708,"P"),EXACT(D708,"D"),EXACT(D708,"T"),EXACT(D708,"X"),EXACT(E708,"DZF"),EXACT(E708,"OZF"),EXACT(D708,"N"),EXACT(D708,"F")),1,0)</f>
        <v>0</v>
      </c>
      <c r="M708" t="str">
        <f t="shared" si="44"/>
        <v/>
      </c>
      <c r="N708">
        <f t="shared" si="45"/>
        <v>0</v>
      </c>
      <c r="O708">
        <f t="shared" si="46"/>
        <v>0</v>
      </c>
      <c r="P708" t="str">
        <f t="shared" si="47"/>
        <v/>
      </c>
    </row>
    <row r="709" spans="1:16" x14ac:dyDescent="0.25">
      <c r="A709">
        <v>208</v>
      </c>
      <c r="B709" t="str">
        <f>IF(ISBLANK(VLOOKUP($A709,'Entry data'!$A:$K,2,FALSE)),"",VLOOKUP($A709,'Entry data'!$A:$K,2,FALSE))</f>
        <v/>
      </c>
      <c r="C709" t="str">
        <f>IF(ISBLANK(VLOOKUP($A709,'Entry data'!$A:$K,3,FALSE)),"",VLOOKUP($A709,'Entry data'!$A:$K,3,FALSE))</f>
        <v/>
      </c>
      <c r="D709" t="str">
        <f>IF(ISBLANK(VLOOKUP($A709,'Entry data'!$A:$K,4,FALSE)),"",VLOOKUP($A709,'Entry data'!$A:$K,4,FALSE))</f>
        <v/>
      </c>
      <c r="E709" t="str">
        <f>IF(ISBLANK(VLOOKUP($A709,'Entry data'!$A:$K,5,FALSE)),"",VLOOKUP($A709,'Entry data'!$A:$K,5,FALSE))</f>
        <v/>
      </c>
      <c r="F709" t="str">
        <f>IF(ISBLANK(VLOOKUP($A709,'Entry data'!$A:$K,6,FALSE)),"",VLOOKUP($A709,'Entry data'!$A:$K,6,FALSE))</f>
        <v/>
      </c>
      <c r="G709" t="str">
        <f>IF(ISBLANK(VLOOKUP($A709,'Entry data'!$A:$K,7,FALSE)),"",VLOOKUP($A709,'Entry data'!$A:$K,7,FALSE))</f>
        <v/>
      </c>
      <c r="H709" t="str">
        <f>IF(ISBLANK(VLOOKUP($A709,'Entry data'!$A:$K,8,FALSE)),"",VLOOKUP($A709,'Entry data'!$A:$K,8,FALSE))</f>
        <v/>
      </c>
      <c r="I709" t="str">
        <f>IF(ISBLANK(VLOOKUP($A709,'Entry data'!$A:$K,9,FALSE)),"",VLOOKUP($A709,'Entry data'!$A:$K,9,FALSE))</f>
        <v/>
      </c>
      <c r="J709" t="str">
        <f>IF(ISBLANK(VLOOKUP($A709,'Entry data'!$A:$K,10,FALSE)),"",VLOOKUP($A709,'Entry data'!$A:$K,10,FALSE))</f>
        <v/>
      </c>
      <c r="K709" t="str">
        <f>IF(ISBLANK(VLOOKUP($A709,'Entry data'!$A:$K,11,FALSE)),"",VLOOKUP($A709,'Entry data'!$A:$K,11,FALSE))</f>
        <v/>
      </c>
      <c r="L709">
        <f>IF(OR(EXACT(D709,"C"),EXACT(D709,"P"),EXACT(D709,"D"),EXACT(D709,"T"),EXACT(D709,"X"),EXACT(E709,"DZF"),EXACT(E709,"OZF"),EXACT(D709,"N"),EXACT(D709,"F")),1,0)</f>
        <v>0</v>
      </c>
      <c r="M709" t="str">
        <f t="shared" si="44"/>
        <v/>
      </c>
      <c r="N709">
        <f t="shared" si="45"/>
        <v>0</v>
      </c>
      <c r="O709">
        <f t="shared" si="46"/>
        <v>0</v>
      </c>
      <c r="P709" t="str">
        <f t="shared" si="47"/>
        <v/>
      </c>
    </row>
    <row r="710" spans="1:16" x14ac:dyDescent="0.25">
      <c r="A710">
        <v>209</v>
      </c>
      <c r="B710" t="str">
        <f>IF(ISBLANK(VLOOKUP($A710,'Entry data'!$A:$K,2,FALSE)),"",VLOOKUP($A710,'Entry data'!$A:$K,2,FALSE))</f>
        <v/>
      </c>
      <c r="C710" t="str">
        <f>IF(ISBLANK(VLOOKUP($A710,'Entry data'!$A:$K,3,FALSE)),"",VLOOKUP($A710,'Entry data'!$A:$K,3,FALSE))</f>
        <v/>
      </c>
      <c r="D710" t="str">
        <f>IF(ISBLANK(VLOOKUP($A710,'Entry data'!$A:$K,4,FALSE)),"",VLOOKUP($A710,'Entry data'!$A:$K,4,FALSE))</f>
        <v/>
      </c>
      <c r="E710" t="str">
        <f>IF(ISBLANK(VLOOKUP($A710,'Entry data'!$A:$K,5,FALSE)),"",VLOOKUP($A710,'Entry data'!$A:$K,5,FALSE))</f>
        <v/>
      </c>
      <c r="F710" t="str">
        <f>IF(ISBLANK(VLOOKUP($A710,'Entry data'!$A:$K,6,FALSE)),"",VLOOKUP($A710,'Entry data'!$A:$K,6,FALSE))</f>
        <v/>
      </c>
      <c r="G710" t="str">
        <f>IF(ISBLANK(VLOOKUP($A710,'Entry data'!$A:$K,7,FALSE)),"",VLOOKUP($A710,'Entry data'!$A:$K,7,FALSE))</f>
        <v/>
      </c>
      <c r="H710" t="str">
        <f>IF(ISBLANK(VLOOKUP($A710,'Entry data'!$A:$K,8,FALSE)),"",VLOOKUP($A710,'Entry data'!$A:$K,8,FALSE))</f>
        <v/>
      </c>
      <c r="I710" t="str">
        <f>IF(ISBLANK(VLOOKUP($A710,'Entry data'!$A:$K,9,FALSE)),"",VLOOKUP($A710,'Entry data'!$A:$K,9,FALSE))</f>
        <v/>
      </c>
      <c r="J710" t="str">
        <f>IF(ISBLANK(VLOOKUP($A710,'Entry data'!$A:$K,10,FALSE)),"",VLOOKUP($A710,'Entry data'!$A:$K,10,FALSE))</f>
        <v/>
      </c>
      <c r="K710" t="str">
        <f>IF(ISBLANK(VLOOKUP($A710,'Entry data'!$A:$K,11,FALSE)),"",VLOOKUP($A710,'Entry data'!$A:$K,11,FALSE))</f>
        <v/>
      </c>
      <c r="L710">
        <f>IF(OR(EXACT(D710,"C"),EXACT(D710,"P"),EXACT(D710,"D"),EXACT(D710,"T"),EXACT(D710,"X"),EXACT(E710,"DZF"),EXACT(E710,"OZF"),EXACT(D710,"N"),EXACT(D710,"F")),1,0)</f>
        <v>0</v>
      </c>
      <c r="M710" t="str">
        <f t="shared" si="44"/>
        <v/>
      </c>
      <c r="N710">
        <f t="shared" si="45"/>
        <v>0</v>
      </c>
      <c r="O710">
        <f t="shared" si="46"/>
        <v>0</v>
      </c>
      <c r="P710" t="str">
        <f t="shared" si="47"/>
        <v/>
      </c>
    </row>
    <row r="711" spans="1:16" x14ac:dyDescent="0.25">
      <c r="A711">
        <v>210</v>
      </c>
      <c r="B711" t="str">
        <f>IF(ISBLANK(VLOOKUP($A711,'Entry data'!$A:$K,2,FALSE)),"",VLOOKUP($A711,'Entry data'!$A:$K,2,FALSE))</f>
        <v/>
      </c>
      <c r="C711" t="str">
        <f>IF(ISBLANK(VLOOKUP($A711,'Entry data'!$A:$K,3,FALSE)),"",VLOOKUP($A711,'Entry data'!$A:$K,3,FALSE))</f>
        <v/>
      </c>
      <c r="D711" t="str">
        <f>IF(ISBLANK(VLOOKUP($A711,'Entry data'!$A:$K,4,FALSE)),"",VLOOKUP($A711,'Entry data'!$A:$K,4,FALSE))</f>
        <v/>
      </c>
      <c r="E711" t="str">
        <f>IF(ISBLANK(VLOOKUP($A711,'Entry data'!$A:$K,5,FALSE)),"",VLOOKUP($A711,'Entry data'!$A:$K,5,FALSE))</f>
        <v/>
      </c>
      <c r="F711" t="str">
        <f>IF(ISBLANK(VLOOKUP($A711,'Entry data'!$A:$K,6,FALSE)),"",VLOOKUP($A711,'Entry data'!$A:$K,6,FALSE))</f>
        <v/>
      </c>
      <c r="G711" t="str">
        <f>IF(ISBLANK(VLOOKUP($A711,'Entry data'!$A:$K,7,FALSE)),"",VLOOKUP($A711,'Entry data'!$A:$K,7,FALSE))</f>
        <v/>
      </c>
      <c r="H711" t="str">
        <f>IF(ISBLANK(VLOOKUP($A711,'Entry data'!$A:$K,8,FALSE)),"",VLOOKUP($A711,'Entry data'!$A:$K,8,FALSE))</f>
        <v/>
      </c>
      <c r="I711" t="str">
        <f>IF(ISBLANK(VLOOKUP($A711,'Entry data'!$A:$K,9,FALSE)),"",VLOOKUP($A711,'Entry data'!$A:$K,9,FALSE))</f>
        <v/>
      </c>
      <c r="J711" t="str">
        <f>IF(ISBLANK(VLOOKUP($A711,'Entry data'!$A:$K,10,FALSE)),"",VLOOKUP($A711,'Entry data'!$A:$K,10,FALSE))</f>
        <v/>
      </c>
      <c r="K711" t="str">
        <f>IF(ISBLANK(VLOOKUP($A711,'Entry data'!$A:$K,11,FALSE)),"",VLOOKUP($A711,'Entry data'!$A:$K,11,FALSE))</f>
        <v/>
      </c>
      <c r="L711">
        <f>IF(OR(EXACT(D711,"C"),EXACT(D711,"P"),EXACT(D711,"D"),EXACT(D711,"T"),EXACT(D711,"X"),EXACT(E711,"DZF"),EXACT(E711,"OZF"),EXACT(D711,"N"),EXACT(D711,"F")),1,0)</f>
        <v>0</v>
      </c>
      <c r="M711" t="str">
        <f t="shared" si="44"/>
        <v/>
      </c>
      <c r="N711">
        <f t="shared" si="45"/>
        <v>0</v>
      </c>
      <c r="O711">
        <f t="shared" si="46"/>
        <v>0</v>
      </c>
      <c r="P711" t="str">
        <f t="shared" si="47"/>
        <v/>
      </c>
    </row>
    <row r="712" spans="1:16" x14ac:dyDescent="0.25">
      <c r="A712">
        <v>211</v>
      </c>
      <c r="B712" t="str">
        <f>IF(ISBLANK(VLOOKUP($A712,'Entry data'!$A:$K,2,FALSE)),"",VLOOKUP($A712,'Entry data'!$A:$K,2,FALSE))</f>
        <v/>
      </c>
      <c r="C712" t="str">
        <f>IF(ISBLANK(VLOOKUP($A712,'Entry data'!$A:$K,3,FALSE)),"",VLOOKUP($A712,'Entry data'!$A:$K,3,FALSE))</f>
        <v/>
      </c>
      <c r="D712" t="str">
        <f>IF(ISBLANK(VLOOKUP($A712,'Entry data'!$A:$K,4,FALSE)),"",VLOOKUP($A712,'Entry data'!$A:$K,4,FALSE))</f>
        <v/>
      </c>
      <c r="E712" t="str">
        <f>IF(ISBLANK(VLOOKUP($A712,'Entry data'!$A:$K,5,FALSE)),"",VLOOKUP($A712,'Entry data'!$A:$K,5,FALSE))</f>
        <v/>
      </c>
      <c r="F712" t="str">
        <f>IF(ISBLANK(VLOOKUP($A712,'Entry data'!$A:$K,6,FALSE)),"",VLOOKUP($A712,'Entry data'!$A:$K,6,FALSE))</f>
        <v/>
      </c>
      <c r="G712" t="str">
        <f>IF(ISBLANK(VLOOKUP($A712,'Entry data'!$A:$K,7,FALSE)),"",VLOOKUP($A712,'Entry data'!$A:$K,7,FALSE))</f>
        <v/>
      </c>
      <c r="H712" t="str">
        <f>IF(ISBLANK(VLOOKUP($A712,'Entry data'!$A:$K,8,FALSE)),"",VLOOKUP($A712,'Entry data'!$A:$K,8,FALSE))</f>
        <v/>
      </c>
      <c r="I712" t="str">
        <f>IF(ISBLANK(VLOOKUP($A712,'Entry data'!$A:$K,9,FALSE)),"",VLOOKUP($A712,'Entry data'!$A:$K,9,FALSE))</f>
        <v/>
      </c>
      <c r="J712" t="str">
        <f>IF(ISBLANK(VLOOKUP($A712,'Entry data'!$A:$K,10,FALSE)),"",VLOOKUP($A712,'Entry data'!$A:$K,10,FALSE))</f>
        <v/>
      </c>
      <c r="K712" t="str">
        <f>IF(ISBLANK(VLOOKUP($A712,'Entry data'!$A:$K,11,FALSE)),"",VLOOKUP($A712,'Entry data'!$A:$K,11,FALSE))</f>
        <v/>
      </c>
      <c r="L712">
        <f>IF(OR(EXACT(D712,"C"),EXACT(D712,"P"),EXACT(D712,"D"),EXACT(D712,"T"),EXACT(D712,"X"),EXACT(E712,"DZF"),EXACT(E712,"OZF"),EXACT(D712,"N"),EXACT(D712,"F")),1,0)</f>
        <v>0</v>
      </c>
      <c r="M712" t="str">
        <f t="shared" si="44"/>
        <v/>
      </c>
      <c r="N712">
        <f t="shared" si="45"/>
        <v>0</v>
      </c>
      <c r="O712">
        <f t="shared" si="46"/>
        <v>0</v>
      </c>
      <c r="P712" t="str">
        <f t="shared" si="47"/>
        <v/>
      </c>
    </row>
    <row r="713" spans="1:16" x14ac:dyDescent="0.25">
      <c r="A713">
        <v>212</v>
      </c>
      <c r="B713" t="str">
        <f>IF(ISBLANK(VLOOKUP($A713,'Entry data'!$A:$K,2,FALSE)),"",VLOOKUP($A713,'Entry data'!$A:$K,2,FALSE))</f>
        <v/>
      </c>
      <c r="C713" t="str">
        <f>IF(ISBLANK(VLOOKUP($A713,'Entry data'!$A:$K,3,FALSE)),"",VLOOKUP($A713,'Entry data'!$A:$K,3,FALSE))</f>
        <v/>
      </c>
      <c r="D713" t="str">
        <f>IF(ISBLANK(VLOOKUP($A713,'Entry data'!$A:$K,4,FALSE)),"",VLOOKUP($A713,'Entry data'!$A:$K,4,FALSE))</f>
        <v/>
      </c>
      <c r="E713" t="str">
        <f>IF(ISBLANK(VLOOKUP($A713,'Entry data'!$A:$K,5,FALSE)),"",VLOOKUP($A713,'Entry data'!$A:$K,5,FALSE))</f>
        <v/>
      </c>
      <c r="F713" t="str">
        <f>IF(ISBLANK(VLOOKUP($A713,'Entry data'!$A:$K,6,FALSE)),"",VLOOKUP($A713,'Entry data'!$A:$K,6,FALSE))</f>
        <v/>
      </c>
      <c r="G713" t="str">
        <f>IF(ISBLANK(VLOOKUP($A713,'Entry data'!$A:$K,7,FALSE)),"",VLOOKUP($A713,'Entry data'!$A:$K,7,FALSE))</f>
        <v/>
      </c>
      <c r="H713" t="str">
        <f>IF(ISBLANK(VLOOKUP($A713,'Entry data'!$A:$K,8,FALSE)),"",VLOOKUP($A713,'Entry data'!$A:$K,8,FALSE))</f>
        <v/>
      </c>
      <c r="I713" t="str">
        <f>IF(ISBLANK(VLOOKUP($A713,'Entry data'!$A:$K,9,FALSE)),"",VLOOKUP($A713,'Entry data'!$A:$K,9,FALSE))</f>
        <v/>
      </c>
      <c r="J713" t="str">
        <f>IF(ISBLANK(VLOOKUP($A713,'Entry data'!$A:$K,10,FALSE)),"",VLOOKUP($A713,'Entry data'!$A:$K,10,FALSE))</f>
        <v/>
      </c>
      <c r="K713" t="str">
        <f>IF(ISBLANK(VLOOKUP($A713,'Entry data'!$A:$K,11,FALSE)),"",VLOOKUP($A713,'Entry data'!$A:$K,11,FALSE))</f>
        <v/>
      </c>
      <c r="L713">
        <f>IF(OR(EXACT(D713,"C"),EXACT(D713,"P"),EXACT(D713,"D"),EXACT(D713,"T"),EXACT(D713,"X"),EXACT(E713,"DZF"),EXACT(E713,"OZF"),EXACT(D713,"N"),EXACT(D713,"F")),1,0)</f>
        <v>0</v>
      </c>
      <c r="M713" t="str">
        <f t="shared" si="44"/>
        <v/>
      </c>
      <c r="N713">
        <f t="shared" si="45"/>
        <v>0</v>
      </c>
      <c r="O713">
        <f t="shared" si="46"/>
        <v>0</v>
      </c>
      <c r="P713" t="str">
        <f t="shared" si="47"/>
        <v/>
      </c>
    </row>
    <row r="714" spans="1:16" x14ac:dyDescent="0.25">
      <c r="A714">
        <v>213</v>
      </c>
      <c r="B714" t="str">
        <f>IF(ISBLANK(VLOOKUP($A714,'Entry data'!$A:$K,2,FALSE)),"",VLOOKUP($A714,'Entry data'!$A:$K,2,FALSE))</f>
        <v/>
      </c>
      <c r="C714" t="str">
        <f>IF(ISBLANK(VLOOKUP($A714,'Entry data'!$A:$K,3,FALSE)),"",VLOOKUP($A714,'Entry data'!$A:$K,3,FALSE))</f>
        <v/>
      </c>
      <c r="D714" t="str">
        <f>IF(ISBLANK(VLOOKUP($A714,'Entry data'!$A:$K,4,FALSE)),"",VLOOKUP($A714,'Entry data'!$A:$K,4,FALSE))</f>
        <v/>
      </c>
      <c r="E714" t="str">
        <f>IF(ISBLANK(VLOOKUP($A714,'Entry data'!$A:$K,5,FALSE)),"",VLOOKUP($A714,'Entry data'!$A:$K,5,FALSE))</f>
        <v/>
      </c>
      <c r="F714" t="str">
        <f>IF(ISBLANK(VLOOKUP($A714,'Entry data'!$A:$K,6,FALSE)),"",VLOOKUP($A714,'Entry data'!$A:$K,6,FALSE))</f>
        <v/>
      </c>
      <c r="G714" t="str">
        <f>IF(ISBLANK(VLOOKUP($A714,'Entry data'!$A:$K,7,FALSE)),"",VLOOKUP($A714,'Entry data'!$A:$K,7,FALSE))</f>
        <v/>
      </c>
      <c r="H714" t="str">
        <f>IF(ISBLANK(VLOOKUP($A714,'Entry data'!$A:$K,8,FALSE)),"",VLOOKUP($A714,'Entry data'!$A:$K,8,FALSE))</f>
        <v/>
      </c>
      <c r="I714" t="str">
        <f>IF(ISBLANK(VLOOKUP($A714,'Entry data'!$A:$K,9,FALSE)),"",VLOOKUP($A714,'Entry data'!$A:$K,9,FALSE))</f>
        <v/>
      </c>
      <c r="J714" t="str">
        <f>IF(ISBLANK(VLOOKUP($A714,'Entry data'!$A:$K,10,FALSE)),"",VLOOKUP($A714,'Entry data'!$A:$K,10,FALSE))</f>
        <v/>
      </c>
      <c r="K714" t="str">
        <f>IF(ISBLANK(VLOOKUP($A714,'Entry data'!$A:$K,11,FALSE)),"",VLOOKUP($A714,'Entry data'!$A:$K,11,FALSE))</f>
        <v/>
      </c>
      <c r="L714">
        <f>IF(OR(EXACT(D714,"C"),EXACT(D714,"P"),EXACT(D714,"D"),EXACT(D714,"T"),EXACT(D714,"X"),EXACT(E714,"DZF"),EXACT(E714,"OZF"),EXACT(D714,"N"),EXACT(D714,"F")),1,0)</f>
        <v>0</v>
      </c>
      <c r="M714" t="str">
        <f t="shared" si="44"/>
        <v/>
      </c>
      <c r="N714">
        <f t="shared" si="45"/>
        <v>0</v>
      </c>
      <c r="O714">
        <f t="shared" si="46"/>
        <v>0</v>
      </c>
      <c r="P714" t="str">
        <f t="shared" si="47"/>
        <v/>
      </c>
    </row>
    <row r="715" spans="1:16" x14ac:dyDescent="0.25">
      <c r="A715">
        <v>214</v>
      </c>
      <c r="B715" t="str">
        <f>IF(ISBLANK(VLOOKUP($A715,'Entry data'!$A:$K,2,FALSE)),"",VLOOKUP($A715,'Entry data'!$A:$K,2,FALSE))</f>
        <v/>
      </c>
      <c r="C715" t="str">
        <f>IF(ISBLANK(VLOOKUP($A715,'Entry data'!$A:$K,3,FALSE)),"",VLOOKUP($A715,'Entry data'!$A:$K,3,FALSE))</f>
        <v/>
      </c>
      <c r="D715" t="str">
        <f>IF(ISBLANK(VLOOKUP($A715,'Entry data'!$A:$K,4,FALSE)),"",VLOOKUP($A715,'Entry data'!$A:$K,4,FALSE))</f>
        <v/>
      </c>
      <c r="E715" t="str">
        <f>IF(ISBLANK(VLOOKUP($A715,'Entry data'!$A:$K,5,FALSE)),"",VLOOKUP($A715,'Entry data'!$A:$K,5,FALSE))</f>
        <v/>
      </c>
      <c r="F715" t="str">
        <f>IF(ISBLANK(VLOOKUP($A715,'Entry data'!$A:$K,6,FALSE)),"",VLOOKUP($A715,'Entry data'!$A:$K,6,FALSE))</f>
        <v/>
      </c>
      <c r="G715" t="str">
        <f>IF(ISBLANK(VLOOKUP($A715,'Entry data'!$A:$K,7,FALSE)),"",VLOOKUP($A715,'Entry data'!$A:$K,7,FALSE))</f>
        <v/>
      </c>
      <c r="H715" t="str">
        <f>IF(ISBLANK(VLOOKUP($A715,'Entry data'!$A:$K,8,FALSE)),"",VLOOKUP($A715,'Entry data'!$A:$K,8,FALSE))</f>
        <v/>
      </c>
      <c r="I715" t="str">
        <f>IF(ISBLANK(VLOOKUP($A715,'Entry data'!$A:$K,9,FALSE)),"",VLOOKUP($A715,'Entry data'!$A:$K,9,FALSE))</f>
        <v/>
      </c>
      <c r="J715" t="str">
        <f>IF(ISBLANK(VLOOKUP($A715,'Entry data'!$A:$K,10,FALSE)),"",VLOOKUP($A715,'Entry data'!$A:$K,10,FALSE))</f>
        <v/>
      </c>
      <c r="K715" t="str">
        <f>IF(ISBLANK(VLOOKUP($A715,'Entry data'!$A:$K,11,FALSE)),"",VLOOKUP($A715,'Entry data'!$A:$K,11,FALSE))</f>
        <v/>
      </c>
      <c r="L715">
        <f>IF(OR(EXACT(D715,"C"),EXACT(D715,"P"),EXACT(D715,"D"),EXACT(D715,"T"),EXACT(D715,"X"),EXACT(E715,"DZF"),EXACT(E715,"OZF"),EXACT(D715,"N"),EXACT(D715,"F")),1,0)</f>
        <v>0</v>
      </c>
      <c r="M715" t="str">
        <f t="shared" si="44"/>
        <v/>
      </c>
      <c r="N715">
        <f t="shared" si="45"/>
        <v>0</v>
      </c>
      <c r="O715">
        <f t="shared" si="46"/>
        <v>0</v>
      </c>
      <c r="P715" t="str">
        <f t="shared" si="47"/>
        <v/>
      </c>
    </row>
    <row r="716" spans="1:16" x14ac:dyDescent="0.25">
      <c r="A716">
        <v>215</v>
      </c>
      <c r="B716" t="str">
        <f>IF(ISBLANK(VLOOKUP($A716,'Entry data'!$A:$K,2,FALSE)),"",VLOOKUP($A716,'Entry data'!$A:$K,2,FALSE))</f>
        <v/>
      </c>
      <c r="C716" t="str">
        <f>IF(ISBLANK(VLOOKUP($A716,'Entry data'!$A:$K,3,FALSE)),"",VLOOKUP($A716,'Entry data'!$A:$K,3,FALSE))</f>
        <v/>
      </c>
      <c r="D716" t="str">
        <f>IF(ISBLANK(VLOOKUP($A716,'Entry data'!$A:$K,4,FALSE)),"",VLOOKUP($A716,'Entry data'!$A:$K,4,FALSE))</f>
        <v/>
      </c>
      <c r="E716" t="str">
        <f>IF(ISBLANK(VLOOKUP($A716,'Entry data'!$A:$K,5,FALSE)),"",VLOOKUP($A716,'Entry data'!$A:$K,5,FALSE))</f>
        <v/>
      </c>
      <c r="F716" t="str">
        <f>IF(ISBLANK(VLOOKUP($A716,'Entry data'!$A:$K,6,FALSE)),"",VLOOKUP($A716,'Entry data'!$A:$K,6,FALSE))</f>
        <v/>
      </c>
      <c r="G716" t="str">
        <f>IF(ISBLANK(VLOOKUP($A716,'Entry data'!$A:$K,7,FALSE)),"",VLOOKUP($A716,'Entry data'!$A:$K,7,FALSE))</f>
        <v/>
      </c>
      <c r="H716" t="str">
        <f>IF(ISBLANK(VLOOKUP($A716,'Entry data'!$A:$K,8,FALSE)),"",VLOOKUP($A716,'Entry data'!$A:$K,8,FALSE))</f>
        <v/>
      </c>
      <c r="I716" t="str">
        <f>IF(ISBLANK(VLOOKUP($A716,'Entry data'!$A:$K,9,FALSE)),"",VLOOKUP($A716,'Entry data'!$A:$K,9,FALSE))</f>
        <v/>
      </c>
      <c r="J716" t="str">
        <f>IF(ISBLANK(VLOOKUP($A716,'Entry data'!$A:$K,10,FALSE)),"",VLOOKUP($A716,'Entry data'!$A:$K,10,FALSE))</f>
        <v/>
      </c>
      <c r="K716" t="str">
        <f>IF(ISBLANK(VLOOKUP($A716,'Entry data'!$A:$K,11,FALSE)),"",VLOOKUP($A716,'Entry data'!$A:$K,11,FALSE))</f>
        <v/>
      </c>
      <c r="L716">
        <f>IF(OR(EXACT(D716,"C"),EXACT(D716,"P"),EXACT(D716,"D"),EXACT(D716,"T"),EXACT(D716,"X"),EXACT(E716,"DZF"),EXACT(E716,"OZF"),EXACT(D716,"N"),EXACT(D716,"F")),1,0)</f>
        <v>0</v>
      </c>
      <c r="M716" t="str">
        <f t="shared" si="44"/>
        <v/>
      </c>
      <c r="N716">
        <f t="shared" si="45"/>
        <v>0</v>
      </c>
      <c r="O716">
        <f t="shared" si="46"/>
        <v>0</v>
      </c>
      <c r="P716" t="str">
        <f t="shared" si="47"/>
        <v/>
      </c>
    </row>
    <row r="717" spans="1:16" x14ac:dyDescent="0.25">
      <c r="A717">
        <v>216</v>
      </c>
      <c r="B717" t="str">
        <f>IF(ISBLANK(VLOOKUP($A717,'Entry data'!$A:$K,2,FALSE)),"",VLOOKUP($A717,'Entry data'!$A:$K,2,FALSE))</f>
        <v/>
      </c>
      <c r="C717" t="str">
        <f>IF(ISBLANK(VLOOKUP($A717,'Entry data'!$A:$K,3,FALSE)),"",VLOOKUP($A717,'Entry data'!$A:$K,3,FALSE))</f>
        <v/>
      </c>
      <c r="D717" t="str">
        <f>IF(ISBLANK(VLOOKUP($A717,'Entry data'!$A:$K,4,FALSE)),"",VLOOKUP($A717,'Entry data'!$A:$K,4,FALSE))</f>
        <v/>
      </c>
      <c r="E717" t="str">
        <f>IF(ISBLANK(VLOOKUP($A717,'Entry data'!$A:$K,5,FALSE)),"",VLOOKUP($A717,'Entry data'!$A:$K,5,FALSE))</f>
        <v/>
      </c>
      <c r="F717" t="str">
        <f>IF(ISBLANK(VLOOKUP($A717,'Entry data'!$A:$K,6,FALSE)),"",VLOOKUP($A717,'Entry data'!$A:$K,6,FALSE))</f>
        <v/>
      </c>
      <c r="G717" t="str">
        <f>IF(ISBLANK(VLOOKUP($A717,'Entry data'!$A:$K,7,FALSE)),"",VLOOKUP($A717,'Entry data'!$A:$K,7,FALSE))</f>
        <v/>
      </c>
      <c r="H717" t="str">
        <f>IF(ISBLANK(VLOOKUP($A717,'Entry data'!$A:$K,8,FALSE)),"",VLOOKUP($A717,'Entry data'!$A:$K,8,FALSE))</f>
        <v/>
      </c>
      <c r="I717" t="str">
        <f>IF(ISBLANK(VLOOKUP($A717,'Entry data'!$A:$K,9,FALSE)),"",VLOOKUP($A717,'Entry data'!$A:$K,9,FALSE))</f>
        <v/>
      </c>
      <c r="J717" t="str">
        <f>IF(ISBLANK(VLOOKUP($A717,'Entry data'!$A:$K,10,FALSE)),"",VLOOKUP($A717,'Entry data'!$A:$K,10,FALSE))</f>
        <v/>
      </c>
      <c r="K717" t="str">
        <f>IF(ISBLANK(VLOOKUP($A717,'Entry data'!$A:$K,11,FALSE)),"",VLOOKUP($A717,'Entry data'!$A:$K,11,FALSE))</f>
        <v/>
      </c>
      <c r="L717">
        <f>IF(OR(EXACT(D717,"C"),EXACT(D717,"P"),EXACT(D717,"D"),EXACT(D717,"T"),EXACT(D717,"X"),EXACT(E717,"DZF"),EXACT(E717,"OZF"),EXACT(D717,"N"),EXACT(D717,"F")),1,0)</f>
        <v>0</v>
      </c>
      <c r="M717" t="str">
        <f t="shared" si="44"/>
        <v/>
      </c>
      <c r="N717">
        <f t="shared" si="45"/>
        <v>0</v>
      </c>
      <c r="O717">
        <f t="shared" si="46"/>
        <v>0</v>
      </c>
      <c r="P717" t="str">
        <f t="shared" si="47"/>
        <v/>
      </c>
    </row>
    <row r="718" spans="1:16" x14ac:dyDescent="0.25">
      <c r="A718">
        <v>217</v>
      </c>
      <c r="B718" t="str">
        <f>IF(ISBLANK(VLOOKUP($A718,'Entry data'!$A:$K,2,FALSE)),"",VLOOKUP($A718,'Entry data'!$A:$K,2,FALSE))</f>
        <v/>
      </c>
      <c r="C718" t="str">
        <f>IF(ISBLANK(VLOOKUP($A718,'Entry data'!$A:$K,3,FALSE)),"",VLOOKUP($A718,'Entry data'!$A:$K,3,FALSE))</f>
        <v/>
      </c>
      <c r="D718" t="str">
        <f>IF(ISBLANK(VLOOKUP($A718,'Entry data'!$A:$K,4,FALSE)),"",VLOOKUP($A718,'Entry data'!$A:$K,4,FALSE))</f>
        <v/>
      </c>
      <c r="E718" t="str">
        <f>IF(ISBLANK(VLOOKUP($A718,'Entry data'!$A:$K,5,FALSE)),"",VLOOKUP($A718,'Entry data'!$A:$K,5,FALSE))</f>
        <v/>
      </c>
      <c r="F718" t="str">
        <f>IF(ISBLANK(VLOOKUP($A718,'Entry data'!$A:$K,6,FALSE)),"",VLOOKUP($A718,'Entry data'!$A:$K,6,FALSE))</f>
        <v/>
      </c>
      <c r="G718" t="str">
        <f>IF(ISBLANK(VLOOKUP($A718,'Entry data'!$A:$K,7,FALSE)),"",VLOOKUP($A718,'Entry data'!$A:$K,7,FALSE))</f>
        <v/>
      </c>
      <c r="H718" t="str">
        <f>IF(ISBLANK(VLOOKUP($A718,'Entry data'!$A:$K,8,FALSE)),"",VLOOKUP($A718,'Entry data'!$A:$K,8,FALSE))</f>
        <v/>
      </c>
      <c r="I718" t="str">
        <f>IF(ISBLANK(VLOOKUP($A718,'Entry data'!$A:$K,9,FALSE)),"",VLOOKUP($A718,'Entry data'!$A:$K,9,FALSE))</f>
        <v/>
      </c>
      <c r="J718" t="str">
        <f>IF(ISBLANK(VLOOKUP($A718,'Entry data'!$A:$K,10,FALSE)),"",VLOOKUP($A718,'Entry data'!$A:$K,10,FALSE))</f>
        <v/>
      </c>
      <c r="K718" t="str">
        <f>IF(ISBLANK(VLOOKUP($A718,'Entry data'!$A:$K,11,FALSE)),"",VLOOKUP($A718,'Entry data'!$A:$K,11,FALSE))</f>
        <v/>
      </c>
      <c r="L718">
        <f>IF(OR(EXACT(D718,"C"),EXACT(D718,"P"),EXACT(D718,"D"),EXACT(D718,"T"),EXACT(D718,"X"),EXACT(E718,"DZF"),EXACT(E718,"OZF"),EXACT(D718,"N"),EXACT(D718,"F")),1,0)</f>
        <v>0</v>
      </c>
      <c r="M718" t="str">
        <f t="shared" si="44"/>
        <v/>
      </c>
      <c r="N718">
        <f t="shared" si="45"/>
        <v>0</v>
      </c>
      <c r="O718">
        <f t="shared" si="46"/>
        <v>0</v>
      </c>
      <c r="P718" t="str">
        <f t="shared" si="47"/>
        <v/>
      </c>
    </row>
    <row r="719" spans="1:16" x14ac:dyDescent="0.25">
      <c r="A719">
        <v>218</v>
      </c>
      <c r="B719" t="str">
        <f>IF(ISBLANK(VLOOKUP($A719,'Entry data'!$A:$K,2,FALSE)),"",VLOOKUP($A719,'Entry data'!$A:$K,2,FALSE))</f>
        <v/>
      </c>
      <c r="C719" t="str">
        <f>IF(ISBLANK(VLOOKUP($A719,'Entry data'!$A:$K,3,FALSE)),"",VLOOKUP($A719,'Entry data'!$A:$K,3,FALSE))</f>
        <v/>
      </c>
      <c r="D719" t="str">
        <f>IF(ISBLANK(VLOOKUP($A719,'Entry data'!$A:$K,4,FALSE)),"",VLOOKUP($A719,'Entry data'!$A:$K,4,FALSE))</f>
        <v/>
      </c>
      <c r="E719" t="str">
        <f>IF(ISBLANK(VLOOKUP($A719,'Entry data'!$A:$K,5,FALSE)),"",VLOOKUP($A719,'Entry data'!$A:$K,5,FALSE))</f>
        <v/>
      </c>
      <c r="F719" t="str">
        <f>IF(ISBLANK(VLOOKUP($A719,'Entry data'!$A:$K,6,FALSE)),"",VLOOKUP($A719,'Entry data'!$A:$K,6,FALSE))</f>
        <v/>
      </c>
      <c r="G719" t="str">
        <f>IF(ISBLANK(VLOOKUP($A719,'Entry data'!$A:$K,7,FALSE)),"",VLOOKUP($A719,'Entry data'!$A:$K,7,FALSE))</f>
        <v/>
      </c>
      <c r="H719" t="str">
        <f>IF(ISBLANK(VLOOKUP($A719,'Entry data'!$A:$K,8,FALSE)),"",VLOOKUP($A719,'Entry data'!$A:$K,8,FALSE))</f>
        <v/>
      </c>
      <c r="I719" t="str">
        <f>IF(ISBLANK(VLOOKUP($A719,'Entry data'!$A:$K,9,FALSE)),"",VLOOKUP($A719,'Entry data'!$A:$K,9,FALSE))</f>
        <v/>
      </c>
      <c r="J719" t="str">
        <f>IF(ISBLANK(VLOOKUP($A719,'Entry data'!$A:$K,10,FALSE)),"",VLOOKUP($A719,'Entry data'!$A:$K,10,FALSE))</f>
        <v/>
      </c>
      <c r="K719" t="str">
        <f>IF(ISBLANK(VLOOKUP($A719,'Entry data'!$A:$K,11,FALSE)),"",VLOOKUP($A719,'Entry data'!$A:$K,11,FALSE))</f>
        <v/>
      </c>
      <c r="L719">
        <f>IF(OR(EXACT(D719,"C"),EXACT(D719,"P"),EXACT(D719,"D"),EXACT(D719,"T"),EXACT(D719,"X"),EXACT(E719,"DZF"),EXACT(E719,"OZF"),EXACT(D719,"N"),EXACT(D719,"F")),1,0)</f>
        <v>0</v>
      </c>
      <c r="M719" t="str">
        <f t="shared" si="44"/>
        <v/>
      </c>
      <c r="N719">
        <f t="shared" si="45"/>
        <v>0</v>
      </c>
      <c r="O719">
        <f t="shared" si="46"/>
        <v>0</v>
      </c>
      <c r="P719" t="str">
        <f t="shared" si="47"/>
        <v/>
      </c>
    </row>
    <row r="720" spans="1:16" x14ac:dyDescent="0.25">
      <c r="A720">
        <v>219</v>
      </c>
      <c r="B720" t="str">
        <f>IF(ISBLANK(VLOOKUP($A720,'Entry data'!$A:$K,2,FALSE)),"",VLOOKUP($A720,'Entry data'!$A:$K,2,FALSE))</f>
        <v/>
      </c>
      <c r="C720" t="str">
        <f>IF(ISBLANK(VLOOKUP($A720,'Entry data'!$A:$K,3,FALSE)),"",VLOOKUP($A720,'Entry data'!$A:$K,3,FALSE))</f>
        <v/>
      </c>
      <c r="D720" t="str">
        <f>IF(ISBLANK(VLOOKUP($A720,'Entry data'!$A:$K,4,FALSE)),"",VLOOKUP($A720,'Entry data'!$A:$K,4,FALSE))</f>
        <v/>
      </c>
      <c r="E720" t="str">
        <f>IF(ISBLANK(VLOOKUP($A720,'Entry data'!$A:$K,5,FALSE)),"",VLOOKUP($A720,'Entry data'!$A:$K,5,FALSE))</f>
        <v/>
      </c>
      <c r="F720" t="str">
        <f>IF(ISBLANK(VLOOKUP($A720,'Entry data'!$A:$K,6,FALSE)),"",VLOOKUP($A720,'Entry data'!$A:$K,6,FALSE))</f>
        <v/>
      </c>
      <c r="G720" t="str">
        <f>IF(ISBLANK(VLOOKUP($A720,'Entry data'!$A:$K,7,FALSE)),"",VLOOKUP($A720,'Entry data'!$A:$K,7,FALSE))</f>
        <v/>
      </c>
      <c r="H720" t="str">
        <f>IF(ISBLANK(VLOOKUP($A720,'Entry data'!$A:$K,8,FALSE)),"",VLOOKUP($A720,'Entry data'!$A:$K,8,FALSE))</f>
        <v/>
      </c>
      <c r="I720" t="str">
        <f>IF(ISBLANK(VLOOKUP($A720,'Entry data'!$A:$K,9,FALSE)),"",VLOOKUP($A720,'Entry data'!$A:$K,9,FALSE))</f>
        <v/>
      </c>
      <c r="J720" t="str">
        <f>IF(ISBLANK(VLOOKUP($A720,'Entry data'!$A:$K,10,FALSE)),"",VLOOKUP($A720,'Entry data'!$A:$K,10,FALSE))</f>
        <v/>
      </c>
      <c r="K720" t="str">
        <f>IF(ISBLANK(VLOOKUP($A720,'Entry data'!$A:$K,11,FALSE)),"",VLOOKUP($A720,'Entry data'!$A:$K,11,FALSE))</f>
        <v/>
      </c>
      <c r="L720">
        <f>IF(OR(EXACT(D720,"C"),EXACT(D720,"P"),EXACT(D720,"D"),EXACT(D720,"T"),EXACT(D720,"X"),EXACT(E720,"DZF"),EXACT(E720,"OZF"),EXACT(D720,"N"),EXACT(D720,"F")),1,0)</f>
        <v>0</v>
      </c>
      <c r="M720" t="str">
        <f t="shared" si="44"/>
        <v/>
      </c>
      <c r="N720">
        <f t="shared" si="45"/>
        <v>0</v>
      </c>
      <c r="O720">
        <f t="shared" si="46"/>
        <v>0</v>
      </c>
      <c r="P720" t="str">
        <f t="shared" si="47"/>
        <v/>
      </c>
    </row>
    <row r="721" spans="1:16" x14ac:dyDescent="0.25">
      <c r="A721">
        <v>220</v>
      </c>
      <c r="B721" t="str">
        <f>IF(ISBLANK(VLOOKUP($A721,'Entry data'!$A:$K,2,FALSE)),"",VLOOKUP($A721,'Entry data'!$A:$K,2,FALSE))</f>
        <v/>
      </c>
      <c r="C721" t="str">
        <f>IF(ISBLANK(VLOOKUP($A721,'Entry data'!$A:$K,3,FALSE)),"",VLOOKUP($A721,'Entry data'!$A:$K,3,FALSE))</f>
        <v/>
      </c>
      <c r="D721" t="str">
        <f>IF(ISBLANK(VLOOKUP($A721,'Entry data'!$A:$K,4,FALSE)),"",VLOOKUP($A721,'Entry data'!$A:$K,4,FALSE))</f>
        <v/>
      </c>
      <c r="E721" t="str">
        <f>IF(ISBLANK(VLOOKUP($A721,'Entry data'!$A:$K,5,FALSE)),"",VLOOKUP($A721,'Entry data'!$A:$K,5,FALSE))</f>
        <v/>
      </c>
      <c r="F721" t="str">
        <f>IF(ISBLANK(VLOOKUP($A721,'Entry data'!$A:$K,6,FALSE)),"",VLOOKUP($A721,'Entry data'!$A:$K,6,FALSE))</f>
        <v/>
      </c>
      <c r="G721" t="str">
        <f>IF(ISBLANK(VLOOKUP($A721,'Entry data'!$A:$K,7,FALSE)),"",VLOOKUP($A721,'Entry data'!$A:$K,7,FALSE))</f>
        <v/>
      </c>
      <c r="H721" t="str">
        <f>IF(ISBLANK(VLOOKUP($A721,'Entry data'!$A:$K,8,FALSE)),"",VLOOKUP($A721,'Entry data'!$A:$K,8,FALSE))</f>
        <v/>
      </c>
      <c r="I721" t="str">
        <f>IF(ISBLANK(VLOOKUP($A721,'Entry data'!$A:$K,9,FALSE)),"",VLOOKUP($A721,'Entry data'!$A:$K,9,FALSE))</f>
        <v/>
      </c>
      <c r="J721" t="str">
        <f>IF(ISBLANK(VLOOKUP($A721,'Entry data'!$A:$K,10,FALSE)),"",VLOOKUP($A721,'Entry data'!$A:$K,10,FALSE))</f>
        <v/>
      </c>
      <c r="K721" t="str">
        <f>IF(ISBLANK(VLOOKUP($A721,'Entry data'!$A:$K,11,FALSE)),"",VLOOKUP($A721,'Entry data'!$A:$K,11,FALSE))</f>
        <v/>
      </c>
      <c r="L721">
        <f>IF(OR(EXACT(D721,"C"),EXACT(D721,"P"),EXACT(D721,"D"),EXACT(D721,"T"),EXACT(D721,"X"),EXACT(E721,"DZF"),EXACT(E721,"OZF"),EXACT(D721,"N"),EXACT(D721,"F")),1,0)</f>
        <v>0</v>
      </c>
      <c r="M721" t="str">
        <f t="shared" si="44"/>
        <v/>
      </c>
      <c r="N721">
        <f t="shared" si="45"/>
        <v>0</v>
      </c>
      <c r="O721">
        <f t="shared" si="46"/>
        <v>0</v>
      </c>
      <c r="P721" t="str">
        <f t="shared" si="47"/>
        <v/>
      </c>
    </row>
    <row r="722" spans="1:16" x14ac:dyDescent="0.25">
      <c r="A722">
        <v>221</v>
      </c>
      <c r="B722" t="str">
        <f>IF(ISBLANK(VLOOKUP($A722,'Entry data'!$A:$K,2,FALSE)),"",VLOOKUP($A722,'Entry data'!$A:$K,2,FALSE))</f>
        <v/>
      </c>
      <c r="C722" t="str">
        <f>IF(ISBLANK(VLOOKUP($A722,'Entry data'!$A:$K,3,FALSE)),"",VLOOKUP($A722,'Entry data'!$A:$K,3,FALSE))</f>
        <v/>
      </c>
      <c r="D722" t="str">
        <f>IF(ISBLANK(VLOOKUP($A722,'Entry data'!$A:$K,4,FALSE)),"",VLOOKUP($A722,'Entry data'!$A:$K,4,FALSE))</f>
        <v/>
      </c>
      <c r="E722" t="str">
        <f>IF(ISBLANK(VLOOKUP($A722,'Entry data'!$A:$K,5,FALSE)),"",VLOOKUP($A722,'Entry data'!$A:$K,5,FALSE))</f>
        <v/>
      </c>
      <c r="F722" t="str">
        <f>IF(ISBLANK(VLOOKUP($A722,'Entry data'!$A:$K,6,FALSE)),"",VLOOKUP($A722,'Entry data'!$A:$K,6,FALSE))</f>
        <v/>
      </c>
      <c r="G722" t="str">
        <f>IF(ISBLANK(VLOOKUP($A722,'Entry data'!$A:$K,7,FALSE)),"",VLOOKUP($A722,'Entry data'!$A:$K,7,FALSE))</f>
        <v/>
      </c>
      <c r="H722" t="str">
        <f>IF(ISBLANK(VLOOKUP($A722,'Entry data'!$A:$K,8,FALSE)),"",VLOOKUP($A722,'Entry data'!$A:$K,8,FALSE))</f>
        <v/>
      </c>
      <c r="I722" t="str">
        <f>IF(ISBLANK(VLOOKUP($A722,'Entry data'!$A:$K,9,FALSE)),"",VLOOKUP($A722,'Entry data'!$A:$K,9,FALSE))</f>
        <v/>
      </c>
      <c r="J722" t="str">
        <f>IF(ISBLANK(VLOOKUP($A722,'Entry data'!$A:$K,10,FALSE)),"",VLOOKUP($A722,'Entry data'!$A:$K,10,FALSE))</f>
        <v/>
      </c>
      <c r="K722" t="str">
        <f>IF(ISBLANK(VLOOKUP($A722,'Entry data'!$A:$K,11,FALSE)),"",VLOOKUP($A722,'Entry data'!$A:$K,11,FALSE))</f>
        <v/>
      </c>
      <c r="L722">
        <f>IF(OR(EXACT(D722,"C"),EXACT(D722,"P"),EXACT(D722,"D"),EXACT(D722,"T"),EXACT(D722,"X"),EXACT(E722,"DZF"),EXACT(E722,"OZF"),EXACT(D722,"N"),EXACT(D722,"F")),1,0)</f>
        <v>0</v>
      </c>
      <c r="M722" t="str">
        <f t="shared" si="44"/>
        <v/>
      </c>
      <c r="N722">
        <f t="shared" si="45"/>
        <v>0</v>
      </c>
      <c r="O722">
        <f t="shared" si="46"/>
        <v>0</v>
      </c>
      <c r="P722" t="str">
        <f t="shared" si="47"/>
        <v/>
      </c>
    </row>
    <row r="723" spans="1:16" x14ac:dyDescent="0.25">
      <c r="A723">
        <v>222</v>
      </c>
      <c r="B723" t="str">
        <f>IF(ISBLANK(VLOOKUP($A723,'Entry data'!$A:$K,2,FALSE)),"",VLOOKUP($A723,'Entry data'!$A:$K,2,FALSE))</f>
        <v/>
      </c>
      <c r="C723" t="str">
        <f>IF(ISBLANK(VLOOKUP($A723,'Entry data'!$A:$K,3,FALSE)),"",VLOOKUP($A723,'Entry data'!$A:$K,3,FALSE))</f>
        <v/>
      </c>
      <c r="D723" t="str">
        <f>IF(ISBLANK(VLOOKUP($A723,'Entry data'!$A:$K,4,FALSE)),"",VLOOKUP($A723,'Entry data'!$A:$K,4,FALSE))</f>
        <v/>
      </c>
      <c r="E723" t="str">
        <f>IF(ISBLANK(VLOOKUP($A723,'Entry data'!$A:$K,5,FALSE)),"",VLOOKUP($A723,'Entry data'!$A:$K,5,FALSE))</f>
        <v/>
      </c>
      <c r="F723" t="str">
        <f>IF(ISBLANK(VLOOKUP($A723,'Entry data'!$A:$K,6,FALSE)),"",VLOOKUP($A723,'Entry data'!$A:$K,6,FALSE))</f>
        <v/>
      </c>
      <c r="G723" t="str">
        <f>IF(ISBLANK(VLOOKUP($A723,'Entry data'!$A:$K,7,FALSE)),"",VLOOKUP($A723,'Entry data'!$A:$K,7,FALSE))</f>
        <v/>
      </c>
      <c r="H723" t="str">
        <f>IF(ISBLANK(VLOOKUP($A723,'Entry data'!$A:$K,8,FALSE)),"",VLOOKUP($A723,'Entry data'!$A:$K,8,FALSE))</f>
        <v/>
      </c>
      <c r="I723" t="str">
        <f>IF(ISBLANK(VLOOKUP($A723,'Entry data'!$A:$K,9,FALSE)),"",VLOOKUP($A723,'Entry data'!$A:$K,9,FALSE))</f>
        <v/>
      </c>
      <c r="J723" t="str">
        <f>IF(ISBLANK(VLOOKUP($A723,'Entry data'!$A:$K,10,FALSE)),"",VLOOKUP($A723,'Entry data'!$A:$K,10,FALSE))</f>
        <v/>
      </c>
      <c r="K723" t="str">
        <f>IF(ISBLANK(VLOOKUP($A723,'Entry data'!$A:$K,11,FALSE)),"",VLOOKUP($A723,'Entry data'!$A:$K,11,FALSE))</f>
        <v/>
      </c>
      <c r="L723">
        <f>IF(OR(EXACT(D723,"C"),EXACT(D723,"P"),EXACT(D723,"D"),EXACT(D723,"T"),EXACT(D723,"X"),EXACT(E723,"DZF"),EXACT(E723,"OZF"),EXACT(D723,"N"),EXACT(D723,"F")),1,0)</f>
        <v>0</v>
      </c>
      <c r="M723" t="str">
        <f t="shared" si="44"/>
        <v/>
      </c>
      <c r="N723">
        <f t="shared" si="45"/>
        <v>0</v>
      </c>
      <c r="O723">
        <f t="shared" si="46"/>
        <v>0</v>
      </c>
      <c r="P723" t="str">
        <f t="shared" si="47"/>
        <v/>
      </c>
    </row>
    <row r="724" spans="1:16" x14ac:dyDescent="0.25">
      <c r="A724">
        <v>223</v>
      </c>
      <c r="B724" t="str">
        <f>IF(ISBLANK(VLOOKUP($A724,'Entry data'!$A:$K,2,FALSE)),"",VLOOKUP($A724,'Entry data'!$A:$K,2,FALSE))</f>
        <v/>
      </c>
      <c r="C724" t="str">
        <f>IF(ISBLANK(VLOOKUP($A724,'Entry data'!$A:$K,3,FALSE)),"",VLOOKUP($A724,'Entry data'!$A:$K,3,FALSE))</f>
        <v/>
      </c>
      <c r="D724" t="str">
        <f>IF(ISBLANK(VLOOKUP($A724,'Entry data'!$A:$K,4,FALSE)),"",VLOOKUP($A724,'Entry data'!$A:$K,4,FALSE))</f>
        <v/>
      </c>
      <c r="E724" t="str">
        <f>IF(ISBLANK(VLOOKUP($A724,'Entry data'!$A:$K,5,FALSE)),"",VLOOKUP($A724,'Entry data'!$A:$K,5,FALSE))</f>
        <v/>
      </c>
      <c r="F724" t="str">
        <f>IF(ISBLANK(VLOOKUP($A724,'Entry data'!$A:$K,6,FALSE)),"",VLOOKUP($A724,'Entry data'!$A:$K,6,FALSE))</f>
        <v/>
      </c>
      <c r="G724" t="str">
        <f>IF(ISBLANK(VLOOKUP($A724,'Entry data'!$A:$K,7,FALSE)),"",VLOOKUP($A724,'Entry data'!$A:$K,7,FALSE))</f>
        <v/>
      </c>
      <c r="H724" t="str">
        <f>IF(ISBLANK(VLOOKUP($A724,'Entry data'!$A:$K,8,FALSE)),"",VLOOKUP($A724,'Entry data'!$A:$K,8,FALSE))</f>
        <v/>
      </c>
      <c r="I724" t="str">
        <f>IF(ISBLANK(VLOOKUP($A724,'Entry data'!$A:$K,9,FALSE)),"",VLOOKUP($A724,'Entry data'!$A:$K,9,FALSE))</f>
        <v/>
      </c>
      <c r="J724" t="str">
        <f>IF(ISBLANK(VLOOKUP($A724,'Entry data'!$A:$K,10,FALSE)),"",VLOOKUP($A724,'Entry data'!$A:$K,10,FALSE))</f>
        <v/>
      </c>
      <c r="K724" t="str">
        <f>IF(ISBLANK(VLOOKUP($A724,'Entry data'!$A:$K,11,FALSE)),"",VLOOKUP($A724,'Entry data'!$A:$K,11,FALSE))</f>
        <v/>
      </c>
      <c r="L724">
        <f>IF(OR(EXACT(D724,"C"),EXACT(D724,"P"),EXACT(D724,"D"),EXACT(D724,"T"),EXACT(D724,"X"),EXACT(E724,"DZF"),EXACT(E724,"OZF"),EXACT(D724,"N"),EXACT(D724,"F")),1,0)</f>
        <v>0</v>
      </c>
      <c r="M724" t="str">
        <f t="shared" si="44"/>
        <v/>
      </c>
      <c r="N724">
        <f t="shared" si="45"/>
        <v>0</v>
      </c>
      <c r="O724">
        <f t="shared" si="46"/>
        <v>0</v>
      </c>
      <c r="P724" t="str">
        <f t="shared" si="47"/>
        <v/>
      </c>
    </row>
    <row r="725" spans="1:16" x14ac:dyDescent="0.25">
      <c r="A725">
        <v>224</v>
      </c>
      <c r="B725" t="str">
        <f>IF(ISBLANK(VLOOKUP($A725,'Entry data'!$A:$K,2,FALSE)),"",VLOOKUP($A725,'Entry data'!$A:$K,2,FALSE))</f>
        <v/>
      </c>
      <c r="C725" t="str">
        <f>IF(ISBLANK(VLOOKUP($A725,'Entry data'!$A:$K,3,FALSE)),"",VLOOKUP($A725,'Entry data'!$A:$K,3,FALSE))</f>
        <v/>
      </c>
      <c r="D725" t="str">
        <f>IF(ISBLANK(VLOOKUP($A725,'Entry data'!$A:$K,4,FALSE)),"",VLOOKUP($A725,'Entry data'!$A:$K,4,FALSE))</f>
        <v/>
      </c>
      <c r="E725" t="str">
        <f>IF(ISBLANK(VLOOKUP($A725,'Entry data'!$A:$K,5,FALSE)),"",VLOOKUP($A725,'Entry data'!$A:$K,5,FALSE))</f>
        <v/>
      </c>
      <c r="F725" t="str">
        <f>IF(ISBLANK(VLOOKUP($A725,'Entry data'!$A:$K,6,FALSE)),"",VLOOKUP($A725,'Entry data'!$A:$K,6,FALSE))</f>
        <v/>
      </c>
      <c r="G725" t="str">
        <f>IF(ISBLANK(VLOOKUP($A725,'Entry data'!$A:$K,7,FALSE)),"",VLOOKUP($A725,'Entry data'!$A:$K,7,FALSE))</f>
        <v/>
      </c>
      <c r="H725" t="str">
        <f>IF(ISBLANK(VLOOKUP($A725,'Entry data'!$A:$K,8,FALSE)),"",VLOOKUP($A725,'Entry data'!$A:$K,8,FALSE))</f>
        <v/>
      </c>
      <c r="I725" t="str">
        <f>IF(ISBLANK(VLOOKUP($A725,'Entry data'!$A:$K,9,FALSE)),"",VLOOKUP($A725,'Entry data'!$A:$K,9,FALSE))</f>
        <v/>
      </c>
      <c r="J725" t="str">
        <f>IF(ISBLANK(VLOOKUP($A725,'Entry data'!$A:$K,10,FALSE)),"",VLOOKUP($A725,'Entry data'!$A:$K,10,FALSE))</f>
        <v/>
      </c>
      <c r="K725" t="str">
        <f>IF(ISBLANK(VLOOKUP($A725,'Entry data'!$A:$K,11,FALSE)),"",VLOOKUP($A725,'Entry data'!$A:$K,11,FALSE))</f>
        <v/>
      </c>
      <c r="L725">
        <f>IF(OR(EXACT(D725,"C"),EXACT(D725,"P"),EXACT(D725,"D"),EXACT(D725,"T"),EXACT(D725,"X"),EXACT(E725,"DZF"),EXACT(E725,"OZF"),EXACT(D725,"N"),EXACT(D725,"F")),1,0)</f>
        <v>0</v>
      </c>
      <c r="M725" t="str">
        <f t="shared" si="44"/>
        <v/>
      </c>
      <c r="N725">
        <f t="shared" si="45"/>
        <v>0</v>
      </c>
      <c r="O725">
        <f t="shared" si="46"/>
        <v>0</v>
      </c>
      <c r="P725" t="str">
        <f t="shared" si="47"/>
        <v/>
      </c>
    </row>
    <row r="726" spans="1:16" x14ac:dyDescent="0.25">
      <c r="A726">
        <v>225</v>
      </c>
      <c r="B726" t="str">
        <f>IF(ISBLANK(VLOOKUP($A726,'Entry data'!$A:$K,2,FALSE)),"",VLOOKUP($A726,'Entry data'!$A:$K,2,FALSE))</f>
        <v/>
      </c>
      <c r="C726" t="str">
        <f>IF(ISBLANK(VLOOKUP($A726,'Entry data'!$A:$K,3,FALSE)),"",VLOOKUP($A726,'Entry data'!$A:$K,3,FALSE))</f>
        <v/>
      </c>
      <c r="D726" t="str">
        <f>IF(ISBLANK(VLOOKUP($A726,'Entry data'!$A:$K,4,FALSE)),"",VLOOKUP($A726,'Entry data'!$A:$K,4,FALSE))</f>
        <v/>
      </c>
      <c r="E726" t="str">
        <f>IF(ISBLANK(VLOOKUP($A726,'Entry data'!$A:$K,5,FALSE)),"",VLOOKUP($A726,'Entry data'!$A:$K,5,FALSE))</f>
        <v/>
      </c>
      <c r="F726" t="str">
        <f>IF(ISBLANK(VLOOKUP($A726,'Entry data'!$A:$K,6,FALSE)),"",VLOOKUP($A726,'Entry data'!$A:$K,6,FALSE))</f>
        <v/>
      </c>
      <c r="G726" t="str">
        <f>IF(ISBLANK(VLOOKUP($A726,'Entry data'!$A:$K,7,FALSE)),"",VLOOKUP($A726,'Entry data'!$A:$K,7,FALSE))</f>
        <v/>
      </c>
      <c r="H726" t="str">
        <f>IF(ISBLANK(VLOOKUP($A726,'Entry data'!$A:$K,8,FALSE)),"",VLOOKUP($A726,'Entry data'!$A:$K,8,FALSE))</f>
        <v/>
      </c>
      <c r="I726" t="str">
        <f>IF(ISBLANK(VLOOKUP($A726,'Entry data'!$A:$K,9,FALSE)),"",VLOOKUP($A726,'Entry data'!$A:$K,9,FALSE))</f>
        <v/>
      </c>
      <c r="J726" t="str">
        <f>IF(ISBLANK(VLOOKUP($A726,'Entry data'!$A:$K,10,FALSE)),"",VLOOKUP($A726,'Entry data'!$A:$K,10,FALSE))</f>
        <v/>
      </c>
      <c r="K726" t="str">
        <f>IF(ISBLANK(VLOOKUP($A726,'Entry data'!$A:$K,11,FALSE)),"",VLOOKUP($A726,'Entry data'!$A:$K,11,FALSE))</f>
        <v/>
      </c>
      <c r="L726">
        <f>IF(OR(EXACT(D726,"C"),EXACT(D726,"P"),EXACT(D726,"D"),EXACT(D726,"T"),EXACT(D726,"X"),EXACT(E726,"DZF"),EXACT(E726,"OZF"),EXACT(D726,"N"),EXACT(D726,"F")),1,0)</f>
        <v>0</v>
      </c>
      <c r="M726" t="str">
        <f t="shared" si="44"/>
        <v/>
      </c>
      <c r="N726">
        <f t="shared" si="45"/>
        <v>0</v>
      </c>
      <c r="O726">
        <f t="shared" si="46"/>
        <v>0</v>
      </c>
      <c r="P726" t="str">
        <f t="shared" si="47"/>
        <v/>
      </c>
    </row>
    <row r="727" spans="1:16" x14ac:dyDescent="0.25">
      <c r="A727">
        <v>226</v>
      </c>
      <c r="B727" t="str">
        <f>IF(ISBLANK(VLOOKUP($A727,'Entry data'!$A:$K,2,FALSE)),"",VLOOKUP($A727,'Entry data'!$A:$K,2,FALSE))</f>
        <v/>
      </c>
      <c r="C727" t="str">
        <f>IF(ISBLANK(VLOOKUP($A727,'Entry data'!$A:$K,3,FALSE)),"",VLOOKUP($A727,'Entry data'!$A:$K,3,FALSE))</f>
        <v/>
      </c>
      <c r="D727" t="str">
        <f>IF(ISBLANK(VLOOKUP($A727,'Entry data'!$A:$K,4,FALSE)),"",VLOOKUP($A727,'Entry data'!$A:$K,4,FALSE))</f>
        <v/>
      </c>
      <c r="E727" t="str">
        <f>IF(ISBLANK(VLOOKUP($A727,'Entry data'!$A:$K,5,FALSE)),"",VLOOKUP($A727,'Entry data'!$A:$K,5,FALSE))</f>
        <v/>
      </c>
      <c r="F727" t="str">
        <f>IF(ISBLANK(VLOOKUP($A727,'Entry data'!$A:$K,6,FALSE)),"",VLOOKUP($A727,'Entry data'!$A:$K,6,FALSE))</f>
        <v/>
      </c>
      <c r="G727" t="str">
        <f>IF(ISBLANK(VLOOKUP($A727,'Entry data'!$A:$K,7,FALSE)),"",VLOOKUP($A727,'Entry data'!$A:$K,7,FALSE))</f>
        <v/>
      </c>
      <c r="H727" t="str">
        <f>IF(ISBLANK(VLOOKUP($A727,'Entry data'!$A:$K,8,FALSE)),"",VLOOKUP($A727,'Entry data'!$A:$K,8,FALSE))</f>
        <v/>
      </c>
      <c r="I727" t="str">
        <f>IF(ISBLANK(VLOOKUP($A727,'Entry data'!$A:$K,9,FALSE)),"",VLOOKUP($A727,'Entry data'!$A:$K,9,FALSE))</f>
        <v/>
      </c>
      <c r="J727" t="str">
        <f>IF(ISBLANK(VLOOKUP($A727,'Entry data'!$A:$K,10,FALSE)),"",VLOOKUP($A727,'Entry data'!$A:$K,10,FALSE))</f>
        <v/>
      </c>
      <c r="K727" t="str">
        <f>IF(ISBLANK(VLOOKUP($A727,'Entry data'!$A:$K,11,FALSE)),"",VLOOKUP($A727,'Entry data'!$A:$K,11,FALSE))</f>
        <v/>
      </c>
      <c r="L727">
        <f>IF(OR(EXACT(D727,"C"),EXACT(D727,"P"),EXACT(D727,"D"),EXACT(D727,"T"),EXACT(D727,"X"),EXACT(E727,"DZF"),EXACT(E727,"OZF"),EXACT(D727,"N"),EXACT(D727,"F")),1,0)</f>
        <v>0</v>
      </c>
      <c r="M727" t="str">
        <f t="shared" si="44"/>
        <v/>
      </c>
      <c r="N727">
        <f t="shared" si="45"/>
        <v>0</v>
      </c>
      <c r="O727">
        <f t="shared" si="46"/>
        <v>0</v>
      </c>
      <c r="P727" t="str">
        <f t="shared" si="47"/>
        <v/>
      </c>
    </row>
    <row r="728" spans="1:16" x14ac:dyDescent="0.25">
      <c r="A728">
        <v>227</v>
      </c>
      <c r="B728" t="str">
        <f>IF(ISBLANK(VLOOKUP($A728,'Entry data'!$A:$K,2,FALSE)),"",VLOOKUP($A728,'Entry data'!$A:$K,2,FALSE))</f>
        <v/>
      </c>
      <c r="C728" t="str">
        <f>IF(ISBLANK(VLOOKUP($A728,'Entry data'!$A:$K,3,FALSE)),"",VLOOKUP($A728,'Entry data'!$A:$K,3,FALSE))</f>
        <v/>
      </c>
      <c r="D728" t="str">
        <f>IF(ISBLANK(VLOOKUP($A728,'Entry data'!$A:$K,4,FALSE)),"",VLOOKUP($A728,'Entry data'!$A:$K,4,FALSE))</f>
        <v/>
      </c>
      <c r="E728" t="str">
        <f>IF(ISBLANK(VLOOKUP($A728,'Entry data'!$A:$K,5,FALSE)),"",VLOOKUP($A728,'Entry data'!$A:$K,5,FALSE))</f>
        <v/>
      </c>
      <c r="F728" t="str">
        <f>IF(ISBLANK(VLOOKUP($A728,'Entry data'!$A:$K,6,FALSE)),"",VLOOKUP($A728,'Entry data'!$A:$K,6,FALSE))</f>
        <v/>
      </c>
      <c r="G728" t="str">
        <f>IF(ISBLANK(VLOOKUP($A728,'Entry data'!$A:$K,7,FALSE)),"",VLOOKUP($A728,'Entry data'!$A:$K,7,FALSE))</f>
        <v/>
      </c>
      <c r="H728" t="str">
        <f>IF(ISBLANK(VLOOKUP($A728,'Entry data'!$A:$K,8,FALSE)),"",VLOOKUP($A728,'Entry data'!$A:$K,8,FALSE))</f>
        <v/>
      </c>
      <c r="I728" t="str">
        <f>IF(ISBLANK(VLOOKUP($A728,'Entry data'!$A:$K,9,FALSE)),"",VLOOKUP($A728,'Entry data'!$A:$K,9,FALSE))</f>
        <v/>
      </c>
      <c r="J728" t="str">
        <f>IF(ISBLANK(VLOOKUP($A728,'Entry data'!$A:$K,10,FALSE)),"",VLOOKUP($A728,'Entry data'!$A:$K,10,FALSE))</f>
        <v/>
      </c>
      <c r="K728" t="str">
        <f>IF(ISBLANK(VLOOKUP($A728,'Entry data'!$A:$K,11,FALSE)),"",VLOOKUP($A728,'Entry data'!$A:$K,11,FALSE))</f>
        <v/>
      </c>
      <c r="L728">
        <f>IF(OR(EXACT(D728,"C"),EXACT(D728,"P"),EXACT(D728,"D"),EXACT(D728,"T"),EXACT(D728,"X"),EXACT(E728,"DZF"),EXACT(E728,"OZF"),EXACT(D728,"N"),EXACT(D728,"F")),1,0)</f>
        <v>0</v>
      </c>
      <c r="M728" t="str">
        <f t="shared" si="44"/>
        <v/>
      </c>
      <c r="N728">
        <f t="shared" si="45"/>
        <v>0</v>
      </c>
      <c r="O728">
        <f t="shared" si="46"/>
        <v>0</v>
      </c>
      <c r="P728" t="str">
        <f t="shared" si="47"/>
        <v/>
      </c>
    </row>
    <row r="729" spans="1:16" x14ac:dyDescent="0.25">
      <c r="A729">
        <v>228</v>
      </c>
      <c r="B729" t="str">
        <f>IF(ISBLANK(VLOOKUP($A729,'Entry data'!$A:$K,2,FALSE)),"",VLOOKUP($A729,'Entry data'!$A:$K,2,FALSE))</f>
        <v/>
      </c>
      <c r="C729" t="str">
        <f>IF(ISBLANK(VLOOKUP($A729,'Entry data'!$A:$K,3,FALSE)),"",VLOOKUP($A729,'Entry data'!$A:$K,3,FALSE))</f>
        <v/>
      </c>
      <c r="D729" t="str">
        <f>IF(ISBLANK(VLOOKUP($A729,'Entry data'!$A:$K,4,FALSE)),"",VLOOKUP($A729,'Entry data'!$A:$K,4,FALSE))</f>
        <v/>
      </c>
      <c r="E729" t="str">
        <f>IF(ISBLANK(VLOOKUP($A729,'Entry data'!$A:$K,5,FALSE)),"",VLOOKUP($A729,'Entry data'!$A:$K,5,FALSE))</f>
        <v/>
      </c>
      <c r="F729" t="str">
        <f>IF(ISBLANK(VLOOKUP($A729,'Entry data'!$A:$K,6,FALSE)),"",VLOOKUP($A729,'Entry data'!$A:$K,6,FALSE))</f>
        <v/>
      </c>
      <c r="G729" t="str">
        <f>IF(ISBLANK(VLOOKUP($A729,'Entry data'!$A:$K,7,FALSE)),"",VLOOKUP($A729,'Entry data'!$A:$K,7,FALSE))</f>
        <v/>
      </c>
      <c r="H729" t="str">
        <f>IF(ISBLANK(VLOOKUP($A729,'Entry data'!$A:$K,8,FALSE)),"",VLOOKUP($A729,'Entry data'!$A:$K,8,FALSE))</f>
        <v/>
      </c>
      <c r="I729" t="str">
        <f>IF(ISBLANK(VLOOKUP($A729,'Entry data'!$A:$K,9,FALSE)),"",VLOOKUP($A729,'Entry data'!$A:$K,9,FALSE))</f>
        <v/>
      </c>
      <c r="J729" t="str">
        <f>IF(ISBLANK(VLOOKUP($A729,'Entry data'!$A:$K,10,FALSE)),"",VLOOKUP($A729,'Entry data'!$A:$K,10,FALSE))</f>
        <v/>
      </c>
      <c r="K729" t="str">
        <f>IF(ISBLANK(VLOOKUP($A729,'Entry data'!$A:$K,11,FALSE)),"",VLOOKUP($A729,'Entry data'!$A:$K,11,FALSE))</f>
        <v/>
      </c>
      <c r="L729">
        <f>IF(OR(EXACT(D729,"C"),EXACT(D729,"P"),EXACT(D729,"D"),EXACT(D729,"T"),EXACT(D729,"X"),EXACT(E729,"DZF"),EXACT(E729,"OZF"),EXACT(D729,"N"),EXACT(D729,"F")),1,0)</f>
        <v>0</v>
      </c>
      <c r="M729" t="str">
        <f t="shared" si="44"/>
        <v/>
      </c>
      <c r="N729">
        <f t="shared" si="45"/>
        <v>0</v>
      </c>
      <c r="O729">
        <f t="shared" si="46"/>
        <v>0</v>
      </c>
      <c r="P729" t="str">
        <f t="shared" si="47"/>
        <v/>
      </c>
    </row>
    <row r="730" spans="1:16" x14ac:dyDescent="0.25">
      <c r="A730">
        <v>229</v>
      </c>
      <c r="B730" t="str">
        <f>IF(ISBLANK(VLOOKUP($A730,'Entry data'!$A:$K,2,FALSE)),"",VLOOKUP($A730,'Entry data'!$A:$K,2,FALSE))</f>
        <v/>
      </c>
      <c r="C730" t="str">
        <f>IF(ISBLANK(VLOOKUP($A730,'Entry data'!$A:$K,3,FALSE)),"",VLOOKUP($A730,'Entry data'!$A:$K,3,FALSE))</f>
        <v/>
      </c>
      <c r="D730" t="str">
        <f>IF(ISBLANK(VLOOKUP($A730,'Entry data'!$A:$K,4,FALSE)),"",VLOOKUP($A730,'Entry data'!$A:$K,4,FALSE))</f>
        <v/>
      </c>
      <c r="E730" t="str">
        <f>IF(ISBLANK(VLOOKUP($A730,'Entry data'!$A:$K,5,FALSE)),"",VLOOKUP($A730,'Entry data'!$A:$K,5,FALSE))</f>
        <v/>
      </c>
      <c r="F730" t="str">
        <f>IF(ISBLANK(VLOOKUP($A730,'Entry data'!$A:$K,6,FALSE)),"",VLOOKUP($A730,'Entry data'!$A:$K,6,FALSE))</f>
        <v/>
      </c>
      <c r="G730" t="str">
        <f>IF(ISBLANK(VLOOKUP($A730,'Entry data'!$A:$K,7,FALSE)),"",VLOOKUP($A730,'Entry data'!$A:$K,7,FALSE))</f>
        <v/>
      </c>
      <c r="H730" t="str">
        <f>IF(ISBLANK(VLOOKUP($A730,'Entry data'!$A:$K,8,FALSE)),"",VLOOKUP($A730,'Entry data'!$A:$K,8,FALSE))</f>
        <v/>
      </c>
      <c r="I730" t="str">
        <f>IF(ISBLANK(VLOOKUP($A730,'Entry data'!$A:$K,9,FALSE)),"",VLOOKUP($A730,'Entry data'!$A:$K,9,FALSE))</f>
        <v/>
      </c>
      <c r="J730" t="str">
        <f>IF(ISBLANK(VLOOKUP($A730,'Entry data'!$A:$K,10,FALSE)),"",VLOOKUP($A730,'Entry data'!$A:$K,10,FALSE))</f>
        <v/>
      </c>
      <c r="K730" t="str">
        <f>IF(ISBLANK(VLOOKUP($A730,'Entry data'!$A:$K,11,FALSE)),"",VLOOKUP($A730,'Entry data'!$A:$K,11,FALSE))</f>
        <v/>
      </c>
      <c r="L730">
        <f>IF(OR(EXACT(D730,"C"),EXACT(D730,"P"),EXACT(D730,"D"),EXACT(D730,"T"),EXACT(D730,"X"),EXACT(E730,"DZF"),EXACT(E730,"OZF"),EXACT(D730,"N"),EXACT(D730,"F")),1,0)</f>
        <v>0</v>
      </c>
      <c r="M730" t="str">
        <f t="shared" si="44"/>
        <v/>
      </c>
      <c r="N730">
        <f t="shared" si="45"/>
        <v>0</v>
      </c>
      <c r="O730">
        <f t="shared" si="46"/>
        <v>0</v>
      </c>
      <c r="P730" t="str">
        <f t="shared" si="47"/>
        <v/>
      </c>
    </row>
    <row r="731" spans="1:16" x14ac:dyDescent="0.25">
      <c r="A731">
        <v>230</v>
      </c>
      <c r="B731" t="str">
        <f>IF(ISBLANK(VLOOKUP($A731,'Entry data'!$A:$K,2,FALSE)),"",VLOOKUP($A731,'Entry data'!$A:$K,2,FALSE))</f>
        <v/>
      </c>
      <c r="C731" t="str">
        <f>IF(ISBLANK(VLOOKUP($A731,'Entry data'!$A:$K,3,FALSE)),"",VLOOKUP($A731,'Entry data'!$A:$K,3,FALSE))</f>
        <v/>
      </c>
      <c r="D731" t="str">
        <f>IF(ISBLANK(VLOOKUP($A731,'Entry data'!$A:$K,4,FALSE)),"",VLOOKUP($A731,'Entry data'!$A:$K,4,FALSE))</f>
        <v/>
      </c>
      <c r="E731" t="str">
        <f>IF(ISBLANK(VLOOKUP($A731,'Entry data'!$A:$K,5,FALSE)),"",VLOOKUP($A731,'Entry data'!$A:$K,5,FALSE))</f>
        <v/>
      </c>
      <c r="F731" t="str">
        <f>IF(ISBLANK(VLOOKUP($A731,'Entry data'!$A:$K,6,FALSE)),"",VLOOKUP($A731,'Entry data'!$A:$K,6,FALSE))</f>
        <v/>
      </c>
      <c r="G731" t="str">
        <f>IF(ISBLANK(VLOOKUP($A731,'Entry data'!$A:$K,7,FALSE)),"",VLOOKUP($A731,'Entry data'!$A:$K,7,FALSE))</f>
        <v/>
      </c>
      <c r="H731" t="str">
        <f>IF(ISBLANK(VLOOKUP($A731,'Entry data'!$A:$K,8,FALSE)),"",VLOOKUP($A731,'Entry data'!$A:$K,8,FALSE))</f>
        <v/>
      </c>
      <c r="I731" t="str">
        <f>IF(ISBLANK(VLOOKUP($A731,'Entry data'!$A:$K,9,FALSE)),"",VLOOKUP($A731,'Entry data'!$A:$K,9,FALSE))</f>
        <v/>
      </c>
      <c r="J731" t="str">
        <f>IF(ISBLANK(VLOOKUP($A731,'Entry data'!$A:$K,10,FALSE)),"",VLOOKUP($A731,'Entry data'!$A:$K,10,FALSE))</f>
        <v/>
      </c>
      <c r="K731" t="str">
        <f>IF(ISBLANK(VLOOKUP($A731,'Entry data'!$A:$K,11,FALSE)),"",VLOOKUP($A731,'Entry data'!$A:$K,11,FALSE))</f>
        <v/>
      </c>
      <c r="L731">
        <f>IF(OR(EXACT(D731,"C"),EXACT(D731,"P"),EXACT(D731,"D"),EXACT(D731,"T"),EXACT(D731,"X"),EXACT(E731,"DZF"),EXACT(E731,"OZF"),EXACT(D731,"N"),EXACT(D731,"F")),1,0)</f>
        <v>0</v>
      </c>
      <c r="M731" t="str">
        <f t="shared" si="44"/>
        <v/>
      </c>
      <c r="N731">
        <f t="shared" si="45"/>
        <v>0</v>
      </c>
      <c r="O731">
        <f t="shared" si="46"/>
        <v>0</v>
      </c>
      <c r="P731" t="str">
        <f t="shared" si="47"/>
        <v/>
      </c>
    </row>
    <row r="732" spans="1:16" x14ac:dyDescent="0.25">
      <c r="A732">
        <v>231</v>
      </c>
      <c r="B732" t="str">
        <f>IF(ISBLANK(VLOOKUP($A732,'Entry data'!$A:$K,2,FALSE)),"",VLOOKUP($A732,'Entry data'!$A:$K,2,FALSE))</f>
        <v/>
      </c>
      <c r="C732" t="str">
        <f>IF(ISBLANK(VLOOKUP($A732,'Entry data'!$A:$K,3,FALSE)),"",VLOOKUP($A732,'Entry data'!$A:$K,3,FALSE))</f>
        <v/>
      </c>
      <c r="D732" t="str">
        <f>IF(ISBLANK(VLOOKUP($A732,'Entry data'!$A:$K,4,FALSE)),"",VLOOKUP($A732,'Entry data'!$A:$K,4,FALSE))</f>
        <v/>
      </c>
      <c r="E732" t="str">
        <f>IF(ISBLANK(VLOOKUP($A732,'Entry data'!$A:$K,5,FALSE)),"",VLOOKUP($A732,'Entry data'!$A:$K,5,FALSE))</f>
        <v/>
      </c>
      <c r="F732" t="str">
        <f>IF(ISBLANK(VLOOKUP($A732,'Entry data'!$A:$K,6,FALSE)),"",VLOOKUP($A732,'Entry data'!$A:$K,6,FALSE))</f>
        <v/>
      </c>
      <c r="G732" t="str">
        <f>IF(ISBLANK(VLOOKUP($A732,'Entry data'!$A:$K,7,FALSE)),"",VLOOKUP($A732,'Entry data'!$A:$K,7,FALSE))</f>
        <v/>
      </c>
      <c r="H732" t="str">
        <f>IF(ISBLANK(VLOOKUP($A732,'Entry data'!$A:$K,8,FALSE)),"",VLOOKUP($A732,'Entry data'!$A:$K,8,FALSE))</f>
        <v/>
      </c>
      <c r="I732" t="str">
        <f>IF(ISBLANK(VLOOKUP($A732,'Entry data'!$A:$K,9,FALSE)),"",VLOOKUP($A732,'Entry data'!$A:$K,9,FALSE))</f>
        <v/>
      </c>
      <c r="J732" t="str">
        <f>IF(ISBLANK(VLOOKUP($A732,'Entry data'!$A:$K,10,FALSE)),"",VLOOKUP($A732,'Entry data'!$A:$K,10,FALSE))</f>
        <v/>
      </c>
      <c r="K732" t="str">
        <f>IF(ISBLANK(VLOOKUP($A732,'Entry data'!$A:$K,11,FALSE)),"",VLOOKUP($A732,'Entry data'!$A:$K,11,FALSE))</f>
        <v/>
      </c>
      <c r="L732">
        <f>IF(OR(EXACT(D732,"C"),EXACT(D732,"P"),EXACT(D732,"D"),EXACT(D732,"T"),EXACT(D732,"X"),EXACT(E732,"DZF"),EXACT(E732,"OZF"),EXACT(D732,"N"),EXACT(D732,"F")),1,0)</f>
        <v>0</v>
      </c>
      <c r="M732" t="str">
        <f t="shared" si="44"/>
        <v/>
      </c>
      <c r="N732">
        <f t="shared" si="45"/>
        <v>0</v>
      </c>
      <c r="O732">
        <f t="shared" si="46"/>
        <v>0</v>
      </c>
      <c r="P732" t="str">
        <f t="shared" si="47"/>
        <v/>
      </c>
    </row>
    <row r="733" spans="1:16" x14ac:dyDescent="0.25">
      <c r="A733">
        <v>232</v>
      </c>
      <c r="B733" t="str">
        <f>IF(ISBLANK(VLOOKUP($A733,'Entry data'!$A:$K,2,FALSE)),"",VLOOKUP($A733,'Entry data'!$A:$K,2,FALSE))</f>
        <v/>
      </c>
      <c r="C733" t="str">
        <f>IF(ISBLANK(VLOOKUP($A733,'Entry data'!$A:$K,3,FALSE)),"",VLOOKUP($A733,'Entry data'!$A:$K,3,FALSE))</f>
        <v/>
      </c>
      <c r="D733" t="str">
        <f>IF(ISBLANK(VLOOKUP($A733,'Entry data'!$A:$K,4,FALSE)),"",VLOOKUP($A733,'Entry data'!$A:$K,4,FALSE))</f>
        <v/>
      </c>
      <c r="E733" t="str">
        <f>IF(ISBLANK(VLOOKUP($A733,'Entry data'!$A:$K,5,FALSE)),"",VLOOKUP($A733,'Entry data'!$A:$K,5,FALSE))</f>
        <v/>
      </c>
      <c r="F733" t="str">
        <f>IF(ISBLANK(VLOOKUP($A733,'Entry data'!$A:$K,6,FALSE)),"",VLOOKUP($A733,'Entry data'!$A:$K,6,FALSE))</f>
        <v/>
      </c>
      <c r="G733" t="str">
        <f>IF(ISBLANK(VLOOKUP($A733,'Entry data'!$A:$K,7,FALSE)),"",VLOOKUP($A733,'Entry data'!$A:$K,7,FALSE))</f>
        <v/>
      </c>
      <c r="H733" t="str">
        <f>IF(ISBLANK(VLOOKUP($A733,'Entry data'!$A:$K,8,FALSE)),"",VLOOKUP($A733,'Entry data'!$A:$K,8,FALSE))</f>
        <v/>
      </c>
      <c r="I733" t="str">
        <f>IF(ISBLANK(VLOOKUP($A733,'Entry data'!$A:$K,9,FALSE)),"",VLOOKUP($A733,'Entry data'!$A:$K,9,FALSE))</f>
        <v/>
      </c>
      <c r="J733" t="str">
        <f>IF(ISBLANK(VLOOKUP($A733,'Entry data'!$A:$K,10,FALSE)),"",VLOOKUP($A733,'Entry data'!$A:$K,10,FALSE))</f>
        <v/>
      </c>
      <c r="K733" t="str">
        <f>IF(ISBLANK(VLOOKUP($A733,'Entry data'!$A:$K,11,FALSE)),"",VLOOKUP($A733,'Entry data'!$A:$K,11,FALSE))</f>
        <v/>
      </c>
      <c r="L733">
        <f>IF(OR(EXACT(D733,"C"),EXACT(D733,"P"),EXACT(D733,"D"),EXACT(D733,"T"),EXACT(D733,"X"),EXACT(E733,"DZF"),EXACT(E733,"OZF"),EXACT(D733,"N"),EXACT(D733,"F")),1,0)</f>
        <v>0</v>
      </c>
      <c r="M733" t="str">
        <f t="shared" si="44"/>
        <v/>
      </c>
      <c r="N733">
        <f t="shared" si="45"/>
        <v>0</v>
      </c>
      <c r="O733">
        <f t="shared" si="46"/>
        <v>0</v>
      </c>
      <c r="P733" t="str">
        <f t="shared" si="47"/>
        <v/>
      </c>
    </row>
    <row r="734" spans="1:16" x14ac:dyDescent="0.25">
      <c r="A734">
        <v>233</v>
      </c>
      <c r="B734" t="str">
        <f>IF(ISBLANK(VLOOKUP($A734,'Entry data'!$A:$K,2,FALSE)),"",VLOOKUP($A734,'Entry data'!$A:$K,2,FALSE))</f>
        <v/>
      </c>
      <c r="C734" t="str">
        <f>IF(ISBLANK(VLOOKUP($A734,'Entry data'!$A:$K,3,FALSE)),"",VLOOKUP($A734,'Entry data'!$A:$K,3,FALSE))</f>
        <v/>
      </c>
      <c r="D734" t="str">
        <f>IF(ISBLANK(VLOOKUP($A734,'Entry data'!$A:$K,4,FALSE)),"",VLOOKUP($A734,'Entry data'!$A:$K,4,FALSE))</f>
        <v/>
      </c>
      <c r="E734" t="str">
        <f>IF(ISBLANK(VLOOKUP($A734,'Entry data'!$A:$K,5,FALSE)),"",VLOOKUP($A734,'Entry data'!$A:$K,5,FALSE))</f>
        <v/>
      </c>
      <c r="F734" t="str">
        <f>IF(ISBLANK(VLOOKUP($A734,'Entry data'!$A:$K,6,FALSE)),"",VLOOKUP($A734,'Entry data'!$A:$K,6,FALSE))</f>
        <v/>
      </c>
      <c r="G734" t="str">
        <f>IF(ISBLANK(VLOOKUP($A734,'Entry data'!$A:$K,7,FALSE)),"",VLOOKUP($A734,'Entry data'!$A:$K,7,FALSE))</f>
        <v/>
      </c>
      <c r="H734" t="str">
        <f>IF(ISBLANK(VLOOKUP($A734,'Entry data'!$A:$K,8,FALSE)),"",VLOOKUP($A734,'Entry data'!$A:$K,8,FALSE))</f>
        <v/>
      </c>
      <c r="I734" t="str">
        <f>IF(ISBLANK(VLOOKUP($A734,'Entry data'!$A:$K,9,FALSE)),"",VLOOKUP($A734,'Entry data'!$A:$K,9,FALSE))</f>
        <v/>
      </c>
      <c r="J734" t="str">
        <f>IF(ISBLANK(VLOOKUP($A734,'Entry data'!$A:$K,10,FALSE)),"",VLOOKUP($A734,'Entry data'!$A:$K,10,FALSE))</f>
        <v/>
      </c>
      <c r="K734" t="str">
        <f>IF(ISBLANK(VLOOKUP($A734,'Entry data'!$A:$K,11,FALSE)),"",VLOOKUP($A734,'Entry data'!$A:$K,11,FALSE))</f>
        <v/>
      </c>
      <c r="L734">
        <f>IF(OR(EXACT(D734,"C"),EXACT(D734,"P"),EXACT(D734,"D"),EXACT(D734,"T"),EXACT(D734,"X"),EXACT(E734,"DZF"),EXACT(E734,"OZF"),EXACT(D734,"N"),EXACT(D734,"F")),1,0)</f>
        <v>0</v>
      </c>
      <c r="M734" t="str">
        <f t="shared" si="44"/>
        <v/>
      </c>
      <c r="N734">
        <f t="shared" si="45"/>
        <v>0</v>
      </c>
      <c r="O734">
        <f t="shared" si="46"/>
        <v>0</v>
      </c>
      <c r="P734" t="str">
        <f t="shared" si="47"/>
        <v/>
      </c>
    </row>
    <row r="735" spans="1:16" x14ac:dyDescent="0.25">
      <c r="A735">
        <v>234</v>
      </c>
      <c r="B735" t="str">
        <f>IF(ISBLANK(VLOOKUP($A735,'Entry data'!$A:$K,2,FALSE)),"",VLOOKUP($A735,'Entry data'!$A:$K,2,FALSE))</f>
        <v/>
      </c>
      <c r="C735" t="str">
        <f>IF(ISBLANK(VLOOKUP($A735,'Entry data'!$A:$K,3,FALSE)),"",VLOOKUP($A735,'Entry data'!$A:$K,3,FALSE))</f>
        <v/>
      </c>
      <c r="D735" t="str">
        <f>IF(ISBLANK(VLOOKUP($A735,'Entry data'!$A:$K,4,FALSE)),"",VLOOKUP($A735,'Entry data'!$A:$K,4,FALSE))</f>
        <v/>
      </c>
      <c r="E735" t="str">
        <f>IF(ISBLANK(VLOOKUP($A735,'Entry data'!$A:$K,5,FALSE)),"",VLOOKUP($A735,'Entry data'!$A:$K,5,FALSE))</f>
        <v/>
      </c>
      <c r="F735" t="str">
        <f>IF(ISBLANK(VLOOKUP($A735,'Entry data'!$A:$K,6,FALSE)),"",VLOOKUP($A735,'Entry data'!$A:$K,6,FALSE))</f>
        <v/>
      </c>
      <c r="G735" t="str">
        <f>IF(ISBLANK(VLOOKUP($A735,'Entry data'!$A:$K,7,FALSE)),"",VLOOKUP($A735,'Entry data'!$A:$K,7,FALSE))</f>
        <v/>
      </c>
      <c r="H735" t="str">
        <f>IF(ISBLANK(VLOOKUP($A735,'Entry data'!$A:$K,8,FALSE)),"",VLOOKUP($A735,'Entry data'!$A:$K,8,FALSE))</f>
        <v/>
      </c>
      <c r="I735" t="str">
        <f>IF(ISBLANK(VLOOKUP($A735,'Entry data'!$A:$K,9,FALSE)),"",VLOOKUP($A735,'Entry data'!$A:$K,9,FALSE))</f>
        <v/>
      </c>
      <c r="J735" t="str">
        <f>IF(ISBLANK(VLOOKUP($A735,'Entry data'!$A:$K,10,FALSE)),"",VLOOKUP($A735,'Entry data'!$A:$K,10,FALSE))</f>
        <v/>
      </c>
      <c r="K735" t="str">
        <f>IF(ISBLANK(VLOOKUP($A735,'Entry data'!$A:$K,11,FALSE)),"",VLOOKUP($A735,'Entry data'!$A:$K,11,FALSE))</f>
        <v/>
      </c>
      <c r="L735">
        <f>IF(OR(EXACT(D735,"C"),EXACT(D735,"P"),EXACT(D735,"D"),EXACT(D735,"T"),EXACT(D735,"X"),EXACT(E735,"DZF"),EXACT(E735,"OZF"),EXACT(D735,"N"),EXACT(D735,"F")),1,0)</f>
        <v>0</v>
      </c>
      <c r="M735" t="str">
        <f t="shared" si="44"/>
        <v/>
      </c>
      <c r="N735">
        <f t="shared" si="45"/>
        <v>0</v>
      </c>
      <c r="O735">
        <f t="shared" si="46"/>
        <v>0</v>
      </c>
      <c r="P735" t="str">
        <f t="shared" si="47"/>
        <v/>
      </c>
    </row>
    <row r="736" spans="1:16" x14ac:dyDescent="0.25">
      <c r="A736">
        <v>235</v>
      </c>
      <c r="B736" t="str">
        <f>IF(ISBLANK(VLOOKUP($A736,'Entry data'!$A:$K,2,FALSE)),"",VLOOKUP($A736,'Entry data'!$A:$K,2,FALSE))</f>
        <v/>
      </c>
      <c r="C736" t="str">
        <f>IF(ISBLANK(VLOOKUP($A736,'Entry data'!$A:$K,3,FALSE)),"",VLOOKUP($A736,'Entry data'!$A:$K,3,FALSE))</f>
        <v/>
      </c>
      <c r="D736" t="str">
        <f>IF(ISBLANK(VLOOKUP($A736,'Entry data'!$A:$K,4,FALSE)),"",VLOOKUP($A736,'Entry data'!$A:$K,4,FALSE))</f>
        <v/>
      </c>
      <c r="E736" t="str">
        <f>IF(ISBLANK(VLOOKUP($A736,'Entry data'!$A:$K,5,FALSE)),"",VLOOKUP($A736,'Entry data'!$A:$K,5,FALSE))</f>
        <v/>
      </c>
      <c r="F736" t="str">
        <f>IF(ISBLANK(VLOOKUP($A736,'Entry data'!$A:$K,6,FALSE)),"",VLOOKUP($A736,'Entry data'!$A:$K,6,FALSE))</f>
        <v/>
      </c>
      <c r="G736" t="str">
        <f>IF(ISBLANK(VLOOKUP($A736,'Entry data'!$A:$K,7,FALSE)),"",VLOOKUP($A736,'Entry data'!$A:$K,7,FALSE))</f>
        <v/>
      </c>
      <c r="H736" t="str">
        <f>IF(ISBLANK(VLOOKUP($A736,'Entry data'!$A:$K,8,FALSE)),"",VLOOKUP($A736,'Entry data'!$A:$K,8,FALSE))</f>
        <v/>
      </c>
      <c r="I736" t="str">
        <f>IF(ISBLANK(VLOOKUP($A736,'Entry data'!$A:$K,9,FALSE)),"",VLOOKUP($A736,'Entry data'!$A:$K,9,FALSE))</f>
        <v/>
      </c>
      <c r="J736" t="str">
        <f>IF(ISBLANK(VLOOKUP($A736,'Entry data'!$A:$K,10,FALSE)),"",VLOOKUP($A736,'Entry data'!$A:$K,10,FALSE))</f>
        <v/>
      </c>
      <c r="K736" t="str">
        <f>IF(ISBLANK(VLOOKUP($A736,'Entry data'!$A:$K,11,FALSE)),"",VLOOKUP($A736,'Entry data'!$A:$K,11,FALSE))</f>
        <v/>
      </c>
      <c r="L736">
        <f>IF(OR(EXACT(D736,"C"),EXACT(D736,"P"),EXACT(D736,"D"),EXACT(D736,"T"),EXACT(D736,"X"),EXACT(E736,"DZF"),EXACT(E736,"OZF"),EXACT(D736,"N"),EXACT(D736,"F")),1,0)</f>
        <v>0</v>
      </c>
      <c r="M736" t="str">
        <f t="shared" si="44"/>
        <v/>
      </c>
      <c r="N736">
        <f t="shared" si="45"/>
        <v>0</v>
      </c>
      <c r="O736">
        <f t="shared" si="46"/>
        <v>0</v>
      </c>
      <c r="P736" t="str">
        <f t="shared" si="47"/>
        <v/>
      </c>
    </row>
    <row r="737" spans="1:16" x14ac:dyDescent="0.25">
      <c r="A737">
        <v>236</v>
      </c>
      <c r="B737" t="str">
        <f>IF(ISBLANK(VLOOKUP($A737,'Entry data'!$A:$K,2,FALSE)),"",VLOOKUP($A737,'Entry data'!$A:$K,2,FALSE))</f>
        <v/>
      </c>
      <c r="C737" t="str">
        <f>IF(ISBLANK(VLOOKUP($A737,'Entry data'!$A:$K,3,FALSE)),"",VLOOKUP($A737,'Entry data'!$A:$K,3,FALSE))</f>
        <v/>
      </c>
      <c r="D737" t="str">
        <f>IF(ISBLANK(VLOOKUP($A737,'Entry data'!$A:$K,4,FALSE)),"",VLOOKUP($A737,'Entry data'!$A:$K,4,FALSE))</f>
        <v/>
      </c>
      <c r="E737" t="str">
        <f>IF(ISBLANK(VLOOKUP($A737,'Entry data'!$A:$K,5,FALSE)),"",VLOOKUP($A737,'Entry data'!$A:$K,5,FALSE))</f>
        <v/>
      </c>
      <c r="F737" t="str">
        <f>IF(ISBLANK(VLOOKUP($A737,'Entry data'!$A:$K,6,FALSE)),"",VLOOKUP($A737,'Entry data'!$A:$K,6,FALSE))</f>
        <v/>
      </c>
      <c r="G737" t="str">
        <f>IF(ISBLANK(VLOOKUP($A737,'Entry data'!$A:$K,7,FALSE)),"",VLOOKUP($A737,'Entry data'!$A:$K,7,FALSE))</f>
        <v/>
      </c>
      <c r="H737" t="str">
        <f>IF(ISBLANK(VLOOKUP($A737,'Entry data'!$A:$K,8,FALSE)),"",VLOOKUP($A737,'Entry data'!$A:$K,8,FALSE))</f>
        <v/>
      </c>
      <c r="I737" t="str">
        <f>IF(ISBLANK(VLOOKUP($A737,'Entry data'!$A:$K,9,FALSE)),"",VLOOKUP($A737,'Entry data'!$A:$K,9,FALSE))</f>
        <v/>
      </c>
      <c r="J737" t="str">
        <f>IF(ISBLANK(VLOOKUP($A737,'Entry data'!$A:$K,10,FALSE)),"",VLOOKUP($A737,'Entry data'!$A:$K,10,FALSE))</f>
        <v/>
      </c>
      <c r="K737" t="str">
        <f>IF(ISBLANK(VLOOKUP($A737,'Entry data'!$A:$K,11,FALSE)),"",VLOOKUP($A737,'Entry data'!$A:$K,11,FALSE))</f>
        <v/>
      </c>
      <c r="L737">
        <f>IF(OR(EXACT(D737,"C"),EXACT(D737,"P"),EXACT(D737,"D"),EXACT(D737,"T"),EXACT(D737,"X"),EXACT(E737,"DZF"),EXACT(E737,"OZF"),EXACT(D737,"N"),EXACT(D737,"F")),1,0)</f>
        <v>0</v>
      </c>
      <c r="M737" t="str">
        <f t="shared" si="44"/>
        <v/>
      </c>
      <c r="N737">
        <f t="shared" si="45"/>
        <v>0</v>
      </c>
      <c r="O737">
        <f t="shared" si="46"/>
        <v>0</v>
      </c>
      <c r="P737" t="str">
        <f t="shared" si="47"/>
        <v/>
      </c>
    </row>
    <row r="738" spans="1:16" x14ac:dyDescent="0.25">
      <c r="A738">
        <v>237</v>
      </c>
      <c r="B738" t="str">
        <f>IF(ISBLANK(VLOOKUP($A738,'Entry data'!$A:$K,2,FALSE)),"",VLOOKUP($A738,'Entry data'!$A:$K,2,FALSE))</f>
        <v/>
      </c>
      <c r="C738" t="str">
        <f>IF(ISBLANK(VLOOKUP($A738,'Entry data'!$A:$K,3,FALSE)),"",VLOOKUP($A738,'Entry data'!$A:$K,3,FALSE))</f>
        <v/>
      </c>
      <c r="D738" t="str">
        <f>IF(ISBLANK(VLOOKUP($A738,'Entry data'!$A:$K,4,FALSE)),"",VLOOKUP($A738,'Entry data'!$A:$K,4,FALSE))</f>
        <v/>
      </c>
      <c r="E738" t="str">
        <f>IF(ISBLANK(VLOOKUP($A738,'Entry data'!$A:$K,5,FALSE)),"",VLOOKUP($A738,'Entry data'!$A:$K,5,FALSE))</f>
        <v/>
      </c>
      <c r="F738" t="str">
        <f>IF(ISBLANK(VLOOKUP($A738,'Entry data'!$A:$K,6,FALSE)),"",VLOOKUP($A738,'Entry data'!$A:$K,6,FALSE))</f>
        <v/>
      </c>
      <c r="G738" t="str">
        <f>IF(ISBLANK(VLOOKUP($A738,'Entry data'!$A:$K,7,FALSE)),"",VLOOKUP($A738,'Entry data'!$A:$K,7,FALSE))</f>
        <v/>
      </c>
      <c r="H738" t="str">
        <f>IF(ISBLANK(VLOOKUP($A738,'Entry data'!$A:$K,8,FALSE)),"",VLOOKUP($A738,'Entry data'!$A:$K,8,FALSE))</f>
        <v/>
      </c>
      <c r="I738" t="str">
        <f>IF(ISBLANK(VLOOKUP($A738,'Entry data'!$A:$K,9,FALSE)),"",VLOOKUP($A738,'Entry data'!$A:$K,9,FALSE))</f>
        <v/>
      </c>
      <c r="J738" t="str">
        <f>IF(ISBLANK(VLOOKUP($A738,'Entry data'!$A:$K,10,FALSE)),"",VLOOKUP($A738,'Entry data'!$A:$K,10,FALSE))</f>
        <v/>
      </c>
      <c r="K738" t="str">
        <f>IF(ISBLANK(VLOOKUP($A738,'Entry data'!$A:$K,11,FALSE)),"",VLOOKUP($A738,'Entry data'!$A:$K,11,FALSE))</f>
        <v/>
      </c>
      <c r="L738">
        <f>IF(OR(EXACT(D738,"C"),EXACT(D738,"P"),EXACT(D738,"D"),EXACT(D738,"T"),EXACT(D738,"X"),EXACT(E738,"DZF"),EXACT(E738,"OZF"),EXACT(D738,"N"),EXACT(D738,"F")),1,0)</f>
        <v>0</v>
      </c>
      <c r="M738" t="str">
        <f t="shared" si="44"/>
        <v/>
      </c>
      <c r="N738">
        <f t="shared" si="45"/>
        <v>0</v>
      </c>
      <c r="O738">
        <f t="shared" si="46"/>
        <v>0</v>
      </c>
      <c r="P738" t="str">
        <f t="shared" si="47"/>
        <v/>
      </c>
    </row>
    <row r="739" spans="1:16" x14ac:dyDescent="0.25">
      <c r="A739">
        <v>238</v>
      </c>
      <c r="B739" t="str">
        <f>IF(ISBLANK(VLOOKUP($A739,'Entry data'!$A:$K,2,FALSE)),"",VLOOKUP($A739,'Entry data'!$A:$K,2,FALSE))</f>
        <v/>
      </c>
      <c r="C739" t="str">
        <f>IF(ISBLANK(VLOOKUP($A739,'Entry data'!$A:$K,3,FALSE)),"",VLOOKUP($A739,'Entry data'!$A:$K,3,FALSE))</f>
        <v/>
      </c>
      <c r="D739" t="str">
        <f>IF(ISBLANK(VLOOKUP($A739,'Entry data'!$A:$K,4,FALSE)),"",VLOOKUP($A739,'Entry data'!$A:$K,4,FALSE))</f>
        <v/>
      </c>
      <c r="E739" t="str">
        <f>IF(ISBLANK(VLOOKUP($A739,'Entry data'!$A:$K,5,FALSE)),"",VLOOKUP($A739,'Entry data'!$A:$K,5,FALSE))</f>
        <v/>
      </c>
      <c r="F739" t="str">
        <f>IF(ISBLANK(VLOOKUP($A739,'Entry data'!$A:$K,6,FALSE)),"",VLOOKUP($A739,'Entry data'!$A:$K,6,FALSE))</f>
        <v/>
      </c>
      <c r="G739" t="str">
        <f>IF(ISBLANK(VLOOKUP($A739,'Entry data'!$A:$K,7,FALSE)),"",VLOOKUP($A739,'Entry data'!$A:$K,7,FALSE))</f>
        <v/>
      </c>
      <c r="H739" t="str">
        <f>IF(ISBLANK(VLOOKUP($A739,'Entry data'!$A:$K,8,FALSE)),"",VLOOKUP($A739,'Entry data'!$A:$K,8,FALSE))</f>
        <v/>
      </c>
      <c r="I739" t="str">
        <f>IF(ISBLANK(VLOOKUP($A739,'Entry data'!$A:$K,9,FALSE)),"",VLOOKUP($A739,'Entry data'!$A:$K,9,FALSE))</f>
        <v/>
      </c>
      <c r="J739" t="str">
        <f>IF(ISBLANK(VLOOKUP($A739,'Entry data'!$A:$K,10,FALSE)),"",VLOOKUP($A739,'Entry data'!$A:$K,10,FALSE))</f>
        <v/>
      </c>
      <c r="K739" t="str">
        <f>IF(ISBLANK(VLOOKUP($A739,'Entry data'!$A:$K,11,FALSE)),"",VLOOKUP($A739,'Entry data'!$A:$K,11,FALSE))</f>
        <v/>
      </c>
      <c r="L739">
        <f>IF(OR(EXACT(D739,"C"),EXACT(D739,"P"),EXACT(D739,"D"),EXACT(D739,"T"),EXACT(D739,"X"),EXACT(E739,"DZF"),EXACT(E739,"OZF"),EXACT(D739,"N"),EXACT(D739,"F")),1,0)</f>
        <v>0</v>
      </c>
      <c r="M739" t="str">
        <f t="shared" si="44"/>
        <v/>
      </c>
      <c r="N739">
        <f t="shared" si="45"/>
        <v>0</v>
      </c>
      <c r="O739">
        <f t="shared" si="46"/>
        <v>0</v>
      </c>
      <c r="P739" t="str">
        <f t="shared" si="47"/>
        <v/>
      </c>
    </row>
    <row r="740" spans="1:16" x14ac:dyDescent="0.25">
      <c r="A740">
        <v>239</v>
      </c>
      <c r="B740" t="str">
        <f>IF(ISBLANK(VLOOKUP($A740,'Entry data'!$A:$K,2,FALSE)),"",VLOOKUP($A740,'Entry data'!$A:$K,2,FALSE))</f>
        <v/>
      </c>
      <c r="C740" t="str">
        <f>IF(ISBLANK(VLOOKUP($A740,'Entry data'!$A:$K,3,FALSE)),"",VLOOKUP($A740,'Entry data'!$A:$K,3,FALSE))</f>
        <v/>
      </c>
      <c r="D740" t="str">
        <f>IF(ISBLANK(VLOOKUP($A740,'Entry data'!$A:$K,4,FALSE)),"",VLOOKUP($A740,'Entry data'!$A:$K,4,FALSE))</f>
        <v/>
      </c>
      <c r="E740" t="str">
        <f>IF(ISBLANK(VLOOKUP($A740,'Entry data'!$A:$K,5,FALSE)),"",VLOOKUP($A740,'Entry data'!$A:$K,5,FALSE))</f>
        <v/>
      </c>
      <c r="F740" t="str">
        <f>IF(ISBLANK(VLOOKUP($A740,'Entry data'!$A:$K,6,FALSE)),"",VLOOKUP($A740,'Entry data'!$A:$K,6,FALSE))</f>
        <v/>
      </c>
      <c r="G740" t="str">
        <f>IF(ISBLANK(VLOOKUP($A740,'Entry data'!$A:$K,7,FALSE)),"",VLOOKUP($A740,'Entry data'!$A:$K,7,FALSE))</f>
        <v/>
      </c>
      <c r="H740" t="str">
        <f>IF(ISBLANK(VLOOKUP($A740,'Entry data'!$A:$K,8,FALSE)),"",VLOOKUP($A740,'Entry data'!$A:$K,8,FALSE))</f>
        <v/>
      </c>
      <c r="I740" t="str">
        <f>IF(ISBLANK(VLOOKUP($A740,'Entry data'!$A:$K,9,FALSE)),"",VLOOKUP($A740,'Entry data'!$A:$K,9,FALSE))</f>
        <v/>
      </c>
      <c r="J740" t="str">
        <f>IF(ISBLANK(VLOOKUP($A740,'Entry data'!$A:$K,10,FALSE)),"",VLOOKUP($A740,'Entry data'!$A:$K,10,FALSE))</f>
        <v/>
      </c>
      <c r="K740" t="str">
        <f>IF(ISBLANK(VLOOKUP($A740,'Entry data'!$A:$K,11,FALSE)),"",VLOOKUP($A740,'Entry data'!$A:$K,11,FALSE))</f>
        <v/>
      </c>
      <c r="L740">
        <f>IF(OR(EXACT(D740,"C"),EXACT(D740,"P"),EXACT(D740,"D"),EXACT(D740,"T"),EXACT(D740,"X"),EXACT(E740,"DZF"),EXACT(E740,"OZF"),EXACT(D740,"N"),EXACT(D740,"F")),1,0)</f>
        <v>0</v>
      </c>
      <c r="M740" t="str">
        <f t="shared" si="44"/>
        <v/>
      </c>
      <c r="N740">
        <f t="shared" si="45"/>
        <v>0</v>
      </c>
      <c r="O740">
        <f t="shared" si="46"/>
        <v>0</v>
      </c>
      <c r="P740" t="str">
        <f t="shared" si="47"/>
        <v/>
      </c>
    </row>
    <row r="741" spans="1:16" x14ac:dyDescent="0.25">
      <c r="A741">
        <v>240</v>
      </c>
      <c r="B741" t="str">
        <f>IF(ISBLANK(VLOOKUP($A741,'Entry data'!$A:$K,2,FALSE)),"",VLOOKUP($A741,'Entry data'!$A:$K,2,FALSE))</f>
        <v/>
      </c>
      <c r="C741" t="str">
        <f>IF(ISBLANK(VLOOKUP($A741,'Entry data'!$A:$K,3,FALSE)),"",VLOOKUP($A741,'Entry data'!$A:$K,3,FALSE))</f>
        <v/>
      </c>
      <c r="D741" t="str">
        <f>IF(ISBLANK(VLOOKUP($A741,'Entry data'!$A:$K,4,FALSE)),"",VLOOKUP($A741,'Entry data'!$A:$K,4,FALSE))</f>
        <v/>
      </c>
      <c r="E741" t="str">
        <f>IF(ISBLANK(VLOOKUP($A741,'Entry data'!$A:$K,5,FALSE)),"",VLOOKUP($A741,'Entry data'!$A:$K,5,FALSE))</f>
        <v/>
      </c>
      <c r="F741" t="str">
        <f>IF(ISBLANK(VLOOKUP($A741,'Entry data'!$A:$K,6,FALSE)),"",VLOOKUP($A741,'Entry data'!$A:$K,6,FALSE))</f>
        <v/>
      </c>
      <c r="G741" t="str">
        <f>IF(ISBLANK(VLOOKUP($A741,'Entry data'!$A:$K,7,FALSE)),"",VLOOKUP($A741,'Entry data'!$A:$K,7,FALSE))</f>
        <v/>
      </c>
      <c r="H741" t="str">
        <f>IF(ISBLANK(VLOOKUP($A741,'Entry data'!$A:$K,8,FALSE)),"",VLOOKUP($A741,'Entry data'!$A:$K,8,FALSE))</f>
        <v/>
      </c>
      <c r="I741" t="str">
        <f>IF(ISBLANK(VLOOKUP($A741,'Entry data'!$A:$K,9,FALSE)),"",VLOOKUP($A741,'Entry data'!$A:$K,9,FALSE))</f>
        <v/>
      </c>
      <c r="J741" t="str">
        <f>IF(ISBLANK(VLOOKUP($A741,'Entry data'!$A:$K,10,FALSE)),"",VLOOKUP($A741,'Entry data'!$A:$K,10,FALSE))</f>
        <v/>
      </c>
      <c r="K741" t="str">
        <f>IF(ISBLANK(VLOOKUP($A741,'Entry data'!$A:$K,11,FALSE)),"",VLOOKUP($A741,'Entry data'!$A:$K,11,FALSE))</f>
        <v/>
      </c>
      <c r="L741">
        <f>IF(OR(EXACT(D741,"C"),EXACT(D741,"P"),EXACT(D741,"D"),EXACT(D741,"T"),EXACT(D741,"X"),EXACT(E741,"DZF"),EXACT(E741,"OZF"),EXACT(D741,"N"),EXACT(D741,"F")),1,0)</f>
        <v>0</v>
      </c>
      <c r="M741" t="str">
        <f t="shared" si="44"/>
        <v/>
      </c>
      <c r="N741">
        <f t="shared" si="45"/>
        <v>0</v>
      </c>
      <c r="O741">
        <f t="shared" si="46"/>
        <v>0</v>
      </c>
      <c r="P741" t="str">
        <f t="shared" si="47"/>
        <v/>
      </c>
    </row>
    <row r="742" spans="1:16" x14ac:dyDescent="0.25">
      <c r="A742">
        <v>241</v>
      </c>
      <c r="B742" t="str">
        <f>IF(ISBLANK(VLOOKUP($A742,'Entry data'!$A:$K,2,FALSE)),"",VLOOKUP($A742,'Entry data'!$A:$K,2,FALSE))</f>
        <v/>
      </c>
      <c r="C742" t="str">
        <f>IF(ISBLANK(VLOOKUP($A742,'Entry data'!$A:$K,3,FALSE)),"",VLOOKUP($A742,'Entry data'!$A:$K,3,FALSE))</f>
        <v/>
      </c>
      <c r="D742" t="str">
        <f>IF(ISBLANK(VLOOKUP($A742,'Entry data'!$A:$K,4,FALSE)),"",VLOOKUP($A742,'Entry data'!$A:$K,4,FALSE))</f>
        <v/>
      </c>
      <c r="E742" t="str">
        <f>IF(ISBLANK(VLOOKUP($A742,'Entry data'!$A:$K,5,FALSE)),"",VLOOKUP($A742,'Entry data'!$A:$K,5,FALSE))</f>
        <v/>
      </c>
      <c r="F742" t="str">
        <f>IF(ISBLANK(VLOOKUP($A742,'Entry data'!$A:$K,6,FALSE)),"",VLOOKUP($A742,'Entry data'!$A:$K,6,FALSE))</f>
        <v/>
      </c>
      <c r="G742" t="str">
        <f>IF(ISBLANK(VLOOKUP($A742,'Entry data'!$A:$K,7,FALSE)),"",VLOOKUP($A742,'Entry data'!$A:$K,7,FALSE))</f>
        <v/>
      </c>
      <c r="H742" t="str">
        <f>IF(ISBLANK(VLOOKUP($A742,'Entry data'!$A:$K,8,FALSE)),"",VLOOKUP($A742,'Entry data'!$A:$K,8,FALSE))</f>
        <v/>
      </c>
      <c r="I742" t="str">
        <f>IF(ISBLANK(VLOOKUP($A742,'Entry data'!$A:$K,9,FALSE)),"",VLOOKUP($A742,'Entry data'!$A:$K,9,FALSE))</f>
        <v/>
      </c>
      <c r="J742" t="str">
        <f>IF(ISBLANK(VLOOKUP($A742,'Entry data'!$A:$K,10,FALSE)),"",VLOOKUP($A742,'Entry data'!$A:$K,10,FALSE))</f>
        <v/>
      </c>
      <c r="K742" t="str">
        <f>IF(ISBLANK(VLOOKUP($A742,'Entry data'!$A:$K,11,FALSE)),"",VLOOKUP($A742,'Entry data'!$A:$K,11,FALSE))</f>
        <v/>
      </c>
      <c r="L742">
        <f>IF(OR(EXACT(D742,"C"),EXACT(D742,"P"),EXACT(D742,"D"),EXACT(D742,"T"),EXACT(D742,"X"),EXACT(E742,"DZF"),EXACT(E742,"OZF"),EXACT(D742,"N"),EXACT(D742,"F")),1,0)</f>
        <v>0</v>
      </c>
      <c r="M742" t="str">
        <f t="shared" si="44"/>
        <v/>
      </c>
      <c r="N742">
        <f t="shared" si="45"/>
        <v>0</v>
      </c>
      <c r="O742">
        <f t="shared" si="46"/>
        <v>0</v>
      </c>
      <c r="P742" t="str">
        <f t="shared" si="47"/>
        <v/>
      </c>
    </row>
    <row r="743" spans="1:16" x14ac:dyDescent="0.25">
      <c r="A743">
        <v>242</v>
      </c>
      <c r="B743" t="str">
        <f>IF(ISBLANK(VLOOKUP($A743,'Entry data'!$A:$K,2,FALSE)),"",VLOOKUP($A743,'Entry data'!$A:$K,2,FALSE))</f>
        <v/>
      </c>
      <c r="C743" t="str">
        <f>IF(ISBLANK(VLOOKUP($A743,'Entry data'!$A:$K,3,FALSE)),"",VLOOKUP($A743,'Entry data'!$A:$K,3,FALSE))</f>
        <v/>
      </c>
      <c r="D743" t="str">
        <f>IF(ISBLANK(VLOOKUP($A743,'Entry data'!$A:$K,4,FALSE)),"",VLOOKUP($A743,'Entry data'!$A:$K,4,FALSE))</f>
        <v/>
      </c>
      <c r="E743" t="str">
        <f>IF(ISBLANK(VLOOKUP($A743,'Entry data'!$A:$K,5,FALSE)),"",VLOOKUP($A743,'Entry data'!$A:$K,5,FALSE))</f>
        <v/>
      </c>
      <c r="F743" t="str">
        <f>IF(ISBLANK(VLOOKUP($A743,'Entry data'!$A:$K,6,FALSE)),"",VLOOKUP($A743,'Entry data'!$A:$K,6,FALSE))</f>
        <v/>
      </c>
      <c r="G743" t="str">
        <f>IF(ISBLANK(VLOOKUP($A743,'Entry data'!$A:$K,7,FALSE)),"",VLOOKUP($A743,'Entry data'!$A:$K,7,FALSE))</f>
        <v/>
      </c>
      <c r="H743" t="str">
        <f>IF(ISBLANK(VLOOKUP($A743,'Entry data'!$A:$K,8,FALSE)),"",VLOOKUP($A743,'Entry data'!$A:$K,8,FALSE))</f>
        <v/>
      </c>
      <c r="I743" t="str">
        <f>IF(ISBLANK(VLOOKUP($A743,'Entry data'!$A:$K,9,FALSE)),"",VLOOKUP($A743,'Entry data'!$A:$K,9,FALSE))</f>
        <v/>
      </c>
      <c r="J743" t="str">
        <f>IF(ISBLANK(VLOOKUP($A743,'Entry data'!$A:$K,10,FALSE)),"",VLOOKUP($A743,'Entry data'!$A:$K,10,FALSE))</f>
        <v/>
      </c>
      <c r="K743" t="str">
        <f>IF(ISBLANK(VLOOKUP($A743,'Entry data'!$A:$K,11,FALSE)),"",VLOOKUP($A743,'Entry data'!$A:$K,11,FALSE))</f>
        <v/>
      </c>
      <c r="L743">
        <f>IF(OR(EXACT(D743,"C"),EXACT(D743,"P"),EXACT(D743,"D"),EXACT(D743,"T"),EXACT(D743,"X"),EXACT(E743,"DZF"),EXACT(E743,"OZF"),EXACT(D743,"N"),EXACT(D743,"F")),1,0)</f>
        <v>0</v>
      </c>
      <c r="M743" t="str">
        <f t="shared" si="44"/>
        <v/>
      </c>
      <c r="N743">
        <f t="shared" si="45"/>
        <v>0</v>
      </c>
      <c r="O743">
        <f t="shared" si="46"/>
        <v>0</v>
      </c>
      <c r="P743" t="str">
        <f t="shared" si="47"/>
        <v/>
      </c>
    </row>
    <row r="744" spans="1:16" x14ac:dyDescent="0.25">
      <c r="A744">
        <v>243</v>
      </c>
      <c r="B744" t="str">
        <f>IF(ISBLANK(VLOOKUP($A744,'Entry data'!$A:$K,2,FALSE)),"",VLOOKUP($A744,'Entry data'!$A:$K,2,FALSE))</f>
        <v/>
      </c>
      <c r="C744" t="str">
        <f>IF(ISBLANK(VLOOKUP($A744,'Entry data'!$A:$K,3,FALSE)),"",VLOOKUP($A744,'Entry data'!$A:$K,3,FALSE))</f>
        <v/>
      </c>
      <c r="D744" t="str">
        <f>IF(ISBLANK(VLOOKUP($A744,'Entry data'!$A:$K,4,FALSE)),"",VLOOKUP($A744,'Entry data'!$A:$K,4,FALSE))</f>
        <v/>
      </c>
      <c r="E744" t="str">
        <f>IF(ISBLANK(VLOOKUP($A744,'Entry data'!$A:$K,5,FALSE)),"",VLOOKUP($A744,'Entry data'!$A:$K,5,FALSE))</f>
        <v/>
      </c>
      <c r="F744" t="str">
        <f>IF(ISBLANK(VLOOKUP($A744,'Entry data'!$A:$K,6,FALSE)),"",VLOOKUP($A744,'Entry data'!$A:$K,6,FALSE))</f>
        <v/>
      </c>
      <c r="G744" t="str">
        <f>IF(ISBLANK(VLOOKUP($A744,'Entry data'!$A:$K,7,FALSE)),"",VLOOKUP($A744,'Entry data'!$A:$K,7,FALSE))</f>
        <v/>
      </c>
      <c r="H744" t="str">
        <f>IF(ISBLANK(VLOOKUP($A744,'Entry data'!$A:$K,8,FALSE)),"",VLOOKUP($A744,'Entry data'!$A:$K,8,FALSE))</f>
        <v/>
      </c>
      <c r="I744" t="str">
        <f>IF(ISBLANK(VLOOKUP($A744,'Entry data'!$A:$K,9,FALSE)),"",VLOOKUP($A744,'Entry data'!$A:$K,9,FALSE))</f>
        <v/>
      </c>
      <c r="J744" t="str">
        <f>IF(ISBLANK(VLOOKUP($A744,'Entry data'!$A:$K,10,FALSE)),"",VLOOKUP($A744,'Entry data'!$A:$K,10,FALSE))</f>
        <v/>
      </c>
      <c r="K744" t="str">
        <f>IF(ISBLANK(VLOOKUP($A744,'Entry data'!$A:$K,11,FALSE)),"",VLOOKUP($A744,'Entry data'!$A:$K,11,FALSE))</f>
        <v/>
      </c>
      <c r="L744">
        <f>IF(OR(EXACT(D744,"C"),EXACT(D744,"P"),EXACT(D744,"D"),EXACT(D744,"T"),EXACT(D744,"X"),EXACT(E744,"DZF"),EXACT(E744,"OZF"),EXACT(D744,"N"),EXACT(D744,"F")),1,0)</f>
        <v>0</v>
      </c>
      <c r="M744" t="str">
        <f t="shared" si="44"/>
        <v/>
      </c>
      <c r="N744">
        <f t="shared" si="45"/>
        <v>0</v>
      </c>
      <c r="O744">
        <f t="shared" si="46"/>
        <v>0</v>
      </c>
      <c r="P744" t="str">
        <f t="shared" si="47"/>
        <v/>
      </c>
    </row>
    <row r="745" spans="1:16" x14ac:dyDescent="0.25">
      <c r="A745">
        <v>244</v>
      </c>
      <c r="B745" t="str">
        <f>IF(ISBLANK(VLOOKUP($A745,'Entry data'!$A:$K,2,FALSE)),"",VLOOKUP($A745,'Entry data'!$A:$K,2,FALSE))</f>
        <v/>
      </c>
      <c r="C745" t="str">
        <f>IF(ISBLANK(VLOOKUP($A745,'Entry data'!$A:$K,3,FALSE)),"",VLOOKUP($A745,'Entry data'!$A:$K,3,FALSE))</f>
        <v/>
      </c>
      <c r="D745" t="str">
        <f>IF(ISBLANK(VLOOKUP($A745,'Entry data'!$A:$K,4,FALSE)),"",VLOOKUP($A745,'Entry data'!$A:$K,4,FALSE))</f>
        <v/>
      </c>
      <c r="E745" t="str">
        <f>IF(ISBLANK(VLOOKUP($A745,'Entry data'!$A:$K,5,FALSE)),"",VLOOKUP($A745,'Entry data'!$A:$K,5,FALSE))</f>
        <v/>
      </c>
      <c r="F745" t="str">
        <f>IF(ISBLANK(VLOOKUP($A745,'Entry data'!$A:$K,6,FALSE)),"",VLOOKUP($A745,'Entry data'!$A:$K,6,FALSE))</f>
        <v/>
      </c>
      <c r="G745" t="str">
        <f>IF(ISBLANK(VLOOKUP($A745,'Entry data'!$A:$K,7,FALSE)),"",VLOOKUP($A745,'Entry data'!$A:$K,7,FALSE))</f>
        <v/>
      </c>
      <c r="H745" t="str">
        <f>IF(ISBLANK(VLOOKUP($A745,'Entry data'!$A:$K,8,FALSE)),"",VLOOKUP($A745,'Entry data'!$A:$K,8,FALSE))</f>
        <v/>
      </c>
      <c r="I745" t="str">
        <f>IF(ISBLANK(VLOOKUP($A745,'Entry data'!$A:$K,9,FALSE)),"",VLOOKUP($A745,'Entry data'!$A:$K,9,FALSE))</f>
        <v/>
      </c>
      <c r="J745" t="str">
        <f>IF(ISBLANK(VLOOKUP($A745,'Entry data'!$A:$K,10,FALSE)),"",VLOOKUP($A745,'Entry data'!$A:$K,10,FALSE))</f>
        <v/>
      </c>
      <c r="K745" t="str">
        <f>IF(ISBLANK(VLOOKUP($A745,'Entry data'!$A:$K,11,FALSE)),"",VLOOKUP($A745,'Entry data'!$A:$K,11,FALSE))</f>
        <v/>
      </c>
      <c r="L745">
        <f>IF(OR(EXACT(D745,"C"),EXACT(D745,"P"),EXACT(D745,"D"),EXACT(D745,"T"),EXACT(D745,"X"),EXACT(E745,"DZF"),EXACT(E745,"OZF"),EXACT(D745,"N"),EXACT(D745,"F")),1,0)</f>
        <v>0</v>
      </c>
      <c r="M745" t="str">
        <f t="shared" si="44"/>
        <v/>
      </c>
      <c r="N745">
        <f t="shared" si="45"/>
        <v>0</v>
      </c>
      <c r="O745">
        <f t="shared" si="46"/>
        <v>0</v>
      </c>
      <c r="P745" t="str">
        <f t="shared" si="47"/>
        <v/>
      </c>
    </row>
    <row r="746" spans="1:16" x14ac:dyDescent="0.25">
      <c r="A746">
        <v>245</v>
      </c>
      <c r="B746" t="str">
        <f>IF(ISBLANK(VLOOKUP($A746,'Entry data'!$A:$K,2,FALSE)),"",VLOOKUP($A746,'Entry data'!$A:$K,2,FALSE))</f>
        <v/>
      </c>
      <c r="C746" t="str">
        <f>IF(ISBLANK(VLOOKUP($A746,'Entry data'!$A:$K,3,FALSE)),"",VLOOKUP($A746,'Entry data'!$A:$K,3,FALSE))</f>
        <v/>
      </c>
      <c r="D746" t="str">
        <f>IF(ISBLANK(VLOOKUP($A746,'Entry data'!$A:$K,4,FALSE)),"",VLOOKUP($A746,'Entry data'!$A:$K,4,FALSE))</f>
        <v/>
      </c>
      <c r="E746" t="str">
        <f>IF(ISBLANK(VLOOKUP($A746,'Entry data'!$A:$K,5,FALSE)),"",VLOOKUP($A746,'Entry data'!$A:$K,5,FALSE))</f>
        <v/>
      </c>
      <c r="F746" t="str">
        <f>IF(ISBLANK(VLOOKUP($A746,'Entry data'!$A:$K,6,FALSE)),"",VLOOKUP($A746,'Entry data'!$A:$K,6,FALSE))</f>
        <v/>
      </c>
      <c r="G746" t="str">
        <f>IF(ISBLANK(VLOOKUP($A746,'Entry data'!$A:$K,7,FALSE)),"",VLOOKUP($A746,'Entry data'!$A:$K,7,FALSE))</f>
        <v/>
      </c>
      <c r="H746" t="str">
        <f>IF(ISBLANK(VLOOKUP($A746,'Entry data'!$A:$K,8,FALSE)),"",VLOOKUP($A746,'Entry data'!$A:$K,8,FALSE))</f>
        <v/>
      </c>
      <c r="I746" t="str">
        <f>IF(ISBLANK(VLOOKUP($A746,'Entry data'!$A:$K,9,FALSE)),"",VLOOKUP($A746,'Entry data'!$A:$K,9,FALSE))</f>
        <v/>
      </c>
      <c r="J746" t="str">
        <f>IF(ISBLANK(VLOOKUP($A746,'Entry data'!$A:$K,10,FALSE)),"",VLOOKUP($A746,'Entry data'!$A:$K,10,FALSE))</f>
        <v/>
      </c>
      <c r="K746" t="str">
        <f>IF(ISBLANK(VLOOKUP($A746,'Entry data'!$A:$K,11,FALSE)),"",VLOOKUP($A746,'Entry data'!$A:$K,11,FALSE))</f>
        <v/>
      </c>
      <c r="L746">
        <f>IF(OR(EXACT(D746,"C"),EXACT(D746,"P"),EXACT(D746,"D"),EXACT(D746,"T"),EXACT(D746,"X"),EXACT(E746,"DZF"),EXACT(E746,"OZF"),EXACT(D746,"N"),EXACT(D746,"F")),1,0)</f>
        <v>0</v>
      </c>
      <c r="M746" t="str">
        <f t="shared" si="44"/>
        <v/>
      </c>
      <c r="N746">
        <f t="shared" si="45"/>
        <v>0</v>
      </c>
      <c r="O746">
        <f t="shared" si="46"/>
        <v>0</v>
      </c>
      <c r="P746" t="str">
        <f t="shared" si="47"/>
        <v/>
      </c>
    </row>
    <row r="747" spans="1:16" x14ac:dyDescent="0.25">
      <c r="A747">
        <v>246</v>
      </c>
      <c r="B747" t="str">
        <f>IF(ISBLANK(VLOOKUP($A747,'Entry data'!$A:$K,2,FALSE)),"",VLOOKUP($A747,'Entry data'!$A:$K,2,FALSE))</f>
        <v/>
      </c>
      <c r="C747" t="str">
        <f>IF(ISBLANK(VLOOKUP($A747,'Entry data'!$A:$K,3,FALSE)),"",VLOOKUP($A747,'Entry data'!$A:$K,3,FALSE))</f>
        <v/>
      </c>
      <c r="D747" t="str">
        <f>IF(ISBLANK(VLOOKUP($A747,'Entry data'!$A:$K,4,FALSE)),"",VLOOKUP($A747,'Entry data'!$A:$K,4,FALSE))</f>
        <v/>
      </c>
      <c r="E747" t="str">
        <f>IF(ISBLANK(VLOOKUP($A747,'Entry data'!$A:$K,5,FALSE)),"",VLOOKUP($A747,'Entry data'!$A:$K,5,FALSE))</f>
        <v/>
      </c>
      <c r="F747" t="str">
        <f>IF(ISBLANK(VLOOKUP($A747,'Entry data'!$A:$K,6,FALSE)),"",VLOOKUP($A747,'Entry data'!$A:$K,6,FALSE))</f>
        <v/>
      </c>
      <c r="G747" t="str">
        <f>IF(ISBLANK(VLOOKUP($A747,'Entry data'!$A:$K,7,FALSE)),"",VLOOKUP($A747,'Entry data'!$A:$K,7,FALSE))</f>
        <v/>
      </c>
      <c r="H747" t="str">
        <f>IF(ISBLANK(VLOOKUP($A747,'Entry data'!$A:$K,8,FALSE)),"",VLOOKUP($A747,'Entry data'!$A:$K,8,FALSE))</f>
        <v/>
      </c>
      <c r="I747" t="str">
        <f>IF(ISBLANK(VLOOKUP($A747,'Entry data'!$A:$K,9,FALSE)),"",VLOOKUP($A747,'Entry data'!$A:$K,9,FALSE))</f>
        <v/>
      </c>
      <c r="J747" t="str">
        <f>IF(ISBLANK(VLOOKUP($A747,'Entry data'!$A:$K,10,FALSE)),"",VLOOKUP($A747,'Entry data'!$A:$K,10,FALSE))</f>
        <v/>
      </c>
      <c r="K747" t="str">
        <f>IF(ISBLANK(VLOOKUP($A747,'Entry data'!$A:$K,11,FALSE)),"",VLOOKUP($A747,'Entry data'!$A:$K,11,FALSE))</f>
        <v/>
      </c>
      <c r="L747">
        <f>IF(OR(EXACT(D747,"C"),EXACT(D747,"P"),EXACT(D747,"D"),EXACT(D747,"T"),EXACT(D747,"X"),EXACT(E747,"DZF"),EXACT(E747,"OZF"),EXACT(D747,"N"),EXACT(D747,"F")),1,0)</f>
        <v>0</v>
      </c>
      <c r="M747" t="str">
        <f t="shared" si="44"/>
        <v/>
      </c>
      <c r="N747">
        <f t="shared" si="45"/>
        <v>0</v>
      </c>
      <c r="O747">
        <f t="shared" si="46"/>
        <v>0</v>
      </c>
      <c r="P747" t="str">
        <f t="shared" si="47"/>
        <v/>
      </c>
    </row>
    <row r="748" spans="1:16" x14ac:dyDescent="0.25">
      <c r="A748">
        <v>247</v>
      </c>
      <c r="B748" t="str">
        <f>IF(ISBLANK(VLOOKUP($A748,'Entry data'!$A:$K,2,FALSE)),"",VLOOKUP($A748,'Entry data'!$A:$K,2,FALSE))</f>
        <v/>
      </c>
      <c r="C748" t="str">
        <f>IF(ISBLANK(VLOOKUP($A748,'Entry data'!$A:$K,3,FALSE)),"",VLOOKUP($A748,'Entry data'!$A:$K,3,FALSE))</f>
        <v/>
      </c>
      <c r="D748" t="str">
        <f>IF(ISBLANK(VLOOKUP($A748,'Entry data'!$A:$K,4,FALSE)),"",VLOOKUP($A748,'Entry data'!$A:$K,4,FALSE))</f>
        <v/>
      </c>
      <c r="E748" t="str">
        <f>IF(ISBLANK(VLOOKUP($A748,'Entry data'!$A:$K,5,FALSE)),"",VLOOKUP($A748,'Entry data'!$A:$K,5,FALSE))</f>
        <v/>
      </c>
      <c r="F748" t="str">
        <f>IF(ISBLANK(VLOOKUP($A748,'Entry data'!$A:$K,6,FALSE)),"",VLOOKUP($A748,'Entry data'!$A:$K,6,FALSE))</f>
        <v/>
      </c>
      <c r="G748" t="str">
        <f>IF(ISBLANK(VLOOKUP($A748,'Entry data'!$A:$K,7,FALSE)),"",VLOOKUP($A748,'Entry data'!$A:$K,7,FALSE))</f>
        <v/>
      </c>
      <c r="H748" t="str">
        <f>IF(ISBLANK(VLOOKUP($A748,'Entry data'!$A:$K,8,FALSE)),"",VLOOKUP($A748,'Entry data'!$A:$K,8,FALSE))</f>
        <v/>
      </c>
      <c r="I748" t="str">
        <f>IF(ISBLANK(VLOOKUP($A748,'Entry data'!$A:$K,9,FALSE)),"",VLOOKUP($A748,'Entry data'!$A:$K,9,FALSE))</f>
        <v/>
      </c>
      <c r="J748" t="str">
        <f>IF(ISBLANK(VLOOKUP($A748,'Entry data'!$A:$K,10,FALSE)),"",VLOOKUP($A748,'Entry data'!$A:$K,10,FALSE))</f>
        <v/>
      </c>
      <c r="K748" t="str">
        <f>IF(ISBLANK(VLOOKUP($A748,'Entry data'!$A:$K,11,FALSE)),"",VLOOKUP($A748,'Entry data'!$A:$K,11,FALSE))</f>
        <v/>
      </c>
      <c r="L748">
        <f>IF(OR(EXACT(D748,"C"),EXACT(D748,"P"),EXACT(D748,"D"),EXACT(D748,"T"),EXACT(D748,"X"),EXACT(E748,"DZF"),EXACT(E748,"OZF"),EXACT(D748,"N"),EXACT(D748,"F")),1,0)</f>
        <v>0</v>
      </c>
      <c r="M748" t="str">
        <f t="shared" si="44"/>
        <v/>
      </c>
      <c r="N748">
        <f t="shared" si="45"/>
        <v>0</v>
      </c>
      <c r="O748">
        <f t="shared" si="46"/>
        <v>0</v>
      </c>
      <c r="P748" t="str">
        <f t="shared" si="47"/>
        <v/>
      </c>
    </row>
    <row r="749" spans="1:16" x14ac:dyDescent="0.25">
      <c r="A749">
        <v>248</v>
      </c>
      <c r="B749" t="str">
        <f>IF(ISBLANK(VLOOKUP($A749,'Entry data'!$A:$K,2,FALSE)),"",VLOOKUP($A749,'Entry data'!$A:$K,2,FALSE))</f>
        <v/>
      </c>
      <c r="C749" t="str">
        <f>IF(ISBLANK(VLOOKUP($A749,'Entry data'!$A:$K,3,FALSE)),"",VLOOKUP($A749,'Entry data'!$A:$K,3,FALSE))</f>
        <v/>
      </c>
      <c r="D749" t="str">
        <f>IF(ISBLANK(VLOOKUP($A749,'Entry data'!$A:$K,4,FALSE)),"",VLOOKUP($A749,'Entry data'!$A:$K,4,FALSE))</f>
        <v/>
      </c>
      <c r="E749" t="str">
        <f>IF(ISBLANK(VLOOKUP($A749,'Entry data'!$A:$K,5,FALSE)),"",VLOOKUP($A749,'Entry data'!$A:$K,5,FALSE))</f>
        <v/>
      </c>
      <c r="F749" t="str">
        <f>IF(ISBLANK(VLOOKUP($A749,'Entry data'!$A:$K,6,FALSE)),"",VLOOKUP($A749,'Entry data'!$A:$K,6,FALSE))</f>
        <v/>
      </c>
      <c r="G749" t="str">
        <f>IF(ISBLANK(VLOOKUP($A749,'Entry data'!$A:$K,7,FALSE)),"",VLOOKUP($A749,'Entry data'!$A:$K,7,FALSE))</f>
        <v/>
      </c>
      <c r="H749" t="str">
        <f>IF(ISBLANK(VLOOKUP($A749,'Entry data'!$A:$K,8,FALSE)),"",VLOOKUP($A749,'Entry data'!$A:$K,8,FALSE))</f>
        <v/>
      </c>
      <c r="I749" t="str">
        <f>IF(ISBLANK(VLOOKUP($A749,'Entry data'!$A:$K,9,FALSE)),"",VLOOKUP($A749,'Entry data'!$A:$K,9,FALSE))</f>
        <v/>
      </c>
      <c r="J749" t="str">
        <f>IF(ISBLANK(VLOOKUP($A749,'Entry data'!$A:$K,10,FALSE)),"",VLOOKUP($A749,'Entry data'!$A:$K,10,FALSE))</f>
        <v/>
      </c>
      <c r="K749" t="str">
        <f>IF(ISBLANK(VLOOKUP($A749,'Entry data'!$A:$K,11,FALSE)),"",VLOOKUP($A749,'Entry data'!$A:$K,11,FALSE))</f>
        <v/>
      </c>
      <c r="L749">
        <f>IF(OR(EXACT(D749,"C"),EXACT(D749,"P"),EXACT(D749,"D"),EXACT(D749,"T"),EXACT(D749,"X"),EXACT(E749,"DZF"),EXACT(E749,"OZF"),EXACT(D749,"N"),EXACT(D749,"F")),1,0)</f>
        <v>0</v>
      </c>
      <c r="M749" t="str">
        <f t="shared" si="44"/>
        <v/>
      </c>
      <c r="N749">
        <f t="shared" si="45"/>
        <v>0</v>
      </c>
      <c r="O749">
        <f t="shared" si="46"/>
        <v>0</v>
      </c>
      <c r="P749" t="str">
        <f t="shared" si="47"/>
        <v/>
      </c>
    </row>
    <row r="750" spans="1:16" x14ac:dyDescent="0.25">
      <c r="A750">
        <v>249</v>
      </c>
      <c r="B750" t="str">
        <f>IF(ISBLANK(VLOOKUP($A750,'Entry data'!$A:$K,2,FALSE)),"",VLOOKUP($A750,'Entry data'!$A:$K,2,FALSE))</f>
        <v/>
      </c>
      <c r="C750" t="str">
        <f>IF(ISBLANK(VLOOKUP($A750,'Entry data'!$A:$K,3,FALSE)),"",VLOOKUP($A750,'Entry data'!$A:$K,3,FALSE))</f>
        <v/>
      </c>
      <c r="D750" t="str">
        <f>IF(ISBLANK(VLOOKUP($A750,'Entry data'!$A:$K,4,FALSE)),"",VLOOKUP($A750,'Entry data'!$A:$K,4,FALSE))</f>
        <v/>
      </c>
      <c r="E750" t="str">
        <f>IF(ISBLANK(VLOOKUP($A750,'Entry data'!$A:$K,5,FALSE)),"",VLOOKUP($A750,'Entry data'!$A:$K,5,FALSE))</f>
        <v/>
      </c>
      <c r="F750" t="str">
        <f>IF(ISBLANK(VLOOKUP($A750,'Entry data'!$A:$K,6,FALSE)),"",VLOOKUP($A750,'Entry data'!$A:$K,6,FALSE))</f>
        <v/>
      </c>
      <c r="G750" t="str">
        <f>IF(ISBLANK(VLOOKUP($A750,'Entry data'!$A:$K,7,FALSE)),"",VLOOKUP($A750,'Entry data'!$A:$K,7,FALSE))</f>
        <v/>
      </c>
      <c r="H750" t="str">
        <f>IF(ISBLANK(VLOOKUP($A750,'Entry data'!$A:$K,8,FALSE)),"",VLOOKUP($A750,'Entry data'!$A:$K,8,FALSE))</f>
        <v/>
      </c>
      <c r="I750" t="str">
        <f>IF(ISBLANK(VLOOKUP($A750,'Entry data'!$A:$K,9,FALSE)),"",VLOOKUP($A750,'Entry data'!$A:$K,9,FALSE))</f>
        <v/>
      </c>
      <c r="J750" t="str">
        <f>IF(ISBLANK(VLOOKUP($A750,'Entry data'!$A:$K,10,FALSE)),"",VLOOKUP($A750,'Entry data'!$A:$K,10,FALSE))</f>
        <v/>
      </c>
      <c r="K750" t="str">
        <f>IF(ISBLANK(VLOOKUP($A750,'Entry data'!$A:$K,11,FALSE)),"",VLOOKUP($A750,'Entry data'!$A:$K,11,FALSE))</f>
        <v/>
      </c>
      <c r="L750">
        <f>IF(OR(EXACT(D750,"C"),EXACT(D750,"P"),EXACT(D750,"D"),EXACT(D750,"T"),EXACT(D750,"X"),EXACT(E750,"DZF"),EXACT(E750,"OZF"),EXACT(D750,"N"),EXACT(D750,"F")),1,0)</f>
        <v>0</v>
      </c>
      <c r="M750" t="str">
        <f t="shared" si="44"/>
        <v/>
      </c>
      <c r="N750">
        <f t="shared" si="45"/>
        <v>0</v>
      </c>
      <c r="O750">
        <f t="shared" si="46"/>
        <v>0</v>
      </c>
      <c r="P750" t="str">
        <f t="shared" si="47"/>
        <v/>
      </c>
    </row>
    <row r="751" spans="1:16" x14ac:dyDescent="0.25">
      <c r="A751">
        <v>250</v>
      </c>
      <c r="B751" t="str">
        <f>IF(ISBLANK(VLOOKUP($A751,'Entry data'!$A:$K,2,FALSE)),"",VLOOKUP($A751,'Entry data'!$A:$K,2,FALSE))</f>
        <v/>
      </c>
      <c r="C751" t="str">
        <f>IF(ISBLANK(VLOOKUP($A751,'Entry data'!$A:$K,3,FALSE)),"",VLOOKUP($A751,'Entry data'!$A:$K,3,FALSE))</f>
        <v/>
      </c>
      <c r="D751" t="str">
        <f>IF(ISBLANK(VLOOKUP($A751,'Entry data'!$A:$K,4,FALSE)),"",VLOOKUP($A751,'Entry data'!$A:$K,4,FALSE))</f>
        <v/>
      </c>
      <c r="E751" t="str">
        <f>IF(ISBLANK(VLOOKUP($A751,'Entry data'!$A:$K,5,FALSE)),"",VLOOKUP($A751,'Entry data'!$A:$K,5,FALSE))</f>
        <v/>
      </c>
      <c r="F751" t="str">
        <f>IF(ISBLANK(VLOOKUP($A751,'Entry data'!$A:$K,6,FALSE)),"",VLOOKUP($A751,'Entry data'!$A:$K,6,FALSE))</f>
        <v/>
      </c>
      <c r="G751" t="str">
        <f>IF(ISBLANK(VLOOKUP($A751,'Entry data'!$A:$K,7,FALSE)),"",VLOOKUP($A751,'Entry data'!$A:$K,7,FALSE))</f>
        <v/>
      </c>
      <c r="H751" t="str">
        <f>IF(ISBLANK(VLOOKUP($A751,'Entry data'!$A:$K,8,FALSE)),"",VLOOKUP($A751,'Entry data'!$A:$K,8,FALSE))</f>
        <v/>
      </c>
      <c r="I751" t="str">
        <f>IF(ISBLANK(VLOOKUP($A751,'Entry data'!$A:$K,9,FALSE)),"",VLOOKUP($A751,'Entry data'!$A:$K,9,FALSE))</f>
        <v/>
      </c>
      <c r="J751" t="str">
        <f>IF(ISBLANK(VLOOKUP($A751,'Entry data'!$A:$K,10,FALSE)),"",VLOOKUP($A751,'Entry data'!$A:$K,10,FALSE))</f>
        <v/>
      </c>
      <c r="K751" t="str">
        <f>IF(ISBLANK(VLOOKUP($A751,'Entry data'!$A:$K,11,FALSE)),"",VLOOKUP($A751,'Entry data'!$A:$K,11,FALSE))</f>
        <v/>
      </c>
      <c r="L751">
        <f>IF(OR(EXACT(D751,"C"),EXACT(D751,"P"),EXACT(D751,"D"),EXACT(D751,"T"),EXACT(D751,"X"),EXACT(E751,"DZF"),EXACT(E751,"OZF"),EXACT(D751,"N"),EXACT(D751,"F")),1,0)</f>
        <v>0</v>
      </c>
      <c r="M751" t="str">
        <f t="shared" si="44"/>
        <v/>
      </c>
      <c r="N751">
        <f t="shared" si="45"/>
        <v>0</v>
      </c>
      <c r="O751">
        <f t="shared" si="46"/>
        <v>0</v>
      </c>
      <c r="P751" t="str">
        <f t="shared" si="47"/>
        <v/>
      </c>
    </row>
    <row r="752" spans="1:16" x14ac:dyDescent="0.25">
      <c r="A752">
        <v>251</v>
      </c>
      <c r="B752" t="str">
        <f>IF(ISBLANK(VLOOKUP($A752,'Entry data'!$A:$K,2,FALSE)),"",VLOOKUP($A752,'Entry data'!$A:$K,2,FALSE))</f>
        <v/>
      </c>
      <c r="C752" t="str">
        <f>IF(ISBLANK(VLOOKUP($A752,'Entry data'!$A:$K,3,FALSE)),"",VLOOKUP($A752,'Entry data'!$A:$K,3,FALSE))</f>
        <v/>
      </c>
      <c r="D752" t="str">
        <f>IF(ISBLANK(VLOOKUP($A752,'Entry data'!$A:$K,4,FALSE)),"",VLOOKUP($A752,'Entry data'!$A:$K,4,FALSE))</f>
        <v/>
      </c>
      <c r="E752" t="str">
        <f>IF(ISBLANK(VLOOKUP($A752,'Entry data'!$A:$K,5,FALSE)),"",VLOOKUP($A752,'Entry data'!$A:$K,5,FALSE))</f>
        <v/>
      </c>
      <c r="F752" t="str">
        <f>IF(ISBLANK(VLOOKUP($A752,'Entry data'!$A:$K,6,FALSE)),"",VLOOKUP($A752,'Entry data'!$A:$K,6,FALSE))</f>
        <v/>
      </c>
      <c r="G752" t="str">
        <f>IF(ISBLANK(VLOOKUP($A752,'Entry data'!$A:$K,7,FALSE)),"",VLOOKUP($A752,'Entry data'!$A:$K,7,FALSE))</f>
        <v/>
      </c>
      <c r="H752" t="str">
        <f>IF(ISBLANK(VLOOKUP($A752,'Entry data'!$A:$K,8,FALSE)),"",VLOOKUP($A752,'Entry data'!$A:$K,8,FALSE))</f>
        <v/>
      </c>
      <c r="I752" t="str">
        <f>IF(ISBLANK(VLOOKUP($A752,'Entry data'!$A:$K,9,FALSE)),"",VLOOKUP($A752,'Entry data'!$A:$K,9,FALSE))</f>
        <v/>
      </c>
      <c r="J752" t="str">
        <f>IF(ISBLANK(VLOOKUP($A752,'Entry data'!$A:$K,10,FALSE)),"",VLOOKUP($A752,'Entry data'!$A:$K,10,FALSE))</f>
        <v/>
      </c>
      <c r="K752" t="str">
        <f>IF(ISBLANK(VLOOKUP($A752,'Entry data'!$A:$K,11,FALSE)),"",VLOOKUP($A752,'Entry data'!$A:$K,11,FALSE))</f>
        <v/>
      </c>
      <c r="L752">
        <f>IF(OR(EXACT(D752,"C"),EXACT(D752,"P"),EXACT(D752,"D"),EXACT(D752,"T"),EXACT(D752,"X"),EXACT(E752,"DZF"),EXACT(E752,"OZF"),EXACT(D752,"N"),EXACT(D752,"F")),1,0)</f>
        <v>0</v>
      </c>
      <c r="M752" t="str">
        <f t="shared" si="44"/>
        <v/>
      </c>
      <c r="N752">
        <f t="shared" si="45"/>
        <v>0</v>
      </c>
      <c r="O752">
        <f t="shared" si="46"/>
        <v>0</v>
      </c>
      <c r="P752" t="str">
        <f t="shared" si="47"/>
        <v/>
      </c>
    </row>
    <row r="753" spans="1:16" x14ac:dyDescent="0.25">
      <c r="A753">
        <v>252</v>
      </c>
      <c r="B753" t="str">
        <f>IF(ISBLANK(VLOOKUP($A753,'Entry data'!$A:$K,2,FALSE)),"",VLOOKUP($A753,'Entry data'!$A:$K,2,FALSE))</f>
        <v/>
      </c>
      <c r="C753" t="str">
        <f>IF(ISBLANK(VLOOKUP($A753,'Entry data'!$A:$K,3,FALSE)),"",VLOOKUP($A753,'Entry data'!$A:$K,3,FALSE))</f>
        <v/>
      </c>
      <c r="D753" t="str">
        <f>IF(ISBLANK(VLOOKUP($A753,'Entry data'!$A:$K,4,FALSE)),"",VLOOKUP($A753,'Entry data'!$A:$K,4,FALSE))</f>
        <v/>
      </c>
      <c r="E753" t="str">
        <f>IF(ISBLANK(VLOOKUP($A753,'Entry data'!$A:$K,5,FALSE)),"",VLOOKUP($A753,'Entry data'!$A:$K,5,FALSE))</f>
        <v/>
      </c>
      <c r="F753" t="str">
        <f>IF(ISBLANK(VLOOKUP($A753,'Entry data'!$A:$K,6,FALSE)),"",VLOOKUP($A753,'Entry data'!$A:$K,6,FALSE))</f>
        <v/>
      </c>
      <c r="G753" t="str">
        <f>IF(ISBLANK(VLOOKUP($A753,'Entry data'!$A:$K,7,FALSE)),"",VLOOKUP($A753,'Entry data'!$A:$K,7,FALSE))</f>
        <v/>
      </c>
      <c r="H753" t="str">
        <f>IF(ISBLANK(VLOOKUP($A753,'Entry data'!$A:$K,8,FALSE)),"",VLOOKUP($A753,'Entry data'!$A:$K,8,FALSE))</f>
        <v/>
      </c>
      <c r="I753" t="str">
        <f>IF(ISBLANK(VLOOKUP($A753,'Entry data'!$A:$K,9,FALSE)),"",VLOOKUP($A753,'Entry data'!$A:$K,9,FALSE))</f>
        <v/>
      </c>
      <c r="J753" t="str">
        <f>IF(ISBLANK(VLOOKUP($A753,'Entry data'!$A:$K,10,FALSE)),"",VLOOKUP($A753,'Entry data'!$A:$K,10,FALSE))</f>
        <v/>
      </c>
      <c r="K753" t="str">
        <f>IF(ISBLANK(VLOOKUP($A753,'Entry data'!$A:$K,11,FALSE)),"",VLOOKUP($A753,'Entry data'!$A:$K,11,FALSE))</f>
        <v/>
      </c>
      <c r="L753">
        <f>IF(OR(EXACT(D753,"C"),EXACT(D753,"P"),EXACT(D753,"D"),EXACT(D753,"T"),EXACT(D753,"X"),EXACT(E753,"DZF"),EXACT(E753,"OZF"),EXACT(D753,"N"),EXACT(D753,"F")),1,0)</f>
        <v>0</v>
      </c>
      <c r="M753" t="str">
        <f t="shared" si="44"/>
        <v/>
      </c>
      <c r="N753">
        <f t="shared" si="45"/>
        <v>0</v>
      </c>
      <c r="O753">
        <f t="shared" si="46"/>
        <v>0</v>
      </c>
      <c r="P753" t="str">
        <f t="shared" si="47"/>
        <v/>
      </c>
    </row>
    <row r="754" spans="1:16" x14ac:dyDescent="0.25">
      <c r="A754">
        <v>253</v>
      </c>
      <c r="B754" t="str">
        <f>IF(ISBLANK(VLOOKUP($A754,'Entry data'!$A:$K,2,FALSE)),"",VLOOKUP($A754,'Entry data'!$A:$K,2,FALSE))</f>
        <v/>
      </c>
      <c r="C754" t="str">
        <f>IF(ISBLANK(VLOOKUP($A754,'Entry data'!$A:$K,3,FALSE)),"",VLOOKUP($A754,'Entry data'!$A:$K,3,FALSE))</f>
        <v/>
      </c>
      <c r="D754" t="str">
        <f>IF(ISBLANK(VLOOKUP($A754,'Entry data'!$A:$K,4,FALSE)),"",VLOOKUP($A754,'Entry data'!$A:$K,4,FALSE))</f>
        <v/>
      </c>
      <c r="E754" t="str">
        <f>IF(ISBLANK(VLOOKUP($A754,'Entry data'!$A:$K,5,FALSE)),"",VLOOKUP($A754,'Entry data'!$A:$K,5,FALSE))</f>
        <v/>
      </c>
      <c r="F754" t="str">
        <f>IF(ISBLANK(VLOOKUP($A754,'Entry data'!$A:$K,6,FALSE)),"",VLOOKUP($A754,'Entry data'!$A:$K,6,FALSE))</f>
        <v/>
      </c>
      <c r="G754" t="str">
        <f>IF(ISBLANK(VLOOKUP($A754,'Entry data'!$A:$K,7,FALSE)),"",VLOOKUP($A754,'Entry data'!$A:$K,7,FALSE))</f>
        <v/>
      </c>
      <c r="H754" t="str">
        <f>IF(ISBLANK(VLOOKUP($A754,'Entry data'!$A:$K,8,FALSE)),"",VLOOKUP($A754,'Entry data'!$A:$K,8,FALSE))</f>
        <v/>
      </c>
      <c r="I754" t="str">
        <f>IF(ISBLANK(VLOOKUP($A754,'Entry data'!$A:$K,9,FALSE)),"",VLOOKUP($A754,'Entry data'!$A:$K,9,FALSE))</f>
        <v/>
      </c>
      <c r="J754" t="str">
        <f>IF(ISBLANK(VLOOKUP($A754,'Entry data'!$A:$K,10,FALSE)),"",VLOOKUP($A754,'Entry data'!$A:$K,10,FALSE))</f>
        <v/>
      </c>
      <c r="K754" t="str">
        <f>IF(ISBLANK(VLOOKUP($A754,'Entry data'!$A:$K,11,FALSE)),"",VLOOKUP($A754,'Entry data'!$A:$K,11,FALSE))</f>
        <v/>
      </c>
      <c r="L754">
        <f>IF(OR(EXACT(D754,"C"),EXACT(D754,"P"),EXACT(D754,"D"),EXACT(D754,"T"),EXACT(D754,"X"),EXACT(E754,"DZF"),EXACT(E754,"OZF"),EXACT(D754,"N"),EXACT(D754,"F")),1,0)</f>
        <v>0</v>
      </c>
      <c r="M754" t="str">
        <f t="shared" si="44"/>
        <v/>
      </c>
      <c r="N754">
        <f t="shared" si="45"/>
        <v>0</v>
      </c>
      <c r="O754">
        <f t="shared" si="46"/>
        <v>0</v>
      </c>
      <c r="P754" t="str">
        <f t="shared" si="47"/>
        <v/>
      </c>
    </row>
    <row r="755" spans="1:16" x14ac:dyDescent="0.25">
      <c r="A755">
        <v>254</v>
      </c>
      <c r="B755" t="str">
        <f>IF(ISBLANK(VLOOKUP($A755,'Entry data'!$A:$K,2,FALSE)),"",VLOOKUP($A755,'Entry data'!$A:$K,2,FALSE))</f>
        <v/>
      </c>
      <c r="C755" t="str">
        <f>IF(ISBLANK(VLOOKUP($A755,'Entry data'!$A:$K,3,FALSE)),"",VLOOKUP($A755,'Entry data'!$A:$K,3,FALSE))</f>
        <v/>
      </c>
      <c r="D755" t="str">
        <f>IF(ISBLANK(VLOOKUP($A755,'Entry data'!$A:$K,4,FALSE)),"",VLOOKUP($A755,'Entry data'!$A:$K,4,FALSE))</f>
        <v/>
      </c>
      <c r="E755" t="str">
        <f>IF(ISBLANK(VLOOKUP($A755,'Entry data'!$A:$K,5,FALSE)),"",VLOOKUP($A755,'Entry data'!$A:$K,5,FALSE))</f>
        <v/>
      </c>
      <c r="F755" t="str">
        <f>IF(ISBLANK(VLOOKUP($A755,'Entry data'!$A:$K,6,FALSE)),"",VLOOKUP($A755,'Entry data'!$A:$K,6,FALSE))</f>
        <v/>
      </c>
      <c r="G755" t="str">
        <f>IF(ISBLANK(VLOOKUP($A755,'Entry data'!$A:$K,7,FALSE)),"",VLOOKUP($A755,'Entry data'!$A:$K,7,FALSE))</f>
        <v/>
      </c>
      <c r="H755" t="str">
        <f>IF(ISBLANK(VLOOKUP($A755,'Entry data'!$A:$K,8,FALSE)),"",VLOOKUP($A755,'Entry data'!$A:$K,8,FALSE))</f>
        <v/>
      </c>
      <c r="I755" t="str">
        <f>IF(ISBLANK(VLOOKUP($A755,'Entry data'!$A:$K,9,FALSE)),"",VLOOKUP($A755,'Entry data'!$A:$K,9,FALSE))</f>
        <v/>
      </c>
      <c r="J755" t="str">
        <f>IF(ISBLANK(VLOOKUP($A755,'Entry data'!$A:$K,10,FALSE)),"",VLOOKUP($A755,'Entry data'!$A:$K,10,FALSE))</f>
        <v/>
      </c>
      <c r="K755" t="str">
        <f>IF(ISBLANK(VLOOKUP($A755,'Entry data'!$A:$K,11,FALSE)),"",VLOOKUP($A755,'Entry data'!$A:$K,11,FALSE))</f>
        <v/>
      </c>
      <c r="L755">
        <f>IF(OR(EXACT(D755,"C"),EXACT(D755,"P"),EXACT(D755,"D"),EXACT(D755,"T"),EXACT(D755,"X"),EXACT(E755,"DZF"),EXACT(E755,"OZF"),EXACT(D755,"N"),EXACT(D755,"F")),1,0)</f>
        <v>0</v>
      </c>
      <c r="M755" t="str">
        <f t="shared" si="44"/>
        <v/>
      </c>
      <c r="N755">
        <f t="shared" si="45"/>
        <v>0</v>
      </c>
      <c r="O755">
        <f t="shared" si="46"/>
        <v>0</v>
      </c>
      <c r="P755" t="str">
        <f t="shared" si="47"/>
        <v/>
      </c>
    </row>
    <row r="756" spans="1:16" x14ac:dyDescent="0.25">
      <c r="A756">
        <v>255</v>
      </c>
      <c r="B756" t="str">
        <f>IF(ISBLANK(VLOOKUP($A756,'Entry data'!$A:$K,2,FALSE)),"",VLOOKUP($A756,'Entry data'!$A:$K,2,FALSE))</f>
        <v/>
      </c>
      <c r="C756" t="str">
        <f>IF(ISBLANK(VLOOKUP($A756,'Entry data'!$A:$K,3,FALSE)),"",VLOOKUP($A756,'Entry data'!$A:$K,3,FALSE))</f>
        <v/>
      </c>
      <c r="D756" t="str">
        <f>IF(ISBLANK(VLOOKUP($A756,'Entry data'!$A:$K,4,FALSE)),"",VLOOKUP($A756,'Entry data'!$A:$K,4,FALSE))</f>
        <v/>
      </c>
      <c r="E756" t="str">
        <f>IF(ISBLANK(VLOOKUP($A756,'Entry data'!$A:$K,5,FALSE)),"",VLOOKUP($A756,'Entry data'!$A:$K,5,FALSE))</f>
        <v/>
      </c>
      <c r="F756" t="str">
        <f>IF(ISBLANK(VLOOKUP($A756,'Entry data'!$A:$K,6,FALSE)),"",VLOOKUP($A756,'Entry data'!$A:$K,6,FALSE))</f>
        <v/>
      </c>
      <c r="G756" t="str">
        <f>IF(ISBLANK(VLOOKUP($A756,'Entry data'!$A:$K,7,FALSE)),"",VLOOKUP($A756,'Entry data'!$A:$K,7,FALSE))</f>
        <v/>
      </c>
      <c r="H756" t="str">
        <f>IF(ISBLANK(VLOOKUP($A756,'Entry data'!$A:$K,8,FALSE)),"",VLOOKUP($A756,'Entry data'!$A:$K,8,FALSE))</f>
        <v/>
      </c>
      <c r="I756" t="str">
        <f>IF(ISBLANK(VLOOKUP($A756,'Entry data'!$A:$K,9,FALSE)),"",VLOOKUP($A756,'Entry data'!$A:$K,9,FALSE))</f>
        <v/>
      </c>
      <c r="J756" t="str">
        <f>IF(ISBLANK(VLOOKUP($A756,'Entry data'!$A:$K,10,FALSE)),"",VLOOKUP($A756,'Entry data'!$A:$K,10,FALSE))</f>
        <v/>
      </c>
      <c r="K756" t="str">
        <f>IF(ISBLANK(VLOOKUP($A756,'Entry data'!$A:$K,11,FALSE)),"",VLOOKUP($A756,'Entry data'!$A:$K,11,FALSE))</f>
        <v/>
      </c>
      <c r="L756">
        <f>IF(OR(EXACT(D756,"C"),EXACT(D756,"P"),EXACT(D756,"D"),EXACT(D756,"T"),EXACT(D756,"X"),EXACT(E756,"DZF"),EXACT(E756,"OZF"),EXACT(D756,"N"),EXACT(D756,"F")),1,0)</f>
        <v>0</v>
      </c>
      <c r="M756" t="str">
        <f t="shared" si="44"/>
        <v/>
      </c>
      <c r="N756">
        <f t="shared" si="45"/>
        <v>0</v>
      </c>
      <c r="O756">
        <f t="shared" si="46"/>
        <v>0</v>
      </c>
      <c r="P756" t="str">
        <f t="shared" si="47"/>
        <v/>
      </c>
    </row>
    <row r="757" spans="1:16" x14ac:dyDescent="0.25">
      <c r="A757">
        <v>256</v>
      </c>
      <c r="B757" t="str">
        <f>IF(ISBLANK(VLOOKUP($A757,'Entry data'!$A:$K,2,FALSE)),"",VLOOKUP($A757,'Entry data'!$A:$K,2,FALSE))</f>
        <v/>
      </c>
      <c r="C757" t="str">
        <f>IF(ISBLANK(VLOOKUP($A757,'Entry data'!$A:$K,3,FALSE)),"",VLOOKUP($A757,'Entry data'!$A:$K,3,FALSE))</f>
        <v/>
      </c>
      <c r="D757" t="str">
        <f>IF(ISBLANK(VLOOKUP($A757,'Entry data'!$A:$K,4,FALSE)),"",VLOOKUP($A757,'Entry data'!$A:$K,4,FALSE))</f>
        <v/>
      </c>
      <c r="E757" t="str">
        <f>IF(ISBLANK(VLOOKUP($A757,'Entry data'!$A:$K,5,FALSE)),"",VLOOKUP($A757,'Entry data'!$A:$K,5,FALSE))</f>
        <v/>
      </c>
      <c r="F757" t="str">
        <f>IF(ISBLANK(VLOOKUP($A757,'Entry data'!$A:$K,6,FALSE)),"",VLOOKUP($A757,'Entry data'!$A:$K,6,FALSE))</f>
        <v/>
      </c>
      <c r="G757" t="str">
        <f>IF(ISBLANK(VLOOKUP($A757,'Entry data'!$A:$K,7,FALSE)),"",VLOOKUP($A757,'Entry data'!$A:$K,7,FALSE))</f>
        <v/>
      </c>
      <c r="H757" t="str">
        <f>IF(ISBLANK(VLOOKUP($A757,'Entry data'!$A:$K,8,FALSE)),"",VLOOKUP($A757,'Entry data'!$A:$K,8,FALSE))</f>
        <v/>
      </c>
      <c r="I757" t="str">
        <f>IF(ISBLANK(VLOOKUP($A757,'Entry data'!$A:$K,9,FALSE)),"",VLOOKUP($A757,'Entry data'!$A:$K,9,FALSE))</f>
        <v/>
      </c>
      <c r="J757" t="str">
        <f>IF(ISBLANK(VLOOKUP($A757,'Entry data'!$A:$K,10,FALSE)),"",VLOOKUP($A757,'Entry data'!$A:$K,10,FALSE))</f>
        <v/>
      </c>
      <c r="K757" t="str">
        <f>IF(ISBLANK(VLOOKUP($A757,'Entry data'!$A:$K,11,FALSE)),"",VLOOKUP($A757,'Entry data'!$A:$K,11,FALSE))</f>
        <v/>
      </c>
      <c r="L757">
        <f>IF(OR(EXACT(D757,"C"),EXACT(D757,"P"),EXACT(D757,"D"),EXACT(D757,"T"),EXACT(D757,"X"),EXACT(E757,"DZF"),EXACT(E757,"OZF"),EXACT(D757,"N"),EXACT(D757,"F")),1,0)</f>
        <v>0</v>
      </c>
      <c r="M757" t="str">
        <f t="shared" si="44"/>
        <v/>
      </c>
      <c r="N757">
        <f t="shared" si="45"/>
        <v>0</v>
      </c>
      <c r="O757">
        <f t="shared" si="46"/>
        <v>0</v>
      </c>
      <c r="P757" t="str">
        <f t="shared" si="47"/>
        <v/>
      </c>
    </row>
    <row r="758" spans="1:16" x14ac:dyDescent="0.25">
      <c r="A758">
        <v>257</v>
      </c>
      <c r="B758" t="str">
        <f>IF(ISBLANK(VLOOKUP($A758,'Entry data'!$A:$K,2,FALSE)),"",VLOOKUP($A758,'Entry data'!$A:$K,2,FALSE))</f>
        <v/>
      </c>
      <c r="C758" t="str">
        <f>IF(ISBLANK(VLOOKUP($A758,'Entry data'!$A:$K,3,FALSE)),"",VLOOKUP($A758,'Entry data'!$A:$K,3,FALSE))</f>
        <v/>
      </c>
      <c r="D758" t="str">
        <f>IF(ISBLANK(VLOOKUP($A758,'Entry data'!$A:$K,4,FALSE)),"",VLOOKUP($A758,'Entry data'!$A:$K,4,FALSE))</f>
        <v/>
      </c>
      <c r="E758" t="str">
        <f>IF(ISBLANK(VLOOKUP($A758,'Entry data'!$A:$K,5,FALSE)),"",VLOOKUP($A758,'Entry data'!$A:$K,5,FALSE))</f>
        <v/>
      </c>
      <c r="F758" t="str">
        <f>IF(ISBLANK(VLOOKUP($A758,'Entry data'!$A:$K,6,FALSE)),"",VLOOKUP($A758,'Entry data'!$A:$K,6,FALSE))</f>
        <v/>
      </c>
      <c r="G758" t="str">
        <f>IF(ISBLANK(VLOOKUP($A758,'Entry data'!$A:$K,7,FALSE)),"",VLOOKUP($A758,'Entry data'!$A:$K,7,FALSE))</f>
        <v/>
      </c>
      <c r="H758" t="str">
        <f>IF(ISBLANK(VLOOKUP($A758,'Entry data'!$A:$K,8,FALSE)),"",VLOOKUP($A758,'Entry data'!$A:$K,8,FALSE))</f>
        <v/>
      </c>
      <c r="I758" t="str">
        <f>IF(ISBLANK(VLOOKUP($A758,'Entry data'!$A:$K,9,FALSE)),"",VLOOKUP($A758,'Entry data'!$A:$K,9,FALSE))</f>
        <v/>
      </c>
      <c r="J758" t="str">
        <f>IF(ISBLANK(VLOOKUP($A758,'Entry data'!$A:$K,10,FALSE)),"",VLOOKUP($A758,'Entry data'!$A:$K,10,FALSE))</f>
        <v/>
      </c>
      <c r="K758" t="str">
        <f>IF(ISBLANK(VLOOKUP($A758,'Entry data'!$A:$K,11,FALSE)),"",VLOOKUP($A758,'Entry data'!$A:$K,11,FALSE))</f>
        <v/>
      </c>
      <c r="L758">
        <f>IF(OR(EXACT(D758,"C"),EXACT(D758,"P"),EXACT(D758,"D"),EXACT(D758,"T"),EXACT(D758,"X"),EXACT(E758,"DZF"),EXACT(E758,"OZF"),EXACT(D758,"N"),EXACT(D758,"F")),1,0)</f>
        <v>0</v>
      </c>
      <c r="M758" t="str">
        <f t="shared" si="44"/>
        <v/>
      </c>
      <c r="N758">
        <f t="shared" si="45"/>
        <v>0</v>
      </c>
      <c r="O758">
        <f t="shared" si="46"/>
        <v>0</v>
      </c>
      <c r="P758" t="str">
        <f t="shared" si="47"/>
        <v/>
      </c>
    </row>
    <row r="759" spans="1:16" x14ac:dyDescent="0.25">
      <c r="A759">
        <v>258</v>
      </c>
      <c r="B759" t="str">
        <f>IF(ISBLANK(VLOOKUP($A759,'Entry data'!$A:$K,2,FALSE)),"",VLOOKUP($A759,'Entry data'!$A:$K,2,FALSE))</f>
        <v/>
      </c>
      <c r="C759" t="str">
        <f>IF(ISBLANK(VLOOKUP($A759,'Entry data'!$A:$K,3,FALSE)),"",VLOOKUP($A759,'Entry data'!$A:$K,3,FALSE))</f>
        <v/>
      </c>
      <c r="D759" t="str">
        <f>IF(ISBLANK(VLOOKUP($A759,'Entry data'!$A:$K,4,FALSE)),"",VLOOKUP($A759,'Entry data'!$A:$K,4,FALSE))</f>
        <v/>
      </c>
      <c r="E759" t="str">
        <f>IF(ISBLANK(VLOOKUP($A759,'Entry data'!$A:$K,5,FALSE)),"",VLOOKUP($A759,'Entry data'!$A:$K,5,FALSE))</f>
        <v/>
      </c>
      <c r="F759" t="str">
        <f>IF(ISBLANK(VLOOKUP($A759,'Entry data'!$A:$K,6,FALSE)),"",VLOOKUP($A759,'Entry data'!$A:$K,6,FALSE))</f>
        <v/>
      </c>
      <c r="G759" t="str">
        <f>IF(ISBLANK(VLOOKUP($A759,'Entry data'!$A:$K,7,FALSE)),"",VLOOKUP($A759,'Entry data'!$A:$K,7,FALSE))</f>
        <v/>
      </c>
      <c r="H759" t="str">
        <f>IF(ISBLANK(VLOOKUP($A759,'Entry data'!$A:$K,8,FALSE)),"",VLOOKUP($A759,'Entry data'!$A:$K,8,FALSE))</f>
        <v/>
      </c>
      <c r="I759" t="str">
        <f>IF(ISBLANK(VLOOKUP($A759,'Entry data'!$A:$K,9,FALSE)),"",VLOOKUP($A759,'Entry data'!$A:$K,9,FALSE))</f>
        <v/>
      </c>
      <c r="J759" t="str">
        <f>IF(ISBLANK(VLOOKUP($A759,'Entry data'!$A:$K,10,FALSE)),"",VLOOKUP($A759,'Entry data'!$A:$K,10,FALSE))</f>
        <v/>
      </c>
      <c r="K759" t="str">
        <f>IF(ISBLANK(VLOOKUP($A759,'Entry data'!$A:$K,11,FALSE)),"",VLOOKUP($A759,'Entry data'!$A:$K,11,FALSE))</f>
        <v/>
      </c>
      <c r="L759">
        <f>IF(OR(EXACT(D759,"C"),EXACT(D759,"P"),EXACT(D759,"D"),EXACT(D759,"T"),EXACT(D759,"X"),EXACT(E759,"DZF"),EXACT(E759,"OZF"),EXACT(D759,"N"),EXACT(D759,"F")),1,0)</f>
        <v>0</v>
      </c>
      <c r="M759" t="str">
        <f t="shared" si="44"/>
        <v/>
      </c>
      <c r="N759">
        <f t="shared" si="45"/>
        <v>0</v>
      </c>
      <c r="O759">
        <f t="shared" si="46"/>
        <v>0</v>
      </c>
      <c r="P759" t="str">
        <f t="shared" si="47"/>
        <v/>
      </c>
    </row>
    <row r="760" spans="1:16" x14ac:dyDescent="0.25">
      <c r="A760">
        <v>259</v>
      </c>
      <c r="B760" t="str">
        <f>IF(ISBLANK(VLOOKUP($A760,'Entry data'!$A:$K,2,FALSE)),"",VLOOKUP($A760,'Entry data'!$A:$K,2,FALSE))</f>
        <v/>
      </c>
      <c r="C760" t="str">
        <f>IF(ISBLANK(VLOOKUP($A760,'Entry data'!$A:$K,3,FALSE)),"",VLOOKUP($A760,'Entry data'!$A:$K,3,FALSE))</f>
        <v/>
      </c>
      <c r="D760" t="str">
        <f>IF(ISBLANK(VLOOKUP($A760,'Entry data'!$A:$K,4,FALSE)),"",VLOOKUP($A760,'Entry data'!$A:$K,4,FALSE))</f>
        <v/>
      </c>
      <c r="E760" t="str">
        <f>IF(ISBLANK(VLOOKUP($A760,'Entry data'!$A:$K,5,FALSE)),"",VLOOKUP($A760,'Entry data'!$A:$K,5,FALSE))</f>
        <v/>
      </c>
      <c r="F760" t="str">
        <f>IF(ISBLANK(VLOOKUP($A760,'Entry data'!$A:$K,6,FALSE)),"",VLOOKUP($A760,'Entry data'!$A:$K,6,FALSE))</f>
        <v/>
      </c>
      <c r="G760" t="str">
        <f>IF(ISBLANK(VLOOKUP($A760,'Entry data'!$A:$K,7,FALSE)),"",VLOOKUP($A760,'Entry data'!$A:$K,7,FALSE))</f>
        <v/>
      </c>
      <c r="H760" t="str">
        <f>IF(ISBLANK(VLOOKUP($A760,'Entry data'!$A:$K,8,FALSE)),"",VLOOKUP($A760,'Entry data'!$A:$K,8,FALSE))</f>
        <v/>
      </c>
      <c r="I760" t="str">
        <f>IF(ISBLANK(VLOOKUP($A760,'Entry data'!$A:$K,9,FALSE)),"",VLOOKUP($A760,'Entry data'!$A:$K,9,FALSE))</f>
        <v/>
      </c>
      <c r="J760" t="str">
        <f>IF(ISBLANK(VLOOKUP($A760,'Entry data'!$A:$K,10,FALSE)),"",VLOOKUP($A760,'Entry data'!$A:$K,10,FALSE))</f>
        <v/>
      </c>
      <c r="K760" t="str">
        <f>IF(ISBLANK(VLOOKUP($A760,'Entry data'!$A:$K,11,FALSE)),"",VLOOKUP($A760,'Entry data'!$A:$K,11,FALSE))</f>
        <v/>
      </c>
      <c r="L760">
        <f>IF(OR(EXACT(D760,"C"),EXACT(D760,"P"),EXACT(D760,"D"),EXACT(D760,"T"),EXACT(D760,"X"),EXACT(E760,"DZF"),EXACT(E760,"OZF"),EXACT(D760,"N"),EXACT(D760,"F")),1,0)</f>
        <v>0</v>
      </c>
      <c r="M760" t="str">
        <f t="shared" si="44"/>
        <v/>
      </c>
      <c r="N760">
        <f t="shared" si="45"/>
        <v>0</v>
      </c>
      <c r="O760">
        <f t="shared" si="46"/>
        <v>0</v>
      </c>
      <c r="P760" t="str">
        <f t="shared" si="47"/>
        <v/>
      </c>
    </row>
    <row r="761" spans="1:16" x14ac:dyDescent="0.25">
      <c r="A761">
        <v>260</v>
      </c>
      <c r="B761" t="str">
        <f>IF(ISBLANK(VLOOKUP($A761,'Entry data'!$A:$K,2,FALSE)),"",VLOOKUP($A761,'Entry data'!$A:$K,2,FALSE))</f>
        <v/>
      </c>
      <c r="C761" t="str">
        <f>IF(ISBLANK(VLOOKUP($A761,'Entry data'!$A:$K,3,FALSE)),"",VLOOKUP($A761,'Entry data'!$A:$K,3,FALSE))</f>
        <v/>
      </c>
      <c r="D761" t="str">
        <f>IF(ISBLANK(VLOOKUP($A761,'Entry data'!$A:$K,4,FALSE)),"",VLOOKUP($A761,'Entry data'!$A:$K,4,FALSE))</f>
        <v/>
      </c>
      <c r="E761" t="str">
        <f>IF(ISBLANK(VLOOKUP($A761,'Entry data'!$A:$K,5,FALSE)),"",VLOOKUP($A761,'Entry data'!$A:$K,5,FALSE))</f>
        <v/>
      </c>
      <c r="F761" t="str">
        <f>IF(ISBLANK(VLOOKUP($A761,'Entry data'!$A:$K,6,FALSE)),"",VLOOKUP($A761,'Entry data'!$A:$K,6,FALSE))</f>
        <v/>
      </c>
      <c r="G761" t="str">
        <f>IF(ISBLANK(VLOOKUP($A761,'Entry data'!$A:$K,7,FALSE)),"",VLOOKUP($A761,'Entry data'!$A:$K,7,FALSE))</f>
        <v/>
      </c>
      <c r="H761" t="str">
        <f>IF(ISBLANK(VLOOKUP($A761,'Entry data'!$A:$K,8,FALSE)),"",VLOOKUP($A761,'Entry data'!$A:$K,8,FALSE))</f>
        <v/>
      </c>
      <c r="I761" t="str">
        <f>IF(ISBLANK(VLOOKUP($A761,'Entry data'!$A:$K,9,FALSE)),"",VLOOKUP($A761,'Entry data'!$A:$K,9,FALSE))</f>
        <v/>
      </c>
      <c r="J761" t="str">
        <f>IF(ISBLANK(VLOOKUP($A761,'Entry data'!$A:$K,10,FALSE)),"",VLOOKUP($A761,'Entry data'!$A:$K,10,FALSE))</f>
        <v/>
      </c>
      <c r="K761" t="str">
        <f>IF(ISBLANK(VLOOKUP($A761,'Entry data'!$A:$K,11,FALSE)),"",VLOOKUP($A761,'Entry data'!$A:$K,11,FALSE))</f>
        <v/>
      </c>
      <c r="L761">
        <f>IF(OR(EXACT(D761,"C"),EXACT(D761,"P"),EXACT(D761,"D"),EXACT(D761,"T"),EXACT(D761,"X"),EXACT(E761,"DZF"),EXACT(E761,"OZF"),EXACT(D761,"N"),EXACT(D761,"F")),1,0)</f>
        <v>0</v>
      </c>
      <c r="M761" t="str">
        <f t="shared" si="44"/>
        <v/>
      </c>
      <c r="N761">
        <f t="shared" si="45"/>
        <v>0</v>
      </c>
      <c r="O761">
        <f t="shared" si="46"/>
        <v>0</v>
      </c>
      <c r="P761" t="str">
        <f t="shared" si="47"/>
        <v/>
      </c>
    </row>
    <row r="762" spans="1:16" x14ac:dyDescent="0.25">
      <c r="A762">
        <v>261</v>
      </c>
      <c r="B762" t="str">
        <f>IF(ISBLANK(VLOOKUP($A762,'Entry data'!$A:$K,2,FALSE)),"",VLOOKUP($A762,'Entry data'!$A:$K,2,FALSE))</f>
        <v/>
      </c>
      <c r="C762" t="str">
        <f>IF(ISBLANK(VLOOKUP($A762,'Entry data'!$A:$K,3,FALSE)),"",VLOOKUP($A762,'Entry data'!$A:$K,3,FALSE))</f>
        <v/>
      </c>
      <c r="D762" t="str">
        <f>IF(ISBLANK(VLOOKUP($A762,'Entry data'!$A:$K,4,FALSE)),"",VLOOKUP($A762,'Entry data'!$A:$K,4,FALSE))</f>
        <v/>
      </c>
      <c r="E762" t="str">
        <f>IF(ISBLANK(VLOOKUP($A762,'Entry data'!$A:$K,5,FALSE)),"",VLOOKUP($A762,'Entry data'!$A:$K,5,FALSE))</f>
        <v/>
      </c>
      <c r="F762" t="str">
        <f>IF(ISBLANK(VLOOKUP($A762,'Entry data'!$A:$K,6,FALSE)),"",VLOOKUP($A762,'Entry data'!$A:$K,6,FALSE))</f>
        <v/>
      </c>
      <c r="G762" t="str">
        <f>IF(ISBLANK(VLOOKUP($A762,'Entry data'!$A:$K,7,FALSE)),"",VLOOKUP($A762,'Entry data'!$A:$K,7,FALSE))</f>
        <v/>
      </c>
      <c r="H762" t="str">
        <f>IF(ISBLANK(VLOOKUP($A762,'Entry data'!$A:$K,8,FALSE)),"",VLOOKUP($A762,'Entry data'!$A:$K,8,FALSE))</f>
        <v/>
      </c>
      <c r="I762" t="str">
        <f>IF(ISBLANK(VLOOKUP($A762,'Entry data'!$A:$K,9,FALSE)),"",VLOOKUP($A762,'Entry data'!$A:$K,9,FALSE))</f>
        <v/>
      </c>
      <c r="J762" t="str">
        <f>IF(ISBLANK(VLOOKUP($A762,'Entry data'!$A:$K,10,FALSE)),"",VLOOKUP($A762,'Entry data'!$A:$K,10,FALSE))</f>
        <v/>
      </c>
      <c r="K762" t="str">
        <f>IF(ISBLANK(VLOOKUP($A762,'Entry data'!$A:$K,11,FALSE)),"",VLOOKUP($A762,'Entry data'!$A:$K,11,FALSE))</f>
        <v/>
      </c>
      <c r="L762">
        <f>IF(OR(EXACT(D762,"C"),EXACT(D762,"P"),EXACT(D762,"D"),EXACT(D762,"T"),EXACT(D762,"X"),EXACT(E762,"DZF"),EXACT(E762,"OZF"),EXACT(D762,"N"),EXACT(D762,"F")),1,0)</f>
        <v>0</v>
      </c>
      <c r="M762" t="str">
        <f t="shared" si="44"/>
        <v/>
      </c>
      <c r="N762">
        <f t="shared" si="45"/>
        <v>0</v>
      </c>
      <c r="O762">
        <f t="shared" si="46"/>
        <v>0</v>
      </c>
      <c r="P762" t="str">
        <f t="shared" si="47"/>
        <v/>
      </c>
    </row>
    <row r="763" spans="1:16" x14ac:dyDescent="0.25">
      <c r="A763">
        <v>262</v>
      </c>
      <c r="B763" t="str">
        <f>IF(ISBLANK(VLOOKUP($A763,'Entry data'!$A:$K,2,FALSE)),"",VLOOKUP($A763,'Entry data'!$A:$K,2,FALSE))</f>
        <v/>
      </c>
      <c r="C763" t="str">
        <f>IF(ISBLANK(VLOOKUP($A763,'Entry data'!$A:$K,3,FALSE)),"",VLOOKUP($A763,'Entry data'!$A:$K,3,FALSE))</f>
        <v/>
      </c>
      <c r="D763" t="str">
        <f>IF(ISBLANK(VLOOKUP($A763,'Entry data'!$A:$K,4,FALSE)),"",VLOOKUP($A763,'Entry data'!$A:$K,4,FALSE))</f>
        <v/>
      </c>
      <c r="E763" t="str">
        <f>IF(ISBLANK(VLOOKUP($A763,'Entry data'!$A:$K,5,FALSE)),"",VLOOKUP($A763,'Entry data'!$A:$K,5,FALSE))</f>
        <v/>
      </c>
      <c r="F763" t="str">
        <f>IF(ISBLANK(VLOOKUP($A763,'Entry data'!$A:$K,6,FALSE)),"",VLOOKUP($A763,'Entry data'!$A:$K,6,FALSE))</f>
        <v/>
      </c>
      <c r="G763" t="str">
        <f>IF(ISBLANK(VLOOKUP($A763,'Entry data'!$A:$K,7,FALSE)),"",VLOOKUP($A763,'Entry data'!$A:$K,7,FALSE))</f>
        <v/>
      </c>
      <c r="H763" t="str">
        <f>IF(ISBLANK(VLOOKUP($A763,'Entry data'!$A:$K,8,FALSE)),"",VLOOKUP($A763,'Entry data'!$A:$K,8,FALSE))</f>
        <v/>
      </c>
      <c r="I763" t="str">
        <f>IF(ISBLANK(VLOOKUP($A763,'Entry data'!$A:$K,9,FALSE)),"",VLOOKUP($A763,'Entry data'!$A:$K,9,FALSE))</f>
        <v/>
      </c>
      <c r="J763" t="str">
        <f>IF(ISBLANK(VLOOKUP($A763,'Entry data'!$A:$K,10,FALSE)),"",VLOOKUP($A763,'Entry data'!$A:$K,10,FALSE))</f>
        <v/>
      </c>
      <c r="K763" t="str">
        <f>IF(ISBLANK(VLOOKUP($A763,'Entry data'!$A:$K,11,FALSE)),"",VLOOKUP($A763,'Entry data'!$A:$K,11,FALSE))</f>
        <v/>
      </c>
      <c r="L763">
        <f>IF(OR(EXACT(D763,"C"),EXACT(D763,"P"),EXACT(D763,"D"),EXACT(D763,"T"),EXACT(D763,"X"),EXACT(E763,"DZF"),EXACT(E763,"OZF"),EXACT(D763,"N"),EXACT(D763,"F")),1,0)</f>
        <v>0</v>
      </c>
      <c r="M763" t="str">
        <f t="shared" si="44"/>
        <v/>
      </c>
      <c r="N763">
        <f t="shared" si="45"/>
        <v>0</v>
      </c>
      <c r="O763">
        <f t="shared" si="46"/>
        <v>0</v>
      </c>
      <c r="P763" t="str">
        <f t="shared" si="47"/>
        <v/>
      </c>
    </row>
    <row r="764" spans="1:16" x14ac:dyDescent="0.25">
      <c r="A764">
        <v>263</v>
      </c>
      <c r="B764" t="str">
        <f>IF(ISBLANK(VLOOKUP($A764,'Entry data'!$A:$K,2,FALSE)),"",VLOOKUP($A764,'Entry data'!$A:$K,2,FALSE))</f>
        <v/>
      </c>
      <c r="C764" t="str">
        <f>IF(ISBLANK(VLOOKUP($A764,'Entry data'!$A:$K,3,FALSE)),"",VLOOKUP($A764,'Entry data'!$A:$K,3,FALSE))</f>
        <v/>
      </c>
      <c r="D764" t="str">
        <f>IF(ISBLANK(VLOOKUP($A764,'Entry data'!$A:$K,4,FALSE)),"",VLOOKUP($A764,'Entry data'!$A:$K,4,FALSE))</f>
        <v/>
      </c>
      <c r="E764" t="str">
        <f>IF(ISBLANK(VLOOKUP($A764,'Entry data'!$A:$K,5,FALSE)),"",VLOOKUP($A764,'Entry data'!$A:$K,5,FALSE))</f>
        <v/>
      </c>
      <c r="F764" t="str">
        <f>IF(ISBLANK(VLOOKUP($A764,'Entry data'!$A:$K,6,FALSE)),"",VLOOKUP($A764,'Entry data'!$A:$K,6,FALSE))</f>
        <v/>
      </c>
      <c r="G764" t="str">
        <f>IF(ISBLANK(VLOOKUP($A764,'Entry data'!$A:$K,7,FALSE)),"",VLOOKUP($A764,'Entry data'!$A:$K,7,FALSE))</f>
        <v/>
      </c>
      <c r="H764" t="str">
        <f>IF(ISBLANK(VLOOKUP($A764,'Entry data'!$A:$K,8,FALSE)),"",VLOOKUP($A764,'Entry data'!$A:$K,8,FALSE))</f>
        <v/>
      </c>
      <c r="I764" t="str">
        <f>IF(ISBLANK(VLOOKUP($A764,'Entry data'!$A:$K,9,FALSE)),"",VLOOKUP($A764,'Entry data'!$A:$K,9,FALSE))</f>
        <v/>
      </c>
      <c r="J764" t="str">
        <f>IF(ISBLANK(VLOOKUP($A764,'Entry data'!$A:$K,10,FALSE)),"",VLOOKUP($A764,'Entry data'!$A:$K,10,FALSE))</f>
        <v/>
      </c>
      <c r="K764" t="str">
        <f>IF(ISBLANK(VLOOKUP($A764,'Entry data'!$A:$K,11,FALSE)),"",VLOOKUP($A764,'Entry data'!$A:$K,11,FALSE))</f>
        <v/>
      </c>
      <c r="L764">
        <f>IF(OR(EXACT(D764,"C"),EXACT(D764,"P"),EXACT(D764,"D"),EXACT(D764,"T"),EXACT(D764,"X"),EXACT(E764,"DZF"),EXACT(E764,"OZF"),EXACT(D764,"N"),EXACT(D764,"F")),1,0)</f>
        <v>0</v>
      </c>
      <c r="M764" t="str">
        <f t="shared" si="44"/>
        <v/>
      </c>
      <c r="N764">
        <f t="shared" si="45"/>
        <v>0</v>
      </c>
      <c r="O764">
        <f t="shared" si="46"/>
        <v>0</v>
      </c>
      <c r="P764" t="str">
        <f t="shared" si="47"/>
        <v/>
      </c>
    </row>
    <row r="765" spans="1:16" x14ac:dyDescent="0.25">
      <c r="A765">
        <v>264</v>
      </c>
      <c r="B765" t="str">
        <f>IF(ISBLANK(VLOOKUP($A765,'Entry data'!$A:$K,2,FALSE)),"",VLOOKUP($A765,'Entry data'!$A:$K,2,FALSE))</f>
        <v/>
      </c>
      <c r="C765" t="str">
        <f>IF(ISBLANK(VLOOKUP($A765,'Entry data'!$A:$K,3,FALSE)),"",VLOOKUP($A765,'Entry data'!$A:$K,3,FALSE))</f>
        <v/>
      </c>
      <c r="D765" t="str">
        <f>IF(ISBLANK(VLOOKUP($A765,'Entry data'!$A:$K,4,FALSE)),"",VLOOKUP($A765,'Entry data'!$A:$K,4,FALSE))</f>
        <v/>
      </c>
      <c r="E765" t="str">
        <f>IF(ISBLANK(VLOOKUP($A765,'Entry data'!$A:$K,5,FALSE)),"",VLOOKUP($A765,'Entry data'!$A:$K,5,FALSE))</f>
        <v/>
      </c>
      <c r="F765" t="str">
        <f>IF(ISBLANK(VLOOKUP($A765,'Entry data'!$A:$K,6,FALSE)),"",VLOOKUP($A765,'Entry data'!$A:$K,6,FALSE))</f>
        <v/>
      </c>
      <c r="G765" t="str">
        <f>IF(ISBLANK(VLOOKUP($A765,'Entry data'!$A:$K,7,FALSE)),"",VLOOKUP($A765,'Entry data'!$A:$K,7,FALSE))</f>
        <v/>
      </c>
      <c r="H765" t="str">
        <f>IF(ISBLANK(VLOOKUP($A765,'Entry data'!$A:$K,8,FALSE)),"",VLOOKUP($A765,'Entry data'!$A:$K,8,FALSE))</f>
        <v/>
      </c>
      <c r="I765" t="str">
        <f>IF(ISBLANK(VLOOKUP($A765,'Entry data'!$A:$K,9,FALSE)),"",VLOOKUP($A765,'Entry data'!$A:$K,9,FALSE))</f>
        <v/>
      </c>
      <c r="J765" t="str">
        <f>IF(ISBLANK(VLOOKUP($A765,'Entry data'!$A:$K,10,FALSE)),"",VLOOKUP($A765,'Entry data'!$A:$K,10,FALSE))</f>
        <v/>
      </c>
      <c r="K765" t="str">
        <f>IF(ISBLANK(VLOOKUP($A765,'Entry data'!$A:$K,11,FALSE)),"",VLOOKUP($A765,'Entry data'!$A:$K,11,FALSE))</f>
        <v/>
      </c>
      <c r="L765">
        <f>IF(OR(EXACT(D765,"C"),EXACT(D765,"P"),EXACT(D765,"D"),EXACT(D765,"T"),EXACT(D765,"X"),EXACT(E765,"DZF"),EXACT(E765,"OZF"),EXACT(D765,"N"),EXACT(D765,"F")),1,0)</f>
        <v>0</v>
      </c>
      <c r="M765" t="str">
        <f t="shared" si="44"/>
        <v/>
      </c>
      <c r="N765">
        <f t="shared" si="45"/>
        <v>0</v>
      </c>
      <c r="O765">
        <f t="shared" si="46"/>
        <v>0</v>
      </c>
      <c r="P765" t="str">
        <f t="shared" si="47"/>
        <v/>
      </c>
    </row>
    <row r="766" spans="1:16" x14ac:dyDescent="0.25">
      <c r="A766">
        <v>265</v>
      </c>
      <c r="B766" t="str">
        <f>IF(ISBLANK(VLOOKUP($A766,'Entry data'!$A:$K,2,FALSE)),"",VLOOKUP($A766,'Entry data'!$A:$K,2,FALSE))</f>
        <v/>
      </c>
      <c r="C766" t="str">
        <f>IF(ISBLANK(VLOOKUP($A766,'Entry data'!$A:$K,3,FALSE)),"",VLOOKUP($A766,'Entry data'!$A:$K,3,FALSE))</f>
        <v/>
      </c>
      <c r="D766" t="str">
        <f>IF(ISBLANK(VLOOKUP($A766,'Entry data'!$A:$K,4,FALSE)),"",VLOOKUP($A766,'Entry data'!$A:$K,4,FALSE))</f>
        <v/>
      </c>
      <c r="E766" t="str">
        <f>IF(ISBLANK(VLOOKUP($A766,'Entry data'!$A:$K,5,FALSE)),"",VLOOKUP($A766,'Entry data'!$A:$K,5,FALSE))</f>
        <v/>
      </c>
      <c r="F766" t="str">
        <f>IF(ISBLANK(VLOOKUP($A766,'Entry data'!$A:$K,6,FALSE)),"",VLOOKUP($A766,'Entry data'!$A:$K,6,FALSE))</f>
        <v/>
      </c>
      <c r="G766" t="str">
        <f>IF(ISBLANK(VLOOKUP($A766,'Entry data'!$A:$K,7,FALSE)),"",VLOOKUP($A766,'Entry data'!$A:$K,7,FALSE))</f>
        <v/>
      </c>
      <c r="H766" t="str">
        <f>IF(ISBLANK(VLOOKUP($A766,'Entry data'!$A:$K,8,FALSE)),"",VLOOKUP($A766,'Entry data'!$A:$K,8,FALSE))</f>
        <v/>
      </c>
      <c r="I766" t="str">
        <f>IF(ISBLANK(VLOOKUP($A766,'Entry data'!$A:$K,9,FALSE)),"",VLOOKUP($A766,'Entry data'!$A:$K,9,FALSE))</f>
        <v/>
      </c>
      <c r="J766" t="str">
        <f>IF(ISBLANK(VLOOKUP($A766,'Entry data'!$A:$K,10,FALSE)),"",VLOOKUP($A766,'Entry data'!$A:$K,10,FALSE))</f>
        <v/>
      </c>
      <c r="K766" t="str">
        <f>IF(ISBLANK(VLOOKUP($A766,'Entry data'!$A:$K,11,FALSE)),"",VLOOKUP($A766,'Entry data'!$A:$K,11,FALSE))</f>
        <v/>
      </c>
      <c r="L766">
        <f>IF(OR(EXACT(D766,"C"),EXACT(D766,"P"),EXACT(D766,"D"),EXACT(D766,"T"),EXACT(D766,"X"),EXACT(E766,"DZF"),EXACT(E766,"OZF"),EXACT(D766,"N"),EXACT(D766,"F")),1,0)</f>
        <v>0</v>
      </c>
      <c r="M766" t="str">
        <f t="shared" si="44"/>
        <v/>
      </c>
      <c r="N766">
        <f t="shared" si="45"/>
        <v>0</v>
      </c>
      <c r="O766">
        <f t="shared" si="46"/>
        <v>0</v>
      </c>
      <c r="P766" t="str">
        <f t="shared" si="47"/>
        <v/>
      </c>
    </row>
    <row r="767" spans="1:16" x14ac:dyDescent="0.25">
      <c r="A767">
        <v>266</v>
      </c>
      <c r="B767" t="str">
        <f>IF(ISBLANK(VLOOKUP($A767,'Entry data'!$A:$K,2,FALSE)),"",VLOOKUP($A767,'Entry data'!$A:$K,2,FALSE))</f>
        <v/>
      </c>
      <c r="C767" t="str">
        <f>IF(ISBLANK(VLOOKUP($A767,'Entry data'!$A:$K,3,FALSE)),"",VLOOKUP($A767,'Entry data'!$A:$K,3,FALSE))</f>
        <v/>
      </c>
      <c r="D767" t="str">
        <f>IF(ISBLANK(VLOOKUP($A767,'Entry data'!$A:$K,4,FALSE)),"",VLOOKUP($A767,'Entry data'!$A:$K,4,FALSE))</f>
        <v/>
      </c>
      <c r="E767" t="str">
        <f>IF(ISBLANK(VLOOKUP($A767,'Entry data'!$A:$K,5,FALSE)),"",VLOOKUP($A767,'Entry data'!$A:$K,5,FALSE))</f>
        <v/>
      </c>
      <c r="F767" t="str">
        <f>IF(ISBLANK(VLOOKUP($A767,'Entry data'!$A:$K,6,FALSE)),"",VLOOKUP($A767,'Entry data'!$A:$K,6,FALSE))</f>
        <v/>
      </c>
      <c r="G767" t="str">
        <f>IF(ISBLANK(VLOOKUP($A767,'Entry data'!$A:$K,7,FALSE)),"",VLOOKUP($A767,'Entry data'!$A:$K,7,FALSE))</f>
        <v/>
      </c>
      <c r="H767" t="str">
        <f>IF(ISBLANK(VLOOKUP($A767,'Entry data'!$A:$K,8,FALSE)),"",VLOOKUP($A767,'Entry data'!$A:$K,8,FALSE))</f>
        <v/>
      </c>
      <c r="I767" t="str">
        <f>IF(ISBLANK(VLOOKUP($A767,'Entry data'!$A:$K,9,FALSE)),"",VLOOKUP($A767,'Entry data'!$A:$K,9,FALSE))</f>
        <v/>
      </c>
      <c r="J767" t="str">
        <f>IF(ISBLANK(VLOOKUP($A767,'Entry data'!$A:$K,10,FALSE)),"",VLOOKUP($A767,'Entry data'!$A:$K,10,FALSE))</f>
        <v/>
      </c>
      <c r="K767" t="str">
        <f>IF(ISBLANK(VLOOKUP($A767,'Entry data'!$A:$K,11,FALSE)),"",VLOOKUP($A767,'Entry data'!$A:$K,11,FALSE))</f>
        <v/>
      </c>
      <c r="L767">
        <f>IF(OR(EXACT(D767,"C"),EXACT(D767,"P"),EXACT(D767,"D"),EXACT(D767,"T"),EXACT(D767,"X"),EXACT(E767,"DZF"),EXACT(E767,"OZF"),EXACT(D767,"N"),EXACT(D767,"F")),1,0)</f>
        <v>0</v>
      </c>
      <c r="M767" t="str">
        <f t="shared" si="44"/>
        <v/>
      </c>
      <c r="N767">
        <f t="shared" si="45"/>
        <v>0</v>
      </c>
      <c r="O767">
        <f t="shared" si="46"/>
        <v>0</v>
      </c>
      <c r="P767" t="str">
        <f t="shared" si="47"/>
        <v/>
      </c>
    </row>
    <row r="768" spans="1:16" x14ac:dyDescent="0.25">
      <c r="A768">
        <v>267</v>
      </c>
      <c r="B768" t="str">
        <f>IF(ISBLANK(VLOOKUP($A768,'Entry data'!$A:$K,2,FALSE)),"",VLOOKUP($A768,'Entry data'!$A:$K,2,FALSE))</f>
        <v/>
      </c>
      <c r="C768" t="str">
        <f>IF(ISBLANK(VLOOKUP($A768,'Entry data'!$A:$K,3,FALSE)),"",VLOOKUP($A768,'Entry data'!$A:$K,3,FALSE))</f>
        <v/>
      </c>
      <c r="D768" t="str">
        <f>IF(ISBLANK(VLOOKUP($A768,'Entry data'!$A:$K,4,FALSE)),"",VLOOKUP($A768,'Entry data'!$A:$K,4,FALSE))</f>
        <v/>
      </c>
      <c r="E768" t="str">
        <f>IF(ISBLANK(VLOOKUP($A768,'Entry data'!$A:$K,5,FALSE)),"",VLOOKUP($A768,'Entry data'!$A:$K,5,FALSE))</f>
        <v/>
      </c>
      <c r="F768" t="str">
        <f>IF(ISBLANK(VLOOKUP($A768,'Entry data'!$A:$K,6,FALSE)),"",VLOOKUP($A768,'Entry data'!$A:$K,6,FALSE))</f>
        <v/>
      </c>
      <c r="G768" t="str">
        <f>IF(ISBLANK(VLOOKUP($A768,'Entry data'!$A:$K,7,FALSE)),"",VLOOKUP($A768,'Entry data'!$A:$K,7,FALSE))</f>
        <v/>
      </c>
      <c r="H768" t="str">
        <f>IF(ISBLANK(VLOOKUP($A768,'Entry data'!$A:$K,8,FALSE)),"",VLOOKUP($A768,'Entry data'!$A:$K,8,FALSE))</f>
        <v/>
      </c>
      <c r="I768" t="str">
        <f>IF(ISBLANK(VLOOKUP($A768,'Entry data'!$A:$K,9,FALSE)),"",VLOOKUP($A768,'Entry data'!$A:$K,9,FALSE))</f>
        <v/>
      </c>
      <c r="J768" t="str">
        <f>IF(ISBLANK(VLOOKUP($A768,'Entry data'!$A:$K,10,FALSE)),"",VLOOKUP($A768,'Entry data'!$A:$K,10,FALSE))</f>
        <v/>
      </c>
      <c r="K768" t="str">
        <f>IF(ISBLANK(VLOOKUP($A768,'Entry data'!$A:$K,11,FALSE)),"",VLOOKUP($A768,'Entry data'!$A:$K,11,FALSE))</f>
        <v/>
      </c>
      <c r="L768">
        <f>IF(OR(EXACT(D768,"C"),EXACT(D768,"P"),EXACT(D768,"D"),EXACT(D768,"T"),EXACT(D768,"X"),EXACT(E768,"DZF"),EXACT(E768,"OZF"),EXACT(D768,"N"),EXACT(D768,"F")),1,0)</f>
        <v>0</v>
      </c>
      <c r="M768" t="str">
        <f t="shared" si="44"/>
        <v/>
      </c>
      <c r="N768">
        <f t="shared" si="45"/>
        <v>0</v>
      </c>
      <c r="O768">
        <f t="shared" si="46"/>
        <v>0</v>
      </c>
      <c r="P768" t="str">
        <f t="shared" si="47"/>
        <v/>
      </c>
    </row>
    <row r="769" spans="1:16" x14ac:dyDescent="0.25">
      <c r="A769">
        <v>268</v>
      </c>
      <c r="B769" t="str">
        <f>IF(ISBLANK(VLOOKUP($A769,'Entry data'!$A:$K,2,FALSE)),"",VLOOKUP($A769,'Entry data'!$A:$K,2,FALSE))</f>
        <v/>
      </c>
      <c r="C769" t="str">
        <f>IF(ISBLANK(VLOOKUP($A769,'Entry data'!$A:$K,3,FALSE)),"",VLOOKUP($A769,'Entry data'!$A:$K,3,FALSE))</f>
        <v/>
      </c>
      <c r="D769" t="str">
        <f>IF(ISBLANK(VLOOKUP($A769,'Entry data'!$A:$K,4,FALSE)),"",VLOOKUP($A769,'Entry data'!$A:$K,4,FALSE))</f>
        <v/>
      </c>
      <c r="E769" t="str">
        <f>IF(ISBLANK(VLOOKUP($A769,'Entry data'!$A:$K,5,FALSE)),"",VLOOKUP($A769,'Entry data'!$A:$K,5,FALSE))</f>
        <v/>
      </c>
      <c r="F769" t="str">
        <f>IF(ISBLANK(VLOOKUP($A769,'Entry data'!$A:$K,6,FALSE)),"",VLOOKUP($A769,'Entry data'!$A:$K,6,FALSE))</f>
        <v/>
      </c>
      <c r="G769" t="str">
        <f>IF(ISBLANK(VLOOKUP($A769,'Entry data'!$A:$K,7,FALSE)),"",VLOOKUP($A769,'Entry data'!$A:$K,7,FALSE))</f>
        <v/>
      </c>
      <c r="H769" t="str">
        <f>IF(ISBLANK(VLOOKUP($A769,'Entry data'!$A:$K,8,FALSE)),"",VLOOKUP($A769,'Entry data'!$A:$K,8,FALSE))</f>
        <v/>
      </c>
      <c r="I769" t="str">
        <f>IF(ISBLANK(VLOOKUP($A769,'Entry data'!$A:$K,9,FALSE)),"",VLOOKUP($A769,'Entry data'!$A:$K,9,FALSE))</f>
        <v/>
      </c>
      <c r="J769" t="str">
        <f>IF(ISBLANK(VLOOKUP($A769,'Entry data'!$A:$K,10,FALSE)),"",VLOOKUP($A769,'Entry data'!$A:$K,10,FALSE))</f>
        <v/>
      </c>
      <c r="K769" t="str">
        <f>IF(ISBLANK(VLOOKUP($A769,'Entry data'!$A:$K,11,FALSE)),"",VLOOKUP($A769,'Entry data'!$A:$K,11,FALSE))</f>
        <v/>
      </c>
      <c r="L769">
        <f>IF(OR(EXACT(D769,"C"),EXACT(D769,"P"),EXACT(D769,"D"),EXACT(D769,"T"),EXACT(D769,"X"),EXACT(E769,"DZF"),EXACT(E769,"OZF"),EXACT(D769,"N"),EXACT(D769,"F")),1,0)</f>
        <v>0</v>
      </c>
      <c r="M769" t="str">
        <f t="shared" si="44"/>
        <v/>
      </c>
      <c r="N769">
        <f t="shared" si="45"/>
        <v>0</v>
      </c>
      <c r="O769">
        <f t="shared" si="46"/>
        <v>0</v>
      </c>
      <c r="P769" t="str">
        <f t="shared" si="47"/>
        <v/>
      </c>
    </row>
    <row r="770" spans="1:16" x14ac:dyDescent="0.25">
      <c r="A770">
        <v>269</v>
      </c>
      <c r="B770" t="str">
        <f>IF(ISBLANK(VLOOKUP($A770,'Entry data'!$A:$K,2,FALSE)),"",VLOOKUP($A770,'Entry data'!$A:$K,2,FALSE))</f>
        <v/>
      </c>
      <c r="C770" t="str">
        <f>IF(ISBLANK(VLOOKUP($A770,'Entry data'!$A:$K,3,FALSE)),"",VLOOKUP($A770,'Entry data'!$A:$K,3,FALSE))</f>
        <v/>
      </c>
      <c r="D770" t="str">
        <f>IF(ISBLANK(VLOOKUP($A770,'Entry data'!$A:$K,4,FALSE)),"",VLOOKUP($A770,'Entry data'!$A:$K,4,FALSE))</f>
        <v/>
      </c>
      <c r="E770" t="str">
        <f>IF(ISBLANK(VLOOKUP($A770,'Entry data'!$A:$K,5,FALSE)),"",VLOOKUP($A770,'Entry data'!$A:$K,5,FALSE))</f>
        <v/>
      </c>
      <c r="F770" t="str">
        <f>IF(ISBLANK(VLOOKUP($A770,'Entry data'!$A:$K,6,FALSE)),"",VLOOKUP($A770,'Entry data'!$A:$K,6,FALSE))</f>
        <v/>
      </c>
      <c r="G770" t="str">
        <f>IF(ISBLANK(VLOOKUP($A770,'Entry data'!$A:$K,7,FALSE)),"",VLOOKUP($A770,'Entry data'!$A:$K,7,FALSE))</f>
        <v/>
      </c>
      <c r="H770" t="str">
        <f>IF(ISBLANK(VLOOKUP($A770,'Entry data'!$A:$K,8,FALSE)),"",VLOOKUP($A770,'Entry data'!$A:$K,8,FALSE))</f>
        <v/>
      </c>
      <c r="I770" t="str">
        <f>IF(ISBLANK(VLOOKUP($A770,'Entry data'!$A:$K,9,FALSE)),"",VLOOKUP($A770,'Entry data'!$A:$K,9,FALSE))</f>
        <v/>
      </c>
      <c r="J770" t="str">
        <f>IF(ISBLANK(VLOOKUP($A770,'Entry data'!$A:$K,10,FALSE)),"",VLOOKUP($A770,'Entry data'!$A:$K,10,FALSE))</f>
        <v/>
      </c>
      <c r="K770" t="str">
        <f>IF(ISBLANK(VLOOKUP($A770,'Entry data'!$A:$K,11,FALSE)),"",VLOOKUP($A770,'Entry data'!$A:$K,11,FALSE))</f>
        <v/>
      </c>
      <c r="L770">
        <f>IF(OR(EXACT(D770,"C"),EXACT(D770,"P"),EXACT(D770,"D"),EXACT(D770,"T"),EXACT(D770,"X"),EXACT(E770,"DZF"),EXACT(E770,"OZF"),EXACT(D770,"N"),EXACT(D770,"F")),1,0)</f>
        <v>0</v>
      </c>
      <c r="M770" t="str">
        <f t="shared" ref="M770:M833" si="48">IF(OR(EXACT(D770,"C"),EXACT(D770,"P")),E770,"")</f>
        <v/>
      </c>
      <c r="N770">
        <f t="shared" ref="N770:N833" si="49">IF(OR(EXACT(D770,"GOAL"),EXACT(D770,"SHOT"),EXACT(D770,"MISS")),1,0)+IF(L771=0,N771,0)</f>
        <v>0</v>
      </c>
      <c r="O770">
        <f t="shared" ref="O770:O833" si="50">IF(EXACT(D770,"GOAL"),1,0)+IF(L771=0,O771,0)</f>
        <v>0</v>
      </c>
      <c r="P770" t="str">
        <f t="shared" si="47"/>
        <v/>
      </c>
    </row>
    <row r="771" spans="1:16" x14ac:dyDescent="0.25">
      <c r="A771">
        <v>270</v>
      </c>
      <c r="B771" t="str">
        <f>IF(ISBLANK(VLOOKUP($A771,'Entry data'!$A:$K,2,FALSE)),"",VLOOKUP($A771,'Entry data'!$A:$K,2,FALSE))</f>
        <v/>
      </c>
      <c r="C771" t="str">
        <f>IF(ISBLANK(VLOOKUP($A771,'Entry data'!$A:$K,3,FALSE)),"",VLOOKUP($A771,'Entry data'!$A:$K,3,FALSE))</f>
        <v/>
      </c>
      <c r="D771" t="str">
        <f>IF(ISBLANK(VLOOKUP($A771,'Entry data'!$A:$K,4,FALSE)),"",VLOOKUP($A771,'Entry data'!$A:$K,4,FALSE))</f>
        <v/>
      </c>
      <c r="E771" t="str">
        <f>IF(ISBLANK(VLOOKUP($A771,'Entry data'!$A:$K,5,FALSE)),"",VLOOKUP($A771,'Entry data'!$A:$K,5,FALSE))</f>
        <v/>
      </c>
      <c r="F771" t="str">
        <f>IF(ISBLANK(VLOOKUP($A771,'Entry data'!$A:$K,6,FALSE)),"",VLOOKUP($A771,'Entry data'!$A:$K,6,FALSE))</f>
        <v/>
      </c>
      <c r="G771" t="str">
        <f>IF(ISBLANK(VLOOKUP($A771,'Entry data'!$A:$K,7,FALSE)),"",VLOOKUP($A771,'Entry data'!$A:$K,7,FALSE))</f>
        <v/>
      </c>
      <c r="H771" t="str">
        <f>IF(ISBLANK(VLOOKUP($A771,'Entry data'!$A:$K,8,FALSE)),"",VLOOKUP($A771,'Entry data'!$A:$K,8,FALSE))</f>
        <v/>
      </c>
      <c r="I771" t="str">
        <f>IF(ISBLANK(VLOOKUP($A771,'Entry data'!$A:$K,9,FALSE)),"",VLOOKUP($A771,'Entry data'!$A:$K,9,FALSE))</f>
        <v/>
      </c>
      <c r="J771" t="str">
        <f>IF(ISBLANK(VLOOKUP($A771,'Entry data'!$A:$K,10,FALSE)),"",VLOOKUP($A771,'Entry data'!$A:$K,10,FALSE))</f>
        <v/>
      </c>
      <c r="K771" t="str">
        <f>IF(ISBLANK(VLOOKUP($A771,'Entry data'!$A:$K,11,FALSE)),"",VLOOKUP($A771,'Entry data'!$A:$K,11,FALSE))</f>
        <v/>
      </c>
      <c r="L771">
        <f>IF(OR(EXACT(D771,"C"),EXACT(D771,"P"),EXACT(D771,"D"),EXACT(D771,"T"),EXACT(D771,"X"),EXACT(E771,"DZF"),EXACT(E771,"OZF"),EXACT(D771,"N"),EXACT(D771,"F")),1,0)</f>
        <v>0</v>
      </c>
      <c r="M771" t="str">
        <f t="shared" si="48"/>
        <v/>
      </c>
      <c r="N771">
        <f t="shared" si="49"/>
        <v>0</v>
      </c>
      <c r="O771">
        <f t="shared" si="50"/>
        <v>0</v>
      </c>
      <c r="P771" t="str">
        <f t="shared" ref="P771:P834" si="51">IF(EXACT(D771,"F"),E771,"")</f>
        <v/>
      </c>
    </row>
    <row r="772" spans="1:16" x14ac:dyDescent="0.25">
      <c r="A772">
        <v>271</v>
      </c>
      <c r="B772" t="str">
        <f>IF(ISBLANK(VLOOKUP($A772,'Entry data'!$A:$K,2,FALSE)),"",VLOOKUP($A772,'Entry data'!$A:$K,2,FALSE))</f>
        <v/>
      </c>
      <c r="C772" t="str">
        <f>IF(ISBLANK(VLOOKUP($A772,'Entry data'!$A:$K,3,FALSE)),"",VLOOKUP($A772,'Entry data'!$A:$K,3,FALSE))</f>
        <v/>
      </c>
      <c r="D772" t="str">
        <f>IF(ISBLANK(VLOOKUP($A772,'Entry data'!$A:$K,4,FALSE)),"",VLOOKUP($A772,'Entry data'!$A:$K,4,FALSE))</f>
        <v/>
      </c>
      <c r="E772" t="str">
        <f>IF(ISBLANK(VLOOKUP($A772,'Entry data'!$A:$K,5,FALSE)),"",VLOOKUP($A772,'Entry data'!$A:$K,5,FALSE))</f>
        <v/>
      </c>
      <c r="F772" t="str">
        <f>IF(ISBLANK(VLOOKUP($A772,'Entry data'!$A:$K,6,FALSE)),"",VLOOKUP($A772,'Entry data'!$A:$K,6,FALSE))</f>
        <v/>
      </c>
      <c r="G772" t="str">
        <f>IF(ISBLANK(VLOOKUP($A772,'Entry data'!$A:$K,7,FALSE)),"",VLOOKUP($A772,'Entry data'!$A:$K,7,FALSE))</f>
        <v/>
      </c>
      <c r="H772" t="str">
        <f>IF(ISBLANK(VLOOKUP($A772,'Entry data'!$A:$K,8,FALSE)),"",VLOOKUP($A772,'Entry data'!$A:$K,8,FALSE))</f>
        <v/>
      </c>
      <c r="I772" t="str">
        <f>IF(ISBLANK(VLOOKUP($A772,'Entry data'!$A:$K,9,FALSE)),"",VLOOKUP($A772,'Entry data'!$A:$K,9,FALSE))</f>
        <v/>
      </c>
      <c r="J772" t="str">
        <f>IF(ISBLANK(VLOOKUP($A772,'Entry data'!$A:$K,10,FALSE)),"",VLOOKUP($A772,'Entry data'!$A:$K,10,FALSE))</f>
        <v/>
      </c>
      <c r="K772" t="str">
        <f>IF(ISBLANK(VLOOKUP($A772,'Entry data'!$A:$K,11,FALSE)),"",VLOOKUP($A772,'Entry data'!$A:$K,11,FALSE))</f>
        <v/>
      </c>
      <c r="L772">
        <f>IF(OR(EXACT(D772,"C"),EXACT(D772,"P"),EXACT(D772,"D"),EXACT(D772,"T"),EXACT(D772,"X"),EXACT(E772,"DZF"),EXACT(E772,"OZF"),EXACT(D772,"N"),EXACT(D772,"F")),1,0)</f>
        <v>0</v>
      </c>
      <c r="M772" t="str">
        <f t="shared" si="48"/>
        <v/>
      </c>
      <c r="N772">
        <f t="shared" si="49"/>
        <v>0</v>
      </c>
      <c r="O772">
        <f t="shared" si="50"/>
        <v>0</v>
      </c>
      <c r="P772" t="str">
        <f t="shared" si="51"/>
        <v/>
      </c>
    </row>
    <row r="773" spans="1:16" x14ac:dyDescent="0.25">
      <c r="A773">
        <v>272</v>
      </c>
      <c r="B773" t="str">
        <f>IF(ISBLANK(VLOOKUP($A773,'Entry data'!$A:$K,2,FALSE)),"",VLOOKUP($A773,'Entry data'!$A:$K,2,FALSE))</f>
        <v/>
      </c>
      <c r="C773" t="str">
        <f>IF(ISBLANK(VLOOKUP($A773,'Entry data'!$A:$K,3,FALSE)),"",VLOOKUP($A773,'Entry data'!$A:$K,3,FALSE))</f>
        <v/>
      </c>
      <c r="D773" t="str">
        <f>IF(ISBLANK(VLOOKUP($A773,'Entry data'!$A:$K,4,FALSE)),"",VLOOKUP($A773,'Entry data'!$A:$K,4,FALSE))</f>
        <v/>
      </c>
      <c r="E773" t="str">
        <f>IF(ISBLANK(VLOOKUP($A773,'Entry data'!$A:$K,5,FALSE)),"",VLOOKUP($A773,'Entry data'!$A:$K,5,FALSE))</f>
        <v/>
      </c>
      <c r="F773" t="str">
        <f>IF(ISBLANK(VLOOKUP($A773,'Entry data'!$A:$K,6,FALSE)),"",VLOOKUP($A773,'Entry data'!$A:$K,6,FALSE))</f>
        <v/>
      </c>
      <c r="G773" t="str">
        <f>IF(ISBLANK(VLOOKUP($A773,'Entry data'!$A:$K,7,FALSE)),"",VLOOKUP($A773,'Entry data'!$A:$K,7,FALSE))</f>
        <v/>
      </c>
      <c r="H773" t="str">
        <f>IF(ISBLANK(VLOOKUP($A773,'Entry data'!$A:$K,8,FALSE)),"",VLOOKUP($A773,'Entry data'!$A:$K,8,FALSE))</f>
        <v/>
      </c>
      <c r="I773" t="str">
        <f>IF(ISBLANK(VLOOKUP($A773,'Entry data'!$A:$K,9,FALSE)),"",VLOOKUP($A773,'Entry data'!$A:$K,9,FALSE))</f>
        <v/>
      </c>
      <c r="J773" t="str">
        <f>IF(ISBLANK(VLOOKUP($A773,'Entry data'!$A:$K,10,FALSE)),"",VLOOKUP($A773,'Entry data'!$A:$K,10,FALSE))</f>
        <v/>
      </c>
      <c r="K773" t="str">
        <f>IF(ISBLANK(VLOOKUP($A773,'Entry data'!$A:$K,11,FALSE)),"",VLOOKUP($A773,'Entry data'!$A:$K,11,FALSE))</f>
        <v/>
      </c>
      <c r="L773">
        <f>IF(OR(EXACT(D773,"C"),EXACT(D773,"P"),EXACT(D773,"D"),EXACT(D773,"T"),EXACT(D773,"X"),EXACT(E773,"DZF"),EXACT(E773,"OZF"),EXACT(D773,"N"),EXACT(D773,"F")),1,0)</f>
        <v>0</v>
      </c>
      <c r="M773" t="str">
        <f t="shared" si="48"/>
        <v/>
      </c>
      <c r="N773">
        <f t="shared" si="49"/>
        <v>0</v>
      </c>
      <c r="O773">
        <f t="shared" si="50"/>
        <v>0</v>
      </c>
      <c r="P773" t="str">
        <f t="shared" si="51"/>
        <v/>
      </c>
    </row>
    <row r="774" spans="1:16" x14ac:dyDescent="0.25">
      <c r="A774">
        <v>273</v>
      </c>
      <c r="B774" t="str">
        <f>IF(ISBLANK(VLOOKUP($A774,'Entry data'!$A:$K,2,FALSE)),"",VLOOKUP($A774,'Entry data'!$A:$K,2,FALSE))</f>
        <v/>
      </c>
      <c r="C774" t="str">
        <f>IF(ISBLANK(VLOOKUP($A774,'Entry data'!$A:$K,3,FALSE)),"",VLOOKUP($A774,'Entry data'!$A:$K,3,FALSE))</f>
        <v/>
      </c>
      <c r="D774" t="str">
        <f>IF(ISBLANK(VLOOKUP($A774,'Entry data'!$A:$K,4,FALSE)),"",VLOOKUP($A774,'Entry data'!$A:$K,4,FALSE))</f>
        <v/>
      </c>
      <c r="E774" t="str">
        <f>IF(ISBLANK(VLOOKUP($A774,'Entry data'!$A:$K,5,FALSE)),"",VLOOKUP($A774,'Entry data'!$A:$K,5,FALSE))</f>
        <v/>
      </c>
      <c r="F774" t="str">
        <f>IF(ISBLANK(VLOOKUP($A774,'Entry data'!$A:$K,6,FALSE)),"",VLOOKUP($A774,'Entry data'!$A:$K,6,FALSE))</f>
        <v/>
      </c>
      <c r="G774" t="str">
        <f>IF(ISBLANK(VLOOKUP($A774,'Entry data'!$A:$K,7,FALSE)),"",VLOOKUP($A774,'Entry data'!$A:$K,7,FALSE))</f>
        <v/>
      </c>
      <c r="H774" t="str">
        <f>IF(ISBLANK(VLOOKUP($A774,'Entry data'!$A:$K,8,FALSE)),"",VLOOKUP($A774,'Entry data'!$A:$K,8,FALSE))</f>
        <v/>
      </c>
      <c r="I774" t="str">
        <f>IF(ISBLANK(VLOOKUP($A774,'Entry data'!$A:$K,9,FALSE)),"",VLOOKUP($A774,'Entry data'!$A:$K,9,FALSE))</f>
        <v/>
      </c>
      <c r="J774" t="str">
        <f>IF(ISBLANK(VLOOKUP($A774,'Entry data'!$A:$K,10,FALSE)),"",VLOOKUP($A774,'Entry data'!$A:$K,10,FALSE))</f>
        <v/>
      </c>
      <c r="K774" t="str">
        <f>IF(ISBLANK(VLOOKUP($A774,'Entry data'!$A:$K,11,FALSE)),"",VLOOKUP($A774,'Entry data'!$A:$K,11,FALSE))</f>
        <v/>
      </c>
      <c r="L774">
        <f>IF(OR(EXACT(D774,"C"),EXACT(D774,"P"),EXACT(D774,"D"),EXACT(D774,"T"),EXACT(D774,"X"),EXACT(E774,"DZF"),EXACT(E774,"OZF"),EXACT(D774,"N"),EXACT(D774,"F")),1,0)</f>
        <v>0</v>
      </c>
      <c r="M774" t="str">
        <f t="shared" si="48"/>
        <v/>
      </c>
      <c r="N774">
        <f t="shared" si="49"/>
        <v>0</v>
      </c>
      <c r="O774">
        <f t="shared" si="50"/>
        <v>0</v>
      </c>
      <c r="P774" t="str">
        <f t="shared" si="51"/>
        <v/>
      </c>
    </row>
    <row r="775" spans="1:16" x14ac:dyDescent="0.25">
      <c r="A775">
        <v>274</v>
      </c>
      <c r="B775" t="str">
        <f>IF(ISBLANK(VLOOKUP($A775,'Entry data'!$A:$K,2,FALSE)),"",VLOOKUP($A775,'Entry data'!$A:$K,2,FALSE))</f>
        <v/>
      </c>
      <c r="C775" t="str">
        <f>IF(ISBLANK(VLOOKUP($A775,'Entry data'!$A:$K,3,FALSE)),"",VLOOKUP($A775,'Entry data'!$A:$K,3,FALSE))</f>
        <v/>
      </c>
      <c r="D775" t="str">
        <f>IF(ISBLANK(VLOOKUP($A775,'Entry data'!$A:$K,4,FALSE)),"",VLOOKUP($A775,'Entry data'!$A:$K,4,FALSE))</f>
        <v/>
      </c>
      <c r="E775" t="str">
        <f>IF(ISBLANK(VLOOKUP($A775,'Entry data'!$A:$K,5,FALSE)),"",VLOOKUP($A775,'Entry data'!$A:$K,5,FALSE))</f>
        <v/>
      </c>
      <c r="F775" t="str">
        <f>IF(ISBLANK(VLOOKUP($A775,'Entry data'!$A:$K,6,FALSE)),"",VLOOKUP($A775,'Entry data'!$A:$K,6,FALSE))</f>
        <v/>
      </c>
      <c r="G775" t="str">
        <f>IF(ISBLANK(VLOOKUP($A775,'Entry data'!$A:$K,7,FALSE)),"",VLOOKUP($A775,'Entry data'!$A:$K,7,FALSE))</f>
        <v/>
      </c>
      <c r="H775" t="str">
        <f>IF(ISBLANK(VLOOKUP($A775,'Entry data'!$A:$K,8,FALSE)),"",VLOOKUP($A775,'Entry data'!$A:$K,8,FALSE))</f>
        <v/>
      </c>
      <c r="I775" t="str">
        <f>IF(ISBLANK(VLOOKUP($A775,'Entry data'!$A:$K,9,FALSE)),"",VLOOKUP($A775,'Entry data'!$A:$K,9,FALSE))</f>
        <v/>
      </c>
      <c r="J775" t="str">
        <f>IF(ISBLANK(VLOOKUP($A775,'Entry data'!$A:$K,10,FALSE)),"",VLOOKUP($A775,'Entry data'!$A:$K,10,FALSE))</f>
        <v/>
      </c>
      <c r="K775" t="str">
        <f>IF(ISBLANK(VLOOKUP($A775,'Entry data'!$A:$K,11,FALSE)),"",VLOOKUP($A775,'Entry data'!$A:$K,11,FALSE))</f>
        <v/>
      </c>
      <c r="L775">
        <f>IF(OR(EXACT(D775,"C"),EXACT(D775,"P"),EXACT(D775,"D"),EXACT(D775,"T"),EXACT(D775,"X"),EXACT(E775,"DZF"),EXACT(E775,"OZF"),EXACT(D775,"N"),EXACT(D775,"F")),1,0)</f>
        <v>0</v>
      </c>
      <c r="M775" t="str">
        <f t="shared" si="48"/>
        <v/>
      </c>
      <c r="N775">
        <f t="shared" si="49"/>
        <v>0</v>
      </c>
      <c r="O775">
        <f t="shared" si="50"/>
        <v>0</v>
      </c>
      <c r="P775" t="str">
        <f t="shared" si="51"/>
        <v/>
      </c>
    </row>
    <row r="776" spans="1:16" x14ac:dyDescent="0.25">
      <c r="A776">
        <v>275</v>
      </c>
      <c r="B776" t="str">
        <f>IF(ISBLANK(VLOOKUP($A776,'Entry data'!$A:$K,2,FALSE)),"",VLOOKUP($A776,'Entry data'!$A:$K,2,FALSE))</f>
        <v/>
      </c>
      <c r="C776" t="str">
        <f>IF(ISBLANK(VLOOKUP($A776,'Entry data'!$A:$K,3,FALSE)),"",VLOOKUP($A776,'Entry data'!$A:$K,3,FALSE))</f>
        <v/>
      </c>
      <c r="D776" t="str">
        <f>IF(ISBLANK(VLOOKUP($A776,'Entry data'!$A:$K,4,FALSE)),"",VLOOKUP($A776,'Entry data'!$A:$K,4,FALSE))</f>
        <v/>
      </c>
      <c r="E776" t="str">
        <f>IF(ISBLANK(VLOOKUP($A776,'Entry data'!$A:$K,5,FALSE)),"",VLOOKUP($A776,'Entry data'!$A:$K,5,FALSE))</f>
        <v/>
      </c>
      <c r="F776" t="str">
        <f>IF(ISBLANK(VLOOKUP($A776,'Entry data'!$A:$K,6,FALSE)),"",VLOOKUP($A776,'Entry data'!$A:$K,6,FALSE))</f>
        <v/>
      </c>
      <c r="G776" t="str">
        <f>IF(ISBLANK(VLOOKUP($A776,'Entry data'!$A:$K,7,FALSE)),"",VLOOKUP($A776,'Entry data'!$A:$K,7,FALSE))</f>
        <v/>
      </c>
      <c r="H776" t="str">
        <f>IF(ISBLANK(VLOOKUP($A776,'Entry data'!$A:$K,8,FALSE)),"",VLOOKUP($A776,'Entry data'!$A:$K,8,FALSE))</f>
        <v/>
      </c>
      <c r="I776" t="str">
        <f>IF(ISBLANK(VLOOKUP($A776,'Entry data'!$A:$K,9,FALSE)),"",VLOOKUP($A776,'Entry data'!$A:$K,9,FALSE))</f>
        <v/>
      </c>
      <c r="J776" t="str">
        <f>IF(ISBLANK(VLOOKUP($A776,'Entry data'!$A:$K,10,FALSE)),"",VLOOKUP($A776,'Entry data'!$A:$K,10,FALSE))</f>
        <v/>
      </c>
      <c r="K776" t="str">
        <f>IF(ISBLANK(VLOOKUP($A776,'Entry data'!$A:$K,11,FALSE)),"",VLOOKUP($A776,'Entry data'!$A:$K,11,FALSE))</f>
        <v/>
      </c>
      <c r="L776">
        <f>IF(OR(EXACT(D776,"C"),EXACT(D776,"P"),EXACT(D776,"D"),EXACT(D776,"T"),EXACT(D776,"X"),EXACT(E776,"DZF"),EXACT(E776,"OZF"),EXACT(D776,"N"),EXACT(D776,"F")),1,0)</f>
        <v>0</v>
      </c>
      <c r="M776" t="str">
        <f t="shared" si="48"/>
        <v/>
      </c>
      <c r="N776">
        <f t="shared" si="49"/>
        <v>0</v>
      </c>
      <c r="O776">
        <f t="shared" si="50"/>
        <v>0</v>
      </c>
      <c r="P776" t="str">
        <f t="shared" si="51"/>
        <v/>
      </c>
    </row>
    <row r="777" spans="1:16" x14ac:dyDescent="0.25">
      <c r="A777">
        <v>276</v>
      </c>
      <c r="B777" t="str">
        <f>IF(ISBLANK(VLOOKUP($A777,'Entry data'!$A:$K,2,FALSE)),"",VLOOKUP($A777,'Entry data'!$A:$K,2,FALSE))</f>
        <v/>
      </c>
      <c r="C777" t="str">
        <f>IF(ISBLANK(VLOOKUP($A777,'Entry data'!$A:$K,3,FALSE)),"",VLOOKUP($A777,'Entry data'!$A:$K,3,FALSE))</f>
        <v/>
      </c>
      <c r="D777" t="str">
        <f>IF(ISBLANK(VLOOKUP($A777,'Entry data'!$A:$K,4,FALSE)),"",VLOOKUP($A777,'Entry data'!$A:$K,4,FALSE))</f>
        <v/>
      </c>
      <c r="E777" t="str">
        <f>IF(ISBLANK(VLOOKUP($A777,'Entry data'!$A:$K,5,FALSE)),"",VLOOKUP($A777,'Entry data'!$A:$K,5,FALSE))</f>
        <v/>
      </c>
      <c r="F777" t="str">
        <f>IF(ISBLANK(VLOOKUP($A777,'Entry data'!$A:$K,6,FALSE)),"",VLOOKUP($A777,'Entry data'!$A:$K,6,FALSE))</f>
        <v/>
      </c>
      <c r="G777" t="str">
        <f>IF(ISBLANK(VLOOKUP($A777,'Entry data'!$A:$K,7,FALSE)),"",VLOOKUP($A777,'Entry data'!$A:$K,7,FALSE))</f>
        <v/>
      </c>
      <c r="H777" t="str">
        <f>IF(ISBLANK(VLOOKUP($A777,'Entry data'!$A:$K,8,FALSE)),"",VLOOKUP($A777,'Entry data'!$A:$K,8,FALSE))</f>
        <v/>
      </c>
      <c r="I777" t="str">
        <f>IF(ISBLANK(VLOOKUP($A777,'Entry data'!$A:$K,9,FALSE)),"",VLOOKUP($A777,'Entry data'!$A:$K,9,FALSE))</f>
        <v/>
      </c>
      <c r="J777" t="str">
        <f>IF(ISBLANK(VLOOKUP($A777,'Entry data'!$A:$K,10,FALSE)),"",VLOOKUP($A777,'Entry data'!$A:$K,10,FALSE))</f>
        <v/>
      </c>
      <c r="K777" t="str">
        <f>IF(ISBLANK(VLOOKUP($A777,'Entry data'!$A:$K,11,FALSE)),"",VLOOKUP($A777,'Entry data'!$A:$K,11,FALSE))</f>
        <v/>
      </c>
      <c r="L777">
        <f>IF(OR(EXACT(D777,"C"),EXACT(D777,"P"),EXACT(D777,"D"),EXACT(D777,"T"),EXACT(D777,"X"),EXACT(E777,"DZF"),EXACT(E777,"OZF"),EXACT(D777,"N"),EXACT(D777,"F")),1,0)</f>
        <v>0</v>
      </c>
      <c r="M777" t="str">
        <f t="shared" si="48"/>
        <v/>
      </c>
      <c r="N777">
        <f t="shared" si="49"/>
        <v>0</v>
      </c>
      <c r="O777">
        <f t="shared" si="50"/>
        <v>0</v>
      </c>
      <c r="P777" t="str">
        <f t="shared" si="51"/>
        <v/>
      </c>
    </row>
    <row r="778" spans="1:16" x14ac:dyDescent="0.25">
      <c r="A778">
        <v>277</v>
      </c>
      <c r="B778" t="str">
        <f>IF(ISBLANK(VLOOKUP($A778,'Entry data'!$A:$K,2,FALSE)),"",VLOOKUP($A778,'Entry data'!$A:$K,2,FALSE))</f>
        <v/>
      </c>
      <c r="C778" t="str">
        <f>IF(ISBLANK(VLOOKUP($A778,'Entry data'!$A:$K,3,FALSE)),"",VLOOKUP($A778,'Entry data'!$A:$K,3,FALSE))</f>
        <v/>
      </c>
      <c r="D778" t="str">
        <f>IF(ISBLANK(VLOOKUP($A778,'Entry data'!$A:$K,4,FALSE)),"",VLOOKUP($A778,'Entry data'!$A:$K,4,FALSE))</f>
        <v/>
      </c>
      <c r="E778" t="str">
        <f>IF(ISBLANK(VLOOKUP($A778,'Entry data'!$A:$K,5,FALSE)),"",VLOOKUP($A778,'Entry data'!$A:$K,5,FALSE))</f>
        <v/>
      </c>
      <c r="F778" t="str">
        <f>IF(ISBLANK(VLOOKUP($A778,'Entry data'!$A:$K,6,FALSE)),"",VLOOKUP($A778,'Entry data'!$A:$K,6,FALSE))</f>
        <v/>
      </c>
      <c r="G778" t="str">
        <f>IF(ISBLANK(VLOOKUP($A778,'Entry data'!$A:$K,7,FALSE)),"",VLOOKUP($A778,'Entry data'!$A:$K,7,FALSE))</f>
        <v/>
      </c>
      <c r="H778" t="str">
        <f>IF(ISBLANK(VLOOKUP($A778,'Entry data'!$A:$K,8,FALSE)),"",VLOOKUP($A778,'Entry data'!$A:$K,8,FALSE))</f>
        <v/>
      </c>
      <c r="I778" t="str">
        <f>IF(ISBLANK(VLOOKUP($A778,'Entry data'!$A:$K,9,FALSE)),"",VLOOKUP($A778,'Entry data'!$A:$K,9,FALSE))</f>
        <v/>
      </c>
      <c r="J778" t="str">
        <f>IF(ISBLANK(VLOOKUP($A778,'Entry data'!$A:$K,10,FALSE)),"",VLOOKUP($A778,'Entry data'!$A:$K,10,FALSE))</f>
        <v/>
      </c>
      <c r="K778" t="str">
        <f>IF(ISBLANK(VLOOKUP($A778,'Entry data'!$A:$K,11,FALSE)),"",VLOOKUP($A778,'Entry data'!$A:$K,11,FALSE))</f>
        <v/>
      </c>
      <c r="L778">
        <f>IF(OR(EXACT(D778,"C"),EXACT(D778,"P"),EXACT(D778,"D"),EXACT(D778,"T"),EXACT(D778,"X"),EXACT(E778,"DZF"),EXACT(E778,"OZF"),EXACT(D778,"N"),EXACT(D778,"F")),1,0)</f>
        <v>0</v>
      </c>
      <c r="M778" t="str">
        <f t="shared" si="48"/>
        <v/>
      </c>
      <c r="N778">
        <f t="shared" si="49"/>
        <v>0</v>
      </c>
      <c r="O778">
        <f t="shared" si="50"/>
        <v>0</v>
      </c>
      <c r="P778" t="str">
        <f t="shared" si="51"/>
        <v/>
      </c>
    </row>
    <row r="779" spans="1:16" x14ac:dyDescent="0.25">
      <c r="A779">
        <v>278</v>
      </c>
      <c r="B779" t="str">
        <f>IF(ISBLANK(VLOOKUP($A779,'Entry data'!$A:$K,2,FALSE)),"",VLOOKUP($A779,'Entry data'!$A:$K,2,FALSE))</f>
        <v/>
      </c>
      <c r="C779" t="str">
        <f>IF(ISBLANK(VLOOKUP($A779,'Entry data'!$A:$K,3,FALSE)),"",VLOOKUP($A779,'Entry data'!$A:$K,3,FALSE))</f>
        <v/>
      </c>
      <c r="D779" t="str">
        <f>IF(ISBLANK(VLOOKUP($A779,'Entry data'!$A:$K,4,FALSE)),"",VLOOKUP($A779,'Entry data'!$A:$K,4,FALSE))</f>
        <v/>
      </c>
      <c r="E779" t="str">
        <f>IF(ISBLANK(VLOOKUP($A779,'Entry data'!$A:$K,5,FALSE)),"",VLOOKUP($A779,'Entry data'!$A:$K,5,FALSE))</f>
        <v/>
      </c>
      <c r="F779" t="str">
        <f>IF(ISBLANK(VLOOKUP($A779,'Entry data'!$A:$K,6,FALSE)),"",VLOOKUP($A779,'Entry data'!$A:$K,6,FALSE))</f>
        <v/>
      </c>
      <c r="G779" t="str">
        <f>IF(ISBLANK(VLOOKUP($A779,'Entry data'!$A:$K,7,FALSE)),"",VLOOKUP($A779,'Entry data'!$A:$K,7,FALSE))</f>
        <v/>
      </c>
      <c r="H779" t="str">
        <f>IF(ISBLANK(VLOOKUP($A779,'Entry data'!$A:$K,8,FALSE)),"",VLOOKUP($A779,'Entry data'!$A:$K,8,FALSE))</f>
        <v/>
      </c>
      <c r="I779" t="str">
        <f>IF(ISBLANK(VLOOKUP($A779,'Entry data'!$A:$K,9,FALSE)),"",VLOOKUP($A779,'Entry data'!$A:$K,9,FALSE))</f>
        <v/>
      </c>
      <c r="J779" t="str">
        <f>IF(ISBLANK(VLOOKUP($A779,'Entry data'!$A:$K,10,FALSE)),"",VLOOKUP($A779,'Entry data'!$A:$K,10,FALSE))</f>
        <v/>
      </c>
      <c r="K779" t="str">
        <f>IF(ISBLANK(VLOOKUP($A779,'Entry data'!$A:$K,11,FALSE)),"",VLOOKUP($A779,'Entry data'!$A:$K,11,FALSE))</f>
        <v/>
      </c>
      <c r="L779">
        <f>IF(OR(EXACT(D779,"C"),EXACT(D779,"P"),EXACT(D779,"D"),EXACT(D779,"T"),EXACT(D779,"X"),EXACT(E779,"DZF"),EXACT(E779,"OZF"),EXACT(D779,"N"),EXACT(D779,"F")),1,0)</f>
        <v>0</v>
      </c>
      <c r="M779" t="str">
        <f t="shared" si="48"/>
        <v/>
      </c>
      <c r="N779">
        <f t="shared" si="49"/>
        <v>0</v>
      </c>
      <c r="O779">
        <f t="shared" si="50"/>
        <v>0</v>
      </c>
      <c r="P779" t="str">
        <f t="shared" si="51"/>
        <v/>
      </c>
    </row>
    <row r="780" spans="1:16" x14ac:dyDescent="0.25">
      <c r="A780">
        <v>279</v>
      </c>
      <c r="B780" t="str">
        <f>IF(ISBLANK(VLOOKUP($A780,'Entry data'!$A:$K,2,FALSE)),"",VLOOKUP($A780,'Entry data'!$A:$K,2,FALSE))</f>
        <v/>
      </c>
      <c r="C780" t="str">
        <f>IF(ISBLANK(VLOOKUP($A780,'Entry data'!$A:$K,3,FALSE)),"",VLOOKUP($A780,'Entry data'!$A:$K,3,FALSE))</f>
        <v/>
      </c>
      <c r="D780" t="str">
        <f>IF(ISBLANK(VLOOKUP($A780,'Entry data'!$A:$K,4,FALSE)),"",VLOOKUP($A780,'Entry data'!$A:$K,4,FALSE))</f>
        <v/>
      </c>
      <c r="E780" t="str">
        <f>IF(ISBLANK(VLOOKUP($A780,'Entry data'!$A:$K,5,FALSE)),"",VLOOKUP($A780,'Entry data'!$A:$K,5,FALSE))</f>
        <v/>
      </c>
      <c r="F780" t="str">
        <f>IF(ISBLANK(VLOOKUP($A780,'Entry data'!$A:$K,6,FALSE)),"",VLOOKUP($A780,'Entry data'!$A:$K,6,FALSE))</f>
        <v/>
      </c>
      <c r="G780" t="str">
        <f>IF(ISBLANK(VLOOKUP($A780,'Entry data'!$A:$K,7,FALSE)),"",VLOOKUP($A780,'Entry data'!$A:$K,7,FALSE))</f>
        <v/>
      </c>
      <c r="H780" t="str">
        <f>IF(ISBLANK(VLOOKUP($A780,'Entry data'!$A:$K,8,FALSE)),"",VLOOKUP($A780,'Entry data'!$A:$K,8,FALSE))</f>
        <v/>
      </c>
      <c r="I780" t="str">
        <f>IF(ISBLANK(VLOOKUP($A780,'Entry data'!$A:$K,9,FALSE)),"",VLOOKUP($A780,'Entry data'!$A:$K,9,FALSE))</f>
        <v/>
      </c>
      <c r="J780" t="str">
        <f>IF(ISBLANK(VLOOKUP($A780,'Entry data'!$A:$K,10,FALSE)),"",VLOOKUP($A780,'Entry data'!$A:$K,10,FALSE))</f>
        <v/>
      </c>
      <c r="K780" t="str">
        <f>IF(ISBLANK(VLOOKUP($A780,'Entry data'!$A:$K,11,FALSE)),"",VLOOKUP($A780,'Entry data'!$A:$K,11,FALSE))</f>
        <v/>
      </c>
      <c r="L780">
        <f>IF(OR(EXACT(D780,"C"),EXACT(D780,"P"),EXACT(D780,"D"),EXACT(D780,"T"),EXACT(D780,"X"),EXACT(E780,"DZF"),EXACT(E780,"OZF"),EXACT(D780,"N"),EXACT(D780,"F")),1,0)</f>
        <v>0</v>
      </c>
      <c r="M780" t="str">
        <f t="shared" si="48"/>
        <v/>
      </c>
      <c r="N780">
        <f t="shared" si="49"/>
        <v>0</v>
      </c>
      <c r="O780">
        <f t="shared" si="50"/>
        <v>0</v>
      </c>
      <c r="P780" t="str">
        <f t="shared" si="51"/>
        <v/>
      </c>
    </row>
    <row r="781" spans="1:16" x14ac:dyDescent="0.25">
      <c r="A781">
        <v>280</v>
      </c>
      <c r="B781" t="str">
        <f>IF(ISBLANK(VLOOKUP($A781,'Entry data'!$A:$K,2,FALSE)),"",VLOOKUP($A781,'Entry data'!$A:$K,2,FALSE))</f>
        <v/>
      </c>
      <c r="C781" t="str">
        <f>IF(ISBLANK(VLOOKUP($A781,'Entry data'!$A:$K,3,FALSE)),"",VLOOKUP($A781,'Entry data'!$A:$K,3,FALSE))</f>
        <v/>
      </c>
      <c r="D781" t="str">
        <f>IF(ISBLANK(VLOOKUP($A781,'Entry data'!$A:$K,4,FALSE)),"",VLOOKUP($A781,'Entry data'!$A:$K,4,FALSE))</f>
        <v/>
      </c>
      <c r="E781" t="str">
        <f>IF(ISBLANK(VLOOKUP($A781,'Entry data'!$A:$K,5,FALSE)),"",VLOOKUP($A781,'Entry data'!$A:$K,5,FALSE))</f>
        <v/>
      </c>
      <c r="F781" t="str">
        <f>IF(ISBLANK(VLOOKUP($A781,'Entry data'!$A:$K,6,FALSE)),"",VLOOKUP($A781,'Entry data'!$A:$K,6,FALSE))</f>
        <v/>
      </c>
      <c r="G781" t="str">
        <f>IF(ISBLANK(VLOOKUP($A781,'Entry data'!$A:$K,7,FALSE)),"",VLOOKUP($A781,'Entry data'!$A:$K,7,FALSE))</f>
        <v/>
      </c>
      <c r="H781" t="str">
        <f>IF(ISBLANK(VLOOKUP($A781,'Entry data'!$A:$K,8,FALSE)),"",VLOOKUP($A781,'Entry data'!$A:$K,8,FALSE))</f>
        <v/>
      </c>
      <c r="I781" t="str">
        <f>IF(ISBLANK(VLOOKUP($A781,'Entry data'!$A:$K,9,FALSE)),"",VLOOKUP($A781,'Entry data'!$A:$K,9,FALSE))</f>
        <v/>
      </c>
      <c r="J781" t="str">
        <f>IF(ISBLANK(VLOOKUP($A781,'Entry data'!$A:$K,10,FALSE)),"",VLOOKUP($A781,'Entry data'!$A:$K,10,FALSE))</f>
        <v/>
      </c>
      <c r="K781" t="str">
        <f>IF(ISBLANK(VLOOKUP($A781,'Entry data'!$A:$K,11,FALSE)),"",VLOOKUP($A781,'Entry data'!$A:$K,11,FALSE))</f>
        <v/>
      </c>
      <c r="L781">
        <f>IF(OR(EXACT(D781,"C"),EXACT(D781,"P"),EXACT(D781,"D"),EXACT(D781,"T"),EXACT(D781,"X"),EXACT(E781,"DZF"),EXACT(E781,"OZF"),EXACT(D781,"N"),EXACT(D781,"F")),1,0)</f>
        <v>0</v>
      </c>
      <c r="M781" t="str">
        <f t="shared" si="48"/>
        <v/>
      </c>
      <c r="N781">
        <f t="shared" si="49"/>
        <v>0</v>
      </c>
      <c r="O781">
        <f t="shared" si="50"/>
        <v>0</v>
      </c>
      <c r="P781" t="str">
        <f t="shared" si="51"/>
        <v/>
      </c>
    </row>
    <row r="782" spans="1:16" x14ac:dyDescent="0.25">
      <c r="A782">
        <v>281</v>
      </c>
      <c r="B782" t="str">
        <f>IF(ISBLANK(VLOOKUP($A782,'Entry data'!$A:$K,2,FALSE)),"",VLOOKUP($A782,'Entry data'!$A:$K,2,FALSE))</f>
        <v/>
      </c>
      <c r="C782" t="str">
        <f>IF(ISBLANK(VLOOKUP($A782,'Entry data'!$A:$K,3,FALSE)),"",VLOOKUP($A782,'Entry data'!$A:$K,3,FALSE))</f>
        <v/>
      </c>
      <c r="D782" t="str">
        <f>IF(ISBLANK(VLOOKUP($A782,'Entry data'!$A:$K,4,FALSE)),"",VLOOKUP($A782,'Entry data'!$A:$K,4,FALSE))</f>
        <v/>
      </c>
      <c r="E782" t="str">
        <f>IF(ISBLANK(VLOOKUP($A782,'Entry data'!$A:$K,5,FALSE)),"",VLOOKUP($A782,'Entry data'!$A:$K,5,FALSE))</f>
        <v/>
      </c>
      <c r="F782" t="str">
        <f>IF(ISBLANK(VLOOKUP($A782,'Entry data'!$A:$K,6,FALSE)),"",VLOOKUP($A782,'Entry data'!$A:$K,6,FALSE))</f>
        <v/>
      </c>
      <c r="G782" t="str">
        <f>IF(ISBLANK(VLOOKUP($A782,'Entry data'!$A:$K,7,FALSE)),"",VLOOKUP($A782,'Entry data'!$A:$K,7,FALSE))</f>
        <v/>
      </c>
      <c r="H782" t="str">
        <f>IF(ISBLANK(VLOOKUP($A782,'Entry data'!$A:$K,8,FALSE)),"",VLOOKUP($A782,'Entry data'!$A:$K,8,FALSE))</f>
        <v/>
      </c>
      <c r="I782" t="str">
        <f>IF(ISBLANK(VLOOKUP($A782,'Entry data'!$A:$K,9,FALSE)),"",VLOOKUP($A782,'Entry data'!$A:$K,9,FALSE))</f>
        <v/>
      </c>
      <c r="J782" t="str">
        <f>IF(ISBLANK(VLOOKUP($A782,'Entry data'!$A:$K,10,FALSE)),"",VLOOKUP($A782,'Entry data'!$A:$K,10,FALSE))</f>
        <v/>
      </c>
      <c r="K782" t="str">
        <f>IF(ISBLANK(VLOOKUP($A782,'Entry data'!$A:$K,11,FALSE)),"",VLOOKUP($A782,'Entry data'!$A:$K,11,FALSE))</f>
        <v/>
      </c>
      <c r="L782">
        <f>IF(OR(EXACT(D782,"C"),EXACT(D782,"P"),EXACT(D782,"D"),EXACT(D782,"T"),EXACT(D782,"X"),EXACT(E782,"DZF"),EXACT(E782,"OZF"),EXACT(D782,"N"),EXACT(D782,"F")),1,0)</f>
        <v>0</v>
      </c>
      <c r="M782" t="str">
        <f t="shared" si="48"/>
        <v/>
      </c>
      <c r="N782">
        <f t="shared" si="49"/>
        <v>0</v>
      </c>
      <c r="O782">
        <f t="shared" si="50"/>
        <v>0</v>
      </c>
      <c r="P782" t="str">
        <f t="shared" si="51"/>
        <v/>
      </c>
    </row>
    <row r="783" spans="1:16" x14ac:dyDescent="0.25">
      <c r="A783">
        <v>282</v>
      </c>
      <c r="B783" t="str">
        <f>IF(ISBLANK(VLOOKUP($A783,'Entry data'!$A:$K,2,FALSE)),"",VLOOKUP($A783,'Entry data'!$A:$K,2,FALSE))</f>
        <v/>
      </c>
      <c r="C783" t="str">
        <f>IF(ISBLANK(VLOOKUP($A783,'Entry data'!$A:$K,3,FALSE)),"",VLOOKUP($A783,'Entry data'!$A:$K,3,FALSE))</f>
        <v/>
      </c>
      <c r="D783" t="str">
        <f>IF(ISBLANK(VLOOKUP($A783,'Entry data'!$A:$K,4,FALSE)),"",VLOOKUP($A783,'Entry data'!$A:$K,4,FALSE))</f>
        <v/>
      </c>
      <c r="E783" t="str">
        <f>IF(ISBLANK(VLOOKUP($A783,'Entry data'!$A:$K,5,FALSE)),"",VLOOKUP($A783,'Entry data'!$A:$K,5,FALSE))</f>
        <v/>
      </c>
      <c r="F783" t="str">
        <f>IF(ISBLANK(VLOOKUP($A783,'Entry data'!$A:$K,6,FALSE)),"",VLOOKUP($A783,'Entry data'!$A:$K,6,FALSE))</f>
        <v/>
      </c>
      <c r="G783" t="str">
        <f>IF(ISBLANK(VLOOKUP($A783,'Entry data'!$A:$K,7,FALSE)),"",VLOOKUP($A783,'Entry data'!$A:$K,7,FALSE))</f>
        <v/>
      </c>
      <c r="H783" t="str">
        <f>IF(ISBLANK(VLOOKUP($A783,'Entry data'!$A:$K,8,FALSE)),"",VLOOKUP($A783,'Entry data'!$A:$K,8,FALSE))</f>
        <v/>
      </c>
      <c r="I783" t="str">
        <f>IF(ISBLANK(VLOOKUP($A783,'Entry data'!$A:$K,9,FALSE)),"",VLOOKUP($A783,'Entry data'!$A:$K,9,FALSE))</f>
        <v/>
      </c>
      <c r="J783" t="str">
        <f>IF(ISBLANK(VLOOKUP($A783,'Entry data'!$A:$K,10,FALSE)),"",VLOOKUP($A783,'Entry data'!$A:$K,10,FALSE))</f>
        <v/>
      </c>
      <c r="K783" t="str">
        <f>IF(ISBLANK(VLOOKUP($A783,'Entry data'!$A:$K,11,FALSE)),"",VLOOKUP($A783,'Entry data'!$A:$K,11,FALSE))</f>
        <v/>
      </c>
      <c r="L783">
        <f>IF(OR(EXACT(D783,"C"),EXACT(D783,"P"),EXACT(D783,"D"),EXACT(D783,"T"),EXACT(D783,"X"),EXACT(E783,"DZF"),EXACT(E783,"OZF"),EXACT(D783,"N"),EXACT(D783,"F")),1,0)</f>
        <v>0</v>
      </c>
      <c r="M783" t="str">
        <f t="shared" si="48"/>
        <v/>
      </c>
      <c r="N783">
        <f t="shared" si="49"/>
        <v>0</v>
      </c>
      <c r="O783">
        <f t="shared" si="50"/>
        <v>0</v>
      </c>
      <c r="P783" t="str">
        <f t="shared" si="51"/>
        <v/>
      </c>
    </row>
    <row r="784" spans="1:16" x14ac:dyDescent="0.25">
      <c r="A784">
        <v>283</v>
      </c>
      <c r="B784" t="str">
        <f>IF(ISBLANK(VLOOKUP($A784,'Entry data'!$A:$K,2,FALSE)),"",VLOOKUP($A784,'Entry data'!$A:$K,2,FALSE))</f>
        <v/>
      </c>
      <c r="C784" t="str">
        <f>IF(ISBLANK(VLOOKUP($A784,'Entry data'!$A:$K,3,FALSE)),"",VLOOKUP($A784,'Entry data'!$A:$K,3,FALSE))</f>
        <v/>
      </c>
      <c r="D784" t="str">
        <f>IF(ISBLANK(VLOOKUP($A784,'Entry data'!$A:$K,4,FALSE)),"",VLOOKUP($A784,'Entry data'!$A:$K,4,FALSE))</f>
        <v/>
      </c>
      <c r="E784" t="str">
        <f>IF(ISBLANK(VLOOKUP($A784,'Entry data'!$A:$K,5,FALSE)),"",VLOOKUP($A784,'Entry data'!$A:$K,5,FALSE))</f>
        <v/>
      </c>
      <c r="F784" t="str">
        <f>IF(ISBLANK(VLOOKUP($A784,'Entry data'!$A:$K,6,FALSE)),"",VLOOKUP($A784,'Entry data'!$A:$K,6,FALSE))</f>
        <v/>
      </c>
      <c r="G784" t="str">
        <f>IF(ISBLANK(VLOOKUP($A784,'Entry data'!$A:$K,7,FALSE)),"",VLOOKUP($A784,'Entry data'!$A:$K,7,FALSE))</f>
        <v/>
      </c>
      <c r="H784" t="str">
        <f>IF(ISBLANK(VLOOKUP($A784,'Entry data'!$A:$K,8,FALSE)),"",VLOOKUP($A784,'Entry data'!$A:$K,8,FALSE))</f>
        <v/>
      </c>
      <c r="I784" t="str">
        <f>IF(ISBLANK(VLOOKUP($A784,'Entry data'!$A:$K,9,FALSE)),"",VLOOKUP($A784,'Entry data'!$A:$K,9,FALSE))</f>
        <v/>
      </c>
      <c r="J784" t="str">
        <f>IF(ISBLANK(VLOOKUP($A784,'Entry data'!$A:$K,10,FALSE)),"",VLOOKUP($A784,'Entry data'!$A:$K,10,FALSE))</f>
        <v/>
      </c>
      <c r="K784" t="str">
        <f>IF(ISBLANK(VLOOKUP($A784,'Entry data'!$A:$K,11,FALSE)),"",VLOOKUP($A784,'Entry data'!$A:$K,11,FALSE))</f>
        <v/>
      </c>
      <c r="L784">
        <f>IF(OR(EXACT(D784,"C"),EXACT(D784,"P"),EXACT(D784,"D"),EXACT(D784,"T"),EXACT(D784,"X"),EXACT(E784,"DZF"),EXACT(E784,"OZF"),EXACT(D784,"N"),EXACT(D784,"F")),1,0)</f>
        <v>0</v>
      </c>
      <c r="M784" t="str">
        <f t="shared" si="48"/>
        <v/>
      </c>
      <c r="N784">
        <f t="shared" si="49"/>
        <v>0</v>
      </c>
      <c r="O784">
        <f t="shared" si="50"/>
        <v>0</v>
      </c>
      <c r="P784" t="str">
        <f t="shared" si="51"/>
        <v/>
      </c>
    </row>
    <row r="785" spans="1:16" x14ac:dyDescent="0.25">
      <c r="A785">
        <v>284</v>
      </c>
      <c r="B785" t="str">
        <f>IF(ISBLANK(VLOOKUP($A785,'Entry data'!$A:$K,2,FALSE)),"",VLOOKUP($A785,'Entry data'!$A:$K,2,FALSE))</f>
        <v/>
      </c>
      <c r="C785" t="str">
        <f>IF(ISBLANK(VLOOKUP($A785,'Entry data'!$A:$K,3,FALSE)),"",VLOOKUP($A785,'Entry data'!$A:$K,3,FALSE))</f>
        <v/>
      </c>
      <c r="D785" t="str">
        <f>IF(ISBLANK(VLOOKUP($A785,'Entry data'!$A:$K,4,FALSE)),"",VLOOKUP($A785,'Entry data'!$A:$K,4,FALSE))</f>
        <v/>
      </c>
      <c r="E785" t="str">
        <f>IF(ISBLANK(VLOOKUP($A785,'Entry data'!$A:$K,5,FALSE)),"",VLOOKUP($A785,'Entry data'!$A:$K,5,FALSE))</f>
        <v/>
      </c>
      <c r="F785" t="str">
        <f>IF(ISBLANK(VLOOKUP($A785,'Entry data'!$A:$K,6,FALSE)),"",VLOOKUP($A785,'Entry data'!$A:$K,6,FALSE))</f>
        <v/>
      </c>
      <c r="G785" t="str">
        <f>IF(ISBLANK(VLOOKUP($A785,'Entry data'!$A:$K,7,FALSE)),"",VLOOKUP($A785,'Entry data'!$A:$K,7,FALSE))</f>
        <v/>
      </c>
      <c r="H785" t="str">
        <f>IF(ISBLANK(VLOOKUP($A785,'Entry data'!$A:$K,8,FALSE)),"",VLOOKUP($A785,'Entry data'!$A:$K,8,FALSE))</f>
        <v/>
      </c>
      <c r="I785" t="str">
        <f>IF(ISBLANK(VLOOKUP($A785,'Entry data'!$A:$K,9,FALSE)),"",VLOOKUP($A785,'Entry data'!$A:$K,9,FALSE))</f>
        <v/>
      </c>
      <c r="J785" t="str">
        <f>IF(ISBLANK(VLOOKUP($A785,'Entry data'!$A:$K,10,FALSE)),"",VLOOKUP($A785,'Entry data'!$A:$K,10,FALSE))</f>
        <v/>
      </c>
      <c r="K785" t="str">
        <f>IF(ISBLANK(VLOOKUP($A785,'Entry data'!$A:$K,11,FALSE)),"",VLOOKUP($A785,'Entry data'!$A:$K,11,FALSE))</f>
        <v/>
      </c>
      <c r="L785">
        <f>IF(OR(EXACT(D785,"C"),EXACT(D785,"P"),EXACT(D785,"D"),EXACT(D785,"T"),EXACT(D785,"X"),EXACT(E785,"DZF"),EXACT(E785,"OZF"),EXACT(D785,"N"),EXACT(D785,"F")),1,0)</f>
        <v>0</v>
      </c>
      <c r="M785" t="str">
        <f t="shared" si="48"/>
        <v/>
      </c>
      <c r="N785">
        <f t="shared" si="49"/>
        <v>0</v>
      </c>
      <c r="O785">
        <f t="shared" si="50"/>
        <v>0</v>
      </c>
      <c r="P785" t="str">
        <f t="shared" si="51"/>
        <v/>
      </c>
    </row>
    <row r="786" spans="1:16" x14ac:dyDescent="0.25">
      <c r="A786">
        <v>285</v>
      </c>
      <c r="B786" t="str">
        <f>IF(ISBLANK(VLOOKUP($A786,'Entry data'!$A:$K,2,FALSE)),"",VLOOKUP($A786,'Entry data'!$A:$K,2,FALSE))</f>
        <v/>
      </c>
      <c r="C786" t="str">
        <f>IF(ISBLANK(VLOOKUP($A786,'Entry data'!$A:$K,3,FALSE)),"",VLOOKUP($A786,'Entry data'!$A:$K,3,FALSE))</f>
        <v/>
      </c>
      <c r="D786" t="str">
        <f>IF(ISBLANK(VLOOKUP($A786,'Entry data'!$A:$K,4,FALSE)),"",VLOOKUP($A786,'Entry data'!$A:$K,4,FALSE))</f>
        <v/>
      </c>
      <c r="E786" t="str">
        <f>IF(ISBLANK(VLOOKUP($A786,'Entry data'!$A:$K,5,FALSE)),"",VLOOKUP($A786,'Entry data'!$A:$K,5,FALSE))</f>
        <v/>
      </c>
      <c r="F786" t="str">
        <f>IF(ISBLANK(VLOOKUP($A786,'Entry data'!$A:$K,6,FALSE)),"",VLOOKUP($A786,'Entry data'!$A:$K,6,FALSE))</f>
        <v/>
      </c>
      <c r="G786" t="str">
        <f>IF(ISBLANK(VLOOKUP($A786,'Entry data'!$A:$K,7,FALSE)),"",VLOOKUP($A786,'Entry data'!$A:$K,7,FALSE))</f>
        <v/>
      </c>
      <c r="H786" t="str">
        <f>IF(ISBLANK(VLOOKUP($A786,'Entry data'!$A:$K,8,FALSE)),"",VLOOKUP($A786,'Entry data'!$A:$K,8,FALSE))</f>
        <v/>
      </c>
      <c r="I786" t="str">
        <f>IF(ISBLANK(VLOOKUP($A786,'Entry data'!$A:$K,9,FALSE)),"",VLOOKUP($A786,'Entry data'!$A:$K,9,FALSE))</f>
        <v/>
      </c>
      <c r="J786" t="str">
        <f>IF(ISBLANK(VLOOKUP($A786,'Entry data'!$A:$K,10,FALSE)),"",VLOOKUP($A786,'Entry data'!$A:$K,10,FALSE))</f>
        <v/>
      </c>
      <c r="K786" t="str">
        <f>IF(ISBLANK(VLOOKUP($A786,'Entry data'!$A:$K,11,FALSE)),"",VLOOKUP($A786,'Entry data'!$A:$K,11,FALSE))</f>
        <v/>
      </c>
      <c r="L786">
        <f>IF(OR(EXACT(D786,"C"),EXACT(D786,"P"),EXACT(D786,"D"),EXACT(D786,"T"),EXACT(D786,"X"),EXACT(E786,"DZF"),EXACT(E786,"OZF"),EXACT(D786,"N"),EXACT(D786,"F")),1,0)</f>
        <v>0</v>
      </c>
      <c r="M786" t="str">
        <f t="shared" si="48"/>
        <v/>
      </c>
      <c r="N786">
        <f t="shared" si="49"/>
        <v>0</v>
      </c>
      <c r="O786">
        <f t="shared" si="50"/>
        <v>0</v>
      </c>
      <c r="P786" t="str">
        <f t="shared" si="51"/>
        <v/>
      </c>
    </row>
    <row r="787" spans="1:16" x14ac:dyDescent="0.25">
      <c r="A787">
        <v>286</v>
      </c>
      <c r="B787" t="str">
        <f>IF(ISBLANK(VLOOKUP($A787,'Entry data'!$A:$K,2,FALSE)),"",VLOOKUP($A787,'Entry data'!$A:$K,2,FALSE))</f>
        <v/>
      </c>
      <c r="C787" t="str">
        <f>IF(ISBLANK(VLOOKUP($A787,'Entry data'!$A:$K,3,FALSE)),"",VLOOKUP($A787,'Entry data'!$A:$K,3,FALSE))</f>
        <v/>
      </c>
      <c r="D787" t="str">
        <f>IF(ISBLANK(VLOOKUP($A787,'Entry data'!$A:$K,4,FALSE)),"",VLOOKUP($A787,'Entry data'!$A:$K,4,FALSE))</f>
        <v/>
      </c>
      <c r="E787" t="str">
        <f>IF(ISBLANK(VLOOKUP($A787,'Entry data'!$A:$K,5,FALSE)),"",VLOOKUP($A787,'Entry data'!$A:$K,5,FALSE))</f>
        <v/>
      </c>
      <c r="F787" t="str">
        <f>IF(ISBLANK(VLOOKUP($A787,'Entry data'!$A:$K,6,FALSE)),"",VLOOKUP($A787,'Entry data'!$A:$K,6,FALSE))</f>
        <v/>
      </c>
      <c r="G787" t="str">
        <f>IF(ISBLANK(VLOOKUP($A787,'Entry data'!$A:$K,7,FALSE)),"",VLOOKUP($A787,'Entry data'!$A:$K,7,FALSE))</f>
        <v/>
      </c>
      <c r="H787" t="str">
        <f>IF(ISBLANK(VLOOKUP($A787,'Entry data'!$A:$K,8,FALSE)),"",VLOOKUP($A787,'Entry data'!$A:$K,8,FALSE))</f>
        <v/>
      </c>
      <c r="I787" t="str">
        <f>IF(ISBLANK(VLOOKUP($A787,'Entry data'!$A:$K,9,FALSE)),"",VLOOKUP($A787,'Entry data'!$A:$K,9,FALSE))</f>
        <v/>
      </c>
      <c r="J787" t="str">
        <f>IF(ISBLANK(VLOOKUP($A787,'Entry data'!$A:$K,10,FALSE)),"",VLOOKUP($A787,'Entry data'!$A:$K,10,FALSE))</f>
        <v/>
      </c>
      <c r="K787" t="str">
        <f>IF(ISBLANK(VLOOKUP($A787,'Entry data'!$A:$K,11,FALSE)),"",VLOOKUP($A787,'Entry data'!$A:$K,11,FALSE))</f>
        <v/>
      </c>
      <c r="L787">
        <f>IF(OR(EXACT(D787,"C"),EXACT(D787,"P"),EXACT(D787,"D"),EXACT(D787,"T"),EXACT(D787,"X"),EXACT(E787,"DZF"),EXACT(E787,"OZF"),EXACT(D787,"N"),EXACT(D787,"F")),1,0)</f>
        <v>0</v>
      </c>
      <c r="M787" t="str">
        <f t="shared" si="48"/>
        <v/>
      </c>
      <c r="N787">
        <f t="shared" si="49"/>
        <v>0</v>
      </c>
      <c r="O787">
        <f t="shared" si="50"/>
        <v>0</v>
      </c>
      <c r="P787" t="str">
        <f t="shared" si="51"/>
        <v/>
      </c>
    </row>
    <row r="788" spans="1:16" x14ac:dyDescent="0.25">
      <c r="A788">
        <v>287</v>
      </c>
      <c r="B788" t="str">
        <f>IF(ISBLANK(VLOOKUP($A788,'Entry data'!$A:$K,2,FALSE)),"",VLOOKUP($A788,'Entry data'!$A:$K,2,FALSE))</f>
        <v/>
      </c>
      <c r="C788" t="str">
        <f>IF(ISBLANK(VLOOKUP($A788,'Entry data'!$A:$K,3,FALSE)),"",VLOOKUP($A788,'Entry data'!$A:$K,3,FALSE))</f>
        <v/>
      </c>
      <c r="D788" t="str">
        <f>IF(ISBLANK(VLOOKUP($A788,'Entry data'!$A:$K,4,FALSE)),"",VLOOKUP($A788,'Entry data'!$A:$K,4,FALSE))</f>
        <v/>
      </c>
      <c r="E788" t="str">
        <f>IF(ISBLANK(VLOOKUP($A788,'Entry data'!$A:$K,5,FALSE)),"",VLOOKUP($A788,'Entry data'!$A:$K,5,FALSE))</f>
        <v/>
      </c>
      <c r="F788" t="str">
        <f>IF(ISBLANK(VLOOKUP($A788,'Entry data'!$A:$K,6,FALSE)),"",VLOOKUP($A788,'Entry data'!$A:$K,6,FALSE))</f>
        <v/>
      </c>
      <c r="G788" t="str">
        <f>IF(ISBLANK(VLOOKUP($A788,'Entry data'!$A:$K,7,FALSE)),"",VLOOKUP($A788,'Entry data'!$A:$K,7,FALSE))</f>
        <v/>
      </c>
      <c r="H788" t="str">
        <f>IF(ISBLANK(VLOOKUP($A788,'Entry data'!$A:$K,8,FALSE)),"",VLOOKUP($A788,'Entry data'!$A:$K,8,FALSE))</f>
        <v/>
      </c>
      <c r="I788" t="str">
        <f>IF(ISBLANK(VLOOKUP($A788,'Entry data'!$A:$K,9,FALSE)),"",VLOOKUP($A788,'Entry data'!$A:$K,9,FALSE))</f>
        <v/>
      </c>
      <c r="J788" t="str">
        <f>IF(ISBLANK(VLOOKUP($A788,'Entry data'!$A:$K,10,FALSE)),"",VLOOKUP($A788,'Entry data'!$A:$K,10,FALSE))</f>
        <v/>
      </c>
      <c r="K788" t="str">
        <f>IF(ISBLANK(VLOOKUP($A788,'Entry data'!$A:$K,11,FALSE)),"",VLOOKUP($A788,'Entry data'!$A:$K,11,FALSE))</f>
        <v/>
      </c>
      <c r="L788">
        <f>IF(OR(EXACT(D788,"C"),EXACT(D788,"P"),EXACT(D788,"D"),EXACT(D788,"T"),EXACT(D788,"X"),EXACT(E788,"DZF"),EXACT(E788,"OZF"),EXACT(D788,"N"),EXACT(D788,"F")),1,0)</f>
        <v>0</v>
      </c>
      <c r="M788" t="str">
        <f t="shared" si="48"/>
        <v/>
      </c>
      <c r="N788">
        <f t="shared" si="49"/>
        <v>0</v>
      </c>
      <c r="O788">
        <f t="shared" si="50"/>
        <v>0</v>
      </c>
      <c r="P788" t="str">
        <f t="shared" si="51"/>
        <v/>
      </c>
    </row>
    <row r="789" spans="1:16" x14ac:dyDescent="0.25">
      <c r="A789">
        <v>288</v>
      </c>
      <c r="B789" t="str">
        <f>IF(ISBLANK(VLOOKUP($A789,'Entry data'!$A:$K,2,FALSE)),"",VLOOKUP($A789,'Entry data'!$A:$K,2,FALSE))</f>
        <v/>
      </c>
      <c r="C789" t="str">
        <f>IF(ISBLANK(VLOOKUP($A789,'Entry data'!$A:$K,3,FALSE)),"",VLOOKUP($A789,'Entry data'!$A:$K,3,FALSE))</f>
        <v/>
      </c>
      <c r="D789" t="str">
        <f>IF(ISBLANK(VLOOKUP($A789,'Entry data'!$A:$K,4,FALSE)),"",VLOOKUP($A789,'Entry data'!$A:$K,4,FALSE))</f>
        <v/>
      </c>
      <c r="E789" t="str">
        <f>IF(ISBLANK(VLOOKUP($A789,'Entry data'!$A:$K,5,FALSE)),"",VLOOKUP($A789,'Entry data'!$A:$K,5,FALSE))</f>
        <v/>
      </c>
      <c r="F789" t="str">
        <f>IF(ISBLANK(VLOOKUP($A789,'Entry data'!$A:$K,6,FALSE)),"",VLOOKUP($A789,'Entry data'!$A:$K,6,FALSE))</f>
        <v/>
      </c>
      <c r="G789" t="str">
        <f>IF(ISBLANK(VLOOKUP($A789,'Entry data'!$A:$K,7,FALSE)),"",VLOOKUP($A789,'Entry data'!$A:$K,7,FALSE))</f>
        <v/>
      </c>
      <c r="H789" t="str">
        <f>IF(ISBLANK(VLOOKUP($A789,'Entry data'!$A:$K,8,FALSE)),"",VLOOKUP($A789,'Entry data'!$A:$K,8,FALSE))</f>
        <v/>
      </c>
      <c r="I789" t="str">
        <f>IF(ISBLANK(VLOOKUP($A789,'Entry data'!$A:$K,9,FALSE)),"",VLOOKUP($A789,'Entry data'!$A:$K,9,FALSE))</f>
        <v/>
      </c>
      <c r="J789" t="str">
        <f>IF(ISBLANK(VLOOKUP($A789,'Entry data'!$A:$K,10,FALSE)),"",VLOOKUP($A789,'Entry data'!$A:$K,10,FALSE))</f>
        <v/>
      </c>
      <c r="K789" t="str">
        <f>IF(ISBLANK(VLOOKUP($A789,'Entry data'!$A:$K,11,FALSE)),"",VLOOKUP($A789,'Entry data'!$A:$K,11,FALSE))</f>
        <v/>
      </c>
      <c r="L789">
        <f>IF(OR(EXACT(D789,"C"),EXACT(D789,"P"),EXACT(D789,"D"),EXACT(D789,"T"),EXACT(D789,"X"),EXACT(E789,"DZF"),EXACT(E789,"OZF"),EXACT(D789,"N"),EXACT(D789,"F")),1,0)</f>
        <v>0</v>
      </c>
      <c r="M789" t="str">
        <f t="shared" si="48"/>
        <v/>
      </c>
      <c r="N789">
        <f t="shared" si="49"/>
        <v>0</v>
      </c>
      <c r="O789">
        <f t="shared" si="50"/>
        <v>0</v>
      </c>
      <c r="P789" t="str">
        <f t="shared" si="51"/>
        <v/>
      </c>
    </row>
    <row r="790" spans="1:16" x14ac:dyDescent="0.25">
      <c r="A790">
        <v>289</v>
      </c>
      <c r="B790" t="str">
        <f>IF(ISBLANK(VLOOKUP($A790,'Entry data'!$A:$K,2,FALSE)),"",VLOOKUP($A790,'Entry data'!$A:$K,2,FALSE))</f>
        <v/>
      </c>
      <c r="C790" t="str">
        <f>IF(ISBLANK(VLOOKUP($A790,'Entry data'!$A:$K,3,FALSE)),"",VLOOKUP($A790,'Entry data'!$A:$K,3,FALSE))</f>
        <v/>
      </c>
      <c r="D790" t="str">
        <f>IF(ISBLANK(VLOOKUP($A790,'Entry data'!$A:$K,4,FALSE)),"",VLOOKUP($A790,'Entry data'!$A:$K,4,FALSE))</f>
        <v/>
      </c>
      <c r="E790" t="str">
        <f>IF(ISBLANK(VLOOKUP($A790,'Entry data'!$A:$K,5,FALSE)),"",VLOOKUP($A790,'Entry data'!$A:$K,5,FALSE))</f>
        <v/>
      </c>
      <c r="F790" t="str">
        <f>IF(ISBLANK(VLOOKUP($A790,'Entry data'!$A:$K,6,FALSE)),"",VLOOKUP($A790,'Entry data'!$A:$K,6,FALSE))</f>
        <v/>
      </c>
      <c r="G790" t="str">
        <f>IF(ISBLANK(VLOOKUP($A790,'Entry data'!$A:$K,7,FALSE)),"",VLOOKUP($A790,'Entry data'!$A:$K,7,FALSE))</f>
        <v/>
      </c>
      <c r="H790" t="str">
        <f>IF(ISBLANK(VLOOKUP($A790,'Entry data'!$A:$K,8,FALSE)),"",VLOOKUP($A790,'Entry data'!$A:$K,8,FALSE))</f>
        <v/>
      </c>
      <c r="I790" t="str">
        <f>IF(ISBLANK(VLOOKUP($A790,'Entry data'!$A:$K,9,FALSE)),"",VLOOKUP($A790,'Entry data'!$A:$K,9,FALSE))</f>
        <v/>
      </c>
      <c r="J790" t="str">
        <f>IF(ISBLANK(VLOOKUP($A790,'Entry data'!$A:$K,10,FALSE)),"",VLOOKUP($A790,'Entry data'!$A:$K,10,FALSE))</f>
        <v/>
      </c>
      <c r="K790" t="str">
        <f>IF(ISBLANK(VLOOKUP($A790,'Entry data'!$A:$K,11,FALSE)),"",VLOOKUP($A790,'Entry data'!$A:$K,11,FALSE))</f>
        <v/>
      </c>
      <c r="L790">
        <f>IF(OR(EXACT(D790,"C"),EXACT(D790,"P"),EXACT(D790,"D"),EXACT(D790,"T"),EXACT(D790,"X"),EXACT(E790,"DZF"),EXACT(E790,"OZF"),EXACT(D790,"N"),EXACT(D790,"F")),1,0)</f>
        <v>0</v>
      </c>
      <c r="M790" t="str">
        <f t="shared" si="48"/>
        <v/>
      </c>
      <c r="N790">
        <f t="shared" si="49"/>
        <v>0</v>
      </c>
      <c r="O790">
        <f t="shared" si="50"/>
        <v>0</v>
      </c>
      <c r="P790" t="str">
        <f t="shared" si="51"/>
        <v/>
      </c>
    </row>
    <row r="791" spans="1:16" x14ac:dyDescent="0.25">
      <c r="A791">
        <v>290</v>
      </c>
      <c r="B791" t="str">
        <f>IF(ISBLANK(VLOOKUP($A791,'Entry data'!$A:$K,2,FALSE)),"",VLOOKUP($A791,'Entry data'!$A:$K,2,FALSE))</f>
        <v/>
      </c>
      <c r="C791" t="str">
        <f>IF(ISBLANK(VLOOKUP($A791,'Entry data'!$A:$K,3,FALSE)),"",VLOOKUP($A791,'Entry data'!$A:$K,3,FALSE))</f>
        <v/>
      </c>
      <c r="D791" t="str">
        <f>IF(ISBLANK(VLOOKUP($A791,'Entry data'!$A:$K,4,FALSE)),"",VLOOKUP($A791,'Entry data'!$A:$K,4,FALSE))</f>
        <v/>
      </c>
      <c r="E791" t="str">
        <f>IF(ISBLANK(VLOOKUP($A791,'Entry data'!$A:$K,5,FALSE)),"",VLOOKUP($A791,'Entry data'!$A:$K,5,FALSE))</f>
        <v/>
      </c>
      <c r="F791" t="str">
        <f>IF(ISBLANK(VLOOKUP($A791,'Entry data'!$A:$K,6,FALSE)),"",VLOOKUP($A791,'Entry data'!$A:$K,6,FALSE))</f>
        <v/>
      </c>
      <c r="G791" t="str">
        <f>IF(ISBLANK(VLOOKUP($A791,'Entry data'!$A:$K,7,FALSE)),"",VLOOKUP($A791,'Entry data'!$A:$K,7,FALSE))</f>
        <v/>
      </c>
      <c r="H791" t="str">
        <f>IF(ISBLANK(VLOOKUP($A791,'Entry data'!$A:$K,8,FALSE)),"",VLOOKUP($A791,'Entry data'!$A:$K,8,FALSE))</f>
        <v/>
      </c>
      <c r="I791" t="str">
        <f>IF(ISBLANK(VLOOKUP($A791,'Entry data'!$A:$K,9,FALSE)),"",VLOOKUP($A791,'Entry data'!$A:$K,9,FALSE))</f>
        <v/>
      </c>
      <c r="J791" t="str">
        <f>IF(ISBLANK(VLOOKUP($A791,'Entry data'!$A:$K,10,FALSE)),"",VLOOKUP($A791,'Entry data'!$A:$K,10,FALSE))</f>
        <v/>
      </c>
      <c r="K791" t="str">
        <f>IF(ISBLANK(VLOOKUP($A791,'Entry data'!$A:$K,11,FALSE)),"",VLOOKUP($A791,'Entry data'!$A:$K,11,FALSE))</f>
        <v/>
      </c>
      <c r="L791">
        <f>IF(OR(EXACT(D791,"C"),EXACT(D791,"P"),EXACT(D791,"D"),EXACT(D791,"T"),EXACT(D791,"X"),EXACT(E791,"DZF"),EXACT(E791,"OZF"),EXACT(D791,"N"),EXACT(D791,"F")),1,0)</f>
        <v>0</v>
      </c>
      <c r="M791" t="str">
        <f t="shared" si="48"/>
        <v/>
      </c>
      <c r="N791">
        <f t="shared" si="49"/>
        <v>0</v>
      </c>
      <c r="O791">
        <f t="shared" si="50"/>
        <v>0</v>
      </c>
      <c r="P791" t="str">
        <f t="shared" si="51"/>
        <v/>
      </c>
    </row>
    <row r="792" spans="1:16" x14ac:dyDescent="0.25">
      <c r="A792">
        <v>291</v>
      </c>
      <c r="B792" t="str">
        <f>IF(ISBLANK(VLOOKUP($A792,'Entry data'!$A:$K,2,FALSE)),"",VLOOKUP($A792,'Entry data'!$A:$K,2,FALSE))</f>
        <v/>
      </c>
      <c r="C792" t="str">
        <f>IF(ISBLANK(VLOOKUP($A792,'Entry data'!$A:$K,3,FALSE)),"",VLOOKUP($A792,'Entry data'!$A:$K,3,FALSE))</f>
        <v/>
      </c>
      <c r="D792" t="str">
        <f>IF(ISBLANK(VLOOKUP($A792,'Entry data'!$A:$K,4,FALSE)),"",VLOOKUP($A792,'Entry data'!$A:$K,4,FALSE))</f>
        <v/>
      </c>
      <c r="E792" t="str">
        <f>IF(ISBLANK(VLOOKUP($A792,'Entry data'!$A:$K,5,FALSE)),"",VLOOKUP($A792,'Entry data'!$A:$K,5,FALSE))</f>
        <v/>
      </c>
      <c r="F792" t="str">
        <f>IF(ISBLANK(VLOOKUP($A792,'Entry data'!$A:$K,6,FALSE)),"",VLOOKUP($A792,'Entry data'!$A:$K,6,FALSE))</f>
        <v/>
      </c>
      <c r="G792" t="str">
        <f>IF(ISBLANK(VLOOKUP($A792,'Entry data'!$A:$K,7,FALSE)),"",VLOOKUP($A792,'Entry data'!$A:$K,7,FALSE))</f>
        <v/>
      </c>
      <c r="H792" t="str">
        <f>IF(ISBLANK(VLOOKUP($A792,'Entry data'!$A:$K,8,FALSE)),"",VLOOKUP($A792,'Entry data'!$A:$K,8,FALSE))</f>
        <v/>
      </c>
      <c r="I792" t="str">
        <f>IF(ISBLANK(VLOOKUP($A792,'Entry data'!$A:$K,9,FALSE)),"",VLOOKUP($A792,'Entry data'!$A:$K,9,FALSE))</f>
        <v/>
      </c>
      <c r="J792" t="str">
        <f>IF(ISBLANK(VLOOKUP($A792,'Entry data'!$A:$K,10,FALSE)),"",VLOOKUP($A792,'Entry data'!$A:$K,10,FALSE))</f>
        <v/>
      </c>
      <c r="K792" t="str">
        <f>IF(ISBLANK(VLOOKUP($A792,'Entry data'!$A:$K,11,FALSE)),"",VLOOKUP($A792,'Entry data'!$A:$K,11,FALSE))</f>
        <v/>
      </c>
      <c r="L792">
        <f>IF(OR(EXACT(D792,"C"),EXACT(D792,"P"),EXACT(D792,"D"),EXACT(D792,"T"),EXACT(D792,"X"),EXACT(E792,"DZF"),EXACT(E792,"OZF"),EXACT(D792,"N"),EXACT(D792,"F")),1,0)</f>
        <v>0</v>
      </c>
      <c r="M792" t="str">
        <f t="shared" si="48"/>
        <v/>
      </c>
      <c r="N792">
        <f t="shared" si="49"/>
        <v>0</v>
      </c>
      <c r="O792">
        <f t="shared" si="50"/>
        <v>0</v>
      </c>
      <c r="P792" t="str">
        <f t="shared" si="51"/>
        <v/>
      </c>
    </row>
    <row r="793" spans="1:16" x14ac:dyDescent="0.25">
      <c r="A793">
        <v>292</v>
      </c>
      <c r="B793" t="str">
        <f>IF(ISBLANK(VLOOKUP($A793,'Entry data'!$A:$K,2,FALSE)),"",VLOOKUP($A793,'Entry data'!$A:$K,2,FALSE))</f>
        <v/>
      </c>
      <c r="C793" t="str">
        <f>IF(ISBLANK(VLOOKUP($A793,'Entry data'!$A:$K,3,FALSE)),"",VLOOKUP($A793,'Entry data'!$A:$K,3,FALSE))</f>
        <v/>
      </c>
      <c r="D793" t="str">
        <f>IF(ISBLANK(VLOOKUP($A793,'Entry data'!$A:$K,4,FALSE)),"",VLOOKUP($A793,'Entry data'!$A:$K,4,FALSE))</f>
        <v/>
      </c>
      <c r="E793" t="str">
        <f>IF(ISBLANK(VLOOKUP($A793,'Entry data'!$A:$K,5,FALSE)),"",VLOOKUP($A793,'Entry data'!$A:$K,5,FALSE))</f>
        <v/>
      </c>
      <c r="F793" t="str">
        <f>IF(ISBLANK(VLOOKUP($A793,'Entry data'!$A:$K,6,FALSE)),"",VLOOKUP($A793,'Entry data'!$A:$K,6,FALSE))</f>
        <v/>
      </c>
      <c r="G793" t="str">
        <f>IF(ISBLANK(VLOOKUP($A793,'Entry data'!$A:$K,7,FALSE)),"",VLOOKUP($A793,'Entry data'!$A:$K,7,FALSE))</f>
        <v/>
      </c>
      <c r="H793" t="str">
        <f>IF(ISBLANK(VLOOKUP($A793,'Entry data'!$A:$K,8,FALSE)),"",VLOOKUP($A793,'Entry data'!$A:$K,8,FALSE))</f>
        <v/>
      </c>
      <c r="I793" t="str">
        <f>IF(ISBLANK(VLOOKUP($A793,'Entry data'!$A:$K,9,FALSE)),"",VLOOKUP($A793,'Entry data'!$A:$K,9,FALSE))</f>
        <v/>
      </c>
      <c r="J793" t="str">
        <f>IF(ISBLANK(VLOOKUP($A793,'Entry data'!$A:$K,10,FALSE)),"",VLOOKUP($A793,'Entry data'!$A:$K,10,FALSE))</f>
        <v/>
      </c>
      <c r="K793" t="str">
        <f>IF(ISBLANK(VLOOKUP($A793,'Entry data'!$A:$K,11,FALSE)),"",VLOOKUP($A793,'Entry data'!$A:$K,11,FALSE))</f>
        <v/>
      </c>
      <c r="L793">
        <f>IF(OR(EXACT(D793,"C"),EXACT(D793,"P"),EXACT(D793,"D"),EXACT(D793,"T"),EXACT(D793,"X"),EXACT(E793,"DZF"),EXACT(E793,"OZF"),EXACT(D793,"N"),EXACT(D793,"F")),1,0)</f>
        <v>0</v>
      </c>
      <c r="M793" t="str">
        <f t="shared" si="48"/>
        <v/>
      </c>
      <c r="N793">
        <f t="shared" si="49"/>
        <v>0</v>
      </c>
      <c r="O793">
        <f t="shared" si="50"/>
        <v>0</v>
      </c>
      <c r="P793" t="str">
        <f t="shared" si="51"/>
        <v/>
      </c>
    </row>
    <row r="794" spans="1:16" x14ac:dyDescent="0.25">
      <c r="A794">
        <v>293</v>
      </c>
      <c r="B794" t="str">
        <f>IF(ISBLANK(VLOOKUP($A794,'Entry data'!$A:$K,2,FALSE)),"",VLOOKUP($A794,'Entry data'!$A:$K,2,FALSE))</f>
        <v/>
      </c>
      <c r="C794" t="str">
        <f>IF(ISBLANK(VLOOKUP($A794,'Entry data'!$A:$K,3,FALSE)),"",VLOOKUP($A794,'Entry data'!$A:$K,3,FALSE))</f>
        <v/>
      </c>
      <c r="D794" t="str">
        <f>IF(ISBLANK(VLOOKUP($A794,'Entry data'!$A:$K,4,FALSE)),"",VLOOKUP($A794,'Entry data'!$A:$K,4,FALSE))</f>
        <v/>
      </c>
      <c r="E794" t="str">
        <f>IF(ISBLANK(VLOOKUP($A794,'Entry data'!$A:$K,5,FALSE)),"",VLOOKUP($A794,'Entry data'!$A:$K,5,FALSE))</f>
        <v/>
      </c>
      <c r="F794" t="str">
        <f>IF(ISBLANK(VLOOKUP($A794,'Entry data'!$A:$K,6,FALSE)),"",VLOOKUP($A794,'Entry data'!$A:$K,6,FALSE))</f>
        <v/>
      </c>
      <c r="G794" t="str">
        <f>IF(ISBLANK(VLOOKUP($A794,'Entry data'!$A:$K,7,FALSE)),"",VLOOKUP($A794,'Entry data'!$A:$K,7,FALSE))</f>
        <v/>
      </c>
      <c r="H794" t="str">
        <f>IF(ISBLANK(VLOOKUP($A794,'Entry data'!$A:$K,8,FALSE)),"",VLOOKUP($A794,'Entry data'!$A:$K,8,FALSE))</f>
        <v/>
      </c>
      <c r="I794" t="str">
        <f>IF(ISBLANK(VLOOKUP($A794,'Entry data'!$A:$K,9,FALSE)),"",VLOOKUP($A794,'Entry data'!$A:$K,9,FALSE))</f>
        <v/>
      </c>
      <c r="J794" t="str">
        <f>IF(ISBLANK(VLOOKUP($A794,'Entry data'!$A:$K,10,FALSE)),"",VLOOKUP($A794,'Entry data'!$A:$K,10,FALSE))</f>
        <v/>
      </c>
      <c r="K794" t="str">
        <f>IF(ISBLANK(VLOOKUP($A794,'Entry data'!$A:$K,11,FALSE)),"",VLOOKUP($A794,'Entry data'!$A:$K,11,FALSE))</f>
        <v/>
      </c>
      <c r="L794">
        <f>IF(OR(EXACT(D794,"C"),EXACT(D794,"P"),EXACT(D794,"D"),EXACT(D794,"T"),EXACT(D794,"X"),EXACT(E794,"DZF"),EXACT(E794,"OZF"),EXACT(D794,"N"),EXACT(D794,"F")),1,0)</f>
        <v>0</v>
      </c>
      <c r="M794" t="str">
        <f t="shared" si="48"/>
        <v/>
      </c>
      <c r="N794">
        <f t="shared" si="49"/>
        <v>0</v>
      </c>
      <c r="O794">
        <f t="shared" si="50"/>
        <v>0</v>
      </c>
      <c r="P794" t="str">
        <f t="shared" si="51"/>
        <v/>
      </c>
    </row>
    <row r="795" spans="1:16" x14ac:dyDescent="0.25">
      <c r="A795">
        <v>294</v>
      </c>
      <c r="B795" t="str">
        <f>IF(ISBLANK(VLOOKUP($A795,'Entry data'!$A:$K,2,FALSE)),"",VLOOKUP($A795,'Entry data'!$A:$K,2,FALSE))</f>
        <v/>
      </c>
      <c r="C795" t="str">
        <f>IF(ISBLANK(VLOOKUP($A795,'Entry data'!$A:$K,3,FALSE)),"",VLOOKUP($A795,'Entry data'!$A:$K,3,FALSE))</f>
        <v/>
      </c>
      <c r="D795" t="str">
        <f>IF(ISBLANK(VLOOKUP($A795,'Entry data'!$A:$K,4,FALSE)),"",VLOOKUP($A795,'Entry data'!$A:$K,4,FALSE))</f>
        <v/>
      </c>
      <c r="E795" t="str">
        <f>IF(ISBLANK(VLOOKUP($A795,'Entry data'!$A:$K,5,FALSE)),"",VLOOKUP($A795,'Entry data'!$A:$K,5,FALSE))</f>
        <v/>
      </c>
      <c r="F795" t="str">
        <f>IF(ISBLANK(VLOOKUP($A795,'Entry data'!$A:$K,6,FALSE)),"",VLOOKUP($A795,'Entry data'!$A:$K,6,FALSE))</f>
        <v/>
      </c>
      <c r="G795" t="str">
        <f>IF(ISBLANK(VLOOKUP($A795,'Entry data'!$A:$K,7,FALSE)),"",VLOOKUP($A795,'Entry data'!$A:$K,7,FALSE))</f>
        <v/>
      </c>
      <c r="H795" t="str">
        <f>IF(ISBLANK(VLOOKUP($A795,'Entry data'!$A:$K,8,FALSE)),"",VLOOKUP($A795,'Entry data'!$A:$K,8,FALSE))</f>
        <v/>
      </c>
      <c r="I795" t="str">
        <f>IF(ISBLANK(VLOOKUP($A795,'Entry data'!$A:$K,9,FALSE)),"",VLOOKUP($A795,'Entry data'!$A:$K,9,FALSE))</f>
        <v/>
      </c>
      <c r="J795" t="str">
        <f>IF(ISBLANK(VLOOKUP($A795,'Entry data'!$A:$K,10,FALSE)),"",VLOOKUP($A795,'Entry data'!$A:$K,10,FALSE))</f>
        <v/>
      </c>
      <c r="K795" t="str">
        <f>IF(ISBLANK(VLOOKUP($A795,'Entry data'!$A:$K,11,FALSE)),"",VLOOKUP($A795,'Entry data'!$A:$K,11,FALSE))</f>
        <v/>
      </c>
      <c r="L795">
        <f>IF(OR(EXACT(D795,"C"),EXACT(D795,"P"),EXACT(D795,"D"),EXACT(D795,"T"),EXACT(D795,"X"),EXACT(E795,"DZF"),EXACT(E795,"OZF"),EXACT(D795,"N"),EXACT(D795,"F")),1,0)</f>
        <v>0</v>
      </c>
      <c r="M795" t="str">
        <f t="shared" si="48"/>
        <v/>
      </c>
      <c r="N795">
        <f t="shared" si="49"/>
        <v>0</v>
      </c>
      <c r="O795">
        <f t="shared" si="50"/>
        <v>0</v>
      </c>
      <c r="P795" t="str">
        <f t="shared" si="51"/>
        <v/>
      </c>
    </row>
    <row r="796" spans="1:16" x14ac:dyDescent="0.25">
      <c r="A796">
        <v>295</v>
      </c>
      <c r="B796" t="str">
        <f>IF(ISBLANK(VLOOKUP($A796,'Entry data'!$A:$K,2,FALSE)),"",VLOOKUP($A796,'Entry data'!$A:$K,2,FALSE))</f>
        <v/>
      </c>
      <c r="C796" t="str">
        <f>IF(ISBLANK(VLOOKUP($A796,'Entry data'!$A:$K,3,FALSE)),"",VLOOKUP($A796,'Entry data'!$A:$K,3,FALSE))</f>
        <v/>
      </c>
      <c r="D796" t="str">
        <f>IF(ISBLANK(VLOOKUP($A796,'Entry data'!$A:$K,4,FALSE)),"",VLOOKUP($A796,'Entry data'!$A:$K,4,FALSE))</f>
        <v/>
      </c>
      <c r="E796" t="str">
        <f>IF(ISBLANK(VLOOKUP($A796,'Entry data'!$A:$K,5,FALSE)),"",VLOOKUP($A796,'Entry data'!$A:$K,5,FALSE))</f>
        <v/>
      </c>
      <c r="F796" t="str">
        <f>IF(ISBLANK(VLOOKUP($A796,'Entry data'!$A:$K,6,FALSE)),"",VLOOKUP($A796,'Entry data'!$A:$K,6,FALSE))</f>
        <v/>
      </c>
      <c r="G796" t="str">
        <f>IF(ISBLANK(VLOOKUP($A796,'Entry data'!$A:$K,7,FALSE)),"",VLOOKUP($A796,'Entry data'!$A:$K,7,FALSE))</f>
        <v/>
      </c>
      <c r="H796" t="str">
        <f>IF(ISBLANK(VLOOKUP($A796,'Entry data'!$A:$K,8,FALSE)),"",VLOOKUP($A796,'Entry data'!$A:$K,8,FALSE))</f>
        <v/>
      </c>
      <c r="I796" t="str">
        <f>IF(ISBLANK(VLOOKUP($A796,'Entry data'!$A:$K,9,FALSE)),"",VLOOKUP($A796,'Entry data'!$A:$K,9,FALSE))</f>
        <v/>
      </c>
      <c r="J796" t="str">
        <f>IF(ISBLANK(VLOOKUP($A796,'Entry data'!$A:$K,10,FALSE)),"",VLOOKUP($A796,'Entry data'!$A:$K,10,FALSE))</f>
        <v/>
      </c>
      <c r="K796" t="str">
        <f>IF(ISBLANK(VLOOKUP($A796,'Entry data'!$A:$K,11,FALSE)),"",VLOOKUP($A796,'Entry data'!$A:$K,11,FALSE))</f>
        <v/>
      </c>
      <c r="L796">
        <f>IF(OR(EXACT(D796,"C"),EXACT(D796,"P"),EXACT(D796,"D"),EXACT(D796,"T"),EXACT(D796,"X"),EXACT(E796,"DZF"),EXACT(E796,"OZF"),EXACT(D796,"N"),EXACT(D796,"F")),1,0)</f>
        <v>0</v>
      </c>
      <c r="M796" t="str">
        <f t="shared" si="48"/>
        <v/>
      </c>
      <c r="N796">
        <f t="shared" si="49"/>
        <v>0</v>
      </c>
      <c r="O796">
        <f t="shared" si="50"/>
        <v>0</v>
      </c>
      <c r="P796" t="str">
        <f t="shared" si="51"/>
        <v/>
      </c>
    </row>
    <row r="797" spans="1:16" x14ac:dyDescent="0.25">
      <c r="A797">
        <v>296</v>
      </c>
      <c r="B797" t="str">
        <f>IF(ISBLANK(VLOOKUP($A797,'Entry data'!$A:$K,2,FALSE)),"",VLOOKUP($A797,'Entry data'!$A:$K,2,FALSE))</f>
        <v/>
      </c>
      <c r="C797" t="str">
        <f>IF(ISBLANK(VLOOKUP($A797,'Entry data'!$A:$K,3,FALSE)),"",VLOOKUP($A797,'Entry data'!$A:$K,3,FALSE))</f>
        <v/>
      </c>
      <c r="D797" t="str">
        <f>IF(ISBLANK(VLOOKUP($A797,'Entry data'!$A:$K,4,FALSE)),"",VLOOKUP($A797,'Entry data'!$A:$K,4,FALSE))</f>
        <v/>
      </c>
      <c r="E797" t="str">
        <f>IF(ISBLANK(VLOOKUP($A797,'Entry data'!$A:$K,5,FALSE)),"",VLOOKUP($A797,'Entry data'!$A:$K,5,FALSE))</f>
        <v/>
      </c>
      <c r="F797" t="str">
        <f>IF(ISBLANK(VLOOKUP($A797,'Entry data'!$A:$K,6,FALSE)),"",VLOOKUP($A797,'Entry data'!$A:$K,6,FALSE))</f>
        <v/>
      </c>
      <c r="G797" t="str">
        <f>IF(ISBLANK(VLOOKUP($A797,'Entry data'!$A:$K,7,FALSE)),"",VLOOKUP($A797,'Entry data'!$A:$K,7,FALSE))</f>
        <v/>
      </c>
      <c r="H797" t="str">
        <f>IF(ISBLANK(VLOOKUP($A797,'Entry data'!$A:$K,8,FALSE)),"",VLOOKUP($A797,'Entry data'!$A:$K,8,FALSE))</f>
        <v/>
      </c>
      <c r="I797" t="str">
        <f>IF(ISBLANK(VLOOKUP($A797,'Entry data'!$A:$K,9,FALSE)),"",VLOOKUP($A797,'Entry data'!$A:$K,9,FALSE))</f>
        <v/>
      </c>
      <c r="J797" t="str">
        <f>IF(ISBLANK(VLOOKUP($A797,'Entry data'!$A:$K,10,FALSE)),"",VLOOKUP($A797,'Entry data'!$A:$K,10,FALSE))</f>
        <v/>
      </c>
      <c r="K797" t="str">
        <f>IF(ISBLANK(VLOOKUP($A797,'Entry data'!$A:$K,11,FALSE)),"",VLOOKUP($A797,'Entry data'!$A:$K,11,FALSE))</f>
        <v/>
      </c>
      <c r="L797">
        <f>IF(OR(EXACT(D797,"C"),EXACT(D797,"P"),EXACT(D797,"D"),EXACT(D797,"T"),EXACT(D797,"X"),EXACT(E797,"DZF"),EXACT(E797,"OZF"),EXACT(D797,"N"),EXACT(D797,"F")),1,0)</f>
        <v>0</v>
      </c>
      <c r="M797" t="str">
        <f t="shared" si="48"/>
        <v/>
      </c>
      <c r="N797">
        <f t="shared" si="49"/>
        <v>0</v>
      </c>
      <c r="O797">
        <f t="shared" si="50"/>
        <v>0</v>
      </c>
      <c r="P797" t="str">
        <f t="shared" si="51"/>
        <v/>
      </c>
    </row>
    <row r="798" spans="1:16" x14ac:dyDescent="0.25">
      <c r="A798">
        <v>297</v>
      </c>
      <c r="B798" t="str">
        <f>IF(ISBLANK(VLOOKUP($A798,'Entry data'!$A:$K,2,FALSE)),"",VLOOKUP($A798,'Entry data'!$A:$K,2,FALSE))</f>
        <v/>
      </c>
      <c r="C798" t="str">
        <f>IF(ISBLANK(VLOOKUP($A798,'Entry data'!$A:$K,3,FALSE)),"",VLOOKUP($A798,'Entry data'!$A:$K,3,FALSE))</f>
        <v/>
      </c>
      <c r="D798" t="str">
        <f>IF(ISBLANK(VLOOKUP($A798,'Entry data'!$A:$K,4,FALSE)),"",VLOOKUP($A798,'Entry data'!$A:$K,4,FALSE))</f>
        <v/>
      </c>
      <c r="E798" t="str">
        <f>IF(ISBLANK(VLOOKUP($A798,'Entry data'!$A:$K,5,FALSE)),"",VLOOKUP($A798,'Entry data'!$A:$K,5,FALSE))</f>
        <v/>
      </c>
      <c r="F798" t="str">
        <f>IF(ISBLANK(VLOOKUP($A798,'Entry data'!$A:$K,6,FALSE)),"",VLOOKUP($A798,'Entry data'!$A:$K,6,FALSE))</f>
        <v/>
      </c>
      <c r="G798" t="str">
        <f>IF(ISBLANK(VLOOKUP($A798,'Entry data'!$A:$K,7,FALSE)),"",VLOOKUP($A798,'Entry data'!$A:$K,7,FALSE))</f>
        <v/>
      </c>
      <c r="H798" t="str">
        <f>IF(ISBLANK(VLOOKUP($A798,'Entry data'!$A:$K,8,FALSE)),"",VLOOKUP($A798,'Entry data'!$A:$K,8,FALSE))</f>
        <v/>
      </c>
      <c r="I798" t="str">
        <f>IF(ISBLANK(VLOOKUP($A798,'Entry data'!$A:$K,9,FALSE)),"",VLOOKUP($A798,'Entry data'!$A:$K,9,FALSE))</f>
        <v/>
      </c>
      <c r="J798" t="str">
        <f>IF(ISBLANK(VLOOKUP($A798,'Entry data'!$A:$K,10,FALSE)),"",VLOOKUP($A798,'Entry data'!$A:$K,10,FALSE))</f>
        <v/>
      </c>
      <c r="K798" t="str">
        <f>IF(ISBLANK(VLOOKUP($A798,'Entry data'!$A:$K,11,FALSE)),"",VLOOKUP($A798,'Entry data'!$A:$K,11,FALSE))</f>
        <v/>
      </c>
      <c r="L798">
        <f>IF(OR(EXACT(D798,"C"),EXACT(D798,"P"),EXACT(D798,"D"),EXACT(D798,"T"),EXACT(D798,"X"),EXACT(E798,"DZF"),EXACT(E798,"OZF"),EXACT(D798,"N"),EXACT(D798,"F")),1,0)</f>
        <v>0</v>
      </c>
      <c r="M798" t="str">
        <f t="shared" si="48"/>
        <v/>
      </c>
      <c r="N798">
        <f t="shared" si="49"/>
        <v>0</v>
      </c>
      <c r="O798">
        <f t="shared" si="50"/>
        <v>0</v>
      </c>
      <c r="P798" t="str">
        <f t="shared" si="51"/>
        <v/>
      </c>
    </row>
    <row r="799" spans="1:16" x14ac:dyDescent="0.25">
      <c r="A799">
        <v>298</v>
      </c>
      <c r="B799" t="str">
        <f>IF(ISBLANK(VLOOKUP($A799,'Entry data'!$A:$K,2,FALSE)),"",VLOOKUP($A799,'Entry data'!$A:$K,2,FALSE))</f>
        <v/>
      </c>
      <c r="C799" t="str">
        <f>IF(ISBLANK(VLOOKUP($A799,'Entry data'!$A:$K,3,FALSE)),"",VLOOKUP($A799,'Entry data'!$A:$K,3,FALSE))</f>
        <v/>
      </c>
      <c r="D799" t="str">
        <f>IF(ISBLANK(VLOOKUP($A799,'Entry data'!$A:$K,4,FALSE)),"",VLOOKUP($A799,'Entry data'!$A:$K,4,FALSE))</f>
        <v/>
      </c>
      <c r="E799" t="str">
        <f>IF(ISBLANK(VLOOKUP($A799,'Entry data'!$A:$K,5,FALSE)),"",VLOOKUP($A799,'Entry data'!$A:$K,5,FALSE))</f>
        <v/>
      </c>
      <c r="F799" t="str">
        <f>IF(ISBLANK(VLOOKUP($A799,'Entry data'!$A:$K,6,FALSE)),"",VLOOKUP($A799,'Entry data'!$A:$K,6,FALSE))</f>
        <v/>
      </c>
      <c r="G799" t="str">
        <f>IF(ISBLANK(VLOOKUP($A799,'Entry data'!$A:$K,7,FALSE)),"",VLOOKUP($A799,'Entry data'!$A:$K,7,FALSE))</f>
        <v/>
      </c>
      <c r="H799" t="str">
        <f>IF(ISBLANK(VLOOKUP($A799,'Entry data'!$A:$K,8,FALSE)),"",VLOOKUP($A799,'Entry data'!$A:$K,8,FALSE))</f>
        <v/>
      </c>
      <c r="I799" t="str">
        <f>IF(ISBLANK(VLOOKUP($A799,'Entry data'!$A:$K,9,FALSE)),"",VLOOKUP($A799,'Entry data'!$A:$K,9,FALSE))</f>
        <v/>
      </c>
      <c r="J799" t="str">
        <f>IF(ISBLANK(VLOOKUP($A799,'Entry data'!$A:$K,10,FALSE)),"",VLOOKUP($A799,'Entry data'!$A:$K,10,FALSE))</f>
        <v/>
      </c>
      <c r="K799" t="str">
        <f>IF(ISBLANK(VLOOKUP($A799,'Entry data'!$A:$K,11,FALSE)),"",VLOOKUP($A799,'Entry data'!$A:$K,11,FALSE))</f>
        <v/>
      </c>
      <c r="L799">
        <f>IF(OR(EXACT(D799,"C"),EXACT(D799,"P"),EXACT(D799,"D"),EXACT(D799,"T"),EXACT(D799,"X"),EXACT(E799,"DZF"),EXACT(E799,"OZF"),EXACT(D799,"N"),EXACT(D799,"F")),1,0)</f>
        <v>0</v>
      </c>
      <c r="M799" t="str">
        <f t="shared" si="48"/>
        <v/>
      </c>
      <c r="N799">
        <f t="shared" si="49"/>
        <v>0</v>
      </c>
      <c r="O799">
        <f t="shared" si="50"/>
        <v>0</v>
      </c>
      <c r="P799" t="str">
        <f t="shared" si="51"/>
        <v/>
      </c>
    </row>
    <row r="800" spans="1:16" x14ac:dyDescent="0.25">
      <c r="A800">
        <v>299</v>
      </c>
      <c r="B800" t="str">
        <f>IF(ISBLANK(VLOOKUP($A800,'Entry data'!$A:$K,2,FALSE)),"",VLOOKUP($A800,'Entry data'!$A:$K,2,FALSE))</f>
        <v/>
      </c>
      <c r="C800" t="str">
        <f>IF(ISBLANK(VLOOKUP($A800,'Entry data'!$A:$K,3,FALSE)),"",VLOOKUP($A800,'Entry data'!$A:$K,3,FALSE))</f>
        <v/>
      </c>
      <c r="D800" t="str">
        <f>IF(ISBLANK(VLOOKUP($A800,'Entry data'!$A:$K,4,FALSE)),"",VLOOKUP($A800,'Entry data'!$A:$K,4,FALSE))</f>
        <v/>
      </c>
      <c r="E800" t="str">
        <f>IF(ISBLANK(VLOOKUP($A800,'Entry data'!$A:$K,5,FALSE)),"",VLOOKUP($A800,'Entry data'!$A:$K,5,FALSE))</f>
        <v/>
      </c>
      <c r="F800" t="str">
        <f>IF(ISBLANK(VLOOKUP($A800,'Entry data'!$A:$K,6,FALSE)),"",VLOOKUP($A800,'Entry data'!$A:$K,6,FALSE))</f>
        <v/>
      </c>
      <c r="G800" t="str">
        <f>IF(ISBLANK(VLOOKUP($A800,'Entry data'!$A:$K,7,FALSE)),"",VLOOKUP($A800,'Entry data'!$A:$K,7,FALSE))</f>
        <v/>
      </c>
      <c r="H800" t="str">
        <f>IF(ISBLANK(VLOOKUP($A800,'Entry data'!$A:$K,8,FALSE)),"",VLOOKUP($A800,'Entry data'!$A:$K,8,FALSE))</f>
        <v/>
      </c>
      <c r="I800" t="str">
        <f>IF(ISBLANK(VLOOKUP($A800,'Entry data'!$A:$K,9,FALSE)),"",VLOOKUP($A800,'Entry data'!$A:$K,9,FALSE))</f>
        <v/>
      </c>
      <c r="J800" t="str">
        <f>IF(ISBLANK(VLOOKUP($A800,'Entry data'!$A:$K,10,FALSE)),"",VLOOKUP($A800,'Entry data'!$A:$K,10,FALSE))</f>
        <v/>
      </c>
      <c r="K800" t="str">
        <f>IF(ISBLANK(VLOOKUP($A800,'Entry data'!$A:$K,11,FALSE)),"",VLOOKUP($A800,'Entry data'!$A:$K,11,FALSE))</f>
        <v/>
      </c>
      <c r="L800">
        <f>IF(OR(EXACT(D800,"C"),EXACT(D800,"P"),EXACT(D800,"D"),EXACT(D800,"T"),EXACT(D800,"X"),EXACT(E800,"DZF"),EXACT(E800,"OZF"),EXACT(D800,"N"),EXACT(D800,"F")),1,0)</f>
        <v>0</v>
      </c>
      <c r="M800" t="str">
        <f t="shared" si="48"/>
        <v/>
      </c>
      <c r="N800">
        <f t="shared" si="49"/>
        <v>0</v>
      </c>
      <c r="O800">
        <f t="shared" si="50"/>
        <v>0</v>
      </c>
      <c r="P800" t="str">
        <f t="shared" si="51"/>
        <v/>
      </c>
    </row>
    <row r="801" spans="1:16" x14ac:dyDescent="0.25">
      <c r="A801">
        <v>300</v>
      </c>
      <c r="B801" t="str">
        <f>IF(ISBLANK(VLOOKUP($A801,'Entry data'!$A:$K,2,FALSE)),"",VLOOKUP($A801,'Entry data'!$A:$K,2,FALSE))</f>
        <v/>
      </c>
      <c r="C801" t="str">
        <f>IF(ISBLANK(VLOOKUP($A801,'Entry data'!$A:$K,3,FALSE)),"",VLOOKUP($A801,'Entry data'!$A:$K,3,FALSE))</f>
        <v/>
      </c>
      <c r="D801" t="str">
        <f>IF(ISBLANK(VLOOKUP($A801,'Entry data'!$A:$K,4,FALSE)),"",VLOOKUP($A801,'Entry data'!$A:$K,4,FALSE))</f>
        <v/>
      </c>
      <c r="E801" t="str">
        <f>IF(ISBLANK(VLOOKUP($A801,'Entry data'!$A:$K,5,FALSE)),"",VLOOKUP($A801,'Entry data'!$A:$K,5,FALSE))</f>
        <v/>
      </c>
      <c r="F801" t="str">
        <f>IF(ISBLANK(VLOOKUP($A801,'Entry data'!$A:$K,6,FALSE)),"",VLOOKUP($A801,'Entry data'!$A:$K,6,FALSE))</f>
        <v/>
      </c>
      <c r="G801" t="str">
        <f>IF(ISBLANK(VLOOKUP($A801,'Entry data'!$A:$K,7,FALSE)),"",VLOOKUP($A801,'Entry data'!$A:$K,7,FALSE))</f>
        <v/>
      </c>
      <c r="H801" t="str">
        <f>IF(ISBLANK(VLOOKUP($A801,'Entry data'!$A:$K,8,FALSE)),"",VLOOKUP($A801,'Entry data'!$A:$K,8,FALSE))</f>
        <v/>
      </c>
      <c r="I801" t="str">
        <f>IF(ISBLANK(VLOOKUP($A801,'Entry data'!$A:$K,9,FALSE)),"",VLOOKUP($A801,'Entry data'!$A:$K,9,FALSE))</f>
        <v/>
      </c>
      <c r="J801" t="str">
        <f>IF(ISBLANK(VLOOKUP($A801,'Entry data'!$A:$K,10,FALSE)),"",VLOOKUP($A801,'Entry data'!$A:$K,10,FALSE))</f>
        <v/>
      </c>
      <c r="K801" t="str">
        <f>IF(ISBLANK(VLOOKUP($A801,'Entry data'!$A:$K,11,FALSE)),"",VLOOKUP($A801,'Entry data'!$A:$K,11,FALSE))</f>
        <v/>
      </c>
      <c r="L801">
        <f>IF(OR(EXACT(D801,"C"),EXACT(D801,"P"),EXACT(D801,"D"),EXACT(D801,"T"),EXACT(D801,"X"),EXACT(E801,"DZF"),EXACT(E801,"OZF"),EXACT(D801,"N"),EXACT(D801,"F")),1,0)</f>
        <v>0</v>
      </c>
      <c r="M801" t="str">
        <f t="shared" si="48"/>
        <v/>
      </c>
      <c r="N801">
        <f t="shared" si="49"/>
        <v>0</v>
      </c>
      <c r="O801">
        <f t="shared" si="50"/>
        <v>0</v>
      </c>
      <c r="P801" t="str">
        <f t="shared" si="51"/>
        <v/>
      </c>
    </row>
    <row r="802" spans="1:16" x14ac:dyDescent="0.25">
      <c r="A802">
        <v>301</v>
      </c>
      <c r="B802" t="str">
        <f>IF(ISBLANK(VLOOKUP($A802,'Entry data'!$A:$K,2,FALSE)),"",VLOOKUP($A802,'Entry data'!$A:$K,2,FALSE))</f>
        <v/>
      </c>
      <c r="C802" t="str">
        <f>IF(ISBLANK(VLOOKUP($A802,'Entry data'!$A:$K,3,FALSE)),"",VLOOKUP($A802,'Entry data'!$A:$K,3,FALSE))</f>
        <v/>
      </c>
      <c r="D802" t="str">
        <f>IF(ISBLANK(VLOOKUP($A802,'Entry data'!$A:$K,4,FALSE)),"",VLOOKUP($A802,'Entry data'!$A:$K,4,FALSE))</f>
        <v/>
      </c>
      <c r="E802" t="str">
        <f>IF(ISBLANK(VLOOKUP($A802,'Entry data'!$A:$K,5,FALSE)),"",VLOOKUP($A802,'Entry data'!$A:$K,5,FALSE))</f>
        <v/>
      </c>
      <c r="F802" t="str">
        <f>IF(ISBLANK(VLOOKUP($A802,'Entry data'!$A:$K,6,FALSE)),"",VLOOKUP($A802,'Entry data'!$A:$K,6,FALSE))</f>
        <v/>
      </c>
      <c r="G802" t="str">
        <f>IF(ISBLANK(VLOOKUP($A802,'Entry data'!$A:$K,7,FALSE)),"",VLOOKUP($A802,'Entry data'!$A:$K,7,FALSE))</f>
        <v/>
      </c>
      <c r="H802" t="str">
        <f>IF(ISBLANK(VLOOKUP($A802,'Entry data'!$A:$K,8,FALSE)),"",VLOOKUP($A802,'Entry data'!$A:$K,8,FALSE))</f>
        <v/>
      </c>
      <c r="I802" t="str">
        <f>IF(ISBLANK(VLOOKUP($A802,'Entry data'!$A:$K,9,FALSE)),"",VLOOKUP($A802,'Entry data'!$A:$K,9,FALSE))</f>
        <v/>
      </c>
      <c r="J802" t="str">
        <f>IF(ISBLANK(VLOOKUP($A802,'Entry data'!$A:$K,10,FALSE)),"",VLOOKUP($A802,'Entry data'!$A:$K,10,FALSE))</f>
        <v/>
      </c>
      <c r="K802" t="str">
        <f>IF(ISBLANK(VLOOKUP($A802,'Entry data'!$A:$K,11,FALSE)),"",VLOOKUP($A802,'Entry data'!$A:$K,11,FALSE))</f>
        <v/>
      </c>
      <c r="L802">
        <f>IF(OR(EXACT(D802,"C"),EXACT(D802,"P"),EXACT(D802,"D"),EXACT(D802,"T"),EXACT(D802,"X"),EXACT(E802,"DZF"),EXACT(E802,"OZF"),EXACT(D802,"N"),EXACT(D802,"F")),1,0)</f>
        <v>0</v>
      </c>
      <c r="M802" t="str">
        <f t="shared" si="48"/>
        <v/>
      </c>
      <c r="N802">
        <f t="shared" si="49"/>
        <v>0</v>
      </c>
      <c r="O802">
        <f t="shared" si="50"/>
        <v>0</v>
      </c>
      <c r="P802" t="str">
        <f t="shared" si="51"/>
        <v/>
      </c>
    </row>
    <row r="803" spans="1:16" x14ac:dyDescent="0.25">
      <c r="A803">
        <v>302</v>
      </c>
      <c r="B803" t="str">
        <f>IF(ISBLANK(VLOOKUP($A803,'Entry data'!$A:$K,2,FALSE)),"",VLOOKUP($A803,'Entry data'!$A:$K,2,FALSE))</f>
        <v/>
      </c>
      <c r="C803" t="str">
        <f>IF(ISBLANK(VLOOKUP($A803,'Entry data'!$A:$K,3,FALSE)),"",VLOOKUP($A803,'Entry data'!$A:$K,3,FALSE))</f>
        <v/>
      </c>
      <c r="D803" t="str">
        <f>IF(ISBLANK(VLOOKUP($A803,'Entry data'!$A:$K,4,FALSE)),"",VLOOKUP($A803,'Entry data'!$A:$K,4,FALSE))</f>
        <v/>
      </c>
      <c r="E803" t="str">
        <f>IF(ISBLANK(VLOOKUP($A803,'Entry data'!$A:$K,5,FALSE)),"",VLOOKUP($A803,'Entry data'!$A:$K,5,FALSE))</f>
        <v/>
      </c>
      <c r="F803" t="str">
        <f>IF(ISBLANK(VLOOKUP($A803,'Entry data'!$A:$K,6,FALSE)),"",VLOOKUP($A803,'Entry data'!$A:$K,6,FALSE))</f>
        <v/>
      </c>
      <c r="G803" t="str">
        <f>IF(ISBLANK(VLOOKUP($A803,'Entry data'!$A:$K,7,FALSE)),"",VLOOKUP($A803,'Entry data'!$A:$K,7,FALSE))</f>
        <v/>
      </c>
      <c r="H803" t="str">
        <f>IF(ISBLANK(VLOOKUP($A803,'Entry data'!$A:$K,8,FALSE)),"",VLOOKUP($A803,'Entry data'!$A:$K,8,FALSE))</f>
        <v/>
      </c>
      <c r="I803" t="str">
        <f>IF(ISBLANK(VLOOKUP($A803,'Entry data'!$A:$K,9,FALSE)),"",VLOOKUP($A803,'Entry data'!$A:$K,9,FALSE))</f>
        <v/>
      </c>
      <c r="J803" t="str">
        <f>IF(ISBLANK(VLOOKUP($A803,'Entry data'!$A:$K,10,FALSE)),"",VLOOKUP($A803,'Entry data'!$A:$K,10,FALSE))</f>
        <v/>
      </c>
      <c r="K803" t="str">
        <f>IF(ISBLANK(VLOOKUP($A803,'Entry data'!$A:$K,11,FALSE)),"",VLOOKUP($A803,'Entry data'!$A:$K,11,FALSE))</f>
        <v/>
      </c>
      <c r="L803">
        <f>IF(OR(EXACT(D803,"C"),EXACT(D803,"P"),EXACT(D803,"D"),EXACT(D803,"T"),EXACT(D803,"X"),EXACT(E803,"DZF"),EXACT(E803,"OZF"),EXACT(D803,"N"),EXACT(D803,"F")),1,0)</f>
        <v>0</v>
      </c>
      <c r="M803" t="str">
        <f t="shared" si="48"/>
        <v/>
      </c>
      <c r="N803">
        <f t="shared" si="49"/>
        <v>0</v>
      </c>
      <c r="O803">
        <f t="shared" si="50"/>
        <v>0</v>
      </c>
      <c r="P803" t="str">
        <f t="shared" si="51"/>
        <v/>
      </c>
    </row>
    <row r="804" spans="1:16" x14ac:dyDescent="0.25">
      <c r="A804">
        <v>303</v>
      </c>
      <c r="B804" t="str">
        <f>IF(ISBLANK(VLOOKUP($A804,'Entry data'!$A:$K,2,FALSE)),"",VLOOKUP($A804,'Entry data'!$A:$K,2,FALSE))</f>
        <v/>
      </c>
      <c r="C804" t="str">
        <f>IF(ISBLANK(VLOOKUP($A804,'Entry data'!$A:$K,3,FALSE)),"",VLOOKUP($A804,'Entry data'!$A:$K,3,FALSE))</f>
        <v/>
      </c>
      <c r="D804" t="str">
        <f>IF(ISBLANK(VLOOKUP($A804,'Entry data'!$A:$K,4,FALSE)),"",VLOOKUP($A804,'Entry data'!$A:$K,4,FALSE))</f>
        <v/>
      </c>
      <c r="E804" t="str">
        <f>IF(ISBLANK(VLOOKUP($A804,'Entry data'!$A:$K,5,FALSE)),"",VLOOKUP($A804,'Entry data'!$A:$K,5,FALSE))</f>
        <v/>
      </c>
      <c r="F804" t="str">
        <f>IF(ISBLANK(VLOOKUP($A804,'Entry data'!$A:$K,6,FALSE)),"",VLOOKUP($A804,'Entry data'!$A:$K,6,FALSE))</f>
        <v/>
      </c>
      <c r="G804" t="str">
        <f>IF(ISBLANK(VLOOKUP($A804,'Entry data'!$A:$K,7,FALSE)),"",VLOOKUP($A804,'Entry data'!$A:$K,7,FALSE))</f>
        <v/>
      </c>
      <c r="H804" t="str">
        <f>IF(ISBLANK(VLOOKUP($A804,'Entry data'!$A:$K,8,FALSE)),"",VLOOKUP($A804,'Entry data'!$A:$K,8,FALSE))</f>
        <v/>
      </c>
      <c r="I804" t="str">
        <f>IF(ISBLANK(VLOOKUP($A804,'Entry data'!$A:$K,9,FALSE)),"",VLOOKUP($A804,'Entry data'!$A:$K,9,FALSE))</f>
        <v/>
      </c>
      <c r="J804" t="str">
        <f>IF(ISBLANK(VLOOKUP($A804,'Entry data'!$A:$K,10,FALSE)),"",VLOOKUP($A804,'Entry data'!$A:$K,10,FALSE))</f>
        <v/>
      </c>
      <c r="K804" t="str">
        <f>IF(ISBLANK(VLOOKUP($A804,'Entry data'!$A:$K,11,FALSE)),"",VLOOKUP($A804,'Entry data'!$A:$K,11,FALSE))</f>
        <v/>
      </c>
      <c r="L804">
        <f>IF(OR(EXACT(D804,"C"),EXACT(D804,"P"),EXACT(D804,"D"),EXACT(D804,"T"),EXACT(D804,"X"),EXACT(E804,"DZF"),EXACT(E804,"OZF"),EXACT(D804,"N"),EXACT(D804,"F")),1,0)</f>
        <v>0</v>
      </c>
      <c r="M804" t="str">
        <f t="shared" si="48"/>
        <v/>
      </c>
      <c r="N804">
        <f t="shared" si="49"/>
        <v>0</v>
      </c>
      <c r="O804">
        <f t="shared" si="50"/>
        <v>0</v>
      </c>
      <c r="P804" t="str">
        <f t="shared" si="51"/>
        <v/>
      </c>
    </row>
    <row r="805" spans="1:16" x14ac:dyDescent="0.25">
      <c r="A805">
        <v>304</v>
      </c>
      <c r="B805" t="str">
        <f>IF(ISBLANK(VLOOKUP($A805,'Entry data'!$A:$K,2,FALSE)),"",VLOOKUP($A805,'Entry data'!$A:$K,2,FALSE))</f>
        <v/>
      </c>
      <c r="C805" t="str">
        <f>IF(ISBLANK(VLOOKUP($A805,'Entry data'!$A:$K,3,FALSE)),"",VLOOKUP($A805,'Entry data'!$A:$K,3,FALSE))</f>
        <v/>
      </c>
      <c r="D805" t="str">
        <f>IF(ISBLANK(VLOOKUP($A805,'Entry data'!$A:$K,4,FALSE)),"",VLOOKUP($A805,'Entry data'!$A:$K,4,FALSE))</f>
        <v/>
      </c>
      <c r="E805" t="str">
        <f>IF(ISBLANK(VLOOKUP($A805,'Entry data'!$A:$K,5,FALSE)),"",VLOOKUP($A805,'Entry data'!$A:$K,5,FALSE))</f>
        <v/>
      </c>
      <c r="F805" t="str">
        <f>IF(ISBLANK(VLOOKUP($A805,'Entry data'!$A:$K,6,FALSE)),"",VLOOKUP($A805,'Entry data'!$A:$K,6,FALSE))</f>
        <v/>
      </c>
      <c r="G805" t="str">
        <f>IF(ISBLANK(VLOOKUP($A805,'Entry data'!$A:$K,7,FALSE)),"",VLOOKUP($A805,'Entry data'!$A:$K,7,FALSE))</f>
        <v/>
      </c>
      <c r="H805" t="str">
        <f>IF(ISBLANK(VLOOKUP($A805,'Entry data'!$A:$K,8,FALSE)),"",VLOOKUP($A805,'Entry data'!$A:$K,8,FALSE))</f>
        <v/>
      </c>
      <c r="I805" t="str">
        <f>IF(ISBLANK(VLOOKUP($A805,'Entry data'!$A:$K,9,FALSE)),"",VLOOKUP($A805,'Entry data'!$A:$K,9,FALSE))</f>
        <v/>
      </c>
      <c r="J805" t="str">
        <f>IF(ISBLANK(VLOOKUP($A805,'Entry data'!$A:$K,10,FALSE)),"",VLOOKUP($A805,'Entry data'!$A:$K,10,FALSE))</f>
        <v/>
      </c>
      <c r="K805" t="str">
        <f>IF(ISBLANK(VLOOKUP($A805,'Entry data'!$A:$K,11,FALSE)),"",VLOOKUP($A805,'Entry data'!$A:$K,11,FALSE))</f>
        <v/>
      </c>
      <c r="L805">
        <f>IF(OR(EXACT(D805,"C"),EXACT(D805,"P"),EXACT(D805,"D"),EXACT(D805,"T"),EXACT(D805,"X"),EXACT(E805,"DZF"),EXACT(E805,"OZF"),EXACT(D805,"N"),EXACT(D805,"F")),1,0)</f>
        <v>0</v>
      </c>
      <c r="M805" t="str">
        <f t="shared" si="48"/>
        <v/>
      </c>
      <c r="N805">
        <f t="shared" si="49"/>
        <v>0</v>
      </c>
      <c r="O805">
        <f t="shared" si="50"/>
        <v>0</v>
      </c>
      <c r="P805" t="str">
        <f t="shared" si="51"/>
        <v/>
      </c>
    </row>
    <row r="806" spans="1:16" x14ac:dyDescent="0.25">
      <c r="A806">
        <v>305</v>
      </c>
      <c r="B806" t="str">
        <f>IF(ISBLANK(VLOOKUP($A806,'Entry data'!$A:$K,2,FALSE)),"",VLOOKUP($A806,'Entry data'!$A:$K,2,FALSE))</f>
        <v/>
      </c>
      <c r="C806" t="str">
        <f>IF(ISBLANK(VLOOKUP($A806,'Entry data'!$A:$K,3,FALSE)),"",VLOOKUP($A806,'Entry data'!$A:$K,3,FALSE))</f>
        <v/>
      </c>
      <c r="D806" t="str">
        <f>IF(ISBLANK(VLOOKUP($A806,'Entry data'!$A:$K,4,FALSE)),"",VLOOKUP($A806,'Entry data'!$A:$K,4,FALSE))</f>
        <v/>
      </c>
      <c r="E806" t="str">
        <f>IF(ISBLANK(VLOOKUP($A806,'Entry data'!$A:$K,5,FALSE)),"",VLOOKUP($A806,'Entry data'!$A:$K,5,FALSE))</f>
        <v/>
      </c>
      <c r="F806" t="str">
        <f>IF(ISBLANK(VLOOKUP($A806,'Entry data'!$A:$K,6,FALSE)),"",VLOOKUP($A806,'Entry data'!$A:$K,6,FALSE))</f>
        <v/>
      </c>
      <c r="G806" t="str">
        <f>IF(ISBLANK(VLOOKUP($A806,'Entry data'!$A:$K,7,FALSE)),"",VLOOKUP($A806,'Entry data'!$A:$K,7,FALSE))</f>
        <v/>
      </c>
      <c r="H806" t="str">
        <f>IF(ISBLANK(VLOOKUP($A806,'Entry data'!$A:$K,8,FALSE)),"",VLOOKUP($A806,'Entry data'!$A:$K,8,FALSE))</f>
        <v/>
      </c>
      <c r="I806" t="str">
        <f>IF(ISBLANK(VLOOKUP($A806,'Entry data'!$A:$K,9,FALSE)),"",VLOOKUP($A806,'Entry data'!$A:$K,9,FALSE))</f>
        <v/>
      </c>
      <c r="J806" t="str">
        <f>IF(ISBLANK(VLOOKUP($A806,'Entry data'!$A:$K,10,FALSE)),"",VLOOKUP($A806,'Entry data'!$A:$K,10,FALSE))</f>
        <v/>
      </c>
      <c r="K806" t="str">
        <f>IF(ISBLANK(VLOOKUP($A806,'Entry data'!$A:$K,11,FALSE)),"",VLOOKUP($A806,'Entry data'!$A:$K,11,FALSE))</f>
        <v/>
      </c>
      <c r="L806">
        <f>IF(OR(EXACT(D806,"C"),EXACT(D806,"P"),EXACT(D806,"D"),EXACT(D806,"T"),EXACT(D806,"X"),EXACT(E806,"DZF"),EXACT(E806,"OZF"),EXACT(D806,"N"),EXACT(D806,"F")),1,0)</f>
        <v>0</v>
      </c>
      <c r="M806" t="str">
        <f t="shared" si="48"/>
        <v/>
      </c>
      <c r="N806">
        <f t="shared" si="49"/>
        <v>0</v>
      </c>
      <c r="O806">
        <f t="shared" si="50"/>
        <v>0</v>
      </c>
      <c r="P806" t="str">
        <f t="shared" si="51"/>
        <v/>
      </c>
    </row>
    <row r="807" spans="1:16" x14ac:dyDescent="0.25">
      <c r="A807">
        <v>306</v>
      </c>
      <c r="B807" t="str">
        <f>IF(ISBLANK(VLOOKUP($A807,'Entry data'!$A:$K,2,FALSE)),"",VLOOKUP($A807,'Entry data'!$A:$K,2,FALSE))</f>
        <v/>
      </c>
      <c r="C807" t="str">
        <f>IF(ISBLANK(VLOOKUP($A807,'Entry data'!$A:$K,3,FALSE)),"",VLOOKUP($A807,'Entry data'!$A:$K,3,FALSE))</f>
        <v/>
      </c>
      <c r="D807" t="str">
        <f>IF(ISBLANK(VLOOKUP($A807,'Entry data'!$A:$K,4,FALSE)),"",VLOOKUP($A807,'Entry data'!$A:$K,4,FALSE))</f>
        <v/>
      </c>
      <c r="E807" t="str">
        <f>IF(ISBLANK(VLOOKUP($A807,'Entry data'!$A:$K,5,FALSE)),"",VLOOKUP($A807,'Entry data'!$A:$K,5,FALSE))</f>
        <v/>
      </c>
      <c r="F807" t="str">
        <f>IF(ISBLANK(VLOOKUP($A807,'Entry data'!$A:$K,6,FALSE)),"",VLOOKUP($A807,'Entry data'!$A:$K,6,FALSE))</f>
        <v/>
      </c>
      <c r="G807" t="str">
        <f>IF(ISBLANK(VLOOKUP($A807,'Entry data'!$A:$K,7,FALSE)),"",VLOOKUP($A807,'Entry data'!$A:$K,7,FALSE))</f>
        <v/>
      </c>
      <c r="H807" t="str">
        <f>IF(ISBLANK(VLOOKUP($A807,'Entry data'!$A:$K,8,FALSE)),"",VLOOKUP($A807,'Entry data'!$A:$K,8,FALSE))</f>
        <v/>
      </c>
      <c r="I807" t="str">
        <f>IF(ISBLANK(VLOOKUP($A807,'Entry data'!$A:$K,9,FALSE)),"",VLOOKUP($A807,'Entry data'!$A:$K,9,FALSE))</f>
        <v/>
      </c>
      <c r="J807" t="str">
        <f>IF(ISBLANK(VLOOKUP($A807,'Entry data'!$A:$K,10,FALSE)),"",VLOOKUP($A807,'Entry data'!$A:$K,10,FALSE))</f>
        <v/>
      </c>
      <c r="K807" t="str">
        <f>IF(ISBLANK(VLOOKUP($A807,'Entry data'!$A:$K,11,FALSE)),"",VLOOKUP($A807,'Entry data'!$A:$K,11,FALSE))</f>
        <v/>
      </c>
      <c r="L807">
        <f>IF(OR(EXACT(D807,"C"),EXACT(D807,"P"),EXACT(D807,"D"),EXACT(D807,"T"),EXACT(D807,"X"),EXACT(E807,"DZF"),EXACT(E807,"OZF"),EXACT(D807,"N"),EXACT(D807,"F")),1,0)</f>
        <v>0</v>
      </c>
      <c r="M807" t="str">
        <f t="shared" si="48"/>
        <v/>
      </c>
      <c r="N807">
        <f t="shared" si="49"/>
        <v>0</v>
      </c>
      <c r="O807">
        <f t="shared" si="50"/>
        <v>0</v>
      </c>
      <c r="P807" t="str">
        <f t="shared" si="51"/>
        <v/>
      </c>
    </row>
    <row r="808" spans="1:16" x14ac:dyDescent="0.25">
      <c r="A808">
        <v>307</v>
      </c>
      <c r="B808" t="str">
        <f>IF(ISBLANK(VLOOKUP($A808,'Entry data'!$A:$K,2,FALSE)),"",VLOOKUP($A808,'Entry data'!$A:$K,2,FALSE))</f>
        <v/>
      </c>
      <c r="C808" t="str">
        <f>IF(ISBLANK(VLOOKUP($A808,'Entry data'!$A:$K,3,FALSE)),"",VLOOKUP($A808,'Entry data'!$A:$K,3,FALSE))</f>
        <v/>
      </c>
      <c r="D808" t="str">
        <f>IF(ISBLANK(VLOOKUP($A808,'Entry data'!$A:$K,4,FALSE)),"",VLOOKUP($A808,'Entry data'!$A:$K,4,FALSE))</f>
        <v/>
      </c>
      <c r="E808" t="str">
        <f>IF(ISBLANK(VLOOKUP($A808,'Entry data'!$A:$K,5,FALSE)),"",VLOOKUP($A808,'Entry data'!$A:$K,5,FALSE))</f>
        <v/>
      </c>
      <c r="F808" t="str">
        <f>IF(ISBLANK(VLOOKUP($A808,'Entry data'!$A:$K,6,FALSE)),"",VLOOKUP($A808,'Entry data'!$A:$K,6,FALSE))</f>
        <v/>
      </c>
      <c r="G808" t="str">
        <f>IF(ISBLANK(VLOOKUP($A808,'Entry data'!$A:$K,7,FALSE)),"",VLOOKUP($A808,'Entry data'!$A:$K,7,FALSE))</f>
        <v/>
      </c>
      <c r="H808" t="str">
        <f>IF(ISBLANK(VLOOKUP($A808,'Entry data'!$A:$K,8,FALSE)),"",VLOOKUP($A808,'Entry data'!$A:$K,8,FALSE))</f>
        <v/>
      </c>
      <c r="I808" t="str">
        <f>IF(ISBLANK(VLOOKUP($A808,'Entry data'!$A:$K,9,FALSE)),"",VLOOKUP($A808,'Entry data'!$A:$K,9,FALSE))</f>
        <v/>
      </c>
      <c r="J808" t="str">
        <f>IF(ISBLANK(VLOOKUP($A808,'Entry data'!$A:$K,10,FALSE)),"",VLOOKUP($A808,'Entry data'!$A:$K,10,FALSE))</f>
        <v/>
      </c>
      <c r="K808" t="str">
        <f>IF(ISBLANK(VLOOKUP($A808,'Entry data'!$A:$K,11,FALSE)),"",VLOOKUP($A808,'Entry data'!$A:$K,11,FALSE))</f>
        <v/>
      </c>
      <c r="L808">
        <f>IF(OR(EXACT(D808,"C"),EXACT(D808,"P"),EXACT(D808,"D"),EXACT(D808,"T"),EXACT(D808,"X"),EXACT(E808,"DZF"),EXACT(E808,"OZF"),EXACT(D808,"N"),EXACT(D808,"F")),1,0)</f>
        <v>0</v>
      </c>
      <c r="M808" t="str">
        <f t="shared" si="48"/>
        <v/>
      </c>
      <c r="N808">
        <f t="shared" si="49"/>
        <v>0</v>
      </c>
      <c r="O808">
        <f t="shared" si="50"/>
        <v>0</v>
      </c>
      <c r="P808" t="str">
        <f t="shared" si="51"/>
        <v/>
      </c>
    </row>
    <row r="809" spans="1:16" x14ac:dyDescent="0.25">
      <c r="A809">
        <v>308</v>
      </c>
      <c r="B809" t="str">
        <f>IF(ISBLANK(VLOOKUP($A809,'Entry data'!$A:$K,2,FALSE)),"",VLOOKUP($A809,'Entry data'!$A:$K,2,FALSE))</f>
        <v/>
      </c>
      <c r="C809" t="str">
        <f>IF(ISBLANK(VLOOKUP($A809,'Entry data'!$A:$K,3,FALSE)),"",VLOOKUP($A809,'Entry data'!$A:$K,3,FALSE))</f>
        <v/>
      </c>
      <c r="D809" t="str">
        <f>IF(ISBLANK(VLOOKUP($A809,'Entry data'!$A:$K,4,FALSE)),"",VLOOKUP($A809,'Entry data'!$A:$K,4,FALSE))</f>
        <v/>
      </c>
      <c r="E809" t="str">
        <f>IF(ISBLANK(VLOOKUP($A809,'Entry data'!$A:$K,5,FALSE)),"",VLOOKUP($A809,'Entry data'!$A:$K,5,FALSE))</f>
        <v/>
      </c>
      <c r="F809" t="str">
        <f>IF(ISBLANK(VLOOKUP($A809,'Entry data'!$A:$K,6,FALSE)),"",VLOOKUP($A809,'Entry data'!$A:$K,6,FALSE))</f>
        <v/>
      </c>
      <c r="G809" t="str">
        <f>IF(ISBLANK(VLOOKUP($A809,'Entry data'!$A:$K,7,FALSE)),"",VLOOKUP($A809,'Entry data'!$A:$K,7,FALSE))</f>
        <v/>
      </c>
      <c r="H809" t="str">
        <f>IF(ISBLANK(VLOOKUP($A809,'Entry data'!$A:$K,8,FALSE)),"",VLOOKUP($A809,'Entry data'!$A:$K,8,FALSE))</f>
        <v/>
      </c>
      <c r="I809" t="str">
        <f>IF(ISBLANK(VLOOKUP($A809,'Entry data'!$A:$K,9,FALSE)),"",VLOOKUP($A809,'Entry data'!$A:$K,9,FALSE))</f>
        <v/>
      </c>
      <c r="J809" t="str">
        <f>IF(ISBLANK(VLOOKUP($A809,'Entry data'!$A:$K,10,FALSE)),"",VLOOKUP($A809,'Entry data'!$A:$K,10,FALSE))</f>
        <v/>
      </c>
      <c r="K809" t="str">
        <f>IF(ISBLANK(VLOOKUP($A809,'Entry data'!$A:$K,11,FALSE)),"",VLOOKUP($A809,'Entry data'!$A:$K,11,FALSE))</f>
        <v/>
      </c>
      <c r="L809">
        <f>IF(OR(EXACT(D809,"C"),EXACT(D809,"P"),EXACT(D809,"D"),EXACT(D809,"T"),EXACT(D809,"X"),EXACT(E809,"DZF"),EXACT(E809,"OZF"),EXACT(D809,"N"),EXACT(D809,"F")),1,0)</f>
        <v>0</v>
      </c>
      <c r="M809" t="str">
        <f t="shared" si="48"/>
        <v/>
      </c>
      <c r="N809">
        <f t="shared" si="49"/>
        <v>0</v>
      </c>
      <c r="O809">
        <f t="shared" si="50"/>
        <v>0</v>
      </c>
      <c r="P809" t="str">
        <f t="shared" si="51"/>
        <v/>
      </c>
    </row>
    <row r="810" spans="1:16" x14ac:dyDescent="0.25">
      <c r="A810">
        <v>309</v>
      </c>
      <c r="B810" t="str">
        <f>IF(ISBLANK(VLOOKUP($A810,'Entry data'!$A:$K,2,FALSE)),"",VLOOKUP($A810,'Entry data'!$A:$K,2,FALSE))</f>
        <v/>
      </c>
      <c r="C810" t="str">
        <f>IF(ISBLANK(VLOOKUP($A810,'Entry data'!$A:$K,3,FALSE)),"",VLOOKUP($A810,'Entry data'!$A:$K,3,FALSE))</f>
        <v/>
      </c>
      <c r="D810" t="str">
        <f>IF(ISBLANK(VLOOKUP($A810,'Entry data'!$A:$K,4,FALSE)),"",VLOOKUP($A810,'Entry data'!$A:$K,4,FALSE))</f>
        <v/>
      </c>
      <c r="E810" t="str">
        <f>IF(ISBLANK(VLOOKUP($A810,'Entry data'!$A:$K,5,FALSE)),"",VLOOKUP($A810,'Entry data'!$A:$K,5,FALSE))</f>
        <v/>
      </c>
      <c r="F810" t="str">
        <f>IF(ISBLANK(VLOOKUP($A810,'Entry data'!$A:$K,6,FALSE)),"",VLOOKUP($A810,'Entry data'!$A:$K,6,FALSE))</f>
        <v/>
      </c>
      <c r="G810" t="str">
        <f>IF(ISBLANK(VLOOKUP($A810,'Entry data'!$A:$K,7,FALSE)),"",VLOOKUP($A810,'Entry data'!$A:$K,7,FALSE))</f>
        <v/>
      </c>
      <c r="H810" t="str">
        <f>IF(ISBLANK(VLOOKUP($A810,'Entry data'!$A:$K,8,FALSE)),"",VLOOKUP($A810,'Entry data'!$A:$K,8,FALSE))</f>
        <v/>
      </c>
      <c r="I810" t="str">
        <f>IF(ISBLANK(VLOOKUP($A810,'Entry data'!$A:$K,9,FALSE)),"",VLOOKUP($A810,'Entry data'!$A:$K,9,FALSE))</f>
        <v/>
      </c>
      <c r="J810" t="str">
        <f>IF(ISBLANK(VLOOKUP($A810,'Entry data'!$A:$K,10,FALSE)),"",VLOOKUP($A810,'Entry data'!$A:$K,10,FALSE))</f>
        <v/>
      </c>
      <c r="K810" t="str">
        <f>IF(ISBLANK(VLOOKUP($A810,'Entry data'!$A:$K,11,FALSE)),"",VLOOKUP($A810,'Entry data'!$A:$K,11,FALSE))</f>
        <v/>
      </c>
      <c r="L810">
        <f>IF(OR(EXACT(D810,"C"),EXACT(D810,"P"),EXACT(D810,"D"),EXACT(D810,"T"),EXACT(D810,"X"),EXACT(E810,"DZF"),EXACT(E810,"OZF"),EXACT(D810,"N"),EXACT(D810,"F")),1,0)</f>
        <v>0</v>
      </c>
      <c r="M810" t="str">
        <f t="shared" si="48"/>
        <v/>
      </c>
      <c r="N810">
        <f t="shared" si="49"/>
        <v>0</v>
      </c>
      <c r="O810">
        <f t="shared" si="50"/>
        <v>0</v>
      </c>
      <c r="P810" t="str">
        <f t="shared" si="51"/>
        <v/>
      </c>
    </row>
    <row r="811" spans="1:16" x14ac:dyDescent="0.25">
      <c r="A811">
        <v>310</v>
      </c>
      <c r="B811" t="str">
        <f>IF(ISBLANK(VLOOKUP($A811,'Entry data'!$A:$K,2,FALSE)),"",VLOOKUP($A811,'Entry data'!$A:$K,2,FALSE))</f>
        <v/>
      </c>
      <c r="C811" t="str">
        <f>IF(ISBLANK(VLOOKUP($A811,'Entry data'!$A:$K,3,FALSE)),"",VLOOKUP($A811,'Entry data'!$A:$K,3,FALSE))</f>
        <v/>
      </c>
      <c r="D811" t="str">
        <f>IF(ISBLANK(VLOOKUP($A811,'Entry data'!$A:$K,4,FALSE)),"",VLOOKUP($A811,'Entry data'!$A:$K,4,FALSE))</f>
        <v/>
      </c>
      <c r="E811" t="str">
        <f>IF(ISBLANK(VLOOKUP($A811,'Entry data'!$A:$K,5,FALSE)),"",VLOOKUP($A811,'Entry data'!$A:$K,5,FALSE))</f>
        <v/>
      </c>
      <c r="F811" t="str">
        <f>IF(ISBLANK(VLOOKUP($A811,'Entry data'!$A:$K,6,FALSE)),"",VLOOKUP($A811,'Entry data'!$A:$K,6,FALSE))</f>
        <v/>
      </c>
      <c r="G811" t="str">
        <f>IF(ISBLANK(VLOOKUP($A811,'Entry data'!$A:$K,7,FALSE)),"",VLOOKUP($A811,'Entry data'!$A:$K,7,FALSE))</f>
        <v/>
      </c>
      <c r="H811" t="str">
        <f>IF(ISBLANK(VLOOKUP($A811,'Entry data'!$A:$K,8,FALSE)),"",VLOOKUP($A811,'Entry data'!$A:$K,8,FALSE))</f>
        <v/>
      </c>
      <c r="I811" t="str">
        <f>IF(ISBLANK(VLOOKUP($A811,'Entry data'!$A:$K,9,FALSE)),"",VLOOKUP($A811,'Entry data'!$A:$K,9,FALSE))</f>
        <v/>
      </c>
      <c r="J811" t="str">
        <f>IF(ISBLANK(VLOOKUP($A811,'Entry data'!$A:$K,10,FALSE)),"",VLOOKUP($A811,'Entry data'!$A:$K,10,FALSE))</f>
        <v/>
      </c>
      <c r="K811" t="str">
        <f>IF(ISBLANK(VLOOKUP($A811,'Entry data'!$A:$K,11,FALSE)),"",VLOOKUP($A811,'Entry data'!$A:$K,11,FALSE))</f>
        <v/>
      </c>
      <c r="L811">
        <f>IF(OR(EXACT(D811,"C"),EXACT(D811,"P"),EXACT(D811,"D"),EXACT(D811,"T"),EXACT(D811,"X"),EXACT(E811,"DZF"),EXACT(E811,"OZF"),EXACT(D811,"N"),EXACT(D811,"F")),1,0)</f>
        <v>0</v>
      </c>
      <c r="M811" t="str">
        <f t="shared" si="48"/>
        <v/>
      </c>
      <c r="N811">
        <f t="shared" si="49"/>
        <v>0</v>
      </c>
      <c r="O811">
        <f t="shared" si="50"/>
        <v>0</v>
      </c>
      <c r="P811" t="str">
        <f t="shared" si="51"/>
        <v/>
      </c>
    </row>
    <row r="812" spans="1:16" x14ac:dyDescent="0.25">
      <c r="A812">
        <v>311</v>
      </c>
      <c r="B812" t="str">
        <f>IF(ISBLANK(VLOOKUP($A812,'Entry data'!$A:$K,2,FALSE)),"",VLOOKUP($A812,'Entry data'!$A:$K,2,FALSE))</f>
        <v/>
      </c>
      <c r="C812" t="str">
        <f>IF(ISBLANK(VLOOKUP($A812,'Entry data'!$A:$K,3,FALSE)),"",VLOOKUP($A812,'Entry data'!$A:$K,3,FALSE))</f>
        <v/>
      </c>
      <c r="D812" t="str">
        <f>IF(ISBLANK(VLOOKUP($A812,'Entry data'!$A:$K,4,FALSE)),"",VLOOKUP($A812,'Entry data'!$A:$K,4,FALSE))</f>
        <v/>
      </c>
      <c r="E812" t="str">
        <f>IF(ISBLANK(VLOOKUP($A812,'Entry data'!$A:$K,5,FALSE)),"",VLOOKUP($A812,'Entry data'!$A:$K,5,FALSE))</f>
        <v/>
      </c>
      <c r="F812" t="str">
        <f>IF(ISBLANK(VLOOKUP($A812,'Entry data'!$A:$K,6,FALSE)),"",VLOOKUP($A812,'Entry data'!$A:$K,6,FALSE))</f>
        <v/>
      </c>
      <c r="G812" t="str">
        <f>IF(ISBLANK(VLOOKUP($A812,'Entry data'!$A:$K,7,FALSE)),"",VLOOKUP($A812,'Entry data'!$A:$K,7,FALSE))</f>
        <v/>
      </c>
      <c r="H812" t="str">
        <f>IF(ISBLANK(VLOOKUP($A812,'Entry data'!$A:$K,8,FALSE)),"",VLOOKUP($A812,'Entry data'!$A:$K,8,FALSE))</f>
        <v/>
      </c>
      <c r="I812" t="str">
        <f>IF(ISBLANK(VLOOKUP($A812,'Entry data'!$A:$K,9,FALSE)),"",VLOOKUP($A812,'Entry data'!$A:$K,9,FALSE))</f>
        <v/>
      </c>
      <c r="J812" t="str">
        <f>IF(ISBLANK(VLOOKUP($A812,'Entry data'!$A:$K,10,FALSE)),"",VLOOKUP($A812,'Entry data'!$A:$K,10,FALSE))</f>
        <v/>
      </c>
      <c r="K812" t="str">
        <f>IF(ISBLANK(VLOOKUP($A812,'Entry data'!$A:$K,11,FALSE)),"",VLOOKUP($A812,'Entry data'!$A:$K,11,FALSE))</f>
        <v/>
      </c>
      <c r="L812">
        <f>IF(OR(EXACT(D812,"C"),EXACT(D812,"P"),EXACT(D812,"D"),EXACT(D812,"T"),EXACT(D812,"X"),EXACT(E812,"DZF"),EXACT(E812,"OZF"),EXACT(D812,"N"),EXACT(D812,"F")),1,0)</f>
        <v>0</v>
      </c>
      <c r="M812" t="str">
        <f t="shared" si="48"/>
        <v/>
      </c>
      <c r="N812">
        <f t="shared" si="49"/>
        <v>0</v>
      </c>
      <c r="O812">
        <f t="shared" si="50"/>
        <v>0</v>
      </c>
      <c r="P812" t="str">
        <f t="shared" si="51"/>
        <v/>
      </c>
    </row>
    <row r="813" spans="1:16" x14ac:dyDescent="0.25">
      <c r="A813">
        <v>312</v>
      </c>
      <c r="B813" t="str">
        <f>IF(ISBLANK(VLOOKUP($A813,'Entry data'!$A:$K,2,FALSE)),"",VLOOKUP($A813,'Entry data'!$A:$K,2,FALSE))</f>
        <v/>
      </c>
      <c r="C813" t="str">
        <f>IF(ISBLANK(VLOOKUP($A813,'Entry data'!$A:$K,3,FALSE)),"",VLOOKUP($A813,'Entry data'!$A:$K,3,FALSE))</f>
        <v/>
      </c>
      <c r="D813" t="str">
        <f>IF(ISBLANK(VLOOKUP($A813,'Entry data'!$A:$K,4,FALSE)),"",VLOOKUP($A813,'Entry data'!$A:$K,4,FALSE))</f>
        <v/>
      </c>
      <c r="E813" t="str">
        <f>IF(ISBLANK(VLOOKUP($A813,'Entry data'!$A:$K,5,FALSE)),"",VLOOKUP($A813,'Entry data'!$A:$K,5,FALSE))</f>
        <v/>
      </c>
      <c r="F813" t="str">
        <f>IF(ISBLANK(VLOOKUP($A813,'Entry data'!$A:$K,6,FALSE)),"",VLOOKUP($A813,'Entry data'!$A:$K,6,FALSE))</f>
        <v/>
      </c>
      <c r="G813" t="str">
        <f>IF(ISBLANK(VLOOKUP($A813,'Entry data'!$A:$K,7,FALSE)),"",VLOOKUP($A813,'Entry data'!$A:$K,7,FALSE))</f>
        <v/>
      </c>
      <c r="H813" t="str">
        <f>IF(ISBLANK(VLOOKUP($A813,'Entry data'!$A:$K,8,FALSE)),"",VLOOKUP($A813,'Entry data'!$A:$K,8,FALSE))</f>
        <v/>
      </c>
      <c r="I813" t="str">
        <f>IF(ISBLANK(VLOOKUP($A813,'Entry data'!$A:$K,9,FALSE)),"",VLOOKUP($A813,'Entry data'!$A:$K,9,FALSE))</f>
        <v/>
      </c>
      <c r="J813" t="str">
        <f>IF(ISBLANK(VLOOKUP($A813,'Entry data'!$A:$K,10,FALSE)),"",VLOOKUP($A813,'Entry data'!$A:$K,10,FALSE))</f>
        <v/>
      </c>
      <c r="K813" t="str">
        <f>IF(ISBLANK(VLOOKUP($A813,'Entry data'!$A:$K,11,FALSE)),"",VLOOKUP($A813,'Entry data'!$A:$K,11,FALSE))</f>
        <v/>
      </c>
      <c r="L813">
        <f>IF(OR(EXACT(D813,"C"),EXACT(D813,"P"),EXACT(D813,"D"),EXACT(D813,"T"),EXACT(D813,"X"),EXACT(E813,"DZF"),EXACT(E813,"OZF"),EXACT(D813,"N"),EXACT(D813,"F")),1,0)</f>
        <v>0</v>
      </c>
      <c r="M813" t="str">
        <f t="shared" si="48"/>
        <v/>
      </c>
      <c r="N813">
        <f t="shared" si="49"/>
        <v>0</v>
      </c>
      <c r="O813">
        <f t="shared" si="50"/>
        <v>0</v>
      </c>
      <c r="P813" t="str">
        <f t="shared" si="51"/>
        <v/>
      </c>
    </row>
    <row r="814" spans="1:16" x14ac:dyDescent="0.25">
      <c r="A814">
        <v>313</v>
      </c>
      <c r="B814" t="str">
        <f>IF(ISBLANK(VLOOKUP($A814,'Entry data'!$A:$K,2,FALSE)),"",VLOOKUP($A814,'Entry data'!$A:$K,2,FALSE))</f>
        <v/>
      </c>
      <c r="C814" t="str">
        <f>IF(ISBLANK(VLOOKUP($A814,'Entry data'!$A:$K,3,FALSE)),"",VLOOKUP($A814,'Entry data'!$A:$K,3,FALSE))</f>
        <v/>
      </c>
      <c r="D814" t="str">
        <f>IF(ISBLANK(VLOOKUP($A814,'Entry data'!$A:$K,4,FALSE)),"",VLOOKUP($A814,'Entry data'!$A:$K,4,FALSE))</f>
        <v/>
      </c>
      <c r="E814" t="str">
        <f>IF(ISBLANK(VLOOKUP($A814,'Entry data'!$A:$K,5,FALSE)),"",VLOOKUP($A814,'Entry data'!$A:$K,5,FALSE))</f>
        <v/>
      </c>
      <c r="F814" t="str">
        <f>IF(ISBLANK(VLOOKUP($A814,'Entry data'!$A:$K,6,FALSE)),"",VLOOKUP($A814,'Entry data'!$A:$K,6,FALSE))</f>
        <v/>
      </c>
      <c r="G814" t="str">
        <f>IF(ISBLANK(VLOOKUP($A814,'Entry data'!$A:$K,7,FALSE)),"",VLOOKUP($A814,'Entry data'!$A:$K,7,FALSE))</f>
        <v/>
      </c>
      <c r="H814" t="str">
        <f>IF(ISBLANK(VLOOKUP($A814,'Entry data'!$A:$K,8,FALSE)),"",VLOOKUP($A814,'Entry data'!$A:$K,8,FALSE))</f>
        <v/>
      </c>
      <c r="I814" t="str">
        <f>IF(ISBLANK(VLOOKUP($A814,'Entry data'!$A:$K,9,FALSE)),"",VLOOKUP($A814,'Entry data'!$A:$K,9,FALSE))</f>
        <v/>
      </c>
      <c r="J814" t="str">
        <f>IF(ISBLANK(VLOOKUP($A814,'Entry data'!$A:$K,10,FALSE)),"",VLOOKUP($A814,'Entry data'!$A:$K,10,FALSE))</f>
        <v/>
      </c>
      <c r="K814" t="str">
        <f>IF(ISBLANK(VLOOKUP($A814,'Entry data'!$A:$K,11,FALSE)),"",VLOOKUP($A814,'Entry data'!$A:$K,11,FALSE))</f>
        <v/>
      </c>
      <c r="L814">
        <f>IF(OR(EXACT(D814,"C"),EXACT(D814,"P"),EXACT(D814,"D"),EXACT(D814,"T"),EXACT(D814,"X"),EXACT(E814,"DZF"),EXACT(E814,"OZF"),EXACT(D814,"N"),EXACT(D814,"F")),1,0)</f>
        <v>0</v>
      </c>
      <c r="M814" t="str">
        <f t="shared" si="48"/>
        <v/>
      </c>
      <c r="N814">
        <f t="shared" si="49"/>
        <v>0</v>
      </c>
      <c r="O814">
        <f t="shared" si="50"/>
        <v>0</v>
      </c>
      <c r="P814" t="str">
        <f t="shared" si="51"/>
        <v/>
      </c>
    </row>
    <row r="815" spans="1:16" x14ac:dyDescent="0.25">
      <c r="A815">
        <v>314</v>
      </c>
      <c r="B815" t="str">
        <f>IF(ISBLANK(VLOOKUP($A815,'Entry data'!$A:$K,2,FALSE)),"",VLOOKUP($A815,'Entry data'!$A:$K,2,FALSE))</f>
        <v/>
      </c>
      <c r="C815" t="str">
        <f>IF(ISBLANK(VLOOKUP($A815,'Entry data'!$A:$K,3,FALSE)),"",VLOOKUP($A815,'Entry data'!$A:$K,3,FALSE))</f>
        <v/>
      </c>
      <c r="D815" t="str">
        <f>IF(ISBLANK(VLOOKUP($A815,'Entry data'!$A:$K,4,FALSE)),"",VLOOKUP($A815,'Entry data'!$A:$K,4,FALSE))</f>
        <v/>
      </c>
      <c r="E815" t="str">
        <f>IF(ISBLANK(VLOOKUP($A815,'Entry data'!$A:$K,5,FALSE)),"",VLOOKUP($A815,'Entry data'!$A:$K,5,FALSE))</f>
        <v/>
      </c>
      <c r="F815" t="str">
        <f>IF(ISBLANK(VLOOKUP($A815,'Entry data'!$A:$K,6,FALSE)),"",VLOOKUP($A815,'Entry data'!$A:$K,6,FALSE))</f>
        <v/>
      </c>
      <c r="G815" t="str">
        <f>IF(ISBLANK(VLOOKUP($A815,'Entry data'!$A:$K,7,FALSE)),"",VLOOKUP($A815,'Entry data'!$A:$K,7,FALSE))</f>
        <v/>
      </c>
      <c r="H815" t="str">
        <f>IF(ISBLANK(VLOOKUP($A815,'Entry data'!$A:$K,8,FALSE)),"",VLOOKUP($A815,'Entry data'!$A:$K,8,FALSE))</f>
        <v/>
      </c>
      <c r="I815" t="str">
        <f>IF(ISBLANK(VLOOKUP($A815,'Entry data'!$A:$K,9,FALSE)),"",VLOOKUP($A815,'Entry data'!$A:$K,9,FALSE))</f>
        <v/>
      </c>
      <c r="J815" t="str">
        <f>IF(ISBLANK(VLOOKUP($A815,'Entry data'!$A:$K,10,FALSE)),"",VLOOKUP($A815,'Entry data'!$A:$K,10,FALSE))</f>
        <v/>
      </c>
      <c r="K815" t="str">
        <f>IF(ISBLANK(VLOOKUP($A815,'Entry data'!$A:$K,11,FALSE)),"",VLOOKUP($A815,'Entry data'!$A:$K,11,FALSE))</f>
        <v/>
      </c>
      <c r="L815">
        <f>IF(OR(EXACT(D815,"C"),EXACT(D815,"P"),EXACT(D815,"D"),EXACT(D815,"T"),EXACT(D815,"X"),EXACT(E815,"DZF"),EXACT(E815,"OZF"),EXACT(D815,"N"),EXACT(D815,"F")),1,0)</f>
        <v>0</v>
      </c>
      <c r="M815" t="str">
        <f t="shared" si="48"/>
        <v/>
      </c>
      <c r="N815">
        <f t="shared" si="49"/>
        <v>0</v>
      </c>
      <c r="O815">
        <f t="shared" si="50"/>
        <v>0</v>
      </c>
      <c r="P815" t="str">
        <f t="shared" si="51"/>
        <v/>
      </c>
    </row>
    <row r="816" spans="1:16" x14ac:dyDescent="0.25">
      <c r="A816">
        <v>315</v>
      </c>
      <c r="B816" t="str">
        <f>IF(ISBLANK(VLOOKUP($A816,'Entry data'!$A:$K,2,FALSE)),"",VLOOKUP($A816,'Entry data'!$A:$K,2,FALSE))</f>
        <v/>
      </c>
      <c r="C816" t="str">
        <f>IF(ISBLANK(VLOOKUP($A816,'Entry data'!$A:$K,3,FALSE)),"",VLOOKUP($A816,'Entry data'!$A:$K,3,FALSE))</f>
        <v/>
      </c>
      <c r="D816" t="str">
        <f>IF(ISBLANK(VLOOKUP($A816,'Entry data'!$A:$K,4,FALSE)),"",VLOOKUP($A816,'Entry data'!$A:$K,4,FALSE))</f>
        <v/>
      </c>
      <c r="E816" t="str">
        <f>IF(ISBLANK(VLOOKUP($A816,'Entry data'!$A:$K,5,FALSE)),"",VLOOKUP($A816,'Entry data'!$A:$K,5,FALSE))</f>
        <v/>
      </c>
      <c r="F816" t="str">
        <f>IF(ISBLANK(VLOOKUP($A816,'Entry data'!$A:$K,6,FALSE)),"",VLOOKUP($A816,'Entry data'!$A:$K,6,FALSE))</f>
        <v/>
      </c>
      <c r="G816" t="str">
        <f>IF(ISBLANK(VLOOKUP($A816,'Entry data'!$A:$K,7,FALSE)),"",VLOOKUP($A816,'Entry data'!$A:$K,7,FALSE))</f>
        <v/>
      </c>
      <c r="H816" t="str">
        <f>IF(ISBLANK(VLOOKUP($A816,'Entry data'!$A:$K,8,FALSE)),"",VLOOKUP($A816,'Entry data'!$A:$K,8,FALSE))</f>
        <v/>
      </c>
      <c r="I816" t="str">
        <f>IF(ISBLANK(VLOOKUP($A816,'Entry data'!$A:$K,9,FALSE)),"",VLOOKUP($A816,'Entry data'!$A:$K,9,FALSE))</f>
        <v/>
      </c>
      <c r="J816" t="str">
        <f>IF(ISBLANK(VLOOKUP($A816,'Entry data'!$A:$K,10,FALSE)),"",VLOOKUP($A816,'Entry data'!$A:$K,10,FALSE))</f>
        <v/>
      </c>
      <c r="K816" t="str">
        <f>IF(ISBLANK(VLOOKUP($A816,'Entry data'!$A:$K,11,FALSE)),"",VLOOKUP($A816,'Entry data'!$A:$K,11,FALSE))</f>
        <v/>
      </c>
      <c r="L816">
        <f>IF(OR(EXACT(D816,"C"),EXACT(D816,"P"),EXACT(D816,"D"),EXACT(D816,"T"),EXACT(D816,"X"),EXACT(E816,"DZF"),EXACT(E816,"OZF"),EXACT(D816,"N"),EXACT(D816,"F")),1,0)</f>
        <v>0</v>
      </c>
      <c r="M816" t="str">
        <f t="shared" si="48"/>
        <v/>
      </c>
      <c r="N816">
        <f t="shared" si="49"/>
        <v>0</v>
      </c>
      <c r="O816">
        <f t="shared" si="50"/>
        <v>0</v>
      </c>
      <c r="P816" t="str">
        <f t="shared" si="51"/>
        <v/>
      </c>
    </row>
    <row r="817" spans="1:16" x14ac:dyDescent="0.25">
      <c r="A817">
        <v>316</v>
      </c>
      <c r="B817" t="str">
        <f>IF(ISBLANK(VLOOKUP($A817,'Entry data'!$A:$K,2,FALSE)),"",VLOOKUP($A817,'Entry data'!$A:$K,2,FALSE))</f>
        <v/>
      </c>
      <c r="C817" t="str">
        <f>IF(ISBLANK(VLOOKUP($A817,'Entry data'!$A:$K,3,FALSE)),"",VLOOKUP($A817,'Entry data'!$A:$K,3,FALSE))</f>
        <v/>
      </c>
      <c r="D817" t="str">
        <f>IF(ISBLANK(VLOOKUP($A817,'Entry data'!$A:$K,4,FALSE)),"",VLOOKUP($A817,'Entry data'!$A:$K,4,FALSE))</f>
        <v/>
      </c>
      <c r="E817" t="str">
        <f>IF(ISBLANK(VLOOKUP($A817,'Entry data'!$A:$K,5,FALSE)),"",VLOOKUP($A817,'Entry data'!$A:$K,5,FALSE))</f>
        <v/>
      </c>
      <c r="F817" t="str">
        <f>IF(ISBLANK(VLOOKUP($A817,'Entry data'!$A:$K,6,FALSE)),"",VLOOKUP($A817,'Entry data'!$A:$K,6,FALSE))</f>
        <v/>
      </c>
      <c r="G817" t="str">
        <f>IF(ISBLANK(VLOOKUP($A817,'Entry data'!$A:$K,7,FALSE)),"",VLOOKUP($A817,'Entry data'!$A:$K,7,FALSE))</f>
        <v/>
      </c>
      <c r="H817" t="str">
        <f>IF(ISBLANK(VLOOKUP($A817,'Entry data'!$A:$K,8,FALSE)),"",VLOOKUP($A817,'Entry data'!$A:$K,8,FALSE))</f>
        <v/>
      </c>
      <c r="I817" t="str">
        <f>IF(ISBLANK(VLOOKUP($A817,'Entry data'!$A:$K,9,FALSE)),"",VLOOKUP($A817,'Entry data'!$A:$K,9,FALSE))</f>
        <v/>
      </c>
      <c r="J817" t="str">
        <f>IF(ISBLANK(VLOOKUP($A817,'Entry data'!$A:$K,10,FALSE)),"",VLOOKUP($A817,'Entry data'!$A:$K,10,FALSE))</f>
        <v/>
      </c>
      <c r="K817" t="str">
        <f>IF(ISBLANK(VLOOKUP($A817,'Entry data'!$A:$K,11,FALSE)),"",VLOOKUP($A817,'Entry data'!$A:$K,11,FALSE))</f>
        <v/>
      </c>
      <c r="L817">
        <f>IF(OR(EXACT(D817,"C"),EXACT(D817,"P"),EXACT(D817,"D"),EXACT(D817,"T"),EXACT(D817,"X"),EXACT(E817,"DZF"),EXACT(E817,"OZF"),EXACT(D817,"N"),EXACT(D817,"F")),1,0)</f>
        <v>0</v>
      </c>
      <c r="M817" t="str">
        <f t="shared" si="48"/>
        <v/>
      </c>
      <c r="N817">
        <f t="shared" si="49"/>
        <v>0</v>
      </c>
      <c r="O817">
        <f t="shared" si="50"/>
        <v>0</v>
      </c>
      <c r="P817" t="str">
        <f t="shared" si="51"/>
        <v/>
      </c>
    </row>
    <row r="818" spans="1:16" x14ac:dyDescent="0.25">
      <c r="A818">
        <v>317</v>
      </c>
      <c r="B818" t="str">
        <f>IF(ISBLANK(VLOOKUP($A818,'Entry data'!$A:$K,2,FALSE)),"",VLOOKUP($A818,'Entry data'!$A:$K,2,FALSE))</f>
        <v/>
      </c>
      <c r="C818" t="str">
        <f>IF(ISBLANK(VLOOKUP($A818,'Entry data'!$A:$K,3,FALSE)),"",VLOOKUP($A818,'Entry data'!$A:$K,3,FALSE))</f>
        <v/>
      </c>
      <c r="D818" t="str">
        <f>IF(ISBLANK(VLOOKUP($A818,'Entry data'!$A:$K,4,FALSE)),"",VLOOKUP($A818,'Entry data'!$A:$K,4,FALSE))</f>
        <v/>
      </c>
      <c r="E818" t="str">
        <f>IF(ISBLANK(VLOOKUP($A818,'Entry data'!$A:$K,5,FALSE)),"",VLOOKUP($A818,'Entry data'!$A:$K,5,FALSE))</f>
        <v/>
      </c>
      <c r="F818" t="str">
        <f>IF(ISBLANK(VLOOKUP($A818,'Entry data'!$A:$K,6,FALSE)),"",VLOOKUP($A818,'Entry data'!$A:$K,6,FALSE))</f>
        <v/>
      </c>
      <c r="G818" t="str">
        <f>IF(ISBLANK(VLOOKUP($A818,'Entry data'!$A:$K,7,FALSE)),"",VLOOKUP($A818,'Entry data'!$A:$K,7,FALSE))</f>
        <v/>
      </c>
      <c r="H818" t="str">
        <f>IF(ISBLANK(VLOOKUP($A818,'Entry data'!$A:$K,8,FALSE)),"",VLOOKUP($A818,'Entry data'!$A:$K,8,FALSE))</f>
        <v/>
      </c>
      <c r="I818" t="str">
        <f>IF(ISBLANK(VLOOKUP($A818,'Entry data'!$A:$K,9,FALSE)),"",VLOOKUP($A818,'Entry data'!$A:$K,9,FALSE))</f>
        <v/>
      </c>
      <c r="J818" t="str">
        <f>IF(ISBLANK(VLOOKUP($A818,'Entry data'!$A:$K,10,FALSE)),"",VLOOKUP($A818,'Entry data'!$A:$K,10,FALSE))</f>
        <v/>
      </c>
      <c r="K818" t="str">
        <f>IF(ISBLANK(VLOOKUP($A818,'Entry data'!$A:$K,11,FALSE)),"",VLOOKUP($A818,'Entry data'!$A:$K,11,FALSE))</f>
        <v/>
      </c>
      <c r="L818">
        <f>IF(OR(EXACT(D818,"C"),EXACT(D818,"P"),EXACT(D818,"D"),EXACT(D818,"T"),EXACT(D818,"X"),EXACT(E818,"DZF"),EXACT(E818,"OZF"),EXACT(D818,"N"),EXACT(D818,"F")),1,0)</f>
        <v>0</v>
      </c>
      <c r="M818" t="str">
        <f t="shared" si="48"/>
        <v/>
      </c>
      <c r="N818">
        <f t="shared" si="49"/>
        <v>0</v>
      </c>
      <c r="O818">
        <f t="shared" si="50"/>
        <v>0</v>
      </c>
      <c r="P818" t="str">
        <f t="shared" si="51"/>
        <v/>
      </c>
    </row>
    <row r="819" spans="1:16" x14ac:dyDescent="0.25">
      <c r="A819">
        <v>318</v>
      </c>
      <c r="B819" t="str">
        <f>IF(ISBLANK(VLOOKUP($A819,'Entry data'!$A:$K,2,FALSE)),"",VLOOKUP($A819,'Entry data'!$A:$K,2,FALSE))</f>
        <v/>
      </c>
      <c r="C819" t="str">
        <f>IF(ISBLANK(VLOOKUP($A819,'Entry data'!$A:$K,3,FALSE)),"",VLOOKUP($A819,'Entry data'!$A:$K,3,FALSE))</f>
        <v/>
      </c>
      <c r="D819" t="str">
        <f>IF(ISBLANK(VLOOKUP($A819,'Entry data'!$A:$K,4,FALSE)),"",VLOOKUP($A819,'Entry data'!$A:$K,4,FALSE))</f>
        <v/>
      </c>
      <c r="E819" t="str">
        <f>IF(ISBLANK(VLOOKUP($A819,'Entry data'!$A:$K,5,FALSE)),"",VLOOKUP($A819,'Entry data'!$A:$K,5,FALSE))</f>
        <v/>
      </c>
      <c r="F819" t="str">
        <f>IF(ISBLANK(VLOOKUP($A819,'Entry data'!$A:$K,6,FALSE)),"",VLOOKUP($A819,'Entry data'!$A:$K,6,FALSE))</f>
        <v/>
      </c>
      <c r="G819" t="str">
        <f>IF(ISBLANK(VLOOKUP($A819,'Entry data'!$A:$K,7,FALSE)),"",VLOOKUP($A819,'Entry data'!$A:$K,7,FALSE))</f>
        <v/>
      </c>
      <c r="H819" t="str">
        <f>IF(ISBLANK(VLOOKUP($A819,'Entry data'!$A:$K,8,FALSE)),"",VLOOKUP($A819,'Entry data'!$A:$K,8,FALSE))</f>
        <v/>
      </c>
      <c r="I819" t="str">
        <f>IF(ISBLANK(VLOOKUP($A819,'Entry data'!$A:$K,9,FALSE)),"",VLOOKUP($A819,'Entry data'!$A:$K,9,FALSE))</f>
        <v/>
      </c>
      <c r="J819" t="str">
        <f>IF(ISBLANK(VLOOKUP($A819,'Entry data'!$A:$K,10,FALSE)),"",VLOOKUP($A819,'Entry data'!$A:$K,10,FALSE))</f>
        <v/>
      </c>
      <c r="K819" t="str">
        <f>IF(ISBLANK(VLOOKUP($A819,'Entry data'!$A:$K,11,FALSE)),"",VLOOKUP($A819,'Entry data'!$A:$K,11,FALSE))</f>
        <v/>
      </c>
      <c r="L819">
        <f>IF(OR(EXACT(D819,"C"),EXACT(D819,"P"),EXACT(D819,"D"),EXACT(D819,"T"),EXACT(D819,"X"),EXACT(E819,"DZF"),EXACT(E819,"OZF"),EXACT(D819,"N"),EXACT(D819,"F")),1,0)</f>
        <v>0</v>
      </c>
      <c r="M819" t="str">
        <f t="shared" si="48"/>
        <v/>
      </c>
      <c r="N819">
        <f t="shared" si="49"/>
        <v>0</v>
      </c>
      <c r="O819">
        <f t="shared" si="50"/>
        <v>0</v>
      </c>
      <c r="P819" t="str">
        <f t="shared" si="51"/>
        <v/>
      </c>
    </row>
    <row r="820" spans="1:16" x14ac:dyDescent="0.25">
      <c r="A820">
        <v>319</v>
      </c>
      <c r="B820" t="str">
        <f>IF(ISBLANK(VLOOKUP($A820,'Entry data'!$A:$K,2,FALSE)),"",VLOOKUP($A820,'Entry data'!$A:$K,2,FALSE))</f>
        <v/>
      </c>
      <c r="C820" t="str">
        <f>IF(ISBLANK(VLOOKUP($A820,'Entry data'!$A:$K,3,FALSE)),"",VLOOKUP($A820,'Entry data'!$A:$K,3,FALSE))</f>
        <v/>
      </c>
      <c r="D820" t="str">
        <f>IF(ISBLANK(VLOOKUP($A820,'Entry data'!$A:$K,4,FALSE)),"",VLOOKUP($A820,'Entry data'!$A:$K,4,FALSE))</f>
        <v/>
      </c>
      <c r="E820" t="str">
        <f>IF(ISBLANK(VLOOKUP($A820,'Entry data'!$A:$K,5,FALSE)),"",VLOOKUP($A820,'Entry data'!$A:$K,5,FALSE))</f>
        <v/>
      </c>
      <c r="F820" t="str">
        <f>IF(ISBLANK(VLOOKUP($A820,'Entry data'!$A:$K,6,FALSE)),"",VLOOKUP($A820,'Entry data'!$A:$K,6,FALSE))</f>
        <v/>
      </c>
      <c r="G820" t="str">
        <f>IF(ISBLANK(VLOOKUP($A820,'Entry data'!$A:$K,7,FALSE)),"",VLOOKUP($A820,'Entry data'!$A:$K,7,FALSE))</f>
        <v/>
      </c>
      <c r="H820" t="str">
        <f>IF(ISBLANK(VLOOKUP($A820,'Entry data'!$A:$K,8,FALSE)),"",VLOOKUP($A820,'Entry data'!$A:$K,8,FALSE))</f>
        <v/>
      </c>
      <c r="I820" t="str">
        <f>IF(ISBLANK(VLOOKUP($A820,'Entry data'!$A:$K,9,FALSE)),"",VLOOKUP($A820,'Entry data'!$A:$K,9,FALSE))</f>
        <v/>
      </c>
      <c r="J820" t="str">
        <f>IF(ISBLANK(VLOOKUP($A820,'Entry data'!$A:$K,10,FALSE)),"",VLOOKUP($A820,'Entry data'!$A:$K,10,FALSE))</f>
        <v/>
      </c>
      <c r="K820" t="str">
        <f>IF(ISBLANK(VLOOKUP($A820,'Entry data'!$A:$K,11,FALSE)),"",VLOOKUP($A820,'Entry data'!$A:$K,11,FALSE))</f>
        <v/>
      </c>
      <c r="L820">
        <f>IF(OR(EXACT(D820,"C"),EXACT(D820,"P"),EXACT(D820,"D"),EXACT(D820,"T"),EXACT(D820,"X"),EXACT(E820,"DZF"),EXACT(E820,"OZF"),EXACT(D820,"N"),EXACT(D820,"F")),1,0)</f>
        <v>0</v>
      </c>
      <c r="M820" t="str">
        <f t="shared" si="48"/>
        <v/>
      </c>
      <c r="N820">
        <f t="shared" si="49"/>
        <v>0</v>
      </c>
      <c r="O820">
        <f t="shared" si="50"/>
        <v>0</v>
      </c>
      <c r="P820" t="str">
        <f t="shared" si="51"/>
        <v/>
      </c>
    </row>
    <row r="821" spans="1:16" x14ac:dyDescent="0.25">
      <c r="A821">
        <v>320</v>
      </c>
      <c r="B821" t="str">
        <f>IF(ISBLANK(VLOOKUP($A821,'Entry data'!$A:$K,2,FALSE)),"",VLOOKUP($A821,'Entry data'!$A:$K,2,FALSE))</f>
        <v/>
      </c>
      <c r="C821" t="str">
        <f>IF(ISBLANK(VLOOKUP($A821,'Entry data'!$A:$K,3,FALSE)),"",VLOOKUP($A821,'Entry data'!$A:$K,3,FALSE))</f>
        <v/>
      </c>
      <c r="D821" t="str">
        <f>IF(ISBLANK(VLOOKUP($A821,'Entry data'!$A:$K,4,FALSE)),"",VLOOKUP($A821,'Entry data'!$A:$K,4,FALSE))</f>
        <v/>
      </c>
      <c r="E821" t="str">
        <f>IF(ISBLANK(VLOOKUP($A821,'Entry data'!$A:$K,5,FALSE)),"",VLOOKUP($A821,'Entry data'!$A:$K,5,FALSE))</f>
        <v/>
      </c>
      <c r="F821" t="str">
        <f>IF(ISBLANK(VLOOKUP($A821,'Entry data'!$A:$K,6,FALSE)),"",VLOOKUP($A821,'Entry data'!$A:$K,6,FALSE))</f>
        <v/>
      </c>
      <c r="G821" t="str">
        <f>IF(ISBLANK(VLOOKUP($A821,'Entry data'!$A:$K,7,FALSE)),"",VLOOKUP($A821,'Entry data'!$A:$K,7,FALSE))</f>
        <v/>
      </c>
      <c r="H821" t="str">
        <f>IF(ISBLANK(VLOOKUP($A821,'Entry data'!$A:$K,8,FALSE)),"",VLOOKUP($A821,'Entry data'!$A:$K,8,FALSE))</f>
        <v/>
      </c>
      <c r="I821" t="str">
        <f>IF(ISBLANK(VLOOKUP($A821,'Entry data'!$A:$K,9,FALSE)),"",VLOOKUP($A821,'Entry data'!$A:$K,9,FALSE))</f>
        <v/>
      </c>
      <c r="J821" t="str">
        <f>IF(ISBLANK(VLOOKUP($A821,'Entry data'!$A:$K,10,FALSE)),"",VLOOKUP($A821,'Entry data'!$A:$K,10,FALSE))</f>
        <v/>
      </c>
      <c r="K821" t="str">
        <f>IF(ISBLANK(VLOOKUP($A821,'Entry data'!$A:$K,11,FALSE)),"",VLOOKUP($A821,'Entry data'!$A:$K,11,FALSE))</f>
        <v/>
      </c>
      <c r="L821">
        <f>IF(OR(EXACT(D821,"C"),EXACT(D821,"P"),EXACT(D821,"D"),EXACT(D821,"T"),EXACT(D821,"X"),EXACT(E821,"DZF"),EXACT(E821,"OZF"),EXACT(D821,"N"),EXACT(D821,"F")),1,0)</f>
        <v>0</v>
      </c>
      <c r="M821" t="str">
        <f t="shared" si="48"/>
        <v/>
      </c>
      <c r="N821">
        <f t="shared" si="49"/>
        <v>0</v>
      </c>
      <c r="O821">
        <f t="shared" si="50"/>
        <v>0</v>
      </c>
      <c r="P821" t="str">
        <f t="shared" si="51"/>
        <v/>
      </c>
    </row>
    <row r="822" spans="1:16" x14ac:dyDescent="0.25">
      <c r="A822">
        <v>321</v>
      </c>
      <c r="B822" t="str">
        <f>IF(ISBLANK(VLOOKUP($A822,'Entry data'!$A:$K,2,FALSE)),"",VLOOKUP($A822,'Entry data'!$A:$K,2,FALSE))</f>
        <v/>
      </c>
      <c r="C822" t="str">
        <f>IF(ISBLANK(VLOOKUP($A822,'Entry data'!$A:$K,3,FALSE)),"",VLOOKUP($A822,'Entry data'!$A:$K,3,FALSE))</f>
        <v/>
      </c>
      <c r="D822" t="str">
        <f>IF(ISBLANK(VLOOKUP($A822,'Entry data'!$A:$K,4,FALSE)),"",VLOOKUP($A822,'Entry data'!$A:$K,4,FALSE))</f>
        <v/>
      </c>
      <c r="E822" t="str">
        <f>IF(ISBLANK(VLOOKUP($A822,'Entry data'!$A:$K,5,FALSE)),"",VLOOKUP($A822,'Entry data'!$A:$K,5,FALSE))</f>
        <v/>
      </c>
      <c r="F822" t="str">
        <f>IF(ISBLANK(VLOOKUP($A822,'Entry data'!$A:$K,6,FALSE)),"",VLOOKUP($A822,'Entry data'!$A:$K,6,FALSE))</f>
        <v/>
      </c>
      <c r="G822" t="str">
        <f>IF(ISBLANK(VLOOKUP($A822,'Entry data'!$A:$K,7,FALSE)),"",VLOOKUP($A822,'Entry data'!$A:$K,7,FALSE))</f>
        <v/>
      </c>
      <c r="H822" t="str">
        <f>IF(ISBLANK(VLOOKUP($A822,'Entry data'!$A:$K,8,FALSE)),"",VLOOKUP($A822,'Entry data'!$A:$K,8,FALSE))</f>
        <v/>
      </c>
      <c r="I822" t="str">
        <f>IF(ISBLANK(VLOOKUP($A822,'Entry data'!$A:$K,9,FALSE)),"",VLOOKUP($A822,'Entry data'!$A:$K,9,FALSE))</f>
        <v/>
      </c>
      <c r="J822" t="str">
        <f>IF(ISBLANK(VLOOKUP($A822,'Entry data'!$A:$K,10,FALSE)),"",VLOOKUP($A822,'Entry data'!$A:$K,10,FALSE))</f>
        <v/>
      </c>
      <c r="K822" t="str">
        <f>IF(ISBLANK(VLOOKUP($A822,'Entry data'!$A:$K,11,FALSE)),"",VLOOKUP($A822,'Entry data'!$A:$K,11,FALSE))</f>
        <v/>
      </c>
      <c r="L822">
        <f>IF(OR(EXACT(D822,"C"),EXACT(D822,"P"),EXACT(D822,"D"),EXACT(D822,"T"),EXACT(D822,"X"),EXACT(E822,"DZF"),EXACT(E822,"OZF"),EXACT(D822,"N"),EXACT(D822,"F")),1,0)</f>
        <v>0</v>
      </c>
      <c r="M822" t="str">
        <f t="shared" si="48"/>
        <v/>
      </c>
      <c r="N822">
        <f t="shared" si="49"/>
        <v>0</v>
      </c>
      <c r="O822">
        <f t="shared" si="50"/>
        <v>0</v>
      </c>
      <c r="P822" t="str">
        <f t="shared" si="51"/>
        <v/>
      </c>
    </row>
    <row r="823" spans="1:16" x14ac:dyDescent="0.25">
      <c r="A823">
        <v>322</v>
      </c>
      <c r="B823" t="str">
        <f>IF(ISBLANK(VLOOKUP($A823,'Entry data'!$A:$K,2,FALSE)),"",VLOOKUP($A823,'Entry data'!$A:$K,2,FALSE))</f>
        <v/>
      </c>
      <c r="C823" t="str">
        <f>IF(ISBLANK(VLOOKUP($A823,'Entry data'!$A:$K,3,FALSE)),"",VLOOKUP($A823,'Entry data'!$A:$K,3,FALSE))</f>
        <v/>
      </c>
      <c r="D823" t="str">
        <f>IF(ISBLANK(VLOOKUP($A823,'Entry data'!$A:$K,4,FALSE)),"",VLOOKUP($A823,'Entry data'!$A:$K,4,FALSE))</f>
        <v/>
      </c>
      <c r="E823" t="str">
        <f>IF(ISBLANK(VLOOKUP($A823,'Entry data'!$A:$K,5,FALSE)),"",VLOOKUP($A823,'Entry data'!$A:$K,5,FALSE))</f>
        <v/>
      </c>
      <c r="F823" t="str">
        <f>IF(ISBLANK(VLOOKUP($A823,'Entry data'!$A:$K,6,FALSE)),"",VLOOKUP($A823,'Entry data'!$A:$K,6,FALSE))</f>
        <v/>
      </c>
      <c r="G823" t="str">
        <f>IF(ISBLANK(VLOOKUP($A823,'Entry data'!$A:$K,7,FALSE)),"",VLOOKUP($A823,'Entry data'!$A:$K,7,FALSE))</f>
        <v/>
      </c>
      <c r="H823" t="str">
        <f>IF(ISBLANK(VLOOKUP($A823,'Entry data'!$A:$K,8,FALSE)),"",VLOOKUP($A823,'Entry data'!$A:$K,8,FALSE))</f>
        <v/>
      </c>
      <c r="I823" t="str">
        <f>IF(ISBLANK(VLOOKUP($A823,'Entry data'!$A:$K,9,FALSE)),"",VLOOKUP($A823,'Entry data'!$A:$K,9,FALSE))</f>
        <v/>
      </c>
      <c r="J823" t="str">
        <f>IF(ISBLANK(VLOOKUP($A823,'Entry data'!$A:$K,10,FALSE)),"",VLOOKUP($A823,'Entry data'!$A:$K,10,FALSE))</f>
        <v/>
      </c>
      <c r="K823" t="str">
        <f>IF(ISBLANK(VLOOKUP($A823,'Entry data'!$A:$K,11,FALSE)),"",VLOOKUP($A823,'Entry data'!$A:$K,11,FALSE))</f>
        <v/>
      </c>
      <c r="L823">
        <f>IF(OR(EXACT(D823,"C"),EXACT(D823,"P"),EXACT(D823,"D"),EXACT(D823,"T"),EXACT(D823,"X"),EXACT(E823,"DZF"),EXACT(E823,"OZF"),EXACT(D823,"N"),EXACT(D823,"F")),1,0)</f>
        <v>0</v>
      </c>
      <c r="M823" t="str">
        <f t="shared" si="48"/>
        <v/>
      </c>
      <c r="N823">
        <f t="shared" si="49"/>
        <v>0</v>
      </c>
      <c r="O823">
        <f t="shared" si="50"/>
        <v>0</v>
      </c>
      <c r="P823" t="str">
        <f t="shared" si="51"/>
        <v/>
      </c>
    </row>
    <row r="824" spans="1:16" x14ac:dyDescent="0.25">
      <c r="A824">
        <v>323</v>
      </c>
      <c r="B824" t="str">
        <f>IF(ISBLANK(VLOOKUP($A824,'Entry data'!$A:$K,2,FALSE)),"",VLOOKUP($A824,'Entry data'!$A:$K,2,FALSE))</f>
        <v/>
      </c>
      <c r="C824" t="str">
        <f>IF(ISBLANK(VLOOKUP($A824,'Entry data'!$A:$K,3,FALSE)),"",VLOOKUP($A824,'Entry data'!$A:$K,3,FALSE))</f>
        <v/>
      </c>
      <c r="D824" t="str">
        <f>IF(ISBLANK(VLOOKUP($A824,'Entry data'!$A:$K,4,FALSE)),"",VLOOKUP($A824,'Entry data'!$A:$K,4,FALSE))</f>
        <v/>
      </c>
      <c r="E824" t="str">
        <f>IF(ISBLANK(VLOOKUP($A824,'Entry data'!$A:$K,5,FALSE)),"",VLOOKUP($A824,'Entry data'!$A:$K,5,FALSE))</f>
        <v/>
      </c>
      <c r="F824" t="str">
        <f>IF(ISBLANK(VLOOKUP($A824,'Entry data'!$A:$K,6,FALSE)),"",VLOOKUP($A824,'Entry data'!$A:$K,6,FALSE))</f>
        <v/>
      </c>
      <c r="G824" t="str">
        <f>IF(ISBLANK(VLOOKUP($A824,'Entry data'!$A:$K,7,FALSE)),"",VLOOKUP($A824,'Entry data'!$A:$K,7,FALSE))</f>
        <v/>
      </c>
      <c r="H824" t="str">
        <f>IF(ISBLANK(VLOOKUP($A824,'Entry data'!$A:$K,8,FALSE)),"",VLOOKUP($A824,'Entry data'!$A:$K,8,FALSE))</f>
        <v/>
      </c>
      <c r="I824" t="str">
        <f>IF(ISBLANK(VLOOKUP($A824,'Entry data'!$A:$K,9,FALSE)),"",VLOOKUP($A824,'Entry data'!$A:$K,9,FALSE))</f>
        <v/>
      </c>
      <c r="J824" t="str">
        <f>IF(ISBLANK(VLOOKUP($A824,'Entry data'!$A:$K,10,FALSE)),"",VLOOKUP($A824,'Entry data'!$A:$K,10,FALSE))</f>
        <v/>
      </c>
      <c r="K824" t="str">
        <f>IF(ISBLANK(VLOOKUP($A824,'Entry data'!$A:$K,11,FALSE)),"",VLOOKUP($A824,'Entry data'!$A:$K,11,FALSE))</f>
        <v/>
      </c>
      <c r="L824">
        <f>IF(OR(EXACT(D824,"C"),EXACT(D824,"P"),EXACT(D824,"D"),EXACT(D824,"T"),EXACT(D824,"X"),EXACT(E824,"DZF"),EXACT(E824,"OZF"),EXACT(D824,"N"),EXACT(D824,"F")),1,0)</f>
        <v>0</v>
      </c>
      <c r="M824" t="str">
        <f t="shared" si="48"/>
        <v/>
      </c>
      <c r="N824">
        <f t="shared" si="49"/>
        <v>0</v>
      </c>
      <c r="O824">
        <f t="shared" si="50"/>
        <v>0</v>
      </c>
      <c r="P824" t="str">
        <f t="shared" si="51"/>
        <v/>
      </c>
    </row>
    <row r="825" spans="1:16" x14ac:dyDescent="0.25">
      <c r="A825">
        <v>324</v>
      </c>
      <c r="B825" t="str">
        <f>IF(ISBLANK(VLOOKUP($A825,'Entry data'!$A:$K,2,FALSE)),"",VLOOKUP($A825,'Entry data'!$A:$K,2,FALSE))</f>
        <v/>
      </c>
      <c r="C825" t="str">
        <f>IF(ISBLANK(VLOOKUP($A825,'Entry data'!$A:$K,3,FALSE)),"",VLOOKUP($A825,'Entry data'!$A:$K,3,FALSE))</f>
        <v/>
      </c>
      <c r="D825" t="str">
        <f>IF(ISBLANK(VLOOKUP($A825,'Entry data'!$A:$K,4,FALSE)),"",VLOOKUP($A825,'Entry data'!$A:$K,4,FALSE))</f>
        <v/>
      </c>
      <c r="E825" t="str">
        <f>IF(ISBLANK(VLOOKUP($A825,'Entry data'!$A:$K,5,FALSE)),"",VLOOKUP($A825,'Entry data'!$A:$K,5,FALSE))</f>
        <v/>
      </c>
      <c r="F825" t="str">
        <f>IF(ISBLANK(VLOOKUP($A825,'Entry data'!$A:$K,6,FALSE)),"",VLOOKUP($A825,'Entry data'!$A:$K,6,FALSE))</f>
        <v/>
      </c>
      <c r="G825" t="str">
        <f>IF(ISBLANK(VLOOKUP($A825,'Entry data'!$A:$K,7,FALSE)),"",VLOOKUP($A825,'Entry data'!$A:$K,7,FALSE))</f>
        <v/>
      </c>
      <c r="H825" t="str">
        <f>IF(ISBLANK(VLOOKUP($A825,'Entry data'!$A:$K,8,FALSE)),"",VLOOKUP($A825,'Entry data'!$A:$K,8,FALSE))</f>
        <v/>
      </c>
      <c r="I825" t="str">
        <f>IF(ISBLANK(VLOOKUP($A825,'Entry data'!$A:$K,9,FALSE)),"",VLOOKUP($A825,'Entry data'!$A:$K,9,FALSE))</f>
        <v/>
      </c>
      <c r="J825" t="str">
        <f>IF(ISBLANK(VLOOKUP($A825,'Entry data'!$A:$K,10,FALSE)),"",VLOOKUP($A825,'Entry data'!$A:$K,10,FALSE))</f>
        <v/>
      </c>
      <c r="K825" t="str">
        <f>IF(ISBLANK(VLOOKUP($A825,'Entry data'!$A:$K,11,FALSE)),"",VLOOKUP($A825,'Entry data'!$A:$K,11,FALSE))</f>
        <v/>
      </c>
      <c r="L825">
        <f>IF(OR(EXACT(D825,"C"),EXACT(D825,"P"),EXACT(D825,"D"),EXACT(D825,"T"),EXACT(D825,"X"),EXACT(E825,"DZF"),EXACT(E825,"OZF"),EXACT(D825,"N"),EXACT(D825,"F")),1,0)</f>
        <v>0</v>
      </c>
      <c r="M825" t="str">
        <f t="shared" si="48"/>
        <v/>
      </c>
      <c r="N825">
        <f t="shared" si="49"/>
        <v>0</v>
      </c>
      <c r="O825">
        <f t="shared" si="50"/>
        <v>0</v>
      </c>
      <c r="P825" t="str">
        <f t="shared" si="51"/>
        <v/>
      </c>
    </row>
    <row r="826" spans="1:16" x14ac:dyDescent="0.25">
      <c r="A826">
        <v>325</v>
      </c>
      <c r="B826" t="str">
        <f>IF(ISBLANK(VLOOKUP($A826,'Entry data'!$A:$K,2,FALSE)),"",VLOOKUP($A826,'Entry data'!$A:$K,2,FALSE))</f>
        <v/>
      </c>
      <c r="C826" t="str">
        <f>IF(ISBLANK(VLOOKUP($A826,'Entry data'!$A:$K,3,FALSE)),"",VLOOKUP($A826,'Entry data'!$A:$K,3,FALSE))</f>
        <v/>
      </c>
      <c r="D826" t="str">
        <f>IF(ISBLANK(VLOOKUP($A826,'Entry data'!$A:$K,4,FALSE)),"",VLOOKUP($A826,'Entry data'!$A:$K,4,FALSE))</f>
        <v/>
      </c>
      <c r="E826" t="str">
        <f>IF(ISBLANK(VLOOKUP($A826,'Entry data'!$A:$K,5,FALSE)),"",VLOOKUP($A826,'Entry data'!$A:$K,5,FALSE))</f>
        <v/>
      </c>
      <c r="F826" t="str">
        <f>IF(ISBLANK(VLOOKUP($A826,'Entry data'!$A:$K,6,FALSE)),"",VLOOKUP($A826,'Entry data'!$A:$K,6,FALSE))</f>
        <v/>
      </c>
      <c r="G826" t="str">
        <f>IF(ISBLANK(VLOOKUP($A826,'Entry data'!$A:$K,7,FALSE)),"",VLOOKUP($A826,'Entry data'!$A:$K,7,FALSE))</f>
        <v/>
      </c>
      <c r="H826" t="str">
        <f>IF(ISBLANK(VLOOKUP($A826,'Entry data'!$A:$K,8,FALSE)),"",VLOOKUP($A826,'Entry data'!$A:$K,8,FALSE))</f>
        <v/>
      </c>
      <c r="I826" t="str">
        <f>IF(ISBLANK(VLOOKUP($A826,'Entry data'!$A:$K,9,FALSE)),"",VLOOKUP($A826,'Entry data'!$A:$K,9,FALSE))</f>
        <v/>
      </c>
      <c r="J826" t="str">
        <f>IF(ISBLANK(VLOOKUP($A826,'Entry data'!$A:$K,10,FALSE)),"",VLOOKUP($A826,'Entry data'!$A:$K,10,FALSE))</f>
        <v/>
      </c>
      <c r="K826" t="str">
        <f>IF(ISBLANK(VLOOKUP($A826,'Entry data'!$A:$K,11,FALSE)),"",VLOOKUP($A826,'Entry data'!$A:$K,11,FALSE))</f>
        <v/>
      </c>
      <c r="L826">
        <f>IF(OR(EXACT(D826,"C"),EXACT(D826,"P"),EXACT(D826,"D"),EXACT(D826,"T"),EXACT(D826,"X"),EXACT(E826,"DZF"),EXACT(E826,"OZF"),EXACT(D826,"N"),EXACT(D826,"F")),1,0)</f>
        <v>0</v>
      </c>
      <c r="M826" t="str">
        <f t="shared" si="48"/>
        <v/>
      </c>
      <c r="N826">
        <f t="shared" si="49"/>
        <v>0</v>
      </c>
      <c r="O826">
        <f t="shared" si="50"/>
        <v>0</v>
      </c>
      <c r="P826" t="str">
        <f t="shared" si="51"/>
        <v/>
      </c>
    </row>
    <row r="827" spans="1:16" x14ac:dyDescent="0.25">
      <c r="A827">
        <v>326</v>
      </c>
      <c r="B827" t="str">
        <f>IF(ISBLANK(VLOOKUP($A827,'Entry data'!$A:$K,2,FALSE)),"",VLOOKUP($A827,'Entry data'!$A:$K,2,FALSE))</f>
        <v/>
      </c>
      <c r="C827" t="str">
        <f>IF(ISBLANK(VLOOKUP($A827,'Entry data'!$A:$K,3,FALSE)),"",VLOOKUP($A827,'Entry data'!$A:$K,3,FALSE))</f>
        <v/>
      </c>
      <c r="D827" t="str">
        <f>IF(ISBLANK(VLOOKUP($A827,'Entry data'!$A:$K,4,FALSE)),"",VLOOKUP($A827,'Entry data'!$A:$K,4,FALSE))</f>
        <v/>
      </c>
      <c r="E827" t="str">
        <f>IF(ISBLANK(VLOOKUP($A827,'Entry data'!$A:$K,5,FALSE)),"",VLOOKUP($A827,'Entry data'!$A:$K,5,FALSE))</f>
        <v/>
      </c>
      <c r="F827" t="str">
        <f>IF(ISBLANK(VLOOKUP($A827,'Entry data'!$A:$K,6,FALSE)),"",VLOOKUP($A827,'Entry data'!$A:$K,6,FALSE))</f>
        <v/>
      </c>
      <c r="G827" t="str">
        <f>IF(ISBLANK(VLOOKUP($A827,'Entry data'!$A:$K,7,FALSE)),"",VLOOKUP($A827,'Entry data'!$A:$K,7,FALSE))</f>
        <v/>
      </c>
      <c r="H827" t="str">
        <f>IF(ISBLANK(VLOOKUP($A827,'Entry data'!$A:$K,8,FALSE)),"",VLOOKUP($A827,'Entry data'!$A:$K,8,FALSE))</f>
        <v/>
      </c>
      <c r="I827" t="str">
        <f>IF(ISBLANK(VLOOKUP($A827,'Entry data'!$A:$K,9,FALSE)),"",VLOOKUP($A827,'Entry data'!$A:$K,9,FALSE))</f>
        <v/>
      </c>
      <c r="J827" t="str">
        <f>IF(ISBLANK(VLOOKUP($A827,'Entry data'!$A:$K,10,FALSE)),"",VLOOKUP($A827,'Entry data'!$A:$K,10,FALSE))</f>
        <v/>
      </c>
      <c r="K827" t="str">
        <f>IF(ISBLANK(VLOOKUP($A827,'Entry data'!$A:$K,11,FALSE)),"",VLOOKUP($A827,'Entry data'!$A:$K,11,FALSE))</f>
        <v/>
      </c>
      <c r="L827">
        <f>IF(OR(EXACT(D827,"C"),EXACT(D827,"P"),EXACT(D827,"D"),EXACT(D827,"T"),EXACT(D827,"X"),EXACT(E827,"DZF"),EXACT(E827,"OZF"),EXACT(D827,"N"),EXACT(D827,"F")),1,0)</f>
        <v>0</v>
      </c>
      <c r="M827" t="str">
        <f t="shared" si="48"/>
        <v/>
      </c>
      <c r="N827">
        <f t="shared" si="49"/>
        <v>0</v>
      </c>
      <c r="O827">
        <f t="shared" si="50"/>
        <v>0</v>
      </c>
      <c r="P827" t="str">
        <f t="shared" si="51"/>
        <v/>
      </c>
    </row>
    <row r="828" spans="1:16" x14ac:dyDescent="0.25">
      <c r="A828">
        <v>327</v>
      </c>
      <c r="B828" t="str">
        <f>IF(ISBLANK(VLOOKUP($A828,'Entry data'!$A:$K,2,FALSE)),"",VLOOKUP($A828,'Entry data'!$A:$K,2,FALSE))</f>
        <v/>
      </c>
      <c r="C828" t="str">
        <f>IF(ISBLANK(VLOOKUP($A828,'Entry data'!$A:$K,3,FALSE)),"",VLOOKUP($A828,'Entry data'!$A:$K,3,FALSE))</f>
        <v/>
      </c>
      <c r="D828" t="str">
        <f>IF(ISBLANK(VLOOKUP($A828,'Entry data'!$A:$K,4,FALSE)),"",VLOOKUP($A828,'Entry data'!$A:$K,4,FALSE))</f>
        <v/>
      </c>
      <c r="E828" t="str">
        <f>IF(ISBLANK(VLOOKUP($A828,'Entry data'!$A:$K,5,FALSE)),"",VLOOKUP($A828,'Entry data'!$A:$K,5,FALSE))</f>
        <v/>
      </c>
      <c r="F828" t="str">
        <f>IF(ISBLANK(VLOOKUP($A828,'Entry data'!$A:$K,6,FALSE)),"",VLOOKUP($A828,'Entry data'!$A:$K,6,FALSE))</f>
        <v/>
      </c>
      <c r="G828" t="str">
        <f>IF(ISBLANK(VLOOKUP($A828,'Entry data'!$A:$K,7,FALSE)),"",VLOOKUP($A828,'Entry data'!$A:$K,7,FALSE))</f>
        <v/>
      </c>
      <c r="H828" t="str">
        <f>IF(ISBLANK(VLOOKUP($A828,'Entry data'!$A:$K,8,FALSE)),"",VLOOKUP($A828,'Entry data'!$A:$K,8,FALSE))</f>
        <v/>
      </c>
      <c r="I828" t="str">
        <f>IF(ISBLANK(VLOOKUP($A828,'Entry data'!$A:$K,9,FALSE)),"",VLOOKUP($A828,'Entry data'!$A:$K,9,FALSE))</f>
        <v/>
      </c>
      <c r="J828" t="str">
        <f>IF(ISBLANK(VLOOKUP($A828,'Entry data'!$A:$K,10,FALSE)),"",VLOOKUP($A828,'Entry data'!$A:$K,10,FALSE))</f>
        <v/>
      </c>
      <c r="K828" t="str">
        <f>IF(ISBLANK(VLOOKUP($A828,'Entry data'!$A:$K,11,FALSE)),"",VLOOKUP($A828,'Entry data'!$A:$K,11,FALSE))</f>
        <v/>
      </c>
      <c r="L828">
        <f>IF(OR(EXACT(D828,"C"),EXACT(D828,"P"),EXACT(D828,"D"),EXACT(D828,"T"),EXACT(D828,"X"),EXACT(E828,"DZF"),EXACT(E828,"OZF"),EXACT(D828,"N"),EXACT(D828,"F")),1,0)</f>
        <v>0</v>
      </c>
      <c r="M828" t="str">
        <f t="shared" si="48"/>
        <v/>
      </c>
      <c r="N828">
        <f t="shared" si="49"/>
        <v>0</v>
      </c>
      <c r="O828">
        <f t="shared" si="50"/>
        <v>0</v>
      </c>
      <c r="P828" t="str">
        <f t="shared" si="51"/>
        <v/>
      </c>
    </row>
    <row r="829" spans="1:16" x14ac:dyDescent="0.25">
      <c r="A829">
        <v>328</v>
      </c>
      <c r="B829" t="str">
        <f>IF(ISBLANK(VLOOKUP($A829,'Entry data'!$A:$K,2,FALSE)),"",VLOOKUP($A829,'Entry data'!$A:$K,2,FALSE))</f>
        <v/>
      </c>
      <c r="C829" t="str">
        <f>IF(ISBLANK(VLOOKUP($A829,'Entry data'!$A:$K,3,FALSE)),"",VLOOKUP($A829,'Entry data'!$A:$K,3,FALSE))</f>
        <v/>
      </c>
      <c r="D829" t="str">
        <f>IF(ISBLANK(VLOOKUP($A829,'Entry data'!$A:$K,4,FALSE)),"",VLOOKUP($A829,'Entry data'!$A:$K,4,FALSE))</f>
        <v/>
      </c>
      <c r="E829" t="str">
        <f>IF(ISBLANK(VLOOKUP($A829,'Entry data'!$A:$K,5,FALSE)),"",VLOOKUP($A829,'Entry data'!$A:$K,5,FALSE))</f>
        <v/>
      </c>
      <c r="F829" t="str">
        <f>IF(ISBLANK(VLOOKUP($A829,'Entry data'!$A:$K,6,FALSE)),"",VLOOKUP($A829,'Entry data'!$A:$K,6,FALSE))</f>
        <v/>
      </c>
      <c r="G829" t="str">
        <f>IF(ISBLANK(VLOOKUP($A829,'Entry data'!$A:$K,7,FALSE)),"",VLOOKUP($A829,'Entry data'!$A:$K,7,FALSE))</f>
        <v/>
      </c>
      <c r="H829" t="str">
        <f>IF(ISBLANK(VLOOKUP($A829,'Entry data'!$A:$K,8,FALSE)),"",VLOOKUP($A829,'Entry data'!$A:$K,8,FALSE))</f>
        <v/>
      </c>
      <c r="I829" t="str">
        <f>IF(ISBLANK(VLOOKUP($A829,'Entry data'!$A:$K,9,FALSE)),"",VLOOKUP($A829,'Entry data'!$A:$K,9,FALSE))</f>
        <v/>
      </c>
      <c r="J829" t="str">
        <f>IF(ISBLANK(VLOOKUP($A829,'Entry data'!$A:$K,10,FALSE)),"",VLOOKUP($A829,'Entry data'!$A:$K,10,FALSE))</f>
        <v/>
      </c>
      <c r="K829" t="str">
        <f>IF(ISBLANK(VLOOKUP($A829,'Entry data'!$A:$K,11,FALSE)),"",VLOOKUP($A829,'Entry data'!$A:$K,11,FALSE))</f>
        <v/>
      </c>
      <c r="L829">
        <f>IF(OR(EXACT(D829,"C"),EXACT(D829,"P"),EXACT(D829,"D"),EXACT(D829,"T"),EXACT(D829,"X"),EXACT(E829,"DZF"),EXACT(E829,"OZF"),EXACT(D829,"N"),EXACT(D829,"F")),1,0)</f>
        <v>0</v>
      </c>
      <c r="M829" t="str">
        <f t="shared" si="48"/>
        <v/>
      </c>
      <c r="N829">
        <f t="shared" si="49"/>
        <v>0</v>
      </c>
      <c r="O829">
        <f t="shared" si="50"/>
        <v>0</v>
      </c>
      <c r="P829" t="str">
        <f t="shared" si="51"/>
        <v/>
      </c>
    </row>
    <row r="830" spans="1:16" x14ac:dyDescent="0.25">
      <c r="A830">
        <v>329</v>
      </c>
      <c r="B830" t="str">
        <f>IF(ISBLANK(VLOOKUP($A830,'Entry data'!$A:$K,2,FALSE)),"",VLOOKUP($A830,'Entry data'!$A:$K,2,FALSE))</f>
        <v/>
      </c>
      <c r="C830" t="str">
        <f>IF(ISBLANK(VLOOKUP($A830,'Entry data'!$A:$K,3,FALSE)),"",VLOOKUP($A830,'Entry data'!$A:$K,3,FALSE))</f>
        <v/>
      </c>
      <c r="D830" t="str">
        <f>IF(ISBLANK(VLOOKUP($A830,'Entry data'!$A:$K,4,FALSE)),"",VLOOKUP($A830,'Entry data'!$A:$K,4,FALSE))</f>
        <v/>
      </c>
      <c r="E830" t="str">
        <f>IF(ISBLANK(VLOOKUP($A830,'Entry data'!$A:$K,5,FALSE)),"",VLOOKUP($A830,'Entry data'!$A:$K,5,FALSE))</f>
        <v/>
      </c>
      <c r="F830" t="str">
        <f>IF(ISBLANK(VLOOKUP($A830,'Entry data'!$A:$K,6,FALSE)),"",VLOOKUP($A830,'Entry data'!$A:$K,6,FALSE))</f>
        <v/>
      </c>
      <c r="G830" t="str">
        <f>IF(ISBLANK(VLOOKUP($A830,'Entry data'!$A:$K,7,FALSE)),"",VLOOKUP($A830,'Entry data'!$A:$K,7,FALSE))</f>
        <v/>
      </c>
      <c r="H830" t="str">
        <f>IF(ISBLANK(VLOOKUP($A830,'Entry data'!$A:$K,8,FALSE)),"",VLOOKUP($A830,'Entry data'!$A:$K,8,FALSE))</f>
        <v/>
      </c>
      <c r="I830" t="str">
        <f>IF(ISBLANK(VLOOKUP($A830,'Entry data'!$A:$K,9,FALSE)),"",VLOOKUP($A830,'Entry data'!$A:$K,9,FALSE))</f>
        <v/>
      </c>
      <c r="J830" t="str">
        <f>IF(ISBLANK(VLOOKUP($A830,'Entry data'!$A:$K,10,FALSE)),"",VLOOKUP($A830,'Entry data'!$A:$K,10,FALSE))</f>
        <v/>
      </c>
      <c r="K830" t="str">
        <f>IF(ISBLANK(VLOOKUP($A830,'Entry data'!$A:$K,11,FALSE)),"",VLOOKUP($A830,'Entry data'!$A:$K,11,FALSE))</f>
        <v/>
      </c>
      <c r="L830">
        <f>IF(OR(EXACT(D830,"C"),EXACT(D830,"P"),EXACT(D830,"D"),EXACT(D830,"T"),EXACT(D830,"X"),EXACT(E830,"DZF"),EXACT(E830,"OZF"),EXACT(D830,"N"),EXACT(D830,"F")),1,0)</f>
        <v>0</v>
      </c>
      <c r="M830" t="str">
        <f t="shared" si="48"/>
        <v/>
      </c>
      <c r="N830">
        <f t="shared" si="49"/>
        <v>0</v>
      </c>
      <c r="O830">
        <f t="shared" si="50"/>
        <v>0</v>
      </c>
      <c r="P830" t="str">
        <f t="shared" si="51"/>
        <v/>
      </c>
    </row>
    <row r="831" spans="1:16" x14ac:dyDescent="0.25">
      <c r="A831">
        <v>330</v>
      </c>
      <c r="B831" t="str">
        <f>IF(ISBLANK(VLOOKUP($A831,'Entry data'!$A:$K,2,FALSE)),"",VLOOKUP($A831,'Entry data'!$A:$K,2,FALSE))</f>
        <v/>
      </c>
      <c r="C831" t="str">
        <f>IF(ISBLANK(VLOOKUP($A831,'Entry data'!$A:$K,3,FALSE)),"",VLOOKUP($A831,'Entry data'!$A:$K,3,FALSE))</f>
        <v/>
      </c>
      <c r="D831" t="str">
        <f>IF(ISBLANK(VLOOKUP($A831,'Entry data'!$A:$K,4,FALSE)),"",VLOOKUP($A831,'Entry data'!$A:$K,4,FALSE))</f>
        <v/>
      </c>
      <c r="E831" t="str">
        <f>IF(ISBLANK(VLOOKUP($A831,'Entry data'!$A:$K,5,FALSE)),"",VLOOKUP($A831,'Entry data'!$A:$K,5,FALSE))</f>
        <v/>
      </c>
      <c r="F831" t="str">
        <f>IF(ISBLANK(VLOOKUP($A831,'Entry data'!$A:$K,6,FALSE)),"",VLOOKUP($A831,'Entry data'!$A:$K,6,FALSE))</f>
        <v/>
      </c>
      <c r="G831" t="str">
        <f>IF(ISBLANK(VLOOKUP($A831,'Entry data'!$A:$K,7,FALSE)),"",VLOOKUP($A831,'Entry data'!$A:$K,7,FALSE))</f>
        <v/>
      </c>
      <c r="H831" t="str">
        <f>IF(ISBLANK(VLOOKUP($A831,'Entry data'!$A:$K,8,FALSE)),"",VLOOKUP($A831,'Entry data'!$A:$K,8,FALSE))</f>
        <v/>
      </c>
      <c r="I831" t="str">
        <f>IF(ISBLANK(VLOOKUP($A831,'Entry data'!$A:$K,9,FALSE)),"",VLOOKUP($A831,'Entry data'!$A:$K,9,FALSE))</f>
        <v/>
      </c>
      <c r="J831" t="str">
        <f>IF(ISBLANK(VLOOKUP($A831,'Entry data'!$A:$K,10,FALSE)),"",VLOOKUP($A831,'Entry data'!$A:$K,10,FALSE))</f>
        <v/>
      </c>
      <c r="K831" t="str">
        <f>IF(ISBLANK(VLOOKUP($A831,'Entry data'!$A:$K,11,FALSE)),"",VLOOKUP($A831,'Entry data'!$A:$K,11,FALSE))</f>
        <v/>
      </c>
      <c r="L831">
        <f>IF(OR(EXACT(D831,"C"),EXACT(D831,"P"),EXACT(D831,"D"),EXACT(D831,"T"),EXACT(D831,"X"),EXACT(E831,"DZF"),EXACT(E831,"OZF"),EXACT(D831,"N"),EXACT(D831,"F")),1,0)</f>
        <v>0</v>
      </c>
      <c r="M831" t="str">
        <f t="shared" si="48"/>
        <v/>
      </c>
      <c r="N831">
        <f t="shared" si="49"/>
        <v>0</v>
      </c>
      <c r="O831">
        <f t="shared" si="50"/>
        <v>0</v>
      </c>
      <c r="P831" t="str">
        <f t="shared" si="51"/>
        <v/>
      </c>
    </row>
    <row r="832" spans="1:16" x14ac:dyDescent="0.25">
      <c r="A832">
        <v>331</v>
      </c>
      <c r="B832" t="str">
        <f>IF(ISBLANK(VLOOKUP($A832,'Entry data'!$A:$K,2,FALSE)),"",VLOOKUP($A832,'Entry data'!$A:$K,2,FALSE))</f>
        <v/>
      </c>
      <c r="C832" t="str">
        <f>IF(ISBLANK(VLOOKUP($A832,'Entry data'!$A:$K,3,FALSE)),"",VLOOKUP($A832,'Entry data'!$A:$K,3,FALSE))</f>
        <v/>
      </c>
      <c r="D832" t="str">
        <f>IF(ISBLANK(VLOOKUP($A832,'Entry data'!$A:$K,4,FALSE)),"",VLOOKUP($A832,'Entry data'!$A:$K,4,FALSE))</f>
        <v/>
      </c>
      <c r="E832" t="str">
        <f>IF(ISBLANK(VLOOKUP($A832,'Entry data'!$A:$K,5,FALSE)),"",VLOOKUP($A832,'Entry data'!$A:$K,5,FALSE))</f>
        <v/>
      </c>
      <c r="F832" t="str">
        <f>IF(ISBLANK(VLOOKUP($A832,'Entry data'!$A:$K,6,FALSE)),"",VLOOKUP($A832,'Entry data'!$A:$K,6,FALSE))</f>
        <v/>
      </c>
      <c r="G832" t="str">
        <f>IF(ISBLANK(VLOOKUP($A832,'Entry data'!$A:$K,7,FALSE)),"",VLOOKUP($A832,'Entry data'!$A:$K,7,FALSE))</f>
        <v/>
      </c>
      <c r="H832" t="str">
        <f>IF(ISBLANK(VLOOKUP($A832,'Entry data'!$A:$K,8,FALSE)),"",VLOOKUP($A832,'Entry data'!$A:$K,8,FALSE))</f>
        <v/>
      </c>
      <c r="I832" t="str">
        <f>IF(ISBLANK(VLOOKUP($A832,'Entry data'!$A:$K,9,FALSE)),"",VLOOKUP($A832,'Entry data'!$A:$K,9,FALSE))</f>
        <v/>
      </c>
      <c r="J832" t="str">
        <f>IF(ISBLANK(VLOOKUP($A832,'Entry data'!$A:$K,10,FALSE)),"",VLOOKUP($A832,'Entry data'!$A:$K,10,FALSE))</f>
        <v/>
      </c>
      <c r="K832" t="str">
        <f>IF(ISBLANK(VLOOKUP($A832,'Entry data'!$A:$K,11,FALSE)),"",VLOOKUP($A832,'Entry data'!$A:$K,11,FALSE))</f>
        <v/>
      </c>
      <c r="L832">
        <f>IF(OR(EXACT(D832,"C"),EXACT(D832,"P"),EXACT(D832,"D"),EXACT(D832,"T"),EXACT(D832,"X"),EXACT(E832,"DZF"),EXACT(E832,"OZF"),EXACT(D832,"N"),EXACT(D832,"F")),1,0)</f>
        <v>0</v>
      </c>
      <c r="M832" t="str">
        <f t="shared" si="48"/>
        <v/>
      </c>
      <c r="N832">
        <f t="shared" si="49"/>
        <v>0</v>
      </c>
      <c r="O832">
        <f t="shared" si="50"/>
        <v>0</v>
      </c>
      <c r="P832" t="str">
        <f t="shared" si="51"/>
        <v/>
      </c>
    </row>
    <row r="833" spans="1:16" x14ac:dyDescent="0.25">
      <c r="A833">
        <v>332</v>
      </c>
      <c r="B833" t="str">
        <f>IF(ISBLANK(VLOOKUP($A833,'Entry data'!$A:$K,2,FALSE)),"",VLOOKUP($A833,'Entry data'!$A:$K,2,FALSE))</f>
        <v/>
      </c>
      <c r="C833" t="str">
        <f>IF(ISBLANK(VLOOKUP($A833,'Entry data'!$A:$K,3,FALSE)),"",VLOOKUP($A833,'Entry data'!$A:$K,3,FALSE))</f>
        <v/>
      </c>
      <c r="D833" t="str">
        <f>IF(ISBLANK(VLOOKUP($A833,'Entry data'!$A:$K,4,FALSE)),"",VLOOKUP($A833,'Entry data'!$A:$K,4,FALSE))</f>
        <v/>
      </c>
      <c r="E833" t="str">
        <f>IF(ISBLANK(VLOOKUP($A833,'Entry data'!$A:$K,5,FALSE)),"",VLOOKUP($A833,'Entry data'!$A:$K,5,FALSE))</f>
        <v/>
      </c>
      <c r="F833" t="str">
        <f>IF(ISBLANK(VLOOKUP($A833,'Entry data'!$A:$K,6,FALSE)),"",VLOOKUP($A833,'Entry data'!$A:$K,6,FALSE))</f>
        <v/>
      </c>
      <c r="G833" t="str">
        <f>IF(ISBLANK(VLOOKUP($A833,'Entry data'!$A:$K,7,FALSE)),"",VLOOKUP($A833,'Entry data'!$A:$K,7,FALSE))</f>
        <v/>
      </c>
      <c r="H833" t="str">
        <f>IF(ISBLANK(VLOOKUP($A833,'Entry data'!$A:$K,8,FALSE)),"",VLOOKUP($A833,'Entry data'!$A:$K,8,FALSE))</f>
        <v/>
      </c>
      <c r="I833" t="str">
        <f>IF(ISBLANK(VLOOKUP($A833,'Entry data'!$A:$K,9,FALSE)),"",VLOOKUP($A833,'Entry data'!$A:$K,9,FALSE))</f>
        <v/>
      </c>
      <c r="J833" t="str">
        <f>IF(ISBLANK(VLOOKUP($A833,'Entry data'!$A:$K,10,FALSE)),"",VLOOKUP($A833,'Entry data'!$A:$K,10,FALSE))</f>
        <v/>
      </c>
      <c r="K833" t="str">
        <f>IF(ISBLANK(VLOOKUP($A833,'Entry data'!$A:$K,11,FALSE)),"",VLOOKUP($A833,'Entry data'!$A:$K,11,FALSE))</f>
        <v/>
      </c>
      <c r="L833">
        <f>IF(OR(EXACT(D833,"C"),EXACT(D833,"P"),EXACT(D833,"D"),EXACT(D833,"T"),EXACT(D833,"X"),EXACT(E833,"DZF"),EXACT(E833,"OZF"),EXACT(D833,"N"),EXACT(D833,"F")),1,0)</f>
        <v>0</v>
      </c>
      <c r="M833" t="str">
        <f t="shared" si="48"/>
        <v/>
      </c>
      <c r="N833">
        <f t="shared" si="49"/>
        <v>0</v>
      </c>
      <c r="O833">
        <f t="shared" si="50"/>
        <v>0</v>
      </c>
      <c r="P833" t="str">
        <f t="shared" si="51"/>
        <v/>
      </c>
    </row>
    <row r="834" spans="1:16" x14ac:dyDescent="0.25">
      <c r="A834">
        <v>333</v>
      </c>
      <c r="B834" t="str">
        <f>IF(ISBLANK(VLOOKUP($A834,'Entry data'!$A:$K,2,FALSE)),"",VLOOKUP($A834,'Entry data'!$A:$K,2,FALSE))</f>
        <v/>
      </c>
      <c r="C834" t="str">
        <f>IF(ISBLANK(VLOOKUP($A834,'Entry data'!$A:$K,3,FALSE)),"",VLOOKUP($A834,'Entry data'!$A:$K,3,FALSE))</f>
        <v/>
      </c>
      <c r="D834" t="str">
        <f>IF(ISBLANK(VLOOKUP($A834,'Entry data'!$A:$K,4,FALSE)),"",VLOOKUP($A834,'Entry data'!$A:$K,4,FALSE))</f>
        <v/>
      </c>
      <c r="E834" t="str">
        <f>IF(ISBLANK(VLOOKUP($A834,'Entry data'!$A:$K,5,FALSE)),"",VLOOKUP($A834,'Entry data'!$A:$K,5,FALSE))</f>
        <v/>
      </c>
      <c r="F834" t="str">
        <f>IF(ISBLANK(VLOOKUP($A834,'Entry data'!$A:$K,6,FALSE)),"",VLOOKUP($A834,'Entry data'!$A:$K,6,FALSE))</f>
        <v/>
      </c>
      <c r="G834" t="str">
        <f>IF(ISBLANK(VLOOKUP($A834,'Entry data'!$A:$K,7,FALSE)),"",VLOOKUP($A834,'Entry data'!$A:$K,7,FALSE))</f>
        <v/>
      </c>
      <c r="H834" t="str">
        <f>IF(ISBLANK(VLOOKUP($A834,'Entry data'!$A:$K,8,FALSE)),"",VLOOKUP($A834,'Entry data'!$A:$K,8,FALSE))</f>
        <v/>
      </c>
      <c r="I834" t="str">
        <f>IF(ISBLANK(VLOOKUP($A834,'Entry data'!$A:$K,9,FALSE)),"",VLOOKUP($A834,'Entry data'!$A:$K,9,FALSE))</f>
        <v/>
      </c>
      <c r="J834" t="str">
        <f>IF(ISBLANK(VLOOKUP($A834,'Entry data'!$A:$K,10,FALSE)),"",VLOOKUP($A834,'Entry data'!$A:$K,10,FALSE))</f>
        <v/>
      </c>
      <c r="K834" t="str">
        <f>IF(ISBLANK(VLOOKUP($A834,'Entry data'!$A:$K,11,FALSE)),"",VLOOKUP($A834,'Entry data'!$A:$K,11,FALSE))</f>
        <v/>
      </c>
      <c r="L834">
        <f>IF(OR(EXACT(D834,"C"),EXACT(D834,"P"),EXACT(D834,"D"),EXACT(D834,"T"),EXACT(D834,"X"),EXACT(E834,"DZF"),EXACT(E834,"OZF"),EXACT(D834,"N"),EXACT(D834,"F")),1,0)</f>
        <v>0</v>
      </c>
      <c r="M834" t="str">
        <f t="shared" ref="M834:M897" si="52">IF(OR(EXACT(D834,"C"),EXACT(D834,"P")),E834,"")</f>
        <v/>
      </c>
      <c r="N834">
        <f t="shared" ref="N834:N897" si="53">IF(OR(EXACT(D834,"GOAL"),EXACT(D834,"SHOT"),EXACT(D834,"MISS")),1,0)+IF(L835=0,N835,0)</f>
        <v>0</v>
      </c>
      <c r="O834">
        <f t="shared" ref="O834:O897" si="54">IF(EXACT(D834,"GOAL"),1,0)+IF(L835=0,O835,0)</f>
        <v>0</v>
      </c>
      <c r="P834" t="str">
        <f t="shared" si="51"/>
        <v/>
      </c>
    </row>
    <row r="835" spans="1:16" x14ac:dyDescent="0.25">
      <c r="A835">
        <v>334</v>
      </c>
      <c r="B835" t="str">
        <f>IF(ISBLANK(VLOOKUP($A835,'Entry data'!$A:$K,2,FALSE)),"",VLOOKUP($A835,'Entry data'!$A:$K,2,FALSE))</f>
        <v/>
      </c>
      <c r="C835" t="str">
        <f>IF(ISBLANK(VLOOKUP($A835,'Entry data'!$A:$K,3,FALSE)),"",VLOOKUP($A835,'Entry data'!$A:$K,3,FALSE))</f>
        <v/>
      </c>
      <c r="D835" t="str">
        <f>IF(ISBLANK(VLOOKUP($A835,'Entry data'!$A:$K,4,FALSE)),"",VLOOKUP($A835,'Entry data'!$A:$K,4,FALSE))</f>
        <v/>
      </c>
      <c r="E835" t="str">
        <f>IF(ISBLANK(VLOOKUP($A835,'Entry data'!$A:$K,5,FALSE)),"",VLOOKUP($A835,'Entry data'!$A:$K,5,FALSE))</f>
        <v/>
      </c>
      <c r="F835" t="str">
        <f>IF(ISBLANK(VLOOKUP($A835,'Entry data'!$A:$K,6,FALSE)),"",VLOOKUP($A835,'Entry data'!$A:$K,6,FALSE))</f>
        <v/>
      </c>
      <c r="G835" t="str">
        <f>IF(ISBLANK(VLOOKUP($A835,'Entry data'!$A:$K,7,FALSE)),"",VLOOKUP($A835,'Entry data'!$A:$K,7,FALSE))</f>
        <v/>
      </c>
      <c r="H835" t="str">
        <f>IF(ISBLANK(VLOOKUP($A835,'Entry data'!$A:$K,8,FALSE)),"",VLOOKUP($A835,'Entry data'!$A:$K,8,FALSE))</f>
        <v/>
      </c>
      <c r="I835" t="str">
        <f>IF(ISBLANK(VLOOKUP($A835,'Entry data'!$A:$K,9,FALSE)),"",VLOOKUP($A835,'Entry data'!$A:$K,9,FALSE))</f>
        <v/>
      </c>
      <c r="J835" t="str">
        <f>IF(ISBLANK(VLOOKUP($A835,'Entry data'!$A:$K,10,FALSE)),"",VLOOKUP($A835,'Entry data'!$A:$K,10,FALSE))</f>
        <v/>
      </c>
      <c r="K835" t="str">
        <f>IF(ISBLANK(VLOOKUP($A835,'Entry data'!$A:$K,11,FALSE)),"",VLOOKUP($A835,'Entry data'!$A:$K,11,FALSE))</f>
        <v/>
      </c>
      <c r="L835">
        <f>IF(OR(EXACT(D835,"C"),EXACT(D835,"P"),EXACT(D835,"D"),EXACT(D835,"T"),EXACT(D835,"X"),EXACT(E835,"DZF"),EXACT(E835,"OZF"),EXACT(D835,"N"),EXACT(D835,"F")),1,0)</f>
        <v>0</v>
      </c>
      <c r="M835" t="str">
        <f t="shared" si="52"/>
        <v/>
      </c>
      <c r="N835">
        <f t="shared" si="53"/>
        <v>0</v>
      </c>
      <c r="O835">
        <f t="shared" si="54"/>
        <v>0</v>
      </c>
      <c r="P835" t="str">
        <f t="shared" ref="P835:P898" si="55">IF(EXACT(D835,"F"),E835,"")</f>
        <v/>
      </c>
    </row>
    <row r="836" spans="1:16" x14ac:dyDescent="0.25">
      <c r="A836">
        <v>335</v>
      </c>
      <c r="B836" t="str">
        <f>IF(ISBLANK(VLOOKUP($A836,'Entry data'!$A:$K,2,FALSE)),"",VLOOKUP($A836,'Entry data'!$A:$K,2,FALSE))</f>
        <v/>
      </c>
      <c r="C836" t="str">
        <f>IF(ISBLANK(VLOOKUP($A836,'Entry data'!$A:$K,3,FALSE)),"",VLOOKUP($A836,'Entry data'!$A:$K,3,FALSE))</f>
        <v/>
      </c>
      <c r="D836" t="str">
        <f>IF(ISBLANK(VLOOKUP($A836,'Entry data'!$A:$K,4,FALSE)),"",VLOOKUP($A836,'Entry data'!$A:$K,4,FALSE))</f>
        <v/>
      </c>
      <c r="E836" t="str">
        <f>IF(ISBLANK(VLOOKUP($A836,'Entry data'!$A:$K,5,FALSE)),"",VLOOKUP($A836,'Entry data'!$A:$K,5,FALSE))</f>
        <v/>
      </c>
      <c r="F836" t="str">
        <f>IF(ISBLANK(VLOOKUP($A836,'Entry data'!$A:$K,6,FALSE)),"",VLOOKUP($A836,'Entry data'!$A:$K,6,FALSE))</f>
        <v/>
      </c>
      <c r="G836" t="str">
        <f>IF(ISBLANK(VLOOKUP($A836,'Entry data'!$A:$K,7,FALSE)),"",VLOOKUP($A836,'Entry data'!$A:$K,7,FALSE))</f>
        <v/>
      </c>
      <c r="H836" t="str">
        <f>IF(ISBLANK(VLOOKUP($A836,'Entry data'!$A:$K,8,FALSE)),"",VLOOKUP($A836,'Entry data'!$A:$K,8,FALSE))</f>
        <v/>
      </c>
      <c r="I836" t="str">
        <f>IF(ISBLANK(VLOOKUP($A836,'Entry data'!$A:$K,9,FALSE)),"",VLOOKUP($A836,'Entry data'!$A:$K,9,FALSE))</f>
        <v/>
      </c>
      <c r="J836" t="str">
        <f>IF(ISBLANK(VLOOKUP($A836,'Entry data'!$A:$K,10,FALSE)),"",VLOOKUP($A836,'Entry data'!$A:$K,10,FALSE))</f>
        <v/>
      </c>
      <c r="K836" t="str">
        <f>IF(ISBLANK(VLOOKUP($A836,'Entry data'!$A:$K,11,FALSE)),"",VLOOKUP($A836,'Entry data'!$A:$K,11,FALSE))</f>
        <v/>
      </c>
      <c r="L836">
        <f>IF(OR(EXACT(D836,"C"),EXACT(D836,"P"),EXACT(D836,"D"),EXACT(D836,"T"),EXACT(D836,"X"),EXACT(E836,"DZF"),EXACT(E836,"OZF"),EXACT(D836,"N"),EXACT(D836,"F")),1,0)</f>
        <v>0</v>
      </c>
      <c r="M836" t="str">
        <f t="shared" si="52"/>
        <v/>
      </c>
      <c r="N836">
        <f t="shared" si="53"/>
        <v>0</v>
      </c>
      <c r="O836">
        <f t="shared" si="54"/>
        <v>0</v>
      </c>
      <c r="P836" t="str">
        <f t="shared" si="55"/>
        <v/>
      </c>
    </row>
    <row r="837" spans="1:16" x14ac:dyDescent="0.25">
      <c r="A837">
        <v>336</v>
      </c>
      <c r="B837" t="str">
        <f>IF(ISBLANK(VLOOKUP($A837,'Entry data'!$A:$K,2,FALSE)),"",VLOOKUP($A837,'Entry data'!$A:$K,2,FALSE))</f>
        <v/>
      </c>
      <c r="C837" t="str">
        <f>IF(ISBLANK(VLOOKUP($A837,'Entry data'!$A:$K,3,FALSE)),"",VLOOKUP($A837,'Entry data'!$A:$K,3,FALSE))</f>
        <v/>
      </c>
      <c r="D837" t="str">
        <f>IF(ISBLANK(VLOOKUP($A837,'Entry data'!$A:$K,4,FALSE)),"",VLOOKUP($A837,'Entry data'!$A:$K,4,FALSE))</f>
        <v/>
      </c>
      <c r="E837" t="str">
        <f>IF(ISBLANK(VLOOKUP($A837,'Entry data'!$A:$K,5,FALSE)),"",VLOOKUP($A837,'Entry data'!$A:$K,5,FALSE))</f>
        <v/>
      </c>
      <c r="F837" t="str">
        <f>IF(ISBLANK(VLOOKUP($A837,'Entry data'!$A:$K,6,FALSE)),"",VLOOKUP($A837,'Entry data'!$A:$K,6,FALSE))</f>
        <v/>
      </c>
      <c r="G837" t="str">
        <f>IF(ISBLANK(VLOOKUP($A837,'Entry data'!$A:$K,7,FALSE)),"",VLOOKUP($A837,'Entry data'!$A:$K,7,FALSE))</f>
        <v/>
      </c>
      <c r="H837" t="str">
        <f>IF(ISBLANK(VLOOKUP($A837,'Entry data'!$A:$K,8,FALSE)),"",VLOOKUP($A837,'Entry data'!$A:$K,8,FALSE))</f>
        <v/>
      </c>
      <c r="I837" t="str">
        <f>IF(ISBLANK(VLOOKUP($A837,'Entry data'!$A:$K,9,FALSE)),"",VLOOKUP($A837,'Entry data'!$A:$K,9,FALSE))</f>
        <v/>
      </c>
      <c r="J837" t="str">
        <f>IF(ISBLANK(VLOOKUP($A837,'Entry data'!$A:$K,10,FALSE)),"",VLOOKUP($A837,'Entry data'!$A:$K,10,FALSE))</f>
        <v/>
      </c>
      <c r="K837" t="str">
        <f>IF(ISBLANK(VLOOKUP($A837,'Entry data'!$A:$K,11,FALSE)),"",VLOOKUP($A837,'Entry data'!$A:$K,11,FALSE))</f>
        <v/>
      </c>
      <c r="L837">
        <f>IF(OR(EXACT(D837,"C"),EXACT(D837,"P"),EXACT(D837,"D"),EXACT(D837,"T"),EXACT(D837,"X"),EXACT(E837,"DZF"),EXACT(E837,"OZF"),EXACT(D837,"N"),EXACT(D837,"F")),1,0)</f>
        <v>0</v>
      </c>
      <c r="M837" t="str">
        <f t="shared" si="52"/>
        <v/>
      </c>
      <c r="N837">
        <f t="shared" si="53"/>
        <v>0</v>
      </c>
      <c r="O837">
        <f t="shared" si="54"/>
        <v>0</v>
      </c>
      <c r="P837" t="str">
        <f t="shared" si="55"/>
        <v/>
      </c>
    </row>
    <row r="838" spans="1:16" x14ac:dyDescent="0.25">
      <c r="A838">
        <v>337</v>
      </c>
      <c r="B838" t="str">
        <f>IF(ISBLANK(VLOOKUP($A838,'Entry data'!$A:$K,2,FALSE)),"",VLOOKUP($A838,'Entry data'!$A:$K,2,FALSE))</f>
        <v/>
      </c>
      <c r="C838" t="str">
        <f>IF(ISBLANK(VLOOKUP($A838,'Entry data'!$A:$K,3,FALSE)),"",VLOOKUP($A838,'Entry data'!$A:$K,3,FALSE))</f>
        <v/>
      </c>
      <c r="D838" t="str">
        <f>IF(ISBLANK(VLOOKUP($A838,'Entry data'!$A:$K,4,FALSE)),"",VLOOKUP($A838,'Entry data'!$A:$K,4,FALSE))</f>
        <v/>
      </c>
      <c r="E838" t="str">
        <f>IF(ISBLANK(VLOOKUP($A838,'Entry data'!$A:$K,5,FALSE)),"",VLOOKUP($A838,'Entry data'!$A:$K,5,FALSE))</f>
        <v/>
      </c>
      <c r="F838" t="str">
        <f>IF(ISBLANK(VLOOKUP($A838,'Entry data'!$A:$K,6,FALSE)),"",VLOOKUP($A838,'Entry data'!$A:$K,6,FALSE))</f>
        <v/>
      </c>
      <c r="G838" t="str">
        <f>IF(ISBLANK(VLOOKUP($A838,'Entry data'!$A:$K,7,FALSE)),"",VLOOKUP($A838,'Entry data'!$A:$K,7,FALSE))</f>
        <v/>
      </c>
      <c r="H838" t="str">
        <f>IF(ISBLANK(VLOOKUP($A838,'Entry data'!$A:$K,8,FALSE)),"",VLOOKUP($A838,'Entry data'!$A:$K,8,FALSE))</f>
        <v/>
      </c>
      <c r="I838" t="str">
        <f>IF(ISBLANK(VLOOKUP($A838,'Entry data'!$A:$K,9,FALSE)),"",VLOOKUP($A838,'Entry data'!$A:$K,9,FALSE))</f>
        <v/>
      </c>
      <c r="J838" t="str">
        <f>IF(ISBLANK(VLOOKUP($A838,'Entry data'!$A:$K,10,FALSE)),"",VLOOKUP($A838,'Entry data'!$A:$K,10,FALSE))</f>
        <v/>
      </c>
      <c r="K838" t="str">
        <f>IF(ISBLANK(VLOOKUP($A838,'Entry data'!$A:$K,11,FALSE)),"",VLOOKUP($A838,'Entry data'!$A:$K,11,FALSE))</f>
        <v/>
      </c>
      <c r="L838">
        <f>IF(OR(EXACT(D838,"C"),EXACT(D838,"P"),EXACT(D838,"D"),EXACT(D838,"T"),EXACT(D838,"X"),EXACT(E838,"DZF"),EXACT(E838,"OZF"),EXACT(D838,"N"),EXACT(D838,"F")),1,0)</f>
        <v>0</v>
      </c>
      <c r="M838" t="str">
        <f t="shared" si="52"/>
        <v/>
      </c>
      <c r="N838">
        <f t="shared" si="53"/>
        <v>0</v>
      </c>
      <c r="O838">
        <f t="shared" si="54"/>
        <v>0</v>
      </c>
      <c r="P838" t="str">
        <f t="shared" si="55"/>
        <v/>
      </c>
    </row>
    <row r="839" spans="1:16" x14ac:dyDescent="0.25">
      <c r="A839">
        <v>338</v>
      </c>
      <c r="B839" t="str">
        <f>IF(ISBLANK(VLOOKUP($A839,'Entry data'!$A:$K,2,FALSE)),"",VLOOKUP($A839,'Entry data'!$A:$K,2,FALSE))</f>
        <v/>
      </c>
      <c r="C839" t="str">
        <f>IF(ISBLANK(VLOOKUP($A839,'Entry data'!$A:$K,3,FALSE)),"",VLOOKUP($A839,'Entry data'!$A:$K,3,FALSE))</f>
        <v/>
      </c>
      <c r="D839" t="str">
        <f>IF(ISBLANK(VLOOKUP($A839,'Entry data'!$A:$K,4,FALSE)),"",VLOOKUP($A839,'Entry data'!$A:$K,4,FALSE))</f>
        <v/>
      </c>
      <c r="E839" t="str">
        <f>IF(ISBLANK(VLOOKUP($A839,'Entry data'!$A:$K,5,FALSE)),"",VLOOKUP($A839,'Entry data'!$A:$K,5,FALSE))</f>
        <v/>
      </c>
      <c r="F839" t="str">
        <f>IF(ISBLANK(VLOOKUP($A839,'Entry data'!$A:$K,6,FALSE)),"",VLOOKUP($A839,'Entry data'!$A:$K,6,FALSE))</f>
        <v/>
      </c>
      <c r="G839" t="str">
        <f>IF(ISBLANK(VLOOKUP($A839,'Entry data'!$A:$K,7,FALSE)),"",VLOOKUP($A839,'Entry data'!$A:$K,7,FALSE))</f>
        <v/>
      </c>
      <c r="H839" t="str">
        <f>IF(ISBLANK(VLOOKUP($A839,'Entry data'!$A:$K,8,FALSE)),"",VLOOKUP($A839,'Entry data'!$A:$K,8,FALSE))</f>
        <v/>
      </c>
      <c r="I839" t="str">
        <f>IF(ISBLANK(VLOOKUP($A839,'Entry data'!$A:$K,9,FALSE)),"",VLOOKUP($A839,'Entry data'!$A:$K,9,FALSE))</f>
        <v/>
      </c>
      <c r="J839" t="str">
        <f>IF(ISBLANK(VLOOKUP($A839,'Entry data'!$A:$K,10,FALSE)),"",VLOOKUP($A839,'Entry data'!$A:$K,10,FALSE))</f>
        <v/>
      </c>
      <c r="K839" t="str">
        <f>IF(ISBLANK(VLOOKUP($A839,'Entry data'!$A:$K,11,FALSE)),"",VLOOKUP($A839,'Entry data'!$A:$K,11,FALSE))</f>
        <v/>
      </c>
      <c r="L839">
        <f>IF(OR(EXACT(D839,"C"),EXACT(D839,"P"),EXACT(D839,"D"),EXACT(D839,"T"),EXACT(D839,"X"),EXACT(E839,"DZF"),EXACT(E839,"OZF"),EXACT(D839,"N"),EXACT(D839,"F")),1,0)</f>
        <v>0</v>
      </c>
      <c r="M839" t="str">
        <f t="shared" si="52"/>
        <v/>
      </c>
      <c r="N839">
        <f t="shared" si="53"/>
        <v>0</v>
      </c>
      <c r="O839">
        <f t="shared" si="54"/>
        <v>0</v>
      </c>
      <c r="P839" t="str">
        <f t="shared" si="55"/>
        <v/>
      </c>
    </row>
    <row r="840" spans="1:16" x14ac:dyDescent="0.25">
      <c r="A840">
        <v>339</v>
      </c>
      <c r="B840" t="str">
        <f>IF(ISBLANK(VLOOKUP($A840,'Entry data'!$A:$K,2,FALSE)),"",VLOOKUP($A840,'Entry data'!$A:$K,2,FALSE))</f>
        <v/>
      </c>
      <c r="C840" t="str">
        <f>IF(ISBLANK(VLOOKUP($A840,'Entry data'!$A:$K,3,FALSE)),"",VLOOKUP($A840,'Entry data'!$A:$K,3,FALSE))</f>
        <v/>
      </c>
      <c r="D840" t="str">
        <f>IF(ISBLANK(VLOOKUP($A840,'Entry data'!$A:$K,4,FALSE)),"",VLOOKUP($A840,'Entry data'!$A:$K,4,FALSE))</f>
        <v/>
      </c>
      <c r="E840" t="str">
        <f>IF(ISBLANK(VLOOKUP($A840,'Entry data'!$A:$K,5,FALSE)),"",VLOOKUP($A840,'Entry data'!$A:$K,5,FALSE))</f>
        <v/>
      </c>
      <c r="F840" t="str">
        <f>IF(ISBLANK(VLOOKUP($A840,'Entry data'!$A:$K,6,FALSE)),"",VLOOKUP($A840,'Entry data'!$A:$K,6,FALSE))</f>
        <v/>
      </c>
      <c r="G840" t="str">
        <f>IF(ISBLANK(VLOOKUP($A840,'Entry data'!$A:$K,7,FALSE)),"",VLOOKUP($A840,'Entry data'!$A:$K,7,FALSE))</f>
        <v/>
      </c>
      <c r="H840" t="str">
        <f>IF(ISBLANK(VLOOKUP($A840,'Entry data'!$A:$K,8,FALSE)),"",VLOOKUP($A840,'Entry data'!$A:$K,8,FALSE))</f>
        <v/>
      </c>
      <c r="I840" t="str">
        <f>IF(ISBLANK(VLOOKUP($A840,'Entry data'!$A:$K,9,FALSE)),"",VLOOKUP($A840,'Entry data'!$A:$K,9,FALSE))</f>
        <v/>
      </c>
      <c r="J840" t="str">
        <f>IF(ISBLANK(VLOOKUP($A840,'Entry data'!$A:$K,10,FALSE)),"",VLOOKUP($A840,'Entry data'!$A:$K,10,FALSE))</f>
        <v/>
      </c>
      <c r="K840" t="str">
        <f>IF(ISBLANK(VLOOKUP($A840,'Entry data'!$A:$K,11,FALSE)),"",VLOOKUP($A840,'Entry data'!$A:$K,11,FALSE))</f>
        <v/>
      </c>
      <c r="L840">
        <f>IF(OR(EXACT(D840,"C"),EXACT(D840,"P"),EXACT(D840,"D"),EXACT(D840,"T"),EXACT(D840,"X"),EXACT(E840,"DZF"),EXACT(E840,"OZF"),EXACT(D840,"N"),EXACT(D840,"F")),1,0)</f>
        <v>0</v>
      </c>
      <c r="M840" t="str">
        <f t="shared" si="52"/>
        <v/>
      </c>
      <c r="N840">
        <f t="shared" si="53"/>
        <v>0</v>
      </c>
      <c r="O840">
        <f t="shared" si="54"/>
        <v>0</v>
      </c>
      <c r="P840" t="str">
        <f t="shared" si="55"/>
        <v/>
      </c>
    </row>
    <row r="841" spans="1:16" x14ac:dyDescent="0.25">
      <c r="A841">
        <v>340</v>
      </c>
      <c r="B841" t="str">
        <f>IF(ISBLANK(VLOOKUP($A841,'Entry data'!$A:$K,2,FALSE)),"",VLOOKUP($A841,'Entry data'!$A:$K,2,FALSE))</f>
        <v/>
      </c>
      <c r="C841" t="str">
        <f>IF(ISBLANK(VLOOKUP($A841,'Entry data'!$A:$K,3,FALSE)),"",VLOOKUP($A841,'Entry data'!$A:$K,3,FALSE))</f>
        <v/>
      </c>
      <c r="D841" t="str">
        <f>IF(ISBLANK(VLOOKUP($A841,'Entry data'!$A:$K,4,FALSE)),"",VLOOKUP($A841,'Entry data'!$A:$K,4,FALSE))</f>
        <v/>
      </c>
      <c r="E841" t="str">
        <f>IF(ISBLANK(VLOOKUP($A841,'Entry data'!$A:$K,5,FALSE)),"",VLOOKUP($A841,'Entry data'!$A:$K,5,FALSE))</f>
        <v/>
      </c>
      <c r="F841" t="str">
        <f>IF(ISBLANK(VLOOKUP($A841,'Entry data'!$A:$K,6,FALSE)),"",VLOOKUP($A841,'Entry data'!$A:$K,6,FALSE))</f>
        <v/>
      </c>
      <c r="G841" t="str">
        <f>IF(ISBLANK(VLOOKUP($A841,'Entry data'!$A:$K,7,FALSE)),"",VLOOKUP($A841,'Entry data'!$A:$K,7,FALSE))</f>
        <v/>
      </c>
      <c r="H841" t="str">
        <f>IF(ISBLANK(VLOOKUP($A841,'Entry data'!$A:$K,8,FALSE)),"",VLOOKUP($A841,'Entry data'!$A:$K,8,FALSE))</f>
        <v/>
      </c>
      <c r="I841" t="str">
        <f>IF(ISBLANK(VLOOKUP($A841,'Entry data'!$A:$K,9,FALSE)),"",VLOOKUP($A841,'Entry data'!$A:$K,9,FALSE))</f>
        <v/>
      </c>
      <c r="J841" t="str">
        <f>IF(ISBLANK(VLOOKUP($A841,'Entry data'!$A:$K,10,FALSE)),"",VLOOKUP($A841,'Entry data'!$A:$K,10,FALSE))</f>
        <v/>
      </c>
      <c r="K841" t="str">
        <f>IF(ISBLANK(VLOOKUP($A841,'Entry data'!$A:$K,11,FALSE)),"",VLOOKUP($A841,'Entry data'!$A:$K,11,FALSE))</f>
        <v/>
      </c>
      <c r="L841">
        <f>IF(OR(EXACT(D841,"C"),EXACT(D841,"P"),EXACT(D841,"D"),EXACT(D841,"T"),EXACT(D841,"X"),EXACT(E841,"DZF"),EXACT(E841,"OZF"),EXACT(D841,"N"),EXACT(D841,"F")),1,0)</f>
        <v>0</v>
      </c>
      <c r="M841" t="str">
        <f t="shared" si="52"/>
        <v/>
      </c>
      <c r="N841">
        <f t="shared" si="53"/>
        <v>0</v>
      </c>
      <c r="O841">
        <f t="shared" si="54"/>
        <v>0</v>
      </c>
      <c r="P841" t="str">
        <f t="shared" si="55"/>
        <v/>
      </c>
    </row>
    <row r="842" spans="1:16" x14ac:dyDescent="0.25">
      <c r="A842">
        <v>341</v>
      </c>
      <c r="B842" t="str">
        <f>IF(ISBLANK(VLOOKUP($A842,'Entry data'!$A:$K,2,FALSE)),"",VLOOKUP($A842,'Entry data'!$A:$K,2,FALSE))</f>
        <v/>
      </c>
      <c r="C842" t="str">
        <f>IF(ISBLANK(VLOOKUP($A842,'Entry data'!$A:$K,3,FALSE)),"",VLOOKUP($A842,'Entry data'!$A:$K,3,FALSE))</f>
        <v/>
      </c>
      <c r="D842" t="str">
        <f>IF(ISBLANK(VLOOKUP($A842,'Entry data'!$A:$K,4,FALSE)),"",VLOOKUP($A842,'Entry data'!$A:$K,4,FALSE))</f>
        <v/>
      </c>
      <c r="E842" t="str">
        <f>IF(ISBLANK(VLOOKUP($A842,'Entry data'!$A:$K,5,FALSE)),"",VLOOKUP($A842,'Entry data'!$A:$K,5,FALSE))</f>
        <v/>
      </c>
      <c r="F842" t="str">
        <f>IF(ISBLANK(VLOOKUP($A842,'Entry data'!$A:$K,6,FALSE)),"",VLOOKUP($A842,'Entry data'!$A:$K,6,FALSE))</f>
        <v/>
      </c>
      <c r="G842" t="str">
        <f>IF(ISBLANK(VLOOKUP($A842,'Entry data'!$A:$K,7,FALSE)),"",VLOOKUP($A842,'Entry data'!$A:$K,7,FALSE))</f>
        <v/>
      </c>
      <c r="H842" t="str">
        <f>IF(ISBLANK(VLOOKUP($A842,'Entry data'!$A:$K,8,FALSE)),"",VLOOKUP($A842,'Entry data'!$A:$K,8,FALSE))</f>
        <v/>
      </c>
      <c r="I842" t="str">
        <f>IF(ISBLANK(VLOOKUP($A842,'Entry data'!$A:$K,9,FALSE)),"",VLOOKUP($A842,'Entry data'!$A:$K,9,FALSE))</f>
        <v/>
      </c>
      <c r="J842" t="str">
        <f>IF(ISBLANK(VLOOKUP($A842,'Entry data'!$A:$K,10,FALSE)),"",VLOOKUP($A842,'Entry data'!$A:$K,10,FALSE))</f>
        <v/>
      </c>
      <c r="K842" t="str">
        <f>IF(ISBLANK(VLOOKUP($A842,'Entry data'!$A:$K,11,FALSE)),"",VLOOKUP($A842,'Entry data'!$A:$K,11,FALSE))</f>
        <v/>
      </c>
      <c r="L842">
        <f>IF(OR(EXACT(D842,"C"),EXACT(D842,"P"),EXACT(D842,"D"),EXACT(D842,"T"),EXACT(D842,"X"),EXACT(E842,"DZF"),EXACT(E842,"OZF"),EXACT(D842,"N"),EXACT(D842,"F")),1,0)</f>
        <v>0</v>
      </c>
      <c r="M842" t="str">
        <f t="shared" si="52"/>
        <v/>
      </c>
      <c r="N842">
        <f t="shared" si="53"/>
        <v>0</v>
      </c>
      <c r="O842">
        <f t="shared" si="54"/>
        <v>0</v>
      </c>
      <c r="P842" t="str">
        <f t="shared" si="55"/>
        <v/>
      </c>
    </row>
    <row r="843" spans="1:16" x14ac:dyDescent="0.25">
      <c r="A843">
        <v>342</v>
      </c>
      <c r="B843" t="str">
        <f>IF(ISBLANK(VLOOKUP($A843,'Entry data'!$A:$K,2,FALSE)),"",VLOOKUP($A843,'Entry data'!$A:$K,2,FALSE))</f>
        <v/>
      </c>
      <c r="C843" t="str">
        <f>IF(ISBLANK(VLOOKUP($A843,'Entry data'!$A:$K,3,FALSE)),"",VLOOKUP($A843,'Entry data'!$A:$K,3,FALSE))</f>
        <v/>
      </c>
      <c r="D843" t="str">
        <f>IF(ISBLANK(VLOOKUP($A843,'Entry data'!$A:$K,4,FALSE)),"",VLOOKUP($A843,'Entry data'!$A:$K,4,FALSE))</f>
        <v/>
      </c>
      <c r="E843" t="str">
        <f>IF(ISBLANK(VLOOKUP($A843,'Entry data'!$A:$K,5,FALSE)),"",VLOOKUP($A843,'Entry data'!$A:$K,5,FALSE))</f>
        <v/>
      </c>
      <c r="F843" t="str">
        <f>IF(ISBLANK(VLOOKUP($A843,'Entry data'!$A:$K,6,FALSE)),"",VLOOKUP($A843,'Entry data'!$A:$K,6,FALSE))</f>
        <v/>
      </c>
      <c r="G843" t="str">
        <f>IF(ISBLANK(VLOOKUP($A843,'Entry data'!$A:$K,7,FALSE)),"",VLOOKUP($A843,'Entry data'!$A:$K,7,FALSE))</f>
        <v/>
      </c>
      <c r="H843" t="str">
        <f>IF(ISBLANK(VLOOKUP($A843,'Entry data'!$A:$K,8,FALSE)),"",VLOOKUP($A843,'Entry data'!$A:$K,8,FALSE))</f>
        <v/>
      </c>
      <c r="I843" t="str">
        <f>IF(ISBLANK(VLOOKUP($A843,'Entry data'!$A:$K,9,FALSE)),"",VLOOKUP($A843,'Entry data'!$A:$K,9,FALSE))</f>
        <v/>
      </c>
      <c r="J843" t="str">
        <f>IF(ISBLANK(VLOOKUP($A843,'Entry data'!$A:$K,10,FALSE)),"",VLOOKUP($A843,'Entry data'!$A:$K,10,FALSE))</f>
        <v/>
      </c>
      <c r="K843" t="str">
        <f>IF(ISBLANK(VLOOKUP($A843,'Entry data'!$A:$K,11,FALSE)),"",VLOOKUP($A843,'Entry data'!$A:$K,11,FALSE))</f>
        <v/>
      </c>
      <c r="L843">
        <f>IF(OR(EXACT(D843,"C"),EXACT(D843,"P"),EXACT(D843,"D"),EXACT(D843,"T"),EXACT(D843,"X"),EXACT(E843,"DZF"),EXACT(E843,"OZF"),EXACT(D843,"N"),EXACT(D843,"F")),1,0)</f>
        <v>0</v>
      </c>
      <c r="M843" t="str">
        <f t="shared" si="52"/>
        <v/>
      </c>
      <c r="N843">
        <f t="shared" si="53"/>
        <v>0</v>
      </c>
      <c r="O843">
        <f t="shared" si="54"/>
        <v>0</v>
      </c>
      <c r="P843" t="str">
        <f t="shared" si="55"/>
        <v/>
      </c>
    </row>
    <row r="844" spans="1:16" x14ac:dyDescent="0.25">
      <c r="A844">
        <v>343</v>
      </c>
      <c r="B844" t="str">
        <f>IF(ISBLANK(VLOOKUP($A844,'Entry data'!$A:$K,2,FALSE)),"",VLOOKUP($A844,'Entry data'!$A:$K,2,FALSE))</f>
        <v/>
      </c>
      <c r="C844" t="str">
        <f>IF(ISBLANK(VLOOKUP($A844,'Entry data'!$A:$K,3,FALSE)),"",VLOOKUP($A844,'Entry data'!$A:$K,3,FALSE))</f>
        <v/>
      </c>
      <c r="D844" t="str">
        <f>IF(ISBLANK(VLOOKUP($A844,'Entry data'!$A:$K,4,FALSE)),"",VLOOKUP($A844,'Entry data'!$A:$K,4,FALSE))</f>
        <v/>
      </c>
      <c r="E844" t="str">
        <f>IF(ISBLANK(VLOOKUP($A844,'Entry data'!$A:$K,5,FALSE)),"",VLOOKUP($A844,'Entry data'!$A:$K,5,FALSE))</f>
        <v/>
      </c>
      <c r="F844" t="str">
        <f>IF(ISBLANK(VLOOKUP($A844,'Entry data'!$A:$K,6,FALSE)),"",VLOOKUP($A844,'Entry data'!$A:$K,6,FALSE))</f>
        <v/>
      </c>
      <c r="G844" t="str">
        <f>IF(ISBLANK(VLOOKUP($A844,'Entry data'!$A:$K,7,FALSE)),"",VLOOKUP($A844,'Entry data'!$A:$K,7,FALSE))</f>
        <v/>
      </c>
      <c r="H844" t="str">
        <f>IF(ISBLANK(VLOOKUP($A844,'Entry data'!$A:$K,8,FALSE)),"",VLOOKUP($A844,'Entry data'!$A:$K,8,FALSE))</f>
        <v/>
      </c>
      <c r="I844" t="str">
        <f>IF(ISBLANK(VLOOKUP($A844,'Entry data'!$A:$K,9,FALSE)),"",VLOOKUP($A844,'Entry data'!$A:$K,9,FALSE))</f>
        <v/>
      </c>
      <c r="J844" t="str">
        <f>IF(ISBLANK(VLOOKUP($A844,'Entry data'!$A:$K,10,FALSE)),"",VLOOKUP($A844,'Entry data'!$A:$K,10,FALSE))</f>
        <v/>
      </c>
      <c r="K844" t="str">
        <f>IF(ISBLANK(VLOOKUP($A844,'Entry data'!$A:$K,11,FALSE)),"",VLOOKUP($A844,'Entry data'!$A:$K,11,FALSE))</f>
        <v/>
      </c>
      <c r="L844">
        <f>IF(OR(EXACT(D844,"C"),EXACT(D844,"P"),EXACT(D844,"D"),EXACT(D844,"T"),EXACT(D844,"X"),EXACT(E844,"DZF"),EXACT(E844,"OZF"),EXACT(D844,"N"),EXACT(D844,"F")),1,0)</f>
        <v>0</v>
      </c>
      <c r="M844" t="str">
        <f t="shared" si="52"/>
        <v/>
      </c>
      <c r="N844">
        <f t="shared" si="53"/>
        <v>0</v>
      </c>
      <c r="O844">
        <f t="shared" si="54"/>
        <v>0</v>
      </c>
      <c r="P844" t="str">
        <f t="shared" si="55"/>
        <v/>
      </c>
    </row>
    <row r="845" spans="1:16" x14ac:dyDescent="0.25">
      <c r="A845">
        <v>344</v>
      </c>
      <c r="B845" t="str">
        <f>IF(ISBLANK(VLOOKUP($A845,'Entry data'!$A:$K,2,FALSE)),"",VLOOKUP($A845,'Entry data'!$A:$K,2,FALSE))</f>
        <v/>
      </c>
      <c r="C845" t="str">
        <f>IF(ISBLANK(VLOOKUP($A845,'Entry data'!$A:$K,3,FALSE)),"",VLOOKUP($A845,'Entry data'!$A:$K,3,FALSE))</f>
        <v/>
      </c>
      <c r="D845" t="str">
        <f>IF(ISBLANK(VLOOKUP($A845,'Entry data'!$A:$K,4,FALSE)),"",VLOOKUP($A845,'Entry data'!$A:$K,4,FALSE))</f>
        <v/>
      </c>
      <c r="E845" t="str">
        <f>IF(ISBLANK(VLOOKUP($A845,'Entry data'!$A:$K,5,FALSE)),"",VLOOKUP($A845,'Entry data'!$A:$K,5,FALSE))</f>
        <v/>
      </c>
      <c r="F845" t="str">
        <f>IF(ISBLANK(VLOOKUP($A845,'Entry data'!$A:$K,6,FALSE)),"",VLOOKUP($A845,'Entry data'!$A:$K,6,FALSE))</f>
        <v/>
      </c>
      <c r="G845" t="str">
        <f>IF(ISBLANK(VLOOKUP($A845,'Entry data'!$A:$K,7,FALSE)),"",VLOOKUP($A845,'Entry data'!$A:$K,7,FALSE))</f>
        <v/>
      </c>
      <c r="H845" t="str">
        <f>IF(ISBLANK(VLOOKUP($A845,'Entry data'!$A:$K,8,FALSE)),"",VLOOKUP($A845,'Entry data'!$A:$K,8,FALSE))</f>
        <v/>
      </c>
      <c r="I845" t="str">
        <f>IF(ISBLANK(VLOOKUP($A845,'Entry data'!$A:$K,9,FALSE)),"",VLOOKUP($A845,'Entry data'!$A:$K,9,FALSE))</f>
        <v/>
      </c>
      <c r="J845" t="str">
        <f>IF(ISBLANK(VLOOKUP($A845,'Entry data'!$A:$K,10,FALSE)),"",VLOOKUP($A845,'Entry data'!$A:$K,10,FALSE))</f>
        <v/>
      </c>
      <c r="K845" t="str">
        <f>IF(ISBLANK(VLOOKUP($A845,'Entry data'!$A:$K,11,FALSE)),"",VLOOKUP($A845,'Entry data'!$A:$K,11,FALSE))</f>
        <v/>
      </c>
      <c r="L845">
        <f>IF(OR(EXACT(D845,"C"),EXACT(D845,"P"),EXACT(D845,"D"),EXACT(D845,"T"),EXACT(D845,"X"),EXACT(E845,"DZF"),EXACT(E845,"OZF"),EXACT(D845,"N"),EXACT(D845,"F")),1,0)</f>
        <v>0</v>
      </c>
      <c r="M845" t="str">
        <f t="shared" si="52"/>
        <v/>
      </c>
      <c r="N845">
        <f t="shared" si="53"/>
        <v>0</v>
      </c>
      <c r="O845">
        <f t="shared" si="54"/>
        <v>0</v>
      </c>
      <c r="P845" t="str">
        <f t="shared" si="55"/>
        <v/>
      </c>
    </row>
    <row r="846" spans="1:16" x14ac:dyDescent="0.25">
      <c r="A846">
        <v>345</v>
      </c>
      <c r="B846" t="str">
        <f>IF(ISBLANK(VLOOKUP($A846,'Entry data'!$A:$K,2,FALSE)),"",VLOOKUP($A846,'Entry data'!$A:$K,2,FALSE))</f>
        <v/>
      </c>
      <c r="C846" t="str">
        <f>IF(ISBLANK(VLOOKUP($A846,'Entry data'!$A:$K,3,FALSE)),"",VLOOKUP($A846,'Entry data'!$A:$K,3,FALSE))</f>
        <v/>
      </c>
      <c r="D846" t="str">
        <f>IF(ISBLANK(VLOOKUP($A846,'Entry data'!$A:$K,4,FALSE)),"",VLOOKUP($A846,'Entry data'!$A:$K,4,FALSE))</f>
        <v/>
      </c>
      <c r="E846" t="str">
        <f>IF(ISBLANK(VLOOKUP($A846,'Entry data'!$A:$K,5,FALSE)),"",VLOOKUP($A846,'Entry data'!$A:$K,5,FALSE))</f>
        <v/>
      </c>
      <c r="F846" t="str">
        <f>IF(ISBLANK(VLOOKUP($A846,'Entry data'!$A:$K,6,FALSE)),"",VLOOKUP($A846,'Entry data'!$A:$K,6,FALSE))</f>
        <v/>
      </c>
      <c r="G846" t="str">
        <f>IF(ISBLANK(VLOOKUP($A846,'Entry data'!$A:$K,7,FALSE)),"",VLOOKUP($A846,'Entry data'!$A:$K,7,FALSE))</f>
        <v/>
      </c>
      <c r="H846" t="str">
        <f>IF(ISBLANK(VLOOKUP($A846,'Entry data'!$A:$K,8,FALSE)),"",VLOOKUP($A846,'Entry data'!$A:$K,8,FALSE))</f>
        <v/>
      </c>
      <c r="I846" t="str">
        <f>IF(ISBLANK(VLOOKUP($A846,'Entry data'!$A:$K,9,FALSE)),"",VLOOKUP($A846,'Entry data'!$A:$K,9,FALSE))</f>
        <v/>
      </c>
      <c r="J846" t="str">
        <f>IF(ISBLANK(VLOOKUP($A846,'Entry data'!$A:$K,10,FALSE)),"",VLOOKUP($A846,'Entry data'!$A:$K,10,FALSE))</f>
        <v/>
      </c>
      <c r="K846" t="str">
        <f>IF(ISBLANK(VLOOKUP($A846,'Entry data'!$A:$K,11,FALSE)),"",VLOOKUP($A846,'Entry data'!$A:$K,11,FALSE))</f>
        <v/>
      </c>
      <c r="L846">
        <f>IF(OR(EXACT(D846,"C"),EXACT(D846,"P"),EXACT(D846,"D"),EXACT(D846,"T"),EXACT(D846,"X"),EXACT(E846,"DZF"),EXACT(E846,"OZF"),EXACT(D846,"N"),EXACT(D846,"F")),1,0)</f>
        <v>0</v>
      </c>
      <c r="M846" t="str">
        <f t="shared" si="52"/>
        <v/>
      </c>
      <c r="N846">
        <f t="shared" si="53"/>
        <v>0</v>
      </c>
      <c r="O846">
        <f t="shared" si="54"/>
        <v>0</v>
      </c>
      <c r="P846" t="str">
        <f t="shared" si="55"/>
        <v/>
      </c>
    </row>
    <row r="847" spans="1:16" x14ac:dyDescent="0.25">
      <c r="A847">
        <v>346</v>
      </c>
      <c r="B847" t="str">
        <f>IF(ISBLANK(VLOOKUP($A847,'Entry data'!$A:$K,2,FALSE)),"",VLOOKUP($A847,'Entry data'!$A:$K,2,FALSE))</f>
        <v/>
      </c>
      <c r="C847" t="str">
        <f>IF(ISBLANK(VLOOKUP($A847,'Entry data'!$A:$K,3,FALSE)),"",VLOOKUP($A847,'Entry data'!$A:$K,3,FALSE))</f>
        <v/>
      </c>
      <c r="D847" t="str">
        <f>IF(ISBLANK(VLOOKUP($A847,'Entry data'!$A:$K,4,FALSE)),"",VLOOKUP($A847,'Entry data'!$A:$K,4,FALSE))</f>
        <v/>
      </c>
      <c r="E847" t="str">
        <f>IF(ISBLANK(VLOOKUP($A847,'Entry data'!$A:$K,5,FALSE)),"",VLOOKUP($A847,'Entry data'!$A:$K,5,FALSE))</f>
        <v/>
      </c>
      <c r="F847" t="str">
        <f>IF(ISBLANK(VLOOKUP($A847,'Entry data'!$A:$K,6,FALSE)),"",VLOOKUP($A847,'Entry data'!$A:$K,6,FALSE))</f>
        <v/>
      </c>
      <c r="G847" t="str">
        <f>IF(ISBLANK(VLOOKUP($A847,'Entry data'!$A:$K,7,FALSE)),"",VLOOKUP($A847,'Entry data'!$A:$K,7,FALSE))</f>
        <v/>
      </c>
      <c r="H847" t="str">
        <f>IF(ISBLANK(VLOOKUP($A847,'Entry data'!$A:$K,8,FALSE)),"",VLOOKUP($A847,'Entry data'!$A:$K,8,FALSE))</f>
        <v/>
      </c>
      <c r="I847" t="str">
        <f>IF(ISBLANK(VLOOKUP($A847,'Entry data'!$A:$K,9,FALSE)),"",VLOOKUP($A847,'Entry data'!$A:$K,9,FALSE))</f>
        <v/>
      </c>
      <c r="J847" t="str">
        <f>IF(ISBLANK(VLOOKUP($A847,'Entry data'!$A:$K,10,FALSE)),"",VLOOKUP($A847,'Entry data'!$A:$K,10,FALSE))</f>
        <v/>
      </c>
      <c r="K847" t="str">
        <f>IF(ISBLANK(VLOOKUP($A847,'Entry data'!$A:$K,11,FALSE)),"",VLOOKUP($A847,'Entry data'!$A:$K,11,FALSE))</f>
        <v/>
      </c>
      <c r="L847">
        <f>IF(OR(EXACT(D847,"C"),EXACT(D847,"P"),EXACT(D847,"D"),EXACT(D847,"T"),EXACT(D847,"X"),EXACT(E847,"DZF"),EXACT(E847,"OZF"),EXACT(D847,"N"),EXACT(D847,"F")),1,0)</f>
        <v>0</v>
      </c>
      <c r="M847" t="str">
        <f t="shared" si="52"/>
        <v/>
      </c>
      <c r="N847">
        <f t="shared" si="53"/>
        <v>0</v>
      </c>
      <c r="O847">
        <f t="shared" si="54"/>
        <v>0</v>
      </c>
      <c r="P847" t="str">
        <f t="shared" si="55"/>
        <v/>
      </c>
    </row>
    <row r="848" spans="1:16" x14ac:dyDescent="0.25">
      <c r="A848">
        <v>347</v>
      </c>
      <c r="B848" t="str">
        <f>IF(ISBLANK(VLOOKUP($A848,'Entry data'!$A:$K,2,FALSE)),"",VLOOKUP($A848,'Entry data'!$A:$K,2,FALSE))</f>
        <v/>
      </c>
      <c r="C848" t="str">
        <f>IF(ISBLANK(VLOOKUP($A848,'Entry data'!$A:$K,3,FALSE)),"",VLOOKUP($A848,'Entry data'!$A:$K,3,FALSE))</f>
        <v/>
      </c>
      <c r="D848" t="str">
        <f>IF(ISBLANK(VLOOKUP($A848,'Entry data'!$A:$K,4,FALSE)),"",VLOOKUP($A848,'Entry data'!$A:$K,4,FALSE))</f>
        <v/>
      </c>
      <c r="E848" t="str">
        <f>IF(ISBLANK(VLOOKUP($A848,'Entry data'!$A:$K,5,FALSE)),"",VLOOKUP($A848,'Entry data'!$A:$K,5,FALSE))</f>
        <v/>
      </c>
      <c r="F848" t="str">
        <f>IF(ISBLANK(VLOOKUP($A848,'Entry data'!$A:$K,6,FALSE)),"",VLOOKUP($A848,'Entry data'!$A:$K,6,FALSE))</f>
        <v/>
      </c>
      <c r="G848" t="str">
        <f>IF(ISBLANK(VLOOKUP($A848,'Entry data'!$A:$K,7,FALSE)),"",VLOOKUP($A848,'Entry data'!$A:$K,7,FALSE))</f>
        <v/>
      </c>
      <c r="H848" t="str">
        <f>IF(ISBLANK(VLOOKUP($A848,'Entry data'!$A:$K,8,FALSE)),"",VLOOKUP($A848,'Entry data'!$A:$K,8,FALSE))</f>
        <v/>
      </c>
      <c r="I848" t="str">
        <f>IF(ISBLANK(VLOOKUP($A848,'Entry data'!$A:$K,9,FALSE)),"",VLOOKUP($A848,'Entry data'!$A:$K,9,FALSE))</f>
        <v/>
      </c>
      <c r="J848" t="str">
        <f>IF(ISBLANK(VLOOKUP($A848,'Entry data'!$A:$K,10,FALSE)),"",VLOOKUP($A848,'Entry data'!$A:$K,10,FALSE))</f>
        <v/>
      </c>
      <c r="K848" t="str">
        <f>IF(ISBLANK(VLOOKUP($A848,'Entry data'!$A:$K,11,FALSE)),"",VLOOKUP($A848,'Entry data'!$A:$K,11,FALSE))</f>
        <v/>
      </c>
      <c r="L848">
        <f>IF(OR(EXACT(D848,"C"),EXACT(D848,"P"),EXACT(D848,"D"),EXACT(D848,"T"),EXACT(D848,"X"),EXACT(E848,"DZF"),EXACT(E848,"OZF"),EXACT(D848,"N"),EXACT(D848,"F")),1,0)</f>
        <v>0</v>
      </c>
      <c r="M848" t="str">
        <f t="shared" si="52"/>
        <v/>
      </c>
      <c r="N848">
        <f t="shared" si="53"/>
        <v>0</v>
      </c>
      <c r="O848">
        <f t="shared" si="54"/>
        <v>0</v>
      </c>
      <c r="P848" t="str">
        <f t="shared" si="55"/>
        <v/>
      </c>
    </row>
    <row r="849" spans="1:16" x14ac:dyDescent="0.25">
      <c r="A849">
        <v>348</v>
      </c>
      <c r="B849" t="str">
        <f>IF(ISBLANK(VLOOKUP($A849,'Entry data'!$A:$K,2,FALSE)),"",VLOOKUP($A849,'Entry data'!$A:$K,2,FALSE))</f>
        <v/>
      </c>
      <c r="C849" t="str">
        <f>IF(ISBLANK(VLOOKUP($A849,'Entry data'!$A:$K,3,FALSE)),"",VLOOKUP($A849,'Entry data'!$A:$K,3,FALSE))</f>
        <v/>
      </c>
      <c r="D849" t="str">
        <f>IF(ISBLANK(VLOOKUP($A849,'Entry data'!$A:$K,4,FALSE)),"",VLOOKUP($A849,'Entry data'!$A:$K,4,FALSE))</f>
        <v/>
      </c>
      <c r="E849" t="str">
        <f>IF(ISBLANK(VLOOKUP($A849,'Entry data'!$A:$K,5,FALSE)),"",VLOOKUP($A849,'Entry data'!$A:$K,5,FALSE))</f>
        <v/>
      </c>
      <c r="F849" t="str">
        <f>IF(ISBLANK(VLOOKUP($A849,'Entry data'!$A:$K,6,FALSE)),"",VLOOKUP($A849,'Entry data'!$A:$K,6,FALSE))</f>
        <v/>
      </c>
      <c r="G849" t="str">
        <f>IF(ISBLANK(VLOOKUP($A849,'Entry data'!$A:$K,7,FALSE)),"",VLOOKUP($A849,'Entry data'!$A:$K,7,FALSE))</f>
        <v/>
      </c>
      <c r="H849" t="str">
        <f>IF(ISBLANK(VLOOKUP($A849,'Entry data'!$A:$K,8,FALSE)),"",VLOOKUP($A849,'Entry data'!$A:$K,8,FALSE))</f>
        <v/>
      </c>
      <c r="I849" t="str">
        <f>IF(ISBLANK(VLOOKUP($A849,'Entry data'!$A:$K,9,FALSE)),"",VLOOKUP($A849,'Entry data'!$A:$K,9,FALSE))</f>
        <v/>
      </c>
      <c r="J849" t="str">
        <f>IF(ISBLANK(VLOOKUP($A849,'Entry data'!$A:$K,10,FALSE)),"",VLOOKUP($A849,'Entry data'!$A:$K,10,FALSE))</f>
        <v/>
      </c>
      <c r="K849" t="str">
        <f>IF(ISBLANK(VLOOKUP($A849,'Entry data'!$A:$K,11,FALSE)),"",VLOOKUP($A849,'Entry data'!$A:$K,11,FALSE))</f>
        <v/>
      </c>
      <c r="L849">
        <f>IF(OR(EXACT(D849,"C"),EXACT(D849,"P"),EXACT(D849,"D"),EXACT(D849,"T"),EXACT(D849,"X"),EXACT(E849,"DZF"),EXACT(E849,"OZF"),EXACT(D849,"N"),EXACT(D849,"F")),1,0)</f>
        <v>0</v>
      </c>
      <c r="M849" t="str">
        <f t="shared" si="52"/>
        <v/>
      </c>
      <c r="N849">
        <f t="shared" si="53"/>
        <v>0</v>
      </c>
      <c r="O849">
        <f t="shared" si="54"/>
        <v>0</v>
      </c>
      <c r="P849" t="str">
        <f t="shared" si="55"/>
        <v/>
      </c>
    </row>
    <row r="850" spans="1:16" x14ac:dyDescent="0.25">
      <c r="A850">
        <v>349</v>
      </c>
      <c r="B850" t="str">
        <f>IF(ISBLANK(VLOOKUP($A850,'Entry data'!$A:$K,2,FALSE)),"",VLOOKUP($A850,'Entry data'!$A:$K,2,FALSE))</f>
        <v/>
      </c>
      <c r="C850" t="str">
        <f>IF(ISBLANK(VLOOKUP($A850,'Entry data'!$A:$K,3,FALSE)),"",VLOOKUP($A850,'Entry data'!$A:$K,3,FALSE))</f>
        <v/>
      </c>
      <c r="D850" t="str">
        <f>IF(ISBLANK(VLOOKUP($A850,'Entry data'!$A:$K,4,FALSE)),"",VLOOKUP($A850,'Entry data'!$A:$K,4,FALSE))</f>
        <v/>
      </c>
      <c r="E850" t="str">
        <f>IF(ISBLANK(VLOOKUP($A850,'Entry data'!$A:$K,5,FALSE)),"",VLOOKUP($A850,'Entry data'!$A:$K,5,FALSE))</f>
        <v/>
      </c>
      <c r="F850" t="str">
        <f>IF(ISBLANK(VLOOKUP($A850,'Entry data'!$A:$K,6,FALSE)),"",VLOOKUP($A850,'Entry data'!$A:$K,6,FALSE))</f>
        <v/>
      </c>
      <c r="G850" t="str">
        <f>IF(ISBLANK(VLOOKUP($A850,'Entry data'!$A:$K,7,FALSE)),"",VLOOKUP($A850,'Entry data'!$A:$K,7,FALSE))</f>
        <v/>
      </c>
      <c r="H850" t="str">
        <f>IF(ISBLANK(VLOOKUP($A850,'Entry data'!$A:$K,8,FALSE)),"",VLOOKUP($A850,'Entry data'!$A:$K,8,FALSE))</f>
        <v/>
      </c>
      <c r="I850" t="str">
        <f>IF(ISBLANK(VLOOKUP($A850,'Entry data'!$A:$K,9,FALSE)),"",VLOOKUP($A850,'Entry data'!$A:$K,9,FALSE))</f>
        <v/>
      </c>
      <c r="J850" t="str">
        <f>IF(ISBLANK(VLOOKUP($A850,'Entry data'!$A:$K,10,FALSE)),"",VLOOKUP($A850,'Entry data'!$A:$K,10,FALSE))</f>
        <v/>
      </c>
      <c r="K850" t="str">
        <f>IF(ISBLANK(VLOOKUP($A850,'Entry data'!$A:$K,11,FALSE)),"",VLOOKUP($A850,'Entry data'!$A:$K,11,FALSE))</f>
        <v/>
      </c>
      <c r="L850">
        <f>IF(OR(EXACT(D850,"C"),EXACT(D850,"P"),EXACT(D850,"D"),EXACT(D850,"T"),EXACT(D850,"X"),EXACT(E850,"DZF"),EXACT(E850,"OZF"),EXACT(D850,"N"),EXACT(D850,"F")),1,0)</f>
        <v>0</v>
      </c>
      <c r="M850" t="str">
        <f t="shared" si="52"/>
        <v/>
      </c>
      <c r="N850">
        <f t="shared" si="53"/>
        <v>0</v>
      </c>
      <c r="O850">
        <f t="shared" si="54"/>
        <v>0</v>
      </c>
      <c r="P850" t="str">
        <f t="shared" si="55"/>
        <v/>
      </c>
    </row>
    <row r="851" spans="1:16" x14ac:dyDescent="0.25">
      <c r="A851">
        <v>350</v>
      </c>
      <c r="B851" t="str">
        <f>IF(ISBLANK(VLOOKUP($A851,'Entry data'!$A:$K,2,FALSE)),"",VLOOKUP($A851,'Entry data'!$A:$K,2,FALSE))</f>
        <v/>
      </c>
      <c r="C851" t="str">
        <f>IF(ISBLANK(VLOOKUP($A851,'Entry data'!$A:$K,3,FALSE)),"",VLOOKUP($A851,'Entry data'!$A:$K,3,FALSE))</f>
        <v/>
      </c>
      <c r="D851" t="str">
        <f>IF(ISBLANK(VLOOKUP($A851,'Entry data'!$A:$K,4,FALSE)),"",VLOOKUP($A851,'Entry data'!$A:$K,4,FALSE))</f>
        <v/>
      </c>
      <c r="E851" t="str">
        <f>IF(ISBLANK(VLOOKUP($A851,'Entry data'!$A:$K,5,FALSE)),"",VLOOKUP($A851,'Entry data'!$A:$K,5,FALSE))</f>
        <v/>
      </c>
      <c r="F851" t="str">
        <f>IF(ISBLANK(VLOOKUP($A851,'Entry data'!$A:$K,6,FALSE)),"",VLOOKUP($A851,'Entry data'!$A:$K,6,FALSE))</f>
        <v/>
      </c>
      <c r="G851" t="str">
        <f>IF(ISBLANK(VLOOKUP($A851,'Entry data'!$A:$K,7,FALSE)),"",VLOOKUP($A851,'Entry data'!$A:$K,7,FALSE))</f>
        <v/>
      </c>
      <c r="H851" t="str">
        <f>IF(ISBLANK(VLOOKUP($A851,'Entry data'!$A:$K,8,FALSE)),"",VLOOKUP($A851,'Entry data'!$A:$K,8,FALSE))</f>
        <v/>
      </c>
      <c r="I851" t="str">
        <f>IF(ISBLANK(VLOOKUP($A851,'Entry data'!$A:$K,9,FALSE)),"",VLOOKUP($A851,'Entry data'!$A:$K,9,FALSE))</f>
        <v/>
      </c>
      <c r="J851" t="str">
        <f>IF(ISBLANK(VLOOKUP($A851,'Entry data'!$A:$K,10,FALSE)),"",VLOOKUP($A851,'Entry data'!$A:$K,10,FALSE))</f>
        <v/>
      </c>
      <c r="K851" t="str">
        <f>IF(ISBLANK(VLOOKUP($A851,'Entry data'!$A:$K,11,FALSE)),"",VLOOKUP($A851,'Entry data'!$A:$K,11,FALSE))</f>
        <v/>
      </c>
      <c r="L851">
        <f>IF(OR(EXACT(D851,"C"),EXACT(D851,"P"),EXACT(D851,"D"),EXACT(D851,"T"),EXACT(D851,"X"),EXACT(E851,"DZF"),EXACT(E851,"OZF"),EXACT(D851,"N"),EXACT(D851,"F")),1,0)</f>
        <v>0</v>
      </c>
      <c r="M851" t="str">
        <f t="shared" si="52"/>
        <v/>
      </c>
      <c r="N851">
        <f t="shared" si="53"/>
        <v>0</v>
      </c>
      <c r="O851">
        <f t="shared" si="54"/>
        <v>0</v>
      </c>
      <c r="P851" t="str">
        <f t="shared" si="55"/>
        <v/>
      </c>
    </row>
    <row r="852" spans="1:16" x14ac:dyDescent="0.25">
      <c r="A852">
        <v>351</v>
      </c>
      <c r="B852" t="str">
        <f>IF(ISBLANK(VLOOKUP($A852,'Entry data'!$A:$K,2,FALSE)),"",VLOOKUP($A852,'Entry data'!$A:$K,2,FALSE))</f>
        <v/>
      </c>
      <c r="C852" t="str">
        <f>IF(ISBLANK(VLOOKUP($A852,'Entry data'!$A:$K,3,FALSE)),"",VLOOKUP($A852,'Entry data'!$A:$K,3,FALSE))</f>
        <v/>
      </c>
      <c r="D852" t="str">
        <f>IF(ISBLANK(VLOOKUP($A852,'Entry data'!$A:$K,4,FALSE)),"",VLOOKUP($A852,'Entry data'!$A:$K,4,FALSE))</f>
        <v/>
      </c>
      <c r="E852" t="str">
        <f>IF(ISBLANK(VLOOKUP($A852,'Entry data'!$A:$K,5,FALSE)),"",VLOOKUP($A852,'Entry data'!$A:$K,5,FALSE))</f>
        <v/>
      </c>
      <c r="F852" t="str">
        <f>IF(ISBLANK(VLOOKUP($A852,'Entry data'!$A:$K,6,FALSE)),"",VLOOKUP($A852,'Entry data'!$A:$K,6,FALSE))</f>
        <v/>
      </c>
      <c r="G852" t="str">
        <f>IF(ISBLANK(VLOOKUP($A852,'Entry data'!$A:$K,7,FALSE)),"",VLOOKUP($A852,'Entry data'!$A:$K,7,FALSE))</f>
        <v/>
      </c>
      <c r="H852" t="str">
        <f>IF(ISBLANK(VLOOKUP($A852,'Entry data'!$A:$K,8,FALSE)),"",VLOOKUP($A852,'Entry data'!$A:$K,8,FALSE))</f>
        <v/>
      </c>
      <c r="I852" t="str">
        <f>IF(ISBLANK(VLOOKUP($A852,'Entry data'!$A:$K,9,FALSE)),"",VLOOKUP($A852,'Entry data'!$A:$K,9,FALSE))</f>
        <v/>
      </c>
      <c r="J852" t="str">
        <f>IF(ISBLANK(VLOOKUP($A852,'Entry data'!$A:$K,10,FALSE)),"",VLOOKUP($A852,'Entry data'!$A:$K,10,FALSE))</f>
        <v/>
      </c>
      <c r="K852" t="str">
        <f>IF(ISBLANK(VLOOKUP($A852,'Entry data'!$A:$K,11,FALSE)),"",VLOOKUP($A852,'Entry data'!$A:$K,11,FALSE))</f>
        <v/>
      </c>
      <c r="L852">
        <f>IF(OR(EXACT(D852,"C"),EXACT(D852,"P"),EXACT(D852,"D"),EXACT(D852,"T"),EXACT(D852,"X"),EXACT(E852,"DZF"),EXACT(E852,"OZF"),EXACT(D852,"N"),EXACT(D852,"F")),1,0)</f>
        <v>0</v>
      </c>
      <c r="M852" t="str">
        <f t="shared" si="52"/>
        <v/>
      </c>
      <c r="N852">
        <f t="shared" si="53"/>
        <v>0</v>
      </c>
      <c r="O852">
        <f t="shared" si="54"/>
        <v>0</v>
      </c>
      <c r="P852" t="str">
        <f t="shared" si="55"/>
        <v/>
      </c>
    </row>
    <row r="853" spans="1:16" x14ac:dyDescent="0.25">
      <c r="A853">
        <v>352</v>
      </c>
      <c r="B853" t="str">
        <f>IF(ISBLANK(VLOOKUP($A853,'Entry data'!$A:$K,2,FALSE)),"",VLOOKUP($A853,'Entry data'!$A:$K,2,FALSE))</f>
        <v/>
      </c>
      <c r="C853" t="str">
        <f>IF(ISBLANK(VLOOKUP($A853,'Entry data'!$A:$K,3,FALSE)),"",VLOOKUP($A853,'Entry data'!$A:$K,3,FALSE))</f>
        <v/>
      </c>
      <c r="D853" t="str">
        <f>IF(ISBLANK(VLOOKUP($A853,'Entry data'!$A:$K,4,FALSE)),"",VLOOKUP($A853,'Entry data'!$A:$K,4,FALSE))</f>
        <v/>
      </c>
      <c r="E853" t="str">
        <f>IF(ISBLANK(VLOOKUP($A853,'Entry data'!$A:$K,5,FALSE)),"",VLOOKUP($A853,'Entry data'!$A:$K,5,FALSE))</f>
        <v/>
      </c>
      <c r="F853" t="str">
        <f>IF(ISBLANK(VLOOKUP($A853,'Entry data'!$A:$K,6,FALSE)),"",VLOOKUP($A853,'Entry data'!$A:$K,6,FALSE))</f>
        <v/>
      </c>
      <c r="G853" t="str">
        <f>IF(ISBLANK(VLOOKUP($A853,'Entry data'!$A:$K,7,FALSE)),"",VLOOKUP($A853,'Entry data'!$A:$K,7,FALSE))</f>
        <v/>
      </c>
      <c r="H853" t="str">
        <f>IF(ISBLANK(VLOOKUP($A853,'Entry data'!$A:$K,8,FALSE)),"",VLOOKUP($A853,'Entry data'!$A:$K,8,FALSE))</f>
        <v/>
      </c>
      <c r="I853" t="str">
        <f>IF(ISBLANK(VLOOKUP($A853,'Entry data'!$A:$K,9,FALSE)),"",VLOOKUP($A853,'Entry data'!$A:$K,9,FALSE))</f>
        <v/>
      </c>
      <c r="J853" t="str">
        <f>IF(ISBLANK(VLOOKUP($A853,'Entry data'!$A:$K,10,FALSE)),"",VLOOKUP($A853,'Entry data'!$A:$K,10,FALSE))</f>
        <v/>
      </c>
      <c r="K853" t="str">
        <f>IF(ISBLANK(VLOOKUP($A853,'Entry data'!$A:$K,11,FALSE)),"",VLOOKUP($A853,'Entry data'!$A:$K,11,FALSE))</f>
        <v/>
      </c>
      <c r="L853">
        <f>IF(OR(EXACT(D853,"C"),EXACT(D853,"P"),EXACT(D853,"D"),EXACT(D853,"T"),EXACT(D853,"X"),EXACT(E853,"DZF"),EXACT(E853,"OZF"),EXACT(D853,"N"),EXACT(D853,"F")),1,0)</f>
        <v>0</v>
      </c>
      <c r="M853" t="str">
        <f t="shared" si="52"/>
        <v/>
      </c>
      <c r="N853">
        <f t="shared" si="53"/>
        <v>0</v>
      </c>
      <c r="O853">
        <f t="shared" si="54"/>
        <v>0</v>
      </c>
      <c r="P853" t="str">
        <f t="shared" si="55"/>
        <v/>
      </c>
    </row>
    <row r="854" spans="1:16" x14ac:dyDescent="0.25">
      <c r="A854">
        <v>353</v>
      </c>
      <c r="B854" t="str">
        <f>IF(ISBLANK(VLOOKUP($A854,'Entry data'!$A:$K,2,FALSE)),"",VLOOKUP($A854,'Entry data'!$A:$K,2,FALSE))</f>
        <v/>
      </c>
      <c r="C854" t="str">
        <f>IF(ISBLANK(VLOOKUP($A854,'Entry data'!$A:$K,3,FALSE)),"",VLOOKUP($A854,'Entry data'!$A:$K,3,FALSE))</f>
        <v/>
      </c>
      <c r="D854" t="str">
        <f>IF(ISBLANK(VLOOKUP($A854,'Entry data'!$A:$K,4,FALSE)),"",VLOOKUP($A854,'Entry data'!$A:$K,4,FALSE))</f>
        <v/>
      </c>
      <c r="E854" t="str">
        <f>IF(ISBLANK(VLOOKUP($A854,'Entry data'!$A:$K,5,FALSE)),"",VLOOKUP($A854,'Entry data'!$A:$K,5,FALSE))</f>
        <v/>
      </c>
      <c r="F854" t="str">
        <f>IF(ISBLANK(VLOOKUP($A854,'Entry data'!$A:$K,6,FALSE)),"",VLOOKUP($A854,'Entry data'!$A:$K,6,FALSE))</f>
        <v/>
      </c>
      <c r="G854" t="str">
        <f>IF(ISBLANK(VLOOKUP($A854,'Entry data'!$A:$K,7,FALSE)),"",VLOOKUP($A854,'Entry data'!$A:$K,7,FALSE))</f>
        <v/>
      </c>
      <c r="H854" t="str">
        <f>IF(ISBLANK(VLOOKUP($A854,'Entry data'!$A:$K,8,FALSE)),"",VLOOKUP($A854,'Entry data'!$A:$K,8,FALSE))</f>
        <v/>
      </c>
      <c r="I854" t="str">
        <f>IF(ISBLANK(VLOOKUP($A854,'Entry data'!$A:$K,9,FALSE)),"",VLOOKUP($A854,'Entry data'!$A:$K,9,FALSE))</f>
        <v/>
      </c>
      <c r="J854" t="str">
        <f>IF(ISBLANK(VLOOKUP($A854,'Entry data'!$A:$K,10,FALSE)),"",VLOOKUP($A854,'Entry data'!$A:$K,10,FALSE))</f>
        <v/>
      </c>
      <c r="K854" t="str">
        <f>IF(ISBLANK(VLOOKUP($A854,'Entry data'!$A:$K,11,FALSE)),"",VLOOKUP($A854,'Entry data'!$A:$K,11,FALSE))</f>
        <v/>
      </c>
      <c r="L854">
        <f>IF(OR(EXACT(D854,"C"),EXACT(D854,"P"),EXACT(D854,"D"),EXACT(D854,"T"),EXACT(D854,"X"),EXACT(E854,"DZF"),EXACT(E854,"OZF"),EXACT(D854,"N"),EXACT(D854,"F")),1,0)</f>
        <v>0</v>
      </c>
      <c r="M854" t="str">
        <f t="shared" si="52"/>
        <v/>
      </c>
      <c r="N854">
        <f t="shared" si="53"/>
        <v>0</v>
      </c>
      <c r="O854">
        <f t="shared" si="54"/>
        <v>0</v>
      </c>
      <c r="P854" t="str">
        <f t="shared" si="55"/>
        <v/>
      </c>
    </row>
    <row r="855" spans="1:16" x14ac:dyDescent="0.25">
      <c r="A855">
        <v>354</v>
      </c>
      <c r="B855" t="str">
        <f>IF(ISBLANK(VLOOKUP($A855,'Entry data'!$A:$K,2,FALSE)),"",VLOOKUP($A855,'Entry data'!$A:$K,2,FALSE))</f>
        <v/>
      </c>
      <c r="C855" t="str">
        <f>IF(ISBLANK(VLOOKUP($A855,'Entry data'!$A:$K,3,FALSE)),"",VLOOKUP($A855,'Entry data'!$A:$K,3,FALSE))</f>
        <v/>
      </c>
      <c r="D855" t="str">
        <f>IF(ISBLANK(VLOOKUP($A855,'Entry data'!$A:$K,4,FALSE)),"",VLOOKUP($A855,'Entry data'!$A:$K,4,FALSE))</f>
        <v/>
      </c>
      <c r="E855" t="str">
        <f>IF(ISBLANK(VLOOKUP($A855,'Entry data'!$A:$K,5,FALSE)),"",VLOOKUP($A855,'Entry data'!$A:$K,5,FALSE))</f>
        <v/>
      </c>
      <c r="F855" t="str">
        <f>IF(ISBLANK(VLOOKUP($A855,'Entry data'!$A:$K,6,FALSE)),"",VLOOKUP($A855,'Entry data'!$A:$K,6,FALSE))</f>
        <v/>
      </c>
      <c r="G855" t="str">
        <f>IF(ISBLANK(VLOOKUP($A855,'Entry data'!$A:$K,7,FALSE)),"",VLOOKUP($A855,'Entry data'!$A:$K,7,FALSE))</f>
        <v/>
      </c>
      <c r="H855" t="str">
        <f>IF(ISBLANK(VLOOKUP($A855,'Entry data'!$A:$K,8,FALSE)),"",VLOOKUP($A855,'Entry data'!$A:$K,8,FALSE))</f>
        <v/>
      </c>
      <c r="I855" t="str">
        <f>IF(ISBLANK(VLOOKUP($A855,'Entry data'!$A:$K,9,FALSE)),"",VLOOKUP($A855,'Entry data'!$A:$K,9,FALSE))</f>
        <v/>
      </c>
      <c r="J855" t="str">
        <f>IF(ISBLANK(VLOOKUP($A855,'Entry data'!$A:$K,10,FALSE)),"",VLOOKUP($A855,'Entry data'!$A:$K,10,FALSE))</f>
        <v/>
      </c>
      <c r="K855" t="str">
        <f>IF(ISBLANK(VLOOKUP($A855,'Entry data'!$A:$K,11,FALSE)),"",VLOOKUP($A855,'Entry data'!$A:$K,11,FALSE))</f>
        <v/>
      </c>
      <c r="L855">
        <f>IF(OR(EXACT(D855,"C"),EXACT(D855,"P"),EXACT(D855,"D"),EXACT(D855,"T"),EXACT(D855,"X"),EXACT(E855,"DZF"),EXACT(E855,"OZF"),EXACT(D855,"N"),EXACT(D855,"F")),1,0)</f>
        <v>0</v>
      </c>
      <c r="M855" t="str">
        <f t="shared" si="52"/>
        <v/>
      </c>
      <c r="N855">
        <f t="shared" si="53"/>
        <v>0</v>
      </c>
      <c r="O855">
        <f t="shared" si="54"/>
        <v>0</v>
      </c>
      <c r="P855" t="str">
        <f t="shared" si="55"/>
        <v/>
      </c>
    </row>
    <row r="856" spans="1:16" x14ac:dyDescent="0.25">
      <c r="A856">
        <v>355</v>
      </c>
      <c r="B856" t="str">
        <f>IF(ISBLANK(VLOOKUP($A856,'Entry data'!$A:$K,2,FALSE)),"",VLOOKUP($A856,'Entry data'!$A:$K,2,FALSE))</f>
        <v/>
      </c>
      <c r="C856" t="str">
        <f>IF(ISBLANK(VLOOKUP($A856,'Entry data'!$A:$K,3,FALSE)),"",VLOOKUP($A856,'Entry data'!$A:$K,3,FALSE))</f>
        <v/>
      </c>
      <c r="D856" t="str">
        <f>IF(ISBLANK(VLOOKUP($A856,'Entry data'!$A:$K,4,FALSE)),"",VLOOKUP($A856,'Entry data'!$A:$K,4,FALSE))</f>
        <v/>
      </c>
      <c r="E856" t="str">
        <f>IF(ISBLANK(VLOOKUP($A856,'Entry data'!$A:$K,5,FALSE)),"",VLOOKUP($A856,'Entry data'!$A:$K,5,FALSE))</f>
        <v/>
      </c>
      <c r="F856" t="str">
        <f>IF(ISBLANK(VLOOKUP($A856,'Entry data'!$A:$K,6,FALSE)),"",VLOOKUP($A856,'Entry data'!$A:$K,6,FALSE))</f>
        <v/>
      </c>
      <c r="G856" t="str">
        <f>IF(ISBLANK(VLOOKUP($A856,'Entry data'!$A:$K,7,FALSE)),"",VLOOKUP($A856,'Entry data'!$A:$K,7,FALSE))</f>
        <v/>
      </c>
      <c r="H856" t="str">
        <f>IF(ISBLANK(VLOOKUP($A856,'Entry data'!$A:$K,8,FALSE)),"",VLOOKUP($A856,'Entry data'!$A:$K,8,FALSE))</f>
        <v/>
      </c>
      <c r="I856" t="str">
        <f>IF(ISBLANK(VLOOKUP($A856,'Entry data'!$A:$K,9,FALSE)),"",VLOOKUP($A856,'Entry data'!$A:$K,9,FALSE))</f>
        <v/>
      </c>
      <c r="J856" t="str">
        <f>IF(ISBLANK(VLOOKUP($A856,'Entry data'!$A:$K,10,FALSE)),"",VLOOKUP($A856,'Entry data'!$A:$K,10,FALSE))</f>
        <v/>
      </c>
      <c r="K856" t="str">
        <f>IF(ISBLANK(VLOOKUP($A856,'Entry data'!$A:$K,11,FALSE)),"",VLOOKUP($A856,'Entry data'!$A:$K,11,FALSE))</f>
        <v/>
      </c>
      <c r="L856">
        <f>IF(OR(EXACT(D856,"C"),EXACT(D856,"P"),EXACT(D856,"D"),EXACT(D856,"T"),EXACT(D856,"X"),EXACT(E856,"DZF"),EXACT(E856,"OZF"),EXACT(D856,"N"),EXACT(D856,"F")),1,0)</f>
        <v>0</v>
      </c>
      <c r="M856" t="str">
        <f t="shared" si="52"/>
        <v/>
      </c>
      <c r="N856">
        <f t="shared" si="53"/>
        <v>0</v>
      </c>
      <c r="O856">
        <f t="shared" si="54"/>
        <v>0</v>
      </c>
      <c r="P856" t="str">
        <f t="shared" si="55"/>
        <v/>
      </c>
    </row>
    <row r="857" spans="1:16" x14ac:dyDescent="0.25">
      <c r="A857">
        <v>356</v>
      </c>
      <c r="B857" t="str">
        <f>IF(ISBLANK(VLOOKUP($A857,'Entry data'!$A:$K,2,FALSE)),"",VLOOKUP($A857,'Entry data'!$A:$K,2,FALSE))</f>
        <v/>
      </c>
      <c r="C857" t="str">
        <f>IF(ISBLANK(VLOOKUP($A857,'Entry data'!$A:$K,3,FALSE)),"",VLOOKUP($A857,'Entry data'!$A:$K,3,FALSE))</f>
        <v/>
      </c>
      <c r="D857" t="str">
        <f>IF(ISBLANK(VLOOKUP($A857,'Entry data'!$A:$K,4,FALSE)),"",VLOOKUP($A857,'Entry data'!$A:$K,4,FALSE))</f>
        <v/>
      </c>
      <c r="E857" t="str">
        <f>IF(ISBLANK(VLOOKUP($A857,'Entry data'!$A:$K,5,FALSE)),"",VLOOKUP($A857,'Entry data'!$A:$K,5,FALSE))</f>
        <v/>
      </c>
      <c r="F857" t="str">
        <f>IF(ISBLANK(VLOOKUP($A857,'Entry data'!$A:$K,6,FALSE)),"",VLOOKUP($A857,'Entry data'!$A:$K,6,FALSE))</f>
        <v/>
      </c>
      <c r="G857" t="str">
        <f>IF(ISBLANK(VLOOKUP($A857,'Entry data'!$A:$K,7,FALSE)),"",VLOOKUP($A857,'Entry data'!$A:$K,7,FALSE))</f>
        <v/>
      </c>
      <c r="H857" t="str">
        <f>IF(ISBLANK(VLOOKUP($A857,'Entry data'!$A:$K,8,FALSE)),"",VLOOKUP($A857,'Entry data'!$A:$K,8,FALSE))</f>
        <v/>
      </c>
      <c r="I857" t="str">
        <f>IF(ISBLANK(VLOOKUP($A857,'Entry data'!$A:$K,9,FALSE)),"",VLOOKUP($A857,'Entry data'!$A:$K,9,FALSE))</f>
        <v/>
      </c>
      <c r="J857" t="str">
        <f>IF(ISBLANK(VLOOKUP($A857,'Entry data'!$A:$K,10,FALSE)),"",VLOOKUP($A857,'Entry data'!$A:$K,10,FALSE))</f>
        <v/>
      </c>
      <c r="K857" t="str">
        <f>IF(ISBLANK(VLOOKUP($A857,'Entry data'!$A:$K,11,FALSE)),"",VLOOKUP($A857,'Entry data'!$A:$K,11,FALSE))</f>
        <v/>
      </c>
      <c r="L857">
        <f>IF(OR(EXACT(D857,"C"),EXACT(D857,"P"),EXACT(D857,"D"),EXACT(D857,"T"),EXACT(D857,"X"),EXACT(E857,"DZF"),EXACT(E857,"OZF"),EXACT(D857,"N"),EXACT(D857,"F")),1,0)</f>
        <v>0</v>
      </c>
      <c r="M857" t="str">
        <f t="shared" si="52"/>
        <v/>
      </c>
      <c r="N857">
        <f t="shared" si="53"/>
        <v>0</v>
      </c>
      <c r="O857">
        <f t="shared" si="54"/>
        <v>0</v>
      </c>
      <c r="P857" t="str">
        <f t="shared" si="55"/>
        <v/>
      </c>
    </row>
    <row r="858" spans="1:16" x14ac:dyDescent="0.25">
      <c r="A858">
        <v>357</v>
      </c>
      <c r="B858" t="str">
        <f>IF(ISBLANK(VLOOKUP($A858,'Entry data'!$A:$K,2,FALSE)),"",VLOOKUP($A858,'Entry data'!$A:$K,2,FALSE))</f>
        <v/>
      </c>
      <c r="C858" t="str">
        <f>IF(ISBLANK(VLOOKUP($A858,'Entry data'!$A:$K,3,FALSE)),"",VLOOKUP($A858,'Entry data'!$A:$K,3,FALSE))</f>
        <v/>
      </c>
      <c r="D858" t="str">
        <f>IF(ISBLANK(VLOOKUP($A858,'Entry data'!$A:$K,4,FALSE)),"",VLOOKUP($A858,'Entry data'!$A:$K,4,FALSE))</f>
        <v/>
      </c>
      <c r="E858" t="str">
        <f>IF(ISBLANK(VLOOKUP($A858,'Entry data'!$A:$K,5,FALSE)),"",VLOOKUP($A858,'Entry data'!$A:$K,5,FALSE))</f>
        <v/>
      </c>
      <c r="F858" t="str">
        <f>IF(ISBLANK(VLOOKUP($A858,'Entry data'!$A:$K,6,FALSE)),"",VLOOKUP($A858,'Entry data'!$A:$K,6,FALSE))</f>
        <v/>
      </c>
      <c r="G858" t="str">
        <f>IF(ISBLANK(VLOOKUP($A858,'Entry data'!$A:$K,7,FALSE)),"",VLOOKUP($A858,'Entry data'!$A:$K,7,FALSE))</f>
        <v/>
      </c>
      <c r="H858" t="str">
        <f>IF(ISBLANK(VLOOKUP($A858,'Entry data'!$A:$K,8,FALSE)),"",VLOOKUP($A858,'Entry data'!$A:$K,8,FALSE))</f>
        <v/>
      </c>
      <c r="I858" t="str">
        <f>IF(ISBLANK(VLOOKUP($A858,'Entry data'!$A:$K,9,FALSE)),"",VLOOKUP($A858,'Entry data'!$A:$K,9,FALSE))</f>
        <v/>
      </c>
      <c r="J858" t="str">
        <f>IF(ISBLANK(VLOOKUP($A858,'Entry data'!$A:$K,10,FALSE)),"",VLOOKUP($A858,'Entry data'!$A:$K,10,FALSE))</f>
        <v/>
      </c>
      <c r="K858" t="str">
        <f>IF(ISBLANK(VLOOKUP($A858,'Entry data'!$A:$K,11,FALSE)),"",VLOOKUP($A858,'Entry data'!$A:$K,11,FALSE))</f>
        <v/>
      </c>
      <c r="L858">
        <f>IF(OR(EXACT(D858,"C"),EXACT(D858,"P"),EXACT(D858,"D"),EXACT(D858,"T"),EXACT(D858,"X"),EXACT(E858,"DZF"),EXACT(E858,"OZF"),EXACT(D858,"N"),EXACT(D858,"F")),1,0)</f>
        <v>0</v>
      </c>
      <c r="M858" t="str">
        <f t="shared" si="52"/>
        <v/>
      </c>
      <c r="N858">
        <f t="shared" si="53"/>
        <v>0</v>
      </c>
      <c r="O858">
        <f t="shared" si="54"/>
        <v>0</v>
      </c>
      <c r="P858" t="str">
        <f t="shared" si="55"/>
        <v/>
      </c>
    </row>
    <row r="859" spans="1:16" x14ac:dyDescent="0.25">
      <c r="A859">
        <v>358</v>
      </c>
      <c r="B859" t="str">
        <f>IF(ISBLANK(VLOOKUP($A859,'Entry data'!$A:$K,2,FALSE)),"",VLOOKUP($A859,'Entry data'!$A:$K,2,FALSE))</f>
        <v/>
      </c>
      <c r="C859" t="str">
        <f>IF(ISBLANK(VLOOKUP($A859,'Entry data'!$A:$K,3,FALSE)),"",VLOOKUP($A859,'Entry data'!$A:$K,3,FALSE))</f>
        <v/>
      </c>
      <c r="D859" t="str">
        <f>IF(ISBLANK(VLOOKUP($A859,'Entry data'!$A:$K,4,FALSE)),"",VLOOKUP($A859,'Entry data'!$A:$K,4,FALSE))</f>
        <v/>
      </c>
      <c r="E859" t="str">
        <f>IF(ISBLANK(VLOOKUP($A859,'Entry data'!$A:$K,5,FALSE)),"",VLOOKUP($A859,'Entry data'!$A:$K,5,FALSE))</f>
        <v/>
      </c>
      <c r="F859" t="str">
        <f>IF(ISBLANK(VLOOKUP($A859,'Entry data'!$A:$K,6,FALSE)),"",VLOOKUP($A859,'Entry data'!$A:$K,6,FALSE))</f>
        <v/>
      </c>
      <c r="G859" t="str">
        <f>IF(ISBLANK(VLOOKUP($A859,'Entry data'!$A:$K,7,FALSE)),"",VLOOKUP($A859,'Entry data'!$A:$K,7,FALSE))</f>
        <v/>
      </c>
      <c r="H859" t="str">
        <f>IF(ISBLANK(VLOOKUP($A859,'Entry data'!$A:$K,8,FALSE)),"",VLOOKUP($A859,'Entry data'!$A:$K,8,FALSE))</f>
        <v/>
      </c>
      <c r="I859" t="str">
        <f>IF(ISBLANK(VLOOKUP($A859,'Entry data'!$A:$K,9,FALSE)),"",VLOOKUP($A859,'Entry data'!$A:$K,9,FALSE))</f>
        <v/>
      </c>
      <c r="J859" t="str">
        <f>IF(ISBLANK(VLOOKUP($A859,'Entry data'!$A:$K,10,FALSE)),"",VLOOKUP($A859,'Entry data'!$A:$K,10,FALSE))</f>
        <v/>
      </c>
      <c r="K859" t="str">
        <f>IF(ISBLANK(VLOOKUP($A859,'Entry data'!$A:$K,11,FALSE)),"",VLOOKUP($A859,'Entry data'!$A:$K,11,FALSE))</f>
        <v/>
      </c>
      <c r="L859">
        <f>IF(OR(EXACT(D859,"C"),EXACT(D859,"P"),EXACT(D859,"D"),EXACT(D859,"T"),EXACT(D859,"X"),EXACT(E859,"DZF"),EXACT(E859,"OZF"),EXACT(D859,"N"),EXACT(D859,"F")),1,0)</f>
        <v>0</v>
      </c>
      <c r="M859" t="str">
        <f t="shared" si="52"/>
        <v/>
      </c>
      <c r="N859">
        <f t="shared" si="53"/>
        <v>0</v>
      </c>
      <c r="O859">
        <f t="shared" si="54"/>
        <v>0</v>
      </c>
      <c r="P859" t="str">
        <f t="shared" si="55"/>
        <v/>
      </c>
    </row>
    <row r="860" spans="1:16" x14ac:dyDescent="0.25">
      <c r="A860">
        <v>359</v>
      </c>
      <c r="B860" t="str">
        <f>IF(ISBLANK(VLOOKUP($A860,'Entry data'!$A:$K,2,FALSE)),"",VLOOKUP($A860,'Entry data'!$A:$K,2,FALSE))</f>
        <v/>
      </c>
      <c r="C860" t="str">
        <f>IF(ISBLANK(VLOOKUP($A860,'Entry data'!$A:$K,3,FALSE)),"",VLOOKUP($A860,'Entry data'!$A:$K,3,FALSE))</f>
        <v/>
      </c>
      <c r="D860" t="str">
        <f>IF(ISBLANK(VLOOKUP($A860,'Entry data'!$A:$K,4,FALSE)),"",VLOOKUP($A860,'Entry data'!$A:$K,4,FALSE))</f>
        <v/>
      </c>
      <c r="E860" t="str">
        <f>IF(ISBLANK(VLOOKUP($A860,'Entry data'!$A:$K,5,FALSE)),"",VLOOKUP($A860,'Entry data'!$A:$K,5,FALSE))</f>
        <v/>
      </c>
      <c r="F860" t="str">
        <f>IF(ISBLANK(VLOOKUP($A860,'Entry data'!$A:$K,6,FALSE)),"",VLOOKUP($A860,'Entry data'!$A:$K,6,FALSE))</f>
        <v/>
      </c>
      <c r="G860" t="str">
        <f>IF(ISBLANK(VLOOKUP($A860,'Entry data'!$A:$K,7,FALSE)),"",VLOOKUP($A860,'Entry data'!$A:$K,7,FALSE))</f>
        <v/>
      </c>
      <c r="H860" t="str">
        <f>IF(ISBLANK(VLOOKUP($A860,'Entry data'!$A:$K,8,FALSE)),"",VLOOKUP($A860,'Entry data'!$A:$K,8,FALSE))</f>
        <v/>
      </c>
      <c r="I860" t="str">
        <f>IF(ISBLANK(VLOOKUP($A860,'Entry data'!$A:$K,9,FALSE)),"",VLOOKUP($A860,'Entry data'!$A:$K,9,FALSE))</f>
        <v/>
      </c>
      <c r="J860" t="str">
        <f>IF(ISBLANK(VLOOKUP($A860,'Entry data'!$A:$K,10,FALSE)),"",VLOOKUP($A860,'Entry data'!$A:$K,10,FALSE))</f>
        <v/>
      </c>
      <c r="K860" t="str">
        <f>IF(ISBLANK(VLOOKUP($A860,'Entry data'!$A:$K,11,FALSE)),"",VLOOKUP($A860,'Entry data'!$A:$K,11,FALSE))</f>
        <v/>
      </c>
      <c r="L860">
        <f>IF(OR(EXACT(D860,"C"),EXACT(D860,"P"),EXACT(D860,"D"),EXACT(D860,"T"),EXACT(D860,"X"),EXACT(E860,"DZF"),EXACT(E860,"OZF"),EXACT(D860,"N"),EXACT(D860,"F")),1,0)</f>
        <v>0</v>
      </c>
      <c r="M860" t="str">
        <f t="shared" si="52"/>
        <v/>
      </c>
      <c r="N860">
        <f t="shared" si="53"/>
        <v>0</v>
      </c>
      <c r="O860">
        <f t="shared" si="54"/>
        <v>0</v>
      </c>
      <c r="P860" t="str">
        <f t="shared" si="55"/>
        <v/>
      </c>
    </row>
    <row r="861" spans="1:16" x14ac:dyDescent="0.25">
      <c r="A861">
        <v>360</v>
      </c>
      <c r="B861" t="str">
        <f>IF(ISBLANK(VLOOKUP($A861,'Entry data'!$A:$K,2,FALSE)),"",VLOOKUP($A861,'Entry data'!$A:$K,2,FALSE))</f>
        <v/>
      </c>
      <c r="C861" t="str">
        <f>IF(ISBLANK(VLOOKUP($A861,'Entry data'!$A:$K,3,FALSE)),"",VLOOKUP($A861,'Entry data'!$A:$K,3,FALSE))</f>
        <v/>
      </c>
      <c r="D861" t="str">
        <f>IF(ISBLANK(VLOOKUP($A861,'Entry data'!$A:$K,4,FALSE)),"",VLOOKUP($A861,'Entry data'!$A:$K,4,FALSE))</f>
        <v/>
      </c>
      <c r="E861" t="str">
        <f>IF(ISBLANK(VLOOKUP($A861,'Entry data'!$A:$K,5,FALSE)),"",VLOOKUP($A861,'Entry data'!$A:$K,5,FALSE))</f>
        <v/>
      </c>
      <c r="F861" t="str">
        <f>IF(ISBLANK(VLOOKUP($A861,'Entry data'!$A:$K,6,FALSE)),"",VLOOKUP($A861,'Entry data'!$A:$K,6,FALSE))</f>
        <v/>
      </c>
      <c r="G861" t="str">
        <f>IF(ISBLANK(VLOOKUP($A861,'Entry data'!$A:$K,7,FALSE)),"",VLOOKUP($A861,'Entry data'!$A:$K,7,FALSE))</f>
        <v/>
      </c>
      <c r="H861" t="str">
        <f>IF(ISBLANK(VLOOKUP($A861,'Entry data'!$A:$K,8,FALSE)),"",VLOOKUP($A861,'Entry data'!$A:$K,8,FALSE))</f>
        <v/>
      </c>
      <c r="I861" t="str">
        <f>IF(ISBLANK(VLOOKUP($A861,'Entry data'!$A:$K,9,FALSE)),"",VLOOKUP($A861,'Entry data'!$A:$K,9,FALSE))</f>
        <v/>
      </c>
      <c r="J861" t="str">
        <f>IF(ISBLANK(VLOOKUP($A861,'Entry data'!$A:$K,10,FALSE)),"",VLOOKUP($A861,'Entry data'!$A:$K,10,FALSE))</f>
        <v/>
      </c>
      <c r="K861" t="str">
        <f>IF(ISBLANK(VLOOKUP($A861,'Entry data'!$A:$K,11,FALSE)),"",VLOOKUP($A861,'Entry data'!$A:$K,11,FALSE))</f>
        <v/>
      </c>
      <c r="L861">
        <f>IF(OR(EXACT(D861,"C"),EXACT(D861,"P"),EXACT(D861,"D"),EXACT(D861,"T"),EXACT(D861,"X"),EXACT(E861,"DZF"),EXACT(E861,"OZF"),EXACT(D861,"N"),EXACT(D861,"F")),1,0)</f>
        <v>0</v>
      </c>
      <c r="M861" t="str">
        <f t="shared" si="52"/>
        <v/>
      </c>
      <c r="N861">
        <f t="shared" si="53"/>
        <v>0</v>
      </c>
      <c r="O861">
        <f t="shared" si="54"/>
        <v>0</v>
      </c>
      <c r="P861" t="str">
        <f t="shared" si="55"/>
        <v/>
      </c>
    </row>
    <row r="862" spans="1:16" x14ac:dyDescent="0.25">
      <c r="A862">
        <v>361</v>
      </c>
      <c r="B862" t="str">
        <f>IF(ISBLANK(VLOOKUP($A862,'Entry data'!$A:$K,2,FALSE)),"",VLOOKUP($A862,'Entry data'!$A:$K,2,FALSE))</f>
        <v/>
      </c>
      <c r="C862" t="str">
        <f>IF(ISBLANK(VLOOKUP($A862,'Entry data'!$A:$K,3,FALSE)),"",VLOOKUP($A862,'Entry data'!$A:$K,3,FALSE))</f>
        <v/>
      </c>
      <c r="D862" t="str">
        <f>IF(ISBLANK(VLOOKUP($A862,'Entry data'!$A:$K,4,FALSE)),"",VLOOKUP($A862,'Entry data'!$A:$K,4,FALSE))</f>
        <v/>
      </c>
      <c r="E862" t="str">
        <f>IF(ISBLANK(VLOOKUP($A862,'Entry data'!$A:$K,5,FALSE)),"",VLOOKUP($A862,'Entry data'!$A:$K,5,FALSE))</f>
        <v/>
      </c>
      <c r="F862" t="str">
        <f>IF(ISBLANK(VLOOKUP($A862,'Entry data'!$A:$K,6,FALSE)),"",VLOOKUP($A862,'Entry data'!$A:$K,6,FALSE))</f>
        <v/>
      </c>
      <c r="G862" t="str">
        <f>IF(ISBLANK(VLOOKUP($A862,'Entry data'!$A:$K,7,FALSE)),"",VLOOKUP($A862,'Entry data'!$A:$K,7,FALSE))</f>
        <v/>
      </c>
      <c r="H862" t="str">
        <f>IF(ISBLANK(VLOOKUP($A862,'Entry data'!$A:$K,8,FALSE)),"",VLOOKUP($A862,'Entry data'!$A:$K,8,FALSE))</f>
        <v/>
      </c>
      <c r="I862" t="str">
        <f>IF(ISBLANK(VLOOKUP($A862,'Entry data'!$A:$K,9,FALSE)),"",VLOOKUP($A862,'Entry data'!$A:$K,9,FALSE))</f>
        <v/>
      </c>
      <c r="J862" t="str">
        <f>IF(ISBLANK(VLOOKUP($A862,'Entry data'!$A:$K,10,FALSE)),"",VLOOKUP($A862,'Entry data'!$A:$K,10,FALSE))</f>
        <v/>
      </c>
      <c r="K862" t="str">
        <f>IF(ISBLANK(VLOOKUP($A862,'Entry data'!$A:$K,11,FALSE)),"",VLOOKUP($A862,'Entry data'!$A:$K,11,FALSE))</f>
        <v/>
      </c>
      <c r="L862">
        <f>IF(OR(EXACT(D862,"C"),EXACT(D862,"P"),EXACT(D862,"D"),EXACT(D862,"T"),EXACT(D862,"X"),EXACT(E862,"DZF"),EXACT(E862,"OZF"),EXACT(D862,"N"),EXACT(D862,"F")),1,0)</f>
        <v>0</v>
      </c>
      <c r="M862" t="str">
        <f t="shared" si="52"/>
        <v/>
      </c>
      <c r="N862">
        <f t="shared" si="53"/>
        <v>0</v>
      </c>
      <c r="O862">
        <f t="shared" si="54"/>
        <v>0</v>
      </c>
      <c r="P862" t="str">
        <f t="shared" si="55"/>
        <v/>
      </c>
    </row>
    <row r="863" spans="1:16" x14ac:dyDescent="0.25">
      <c r="A863">
        <v>362</v>
      </c>
      <c r="B863" t="str">
        <f>IF(ISBLANK(VLOOKUP($A863,'Entry data'!$A:$K,2,FALSE)),"",VLOOKUP($A863,'Entry data'!$A:$K,2,FALSE))</f>
        <v/>
      </c>
      <c r="C863" t="str">
        <f>IF(ISBLANK(VLOOKUP($A863,'Entry data'!$A:$K,3,FALSE)),"",VLOOKUP($A863,'Entry data'!$A:$K,3,FALSE))</f>
        <v/>
      </c>
      <c r="D863" t="str">
        <f>IF(ISBLANK(VLOOKUP($A863,'Entry data'!$A:$K,4,FALSE)),"",VLOOKUP($A863,'Entry data'!$A:$K,4,FALSE))</f>
        <v/>
      </c>
      <c r="E863" t="str">
        <f>IF(ISBLANK(VLOOKUP($A863,'Entry data'!$A:$K,5,FALSE)),"",VLOOKUP($A863,'Entry data'!$A:$K,5,FALSE))</f>
        <v/>
      </c>
      <c r="F863" t="str">
        <f>IF(ISBLANK(VLOOKUP($A863,'Entry data'!$A:$K,6,FALSE)),"",VLOOKUP($A863,'Entry data'!$A:$K,6,FALSE))</f>
        <v/>
      </c>
      <c r="G863" t="str">
        <f>IF(ISBLANK(VLOOKUP($A863,'Entry data'!$A:$K,7,FALSE)),"",VLOOKUP($A863,'Entry data'!$A:$K,7,FALSE))</f>
        <v/>
      </c>
      <c r="H863" t="str">
        <f>IF(ISBLANK(VLOOKUP($A863,'Entry data'!$A:$K,8,FALSE)),"",VLOOKUP($A863,'Entry data'!$A:$K,8,FALSE))</f>
        <v/>
      </c>
      <c r="I863" t="str">
        <f>IF(ISBLANK(VLOOKUP($A863,'Entry data'!$A:$K,9,FALSE)),"",VLOOKUP($A863,'Entry data'!$A:$K,9,FALSE))</f>
        <v/>
      </c>
      <c r="J863" t="str">
        <f>IF(ISBLANK(VLOOKUP($A863,'Entry data'!$A:$K,10,FALSE)),"",VLOOKUP($A863,'Entry data'!$A:$K,10,FALSE))</f>
        <v/>
      </c>
      <c r="K863" t="str">
        <f>IF(ISBLANK(VLOOKUP($A863,'Entry data'!$A:$K,11,FALSE)),"",VLOOKUP($A863,'Entry data'!$A:$K,11,FALSE))</f>
        <v/>
      </c>
      <c r="L863">
        <f>IF(OR(EXACT(D863,"C"),EXACT(D863,"P"),EXACT(D863,"D"),EXACT(D863,"T"),EXACT(D863,"X"),EXACT(E863,"DZF"),EXACT(E863,"OZF"),EXACT(D863,"N"),EXACT(D863,"F")),1,0)</f>
        <v>0</v>
      </c>
      <c r="M863" t="str">
        <f t="shared" si="52"/>
        <v/>
      </c>
      <c r="N863">
        <f t="shared" si="53"/>
        <v>0</v>
      </c>
      <c r="O863">
        <f t="shared" si="54"/>
        <v>0</v>
      </c>
      <c r="P863" t="str">
        <f t="shared" si="55"/>
        <v/>
      </c>
    </row>
    <row r="864" spans="1:16" x14ac:dyDescent="0.25">
      <c r="A864">
        <v>363</v>
      </c>
      <c r="B864" t="str">
        <f>IF(ISBLANK(VLOOKUP($A864,'Entry data'!$A:$K,2,FALSE)),"",VLOOKUP($A864,'Entry data'!$A:$K,2,FALSE))</f>
        <v/>
      </c>
      <c r="C864" t="str">
        <f>IF(ISBLANK(VLOOKUP($A864,'Entry data'!$A:$K,3,FALSE)),"",VLOOKUP($A864,'Entry data'!$A:$K,3,FALSE))</f>
        <v/>
      </c>
      <c r="D864" t="str">
        <f>IF(ISBLANK(VLOOKUP($A864,'Entry data'!$A:$K,4,FALSE)),"",VLOOKUP($A864,'Entry data'!$A:$K,4,FALSE))</f>
        <v/>
      </c>
      <c r="E864" t="str">
        <f>IF(ISBLANK(VLOOKUP($A864,'Entry data'!$A:$K,5,FALSE)),"",VLOOKUP($A864,'Entry data'!$A:$K,5,FALSE))</f>
        <v/>
      </c>
      <c r="F864" t="str">
        <f>IF(ISBLANK(VLOOKUP($A864,'Entry data'!$A:$K,6,FALSE)),"",VLOOKUP($A864,'Entry data'!$A:$K,6,FALSE))</f>
        <v/>
      </c>
      <c r="G864" t="str">
        <f>IF(ISBLANK(VLOOKUP($A864,'Entry data'!$A:$K,7,FALSE)),"",VLOOKUP($A864,'Entry data'!$A:$K,7,FALSE))</f>
        <v/>
      </c>
      <c r="H864" t="str">
        <f>IF(ISBLANK(VLOOKUP($A864,'Entry data'!$A:$K,8,FALSE)),"",VLOOKUP($A864,'Entry data'!$A:$K,8,FALSE))</f>
        <v/>
      </c>
      <c r="I864" t="str">
        <f>IF(ISBLANK(VLOOKUP($A864,'Entry data'!$A:$K,9,FALSE)),"",VLOOKUP($A864,'Entry data'!$A:$K,9,FALSE))</f>
        <v/>
      </c>
      <c r="J864" t="str">
        <f>IF(ISBLANK(VLOOKUP($A864,'Entry data'!$A:$K,10,FALSE)),"",VLOOKUP($A864,'Entry data'!$A:$K,10,FALSE))</f>
        <v/>
      </c>
      <c r="K864" t="str">
        <f>IF(ISBLANK(VLOOKUP($A864,'Entry data'!$A:$K,11,FALSE)),"",VLOOKUP($A864,'Entry data'!$A:$K,11,FALSE))</f>
        <v/>
      </c>
      <c r="L864">
        <f>IF(OR(EXACT(D864,"C"),EXACT(D864,"P"),EXACT(D864,"D"),EXACT(D864,"T"),EXACT(D864,"X"),EXACT(E864,"DZF"),EXACT(E864,"OZF"),EXACT(D864,"N"),EXACT(D864,"F")),1,0)</f>
        <v>0</v>
      </c>
      <c r="M864" t="str">
        <f t="shared" si="52"/>
        <v/>
      </c>
      <c r="N864">
        <f t="shared" si="53"/>
        <v>0</v>
      </c>
      <c r="O864">
        <f t="shared" si="54"/>
        <v>0</v>
      </c>
      <c r="P864" t="str">
        <f t="shared" si="55"/>
        <v/>
      </c>
    </row>
    <row r="865" spans="1:16" x14ac:dyDescent="0.25">
      <c r="A865">
        <v>364</v>
      </c>
      <c r="B865" t="str">
        <f>IF(ISBLANK(VLOOKUP($A865,'Entry data'!$A:$K,2,FALSE)),"",VLOOKUP($A865,'Entry data'!$A:$K,2,FALSE))</f>
        <v/>
      </c>
      <c r="C865" t="str">
        <f>IF(ISBLANK(VLOOKUP($A865,'Entry data'!$A:$K,3,FALSE)),"",VLOOKUP($A865,'Entry data'!$A:$K,3,FALSE))</f>
        <v/>
      </c>
      <c r="D865" t="str">
        <f>IF(ISBLANK(VLOOKUP($A865,'Entry data'!$A:$K,4,FALSE)),"",VLOOKUP($A865,'Entry data'!$A:$K,4,FALSE))</f>
        <v/>
      </c>
      <c r="E865" t="str">
        <f>IF(ISBLANK(VLOOKUP($A865,'Entry data'!$A:$K,5,FALSE)),"",VLOOKUP($A865,'Entry data'!$A:$K,5,FALSE))</f>
        <v/>
      </c>
      <c r="F865" t="str">
        <f>IF(ISBLANK(VLOOKUP($A865,'Entry data'!$A:$K,6,FALSE)),"",VLOOKUP($A865,'Entry data'!$A:$K,6,FALSE))</f>
        <v/>
      </c>
      <c r="G865" t="str">
        <f>IF(ISBLANK(VLOOKUP($A865,'Entry data'!$A:$K,7,FALSE)),"",VLOOKUP($A865,'Entry data'!$A:$K,7,FALSE))</f>
        <v/>
      </c>
      <c r="H865" t="str">
        <f>IF(ISBLANK(VLOOKUP($A865,'Entry data'!$A:$K,8,FALSE)),"",VLOOKUP($A865,'Entry data'!$A:$K,8,FALSE))</f>
        <v/>
      </c>
      <c r="I865" t="str">
        <f>IF(ISBLANK(VLOOKUP($A865,'Entry data'!$A:$K,9,FALSE)),"",VLOOKUP($A865,'Entry data'!$A:$K,9,FALSE))</f>
        <v/>
      </c>
      <c r="J865" t="str">
        <f>IF(ISBLANK(VLOOKUP($A865,'Entry data'!$A:$K,10,FALSE)),"",VLOOKUP($A865,'Entry data'!$A:$K,10,FALSE))</f>
        <v/>
      </c>
      <c r="K865" t="str">
        <f>IF(ISBLANK(VLOOKUP($A865,'Entry data'!$A:$K,11,FALSE)),"",VLOOKUP($A865,'Entry data'!$A:$K,11,FALSE))</f>
        <v/>
      </c>
      <c r="L865">
        <f>IF(OR(EXACT(D865,"C"),EXACT(D865,"P"),EXACT(D865,"D"),EXACT(D865,"T"),EXACT(D865,"X"),EXACT(E865,"DZF"),EXACT(E865,"OZF"),EXACT(D865,"N"),EXACT(D865,"F")),1,0)</f>
        <v>0</v>
      </c>
      <c r="M865" t="str">
        <f t="shared" si="52"/>
        <v/>
      </c>
      <c r="N865">
        <f t="shared" si="53"/>
        <v>0</v>
      </c>
      <c r="O865">
        <f t="shared" si="54"/>
        <v>0</v>
      </c>
      <c r="P865" t="str">
        <f t="shared" si="55"/>
        <v/>
      </c>
    </row>
    <row r="866" spans="1:16" x14ac:dyDescent="0.25">
      <c r="A866">
        <v>365</v>
      </c>
      <c r="B866" t="str">
        <f>IF(ISBLANK(VLOOKUP($A866,'Entry data'!$A:$K,2,FALSE)),"",VLOOKUP($A866,'Entry data'!$A:$K,2,FALSE))</f>
        <v/>
      </c>
      <c r="C866" t="str">
        <f>IF(ISBLANK(VLOOKUP($A866,'Entry data'!$A:$K,3,FALSE)),"",VLOOKUP($A866,'Entry data'!$A:$K,3,FALSE))</f>
        <v/>
      </c>
      <c r="D866" t="str">
        <f>IF(ISBLANK(VLOOKUP($A866,'Entry data'!$A:$K,4,FALSE)),"",VLOOKUP($A866,'Entry data'!$A:$K,4,FALSE))</f>
        <v/>
      </c>
      <c r="E866" t="str">
        <f>IF(ISBLANK(VLOOKUP($A866,'Entry data'!$A:$K,5,FALSE)),"",VLOOKUP($A866,'Entry data'!$A:$K,5,FALSE))</f>
        <v/>
      </c>
      <c r="F866" t="str">
        <f>IF(ISBLANK(VLOOKUP($A866,'Entry data'!$A:$K,6,FALSE)),"",VLOOKUP($A866,'Entry data'!$A:$K,6,FALSE))</f>
        <v/>
      </c>
      <c r="G866" t="str">
        <f>IF(ISBLANK(VLOOKUP($A866,'Entry data'!$A:$K,7,FALSE)),"",VLOOKUP($A866,'Entry data'!$A:$K,7,FALSE))</f>
        <v/>
      </c>
      <c r="H866" t="str">
        <f>IF(ISBLANK(VLOOKUP($A866,'Entry data'!$A:$K,8,FALSE)),"",VLOOKUP($A866,'Entry data'!$A:$K,8,FALSE))</f>
        <v/>
      </c>
      <c r="I866" t="str">
        <f>IF(ISBLANK(VLOOKUP($A866,'Entry data'!$A:$K,9,FALSE)),"",VLOOKUP($A866,'Entry data'!$A:$K,9,FALSE))</f>
        <v/>
      </c>
      <c r="J866" t="str">
        <f>IF(ISBLANK(VLOOKUP($A866,'Entry data'!$A:$K,10,FALSE)),"",VLOOKUP($A866,'Entry data'!$A:$K,10,FALSE))</f>
        <v/>
      </c>
      <c r="K866" t="str">
        <f>IF(ISBLANK(VLOOKUP($A866,'Entry data'!$A:$K,11,FALSE)),"",VLOOKUP($A866,'Entry data'!$A:$K,11,FALSE))</f>
        <v/>
      </c>
      <c r="L866">
        <f>IF(OR(EXACT(D866,"C"),EXACT(D866,"P"),EXACT(D866,"D"),EXACT(D866,"T"),EXACT(D866,"X"),EXACT(E866,"DZF"),EXACT(E866,"OZF"),EXACT(D866,"N"),EXACT(D866,"F")),1,0)</f>
        <v>0</v>
      </c>
      <c r="M866" t="str">
        <f t="shared" si="52"/>
        <v/>
      </c>
      <c r="N866">
        <f t="shared" si="53"/>
        <v>0</v>
      </c>
      <c r="O866">
        <f t="shared" si="54"/>
        <v>0</v>
      </c>
      <c r="P866" t="str">
        <f t="shared" si="55"/>
        <v/>
      </c>
    </row>
    <row r="867" spans="1:16" x14ac:dyDescent="0.25">
      <c r="A867">
        <v>366</v>
      </c>
      <c r="B867" t="str">
        <f>IF(ISBLANK(VLOOKUP($A867,'Entry data'!$A:$K,2,FALSE)),"",VLOOKUP($A867,'Entry data'!$A:$K,2,FALSE))</f>
        <v/>
      </c>
      <c r="C867" t="str">
        <f>IF(ISBLANK(VLOOKUP($A867,'Entry data'!$A:$K,3,FALSE)),"",VLOOKUP($A867,'Entry data'!$A:$K,3,FALSE))</f>
        <v/>
      </c>
      <c r="D867" t="str">
        <f>IF(ISBLANK(VLOOKUP($A867,'Entry data'!$A:$K,4,FALSE)),"",VLOOKUP($A867,'Entry data'!$A:$K,4,FALSE))</f>
        <v/>
      </c>
      <c r="E867" t="str">
        <f>IF(ISBLANK(VLOOKUP($A867,'Entry data'!$A:$K,5,FALSE)),"",VLOOKUP($A867,'Entry data'!$A:$K,5,FALSE))</f>
        <v/>
      </c>
      <c r="F867" t="str">
        <f>IF(ISBLANK(VLOOKUP($A867,'Entry data'!$A:$K,6,FALSE)),"",VLOOKUP($A867,'Entry data'!$A:$K,6,FALSE))</f>
        <v/>
      </c>
      <c r="G867" t="str">
        <f>IF(ISBLANK(VLOOKUP($A867,'Entry data'!$A:$K,7,FALSE)),"",VLOOKUP($A867,'Entry data'!$A:$K,7,FALSE))</f>
        <v/>
      </c>
      <c r="H867" t="str">
        <f>IF(ISBLANK(VLOOKUP($A867,'Entry data'!$A:$K,8,FALSE)),"",VLOOKUP($A867,'Entry data'!$A:$K,8,FALSE))</f>
        <v/>
      </c>
      <c r="I867" t="str">
        <f>IF(ISBLANK(VLOOKUP($A867,'Entry data'!$A:$K,9,FALSE)),"",VLOOKUP($A867,'Entry data'!$A:$K,9,FALSE))</f>
        <v/>
      </c>
      <c r="J867" t="str">
        <f>IF(ISBLANK(VLOOKUP($A867,'Entry data'!$A:$K,10,FALSE)),"",VLOOKUP($A867,'Entry data'!$A:$K,10,FALSE))</f>
        <v/>
      </c>
      <c r="K867" t="str">
        <f>IF(ISBLANK(VLOOKUP($A867,'Entry data'!$A:$K,11,FALSE)),"",VLOOKUP($A867,'Entry data'!$A:$K,11,FALSE))</f>
        <v/>
      </c>
      <c r="L867">
        <f>IF(OR(EXACT(D867,"C"),EXACT(D867,"P"),EXACT(D867,"D"),EXACT(D867,"T"),EXACT(D867,"X"),EXACT(E867,"DZF"),EXACT(E867,"OZF"),EXACT(D867,"N"),EXACT(D867,"F")),1,0)</f>
        <v>0</v>
      </c>
      <c r="M867" t="str">
        <f t="shared" si="52"/>
        <v/>
      </c>
      <c r="N867">
        <f t="shared" si="53"/>
        <v>0</v>
      </c>
      <c r="O867">
        <f t="shared" si="54"/>
        <v>0</v>
      </c>
      <c r="P867" t="str">
        <f t="shared" si="55"/>
        <v/>
      </c>
    </row>
    <row r="868" spans="1:16" x14ac:dyDescent="0.25">
      <c r="A868">
        <v>367</v>
      </c>
      <c r="B868" t="str">
        <f>IF(ISBLANK(VLOOKUP($A868,'Entry data'!$A:$K,2,FALSE)),"",VLOOKUP($A868,'Entry data'!$A:$K,2,FALSE))</f>
        <v/>
      </c>
      <c r="C868" t="str">
        <f>IF(ISBLANK(VLOOKUP($A868,'Entry data'!$A:$K,3,FALSE)),"",VLOOKUP($A868,'Entry data'!$A:$K,3,FALSE))</f>
        <v/>
      </c>
      <c r="D868" t="str">
        <f>IF(ISBLANK(VLOOKUP($A868,'Entry data'!$A:$K,4,FALSE)),"",VLOOKUP($A868,'Entry data'!$A:$K,4,FALSE))</f>
        <v/>
      </c>
      <c r="E868" t="str">
        <f>IF(ISBLANK(VLOOKUP($A868,'Entry data'!$A:$K,5,FALSE)),"",VLOOKUP($A868,'Entry data'!$A:$K,5,FALSE))</f>
        <v/>
      </c>
      <c r="F868" t="str">
        <f>IF(ISBLANK(VLOOKUP($A868,'Entry data'!$A:$K,6,FALSE)),"",VLOOKUP($A868,'Entry data'!$A:$K,6,FALSE))</f>
        <v/>
      </c>
      <c r="G868" t="str">
        <f>IF(ISBLANK(VLOOKUP($A868,'Entry data'!$A:$K,7,FALSE)),"",VLOOKUP($A868,'Entry data'!$A:$K,7,FALSE))</f>
        <v/>
      </c>
      <c r="H868" t="str">
        <f>IF(ISBLANK(VLOOKUP($A868,'Entry data'!$A:$K,8,FALSE)),"",VLOOKUP($A868,'Entry data'!$A:$K,8,FALSE))</f>
        <v/>
      </c>
      <c r="I868" t="str">
        <f>IF(ISBLANK(VLOOKUP($A868,'Entry data'!$A:$K,9,FALSE)),"",VLOOKUP($A868,'Entry data'!$A:$K,9,FALSE))</f>
        <v/>
      </c>
      <c r="J868" t="str">
        <f>IF(ISBLANK(VLOOKUP($A868,'Entry data'!$A:$K,10,FALSE)),"",VLOOKUP($A868,'Entry data'!$A:$K,10,FALSE))</f>
        <v/>
      </c>
      <c r="K868" t="str">
        <f>IF(ISBLANK(VLOOKUP($A868,'Entry data'!$A:$K,11,FALSE)),"",VLOOKUP($A868,'Entry data'!$A:$K,11,FALSE))</f>
        <v/>
      </c>
      <c r="L868">
        <f>IF(OR(EXACT(D868,"C"),EXACT(D868,"P"),EXACT(D868,"D"),EXACT(D868,"T"),EXACT(D868,"X"),EXACT(E868,"DZF"),EXACT(E868,"OZF"),EXACT(D868,"N"),EXACT(D868,"F")),1,0)</f>
        <v>0</v>
      </c>
      <c r="M868" t="str">
        <f t="shared" si="52"/>
        <v/>
      </c>
      <c r="N868">
        <f t="shared" si="53"/>
        <v>0</v>
      </c>
      <c r="O868">
        <f t="shared" si="54"/>
        <v>0</v>
      </c>
      <c r="P868" t="str">
        <f t="shared" si="55"/>
        <v/>
      </c>
    </row>
    <row r="869" spans="1:16" x14ac:dyDescent="0.25">
      <c r="A869">
        <v>368</v>
      </c>
      <c r="B869" t="str">
        <f>IF(ISBLANK(VLOOKUP($A869,'Entry data'!$A:$K,2,FALSE)),"",VLOOKUP($A869,'Entry data'!$A:$K,2,FALSE))</f>
        <v/>
      </c>
      <c r="C869" t="str">
        <f>IF(ISBLANK(VLOOKUP($A869,'Entry data'!$A:$K,3,FALSE)),"",VLOOKUP($A869,'Entry data'!$A:$K,3,FALSE))</f>
        <v/>
      </c>
      <c r="D869" t="str">
        <f>IF(ISBLANK(VLOOKUP($A869,'Entry data'!$A:$K,4,FALSE)),"",VLOOKUP($A869,'Entry data'!$A:$K,4,FALSE))</f>
        <v/>
      </c>
      <c r="E869" t="str">
        <f>IF(ISBLANK(VLOOKUP($A869,'Entry data'!$A:$K,5,FALSE)),"",VLOOKUP($A869,'Entry data'!$A:$K,5,FALSE))</f>
        <v/>
      </c>
      <c r="F869" t="str">
        <f>IF(ISBLANK(VLOOKUP($A869,'Entry data'!$A:$K,6,FALSE)),"",VLOOKUP($A869,'Entry data'!$A:$K,6,FALSE))</f>
        <v/>
      </c>
      <c r="G869" t="str">
        <f>IF(ISBLANK(VLOOKUP($A869,'Entry data'!$A:$K,7,FALSE)),"",VLOOKUP($A869,'Entry data'!$A:$K,7,FALSE))</f>
        <v/>
      </c>
      <c r="H869" t="str">
        <f>IF(ISBLANK(VLOOKUP($A869,'Entry data'!$A:$K,8,FALSE)),"",VLOOKUP($A869,'Entry data'!$A:$K,8,FALSE))</f>
        <v/>
      </c>
      <c r="I869" t="str">
        <f>IF(ISBLANK(VLOOKUP($A869,'Entry data'!$A:$K,9,FALSE)),"",VLOOKUP($A869,'Entry data'!$A:$K,9,FALSE))</f>
        <v/>
      </c>
      <c r="J869" t="str">
        <f>IF(ISBLANK(VLOOKUP($A869,'Entry data'!$A:$K,10,FALSE)),"",VLOOKUP($A869,'Entry data'!$A:$K,10,FALSE))</f>
        <v/>
      </c>
      <c r="K869" t="str">
        <f>IF(ISBLANK(VLOOKUP($A869,'Entry data'!$A:$K,11,FALSE)),"",VLOOKUP($A869,'Entry data'!$A:$K,11,FALSE))</f>
        <v/>
      </c>
      <c r="L869">
        <f>IF(OR(EXACT(D869,"C"),EXACT(D869,"P"),EXACT(D869,"D"),EXACT(D869,"T"),EXACT(D869,"X"),EXACT(E869,"DZF"),EXACT(E869,"OZF"),EXACT(D869,"N"),EXACT(D869,"F")),1,0)</f>
        <v>0</v>
      </c>
      <c r="M869" t="str">
        <f t="shared" si="52"/>
        <v/>
      </c>
      <c r="N869">
        <f t="shared" si="53"/>
        <v>0</v>
      </c>
      <c r="O869">
        <f t="shared" si="54"/>
        <v>0</v>
      </c>
      <c r="P869" t="str">
        <f t="shared" si="55"/>
        <v/>
      </c>
    </row>
    <row r="870" spans="1:16" x14ac:dyDescent="0.25">
      <c r="A870">
        <v>369</v>
      </c>
      <c r="B870" t="str">
        <f>IF(ISBLANK(VLOOKUP($A870,'Entry data'!$A:$K,2,FALSE)),"",VLOOKUP($A870,'Entry data'!$A:$K,2,FALSE))</f>
        <v/>
      </c>
      <c r="C870" t="str">
        <f>IF(ISBLANK(VLOOKUP($A870,'Entry data'!$A:$K,3,FALSE)),"",VLOOKUP($A870,'Entry data'!$A:$K,3,FALSE))</f>
        <v/>
      </c>
      <c r="D870" t="str">
        <f>IF(ISBLANK(VLOOKUP($A870,'Entry data'!$A:$K,4,FALSE)),"",VLOOKUP($A870,'Entry data'!$A:$K,4,FALSE))</f>
        <v/>
      </c>
      <c r="E870" t="str">
        <f>IF(ISBLANK(VLOOKUP($A870,'Entry data'!$A:$K,5,FALSE)),"",VLOOKUP($A870,'Entry data'!$A:$K,5,FALSE))</f>
        <v/>
      </c>
      <c r="F870" t="str">
        <f>IF(ISBLANK(VLOOKUP($A870,'Entry data'!$A:$K,6,FALSE)),"",VLOOKUP($A870,'Entry data'!$A:$K,6,FALSE))</f>
        <v/>
      </c>
      <c r="G870" t="str">
        <f>IF(ISBLANK(VLOOKUP($A870,'Entry data'!$A:$K,7,FALSE)),"",VLOOKUP($A870,'Entry data'!$A:$K,7,FALSE))</f>
        <v/>
      </c>
      <c r="H870" t="str">
        <f>IF(ISBLANK(VLOOKUP($A870,'Entry data'!$A:$K,8,FALSE)),"",VLOOKUP($A870,'Entry data'!$A:$K,8,FALSE))</f>
        <v/>
      </c>
      <c r="I870" t="str">
        <f>IF(ISBLANK(VLOOKUP($A870,'Entry data'!$A:$K,9,FALSE)),"",VLOOKUP($A870,'Entry data'!$A:$K,9,FALSE))</f>
        <v/>
      </c>
      <c r="J870" t="str">
        <f>IF(ISBLANK(VLOOKUP($A870,'Entry data'!$A:$K,10,FALSE)),"",VLOOKUP($A870,'Entry data'!$A:$K,10,FALSE))</f>
        <v/>
      </c>
      <c r="K870" t="str">
        <f>IF(ISBLANK(VLOOKUP($A870,'Entry data'!$A:$K,11,FALSE)),"",VLOOKUP($A870,'Entry data'!$A:$K,11,FALSE))</f>
        <v/>
      </c>
      <c r="L870">
        <f>IF(OR(EXACT(D870,"C"),EXACT(D870,"P"),EXACT(D870,"D"),EXACT(D870,"T"),EXACT(D870,"X"),EXACT(E870,"DZF"),EXACT(E870,"OZF"),EXACT(D870,"N"),EXACT(D870,"F")),1,0)</f>
        <v>0</v>
      </c>
      <c r="M870" t="str">
        <f t="shared" si="52"/>
        <v/>
      </c>
      <c r="N870">
        <f t="shared" si="53"/>
        <v>0</v>
      </c>
      <c r="O870">
        <f t="shared" si="54"/>
        <v>0</v>
      </c>
      <c r="P870" t="str">
        <f t="shared" si="55"/>
        <v/>
      </c>
    </row>
    <row r="871" spans="1:16" x14ac:dyDescent="0.25">
      <c r="A871">
        <v>370</v>
      </c>
      <c r="B871" t="str">
        <f>IF(ISBLANK(VLOOKUP($A871,'Entry data'!$A:$K,2,FALSE)),"",VLOOKUP($A871,'Entry data'!$A:$K,2,FALSE))</f>
        <v/>
      </c>
      <c r="C871" t="str">
        <f>IF(ISBLANK(VLOOKUP($A871,'Entry data'!$A:$K,3,FALSE)),"",VLOOKUP($A871,'Entry data'!$A:$K,3,FALSE))</f>
        <v/>
      </c>
      <c r="D871" t="str">
        <f>IF(ISBLANK(VLOOKUP($A871,'Entry data'!$A:$K,4,FALSE)),"",VLOOKUP($A871,'Entry data'!$A:$K,4,FALSE))</f>
        <v/>
      </c>
      <c r="E871" t="str">
        <f>IF(ISBLANK(VLOOKUP($A871,'Entry data'!$A:$K,5,FALSE)),"",VLOOKUP($A871,'Entry data'!$A:$K,5,FALSE))</f>
        <v/>
      </c>
      <c r="F871" t="str">
        <f>IF(ISBLANK(VLOOKUP($A871,'Entry data'!$A:$K,6,FALSE)),"",VLOOKUP($A871,'Entry data'!$A:$K,6,FALSE))</f>
        <v/>
      </c>
      <c r="G871" t="str">
        <f>IF(ISBLANK(VLOOKUP($A871,'Entry data'!$A:$K,7,FALSE)),"",VLOOKUP($A871,'Entry data'!$A:$K,7,FALSE))</f>
        <v/>
      </c>
      <c r="H871" t="str">
        <f>IF(ISBLANK(VLOOKUP($A871,'Entry data'!$A:$K,8,FALSE)),"",VLOOKUP($A871,'Entry data'!$A:$K,8,FALSE))</f>
        <v/>
      </c>
      <c r="I871" t="str">
        <f>IF(ISBLANK(VLOOKUP($A871,'Entry data'!$A:$K,9,FALSE)),"",VLOOKUP($A871,'Entry data'!$A:$K,9,FALSE))</f>
        <v/>
      </c>
      <c r="J871" t="str">
        <f>IF(ISBLANK(VLOOKUP($A871,'Entry data'!$A:$K,10,FALSE)),"",VLOOKUP($A871,'Entry data'!$A:$K,10,FALSE))</f>
        <v/>
      </c>
      <c r="K871" t="str">
        <f>IF(ISBLANK(VLOOKUP($A871,'Entry data'!$A:$K,11,FALSE)),"",VLOOKUP($A871,'Entry data'!$A:$K,11,FALSE))</f>
        <v/>
      </c>
      <c r="L871">
        <f>IF(OR(EXACT(D871,"C"),EXACT(D871,"P"),EXACT(D871,"D"),EXACT(D871,"T"),EXACT(D871,"X"),EXACT(E871,"DZF"),EXACT(E871,"OZF"),EXACT(D871,"N"),EXACT(D871,"F")),1,0)</f>
        <v>0</v>
      </c>
      <c r="M871" t="str">
        <f t="shared" si="52"/>
        <v/>
      </c>
      <c r="N871">
        <f t="shared" si="53"/>
        <v>0</v>
      </c>
      <c r="O871">
        <f t="shared" si="54"/>
        <v>0</v>
      </c>
      <c r="P871" t="str">
        <f t="shared" si="55"/>
        <v/>
      </c>
    </row>
    <row r="872" spans="1:16" x14ac:dyDescent="0.25">
      <c r="A872">
        <v>371</v>
      </c>
      <c r="B872" t="str">
        <f>IF(ISBLANK(VLOOKUP($A872,'Entry data'!$A:$K,2,FALSE)),"",VLOOKUP($A872,'Entry data'!$A:$K,2,FALSE))</f>
        <v/>
      </c>
      <c r="C872" t="str">
        <f>IF(ISBLANK(VLOOKUP($A872,'Entry data'!$A:$K,3,FALSE)),"",VLOOKUP($A872,'Entry data'!$A:$K,3,FALSE))</f>
        <v/>
      </c>
      <c r="D872" t="str">
        <f>IF(ISBLANK(VLOOKUP($A872,'Entry data'!$A:$K,4,FALSE)),"",VLOOKUP($A872,'Entry data'!$A:$K,4,FALSE))</f>
        <v/>
      </c>
      <c r="E872" t="str">
        <f>IF(ISBLANK(VLOOKUP($A872,'Entry data'!$A:$K,5,FALSE)),"",VLOOKUP($A872,'Entry data'!$A:$K,5,FALSE))</f>
        <v/>
      </c>
      <c r="F872" t="str">
        <f>IF(ISBLANK(VLOOKUP($A872,'Entry data'!$A:$K,6,FALSE)),"",VLOOKUP($A872,'Entry data'!$A:$K,6,FALSE))</f>
        <v/>
      </c>
      <c r="G872" t="str">
        <f>IF(ISBLANK(VLOOKUP($A872,'Entry data'!$A:$K,7,FALSE)),"",VLOOKUP($A872,'Entry data'!$A:$K,7,FALSE))</f>
        <v/>
      </c>
      <c r="H872" t="str">
        <f>IF(ISBLANK(VLOOKUP($A872,'Entry data'!$A:$K,8,FALSE)),"",VLOOKUP($A872,'Entry data'!$A:$K,8,FALSE))</f>
        <v/>
      </c>
      <c r="I872" t="str">
        <f>IF(ISBLANK(VLOOKUP($A872,'Entry data'!$A:$K,9,FALSE)),"",VLOOKUP($A872,'Entry data'!$A:$K,9,FALSE))</f>
        <v/>
      </c>
      <c r="J872" t="str">
        <f>IF(ISBLANK(VLOOKUP($A872,'Entry data'!$A:$K,10,FALSE)),"",VLOOKUP($A872,'Entry data'!$A:$K,10,FALSE))</f>
        <v/>
      </c>
      <c r="K872" t="str">
        <f>IF(ISBLANK(VLOOKUP($A872,'Entry data'!$A:$K,11,FALSE)),"",VLOOKUP($A872,'Entry data'!$A:$K,11,FALSE))</f>
        <v/>
      </c>
      <c r="L872">
        <f>IF(OR(EXACT(D872,"C"),EXACT(D872,"P"),EXACT(D872,"D"),EXACT(D872,"T"),EXACT(D872,"X"),EXACT(E872,"DZF"),EXACT(E872,"OZF"),EXACT(D872,"N"),EXACT(D872,"F")),1,0)</f>
        <v>0</v>
      </c>
      <c r="M872" t="str">
        <f t="shared" si="52"/>
        <v/>
      </c>
      <c r="N872">
        <f t="shared" si="53"/>
        <v>0</v>
      </c>
      <c r="O872">
        <f t="shared" si="54"/>
        <v>0</v>
      </c>
      <c r="P872" t="str">
        <f t="shared" si="55"/>
        <v/>
      </c>
    </row>
    <row r="873" spans="1:16" x14ac:dyDescent="0.25">
      <c r="A873">
        <v>372</v>
      </c>
      <c r="B873" t="str">
        <f>IF(ISBLANK(VLOOKUP($A873,'Entry data'!$A:$K,2,FALSE)),"",VLOOKUP($A873,'Entry data'!$A:$K,2,FALSE))</f>
        <v/>
      </c>
      <c r="C873" t="str">
        <f>IF(ISBLANK(VLOOKUP($A873,'Entry data'!$A:$K,3,FALSE)),"",VLOOKUP($A873,'Entry data'!$A:$K,3,FALSE))</f>
        <v/>
      </c>
      <c r="D873" t="str">
        <f>IF(ISBLANK(VLOOKUP($A873,'Entry data'!$A:$K,4,FALSE)),"",VLOOKUP($A873,'Entry data'!$A:$K,4,FALSE))</f>
        <v/>
      </c>
      <c r="E873" t="str">
        <f>IF(ISBLANK(VLOOKUP($A873,'Entry data'!$A:$K,5,FALSE)),"",VLOOKUP($A873,'Entry data'!$A:$K,5,FALSE))</f>
        <v/>
      </c>
      <c r="F873" t="str">
        <f>IF(ISBLANK(VLOOKUP($A873,'Entry data'!$A:$K,6,FALSE)),"",VLOOKUP($A873,'Entry data'!$A:$K,6,FALSE))</f>
        <v/>
      </c>
      <c r="G873" t="str">
        <f>IF(ISBLANK(VLOOKUP($A873,'Entry data'!$A:$K,7,FALSE)),"",VLOOKUP($A873,'Entry data'!$A:$K,7,FALSE))</f>
        <v/>
      </c>
      <c r="H873" t="str">
        <f>IF(ISBLANK(VLOOKUP($A873,'Entry data'!$A:$K,8,FALSE)),"",VLOOKUP($A873,'Entry data'!$A:$K,8,FALSE))</f>
        <v/>
      </c>
      <c r="I873" t="str">
        <f>IF(ISBLANK(VLOOKUP($A873,'Entry data'!$A:$K,9,FALSE)),"",VLOOKUP($A873,'Entry data'!$A:$K,9,FALSE))</f>
        <v/>
      </c>
      <c r="J873" t="str">
        <f>IF(ISBLANK(VLOOKUP($A873,'Entry data'!$A:$K,10,FALSE)),"",VLOOKUP($A873,'Entry data'!$A:$K,10,FALSE))</f>
        <v/>
      </c>
      <c r="K873" t="str">
        <f>IF(ISBLANK(VLOOKUP($A873,'Entry data'!$A:$K,11,FALSE)),"",VLOOKUP($A873,'Entry data'!$A:$K,11,FALSE))</f>
        <v/>
      </c>
      <c r="L873">
        <f>IF(OR(EXACT(D873,"C"),EXACT(D873,"P"),EXACT(D873,"D"),EXACT(D873,"T"),EXACT(D873,"X"),EXACT(E873,"DZF"),EXACT(E873,"OZF"),EXACT(D873,"N"),EXACT(D873,"F")),1,0)</f>
        <v>0</v>
      </c>
      <c r="M873" t="str">
        <f t="shared" si="52"/>
        <v/>
      </c>
      <c r="N873">
        <f t="shared" si="53"/>
        <v>0</v>
      </c>
      <c r="O873">
        <f t="shared" si="54"/>
        <v>0</v>
      </c>
      <c r="P873" t="str">
        <f t="shared" si="55"/>
        <v/>
      </c>
    </row>
    <row r="874" spans="1:16" x14ac:dyDescent="0.25">
      <c r="A874">
        <v>373</v>
      </c>
      <c r="B874" t="str">
        <f>IF(ISBLANK(VLOOKUP($A874,'Entry data'!$A:$K,2,FALSE)),"",VLOOKUP($A874,'Entry data'!$A:$K,2,FALSE))</f>
        <v/>
      </c>
      <c r="C874" t="str">
        <f>IF(ISBLANK(VLOOKUP($A874,'Entry data'!$A:$K,3,FALSE)),"",VLOOKUP($A874,'Entry data'!$A:$K,3,FALSE))</f>
        <v/>
      </c>
      <c r="D874" t="str">
        <f>IF(ISBLANK(VLOOKUP($A874,'Entry data'!$A:$K,4,FALSE)),"",VLOOKUP($A874,'Entry data'!$A:$K,4,FALSE))</f>
        <v/>
      </c>
      <c r="E874" t="str">
        <f>IF(ISBLANK(VLOOKUP($A874,'Entry data'!$A:$K,5,FALSE)),"",VLOOKUP($A874,'Entry data'!$A:$K,5,FALSE))</f>
        <v/>
      </c>
      <c r="F874" t="str">
        <f>IF(ISBLANK(VLOOKUP($A874,'Entry data'!$A:$K,6,FALSE)),"",VLOOKUP($A874,'Entry data'!$A:$K,6,FALSE))</f>
        <v/>
      </c>
      <c r="G874" t="str">
        <f>IF(ISBLANK(VLOOKUP($A874,'Entry data'!$A:$K,7,FALSE)),"",VLOOKUP($A874,'Entry data'!$A:$K,7,FALSE))</f>
        <v/>
      </c>
      <c r="H874" t="str">
        <f>IF(ISBLANK(VLOOKUP($A874,'Entry data'!$A:$K,8,FALSE)),"",VLOOKUP($A874,'Entry data'!$A:$K,8,FALSE))</f>
        <v/>
      </c>
      <c r="I874" t="str">
        <f>IF(ISBLANK(VLOOKUP($A874,'Entry data'!$A:$K,9,FALSE)),"",VLOOKUP($A874,'Entry data'!$A:$K,9,FALSE))</f>
        <v/>
      </c>
      <c r="J874" t="str">
        <f>IF(ISBLANK(VLOOKUP($A874,'Entry data'!$A:$K,10,FALSE)),"",VLOOKUP($A874,'Entry data'!$A:$K,10,FALSE))</f>
        <v/>
      </c>
      <c r="K874" t="str">
        <f>IF(ISBLANK(VLOOKUP($A874,'Entry data'!$A:$K,11,FALSE)),"",VLOOKUP($A874,'Entry data'!$A:$K,11,FALSE))</f>
        <v/>
      </c>
      <c r="L874">
        <f>IF(OR(EXACT(D874,"C"),EXACT(D874,"P"),EXACT(D874,"D"),EXACT(D874,"T"),EXACT(D874,"X"),EXACT(E874,"DZF"),EXACT(E874,"OZF"),EXACT(D874,"N"),EXACT(D874,"F")),1,0)</f>
        <v>0</v>
      </c>
      <c r="M874" t="str">
        <f t="shared" si="52"/>
        <v/>
      </c>
      <c r="N874">
        <f t="shared" si="53"/>
        <v>0</v>
      </c>
      <c r="O874">
        <f t="shared" si="54"/>
        <v>0</v>
      </c>
      <c r="P874" t="str">
        <f t="shared" si="55"/>
        <v/>
      </c>
    </row>
    <row r="875" spans="1:16" x14ac:dyDescent="0.25">
      <c r="A875">
        <v>374</v>
      </c>
      <c r="B875" t="str">
        <f>IF(ISBLANK(VLOOKUP($A875,'Entry data'!$A:$K,2,FALSE)),"",VLOOKUP($A875,'Entry data'!$A:$K,2,FALSE))</f>
        <v/>
      </c>
      <c r="C875" t="str">
        <f>IF(ISBLANK(VLOOKUP($A875,'Entry data'!$A:$K,3,FALSE)),"",VLOOKUP($A875,'Entry data'!$A:$K,3,FALSE))</f>
        <v/>
      </c>
      <c r="D875" t="str">
        <f>IF(ISBLANK(VLOOKUP($A875,'Entry data'!$A:$K,4,FALSE)),"",VLOOKUP($A875,'Entry data'!$A:$K,4,FALSE))</f>
        <v/>
      </c>
      <c r="E875" t="str">
        <f>IF(ISBLANK(VLOOKUP($A875,'Entry data'!$A:$K,5,FALSE)),"",VLOOKUP($A875,'Entry data'!$A:$K,5,FALSE))</f>
        <v/>
      </c>
      <c r="F875" t="str">
        <f>IF(ISBLANK(VLOOKUP($A875,'Entry data'!$A:$K,6,FALSE)),"",VLOOKUP($A875,'Entry data'!$A:$K,6,FALSE))</f>
        <v/>
      </c>
      <c r="G875" t="str">
        <f>IF(ISBLANK(VLOOKUP($A875,'Entry data'!$A:$K,7,FALSE)),"",VLOOKUP($A875,'Entry data'!$A:$K,7,FALSE))</f>
        <v/>
      </c>
      <c r="H875" t="str">
        <f>IF(ISBLANK(VLOOKUP($A875,'Entry data'!$A:$K,8,FALSE)),"",VLOOKUP($A875,'Entry data'!$A:$K,8,FALSE))</f>
        <v/>
      </c>
      <c r="I875" t="str">
        <f>IF(ISBLANK(VLOOKUP($A875,'Entry data'!$A:$K,9,FALSE)),"",VLOOKUP($A875,'Entry data'!$A:$K,9,FALSE))</f>
        <v/>
      </c>
      <c r="J875" t="str">
        <f>IF(ISBLANK(VLOOKUP($A875,'Entry data'!$A:$K,10,FALSE)),"",VLOOKUP($A875,'Entry data'!$A:$K,10,FALSE))</f>
        <v/>
      </c>
      <c r="K875" t="str">
        <f>IF(ISBLANK(VLOOKUP($A875,'Entry data'!$A:$K,11,FALSE)),"",VLOOKUP($A875,'Entry data'!$A:$K,11,FALSE))</f>
        <v/>
      </c>
      <c r="L875">
        <f>IF(OR(EXACT(D875,"C"),EXACT(D875,"P"),EXACT(D875,"D"),EXACT(D875,"T"),EXACT(D875,"X"),EXACT(E875,"DZF"),EXACT(E875,"OZF"),EXACT(D875,"N"),EXACT(D875,"F")),1,0)</f>
        <v>0</v>
      </c>
      <c r="M875" t="str">
        <f t="shared" si="52"/>
        <v/>
      </c>
      <c r="N875">
        <f t="shared" si="53"/>
        <v>0</v>
      </c>
      <c r="O875">
        <f t="shared" si="54"/>
        <v>0</v>
      </c>
      <c r="P875" t="str">
        <f t="shared" si="55"/>
        <v/>
      </c>
    </row>
    <row r="876" spans="1:16" x14ac:dyDescent="0.25">
      <c r="A876">
        <v>375</v>
      </c>
      <c r="B876" t="str">
        <f>IF(ISBLANK(VLOOKUP($A876,'Entry data'!$A:$K,2,FALSE)),"",VLOOKUP($A876,'Entry data'!$A:$K,2,FALSE))</f>
        <v/>
      </c>
      <c r="C876" t="str">
        <f>IF(ISBLANK(VLOOKUP($A876,'Entry data'!$A:$K,3,FALSE)),"",VLOOKUP($A876,'Entry data'!$A:$K,3,FALSE))</f>
        <v/>
      </c>
      <c r="D876" t="str">
        <f>IF(ISBLANK(VLOOKUP($A876,'Entry data'!$A:$K,4,FALSE)),"",VLOOKUP($A876,'Entry data'!$A:$K,4,FALSE))</f>
        <v/>
      </c>
      <c r="E876" t="str">
        <f>IF(ISBLANK(VLOOKUP($A876,'Entry data'!$A:$K,5,FALSE)),"",VLOOKUP($A876,'Entry data'!$A:$K,5,FALSE))</f>
        <v/>
      </c>
      <c r="F876" t="str">
        <f>IF(ISBLANK(VLOOKUP($A876,'Entry data'!$A:$K,6,FALSE)),"",VLOOKUP($A876,'Entry data'!$A:$K,6,FALSE))</f>
        <v/>
      </c>
      <c r="G876" t="str">
        <f>IF(ISBLANK(VLOOKUP($A876,'Entry data'!$A:$K,7,FALSE)),"",VLOOKUP($A876,'Entry data'!$A:$K,7,FALSE))</f>
        <v/>
      </c>
      <c r="H876" t="str">
        <f>IF(ISBLANK(VLOOKUP($A876,'Entry data'!$A:$K,8,FALSE)),"",VLOOKUP($A876,'Entry data'!$A:$K,8,FALSE))</f>
        <v/>
      </c>
      <c r="I876" t="str">
        <f>IF(ISBLANK(VLOOKUP($A876,'Entry data'!$A:$K,9,FALSE)),"",VLOOKUP($A876,'Entry data'!$A:$K,9,FALSE))</f>
        <v/>
      </c>
      <c r="J876" t="str">
        <f>IF(ISBLANK(VLOOKUP($A876,'Entry data'!$A:$K,10,FALSE)),"",VLOOKUP($A876,'Entry data'!$A:$K,10,FALSE))</f>
        <v/>
      </c>
      <c r="K876" t="str">
        <f>IF(ISBLANK(VLOOKUP($A876,'Entry data'!$A:$K,11,FALSE)),"",VLOOKUP($A876,'Entry data'!$A:$K,11,FALSE))</f>
        <v/>
      </c>
      <c r="L876">
        <f>IF(OR(EXACT(D876,"C"),EXACT(D876,"P"),EXACT(D876,"D"),EXACT(D876,"T"),EXACT(D876,"X"),EXACT(E876,"DZF"),EXACT(E876,"OZF"),EXACT(D876,"N"),EXACT(D876,"F")),1,0)</f>
        <v>0</v>
      </c>
      <c r="M876" t="str">
        <f t="shared" si="52"/>
        <v/>
      </c>
      <c r="N876">
        <f t="shared" si="53"/>
        <v>0</v>
      </c>
      <c r="O876">
        <f t="shared" si="54"/>
        <v>0</v>
      </c>
      <c r="P876" t="str">
        <f t="shared" si="55"/>
        <v/>
      </c>
    </row>
    <row r="877" spans="1:16" x14ac:dyDescent="0.25">
      <c r="A877">
        <v>376</v>
      </c>
      <c r="B877" t="str">
        <f>IF(ISBLANK(VLOOKUP($A877,'Entry data'!$A:$K,2,FALSE)),"",VLOOKUP($A877,'Entry data'!$A:$K,2,FALSE))</f>
        <v/>
      </c>
      <c r="C877" t="str">
        <f>IF(ISBLANK(VLOOKUP($A877,'Entry data'!$A:$K,3,FALSE)),"",VLOOKUP($A877,'Entry data'!$A:$K,3,FALSE))</f>
        <v/>
      </c>
      <c r="D877" t="str">
        <f>IF(ISBLANK(VLOOKUP($A877,'Entry data'!$A:$K,4,FALSE)),"",VLOOKUP($A877,'Entry data'!$A:$K,4,FALSE))</f>
        <v/>
      </c>
      <c r="E877" t="str">
        <f>IF(ISBLANK(VLOOKUP($A877,'Entry data'!$A:$K,5,FALSE)),"",VLOOKUP($A877,'Entry data'!$A:$K,5,FALSE))</f>
        <v/>
      </c>
      <c r="F877" t="str">
        <f>IF(ISBLANK(VLOOKUP($A877,'Entry data'!$A:$K,6,FALSE)),"",VLOOKUP($A877,'Entry data'!$A:$K,6,FALSE))</f>
        <v/>
      </c>
      <c r="G877" t="str">
        <f>IF(ISBLANK(VLOOKUP($A877,'Entry data'!$A:$K,7,FALSE)),"",VLOOKUP($A877,'Entry data'!$A:$K,7,FALSE))</f>
        <v/>
      </c>
      <c r="H877" t="str">
        <f>IF(ISBLANK(VLOOKUP($A877,'Entry data'!$A:$K,8,FALSE)),"",VLOOKUP($A877,'Entry data'!$A:$K,8,FALSE))</f>
        <v/>
      </c>
      <c r="I877" t="str">
        <f>IF(ISBLANK(VLOOKUP($A877,'Entry data'!$A:$K,9,FALSE)),"",VLOOKUP($A877,'Entry data'!$A:$K,9,FALSE))</f>
        <v/>
      </c>
      <c r="J877" t="str">
        <f>IF(ISBLANK(VLOOKUP($A877,'Entry data'!$A:$K,10,FALSE)),"",VLOOKUP($A877,'Entry data'!$A:$K,10,FALSE))</f>
        <v/>
      </c>
      <c r="K877" t="str">
        <f>IF(ISBLANK(VLOOKUP($A877,'Entry data'!$A:$K,11,FALSE)),"",VLOOKUP($A877,'Entry data'!$A:$K,11,FALSE))</f>
        <v/>
      </c>
      <c r="L877">
        <f>IF(OR(EXACT(D877,"C"),EXACT(D877,"P"),EXACT(D877,"D"),EXACT(D877,"T"),EXACT(D877,"X"),EXACT(E877,"DZF"),EXACT(E877,"OZF"),EXACT(D877,"N"),EXACT(D877,"F")),1,0)</f>
        <v>0</v>
      </c>
      <c r="M877" t="str">
        <f t="shared" si="52"/>
        <v/>
      </c>
      <c r="N877">
        <f t="shared" si="53"/>
        <v>0</v>
      </c>
      <c r="O877">
        <f t="shared" si="54"/>
        <v>0</v>
      </c>
      <c r="P877" t="str">
        <f t="shared" si="55"/>
        <v/>
      </c>
    </row>
    <row r="878" spans="1:16" x14ac:dyDescent="0.25">
      <c r="A878">
        <v>377</v>
      </c>
      <c r="B878" t="str">
        <f>IF(ISBLANK(VLOOKUP($A878,'Entry data'!$A:$K,2,FALSE)),"",VLOOKUP($A878,'Entry data'!$A:$K,2,FALSE))</f>
        <v/>
      </c>
      <c r="C878" t="str">
        <f>IF(ISBLANK(VLOOKUP($A878,'Entry data'!$A:$K,3,FALSE)),"",VLOOKUP($A878,'Entry data'!$A:$K,3,FALSE))</f>
        <v/>
      </c>
      <c r="D878" t="str">
        <f>IF(ISBLANK(VLOOKUP($A878,'Entry data'!$A:$K,4,FALSE)),"",VLOOKUP($A878,'Entry data'!$A:$K,4,FALSE))</f>
        <v/>
      </c>
      <c r="E878" t="str">
        <f>IF(ISBLANK(VLOOKUP($A878,'Entry data'!$A:$K,5,FALSE)),"",VLOOKUP($A878,'Entry data'!$A:$K,5,FALSE))</f>
        <v/>
      </c>
      <c r="F878" t="str">
        <f>IF(ISBLANK(VLOOKUP($A878,'Entry data'!$A:$K,6,FALSE)),"",VLOOKUP($A878,'Entry data'!$A:$K,6,FALSE))</f>
        <v/>
      </c>
      <c r="G878" t="str">
        <f>IF(ISBLANK(VLOOKUP($A878,'Entry data'!$A:$K,7,FALSE)),"",VLOOKUP($A878,'Entry data'!$A:$K,7,FALSE))</f>
        <v/>
      </c>
      <c r="H878" t="str">
        <f>IF(ISBLANK(VLOOKUP($A878,'Entry data'!$A:$K,8,FALSE)),"",VLOOKUP($A878,'Entry data'!$A:$K,8,FALSE))</f>
        <v/>
      </c>
      <c r="I878" t="str">
        <f>IF(ISBLANK(VLOOKUP($A878,'Entry data'!$A:$K,9,FALSE)),"",VLOOKUP($A878,'Entry data'!$A:$K,9,FALSE))</f>
        <v/>
      </c>
      <c r="J878" t="str">
        <f>IF(ISBLANK(VLOOKUP($A878,'Entry data'!$A:$K,10,FALSE)),"",VLOOKUP($A878,'Entry data'!$A:$K,10,FALSE))</f>
        <v/>
      </c>
      <c r="K878" t="str">
        <f>IF(ISBLANK(VLOOKUP($A878,'Entry data'!$A:$K,11,FALSE)),"",VLOOKUP($A878,'Entry data'!$A:$K,11,FALSE))</f>
        <v/>
      </c>
      <c r="L878">
        <f>IF(OR(EXACT(D878,"C"),EXACT(D878,"P"),EXACT(D878,"D"),EXACT(D878,"T"),EXACT(D878,"X"),EXACT(E878,"DZF"),EXACT(E878,"OZF"),EXACT(D878,"N"),EXACT(D878,"F")),1,0)</f>
        <v>0</v>
      </c>
      <c r="M878" t="str">
        <f t="shared" si="52"/>
        <v/>
      </c>
      <c r="N878">
        <f t="shared" si="53"/>
        <v>0</v>
      </c>
      <c r="O878">
        <f t="shared" si="54"/>
        <v>0</v>
      </c>
      <c r="P878" t="str">
        <f t="shared" si="55"/>
        <v/>
      </c>
    </row>
    <row r="879" spans="1:16" x14ac:dyDescent="0.25">
      <c r="A879">
        <v>378</v>
      </c>
      <c r="B879" t="str">
        <f>IF(ISBLANK(VLOOKUP($A879,'Entry data'!$A:$K,2,FALSE)),"",VLOOKUP($A879,'Entry data'!$A:$K,2,FALSE))</f>
        <v/>
      </c>
      <c r="C879" t="str">
        <f>IF(ISBLANK(VLOOKUP($A879,'Entry data'!$A:$K,3,FALSE)),"",VLOOKUP($A879,'Entry data'!$A:$K,3,FALSE))</f>
        <v/>
      </c>
      <c r="D879" t="str">
        <f>IF(ISBLANK(VLOOKUP($A879,'Entry data'!$A:$K,4,FALSE)),"",VLOOKUP($A879,'Entry data'!$A:$K,4,FALSE))</f>
        <v/>
      </c>
      <c r="E879" t="str">
        <f>IF(ISBLANK(VLOOKUP($A879,'Entry data'!$A:$K,5,FALSE)),"",VLOOKUP($A879,'Entry data'!$A:$K,5,FALSE))</f>
        <v/>
      </c>
      <c r="F879" t="str">
        <f>IF(ISBLANK(VLOOKUP($A879,'Entry data'!$A:$K,6,FALSE)),"",VLOOKUP($A879,'Entry data'!$A:$K,6,FALSE))</f>
        <v/>
      </c>
      <c r="G879" t="str">
        <f>IF(ISBLANK(VLOOKUP($A879,'Entry data'!$A:$K,7,FALSE)),"",VLOOKUP($A879,'Entry data'!$A:$K,7,FALSE))</f>
        <v/>
      </c>
      <c r="H879" t="str">
        <f>IF(ISBLANK(VLOOKUP($A879,'Entry data'!$A:$K,8,FALSE)),"",VLOOKUP($A879,'Entry data'!$A:$K,8,FALSE))</f>
        <v/>
      </c>
      <c r="I879" t="str">
        <f>IF(ISBLANK(VLOOKUP($A879,'Entry data'!$A:$K,9,FALSE)),"",VLOOKUP($A879,'Entry data'!$A:$K,9,FALSE))</f>
        <v/>
      </c>
      <c r="J879" t="str">
        <f>IF(ISBLANK(VLOOKUP($A879,'Entry data'!$A:$K,10,FALSE)),"",VLOOKUP($A879,'Entry data'!$A:$K,10,FALSE))</f>
        <v/>
      </c>
      <c r="K879" t="str">
        <f>IF(ISBLANK(VLOOKUP($A879,'Entry data'!$A:$K,11,FALSE)),"",VLOOKUP($A879,'Entry data'!$A:$K,11,FALSE))</f>
        <v/>
      </c>
      <c r="L879">
        <f>IF(OR(EXACT(D879,"C"),EXACT(D879,"P"),EXACT(D879,"D"),EXACT(D879,"T"),EXACT(D879,"X"),EXACT(E879,"DZF"),EXACT(E879,"OZF"),EXACT(D879,"N"),EXACT(D879,"F")),1,0)</f>
        <v>0</v>
      </c>
      <c r="M879" t="str">
        <f t="shared" si="52"/>
        <v/>
      </c>
      <c r="N879">
        <f t="shared" si="53"/>
        <v>0</v>
      </c>
      <c r="O879">
        <f t="shared" si="54"/>
        <v>0</v>
      </c>
      <c r="P879" t="str">
        <f t="shared" si="55"/>
        <v/>
      </c>
    </row>
    <row r="880" spans="1:16" x14ac:dyDescent="0.25">
      <c r="A880">
        <v>379</v>
      </c>
      <c r="B880" t="str">
        <f>IF(ISBLANK(VLOOKUP($A880,'Entry data'!$A:$K,2,FALSE)),"",VLOOKUP($A880,'Entry data'!$A:$K,2,FALSE))</f>
        <v/>
      </c>
      <c r="C880" t="str">
        <f>IF(ISBLANK(VLOOKUP($A880,'Entry data'!$A:$K,3,FALSE)),"",VLOOKUP($A880,'Entry data'!$A:$K,3,FALSE))</f>
        <v/>
      </c>
      <c r="D880" t="str">
        <f>IF(ISBLANK(VLOOKUP($A880,'Entry data'!$A:$K,4,FALSE)),"",VLOOKUP($A880,'Entry data'!$A:$K,4,FALSE))</f>
        <v/>
      </c>
      <c r="E880" t="str">
        <f>IF(ISBLANK(VLOOKUP($A880,'Entry data'!$A:$K,5,FALSE)),"",VLOOKUP($A880,'Entry data'!$A:$K,5,FALSE))</f>
        <v/>
      </c>
      <c r="F880" t="str">
        <f>IF(ISBLANK(VLOOKUP($A880,'Entry data'!$A:$K,6,FALSE)),"",VLOOKUP($A880,'Entry data'!$A:$K,6,FALSE))</f>
        <v/>
      </c>
      <c r="G880" t="str">
        <f>IF(ISBLANK(VLOOKUP($A880,'Entry data'!$A:$K,7,FALSE)),"",VLOOKUP($A880,'Entry data'!$A:$K,7,FALSE))</f>
        <v/>
      </c>
      <c r="H880" t="str">
        <f>IF(ISBLANK(VLOOKUP($A880,'Entry data'!$A:$K,8,FALSE)),"",VLOOKUP($A880,'Entry data'!$A:$K,8,FALSE))</f>
        <v/>
      </c>
      <c r="I880" t="str">
        <f>IF(ISBLANK(VLOOKUP($A880,'Entry data'!$A:$K,9,FALSE)),"",VLOOKUP($A880,'Entry data'!$A:$K,9,FALSE))</f>
        <v/>
      </c>
      <c r="J880" t="str">
        <f>IF(ISBLANK(VLOOKUP($A880,'Entry data'!$A:$K,10,FALSE)),"",VLOOKUP($A880,'Entry data'!$A:$K,10,FALSE))</f>
        <v/>
      </c>
      <c r="K880" t="str">
        <f>IF(ISBLANK(VLOOKUP($A880,'Entry data'!$A:$K,11,FALSE)),"",VLOOKUP($A880,'Entry data'!$A:$K,11,FALSE))</f>
        <v/>
      </c>
      <c r="L880">
        <f>IF(OR(EXACT(D880,"C"),EXACT(D880,"P"),EXACT(D880,"D"),EXACT(D880,"T"),EXACT(D880,"X"),EXACT(E880,"DZF"),EXACT(E880,"OZF"),EXACT(D880,"N"),EXACT(D880,"F")),1,0)</f>
        <v>0</v>
      </c>
      <c r="M880" t="str">
        <f t="shared" si="52"/>
        <v/>
      </c>
      <c r="N880">
        <f t="shared" si="53"/>
        <v>0</v>
      </c>
      <c r="O880">
        <f t="shared" si="54"/>
        <v>0</v>
      </c>
      <c r="P880" t="str">
        <f t="shared" si="55"/>
        <v/>
      </c>
    </row>
    <row r="881" spans="1:16" x14ac:dyDescent="0.25">
      <c r="A881">
        <v>380</v>
      </c>
      <c r="B881" t="str">
        <f>IF(ISBLANK(VLOOKUP($A881,'Entry data'!$A:$K,2,FALSE)),"",VLOOKUP($A881,'Entry data'!$A:$K,2,FALSE))</f>
        <v/>
      </c>
      <c r="C881" t="str">
        <f>IF(ISBLANK(VLOOKUP($A881,'Entry data'!$A:$K,3,FALSE)),"",VLOOKUP($A881,'Entry data'!$A:$K,3,FALSE))</f>
        <v/>
      </c>
      <c r="D881" t="str">
        <f>IF(ISBLANK(VLOOKUP($A881,'Entry data'!$A:$K,4,FALSE)),"",VLOOKUP($A881,'Entry data'!$A:$K,4,FALSE))</f>
        <v/>
      </c>
      <c r="E881" t="str">
        <f>IF(ISBLANK(VLOOKUP($A881,'Entry data'!$A:$K,5,FALSE)),"",VLOOKUP($A881,'Entry data'!$A:$K,5,FALSE))</f>
        <v/>
      </c>
      <c r="F881" t="str">
        <f>IF(ISBLANK(VLOOKUP($A881,'Entry data'!$A:$K,6,FALSE)),"",VLOOKUP($A881,'Entry data'!$A:$K,6,FALSE))</f>
        <v/>
      </c>
      <c r="G881" t="str">
        <f>IF(ISBLANK(VLOOKUP($A881,'Entry data'!$A:$K,7,FALSE)),"",VLOOKUP($A881,'Entry data'!$A:$K,7,FALSE))</f>
        <v/>
      </c>
      <c r="H881" t="str">
        <f>IF(ISBLANK(VLOOKUP($A881,'Entry data'!$A:$K,8,FALSE)),"",VLOOKUP($A881,'Entry data'!$A:$K,8,FALSE))</f>
        <v/>
      </c>
      <c r="I881" t="str">
        <f>IF(ISBLANK(VLOOKUP($A881,'Entry data'!$A:$K,9,FALSE)),"",VLOOKUP($A881,'Entry data'!$A:$K,9,FALSE))</f>
        <v/>
      </c>
      <c r="J881" t="str">
        <f>IF(ISBLANK(VLOOKUP($A881,'Entry data'!$A:$K,10,FALSE)),"",VLOOKUP($A881,'Entry data'!$A:$K,10,FALSE))</f>
        <v/>
      </c>
      <c r="K881" t="str">
        <f>IF(ISBLANK(VLOOKUP($A881,'Entry data'!$A:$K,11,FALSE)),"",VLOOKUP($A881,'Entry data'!$A:$K,11,FALSE))</f>
        <v/>
      </c>
      <c r="L881">
        <f>IF(OR(EXACT(D881,"C"),EXACT(D881,"P"),EXACT(D881,"D"),EXACT(D881,"T"),EXACT(D881,"X"),EXACT(E881,"DZF"),EXACT(E881,"OZF"),EXACT(D881,"N"),EXACT(D881,"F")),1,0)</f>
        <v>0</v>
      </c>
      <c r="M881" t="str">
        <f t="shared" si="52"/>
        <v/>
      </c>
      <c r="N881">
        <f t="shared" si="53"/>
        <v>0</v>
      </c>
      <c r="O881">
        <f t="shared" si="54"/>
        <v>0</v>
      </c>
      <c r="P881" t="str">
        <f t="shared" si="55"/>
        <v/>
      </c>
    </row>
    <row r="882" spans="1:16" x14ac:dyDescent="0.25">
      <c r="A882">
        <v>381</v>
      </c>
      <c r="B882" t="str">
        <f>IF(ISBLANK(VLOOKUP($A882,'Entry data'!$A:$K,2,FALSE)),"",VLOOKUP($A882,'Entry data'!$A:$K,2,FALSE))</f>
        <v/>
      </c>
      <c r="C882" t="str">
        <f>IF(ISBLANK(VLOOKUP($A882,'Entry data'!$A:$K,3,FALSE)),"",VLOOKUP($A882,'Entry data'!$A:$K,3,FALSE))</f>
        <v/>
      </c>
      <c r="D882" t="str">
        <f>IF(ISBLANK(VLOOKUP($A882,'Entry data'!$A:$K,4,FALSE)),"",VLOOKUP($A882,'Entry data'!$A:$K,4,FALSE))</f>
        <v/>
      </c>
      <c r="E882" t="str">
        <f>IF(ISBLANK(VLOOKUP($A882,'Entry data'!$A:$K,5,FALSE)),"",VLOOKUP($A882,'Entry data'!$A:$K,5,FALSE))</f>
        <v/>
      </c>
      <c r="F882" t="str">
        <f>IF(ISBLANK(VLOOKUP($A882,'Entry data'!$A:$K,6,FALSE)),"",VLOOKUP($A882,'Entry data'!$A:$K,6,FALSE))</f>
        <v/>
      </c>
      <c r="G882" t="str">
        <f>IF(ISBLANK(VLOOKUP($A882,'Entry data'!$A:$K,7,FALSE)),"",VLOOKUP($A882,'Entry data'!$A:$K,7,FALSE))</f>
        <v/>
      </c>
      <c r="H882" t="str">
        <f>IF(ISBLANK(VLOOKUP($A882,'Entry data'!$A:$K,8,FALSE)),"",VLOOKUP($A882,'Entry data'!$A:$K,8,FALSE))</f>
        <v/>
      </c>
      <c r="I882" t="str">
        <f>IF(ISBLANK(VLOOKUP($A882,'Entry data'!$A:$K,9,FALSE)),"",VLOOKUP($A882,'Entry data'!$A:$K,9,FALSE))</f>
        <v/>
      </c>
      <c r="J882" t="str">
        <f>IF(ISBLANK(VLOOKUP($A882,'Entry data'!$A:$K,10,FALSE)),"",VLOOKUP($A882,'Entry data'!$A:$K,10,FALSE))</f>
        <v/>
      </c>
      <c r="K882" t="str">
        <f>IF(ISBLANK(VLOOKUP($A882,'Entry data'!$A:$K,11,FALSE)),"",VLOOKUP($A882,'Entry data'!$A:$K,11,FALSE))</f>
        <v/>
      </c>
      <c r="L882">
        <f>IF(OR(EXACT(D882,"C"),EXACT(D882,"P"),EXACT(D882,"D"),EXACT(D882,"T"),EXACT(D882,"X"),EXACT(E882,"DZF"),EXACT(E882,"OZF"),EXACT(D882,"N"),EXACT(D882,"F")),1,0)</f>
        <v>0</v>
      </c>
      <c r="M882" t="str">
        <f t="shared" si="52"/>
        <v/>
      </c>
      <c r="N882">
        <f t="shared" si="53"/>
        <v>0</v>
      </c>
      <c r="O882">
        <f t="shared" si="54"/>
        <v>0</v>
      </c>
      <c r="P882" t="str">
        <f t="shared" si="55"/>
        <v/>
      </c>
    </row>
    <row r="883" spans="1:16" x14ac:dyDescent="0.25">
      <c r="A883">
        <v>382</v>
      </c>
      <c r="B883" t="str">
        <f>IF(ISBLANK(VLOOKUP($A883,'Entry data'!$A:$K,2,FALSE)),"",VLOOKUP($A883,'Entry data'!$A:$K,2,FALSE))</f>
        <v/>
      </c>
      <c r="C883" t="str">
        <f>IF(ISBLANK(VLOOKUP($A883,'Entry data'!$A:$K,3,FALSE)),"",VLOOKUP($A883,'Entry data'!$A:$K,3,FALSE))</f>
        <v/>
      </c>
      <c r="D883" t="str">
        <f>IF(ISBLANK(VLOOKUP($A883,'Entry data'!$A:$K,4,FALSE)),"",VLOOKUP($A883,'Entry data'!$A:$K,4,FALSE))</f>
        <v/>
      </c>
      <c r="E883" t="str">
        <f>IF(ISBLANK(VLOOKUP($A883,'Entry data'!$A:$K,5,FALSE)),"",VLOOKUP($A883,'Entry data'!$A:$K,5,FALSE))</f>
        <v/>
      </c>
      <c r="F883" t="str">
        <f>IF(ISBLANK(VLOOKUP($A883,'Entry data'!$A:$K,6,FALSE)),"",VLOOKUP($A883,'Entry data'!$A:$K,6,FALSE))</f>
        <v/>
      </c>
      <c r="G883" t="str">
        <f>IF(ISBLANK(VLOOKUP($A883,'Entry data'!$A:$K,7,FALSE)),"",VLOOKUP($A883,'Entry data'!$A:$K,7,FALSE))</f>
        <v/>
      </c>
      <c r="H883" t="str">
        <f>IF(ISBLANK(VLOOKUP($A883,'Entry data'!$A:$K,8,FALSE)),"",VLOOKUP($A883,'Entry data'!$A:$K,8,FALSE))</f>
        <v/>
      </c>
      <c r="I883" t="str">
        <f>IF(ISBLANK(VLOOKUP($A883,'Entry data'!$A:$K,9,FALSE)),"",VLOOKUP($A883,'Entry data'!$A:$K,9,FALSE))</f>
        <v/>
      </c>
      <c r="J883" t="str">
        <f>IF(ISBLANK(VLOOKUP($A883,'Entry data'!$A:$K,10,FALSE)),"",VLOOKUP($A883,'Entry data'!$A:$K,10,FALSE))</f>
        <v/>
      </c>
      <c r="K883" t="str">
        <f>IF(ISBLANK(VLOOKUP($A883,'Entry data'!$A:$K,11,FALSE)),"",VLOOKUP($A883,'Entry data'!$A:$K,11,FALSE))</f>
        <v/>
      </c>
      <c r="L883">
        <f>IF(OR(EXACT(D883,"C"),EXACT(D883,"P"),EXACT(D883,"D"),EXACT(D883,"T"),EXACT(D883,"X"),EXACT(E883,"DZF"),EXACT(E883,"OZF"),EXACT(D883,"N"),EXACT(D883,"F")),1,0)</f>
        <v>0</v>
      </c>
      <c r="M883" t="str">
        <f t="shared" si="52"/>
        <v/>
      </c>
      <c r="N883">
        <f t="shared" si="53"/>
        <v>0</v>
      </c>
      <c r="O883">
        <f t="shared" si="54"/>
        <v>0</v>
      </c>
      <c r="P883" t="str">
        <f t="shared" si="55"/>
        <v/>
      </c>
    </row>
    <row r="884" spans="1:16" x14ac:dyDescent="0.25">
      <c r="A884">
        <v>383</v>
      </c>
      <c r="B884" t="str">
        <f>IF(ISBLANK(VLOOKUP($A884,'Entry data'!$A:$K,2,FALSE)),"",VLOOKUP($A884,'Entry data'!$A:$K,2,FALSE))</f>
        <v/>
      </c>
      <c r="C884" t="str">
        <f>IF(ISBLANK(VLOOKUP($A884,'Entry data'!$A:$K,3,FALSE)),"",VLOOKUP($A884,'Entry data'!$A:$K,3,FALSE))</f>
        <v/>
      </c>
      <c r="D884" t="str">
        <f>IF(ISBLANK(VLOOKUP($A884,'Entry data'!$A:$K,4,FALSE)),"",VLOOKUP($A884,'Entry data'!$A:$K,4,FALSE))</f>
        <v/>
      </c>
      <c r="E884" t="str">
        <f>IF(ISBLANK(VLOOKUP($A884,'Entry data'!$A:$K,5,FALSE)),"",VLOOKUP($A884,'Entry data'!$A:$K,5,FALSE))</f>
        <v/>
      </c>
      <c r="F884" t="str">
        <f>IF(ISBLANK(VLOOKUP($A884,'Entry data'!$A:$K,6,FALSE)),"",VLOOKUP($A884,'Entry data'!$A:$K,6,FALSE))</f>
        <v/>
      </c>
      <c r="G884" t="str">
        <f>IF(ISBLANK(VLOOKUP($A884,'Entry data'!$A:$K,7,FALSE)),"",VLOOKUP($A884,'Entry data'!$A:$K,7,FALSE))</f>
        <v/>
      </c>
      <c r="H884" t="str">
        <f>IF(ISBLANK(VLOOKUP($A884,'Entry data'!$A:$K,8,FALSE)),"",VLOOKUP($A884,'Entry data'!$A:$K,8,FALSE))</f>
        <v/>
      </c>
      <c r="I884" t="str">
        <f>IF(ISBLANK(VLOOKUP($A884,'Entry data'!$A:$K,9,FALSE)),"",VLOOKUP($A884,'Entry data'!$A:$K,9,FALSE))</f>
        <v/>
      </c>
      <c r="J884" t="str">
        <f>IF(ISBLANK(VLOOKUP($A884,'Entry data'!$A:$K,10,FALSE)),"",VLOOKUP($A884,'Entry data'!$A:$K,10,FALSE))</f>
        <v/>
      </c>
      <c r="K884" t="str">
        <f>IF(ISBLANK(VLOOKUP($A884,'Entry data'!$A:$K,11,FALSE)),"",VLOOKUP($A884,'Entry data'!$A:$K,11,FALSE))</f>
        <v/>
      </c>
      <c r="L884">
        <f>IF(OR(EXACT(D884,"C"),EXACT(D884,"P"),EXACT(D884,"D"),EXACT(D884,"T"),EXACT(D884,"X"),EXACT(E884,"DZF"),EXACT(E884,"OZF"),EXACT(D884,"N"),EXACT(D884,"F")),1,0)</f>
        <v>0</v>
      </c>
      <c r="M884" t="str">
        <f t="shared" si="52"/>
        <v/>
      </c>
      <c r="N884">
        <f t="shared" si="53"/>
        <v>0</v>
      </c>
      <c r="O884">
        <f t="shared" si="54"/>
        <v>0</v>
      </c>
      <c r="P884" t="str">
        <f t="shared" si="55"/>
        <v/>
      </c>
    </row>
    <row r="885" spans="1:16" x14ac:dyDescent="0.25">
      <c r="A885">
        <v>384</v>
      </c>
      <c r="B885" t="str">
        <f>IF(ISBLANK(VLOOKUP($A885,'Entry data'!$A:$K,2,FALSE)),"",VLOOKUP($A885,'Entry data'!$A:$K,2,FALSE))</f>
        <v/>
      </c>
      <c r="C885" t="str">
        <f>IF(ISBLANK(VLOOKUP($A885,'Entry data'!$A:$K,3,FALSE)),"",VLOOKUP($A885,'Entry data'!$A:$K,3,FALSE))</f>
        <v/>
      </c>
      <c r="D885" t="str">
        <f>IF(ISBLANK(VLOOKUP($A885,'Entry data'!$A:$K,4,FALSE)),"",VLOOKUP($A885,'Entry data'!$A:$K,4,FALSE))</f>
        <v/>
      </c>
      <c r="E885" t="str">
        <f>IF(ISBLANK(VLOOKUP($A885,'Entry data'!$A:$K,5,FALSE)),"",VLOOKUP($A885,'Entry data'!$A:$K,5,FALSE))</f>
        <v/>
      </c>
      <c r="F885" t="str">
        <f>IF(ISBLANK(VLOOKUP($A885,'Entry data'!$A:$K,6,FALSE)),"",VLOOKUP($A885,'Entry data'!$A:$K,6,FALSE))</f>
        <v/>
      </c>
      <c r="G885" t="str">
        <f>IF(ISBLANK(VLOOKUP($A885,'Entry data'!$A:$K,7,FALSE)),"",VLOOKUP($A885,'Entry data'!$A:$K,7,FALSE))</f>
        <v/>
      </c>
      <c r="H885" t="str">
        <f>IF(ISBLANK(VLOOKUP($A885,'Entry data'!$A:$K,8,FALSE)),"",VLOOKUP($A885,'Entry data'!$A:$K,8,FALSE))</f>
        <v/>
      </c>
      <c r="I885" t="str">
        <f>IF(ISBLANK(VLOOKUP($A885,'Entry data'!$A:$K,9,FALSE)),"",VLOOKUP($A885,'Entry data'!$A:$K,9,FALSE))</f>
        <v/>
      </c>
      <c r="J885" t="str">
        <f>IF(ISBLANK(VLOOKUP($A885,'Entry data'!$A:$K,10,FALSE)),"",VLOOKUP($A885,'Entry data'!$A:$K,10,FALSE))</f>
        <v/>
      </c>
      <c r="K885" t="str">
        <f>IF(ISBLANK(VLOOKUP($A885,'Entry data'!$A:$K,11,FALSE)),"",VLOOKUP($A885,'Entry data'!$A:$K,11,FALSE))</f>
        <v/>
      </c>
      <c r="L885">
        <f>IF(OR(EXACT(D885,"C"),EXACT(D885,"P"),EXACT(D885,"D"),EXACT(D885,"T"),EXACT(D885,"X"),EXACT(E885,"DZF"),EXACT(E885,"OZF"),EXACT(D885,"N"),EXACT(D885,"F")),1,0)</f>
        <v>0</v>
      </c>
      <c r="M885" t="str">
        <f t="shared" si="52"/>
        <v/>
      </c>
      <c r="N885">
        <f t="shared" si="53"/>
        <v>0</v>
      </c>
      <c r="O885">
        <f t="shared" si="54"/>
        <v>0</v>
      </c>
      <c r="P885" t="str">
        <f t="shared" si="55"/>
        <v/>
      </c>
    </row>
    <row r="886" spans="1:16" x14ac:dyDescent="0.25">
      <c r="A886">
        <v>385</v>
      </c>
      <c r="B886" t="str">
        <f>IF(ISBLANK(VLOOKUP($A886,'Entry data'!$A:$K,2,FALSE)),"",VLOOKUP($A886,'Entry data'!$A:$K,2,FALSE))</f>
        <v/>
      </c>
      <c r="C886" t="str">
        <f>IF(ISBLANK(VLOOKUP($A886,'Entry data'!$A:$K,3,FALSE)),"",VLOOKUP($A886,'Entry data'!$A:$K,3,FALSE))</f>
        <v/>
      </c>
      <c r="D886" t="str">
        <f>IF(ISBLANK(VLOOKUP($A886,'Entry data'!$A:$K,4,FALSE)),"",VLOOKUP($A886,'Entry data'!$A:$K,4,FALSE))</f>
        <v/>
      </c>
      <c r="E886" t="str">
        <f>IF(ISBLANK(VLOOKUP($A886,'Entry data'!$A:$K,5,FALSE)),"",VLOOKUP($A886,'Entry data'!$A:$K,5,FALSE))</f>
        <v/>
      </c>
      <c r="F886" t="str">
        <f>IF(ISBLANK(VLOOKUP($A886,'Entry data'!$A:$K,6,FALSE)),"",VLOOKUP($A886,'Entry data'!$A:$K,6,FALSE))</f>
        <v/>
      </c>
      <c r="G886" t="str">
        <f>IF(ISBLANK(VLOOKUP($A886,'Entry data'!$A:$K,7,FALSE)),"",VLOOKUP($A886,'Entry data'!$A:$K,7,FALSE))</f>
        <v/>
      </c>
      <c r="H886" t="str">
        <f>IF(ISBLANK(VLOOKUP($A886,'Entry data'!$A:$K,8,FALSE)),"",VLOOKUP($A886,'Entry data'!$A:$K,8,FALSE))</f>
        <v/>
      </c>
      <c r="I886" t="str">
        <f>IF(ISBLANK(VLOOKUP($A886,'Entry data'!$A:$K,9,FALSE)),"",VLOOKUP($A886,'Entry data'!$A:$K,9,FALSE))</f>
        <v/>
      </c>
      <c r="J886" t="str">
        <f>IF(ISBLANK(VLOOKUP($A886,'Entry data'!$A:$K,10,FALSE)),"",VLOOKUP($A886,'Entry data'!$A:$K,10,FALSE))</f>
        <v/>
      </c>
      <c r="K886" t="str">
        <f>IF(ISBLANK(VLOOKUP($A886,'Entry data'!$A:$K,11,FALSE)),"",VLOOKUP($A886,'Entry data'!$A:$K,11,FALSE))</f>
        <v/>
      </c>
      <c r="L886">
        <f>IF(OR(EXACT(D886,"C"),EXACT(D886,"P"),EXACT(D886,"D"),EXACT(D886,"T"),EXACT(D886,"X"),EXACT(E886,"DZF"),EXACT(E886,"OZF"),EXACT(D886,"N"),EXACT(D886,"F")),1,0)</f>
        <v>0</v>
      </c>
      <c r="M886" t="str">
        <f t="shared" si="52"/>
        <v/>
      </c>
      <c r="N886">
        <f t="shared" si="53"/>
        <v>0</v>
      </c>
      <c r="O886">
        <f t="shared" si="54"/>
        <v>0</v>
      </c>
      <c r="P886" t="str">
        <f t="shared" si="55"/>
        <v/>
      </c>
    </row>
    <row r="887" spans="1:16" x14ac:dyDescent="0.25">
      <c r="A887">
        <v>386</v>
      </c>
      <c r="B887" t="str">
        <f>IF(ISBLANK(VLOOKUP($A887,'Entry data'!$A:$K,2,FALSE)),"",VLOOKUP($A887,'Entry data'!$A:$K,2,FALSE))</f>
        <v/>
      </c>
      <c r="C887" t="str">
        <f>IF(ISBLANK(VLOOKUP($A887,'Entry data'!$A:$K,3,FALSE)),"",VLOOKUP($A887,'Entry data'!$A:$K,3,FALSE))</f>
        <v/>
      </c>
      <c r="D887" t="str">
        <f>IF(ISBLANK(VLOOKUP($A887,'Entry data'!$A:$K,4,FALSE)),"",VLOOKUP($A887,'Entry data'!$A:$K,4,FALSE))</f>
        <v/>
      </c>
      <c r="E887" t="str">
        <f>IF(ISBLANK(VLOOKUP($A887,'Entry data'!$A:$K,5,FALSE)),"",VLOOKUP($A887,'Entry data'!$A:$K,5,FALSE))</f>
        <v/>
      </c>
      <c r="F887" t="str">
        <f>IF(ISBLANK(VLOOKUP($A887,'Entry data'!$A:$K,6,FALSE)),"",VLOOKUP($A887,'Entry data'!$A:$K,6,FALSE))</f>
        <v/>
      </c>
      <c r="G887" t="str">
        <f>IF(ISBLANK(VLOOKUP($A887,'Entry data'!$A:$K,7,FALSE)),"",VLOOKUP($A887,'Entry data'!$A:$K,7,FALSE))</f>
        <v/>
      </c>
      <c r="H887" t="str">
        <f>IF(ISBLANK(VLOOKUP($A887,'Entry data'!$A:$K,8,FALSE)),"",VLOOKUP($A887,'Entry data'!$A:$K,8,FALSE))</f>
        <v/>
      </c>
      <c r="I887" t="str">
        <f>IF(ISBLANK(VLOOKUP($A887,'Entry data'!$A:$K,9,FALSE)),"",VLOOKUP($A887,'Entry data'!$A:$K,9,FALSE))</f>
        <v/>
      </c>
      <c r="J887" t="str">
        <f>IF(ISBLANK(VLOOKUP($A887,'Entry data'!$A:$K,10,FALSE)),"",VLOOKUP($A887,'Entry data'!$A:$K,10,FALSE))</f>
        <v/>
      </c>
      <c r="K887" t="str">
        <f>IF(ISBLANK(VLOOKUP($A887,'Entry data'!$A:$K,11,FALSE)),"",VLOOKUP($A887,'Entry data'!$A:$K,11,FALSE))</f>
        <v/>
      </c>
      <c r="L887">
        <f>IF(OR(EXACT(D887,"C"),EXACT(D887,"P"),EXACT(D887,"D"),EXACT(D887,"T"),EXACT(D887,"X"),EXACT(E887,"DZF"),EXACT(E887,"OZF"),EXACT(D887,"N"),EXACT(D887,"F")),1,0)</f>
        <v>0</v>
      </c>
      <c r="M887" t="str">
        <f t="shared" si="52"/>
        <v/>
      </c>
      <c r="N887">
        <f t="shared" si="53"/>
        <v>0</v>
      </c>
      <c r="O887">
        <f t="shared" si="54"/>
        <v>0</v>
      </c>
      <c r="P887" t="str">
        <f t="shared" si="55"/>
        <v/>
      </c>
    </row>
    <row r="888" spans="1:16" x14ac:dyDescent="0.25">
      <c r="A888">
        <v>387</v>
      </c>
      <c r="B888" t="str">
        <f>IF(ISBLANK(VLOOKUP($A888,'Entry data'!$A:$K,2,FALSE)),"",VLOOKUP($A888,'Entry data'!$A:$K,2,FALSE))</f>
        <v/>
      </c>
      <c r="C888" t="str">
        <f>IF(ISBLANK(VLOOKUP($A888,'Entry data'!$A:$K,3,FALSE)),"",VLOOKUP($A888,'Entry data'!$A:$K,3,FALSE))</f>
        <v/>
      </c>
      <c r="D888" t="str">
        <f>IF(ISBLANK(VLOOKUP($A888,'Entry data'!$A:$K,4,FALSE)),"",VLOOKUP($A888,'Entry data'!$A:$K,4,FALSE))</f>
        <v/>
      </c>
      <c r="E888" t="str">
        <f>IF(ISBLANK(VLOOKUP($A888,'Entry data'!$A:$K,5,FALSE)),"",VLOOKUP($A888,'Entry data'!$A:$K,5,FALSE))</f>
        <v/>
      </c>
      <c r="F888" t="str">
        <f>IF(ISBLANK(VLOOKUP($A888,'Entry data'!$A:$K,6,FALSE)),"",VLOOKUP($A888,'Entry data'!$A:$K,6,FALSE))</f>
        <v/>
      </c>
      <c r="G888" t="str">
        <f>IF(ISBLANK(VLOOKUP($A888,'Entry data'!$A:$K,7,FALSE)),"",VLOOKUP($A888,'Entry data'!$A:$K,7,FALSE))</f>
        <v/>
      </c>
      <c r="H888" t="str">
        <f>IF(ISBLANK(VLOOKUP($A888,'Entry data'!$A:$K,8,FALSE)),"",VLOOKUP($A888,'Entry data'!$A:$K,8,FALSE))</f>
        <v/>
      </c>
      <c r="I888" t="str">
        <f>IF(ISBLANK(VLOOKUP($A888,'Entry data'!$A:$K,9,FALSE)),"",VLOOKUP($A888,'Entry data'!$A:$K,9,FALSE))</f>
        <v/>
      </c>
      <c r="J888" t="str">
        <f>IF(ISBLANK(VLOOKUP($A888,'Entry data'!$A:$K,10,FALSE)),"",VLOOKUP($A888,'Entry data'!$A:$K,10,FALSE))</f>
        <v/>
      </c>
      <c r="K888" t="str">
        <f>IF(ISBLANK(VLOOKUP($A888,'Entry data'!$A:$K,11,FALSE)),"",VLOOKUP($A888,'Entry data'!$A:$K,11,FALSE))</f>
        <v/>
      </c>
      <c r="L888">
        <f>IF(OR(EXACT(D888,"C"),EXACT(D888,"P"),EXACT(D888,"D"),EXACT(D888,"T"),EXACT(D888,"X"),EXACT(E888,"DZF"),EXACT(E888,"OZF"),EXACT(D888,"N"),EXACT(D888,"F")),1,0)</f>
        <v>0</v>
      </c>
      <c r="M888" t="str">
        <f t="shared" si="52"/>
        <v/>
      </c>
      <c r="N888">
        <f t="shared" si="53"/>
        <v>0</v>
      </c>
      <c r="O888">
        <f t="shared" si="54"/>
        <v>0</v>
      </c>
      <c r="P888" t="str">
        <f t="shared" si="55"/>
        <v/>
      </c>
    </row>
    <row r="889" spans="1:16" x14ac:dyDescent="0.25">
      <c r="A889">
        <v>388</v>
      </c>
      <c r="B889" t="str">
        <f>IF(ISBLANK(VLOOKUP($A889,'Entry data'!$A:$K,2,FALSE)),"",VLOOKUP($A889,'Entry data'!$A:$K,2,FALSE))</f>
        <v/>
      </c>
      <c r="C889" t="str">
        <f>IF(ISBLANK(VLOOKUP($A889,'Entry data'!$A:$K,3,FALSE)),"",VLOOKUP($A889,'Entry data'!$A:$K,3,FALSE))</f>
        <v/>
      </c>
      <c r="D889" t="str">
        <f>IF(ISBLANK(VLOOKUP($A889,'Entry data'!$A:$K,4,FALSE)),"",VLOOKUP($A889,'Entry data'!$A:$K,4,FALSE))</f>
        <v/>
      </c>
      <c r="E889" t="str">
        <f>IF(ISBLANK(VLOOKUP($A889,'Entry data'!$A:$K,5,FALSE)),"",VLOOKUP($A889,'Entry data'!$A:$K,5,FALSE))</f>
        <v/>
      </c>
      <c r="F889" t="str">
        <f>IF(ISBLANK(VLOOKUP($A889,'Entry data'!$A:$K,6,FALSE)),"",VLOOKUP($A889,'Entry data'!$A:$K,6,FALSE))</f>
        <v/>
      </c>
      <c r="G889" t="str">
        <f>IF(ISBLANK(VLOOKUP($A889,'Entry data'!$A:$K,7,FALSE)),"",VLOOKUP($A889,'Entry data'!$A:$K,7,FALSE))</f>
        <v/>
      </c>
      <c r="H889" t="str">
        <f>IF(ISBLANK(VLOOKUP($A889,'Entry data'!$A:$K,8,FALSE)),"",VLOOKUP($A889,'Entry data'!$A:$K,8,FALSE))</f>
        <v/>
      </c>
      <c r="I889" t="str">
        <f>IF(ISBLANK(VLOOKUP($A889,'Entry data'!$A:$K,9,FALSE)),"",VLOOKUP($A889,'Entry data'!$A:$K,9,FALSE))</f>
        <v/>
      </c>
      <c r="J889" t="str">
        <f>IF(ISBLANK(VLOOKUP($A889,'Entry data'!$A:$K,10,FALSE)),"",VLOOKUP($A889,'Entry data'!$A:$K,10,FALSE))</f>
        <v/>
      </c>
      <c r="K889" t="str">
        <f>IF(ISBLANK(VLOOKUP($A889,'Entry data'!$A:$K,11,FALSE)),"",VLOOKUP($A889,'Entry data'!$A:$K,11,FALSE))</f>
        <v/>
      </c>
      <c r="L889">
        <f>IF(OR(EXACT(D889,"C"),EXACT(D889,"P"),EXACT(D889,"D"),EXACT(D889,"T"),EXACT(D889,"X"),EXACT(E889,"DZF"),EXACT(E889,"OZF"),EXACT(D889,"N"),EXACT(D889,"F")),1,0)</f>
        <v>0</v>
      </c>
      <c r="M889" t="str">
        <f t="shared" si="52"/>
        <v/>
      </c>
      <c r="N889">
        <f t="shared" si="53"/>
        <v>0</v>
      </c>
      <c r="O889">
        <f t="shared" si="54"/>
        <v>0</v>
      </c>
      <c r="P889" t="str">
        <f t="shared" si="55"/>
        <v/>
      </c>
    </row>
    <row r="890" spans="1:16" x14ac:dyDescent="0.25">
      <c r="A890">
        <v>389</v>
      </c>
      <c r="B890" t="str">
        <f>IF(ISBLANK(VLOOKUP($A890,'Entry data'!$A:$K,2,FALSE)),"",VLOOKUP($A890,'Entry data'!$A:$K,2,FALSE))</f>
        <v/>
      </c>
      <c r="C890" t="str">
        <f>IF(ISBLANK(VLOOKUP($A890,'Entry data'!$A:$K,3,FALSE)),"",VLOOKUP($A890,'Entry data'!$A:$K,3,FALSE))</f>
        <v/>
      </c>
      <c r="D890" t="str">
        <f>IF(ISBLANK(VLOOKUP($A890,'Entry data'!$A:$K,4,FALSE)),"",VLOOKUP($A890,'Entry data'!$A:$K,4,FALSE))</f>
        <v/>
      </c>
      <c r="E890" t="str">
        <f>IF(ISBLANK(VLOOKUP($A890,'Entry data'!$A:$K,5,FALSE)),"",VLOOKUP($A890,'Entry data'!$A:$K,5,FALSE))</f>
        <v/>
      </c>
      <c r="F890" t="str">
        <f>IF(ISBLANK(VLOOKUP($A890,'Entry data'!$A:$K,6,FALSE)),"",VLOOKUP($A890,'Entry data'!$A:$K,6,FALSE))</f>
        <v/>
      </c>
      <c r="G890" t="str">
        <f>IF(ISBLANK(VLOOKUP($A890,'Entry data'!$A:$K,7,FALSE)),"",VLOOKUP($A890,'Entry data'!$A:$K,7,FALSE))</f>
        <v/>
      </c>
      <c r="H890" t="str">
        <f>IF(ISBLANK(VLOOKUP($A890,'Entry data'!$A:$K,8,FALSE)),"",VLOOKUP($A890,'Entry data'!$A:$K,8,FALSE))</f>
        <v/>
      </c>
      <c r="I890" t="str">
        <f>IF(ISBLANK(VLOOKUP($A890,'Entry data'!$A:$K,9,FALSE)),"",VLOOKUP($A890,'Entry data'!$A:$K,9,FALSE))</f>
        <v/>
      </c>
      <c r="J890" t="str">
        <f>IF(ISBLANK(VLOOKUP($A890,'Entry data'!$A:$K,10,FALSE)),"",VLOOKUP($A890,'Entry data'!$A:$K,10,FALSE))</f>
        <v/>
      </c>
      <c r="K890" t="str">
        <f>IF(ISBLANK(VLOOKUP($A890,'Entry data'!$A:$K,11,FALSE)),"",VLOOKUP($A890,'Entry data'!$A:$K,11,FALSE))</f>
        <v/>
      </c>
      <c r="L890">
        <f>IF(OR(EXACT(D890,"C"),EXACT(D890,"P"),EXACT(D890,"D"),EXACT(D890,"T"),EXACT(D890,"X"),EXACT(E890,"DZF"),EXACT(E890,"OZF"),EXACT(D890,"N"),EXACT(D890,"F")),1,0)</f>
        <v>0</v>
      </c>
      <c r="M890" t="str">
        <f t="shared" si="52"/>
        <v/>
      </c>
      <c r="N890">
        <f t="shared" si="53"/>
        <v>0</v>
      </c>
      <c r="O890">
        <f t="shared" si="54"/>
        <v>0</v>
      </c>
      <c r="P890" t="str">
        <f t="shared" si="55"/>
        <v/>
      </c>
    </row>
    <row r="891" spans="1:16" x14ac:dyDescent="0.25">
      <c r="A891">
        <v>390</v>
      </c>
      <c r="B891" t="str">
        <f>IF(ISBLANK(VLOOKUP($A891,'Entry data'!$A:$K,2,FALSE)),"",VLOOKUP($A891,'Entry data'!$A:$K,2,FALSE))</f>
        <v/>
      </c>
      <c r="C891" t="str">
        <f>IF(ISBLANK(VLOOKUP($A891,'Entry data'!$A:$K,3,FALSE)),"",VLOOKUP($A891,'Entry data'!$A:$K,3,FALSE))</f>
        <v/>
      </c>
      <c r="D891" t="str">
        <f>IF(ISBLANK(VLOOKUP($A891,'Entry data'!$A:$K,4,FALSE)),"",VLOOKUP($A891,'Entry data'!$A:$K,4,FALSE))</f>
        <v/>
      </c>
      <c r="E891" t="str">
        <f>IF(ISBLANK(VLOOKUP($A891,'Entry data'!$A:$K,5,FALSE)),"",VLOOKUP($A891,'Entry data'!$A:$K,5,FALSE))</f>
        <v/>
      </c>
      <c r="F891" t="str">
        <f>IF(ISBLANK(VLOOKUP($A891,'Entry data'!$A:$K,6,FALSE)),"",VLOOKUP($A891,'Entry data'!$A:$K,6,FALSE))</f>
        <v/>
      </c>
      <c r="G891" t="str">
        <f>IF(ISBLANK(VLOOKUP($A891,'Entry data'!$A:$K,7,FALSE)),"",VLOOKUP($A891,'Entry data'!$A:$K,7,FALSE))</f>
        <v/>
      </c>
      <c r="H891" t="str">
        <f>IF(ISBLANK(VLOOKUP($A891,'Entry data'!$A:$K,8,FALSE)),"",VLOOKUP($A891,'Entry data'!$A:$K,8,FALSE))</f>
        <v/>
      </c>
      <c r="I891" t="str">
        <f>IF(ISBLANK(VLOOKUP($A891,'Entry data'!$A:$K,9,FALSE)),"",VLOOKUP($A891,'Entry data'!$A:$K,9,FALSE))</f>
        <v/>
      </c>
      <c r="J891" t="str">
        <f>IF(ISBLANK(VLOOKUP($A891,'Entry data'!$A:$K,10,FALSE)),"",VLOOKUP($A891,'Entry data'!$A:$K,10,FALSE))</f>
        <v/>
      </c>
      <c r="K891" t="str">
        <f>IF(ISBLANK(VLOOKUP($A891,'Entry data'!$A:$K,11,FALSE)),"",VLOOKUP($A891,'Entry data'!$A:$K,11,FALSE))</f>
        <v/>
      </c>
      <c r="L891">
        <f>IF(OR(EXACT(D891,"C"),EXACT(D891,"P"),EXACT(D891,"D"),EXACT(D891,"T"),EXACT(D891,"X"),EXACT(E891,"DZF"),EXACT(E891,"OZF"),EXACT(D891,"N"),EXACT(D891,"F")),1,0)</f>
        <v>0</v>
      </c>
      <c r="M891" t="str">
        <f t="shared" si="52"/>
        <v/>
      </c>
      <c r="N891">
        <f t="shared" si="53"/>
        <v>0</v>
      </c>
      <c r="O891">
        <f t="shared" si="54"/>
        <v>0</v>
      </c>
      <c r="P891" t="str">
        <f t="shared" si="55"/>
        <v/>
      </c>
    </row>
    <row r="892" spans="1:16" x14ac:dyDescent="0.25">
      <c r="A892">
        <v>391</v>
      </c>
      <c r="B892" t="str">
        <f>IF(ISBLANK(VLOOKUP($A892,'Entry data'!$A:$K,2,FALSE)),"",VLOOKUP($A892,'Entry data'!$A:$K,2,FALSE))</f>
        <v/>
      </c>
      <c r="C892" t="str">
        <f>IF(ISBLANK(VLOOKUP($A892,'Entry data'!$A:$K,3,FALSE)),"",VLOOKUP($A892,'Entry data'!$A:$K,3,FALSE))</f>
        <v/>
      </c>
      <c r="D892" t="str">
        <f>IF(ISBLANK(VLOOKUP($A892,'Entry data'!$A:$K,4,FALSE)),"",VLOOKUP($A892,'Entry data'!$A:$K,4,FALSE))</f>
        <v/>
      </c>
      <c r="E892" t="str">
        <f>IF(ISBLANK(VLOOKUP($A892,'Entry data'!$A:$K,5,FALSE)),"",VLOOKUP($A892,'Entry data'!$A:$K,5,FALSE))</f>
        <v/>
      </c>
      <c r="F892" t="str">
        <f>IF(ISBLANK(VLOOKUP($A892,'Entry data'!$A:$K,6,FALSE)),"",VLOOKUP($A892,'Entry data'!$A:$K,6,FALSE))</f>
        <v/>
      </c>
      <c r="G892" t="str">
        <f>IF(ISBLANK(VLOOKUP($A892,'Entry data'!$A:$K,7,FALSE)),"",VLOOKUP($A892,'Entry data'!$A:$K,7,FALSE))</f>
        <v/>
      </c>
      <c r="H892" t="str">
        <f>IF(ISBLANK(VLOOKUP($A892,'Entry data'!$A:$K,8,FALSE)),"",VLOOKUP($A892,'Entry data'!$A:$K,8,FALSE))</f>
        <v/>
      </c>
      <c r="I892" t="str">
        <f>IF(ISBLANK(VLOOKUP($A892,'Entry data'!$A:$K,9,FALSE)),"",VLOOKUP($A892,'Entry data'!$A:$K,9,FALSE))</f>
        <v/>
      </c>
      <c r="J892" t="str">
        <f>IF(ISBLANK(VLOOKUP($A892,'Entry data'!$A:$K,10,FALSE)),"",VLOOKUP($A892,'Entry data'!$A:$K,10,FALSE))</f>
        <v/>
      </c>
      <c r="K892" t="str">
        <f>IF(ISBLANK(VLOOKUP($A892,'Entry data'!$A:$K,11,FALSE)),"",VLOOKUP($A892,'Entry data'!$A:$K,11,FALSE))</f>
        <v/>
      </c>
      <c r="L892">
        <f>IF(OR(EXACT(D892,"C"),EXACT(D892,"P"),EXACT(D892,"D"),EXACT(D892,"T"),EXACT(D892,"X"),EXACT(E892,"DZF"),EXACT(E892,"OZF"),EXACT(D892,"N"),EXACT(D892,"F")),1,0)</f>
        <v>0</v>
      </c>
      <c r="M892" t="str">
        <f t="shared" si="52"/>
        <v/>
      </c>
      <c r="N892">
        <f t="shared" si="53"/>
        <v>0</v>
      </c>
      <c r="O892">
        <f t="shared" si="54"/>
        <v>0</v>
      </c>
      <c r="P892" t="str">
        <f t="shared" si="55"/>
        <v/>
      </c>
    </row>
    <row r="893" spans="1:16" x14ac:dyDescent="0.25">
      <c r="A893">
        <v>392</v>
      </c>
      <c r="B893" t="str">
        <f>IF(ISBLANK(VLOOKUP($A893,'Entry data'!$A:$K,2,FALSE)),"",VLOOKUP($A893,'Entry data'!$A:$K,2,FALSE))</f>
        <v/>
      </c>
      <c r="C893" t="str">
        <f>IF(ISBLANK(VLOOKUP($A893,'Entry data'!$A:$K,3,FALSE)),"",VLOOKUP($A893,'Entry data'!$A:$K,3,FALSE))</f>
        <v/>
      </c>
      <c r="D893" t="str">
        <f>IF(ISBLANK(VLOOKUP($A893,'Entry data'!$A:$K,4,FALSE)),"",VLOOKUP($A893,'Entry data'!$A:$K,4,FALSE))</f>
        <v/>
      </c>
      <c r="E893" t="str">
        <f>IF(ISBLANK(VLOOKUP($A893,'Entry data'!$A:$K,5,FALSE)),"",VLOOKUP($A893,'Entry data'!$A:$K,5,FALSE))</f>
        <v/>
      </c>
      <c r="F893" t="str">
        <f>IF(ISBLANK(VLOOKUP($A893,'Entry data'!$A:$K,6,FALSE)),"",VLOOKUP($A893,'Entry data'!$A:$K,6,FALSE))</f>
        <v/>
      </c>
      <c r="G893" t="str">
        <f>IF(ISBLANK(VLOOKUP($A893,'Entry data'!$A:$K,7,FALSE)),"",VLOOKUP($A893,'Entry data'!$A:$K,7,FALSE))</f>
        <v/>
      </c>
      <c r="H893" t="str">
        <f>IF(ISBLANK(VLOOKUP($A893,'Entry data'!$A:$K,8,FALSE)),"",VLOOKUP($A893,'Entry data'!$A:$K,8,FALSE))</f>
        <v/>
      </c>
      <c r="I893" t="str">
        <f>IF(ISBLANK(VLOOKUP($A893,'Entry data'!$A:$K,9,FALSE)),"",VLOOKUP($A893,'Entry data'!$A:$K,9,FALSE))</f>
        <v/>
      </c>
      <c r="J893" t="str">
        <f>IF(ISBLANK(VLOOKUP($A893,'Entry data'!$A:$K,10,FALSE)),"",VLOOKUP($A893,'Entry data'!$A:$K,10,FALSE))</f>
        <v/>
      </c>
      <c r="K893" t="str">
        <f>IF(ISBLANK(VLOOKUP($A893,'Entry data'!$A:$K,11,FALSE)),"",VLOOKUP($A893,'Entry data'!$A:$K,11,FALSE))</f>
        <v/>
      </c>
      <c r="L893">
        <f>IF(OR(EXACT(D893,"C"),EXACT(D893,"P"),EXACT(D893,"D"),EXACT(D893,"T"),EXACT(D893,"X"),EXACT(E893,"DZF"),EXACT(E893,"OZF"),EXACT(D893,"N"),EXACT(D893,"F")),1,0)</f>
        <v>0</v>
      </c>
      <c r="M893" t="str">
        <f t="shared" si="52"/>
        <v/>
      </c>
      <c r="N893">
        <f t="shared" si="53"/>
        <v>0</v>
      </c>
      <c r="O893">
        <f t="shared" si="54"/>
        <v>0</v>
      </c>
      <c r="P893" t="str">
        <f t="shared" si="55"/>
        <v/>
      </c>
    </row>
    <row r="894" spans="1:16" x14ac:dyDescent="0.25">
      <c r="A894">
        <v>393</v>
      </c>
      <c r="B894" t="str">
        <f>IF(ISBLANK(VLOOKUP($A894,'Entry data'!$A:$K,2,FALSE)),"",VLOOKUP($A894,'Entry data'!$A:$K,2,FALSE))</f>
        <v/>
      </c>
      <c r="C894" t="str">
        <f>IF(ISBLANK(VLOOKUP($A894,'Entry data'!$A:$K,3,FALSE)),"",VLOOKUP($A894,'Entry data'!$A:$K,3,FALSE))</f>
        <v/>
      </c>
      <c r="D894" t="str">
        <f>IF(ISBLANK(VLOOKUP($A894,'Entry data'!$A:$K,4,FALSE)),"",VLOOKUP($A894,'Entry data'!$A:$K,4,FALSE))</f>
        <v/>
      </c>
      <c r="E894" t="str">
        <f>IF(ISBLANK(VLOOKUP($A894,'Entry data'!$A:$K,5,FALSE)),"",VLOOKUP($A894,'Entry data'!$A:$K,5,FALSE))</f>
        <v/>
      </c>
      <c r="F894" t="str">
        <f>IF(ISBLANK(VLOOKUP($A894,'Entry data'!$A:$K,6,FALSE)),"",VLOOKUP($A894,'Entry data'!$A:$K,6,FALSE))</f>
        <v/>
      </c>
      <c r="G894" t="str">
        <f>IF(ISBLANK(VLOOKUP($A894,'Entry data'!$A:$K,7,FALSE)),"",VLOOKUP($A894,'Entry data'!$A:$K,7,FALSE))</f>
        <v/>
      </c>
      <c r="H894" t="str">
        <f>IF(ISBLANK(VLOOKUP($A894,'Entry data'!$A:$K,8,FALSE)),"",VLOOKUP($A894,'Entry data'!$A:$K,8,FALSE))</f>
        <v/>
      </c>
      <c r="I894" t="str">
        <f>IF(ISBLANK(VLOOKUP($A894,'Entry data'!$A:$K,9,FALSE)),"",VLOOKUP($A894,'Entry data'!$A:$K,9,FALSE))</f>
        <v/>
      </c>
      <c r="J894" t="str">
        <f>IF(ISBLANK(VLOOKUP($A894,'Entry data'!$A:$K,10,FALSE)),"",VLOOKUP($A894,'Entry data'!$A:$K,10,FALSE))</f>
        <v/>
      </c>
      <c r="K894" t="str">
        <f>IF(ISBLANK(VLOOKUP($A894,'Entry data'!$A:$K,11,FALSE)),"",VLOOKUP($A894,'Entry data'!$A:$K,11,FALSE))</f>
        <v/>
      </c>
      <c r="L894">
        <f>IF(OR(EXACT(D894,"C"),EXACT(D894,"P"),EXACT(D894,"D"),EXACT(D894,"T"),EXACT(D894,"X"),EXACT(E894,"DZF"),EXACT(E894,"OZF"),EXACT(D894,"N"),EXACT(D894,"F")),1,0)</f>
        <v>0</v>
      </c>
      <c r="M894" t="str">
        <f t="shared" si="52"/>
        <v/>
      </c>
      <c r="N894">
        <f t="shared" si="53"/>
        <v>0</v>
      </c>
      <c r="O894">
        <f t="shared" si="54"/>
        <v>0</v>
      </c>
      <c r="P894" t="str">
        <f t="shared" si="55"/>
        <v/>
      </c>
    </row>
    <row r="895" spans="1:16" x14ac:dyDescent="0.25">
      <c r="A895">
        <v>394</v>
      </c>
      <c r="B895" t="str">
        <f>IF(ISBLANK(VLOOKUP($A895,'Entry data'!$A:$K,2,FALSE)),"",VLOOKUP($A895,'Entry data'!$A:$K,2,FALSE))</f>
        <v/>
      </c>
      <c r="C895" t="str">
        <f>IF(ISBLANK(VLOOKUP($A895,'Entry data'!$A:$K,3,FALSE)),"",VLOOKUP($A895,'Entry data'!$A:$K,3,FALSE))</f>
        <v/>
      </c>
      <c r="D895" t="str">
        <f>IF(ISBLANK(VLOOKUP($A895,'Entry data'!$A:$K,4,FALSE)),"",VLOOKUP($A895,'Entry data'!$A:$K,4,FALSE))</f>
        <v/>
      </c>
      <c r="E895" t="str">
        <f>IF(ISBLANK(VLOOKUP($A895,'Entry data'!$A:$K,5,FALSE)),"",VLOOKUP($A895,'Entry data'!$A:$K,5,FALSE))</f>
        <v/>
      </c>
      <c r="F895" t="str">
        <f>IF(ISBLANK(VLOOKUP($A895,'Entry data'!$A:$K,6,FALSE)),"",VLOOKUP($A895,'Entry data'!$A:$K,6,FALSE))</f>
        <v/>
      </c>
      <c r="G895" t="str">
        <f>IF(ISBLANK(VLOOKUP($A895,'Entry data'!$A:$K,7,FALSE)),"",VLOOKUP($A895,'Entry data'!$A:$K,7,FALSE))</f>
        <v/>
      </c>
      <c r="H895" t="str">
        <f>IF(ISBLANK(VLOOKUP($A895,'Entry data'!$A:$K,8,FALSE)),"",VLOOKUP($A895,'Entry data'!$A:$K,8,FALSE))</f>
        <v/>
      </c>
      <c r="I895" t="str">
        <f>IF(ISBLANK(VLOOKUP($A895,'Entry data'!$A:$K,9,FALSE)),"",VLOOKUP($A895,'Entry data'!$A:$K,9,FALSE))</f>
        <v/>
      </c>
      <c r="J895" t="str">
        <f>IF(ISBLANK(VLOOKUP($A895,'Entry data'!$A:$K,10,FALSE)),"",VLOOKUP($A895,'Entry data'!$A:$K,10,FALSE))</f>
        <v/>
      </c>
      <c r="K895" t="str">
        <f>IF(ISBLANK(VLOOKUP($A895,'Entry data'!$A:$K,11,FALSE)),"",VLOOKUP($A895,'Entry data'!$A:$K,11,FALSE))</f>
        <v/>
      </c>
      <c r="L895">
        <f>IF(OR(EXACT(D895,"C"),EXACT(D895,"P"),EXACT(D895,"D"),EXACT(D895,"T"),EXACT(D895,"X"),EXACT(E895,"DZF"),EXACT(E895,"OZF"),EXACT(D895,"N"),EXACT(D895,"F")),1,0)</f>
        <v>0</v>
      </c>
      <c r="M895" t="str">
        <f t="shared" si="52"/>
        <v/>
      </c>
      <c r="N895">
        <f t="shared" si="53"/>
        <v>0</v>
      </c>
      <c r="O895">
        <f t="shared" si="54"/>
        <v>0</v>
      </c>
      <c r="P895" t="str">
        <f t="shared" si="55"/>
        <v/>
      </c>
    </row>
    <row r="896" spans="1:16" x14ac:dyDescent="0.25">
      <c r="A896">
        <v>395</v>
      </c>
      <c r="B896" t="str">
        <f>IF(ISBLANK(VLOOKUP($A896,'Entry data'!$A:$K,2,FALSE)),"",VLOOKUP($A896,'Entry data'!$A:$K,2,FALSE))</f>
        <v/>
      </c>
      <c r="C896" t="str">
        <f>IF(ISBLANK(VLOOKUP($A896,'Entry data'!$A:$K,3,FALSE)),"",VLOOKUP($A896,'Entry data'!$A:$K,3,FALSE))</f>
        <v/>
      </c>
      <c r="D896" t="str">
        <f>IF(ISBLANK(VLOOKUP($A896,'Entry data'!$A:$K,4,FALSE)),"",VLOOKUP($A896,'Entry data'!$A:$K,4,FALSE))</f>
        <v/>
      </c>
      <c r="E896" t="str">
        <f>IF(ISBLANK(VLOOKUP($A896,'Entry data'!$A:$K,5,FALSE)),"",VLOOKUP($A896,'Entry data'!$A:$K,5,FALSE))</f>
        <v/>
      </c>
      <c r="F896" t="str">
        <f>IF(ISBLANK(VLOOKUP($A896,'Entry data'!$A:$K,6,FALSE)),"",VLOOKUP($A896,'Entry data'!$A:$K,6,FALSE))</f>
        <v/>
      </c>
      <c r="G896" t="str">
        <f>IF(ISBLANK(VLOOKUP($A896,'Entry data'!$A:$K,7,FALSE)),"",VLOOKUP($A896,'Entry data'!$A:$K,7,FALSE))</f>
        <v/>
      </c>
      <c r="H896" t="str">
        <f>IF(ISBLANK(VLOOKUP($A896,'Entry data'!$A:$K,8,FALSE)),"",VLOOKUP($A896,'Entry data'!$A:$K,8,FALSE))</f>
        <v/>
      </c>
      <c r="I896" t="str">
        <f>IF(ISBLANK(VLOOKUP($A896,'Entry data'!$A:$K,9,FALSE)),"",VLOOKUP($A896,'Entry data'!$A:$K,9,FALSE))</f>
        <v/>
      </c>
      <c r="J896" t="str">
        <f>IF(ISBLANK(VLOOKUP($A896,'Entry data'!$A:$K,10,FALSE)),"",VLOOKUP($A896,'Entry data'!$A:$K,10,FALSE))</f>
        <v/>
      </c>
      <c r="K896" t="str">
        <f>IF(ISBLANK(VLOOKUP($A896,'Entry data'!$A:$K,11,FALSE)),"",VLOOKUP($A896,'Entry data'!$A:$K,11,FALSE))</f>
        <v/>
      </c>
      <c r="L896">
        <f>IF(OR(EXACT(D896,"C"),EXACT(D896,"P"),EXACT(D896,"D"),EXACT(D896,"T"),EXACT(D896,"X"),EXACT(E896,"DZF"),EXACT(E896,"OZF"),EXACT(D896,"N"),EXACT(D896,"F")),1,0)</f>
        <v>0</v>
      </c>
      <c r="M896" t="str">
        <f t="shared" si="52"/>
        <v/>
      </c>
      <c r="N896">
        <f t="shared" si="53"/>
        <v>0</v>
      </c>
      <c r="O896">
        <f t="shared" si="54"/>
        <v>0</v>
      </c>
      <c r="P896" t="str">
        <f t="shared" si="55"/>
        <v/>
      </c>
    </row>
    <row r="897" spans="1:16" x14ac:dyDescent="0.25">
      <c r="A897">
        <v>396</v>
      </c>
      <c r="B897" t="str">
        <f>IF(ISBLANK(VLOOKUP($A897,'Entry data'!$A:$K,2,FALSE)),"",VLOOKUP($A897,'Entry data'!$A:$K,2,FALSE))</f>
        <v/>
      </c>
      <c r="C897" t="str">
        <f>IF(ISBLANK(VLOOKUP($A897,'Entry data'!$A:$K,3,FALSE)),"",VLOOKUP($A897,'Entry data'!$A:$K,3,FALSE))</f>
        <v/>
      </c>
      <c r="D897" t="str">
        <f>IF(ISBLANK(VLOOKUP($A897,'Entry data'!$A:$K,4,FALSE)),"",VLOOKUP($A897,'Entry data'!$A:$K,4,FALSE))</f>
        <v/>
      </c>
      <c r="E897" t="str">
        <f>IF(ISBLANK(VLOOKUP($A897,'Entry data'!$A:$K,5,FALSE)),"",VLOOKUP($A897,'Entry data'!$A:$K,5,FALSE))</f>
        <v/>
      </c>
      <c r="F897" t="str">
        <f>IF(ISBLANK(VLOOKUP($A897,'Entry data'!$A:$K,6,FALSE)),"",VLOOKUP($A897,'Entry data'!$A:$K,6,FALSE))</f>
        <v/>
      </c>
      <c r="G897" t="str">
        <f>IF(ISBLANK(VLOOKUP($A897,'Entry data'!$A:$K,7,FALSE)),"",VLOOKUP($A897,'Entry data'!$A:$K,7,FALSE))</f>
        <v/>
      </c>
      <c r="H897" t="str">
        <f>IF(ISBLANK(VLOOKUP($A897,'Entry data'!$A:$K,8,FALSE)),"",VLOOKUP($A897,'Entry data'!$A:$K,8,FALSE))</f>
        <v/>
      </c>
      <c r="I897" t="str">
        <f>IF(ISBLANK(VLOOKUP($A897,'Entry data'!$A:$K,9,FALSE)),"",VLOOKUP($A897,'Entry data'!$A:$K,9,FALSE))</f>
        <v/>
      </c>
      <c r="J897" t="str">
        <f>IF(ISBLANK(VLOOKUP($A897,'Entry data'!$A:$K,10,FALSE)),"",VLOOKUP($A897,'Entry data'!$A:$K,10,FALSE))</f>
        <v/>
      </c>
      <c r="K897" t="str">
        <f>IF(ISBLANK(VLOOKUP($A897,'Entry data'!$A:$K,11,FALSE)),"",VLOOKUP($A897,'Entry data'!$A:$K,11,FALSE))</f>
        <v/>
      </c>
      <c r="L897">
        <f>IF(OR(EXACT(D897,"C"),EXACT(D897,"P"),EXACT(D897,"D"),EXACT(D897,"T"),EXACT(D897,"X"),EXACT(E897,"DZF"),EXACT(E897,"OZF"),EXACT(D897,"N"),EXACT(D897,"F")),1,0)</f>
        <v>0</v>
      </c>
      <c r="M897" t="str">
        <f t="shared" si="52"/>
        <v/>
      </c>
      <c r="N897">
        <f t="shared" si="53"/>
        <v>0</v>
      </c>
      <c r="O897">
        <f t="shared" si="54"/>
        <v>0</v>
      </c>
      <c r="P897" t="str">
        <f t="shared" si="55"/>
        <v/>
      </c>
    </row>
    <row r="898" spans="1:16" x14ac:dyDescent="0.25">
      <c r="A898">
        <v>397</v>
      </c>
      <c r="B898" t="str">
        <f>IF(ISBLANK(VLOOKUP($A898,'Entry data'!$A:$K,2,FALSE)),"",VLOOKUP($A898,'Entry data'!$A:$K,2,FALSE))</f>
        <v/>
      </c>
      <c r="C898" t="str">
        <f>IF(ISBLANK(VLOOKUP($A898,'Entry data'!$A:$K,3,FALSE)),"",VLOOKUP($A898,'Entry data'!$A:$K,3,FALSE))</f>
        <v/>
      </c>
      <c r="D898" t="str">
        <f>IF(ISBLANK(VLOOKUP($A898,'Entry data'!$A:$K,4,FALSE)),"",VLOOKUP($A898,'Entry data'!$A:$K,4,FALSE))</f>
        <v/>
      </c>
      <c r="E898" t="str">
        <f>IF(ISBLANK(VLOOKUP($A898,'Entry data'!$A:$K,5,FALSE)),"",VLOOKUP($A898,'Entry data'!$A:$K,5,FALSE))</f>
        <v/>
      </c>
      <c r="F898" t="str">
        <f>IF(ISBLANK(VLOOKUP($A898,'Entry data'!$A:$K,6,FALSE)),"",VLOOKUP($A898,'Entry data'!$A:$K,6,FALSE))</f>
        <v/>
      </c>
      <c r="G898" t="str">
        <f>IF(ISBLANK(VLOOKUP($A898,'Entry data'!$A:$K,7,FALSE)),"",VLOOKUP($A898,'Entry data'!$A:$K,7,FALSE))</f>
        <v/>
      </c>
      <c r="H898" t="str">
        <f>IF(ISBLANK(VLOOKUP($A898,'Entry data'!$A:$K,8,FALSE)),"",VLOOKUP($A898,'Entry data'!$A:$K,8,FALSE))</f>
        <v/>
      </c>
      <c r="I898" t="str">
        <f>IF(ISBLANK(VLOOKUP($A898,'Entry data'!$A:$K,9,FALSE)),"",VLOOKUP($A898,'Entry data'!$A:$K,9,FALSE))</f>
        <v/>
      </c>
      <c r="J898" t="str">
        <f>IF(ISBLANK(VLOOKUP($A898,'Entry data'!$A:$K,10,FALSE)),"",VLOOKUP($A898,'Entry data'!$A:$K,10,FALSE))</f>
        <v/>
      </c>
      <c r="K898" t="str">
        <f>IF(ISBLANK(VLOOKUP($A898,'Entry data'!$A:$K,11,FALSE)),"",VLOOKUP($A898,'Entry data'!$A:$K,11,FALSE))</f>
        <v/>
      </c>
      <c r="L898">
        <f>IF(OR(EXACT(D898,"C"),EXACT(D898,"P"),EXACT(D898,"D"),EXACT(D898,"T"),EXACT(D898,"X"),EXACT(E898,"DZF"),EXACT(E898,"OZF"),EXACT(D898,"N"),EXACT(D898,"F")),1,0)</f>
        <v>0</v>
      </c>
      <c r="M898" t="str">
        <f t="shared" ref="M898:M961" si="56">IF(OR(EXACT(D898,"C"),EXACT(D898,"P")),E898,"")</f>
        <v/>
      </c>
      <c r="N898">
        <f t="shared" ref="N898:N961" si="57">IF(OR(EXACT(D898,"GOAL"),EXACT(D898,"SHOT"),EXACT(D898,"MISS")),1,0)+IF(L899=0,N899,0)</f>
        <v>0</v>
      </c>
      <c r="O898">
        <f t="shared" ref="O898:O961" si="58">IF(EXACT(D898,"GOAL"),1,0)+IF(L899=0,O899,0)</f>
        <v>0</v>
      </c>
      <c r="P898" t="str">
        <f t="shared" si="55"/>
        <v/>
      </c>
    </row>
    <row r="899" spans="1:16" x14ac:dyDescent="0.25">
      <c r="A899">
        <v>398</v>
      </c>
      <c r="B899" t="str">
        <f>IF(ISBLANK(VLOOKUP($A899,'Entry data'!$A:$K,2,FALSE)),"",VLOOKUP($A899,'Entry data'!$A:$K,2,FALSE))</f>
        <v/>
      </c>
      <c r="C899" t="str">
        <f>IF(ISBLANK(VLOOKUP($A899,'Entry data'!$A:$K,3,FALSE)),"",VLOOKUP($A899,'Entry data'!$A:$K,3,FALSE))</f>
        <v/>
      </c>
      <c r="D899" t="str">
        <f>IF(ISBLANK(VLOOKUP($A899,'Entry data'!$A:$K,4,FALSE)),"",VLOOKUP($A899,'Entry data'!$A:$K,4,FALSE))</f>
        <v/>
      </c>
      <c r="E899" t="str">
        <f>IF(ISBLANK(VLOOKUP($A899,'Entry data'!$A:$K,5,FALSE)),"",VLOOKUP($A899,'Entry data'!$A:$K,5,FALSE))</f>
        <v/>
      </c>
      <c r="F899" t="str">
        <f>IF(ISBLANK(VLOOKUP($A899,'Entry data'!$A:$K,6,FALSE)),"",VLOOKUP($A899,'Entry data'!$A:$K,6,FALSE))</f>
        <v/>
      </c>
      <c r="G899" t="str">
        <f>IF(ISBLANK(VLOOKUP($A899,'Entry data'!$A:$K,7,FALSE)),"",VLOOKUP($A899,'Entry data'!$A:$K,7,FALSE))</f>
        <v/>
      </c>
      <c r="H899" t="str">
        <f>IF(ISBLANK(VLOOKUP($A899,'Entry data'!$A:$K,8,FALSE)),"",VLOOKUP($A899,'Entry data'!$A:$K,8,FALSE))</f>
        <v/>
      </c>
      <c r="I899" t="str">
        <f>IF(ISBLANK(VLOOKUP($A899,'Entry data'!$A:$K,9,FALSE)),"",VLOOKUP($A899,'Entry data'!$A:$K,9,FALSE))</f>
        <v/>
      </c>
      <c r="J899" t="str">
        <f>IF(ISBLANK(VLOOKUP($A899,'Entry data'!$A:$K,10,FALSE)),"",VLOOKUP($A899,'Entry data'!$A:$K,10,FALSE))</f>
        <v/>
      </c>
      <c r="K899" t="str">
        <f>IF(ISBLANK(VLOOKUP($A899,'Entry data'!$A:$K,11,FALSE)),"",VLOOKUP($A899,'Entry data'!$A:$K,11,FALSE))</f>
        <v/>
      </c>
      <c r="L899">
        <f>IF(OR(EXACT(D899,"C"),EXACT(D899,"P"),EXACT(D899,"D"),EXACT(D899,"T"),EXACT(D899,"X"),EXACT(E899,"DZF"),EXACT(E899,"OZF"),EXACT(D899,"N"),EXACT(D899,"F")),1,0)</f>
        <v>0</v>
      </c>
      <c r="M899" t="str">
        <f t="shared" si="56"/>
        <v/>
      </c>
      <c r="N899">
        <f t="shared" si="57"/>
        <v>0</v>
      </c>
      <c r="O899">
        <f t="shared" si="58"/>
        <v>0</v>
      </c>
      <c r="P899" t="str">
        <f t="shared" ref="P899:P962" si="59">IF(EXACT(D899,"F"),E899,"")</f>
        <v/>
      </c>
    </row>
    <row r="900" spans="1:16" x14ac:dyDescent="0.25">
      <c r="A900">
        <v>399</v>
      </c>
      <c r="B900" t="str">
        <f>IF(ISBLANK(VLOOKUP($A900,'Entry data'!$A:$K,2,FALSE)),"",VLOOKUP($A900,'Entry data'!$A:$K,2,FALSE))</f>
        <v/>
      </c>
      <c r="C900" t="str">
        <f>IF(ISBLANK(VLOOKUP($A900,'Entry data'!$A:$K,3,FALSE)),"",VLOOKUP($A900,'Entry data'!$A:$K,3,FALSE))</f>
        <v/>
      </c>
      <c r="D900" t="str">
        <f>IF(ISBLANK(VLOOKUP($A900,'Entry data'!$A:$K,4,FALSE)),"",VLOOKUP($A900,'Entry data'!$A:$K,4,FALSE))</f>
        <v/>
      </c>
      <c r="E900" t="str">
        <f>IF(ISBLANK(VLOOKUP($A900,'Entry data'!$A:$K,5,FALSE)),"",VLOOKUP($A900,'Entry data'!$A:$K,5,FALSE))</f>
        <v/>
      </c>
      <c r="F900" t="str">
        <f>IF(ISBLANK(VLOOKUP($A900,'Entry data'!$A:$K,6,FALSE)),"",VLOOKUP($A900,'Entry data'!$A:$K,6,FALSE))</f>
        <v/>
      </c>
      <c r="G900" t="str">
        <f>IF(ISBLANK(VLOOKUP($A900,'Entry data'!$A:$K,7,FALSE)),"",VLOOKUP($A900,'Entry data'!$A:$K,7,FALSE))</f>
        <v/>
      </c>
      <c r="H900" t="str">
        <f>IF(ISBLANK(VLOOKUP($A900,'Entry data'!$A:$K,8,FALSE)),"",VLOOKUP($A900,'Entry data'!$A:$K,8,FALSE))</f>
        <v/>
      </c>
      <c r="I900" t="str">
        <f>IF(ISBLANK(VLOOKUP($A900,'Entry data'!$A:$K,9,FALSE)),"",VLOOKUP($A900,'Entry data'!$A:$K,9,FALSE))</f>
        <v/>
      </c>
      <c r="J900" t="str">
        <f>IF(ISBLANK(VLOOKUP($A900,'Entry data'!$A:$K,10,FALSE)),"",VLOOKUP($A900,'Entry data'!$A:$K,10,FALSE))</f>
        <v/>
      </c>
      <c r="K900" t="str">
        <f>IF(ISBLANK(VLOOKUP($A900,'Entry data'!$A:$K,11,FALSE)),"",VLOOKUP($A900,'Entry data'!$A:$K,11,FALSE))</f>
        <v/>
      </c>
      <c r="L900">
        <f>IF(OR(EXACT(D900,"C"),EXACT(D900,"P"),EXACT(D900,"D"),EXACT(D900,"T"),EXACT(D900,"X"),EXACT(E900,"DZF"),EXACT(E900,"OZF"),EXACT(D900,"N"),EXACT(D900,"F")),1,0)</f>
        <v>0</v>
      </c>
      <c r="M900" t="str">
        <f t="shared" si="56"/>
        <v/>
      </c>
      <c r="N900">
        <f t="shared" si="57"/>
        <v>0</v>
      </c>
      <c r="O900">
        <f t="shared" si="58"/>
        <v>0</v>
      </c>
      <c r="P900" t="str">
        <f t="shared" si="59"/>
        <v/>
      </c>
    </row>
    <row r="901" spans="1:16" x14ac:dyDescent="0.25">
      <c r="A901">
        <v>400</v>
      </c>
      <c r="B901" t="str">
        <f>IF(ISBLANK(VLOOKUP($A901,'Entry data'!$A:$K,2,FALSE)),"",VLOOKUP($A901,'Entry data'!$A:$K,2,FALSE))</f>
        <v/>
      </c>
      <c r="C901" t="str">
        <f>IF(ISBLANK(VLOOKUP($A901,'Entry data'!$A:$K,3,FALSE)),"",VLOOKUP($A901,'Entry data'!$A:$K,3,FALSE))</f>
        <v/>
      </c>
      <c r="D901" t="str">
        <f>IF(ISBLANK(VLOOKUP($A901,'Entry data'!$A:$K,4,FALSE)),"",VLOOKUP($A901,'Entry data'!$A:$K,4,FALSE))</f>
        <v/>
      </c>
      <c r="E901" t="str">
        <f>IF(ISBLANK(VLOOKUP($A901,'Entry data'!$A:$K,5,FALSE)),"",VLOOKUP($A901,'Entry data'!$A:$K,5,FALSE))</f>
        <v/>
      </c>
      <c r="F901" t="str">
        <f>IF(ISBLANK(VLOOKUP($A901,'Entry data'!$A:$K,6,FALSE)),"",VLOOKUP($A901,'Entry data'!$A:$K,6,FALSE))</f>
        <v/>
      </c>
      <c r="G901" t="str">
        <f>IF(ISBLANK(VLOOKUP($A901,'Entry data'!$A:$K,7,FALSE)),"",VLOOKUP($A901,'Entry data'!$A:$K,7,FALSE))</f>
        <v/>
      </c>
      <c r="H901" t="str">
        <f>IF(ISBLANK(VLOOKUP($A901,'Entry data'!$A:$K,8,FALSE)),"",VLOOKUP($A901,'Entry data'!$A:$K,8,FALSE))</f>
        <v/>
      </c>
      <c r="I901" t="str">
        <f>IF(ISBLANK(VLOOKUP($A901,'Entry data'!$A:$K,9,FALSE)),"",VLOOKUP($A901,'Entry data'!$A:$K,9,FALSE))</f>
        <v/>
      </c>
      <c r="J901" t="str">
        <f>IF(ISBLANK(VLOOKUP($A901,'Entry data'!$A:$K,10,FALSE)),"",VLOOKUP($A901,'Entry data'!$A:$K,10,FALSE))</f>
        <v/>
      </c>
      <c r="K901" t="str">
        <f>IF(ISBLANK(VLOOKUP($A901,'Entry data'!$A:$K,11,FALSE)),"",VLOOKUP($A901,'Entry data'!$A:$K,11,FALSE))</f>
        <v/>
      </c>
      <c r="L901">
        <f>IF(OR(EXACT(D901,"C"),EXACT(D901,"P"),EXACT(D901,"D"),EXACT(D901,"T"),EXACT(D901,"X"),EXACT(E901,"DZF"),EXACT(E901,"OZF"),EXACT(D901,"N"),EXACT(D901,"F")),1,0)</f>
        <v>0</v>
      </c>
      <c r="M901" t="str">
        <f t="shared" si="56"/>
        <v/>
      </c>
      <c r="N901">
        <f t="shared" si="57"/>
        <v>0</v>
      </c>
      <c r="O901">
        <f t="shared" si="58"/>
        <v>0</v>
      </c>
      <c r="P901" t="str">
        <f t="shared" si="59"/>
        <v/>
      </c>
    </row>
    <row r="902" spans="1:16" x14ac:dyDescent="0.25">
      <c r="A902">
        <v>401</v>
      </c>
      <c r="B902" t="str">
        <f>IF(ISBLANK(VLOOKUP($A902,'Entry data'!$A:$K,2,FALSE)),"",VLOOKUP($A902,'Entry data'!$A:$K,2,FALSE))</f>
        <v/>
      </c>
      <c r="C902" t="str">
        <f>IF(ISBLANK(VLOOKUP($A902,'Entry data'!$A:$K,3,FALSE)),"",VLOOKUP($A902,'Entry data'!$A:$K,3,FALSE))</f>
        <v/>
      </c>
      <c r="D902" t="str">
        <f>IF(ISBLANK(VLOOKUP($A902,'Entry data'!$A:$K,4,FALSE)),"",VLOOKUP($A902,'Entry data'!$A:$K,4,FALSE))</f>
        <v/>
      </c>
      <c r="E902" t="str">
        <f>IF(ISBLANK(VLOOKUP($A902,'Entry data'!$A:$K,5,FALSE)),"",VLOOKUP($A902,'Entry data'!$A:$K,5,FALSE))</f>
        <v/>
      </c>
      <c r="F902" t="str">
        <f>IF(ISBLANK(VLOOKUP($A902,'Entry data'!$A:$K,6,FALSE)),"",VLOOKUP($A902,'Entry data'!$A:$K,6,FALSE))</f>
        <v/>
      </c>
      <c r="G902" t="str">
        <f>IF(ISBLANK(VLOOKUP($A902,'Entry data'!$A:$K,7,FALSE)),"",VLOOKUP($A902,'Entry data'!$A:$K,7,FALSE))</f>
        <v/>
      </c>
      <c r="H902" t="str">
        <f>IF(ISBLANK(VLOOKUP($A902,'Entry data'!$A:$K,8,FALSE)),"",VLOOKUP($A902,'Entry data'!$A:$K,8,FALSE))</f>
        <v/>
      </c>
      <c r="I902" t="str">
        <f>IF(ISBLANK(VLOOKUP($A902,'Entry data'!$A:$K,9,FALSE)),"",VLOOKUP($A902,'Entry data'!$A:$K,9,FALSE))</f>
        <v/>
      </c>
      <c r="J902" t="str">
        <f>IF(ISBLANK(VLOOKUP($A902,'Entry data'!$A:$K,10,FALSE)),"",VLOOKUP($A902,'Entry data'!$A:$K,10,FALSE))</f>
        <v/>
      </c>
      <c r="K902" t="str">
        <f>IF(ISBLANK(VLOOKUP($A902,'Entry data'!$A:$K,11,FALSE)),"",VLOOKUP($A902,'Entry data'!$A:$K,11,FALSE))</f>
        <v/>
      </c>
      <c r="L902">
        <f>IF(OR(EXACT(D902,"C"),EXACT(D902,"P"),EXACT(D902,"D"),EXACT(D902,"T"),EXACT(D902,"X"),EXACT(E902,"DZF"),EXACT(E902,"OZF"),EXACT(D902,"N"),EXACT(D902,"F")),1,0)</f>
        <v>0</v>
      </c>
      <c r="M902" t="str">
        <f t="shared" si="56"/>
        <v/>
      </c>
      <c r="N902">
        <f t="shared" si="57"/>
        <v>0</v>
      </c>
      <c r="O902">
        <f t="shared" si="58"/>
        <v>0</v>
      </c>
      <c r="P902" t="str">
        <f t="shared" si="59"/>
        <v/>
      </c>
    </row>
    <row r="903" spans="1:16" x14ac:dyDescent="0.25">
      <c r="A903">
        <v>402</v>
      </c>
      <c r="B903" t="str">
        <f>IF(ISBLANK(VLOOKUP($A903,'Entry data'!$A:$K,2,FALSE)),"",VLOOKUP($A903,'Entry data'!$A:$K,2,FALSE))</f>
        <v/>
      </c>
      <c r="C903" t="str">
        <f>IF(ISBLANK(VLOOKUP($A903,'Entry data'!$A:$K,3,FALSE)),"",VLOOKUP($A903,'Entry data'!$A:$K,3,FALSE))</f>
        <v/>
      </c>
      <c r="D903" t="str">
        <f>IF(ISBLANK(VLOOKUP($A903,'Entry data'!$A:$K,4,FALSE)),"",VLOOKUP($A903,'Entry data'!$A:$K,4,FALSE))</f>
        <v/>
      </c>
      <c r="E903" t="str">
        <f>IF(ISBLANK(VLOOKUP($A903,'Entry data'!$A:$K,5,FALSE)),"",VLOOKUP($A903,'Entry data'!$A:$K,5,FALSE))</f>
        <v/>
      </c>
      <c r="F903" t="str">
        <f>IF(ISBLANK(VLOOKUP($A903,'Entry data'!$A:$K,6,FALSE)),"",VLOOKUP($A903,'Entry data'!$A:$K,6,FALSE))</f>
        <v/>
      </c>
      <c r="G903" t="str">
        <f>IF(ISBLANK(VLOOKUP($A903,'Entry data'!$A:$K,7,FALSE)),"",VLOOKUP($A903,'Entry data'!$A:$K,7,FALSE))</f>
        <v/>
      </c>
      <c r="H903" t="str">
        <f>IF(ISBLANK(VLOOKUP($A903,'Entry data'!$A:$K,8,FALSE)),"",VLOOKUP($A903,'Entry data'!$A:$K,8,FALSE))</f>
        <v/>
      </c>
      <c r="I903" t="str">
        <f>IF(ISBLANK(VLOOKUP($A903,'Entry data'!$A:$K,9,FALSE)),"",VLOOKUP($A903,'Entry data'!$A:$K,9,FALSE))</f>
        <v/>
      </c>
      <c r="J903" t="str">
        <f>IF(ISBLANK(VLOOKUP($A903,'Entry data'!$A:$K,10,FALSE)),"",VLOOKUP($A903,'Entry data'!$A:$K,10,FALSE))</f>
        <v/>
      </c>
      <c r="K903" t="str">
        <f>IF(ISBLANK(VLOOKUP($A903,'Entry data'!$A:$K,11,FALSE)),"",VLOOKUP($A903,'Entry data'!$A:$K,11,FALSE))</f>
        <v/>
      </c>
      <c r="L903">
        <f>IF(OR(EXACT(D903,"C"),EXACT(D903,"P"),EXACT(D903,"D"),EXACT(D903,"T"),EXACT(D903,"X"),EXACT(E903,"DZF"),EXACT(E903,"OZF"),EXACT(D903,"N"),EXACT(D903,"F")),1,0)</f>
        <v>0</v>
      </c>
      <c r="M903" t="str">
        <f t="shared" si="56"/>
        <v/>
      </c>
      <c r="N903">
        <f t="shared" si="57"/>
        <v>0</v>
      </c>
      <c r="O903">
        <f t="shared" si="58"/>
        <v>0</v>
      </c>
      <c r="P903" t="str">
        <f t="shared" si="59"/>
        <v/>
      </c>
    </row>
    <row r="904" spans="1:16" x14ac:dyDescent="0.25">
      <c r="A904">
        <v>403</v>
      </c>
      <c r="B904" t="str">
        <f>IF(ISBLANK(VLOOKUP($A904,'Entry data'!$A:$K,2,FALSE)),"",VLOOKUP($A904,'Entry data'!$A:$K,2,FALSE))</f>
        <v/>
      </c>
      <c r="C904" t="str">
        <f>IF(ISBLANK(VLOOKUP($A904,'Entry data'!$A:$K,3,FALSE)),"",VLOOKUP($A904,'Entry data'!$A:$K,3,FALSE))</f>
        <v/>
      </c>
      <c r="D904" t="str">
        <f>IF(ISBLANK(VLOOKUP($A904,'Entry data'!$A:$K,4,FALSE)),"",VLOOKUP($A904,'Entry data'!$A:$K,4,FALSE))</f>
        <v/>
      </c>
      <c r="E904" t="str">
        <f>IF(ISBLANK(VLOOKUP($A904,'Entry data'!$A:$K,5,FALSE)),"",VLOOKUP($A904,'Entry data'!$A:$K,5,FALSE))</f>
        <v/>
      </c>
      <c r="F904" t="str">
        <f>IF(ISBLANK(VLOOKUP($A904,'Entry data'!$A:$K,6,FALSE)),"",VLOOKUP($A904,'Entry data'!$A:$K,6,FALSE))</f>
        <v/>
      </c>
      <c r="G904" t="str">
        <f>IF(ISBLANK(VLOOKUP($A904,'Entry data'!$A:$K,7,FALSE)),"",VLOOKUP($A904,'Entry data'!$A:$K,7,FALSE))</f>
        <v/>
      </c>
      <c r="H904" t="str">
        <f>IF(ISBLANK(VLOOKUP($A904,'Entry data'!$A:$K,8,FALSE)),"",VLOOKUP($A904,'Entry data'!$A:$K,8,FALSE))</f>
        <v/>
      </c>
      <c r="I904" t="str">
        <f>IF(ISBLANK(VLOOKUP($A904,'Entry data'!$A:$K,9,FALSE)),"",VLOOKUP($A904,'Entry data'!$A:$K,9,FALSE))</f>
        <v/>
      </c>
      <c r="J904" t="str">
        <f>IF(ISBLANK(VLOOKUP($A904,'Entry data'!$A:$K,10,FALSE)),"",VLOOKUP($A904,'Entry data'!$A:$K,10,FALSE))</f>
        <v/>
      </c>
      <c r="K904" t="str">
        <f>IF(ISBLANK(VLOOKUP($A904,'Entry data'!$A:$K,11,FALSE)),"",VLOOKUP($A904,'Entry data'!$A:$K,11,FALSE))</f>
        <v/>
      </c>
      <c r="L904">
        <f>IF(OR(EXACT(D904,"C"),EXACT(D904,"P"),EXACT(D904,"D"),EXACT(D904,"T"),EXACT(D904,"X"),EXACT(E904,"DZF"),EXACT(E904,"OZF"),EXACT(D904,"N"),EXACT(D904,"F")),1,0)</f>
        <v>0</v>
      </c>
      <c r="M904" t="str">
        <f t="shared" si="56"/>
        <v/>
      </c>
      <c r="N904">
        <f t="shared" si="57"/>
        <v>0</v>
      </c>
      <c r="O904">
        <f t="shared" si="58"/>
        <v>0</v>
      </c>
      <c r="P904" t="str">
        <f t="shared" si="59"/>
        <v/>
      </c>
    </row>
    <row r="905" spans="1:16" x14ac:dyDescent="0.25">
      <c r="A905">
        <v>404</v>
      </c>
      <c r="B905" t="str">
        <f>IF(ISBLANK(VLOOKUP($A905,'Entry data'!$A:$K,2,FALSE)),"",VLOOKUP($A905,'Entry data'!$A:$K,2,FALSE))</f>
        <v/>
      </c>
      <c r="C905" t="str">
        <f>IF(ISBLANK(VLOOKUP($A905,'Entry data'!$A:$K,3,FALSE)),"",VLOOKUP($A905,'Entry data'!$A:$K,3,FALSE))</f>
        <v/>
      </c>
      <c r="D905" t="str">
        <f>IF(ISBLANK(VLOOKUP($A905,'Entry data'!$A:$K,4,FALSE)),"",VLOOKUP($A905,'Entry data'!$A:$K,4,FALSE))</f>
        <v/>
      </c>
      <c r="E905" t="str">
        <f>IF(ISBLANK(VLOOKUP($A905,'Entry data'!$A:$K,5,FALSE)),"",VLOOKUP($A905,'Entry data'!$A:$K,5,FALSE))</f>
        <v/>
      </c>
      <c r="F905" t="str">
        <f>IF(ISBLANK(VLOOKUP($A905,'Entry data'!$A:$K,6,FALSE)),"",VLOOKUP($A905,'Entry data'!$A:$K,6,FALSE))</f>
        <v/>
      </c>
      <c r="G905" t="str">
        <f>IF(ISBLANK(VLOOKUP($A905,'Entry data'!$A:$K,7,FALSE)),"",VLOOKUP($A905,'Entry data'!$A:$K,7,FALSE))</f>
        <v/>
      </c>
      <c r="H905" t="str">
        <f>IF(ISBLANK(VLOOKUP($A905,'Entry data'!$A:$K,8,FALSE)),"",VLOOKUP($A905,'Entry data'!$A:$K,8,FALSE))</f>
        <v/>
      </c>
      <c r="I905" t="str">
        <f>IF(ISBLANK(VLOOKUP($A905,'Entry data'!$A:$K,9,FALSE)),"",VLOOKUP($A905,'Entry data'!$A:$K,9,FALSE))</f>
        <v/>
      </c>
      <c r="J905" t="str">
        <f>IF(ISBLANK(VLOOKUP($A905,'Entry data'!$A:$K,10,FALSE)),"",VLOOKUP($A905,'Entry data'!$A:$K,10,FALSE))</f>
        <v/>
      </c>
      <c r="K905" t="str">
        <f>IF(ISBLANK(VLOOKUP($A905,'Entry data'!$A:$K,11,FALSE)),"",VLOOKUP($A905,'Entry data'!$A:$K,11,FALSE))</f>
        <v/>
      </c>
      <c r="L905">
        <f>IF(OR(EXACT(D905,"C"),EXACT(D905,"P"),EXACT(D905,"D"),EXACT(D905,"T"),EXACT(D905,"X"),EXACT(E905,"DZF"),EXACT(E905,"OZF"),EXACT(D905,"N"),EXACT(D905,"F")),1,0)</f>
        <v>0</v>
      </c>
      <c r="M905" t="str">
        <f t="shared" si="56"/>
        <v/>
      </c>
      <c r="N905">
        <f t="shared" si="57"/>
        <v>0</v>
      </c>
      <c r="O905">
        <f t="shared" si="58"/>
        <v>0</v>
      </c>
      <c r="P905" t="str">
        <f t="shared" si="59"/>
        <v/>
      </c>
    </row>
    <row r="906" spans="1:16" x14ac:dyDescent="0.25">
      <c r="A906">
        <v>405</v>
      </c>
      <c r="B906" t="str">
        <f>IF(ISBLANK(VLOOKUP($A906,'Entry data'!$A:$K,2,FALSE)),"",VLOOKUP($A906,'Entry data'!$A:$K,2,FALSE))</f>
        <v/>
      </c>
      <c r="C906" t="str">
        <f>IF(ISBLANK(VLOOKUP($A906,'Entry data'!$A:$K,3,FALSE)),"",VLOOKUP($A906,'Entry data'!$A:$K,3,FALSE))</f>
        <v/>
      </c>
      <c r="D906" t="str">
        <f>IF(ISBLANK(VLOOKUP($A906,'Entry data'!$A:$K,4,FALSE)),"",VLOOKUP($A906,'Entry data'!$A:$K,4,FALSE))</f>
        <v/>
      </c>
      <c r="E906" t="str">
        <f>IF(ISBLANK(VLOOKUP($A906,'Entry data'!$A:$K,5,FALSE)),"",VLOOKUP($A906,'Entry data'!$A:$K,5,FALSE))</f>
        <v/>
      </c>
      <c r="F906" t="str">
        <f>IF(ISBLANK(VLOOKUP($A906,'Entry data'!$A:$K,6,FALSE)),"",VLOOKUP($A906,'Entry data'!$A:$K,6,FALSE))</f>
        <v/>
      </c>
      <c r="G906" t="str">
        <f>IF(ISBLANK(VLOOKUP($A906,'Entry data'!$A:$K,7,FALSE)),"",VLOOKUP($A906,'Entry data'!$A:$K,7,FALSE))</f>
        <v/>
      </c>
      <c r="H906" t="str">
        <f>IF(ISBLANK(VLOOKUP($A906,'Entry data'!$A:$K,8,FALSE)),"",VLOOKUP($A906,'Entry data'!$A:$K,8,FALSE))</f>
        <v/>
      </c>
      <c r="I906" t="str">
        <f>IF(ISBLANK(VLOOKUP($A906,'Entry data'!$A:$K,9,FALSE)),"",VLOOKUP($A906,'Entry data'!$A:$K,9,FALSE))</f>
        <v/>
      </c>
      <c r="J906" t="str">
        <f>IF(ISBLANK(VLOOKUP($A906,'Entry data'!$A:$K,10,FALSE)),"",VLOOKUP($A906,'Entry data'!$A:$K,10,FALSE))</f>
        <v/>
      </c>
      <c r="K906" t="str">
        <f>IF(ISBLANK(VLOOKUP($A906,'Entry data'!$A:$K,11,FALSE)),"",VLOOKUP($A906,'Entry data'!$A:$K,11,FALSE))</f>
        <v/>
      </c>
      <c r="L906">
        <f>IF(OR(EXACT(D906,"C"),EXACT(D906,"P"),EXACT(D906,"D"),EXACT(D906,"T"),EXACT(D906,"X"),EXACT(E906,"DZF"),EXACT(E906,"OZF"),EXACT(D906,"N"),EXACT(D906,"F")),1,0)</f>
        <v>0</v>
      </c>
      <c r="M906" t="str">
        <f t="shared" si="56"/>
        <v/>
      </c>
      <c r="N906">
        <f t="shared" si="57"/>
        <v>0</v>
      </c>
      <c r="O906">
        <f t="shared" si="58"/>
        <v>0</v>
      </c>
      <c r="P906" t="str">
        <f t="shared" si="59"/>
        <v/>
      </c>
    </row>
    <row r="907" spans="1:16" x14ac:dyDescent="0.25">
      <c r="A907">
        <v>406</v>
      </c>
      <c r="B907" t="str">
        <f>IF(ISBLANK(VLOOKUP($A907,'Entry data'!$A:$K,2,FALSE)),"",VLOOKUP($A907,'Entry data'!$A:$K,2,FALSE))</f>
        <v/>
      </c>
      <c r="C907" t="str">
        <f>IF(ISBLANK(VLOOKUP($A907,'Entry data'!$A:$K,3,FALSE)),"",VLOOKUP($A907,'Entry data'!$A:$K,3,FALSE))</f>
        <v/>
      </c>
      <c r="D907" t="str">
        <f>IF(ISBLANK(VLOOKUP($A907,'Entry data'!$A:$K,4,FALSE)),"",VLOOKUP($A907,'Entry data'!$A:$K,4,FALSE))</f>
        <v/>
      </c>
      <c r="E907" t="str">
        <f>IF(ISBLANK(VLOOKUP($A907,'Entry data'!$A:$K,5,FALSE)),"",VLOOKUP($A907,'Entry data'!$A:$K,5,FALSE))</f>
        <v/>
      </c>
      <c r="F907" t="str">
        <f>IF(ISBLANK(VLOOKUP($A907,'Entry data'!$A:$K,6,FALSE)),"",VLOOKUP($A907,'Entry data'!$A:$K,6,FALSE))</f>
        <v/>
      </c>
      <c r="G907" t="str">
        <f>IF(ISBLANK(VLOOKUP($A907,'Entry data'!$A:$K,7,FALSE)),"",VLOOKUP($A907,'Entry data'!$A:$K,7,FALSE))</f>
        <v/>
      </c>
      <c r="H907" t="str">
        <f>IF(ISBLANK(VLOOKUP($A907,'Entry data'!$A:$K,8,FALSE)),"",VLOOKUP($A907,'Entry data'!$A:$K,8,FALSE))</f>
        <v/>
      </c>
      <c r="I907" t="str">
        <f>IF(ISBLANK(VLOOKUP($A907,'Entry data'!$A:$K,9,FALSE)),"",VLOOKUP($A907,'Entry data'!$A:$K,9,FALSE))</f>
        <v/>
      </c>
      <c r="J907" t="str">
        <f>IF(ISBLANK(VLOOKUP($A907,'Entry data'!$A:$K,10,FALSE)),"",VLOOKUP($A907,'Entry data'!$A:$K,10,FALSE))</f>
        <v/>
      </c>
      <c r="K907" t="str">
        <f>IF(ISBLANK(VLOOKUP($A907,'Entry data'!$A:$K,11,FALSE)),"",VLOOKUP($A907,'Entry data'!$A:$K,11,FALSE))</f>
        <v/>
      </c>
      <c r="L907">
        <f>IF(OR(EXACT(D907,"C"),EXACT(D907,"P"),EXACT(D907,"D"),EXACT(D907,"T"),EXACT(D907,"X"),EXACT(E907,"DZF"),EXACT(E907,"OZF"),EXACT(D907,"N"),EXACT(D907,"F")),1,0)</f>
        <v>0</v>
      </c>
      <c r="M907" t="str">
        <f t="shared" si="56"/>
        <v/>
      </c>
      <c r="N907">
        <f t="shared" si="57"/>
        <v>0</v>
      </c>
      <c r="O907">
        <f t="shared" si="58"/>
        <v>0</v>
      </c>
      <c r="P907" t="str">
        <f t="shared" si="59"/>
        <v/>
      </c>
    </row>
    <row r="908" spans="1:16" x14ac:dyDescent="0.25">
      <c r="A908">
        <v>407</v>
      </c>
      <c r="B908" t="str">
        <f>IF(ISBLANK(VLOOKUP($A908,'Entry data'!$A:$K,2,FALSE)),"",VLOOKUP($A908,'Entry data'!$A:$K,2,FALSE))</f>
        <v/>
      </c>
      <c r="C908" t="str">
        <f>IF(ISBLANK(VLOOKUP($A908,'Entry data'!$A:$K,3,FALSE)),"",VLOOKUP($A908,'Entry data'!$A:$K,3,FALSE))</f>
        <v/>
      </c>
      <c r="D908" t="str">
        <f>IF(ISBLANK(VLOOKUP($A908,'Entry data'!$A:$K,4,FALSE)),"",VLOOKUP($A908,'Entry data'!$A:$K,4,FALSE))</f>
        <v/>
      </c>
      <c r="E908" t="str">
        <f>IF(ISBLANK(VLOOKUP($A908,'Entry data'!$A:$K,5,FALSE)),"",VLOOKUP($A908,'Entry data'!$A:$K,5,FALSE))</f>
        <v/>
      </c>
      <c r="F908" t="str">
        <f>IF(ISBLANK(VLOOKUP($A908,'Entry data'!$A:$K,6,FALSE)),"",VLOOKUP($A908,'Entry data'!$A:$K,6,FALSE))</f>
        <v/>
      </c>
      <c r="G908" t="str">
        <f>IF(ISBLANK(VLOOKUP($A908,'Entry data'!$A:$K,7,FALSE)),"",VLOOKUP($A908,'Entry data'!$A:$K,7,FALSE))</f>
        <v/>
      </c>
      <c r="H908" t="str">
        <f>IF(ISBLANK(VLOOKUP($A908,'Entry data'!$A:$K,8,FALSE)),"",VLOOKUP($A908,'Entry data'!$A:$K,8,FALSE))</f>
        <v/>
      </c>
      <c r="I908" t="str">
        <f>IF(ISBLANK(VLOOKUP($A908,'Entry data'!$A:$K,9,FALSE)),"",VLOOKUP($A908,'Entry data'!$A:$K,9,FALSE))</f>
        <v/>
      </c>
      <c r="J908" t="str">
        <f>IF(ISBLANK(VLOOKUP($A908,'Entry data'!$A:$K,10,FALSE)),"",VLOOKUP($A908,'Entry data'!$A:$K,10,FALSE))</f>
        <v/>
      </c>
      <c r="K908" t="str">
        <f>IF(ISBLANK(VLOOKUP($A908,'Entry data'!$A:$K,11,FALSE)),"",VLOOKUP($A908,'Entry data'!$A:$K,11,FALSE))</f>
        <v/>
      </c>
      <c r="L908">
        <f>IF(OR(EXACT(D908,"C"),EXACT(D908,"P"),EXACT(D908,"D"),EXACT(D908,"T"),EXACT(D908,"X"),EXACT(E908,"DZF"),EXACT(E908,"OZF"),EXACT(D908,"N"),EXACT(D908,"F")),1,0)</f>
        <v>0</v>
      </c>
      <c r="M908" t="str">
        <f t="shared" si="56"/>
        <v/>
      </c>
      <c r="N908">
        <f t="shared" si="57"/>
        <v>0</v>
      </c>
      <c r="O908">
        <f t="shared" si="58"/>
        <v>0</v>
      </c>
      <c r="P908" t="str">
        <f t="shared" si="59"/>
        <v/>
      </c>
    </row>
    <row r="909" spans="1:16" x14ac:dyDescent="0.25">
      <c r="A909">
        <v>408</v>
      </c>
      <c r="B909" t="str">
        <f>IF(ISBLANK(VLOOKUP($A909,'Entry data'!$A:$K,2,FALSE)),"",VLOOKUP($A909,'Entry data'!$A:$K,2,FALSE))</f>
        <v/>
      </c>
      <c r="C909" t="str">
        <f>IF(ISBLANK(VLOOKUP($A909,'Entry data'!$A:$K,3,FALSE)),"",VLOOKUP($A909,'Entry data'!$A:$K,3,FALSE))</f>
        <v/>
      </c>
      <c r="D909" t="str">
        <f>IF(ISBLANK(VLOOKUP($A909,'Entry data'!$A:$K,4,FALSE)),"",VLOOKUP($A909,'Entry data'!$A:$K,4,FALSE))</f>
        <v/>
      </c>
      <c r="E909" t="str">
        <f>IF(ISBLANK(VLOOKUP($A909,'Entry data'!$A:$K,5,FALSE)),"",VLOOKUP($A909,'Entry data'!$A:$K,5,FALSE))</f>
        <v/>
      </c>
      <c r="F909" t="str">
        <f>IF(ISBLANK(VLOOKUP($A909,'Entry data'!$A:$K,6,FALSE)),"",VLOOKUP($A909,'Entry data'!$A:$K,6,FALSE))</f>
        <v/>
      </c>
      <c r="G909" t="str">
        <f>IF(ISBLANK(VLOOKUP($A909,'Entry data'!$A:$K,7,FALSE)),"",VLOOKUP($A909,'Entry data'!$A:$K,7,FALSE))</f>
        <v/>
      </c>
      <c r="H909" t="str">
        <f>IF(ISBLANK(VLOOKUP($A909,'Entry data'!$A:$K,8,FALSE)),"",VLOOKUP($A909,'Entry data'!$A:$K,8,FALSE))</f>
        <v/>
      </c>
      <c r="I909" t="str">
        <f>IF(ISBLANK(VLOOKUP($A909,'Entry data'!$A:$K,9,FALSE)),"",VLOOKUP($A909,'Entry data'!$A:$K,9,FALSE))</f>
        <v/>
      </c>
      <c r="J909" t="str">
        <f>IF(ISBLANK(VLOOKUP($A909,'Entry data'!$A:$K,10,FALSE)),"",VLOOKUP($A909,'Entry data'!$A:$K,10,FALSE))</f>
        <v/>
      </c>
      <c r="K909" t="str">
        <f>IF(ISBLANK(VLOOKUP($A909,'Entry data'!$A:$K,11,FALSE)),"",VLOOKUP($A909,'Entry data'!$A:$K,11,FALSE))</f>
        <v/>
      </c>
      <c r="L909">
        <f>IF(OR(EXACT(D909,"C"),EXACT(D909,"P"),EXACT(D909,"D"),EXACT(D909,"T"),EXACT(D909,"X"),EXACT(E909,"DZF"),EXACT(E909,"OZF"),EXACT(D909,"N"),EXACT(D909,"F")),1,0)</f>
        <v>0</v>
      </c>
      <c r="M909" t="str">
        <f t="shared" si="56"/>
        <v/>
      </c>
      <c r="N909">
        <f t="shared" si="57"/>
        <v>0</v>
      </c>
      <c r="O909">
        <f t="shared" si="58"/>
        <v>0</v>
      </c>
      <c r="P909" t="str">
        <f t="shared" si="59"/>
        <v/>
      </c>
    </row>
    <row r="910" spans="1:16" x14ac:dyDescent="0.25">
      <c r="A910">
        <v>409</v>
      </c>
      <c r="B910" t="str">
        <f>IF(ISBLANK(VLOOKUP($A910,'Entry data'!$A:$K,2,FALSE)),"",VLOOKUP($A910,'Entry data'!$A:$K,2,FALSE))</f>
        <v/>
      </c>
      <c r="C910" t="str">
        <f>IF(ISBLANK(VLOOKUP($A910,'Entry data'!$A:$K,3,FALSE)),"",VLOOKUP($A910,'Entry data'!$A:$K,3,FALSE))</f>
        <v/>
      </c>
      <c r="D910" t="str">
        <f>IF(ISBLANK(VLOOKUP($A910,'Entry data'!$A:$K,4,FALSE)),"",VLOOKUP($A910,'Entry data'!$A:$K,4,FALSE))</f>
        <v/>
      </c>
      <c r="E910" t="str">
        <f>IF(ISBLANK(VLOOKUP($A910,'Entry data'!$A:$K,5,FALSE)),"",VLOOKUP($A910,'Entry data'!$A:$K,5,FALSE))</f>
        <v/>
      </c>
      <c r="F910" t="str">
        <f>IF(ISBLANK(VLOOKUP($A910,'Entry data'!$A:$K,6,FALSE)),"",VLOOKUP($A910,'Entry data'!$A:$K,6,FALSE))</f>
        <v/>
      </c>
      <c r="G910" t="str">
        <f>IF(ISBLANK(VLOOKUP($A910,'Entry data'!$A:$K,7,FALSE)),"",VLOOKUP($A910,'Entry data'!$A:$K,7,FALSE))</f>
        <v/>
      </c>
      <c r="H910" t="str">
        <f>IF(ISBLANK(VLOOKUP($A910,'Entry data'!$A:$K,8,FALSE)),"",VLOOKUP($A910,'Entry data'!$A:$K,8,FALSE))</f>
        <v/>
      </c>
      <c r="I910" t="str">
        <f>IF(ISBLANK(VLOOKUP($A910,'Entry data'!$A:$K,9,FALSE)),"",VLOOKUP($A910,'Entry data'!$A:$K,9,FALSE))</f>
        <v/>
      </c>
      <c r="J910" t="str">
        <f>IF(ISBLANK(VLOOKUP($A910,'Entry data'!$A:$K,10,FALSE)),"",VLOOKUP($A910,'Entry data'!$A:$K,10,FALSE))</f>
        <v/>
      </c>
      <c r="K910" t="str">
        <f>IF(ISBLANK(VLOOKUP($A910,'Entry data'!$A:$K,11,FALSE)),"",VLOOKUP($A910,'Entry data'!$A:$K,11,FALSE))</f>
        <v/>
      </c>
      <c r="L910">
        <f>IF(OR(EXACT(D910,"C"),EXACT(D910,"P"),EXACT(D910,"D"),EXACT(D910,"T"),EXACT(D910,"X"),EXACT(E910,"DZF"),EXACT(E910,"OZF"),EXACT(D910,"N"),EXACT(D910,"F")),1,0)</f>
        <v>0</v>
      </c>
      <c r="M910" t="str">
        <f t="shared" si="56"/>
        <v/>
      </c>
      <c r="N910">
        <f t="shared" si="57"/>
        <v>0</v>
      </c>
      <c r="O910">
        <f t="shared" si="58"/>
        <v>0</v>
      </c>
      <c r="P910" t="str">
        <f t="shared" si="59"/>
        <v/>
      </c>
    </row>
    <row r="911" spans="1:16" x14ac:dyDescent="0.25">
      <c r="A911">
        <v>410</v>
      </c>
      <c r="B911" t="str">
        <f>IF(ISBLANK(VLOOKUP($A911,'Entry data'!$A:$K,2,FALSE)),"",VLOOKUP($A911,'Entry data'!$A:$K,2,FALSE))</f>
        <v/>
      </c>
      <c r="C911" t="str">
        <f>IF(ISBLANK(VLOOKUP($A911,'Entry data'!$A:$K,3,FALSE)),"",VLOOKUP($A911,'Entry data'!$A:$K,3,FALSE))</f>
        <v/>
      </c>
      <c r="D911" t="str">
        <f>IF(ISBLANK(VLOOKUP($A911,'Entry data'!$A:$K,4,FALSE)),"",VLOOKUP($A911,'Entry data'!$A:$K,4,FALSE))</f>
        <v/>
      </c>
      <c r="E911" t="str">
        <f>IF(ISBLANK(VLOOKUP($A911,'Entry data'!$A:$K,5,FALSE)),"",VLOOKUP($A911,'Entry data'!$A:$K,5,FALSE))</f>
        <v/>
      </c>
      <c r="F911" t="str">
        <f>IF(ISBLANK(VLOOKUP($A911,'Entry data'!$A:$K,6,FALSE)),"",VLOOKUP($A911,'Entry data'!$A:$K,6,FALSE))</f>
        <v/>
      </c>
      <c r="G911" t="str">
        <f>IF(ISBLANK(VLOOKUP($A911,'Entry data'!$A:$K,7,FALSE)),"",VLOOKUP($A911,'Entry data'!$A:$K,7,FALSE))</f>
        <v/>
      </c>
      <c r="H911" t="str">
        <f>IF(ISBLANK(VLOOKUP($A911,'Entry data'!$A:$K,8,FALSE)),"",VLOOKUP($A911,'Entry data'!$A:$K,8,FALSE))</f>
        <v/>
      </c>
      <c r="I911" t="str">
        <f>IF(ISBLANK(VLOOKUP($A911,'Entry data'!$A:$K,9,FALSE)),"",VLOOKUP($A911,'Entry data'!$A:$K,9,FALSE))</f>
        <v/>
      </c>
      <c r="J911" t="str">
        <f>IF(ISBLANK(VLOOKUP($A911,'Entry data'!$A:$K,10,FALSE)),"",VLOOKUP($A911,'Entry data'!$A:$K,10,FALSE))</f>
        <v/>
      </c>
      <c r="K911" t="str">
        <f>IF(ISBLANK(VLOOKUP($A911,'Entry data'!$A:$K,11,FALSE)),"",VLOOKUP($A911,'Entry data'!$A:$K,11,FALSE))</f>
        <v/>
      </c>
      <c r="L911">
        <f>IF(OR(EXACT(D911,"C"),EXACT(D911,"P"),EXACT(D911,"D"),EXACT(D911,"T"),EXACT(D911,"X"),EXACT(E911,"DZF"),EXACT(E911,"OZF"),EXACT(D911,"N"),EXACT(D911,"F")),1,0)</f>
        <v>0</v>
      </c>
      <c r="M911" t="str">
        <f t="shared" si="56"/>
        <v/>
      </c>
      <c r="N911">
        <f t="shared" si="57"/>
        <v>0</v>
      </c>
      <c r="O911">
        <f t="shared" si="58"/>
        <v>0</v>
      </c>
      <c r="P911" t="str">
        <f t="shared" si="59"/>
        <v/>
      </c>
    </row>
    <row r="912" spans="1:16" x14ac:dyDescent="0.25">
      <c r="A912">
        <v>411</v>
      </c>
      <c r="B912" t="str">
        <f>IF(ISBLANK(VLOOKUP($A912,'Entry data'!$A:$K,2,FALSE)),"",VLOOKUP($A912,'Entry data'!$A:$K,2,FALSE))</f>
        <v/>
      </c>
      <c r="C912" t="str">
        <f>IF(ISBLANK(VLOOKUP($A912,'Entry data'!$A:$K,3,FALSE)),"",VLOOKUP($A912,'Entry data'!$A:$K,3,FALSE))</f>
        <v/>
      </c>
      <c r="D912" t="str">
        <f>IF(ISBLANK(VLOOKUP($A912,'Entry data'!$A:$K,4,FALSE)),"",VLOOKUP($A912,'Entry data'!$A:$K,4,FALSE))</f>
        <v/>
      </c>
      <c r="E912" t="str">
        <f>IF(ISBLANK(VLOOKUP($A912,'Entry data'!$A:$K,5,FALSE)),"",VLOOKUP($A912,'Entry data'!$A:$K,5,FALSE))</f>
        <v/>
      </c>
      <c r="F912" t="str">
        <f>IF(ISBLANK(VLOOKUP($A912,'Entry data'!$A:$K,6,FALSE)),"",VLOOKUP($A912,'Entry data'!$A:$K,6,FALSE))</f>
        <v/>
      </c>
      <c r="G912" t="str">
        <f>IF(ISBLANK(VLOOKUP($A912,'Entry data'!$A:$K,7,FALSE)),"",VLOOKUP($A912,'Entry data'!$A:$K,7,FALSE))</f>
        <v/>
      </c>
      <c r="H912" t="str">
        <f>IF(ISBLANK(VLOOKUP($A912,'Entry data'!$A:$K,8,FALSE)),"",VLOOKUP($A912,'Entry data'!$A:$K,8,FALSE))</f>
        <v/>
      </c>
      <c r="I912" t="str">
        <f>IF(ISBLANK(VLOOKUP($A912,'Entry data'!$A:$K,9,FALSE)),"",VLOOKUP($A912,'Entry data'!$A:$K,9,FALSE))</f>
        <v/>
      </c>
      <c r="J912" t="str">
        <f>IF(ISBLANK(VLOOKUP($A912,'Entry data'!$A:$K,10,FALSE)),"",VLOOKUP($A912,'Entry data'!$A:$K,10,FALSE))</f>
        <v/>
      </c>
      <c r="K912" t="str">
        <f>IF(ISBLANK(VLOOKUP($A912,'Entry data'!$A:$K,11,FALSE)),"",VLOOKUP($A912,'Entry data'!$A:$K,11,FALSE))</f>
        <v/>
      </c>
      <c r="L912">
        <f>IF(OR(EXACT(D912,"C"),EXACT(D912,"P"),EXACT(D912,"D"),EXACT(D912,"T"),EXACT(D912,"X"),EXACT(E912,"DZF"),EXACT(E912,"OZF"),EXACT(D912,"N"),EXACT(D912,"F")),1,0)</f>
        <v>0</v>
      </c>
      <c r="M912" t="str">
        <f t="shared" si="56"/>
        <v/>
      </c>
      <c r="N912">
        <f t="shared" si="57"/>
        <v>0</v>
      </c>
      <c r="O912">
        <f t="shared" si="58"/>
        <v>0</v>
      </c>
      <c r="P912" t="str">
        <f t="shared" si="59"/>
        <v/>
      </c>
    </row>
    <row r="913" spans="1:16" x14ac:dyDescent="0.25">
      <c r="A913">
        <v>412</v>
      </c>
      <c r="B913" t="str">
        <f>IF(ISBLANK(VLOOKUP($A913,'Entry data'!$A:$K,2,FALSE)),"",VLOOKUP($A913,'Entry data'!$A:$K,2,FALSE))</f>
        <v/>
      </c>
      <c r="C913" t="str">
        <f>IF(ISBLANK(VLOOKUP($A913,'Entry data'!$A:$K,3,FALSE)),"",VLOOKUP($A913,'Entry data'!$A:$K,3,FALSE))</f>
        <v/>
      </c>
      <c r="D913" t="str">
        <f>IF(ISBLANK(VLOOKUP($A913,'Entry data'!$A:$K,4,FALSE)),"",VLOOKUP($A913,'Entry data'!$A:$K,4,FALSE))</f>
        <v/>
      </c>
      <c r="E913" t="str">
        <f>IF(ISBLANK(VLOOKUP($A913,'Entry data'!$A:$K,5,FALSE)),"",VLOOKUP($A913,'Entry data'!$A:$K,5,FALSE))</f>
        <v/>
      </c>
      <c r="F913" t="str">
        <f>IF(ISBLANK(VLOOKUP($A913,'Entry data'!$A:$K,6,FALSE)),"",VLOOKUP($A913,'Entry data'!$A:$K,6,FALSE))</f>
        <v/>
      </c>
      <c r="G913" t="str">
        <f>IF(ISBLANK(VLOOKUP($A913,'Entry data'!$A:$K,7,FALSE)),"",VLOOKUP($A913,'Entry data'!$A:$K,7,FALSE))</f>
        <v/>
      </c>
      <c r="H913" t="str">
        <f>IF(ISBLANK(VLOOKUP($A913,'Entry data'!$A:$K,8,FALSE)),"",VLOOKUP($A913,'Entry data'!$A:$K,8,FALSE))</f>
        <v/>
      </c>
      <c r="I913" t="str">
        <f>IF(ISBLANK(VLOOKUP($A913,'Entry data'!$A:$K,9,FALSE)),"",VLOOKUP($A913,'Entry data'!$A:$K,9,FALSE))</f>
        <v/>
      </c>
      <c r="J913" t="str">
        <f>IF(ISBLANK(VLOOKUP($A913,'Entry data'!$A:$K,10,FALSE)),"",VLOOKUP($A913,'Entry data'!$A:$K,10,FALSE))</f>
        <v/>
      </c>
      <c r="K913" t="str">
        <f>IF(ISBLANK(VLOOKUP($A913,'Entry data'!$A:$K,11,FALSE)),"",VLOOKUP($A913,'Entry data'!$A:$K,11,FALSE))</f>
        <v/>
      </c>
      <c r="L913">
        <f>IF(OR(EXACT(D913,"C"),EXACT(D913,"P"),EXACT(D913,"D"),EXACT(D913,"T"),EXACT(D913,"X"),EXACT(E913,"DZF"),EXACT(E913,"OZF"),EXACT(D913,"N"),EXACT(D913,"F")),1,0)</f>
        <v>0</v>
      </c>
      <c r="M913" t="str">
        <f t="shared" si="56"/>
        <v/>
      </c>
      <c r="N913">
        <f t="shared" si="57"/>
        <v>0</v>
      </c>
      <c r="O913">
        <f t="shared" si="58"/>
        <v>0</v>
      </c>
      <c r="P913" t="str">
        <f t="shared" si="59"/>
        <v/>
      </c>
    </row>
    <row r="914" spans="1:16" x14ac:dyDescent="0.25">
      <c r="A914">
        <v>413</v>
      </c>
      <c r="B914" t="str">
        <f>IF(ISBLANK(VLOOKUP($A914,'Entry data'!$A:$K,2,FALSE)),"",VLOOKUP($A914,'Entry data'!$A:$K,2,FALSE))</f>
        <v/>
      </c>
      <c r="C914" t="str">
        <f>IF(ISBLANK(VLOOKUP($A914,'Entry data'!$A:$K,3,FALSE)),"",VLOOKUP($A914,'Entry data'!$A:$K,3,FALSE))</f>
        <v/>
      </c>
      <c r="D914" t="str">
        <f>IF(ISBLANK(VLOOKUP($A914,'Entry data'!$A:$K,4,FALSE)),"",VLOOKUP($A914,'Entry data'!$A:$K,4,FALSE))</f>
        <v/>
      </c>
      <c r="E914" t="str">
        <f>IF(ISBLANK(VLOOKUP($A914,'Entry data'!$A:$K,5,FALSE)),"",VLOOKUP($A914,'Entry data'!$A:$K,5,FALSE))</f>
        <v/>
      </c>
      <c r="F914" t="str">
        <f>IF(ISBLANK(VLOOKUP($A914,'Entry data'!$A:$K,6,FALSE)),"",VLOOKUP($A914,'Entry data'!$A:$K,6,FALSE))</f>
        <v/>
      </c>
      <c r="G914" t="str">
        <f>IF(ISBLANK(VLOOKUP($A914,'Entry data'!$A:$K,7,FALSE)),"",VLOOKUP($A914,'Entry data'!$A:$K,7,FALSE))</f>
        <v/>
      </c>
      <c r="H914" t="str">
        <f>IF(ISBLANK(VLOOKUP($A914,'Entry data'!$A:$K,8,FALSE)),"",VLOOKUP($A914,'Entry data'!$A:$K,8,FALSE))</f>
        <v/>
      </c>
      <c r="I914" t="str">
        <f>IF(ISBLANK(VLOOKUP($A914,'Entry data'!$A:$K,9,FALSE)),"",VLOOKUP($A914,'Entry data'!$A:$K,9,FALSE))</f>
        <v/>
      </c>
      <c r="J914" t="str">
        <f>IF(ISBLANK(VLOOKUP($A914,'Entry data'!$A:$K,10,FALSE)),"",VLOOKUP($A914,'Entry data'!$A:$K,10,FALSE))</f>
        <v/>
      </c>
      <c r="K914" t="str">
        <f>IF(ISBLANK(VLOOKUP($A914,'Entry data'!$A:$K,11,FALSE)),"",VLOOKUP($A914,'Entry data'!$A:$K,11,FALSE))</f>
        <v/>
      </c>
      <c r="L914">
        <f>IF(OR(EXACT(D914,"C"),EXACT(D914,"P"),EXACT(D914,"D"),EXACT(D914,"T"),EXACT(D914,"X"),EXACT(E914,"DZF"),EXACT(E914,"OZF"),EXACT(D914,"N"),EXACT(D914,"F")),1,0)</f>
        <v>0</v>
      </c>
      <c r="M914" t="str">
        <f t="shared" si="56"/>
        <v/>
      </c>
      <c r="N914">
        <f t="shared" si="57"/>
        <v>0</v>
      </c>
      <c r="O914">
        <f t="shared" si="58"/>
        <v>0</v>
      </c>
      <c r="P914" t="str">
        <f t="shared" si="59"/>
        <v/>
      </c>
    </row>
    <row r="915" spans="1:16" x14ac:dyDescent="0.25">
      <c r="A915">
        <v>414</v>
      </c>
      <c r="B915" t="str">
        <f>IF(ISBLANK(VLOOKUP($A915,'Entry data'!$A:$K,2,FALSE)),"",VLOOKUP($A915,'Entry data'!$A:$K,2,FALSE))</f>
        <v/>
      </c>
      <c r="C915" t="str">
        <f>IF(ISBLANK(VLOOKUP($A915,'Entry data'!$A:$K,3,FALSE)),"",VLOOKUP($A915,'Entry data'!$A:$K,3,FALSE))</f>
        <v/>
      </c>
      <c r="D915" t="str">
        <f>IF(ISBLANK(VLOOKUP($A915,'Entry data'!$A:$K,4,FALSE)),"",VLOOKUP($A915,'Entry data'!$A:$K,4,FALSE))</f>
        <v/>
      </c>
      <c r="E915" t="str">
        <f>IF(ISBLANK(VLOOKUP($A915,'Entry data'!$A:$K,5,FALSE)),"",VLOOKUP($A915,'Entry data'!$A:$K,5,FALSE))</f>
        <v/>
      </c>
      <c r="F915" t="str">
        <f>IF(ISBLANK(VLOOKUP($A915,'Entry data'!$A:$K,6,FALSE)),"",VLOOKUP($A915,'Entry data'!$A:$K,6,FALSE))</f>
        <v/>
      </c>
      <c r="G915" t="str">
        <f>IF(ISBLANK(VLOOKUP($A915,'Entry data'!$A:$K,7,FALSE)),"",VLOOKUP($A915,'Entry data'!$A:$K,7,FALSE))</f>
        <v/>
      </c>
      <c r="H915" t="str">
        <f>IF(ISBLANK(VLOOKUP($A915,'Entry data'!$A:$K,8,FALSE)),"",VLOOKUP($A915,'Entry data'!$A:$K,8,FALSE))</f>
        <v/>
      </c>
      <c r="I915" t="str">
        <f>IF(ISBLANK(VLOOKUP($A915,'Entry data'!$A:$K,9,FALSE)),"",VLOOKUP($A915,'Entry data'!$A:$K,9,FALSE))</f>
        <v/>
      </c>
      <c r="J915" t="str">
        <f>IF(ISBLANK(VLOOKUP($A915,'Entry data'!$A:$K,10,FALSE)),"",VLOOKUP($A915,'Entry data'!$A:$K,10,FALSE))</f>
        <v/>
      </c>
      <c r="K915" t="str">
        <f>IF(ISBLANK(VLOOKUP($A915,'Entry data'!$A:$K,11,FALSE)),"",VLOOKUP($A915,'Entry data'!$A:$K,11,FALSE))</f>
        <v/>
      </c>
      <c r="L915">
        <f>IF(OR(EXACT(D915,"C"),EXACT(D915,"P"),EXACT(D915,"D"),EXACT(D915,"T"),EXACT(D915,"X"),EXACT(E915,"DZF"),EXACT(E915,"OZF"),EXACT(D915,"N"),EXACT(D915,"F")),1,0)</f>
        <v>0</v>
      </c>
      <c r="M915" t="str">
        <f t="shared" si="56"/>
        <v/>
      </c>
      <c r="N915">
        <f t="shared" si="57"/>
        <v>0</v>
      </c>
      <c r="O915">
        <f t="shared" si="58"/>
        <v>0</v>
      </c>
      <c r="P915" t="str">
        <f t="shared" si="59"/>
        <v/>
      </c>
    </row>
    <row r="916" spans="1:16" x14ac:dyDescent="0.25">
      <c r="A916">
        <v>415</v>
      </c>
      <c r="B916" t="str">
        <f>IF(ISBLANK(VLOOKUP($A916,'Entry data'!$A:$K,2,FALSE)),"",VLOOKUP($A916,'Entry data'!$A:$K,2,FALSE))</f>
        <v/>
      </c>
      <c r="C916" t="str">
        <f>IF(ISBLANK(VLOOKUP($A916,'Entry data'!$A:$K,3,FALSE)),"",VLOOKUP($A916,'Entry data'!$A:$K,3,FALSE))</f>
        <v/>
      </c>
      <c r="D916" t="str">
        <f>IF(ISBLANK(VLOOKUP($A916,'Entry data'!$A:$K,4,FALSE)),"",VLOOKUP($A916,'Entry data'!$A:$K,4,FALSE))</f>
        <v/>
      </c>
      <c r="E916" t="str">
        <f>IF(ISBLANK(VLOOKUP($A916,'Entry data'!$A:$K,5,FALSE)),"",VLOOKUP($A916,'Entry data'!$A:$K,5,FALSE))</f>
        <v/>
      </c>
      <c r="F916" t="str">
        <f>IF(ISBLANK(VLOOKUP($A916,'Entry data'!$A:$K,6,FALSE)),"",VLOOKUP($A916,'Entry data'!$A:$K,6,FALSE))</f>
        <v/>
      </c>
      <c r="G916" t="str">
        <f>IF(ISBLANK(VLOOKUP($A916,'Entry data'!$A:$K,7,FALSE)),"",VLOOKUP($A916,'Entry data'!$A:$K,7,FALSE))</f>
        <v/>
      </c>
      <c r="H916" t="str">
        <f>IF(ISBLANK(VLOOKUP($A916,'Entry data'!$A:$K,8,FALSE)),"",VLOOKUP($A916,'Entry data'!$A:$K,8,FALSE))</f>
        <v/>
      </c>
      <c r="I916" t="str">
        <f>IF(ISBLANK(VLOOKUP($A916,'Entry data'!$A:$K,9,FALSE)),"",VLOOKUP($A916,'Entry data'!$A:$K,9,FALSE))</f>
        <v/>
      </c>
      <c r="J916" t="str">
        <f>IF(ISBLANK(VLOOKUP($A916,'Entry data'!$A:$K,10,FALSE)),"",VLOOKUP($A916,'Entry data'!$A:$K,10,FALSE))</f>
        <v/>
      </c>
      <c r="K916" t="str">
        <f>IF(ISBLANK(VLOOKUP($A916,'Entry data'!$A:$K,11,FALSE)),"",VLOOKUP($A916,'Entry data'!$A:$K,11,FALSE))</f>
        <v/>
      </c>
      <c r="L916">
        <f>IF(OR(EXACT(D916,"C"),EXACT(D916,"P"),EXACT(D916,"D"),EXACT(D916,"T"),EXACT(D916,"X"),EXACT(E916,"DZF"),EXACT(E916,"OZF"),EXACT(D916,"N"),EXACT(D916,"F")),1,0)</f>
        <v>0</v>
      </c>
      <c r="M916" t="str">
        <f t="shared" si="56"/>
        <v/>
      </c>
      <c r="N916">
        <f t="shared" si="57"/>
        <v>0</v>
      </c>
      <c r="O916">
        <f t="shared" si="58"/>
        <v>0</v>
      </c>
      <c r="P916" t="str">
        <f t="shared" si="59"/>
        <v/>
      </c>
    </row>
    <row r="917" spans="1:16" x14ac:dyDescent="0.25">
      <c r="A917">
        <v>416</v>
      </c>
      <c r="B917" t="str">
        <f>IF(ISBLANK(VLOOKUP($A917,'Entry data'!$A:$K,2,FALSE)),"",VLOOKUP($A917,'Entry data'!$A:$K,2,FALSE))</f>
        <v/>
      </c>
      <c r="C917" t="str">
        <f>IF(ISBLANK(VLOOKUP($A917,'Entry data'!$A:$K,3,FALSE)),"",VLOOKUP($A917,'Entry data'!$A:$K,3,FALSE))</f>
        <v/>
      </c>
      <c r="D917" t="str">
        <f>IF(ISBLANK(VLOOKUP($A917,'Entry data'!$A:$K,4,FALSE)),"",VLOOKUP($A917,'Entry data'!$A:$K,4,FALSE))</f>
        <v/>
      </c>
      <c r="E917" t="str">
        <f>IF(ISBLANK(VLOOKUP($A917,'Entry data'!$A:$K,5,FALSE)),"",VLOOKUP($A917,'Entry data'!$A:$K,5,FALSE))</f>
        <v/>
      </c>
      <c r="F917" t="str">
        <f>IF(ISBLANK(VLOOKUP($A917,'Entry data'!$A:$K,6,FALSE)),"",VLOOKUP($A917,'Entry data'!$A:$K,6,FALSE))</f>
        <v/>
      </c>
      <c r="G917" t="str">
        <f>IF(ISBLANK(VLOOKUP($A917,'Entry data'!$A:$K,7,FALSE)),"",VLOOKUP($A917,'Entry data'!$A:$K,7,FALSE))</f>
        <v/>
      </c>
      <c r="H917" t="str">
        <f>IF(ISBLANK(VLOOKUP($A917,'Entry data'!$A:$K,8,FALSE)),"",VLOOKUP($A917,'Entry data'!$A:$K,8,FALSE))</f>
        <v/>
      </c>
      <c r="I917" t="str">
        <f>IF(ISBLANK(VLOOKUP($A917,'Entry data'!$A:$K,9,FALSE)),"",VLOOKUP($A917,'Entry data'!$A:$K,9,FALSE))</f>
        <v/>
      </c>
      <c r="J917" t="str">
        <f>IF(ISBLANK(VLOOKUP($A917,'Entry data'!$A:$K,10,FALSE)),"",VLOOKUP($A917,'Entry data'!$A:$K,10,FALSE))</f>
        <v/>
      </c>
      <c r="K917" t="str">
        <f>IF(ISBLANK(VLOOKUP($A917,'Entry data'!$A:$K,11,FALSE)),"",VLOOKUP($A917,'Entry data'!$A:$K,11,FALSE))</f>
        <v/>
      </c>
      <c r="L917">
        <f>IF(OR(EXACT(D917,"C"),EXACT(D917,"P"),EXACT(D917,"D"),EXACT(D917,"T"),EXACT(D917,"X"),EXACT(E917,"DZF"),EXACT(E917,"OZF"),EXACT(D917,"N"),EXACT(D917,"F")),1,0)</f>
        <v>0</v>
      </c>
      <c r="M917" t="str">
        <f t="shared" si="56"/>
        <v/>
      </c>
      <c r="N917">
        <f t="shared" si="57"/>
        <v>0</v>
      </c>
      <c r="O917">
        <f t="shared" si="58"/>
        <v>0</v>
      </c>
      <c r="P917" t="str">
        <f t="shared" si="59"/>
        <v/>
      </c>
    </row>
    <row r="918" spans="1:16" x14ac:dyDescent="0.25">
      <c r="A918">
        <v>417</v>
      </c>
      <c r="B918" t="str">
        <f>IF(ISBLANK(VLOOKUP($A918,'Entry data'!$A:$K,2,FALSE)),"",VLOOKUP($A918,'Entry data'!$A:$K,2,FALSE))</f>
        <v/>
      </c>
      <c r="C918" t="str">
        <f>IF(ISBLANK(VLOOKUP($A918,'Entry data'!$A:$K,3,FALSE)),"",VLOOKUP($A918,'Entry data'!$A:$K,3,FALSE))</f>
        <v/>
      </c>
      <c r="D918" t="str">
        <f>IF(ISBLANK(VLOOKUP($A918,'Entry data'!$A:$K,4,FALSE)),"",VLOOKUP($A918,'Entry data'!$A:$K,4,FALSE))</f>
        <v/>
      </c>
      <c r="E918" t="str">
        <f>IF(ISBLANK(VLOOKUP($A918,'Entry data'!$A:$K,5,FALSE)),"",VLOOKUP($A918,'Entry data'!$A:$K,5,FALSE))</f>
        <v/>
      </c>
      <c r="F918" t="str">
        <f>IF(ISBLANK(VLOOKUP($A918,'Entry data'!$A:$K,6,FALSE)),"",VLOOKUP($A918,'Entry data'!$A:$K,6,FALSE))</f>
        <v/>
      </c>
      <c r="G918" t="str">
        <f>IF(ISBLANK(VLOOKUP($A918,'Entry data'!$A:$K,7,FALSE)),"",VLOOKUP($A918,'Entry data'!$A:$K,7,FALSE))</f>
        <v/>
      </c>
      <c r="H918" t="str">
        <f>IF(ISBLANK(VLOOKUP($A918,'Entry data'!$A:$K,8,FALSE)),"",VLOOKUP($A918,'Entry data'!$A:$K,8,FALSE))</f>
        <v/>
      </c>
      <c r="I918" t="str">
        <f>IF(ISBLANK(VLOOKUP($A918,'Entry data'!$A:$K,9,FALSE)),"",VLOOKUP($A918,'Entry data'!$A:$K,9,FALSE))</f>
        <v/>
      </c>
      <c r="J918" t="str">
        <f>IF(ISBLANK(VLOOKUP($A918,'Entry data'!$A:$K,10,FALSE)),"",VLOOKUP($A918,'Entry data'!$A:$K,10,FALSE))</f>
        <v/>
      </c>
      <c r="K918" t="str">
        <f>IF(ISBLANK(VLOOKUP($A918,'Entry data'!$A:$K,11,FALSE)),"",VLOOKUP($A918,'Entry data'!$A:$K,11,FALSE))</f>
        <v/>
      </c>
      <c r="L918">
        <f>IF(OR(EXACT(D918,"C"),EXACT(D918,"P"),EXACT(D918,"D"),EXACT(D918,"T"),EXACT(D918,"X"),EXACT(E918,"DZF"),EXACT(E918,"OZF"),EXACT(D918,"N"),EXACT(D918,"F")),1,0)</f>
        <v>0</v>
      </c>
      <c r="M918" t="str">
        <f t="shared" si="56"/>
        <v/>
      </c>
      <c r="N918">
        <f t="shared" si="57"/>
        <v>0</v>
      </c>
      <c r="O918">
        <f t="shared" si="58"/>
        <v>0</v>
      </c>
      <c r="P918" t="str">
        <f t="shared" si="59"/>
        <v/>
      </c>
    </row>
    <row r="919" spans="1:16" x14ac:dyDescent="0.25">
      <c r="A919">
        <v>418</v>
      </c>
      <c r="B919" t="str">
        <f>IF(ISBLANK(VLOOKUP($A919,'Entry data'!$A:$K,2,FALSE)),"",VLOOKUP($A919,'Entry data'!$A:$K,2,FALSE))</f>
        <v/>
      </c>
      <c r="C919" t="str">
        <f>IF(ISBLANK(VLOOKUP($A919,'Entry data'!$A:$K,3,FALSE)),"",VLOOKUP($A919,'Entry data'!$A:$K,3,FALSE))</f>
        <v/>
      </c>
      <c r="D919" t="str">
        <f>IF(ISBLANK(VLOOKUP($A919,'Entry data'!$A:$K,4,FALSE)),"",VLOOKUP($A919,'Entry data'!$A:$K,4,FALSE))</f>
        <v/>
      </c>
      <c r="E919" t="str">
        <f>IF(ISBLANK(VLOOKUP($A919,'Entry data'!$A:$K,5,FALSE)),"",VLOOKUP($A919,'Entry data'!$A:$K,5,FALSE))</f>
        <v/>
      </c>
      <c r="F919" t="str">
        <f>IF(ISBLANK(VLOOKUP($A919,'Entry data'!$A:$K,6,FALSE)),"",VLOOKUP($A919,'Entry data'!$A:$K,6,FALSE))</f>
        <v/>
      </c>
      <c r="G919" t="str">
        <f>IF(ISBLANK(VLOOKUP($A919,'Entry data'!$A:$K,7,FALSE)),"",VLOOKUP($A919,'Entry data'!$A:$K,7,FALSE))</f>
        <v/>
      </c>
      <c r="H919" t="str">
        <f>IF(ISBLANK(VLOOKUP($A919,'Entry data'!$A:$K,8,FALSE)),"",VLOOKUP($A919,'Entry data'!$A:$K,8,FALSE))</f>
        <v/>
      </c>
      <c r="I919" t="str">
        <f>IF(ISBLANK(VLOOKUP($A919,'Entry data'!$A:$K,9,FALSE)),"",VLOOKUP($A919,'Entry data'!$A:$K,9,FALSE))</f>
        <v/>
      </c>
      <c r="J919" t="str">
        <f>IF(ISBLANK(VLOOKUP($A919,'Entry data'!$A:$K,10,FALSE)),"",VLOOKUP($A919,'Entry data'!$A:$K,10,FALSE))</f>
        <v/>
      </c>
      <c r="K919" t="str">
        <f>IF(ISBLANK(VLOOKUP($A919,'Entry data'!$A:$K,11,FALSE)),"",VLOOKUP($A919,'Entry data'!$A:$K,11,FALSE))</f>
        <v/>
      </c>
      <c r="L919">
        <f>IF(OR(EXACT(D919,"C"),EXACT(D919,"P"),EXACT(D919,"D"),EXACT(D919,"T"),EXACT(D919,"X"),EXACT(E919,"DZF"),EXACT(E919,"OZF"),EXACT(D919,"N"),EXACT(D919,"F")),1,0)</f>
        <v>0</v>
      </c>
      <c r="M919" t="str">
        <f t="shared" si="56"/>
        <v/>
      </c>
      <c r="N919">
        <f t="shared" si="57"/>
        <v>0</v>
      </c>
      <c r="O919">
        <f t="shared" si="58"/>
        <v>0</v>
      </c>
      <c r="P919" t="str">
        <f t="shared" si="59"/>
        <v/>
      </c>
    </row>
    <row r="920" spans="1:16" x14ac:dyDescent="0.25">
      <c r="A920">
        <v>419</v>
      </c>
      <c r="B920" t="str">
        <f>IF(ISBLANK(VLOOKUP($A920,'Entry data'!$A:$K,2,FALSE)),"",VLOOKUP($A920,'Entry data'!$A:$K,2,FALSE))</f>
        <v/>
      </c>
      <c r="C920" t="str">
        <f>IF(ISBLANK(VLOOKUP($A920,'Entry data'!$A:$K,3,FALSE)),"",VLOOKUP($A920,'Entry data'!$A:$K,3,FALSE))</f>
        <v/>
      </c>
      <c r="D920" t="str">
        <f>IF(ISBLANK(VLOOKUP($A920,'Entry data'!$A:$K,4,FALSE)),"",VLOOKUP($A920,'Entry data'!$A:$K,4,FALSE))</f>
        <v/>
      </c>
      <c r="E920" t="str">
        <f>IF(ISBLANK(VLOOKUP($A920,'Entry data'!$A:$K,5,FALSE)),"",VLOOKUP($A920,'Entry data'!$A:$K,5,FALSE))</f>
        <v/>
      </c>
      <c r="F920" t="str">
        <f>IF(ISBLANK(VLOOKUP($A920,'Entry data'!$A:$K,6,FALSE)),"",VLOOKUP($A920,'Entry data'!$A:$K,6,FALSE))</f>
        <v/>
      </c>
      <c r="G920" t="str">
        <f>IF(ISBLANK(VLOOKUP($A920,'Entry data'!$A:$K,7,FALSE)),"",VLOOKUP($A920,'Entry data'!$A:$K,7,FALSE))</f>
        <v/>
      </c>
      <c r="H920" t="str">
        <f>IF(ISBLANK(VLOOKUP($A920,'Entry data'!$A:$K,8,FALSE)),"",VLOOKUP($A920,'Entry data'!$A:$K,8,FALSE))</f>
        <v/>
      </c>
      <c r="I920" t="str">
        <f>IF(ISBLANK(VLOOKUP($A920,'Entry data'!$A:$K,9,FALSE)),"",VLOOKUP($A920,'Entry data'!$A:$K,9,FALSE))</f>
        <v/>
      </c>
      <c r="J920" t="str">
        <f>IF(ISBLANK(VLOOKUP($A920,'Entry data'!$A:$K,10,FALSE)),"",VLOOKUP($A920,'Entry data'!$A:$K,10,FALSE))</f>
        <v/>
      </c>
      <c r="K920" t="str">
        <f>IF(ISBLANK(VLOOKUP($A920,'Entry data'!$A:$K,11,FALSE)),"",VLOOKUP($A920,'Entry data'!$A:$K,11,FALSE))</f>
        <v/>
      </c>
      <c r="L920">
        <f>IF(OR(EXACT(D920,"C"),EXACT(D920,"P"),EXACT(D920,"D"),EXACT(D920,"T"),EXACT(D920,"X"),EXACT(E920,"DZF"),EXACT(E920,"OZF"),EXACT(D920,"N"),EXACT(D920,"F")),1,0)</f>
        <v>0</v>
      </c>
      <c r="M920" t="str">
        <f t="shared" si="56"/>
        <v/>
      </c>
      <c r="N920">
        <f t="shared" si="57"/>
        <v>0</v>
      </c>
      <c r="O920">
        <f t="shared" si="58"/>
        <v>0</v>
      </c>
      <c r="P920" t="str">
        <f t="shared" si="59"/>
        <v/>
      </c>
    </row>
    <row r="921" spans="1:16" x14ac:dyDescent="0.25">
      <c r="A921">
        <v>420</v>
      </c>
      <c r="B921" t="str">
        <f>IF(ISBLANK(VLOOKUP($A921,'Entry data'!$A:$K,2,FALSE)),"",VLOOKUP($A921,'Entry data'!$A:$K,2,FALSE))</f>
        <v/>
      </c>
      <c r="C921" t="str">
        <f>IF(ISBLANK(VLOOKUP($A921,'Entry data'!$A:$K,3,FALSE)),"",VLOOKUP($A921,'Entry data'!$A:$K,3,FALSE))</f>
        <v/>
      </c>
      <c r="D921" t="str">
        <f>IF(ISBLANK(VLOOKUP($A921,'Entry data'!$A:$K,4,FALSE)),"",VLOOKUP($A921,'Entry data'!$A:$K,4,FALSE))</f>
        <v/>
      </c>
      <c r="E921" t="str">
        <f>IF(ISBLANK(VLOOKUP($A921,'Entry data'!$A:$K,5,FALSE)),"",VLOOKUP($A921,'Entry data'!$A:$K,5,FALSE))</f>
        <v/>
      </c>
      <c r="F921" t="str">
        <f>IF(ISBLANK(VLOOKUP($A921,'Entry data'!$A:$K,6,FALSE)),"",VLOOKUP($A921,'Entry data'!$A:$K,6,FALSE))</f>
        <v/>
      </c>
      <c r="G921" t="str">
        <f>IF(ISBLANK(VLOOKUP($A921,'Entry data'!$A:$K,7,FALSE)),"",VLOOKUP($A921,'Entry data'!$A:$K,7,FALSE))</f>
        <v/>
      </c>
      <c r="H921" t="str">
        <f>IF(ISBLANK(VLOOKUP($A921,'Entry data'!$A:$K,8,FALSE)),"",VLOOKUP($A921,'Entry data'!$A:$K,8,FALSE))</f>
        <v/>
      </c>
      <c r="I921" t="str">
        <f>IF(ISBLANK(VLOOKUP($A921,'Entry data'!$A:$K,9,FALSE)),"",VLOOKUP($A921,'Entry data'!$A:$K,9,FALSE))</f>
        <v/>
      </c>
      <c r="J921" t="str">
        <f>IF(ISBLANK(VLOOKUP($A921,'Entry data'!$A:$K,10,FALSE)),"",VLOOKUP($A921,'Entry data'!$A:$K,10,FALSE))</f>
        <v/>
      </c>
      <c r="K921" t="str">
        <f>IF(ISBLANK(VLOOKUP($A921,'Entry data'!$A:$K,11,FALSE)),"",VLOOKUP($A921,'Entry data'!$A:$K,11,FALSE))</f>
        <v/>
      </c>
      <c r="L921">
        <f>IF(OR(EXACT(D921,"C"),EXACT(D921,"P"),EXACT(D921,"D"),EXACT(D921,"T"),EXACT(D921,"X"),EXACT(E921,"DZF"),EXACT(E921,"OZF"),EXACT(D921,"N"),EXACT(D921,"F")),1,0)</f>
        <v>0</v>
      </c>
      <c r="M921" t="str">
        <f t="shared" si="56"/>
        <v/>
      </c>
      <c r="N921">
        <f t="shared" si="57"/>
        <v>0</v>
      </c>
      <c r="O921">
        <f t="shared" si="58"/>
        <v>0</v>
      </c>
      <c r="P921" t="str">
        <f t="shared" si="59"/>
        <v/>
      </c>
    </row>
    <row r="922" spans="1:16" x14ac:dyDescent="0.25">
      <c r="A922">
        <v>421</v>
      </c>
      <c r="B922" t="str">
        <f>IF(ISBLANK(VLOOKUP($A922,'Entry data'!$A:$K,2,FALSE)),"",VLOOKUP($A922,'Entry data'!$A:$K,2,FALSE))</f>
        <v/>
      </c>
      <c r="C922" t="str">
        <f>IF(ISBLANK(VLOOKUP($A922,'Entry data'!$A:$K,3,FALSE)),"",VLOOKUP($A922,'Entry data'!$A:$K,3,FALSE))</f>
        <v/>
      </c>
      <c r="D922" t="str">
        <f>IF(ISBLANK(VLOOKUP($A922,'Entry data'!$A:$K,4,FALSE)),"",VLOOKUP($A922,'Entry data'!$A:$K,4,FALSE))</f>
        <v/>
      </c>
      <c r="E922" t="str">
        <f>IF(ISBLANK(VLOOKUP($A922,'Entry data'!$A:$K,5,FALSE)),"",VLOOKUP($A922,'Entry data'!$A:$K,5,FALSE))</f>
        <v/>
      </c>
      <c r="F922" t="str">
        <f>IF(ISBLANK(VLOOKUP($A922,'Entry data'!$A:$K,6,FALSE)),"",VLOOKUP($A922,'Entry data'!$A:$K,6,FALSE))</f>
        <v/>
      </c>
      <c r="G922" t="str">
        <f>IF(ISBLANK(VLOOKUP($A922,'Entry data'!$A:$K,7,FALSE)),"",VLOOKUP($A922,'Entry data'!$A:$K,7,FALSE))</f>
        <v/>
      </c>
      <c r="H922" t="str">
        <f>IF(ISBLANK(VLOOKUP($A922,'Entry data'!$A:$K,8,FALSE)),"",VLOOKUP($A922,'Entry data'!$A:$K,8,FALSE))</f>
        <v/>
      </c>
      <c r="I922" t="str">
        <f>IF(ISBLANK(VLOOKUP($A922,'Entry data'!$A:$K,9,FALSE)),"",VLOOKUP($A922,'Entry data'!$A:$K,9,FALSE))</f>
        <v/>
      </c>
      <c r="J922" t="str">
        <f>IF(ISBLANK(VLOOKUP($A922,'Entry data'!$A:$K,10,FALSE)),"",VLOOKUP($A922,'Entry data'!$A:$K,10,FALSE))</f>
        <v/>
      </c>
      <c r="K922" t="str">
        <f>IF(ISBLANK(VLOOKUP($A922,'Entry data'!$A:$K,11,FALSE)),"",VLOOKUP($A922,'Entry data'!$A:$K,11,FALSE))</f>
        <v/>
      </c>
      <c r="L922">
        <f>IF(OR(EXACT(D922,"C"),EXACT(D922,"P"),EXACT(D922,"D"),EXACT(D922,"T"),EXACT(D922,"X"),EXACT(E922,"DZF"),EXACT(E922,"OZF"),EXACT(D922,"N"),EXACT(D922,"F")),1,0)</f>
        <v>0</v>
      </c>
      <c r="M922" t="str">
        <f t="shared" si="56"/>
        <v/>
      </c>
      <c r="N922">
        <f t="shared" si="57"/>
        <v>0</v>
      </c>
      <c r="O922">
        <f t="shared" si="58"/>
        <v>0</v>
      </c>
      <c r="P922" t="str">
        <f t="shared" si="59"/>
        <v/>
      </c>
    </row>
    <row r="923" spans="1:16" x14ac:dyDescent="0.25">
      <c r="A923">
        <v>422</v>
      </c>
      <c r="B923" t="str">
        <f>IF(ISBLANK(VLOOKUP($A923,'Entry data'!$A:$K,2,FALSE)),"",VLOOKUP($A923,'Entry data'!$A:$K,2,FALSE))</f>
        <v/>
      </c>
      <c r="C923" t="str">
        <f>IF(ISBLANK(VLOOKUP($A923,'Entry data'!$A:$K,3,FALSE)),"",VLOOKUP($A923,'Entry data'!$A:$K,3,FALSE))</f>
        <v/>
      </c>
      <c r="D923" t="str">
        <f>IF(ISBLANK(VLOOKUP($A923,'Entry data'!$A:$K,4,FALSE)),"",VLOOKUP($A923,'Entry data'!$A:$K,4,FALSE))</f>
        <v/>
      </c>
      <c r="E923" t="str">
        <f>IF(ISBLANK(VLOOKUP($A923,'Entry data'!$A:$K,5,FALSE)),"",VLOOKUP($A923,'Entry data'!$A:$K,5,FALSE))</f>
        <v/>
      </c>
      <c r="F923" t="str">
        <f>IF(ISBLANK(VLOOKUP($A923,'Entry data'!$A:$K,6,FALSE)),"",VLOOKUP($A923,'Entry data'!$A:$K,6,FALSE))</f>
        <v/>
      </c>
      <c r="G923" t="str">
        <f>IF(ISBLANK(VLOOKUP($A923,'Entry data'!$A:$K,7,FALSE)),"",VLOOKUP($A923,'Entry data'!$A:$K,7,FALSE))</f>
        <v/>
      </c>
      <c r="H923" t="str">
        <f>IF(ISBLANK(VLOOKUP($A923,'Entry data'!$A:$K,8,FALSE)),"",VLOOKUP($A923,'Entry data'!$A:$K,8,FALSE))</f>
        <v/>
      </c>
      <c r="I923" t="str">
        <f>IF(ISBLANK(VLOOKUP($A923,'Entry data'!$A:$K,9,FALSE)),"",VLOOKUP($A923,'Entry data'!$A:$K,9,FALSE))</f>
        <v/>
      </c>
      <c r="J923" t="str">
        <f>IF(ISBLANK(VLOOKUP($A923,'Entry data'!$A:$K,10,FALSE)),"",VLOOKUP($A923,'Entry data'!$A:$K,10,FALSE))</f>
        <v/>
      </c>
      <c r="K923" t="str">
        <f>IF(ISBLANK(VLOOKUP($A923,'Entry data'!$A:$K,11,FALSE)),"",VLOOKUP($A923,'Entry data'!$A:$K,11,FALSE))</f>
        <v/>
      </c>
      <c r="L923">
        <f>IF(OR(EXACT(D923,"C"),EXACT(D923,"P"),EXACT(D923,"D"),EXACT(D923,"T"),EXACT(D923,"X"),EXACT(E923,"DZF"),EXACT(E923,"OZF"),EXACT(D923,"N"),EXACT(D923,"F")),1,0)</f>
        <v>0</v>
      </c>
      <c r="M923" t="str">
        <f t="shared" si="56"/>
        <v/>
      </c>
      <c r="N923">
        <f t="shared" si="57"/>
        <v>0</v>
      </c>
      <c r="O923">
        <f t="shared" si="58"/>
        <v>0</v>
      </c>
      <c r="P923" t="str">
        <f t="shared" si="59"/>
        <v/>
      </c>
    </row>
    <row r="924" spans="1:16" x14ac:dyDescent="0.25">
      <c r="A924">
        <v>423</v>
      </c>
      <c r="B924" t="str">
        <f>IF(ISBLANK(VLOOKUP($A924,'Entry data'!$A:$K,2,FALSE)),"",VLOOKUP($A924,'Entry data'!$A:$K,2,FALSE))</f>
        <v/>
      </c>
      <c r="C924" t="str">
        <f>IF(ISBLANK(VLOOKUP($A924,'Entry data'!$A:$K,3,FALSE)),"",VLOOKUP($A924,'Entry data'!$A:$K,3,FALSE))</f>
        <v/>
      </c>
      <c r="D924" t="str">
        <f>IF(ISBLANK(VLOOKUP($A924,'Entry data'!$A:$K,4,FALSE)),"",VLOOKUP($A924,'Entry data'!$A:$K,4,FALSE))</f>
        <v/>
      </c>
      <c r="E924" t="str">
        <f>IF(ISBLANK(VLOOKUP($A924,'Entry data'!$A:$K,5,FALSE)),"",VLOOKUP($A924,'Entry data'!$A:$K,5,FALSE))</f>
        <v/>
      </c>
      <c r="F924" t="str">
        <f>IF(ISBLANK(VLOOKUP($A924,'Entry data'!$A:$K,6,FALSE)),"",VLOOKUP($A924,'Entry data'!$A:$K,6,FALSE))</f>
        <v/>
      </c>
      <c r="G924" t="str">
        <f>IF(ISBLANK(VLOOKUP($A924,'Entry data'!$A:$K,7,FALSE)),"",VLOOKUP($A924,'Entry data'!$A:$K,7,FALSE))</f>
        <v/>
      </c>
      <c r="H924" t="str">
        <f>IF(ISBLANK(VLOOKUP($A924,'Entry data'!$A:$K,8,FALSE)),"",VLOOKUP($A924,'Entry data'!$A:$K,8,FALSE))</f>
        <v/>
      </c>
      <c r="I924" t="str">
        <f>IF(ISBLANK(VLOOKUP($A924,'Entry data'!$A:$K,9,FALSE)),"",VLOOKUP($A924,'Entry data'!$A:$K,9,FALSE))</f>
        <v/>
      </c>
      <c r="J924" t="str">
        <f>IF(ISBLANK(VLOOKUP($A924,'Entry data'!$A:$K,10,FALSE)),"",VLOOKUP($A924,'Entry data'!$A:$K,10,FALSE))</f>
        <v/>
      </c>
      <c r="K924" t="str">
        <f>IF(ISBLANK(VLOOKUP($A924,'Entry data'!$A:$K,11,FALSE)),"",VLOOKUP($A924,'Entry data'!$A:$K,11,FALSE))</f>
        <v/>
      </c>
      <c r="L924">
        <f>IF(OR(EXACT(D924,"C"),EXACT(D924,"P"),EXACT(D924,"D"),EXACT(D924,"T"),EXACT(D924,"X"),EXACT(E924,"DZF"),EXACT(E924,"OZF"),EXACT(D924,"N"),EXACT(D924,"F")),1,0)</f>
        <v>0</v>
      </c>
      <c r="M924" t="str">
        <f t="shared" si="56"/>
        <v/>
      </c>
      <c r="N924">
        <f t="shared" si="57"/>
        <v>0</v>
      </c>
      <c r="O924">
        <f t="shared" si="58"/>
        <v>0</v>
      </c>
      <c r="P924" t="str">
        <f t="shared" si="59"/>
        <v/>
      </c>
    </row>
    <row r="925" spans="1:16" x14ac:dyDescent="0.25">
      <c r="A925">
        <v>424</v>
      </c>
      <c r="B925" t="str">
        <f>IF(ISBLANK(VLOOKUP($A925,'Entry data'!$A:$K,2,FALSE)),"",VLOOKUP($A925,'Entry data'!$A:$K,2,FALSE))</f>
        <v/>
      </c>
      <c r="C925" t="str">
        <f>IF(ISBLANK(VLOOKUP($A925,'Entry data'!$A:$K,3,FALSE)),"",VLOOKUP($A925,'Entry data'!$A:$K,3,FALSE))</f>
        <v/>
      </c>
      <c r="D925" t="str">
        <f>IF(ISBLANK(VLOOKUP($A925,'Entry data'!$A:$K,4,FALSE)),"",VLOOKUP($A925,'Entry data'!$A:$K,4,FALSE))</f>
        <v/>
      </c>
      <c r="E925" t="str">
        <f>IF(ISBLANK(VLOOKUP($A925,'Entry data'!$A:$K,5,FALSE)),"",VLOOKUP($A925,'Entry data'!$A:$K,5,FALSE))</f>
        <v/>
      </c>
      <c r="F925" t="str">
        <f>IF(ISBLANK(VLOOKUP($A925,'Entry data'!$A:$K,6,FALSE)),"",VLOOKUP($A925,'Entry data'!$A:$K,6,FALSE))</f>
        <v/>
      </c>
      <c r="G925" t="str">
        <f>IF(ISBLANK(VLOOKUP($A925,'Entry data'!$A:$K,7,FALSE)),"",VLOOKUP($A925,'Entry data'!$A:$K,7,FALSE))</f>
        <v/>
      </c>
      <c r="H925" t="str">
        <f>IF(ISBLANK(VLOOKUP($A925,'Entry data'!$A:$K,8,FALSE)),"",VLOOKUP($A925,'Entry data'!$A:$K,8,FALSE))</f>
        <v/>
      </c>
      <c r="I925" t="str">
        <f>IF(ISBLANK(VLOOKUP($A925,'Entry data'!$A:$K,9,FALSE)),"",VLOOKUP($A925,'Entry data'!$A:$K,9,FALSE))</f>
        <v/>
      </c>
      <c r="J925" t="str">
        <f>IF(ISBLANK(VLOOKUP($A925,'Entry data'!$A:$K,10,FALSE)),"",VLOOKUP($A925,'Entry data'!$A:$K,10,FALSE))</f>
        <v/>
      </c>
      <c r="K925" t="str">
        <f>IF(ISBLANK(VLOOKUP($A925,'Entry data'!$A:$K,11,FALSE)),"",VLOOKUP($A925,'Entry data'!$A:$K,11,FALSE))</f>
        <v/>
      </c>
      <c r="L925">
        <f>IF(OR(EXACT(D925,"C"),EXACT(D925,"P"),EXACT(D925,"D"),EXACT(D925,"T"),EXACT(D925,"X"),EXACT(E925,"DZF"),EXACT(E925,"OZF"),EXACT(D925,"N"),EXACT(D925,"F")),1,0)</f>
        <v>0</v>
      </c>
      <c r="M925" t="str">
        <f t="shared" si="56"/>
        <v/>
      </c>
      <c r="N925">
        <f t="shared" si="57"/>
        <v>0</v>
      </c>
      <c r="O925">
        <f t="shared" si="58"/>
        <v>0</v>
      </c>
      <c r="P925" t="str">
        <f t="shared" si="59"/>
        <v/>
      </c>
    </row>
    <row r="926" spans="1:16" x14ac:dyDescent="0.25">
      <c r="A926">
        <v>425</v>
      </c>
      <c r="B926" t="str">
        <f>IF(ISBLANK(VLOOKUP($A926,'Entry data'!$A:$K,2,FALSE)),"",VLOOKUP($A926,'Entry data'!$A:$K,2,FALSE))</f>
        <v/>
      </c>
      <c r="C926" t="str">
        <f>IF(ISBLANK(VLOOKUP($A926,'Entry data'!$A:$K,3,FALSE)),"",VLOOKUP($A926,'Entry data'!$A:$K,3,FALSE))</f>
        <v/>
      </c>
      <c r="D926" t="str">
        <f>IF(ISBLANK(VLOOKUP($A926,'Entry data'!$A:$K,4,FALSE)),"",VLOOKUP($A926,'Entry data'!$A:$K,4,FALSE))</f>
        <v/>
      </c>
      <c r="E926" t="str">
        <f>IF(ISBLANK(VLOOKUP($A926,'Entry data'!$A:$K,5,FALSE)),"",VLOOKUP($A926,'Entry data'!$A:$K,5,FALSE))</f>
        <v/>
      </c>
      <c r="F926" t="str">
        <f>IF(ISBLANK(VLOOKUP($A926,'Entry data'!$A:$K,6,FALSE)),"",VLOOKUP($A926,'Entry data'!$A:$K,6,FALSE))</f>
        <v/>
      </c>
      <c r="G926" t="str">
        <f>IF(ISBLANK(VLOOKUP($A926,'Entry data'!$A:$K,7,FALSE)),"",VLOOKUP($A926,'Entry data'!$A:$K,7,FALSE))</f>
        <v/>
      </c>
      <c r="H926" t="str">
        <f>IF(ISBLANK(VLOOKUP($A926,'Entry data'!$A:$K,8,FALSE)),"",VLOOKUP($A926,'Entry data'!$A:$K,8,FALSE))</f>
        <v/>
      </c>
      <c r="I926" t="str">
        <f>IF(ISBLANK(VLOOKUP($A926,'Entry data'!$A:$K,9,FALSE)),"",VLOOKUP($A926,'Entry data'!$A:$K,9,FALSE))</f>
        <v/>
      </c>
      <c r="J926" t="str">
        <f>IF(ISBLANK(VLOOKUP($A926,'Entry data'!$A:$K,10,FALSE)),"",VLOOKUP($A926,'Entry data'!$A:$K,10,FALSE))</f>
        <v/>
      </c>
      <c r="K926" t="str">
        <f>IF(ISBLANK(VLOOKUP($A926,'Entry data'!$A:$K,11,FALSE)),"",VLOOKUP($A926,'Entry data'!$A:$K,11,FALSE))</f>
        <v/>
      </c>
      <c r="L926">
        <f>IF(OR(EXACT(D926,"C"),EXACT(D926,"P"),EXACT(D926,"D"),EXACT(D926,"T"),EXACT(D926,"X"),EXACT(E926,"DZF"),EXACT(E926,"OZF"),EXACT(D926,"N"),EXACT(D926,"F")),1,0)</f>
        <v>0</v>
      </c>
      <c r="M926" t="str">
        <f t="shared" si="56"/>
        <v/>
      </c>
      <c r="N926">
        <f t="shared" si="57"/>
        <v>0</v>
      </c>
      <c r="O926">
        <f t="shared" si="58"/>
        <v>0</v>
      </c>
      <c r="P926" t="str">
        <f t="shared" si="59"/>
        <v/>
      </c>
    </row>
    <row r="927" spans="1:16" x14ac:dyDescent="0.25">
      <c r="A927">
        <v>426</v>
      </c>
      <c r="B927" t="str">
        <f>IF(ISBLANK(VLOOKUP($A927,'Entry data'!$A:$K,2,FALSE)),"",VLOOKUP($A927,'Entry data'!$A:$K,2,FALSE))</f>
        <v/>
      </c>
      <c r="C927" t="str">
        <f>IF(ISBLANK(VLOOKUP($A927,'Entry data'!$A:$K,3,FALSE)),"",VLOOKUP($A927,'Entry data'!$A:$K,3,FALSE))</f>
        <v/>
      </c>
      <c r="D927" t="str">
        <f>IF(ISBLANK(VLOOKUP($A927,'Entry data'!$A:$K,4,FALSE)),"",VLOOKUP($A927,'Entry data'!$A:$K,4,FALSE))</f>
        <v/>
      </c>
      <c r="E927" t="str">
        <f>IF(ISBLANK(VLOOKUP($A927,'Entry data'!$A:$K,5,FALSE)),"",VLOOKUP($A927,'Entry data'!$A:$K,5,FALSE))</f>
        <v/>
      </c>
      <c r="F927" t="str">
        <f>IF(ISBLANK(VLOOKUP($A927,'Entry data'!$A:$K,6,FALSE)),"",VLOOKUP($A927,'Entry data'!$A:$K,6,FALSE))</f>
        <v/>
      </c>
      <c r="G927" t="str">
        <f>IF(ISBLANK(VLOOKUP($A927,'Entry data'!$A:$K,7,FALSE)),"",VLOOKUP($A927,'Entry data'!$A:$K,7,FALSE))</f>
        <v/>
      </c>
      <c r="H927" t="str">
        <f>IF(ISBLANK(VLOOKUP($A927,'Entry data'!$A:$K,8,FALSE)),"",VLOOKUP($A927,'Entry data'!$A:$K,8,FALSE))</f>
        <v/>
      </c>
      <c r="I927" t="str">
        <f>IF(ISBLANK(VLOOKUP($A927,'Entry data'!$A:$K,9,FALSE)),"",VLOOKUP($A927,'Entry data'!$A:$K,9,FALSE))</f>
        <v/>
      </c>
      <c r="J927" t="str">
        <f>IF(ISBLANK(VLOOKUP($A927,'Entry data'!$A:$K,10,FALSE)),"",VLOOKUP($A927,'Entry data'!$A:$K,10,FALSE))</f>
        <v/>
      </c>
      <c r="K927" t="str">
        <f>IF(ISBLANK(VLOOKUP($A927,'Entry data'!$A:$K,11,FALSE)),"",VLOOKUP($A927,'Entry data'!$A:$K,11,FALSE))</f>
        <v/>
      </c>
      <c r="L927">
        <f>IF(OR(EXACT(D927,"C"),EXACT(D927,"P"),EXACT(D927,"D"),EXACT(D927,"T"),EXACT(D927,"X"),EXACT(E927,"DZF"),EXACT(E927,"OZF"),EXACT(D927,"N"),EXACT(D927,"F")),1,0)</f>
        <v>0</v>
      </c>
      <c r="M927" t="str">
        <f t="shared" si="56"/>
        <v/>
      </c>
      <c r="N927">
        <f t="shared" si="57"/>
        <v>0</v>
      </c>
      <c r="O927">
        <f t="shared" si="58"/>
        <v>0</v>
      </c>
      <c r="P927" t="str">
        <f t="shared" si="59"/>
        <v/>
      </c>
    </row>
    <row r="928" spans="1:16" x14ac:dyDescent="0.25">
      <c r="A928">
        <v>427</v>
      </c>
      <c r="B928" t="str">
        <f>IF(ISBLANK(VLOOKUP($A928,'Entry data'!$A:$K,2,FALSE)),"",VLOOKUP($A928,'Entry data'!$A:$K,2,FALSE))</f>
        <v/>
      </c>
      <c r="C928" t="str">
        <f>IF(ISBLANK(VLOOKUP($A928,'Entry data'!$A:$K,3,FALSE)),"",VLOOKUP($A928,'Entry data'!$A:$K,3,FALSE))</f>
        <v/>
      </c>
      <c r="D928" t="str">
        <f>IF(ISBLANK(VLOOKUP($A928,'Entry data'!$A:$K,4,FALSE)),"",VLOOKUP($A928,'Entry data'!$A:$K,4,FALSE))</f>
        <v/>
      </c>
      <c r="E928" t="str">
        <f>IF(ISBLANK(VLOOKUP($A928,'Entry data'!$A:$K,5,FALSE)),"",VLOOKUP($A928,'Entry data'!$A:$K,5,FALSE))</f>
        <v/>
      </c>
      <c r="F928" t="str">
        <f>IF(ISBLANK(VLOOKUP($A928,'Entry data'!$A:$K,6,FALSE)),"",VLOOKUP($A928,'Entry data'!$A:$K,6,FALSE))</f>
        <v/>
      </c>
      <c r="G928" t="str">
        <f>IF(ISBLANK(VLOOKUP($A928,'Entry data'!$A:$K,7,FALSE)),"",VLOOKUP($A928,'Entry data'!$A:$K,7,FALSE))</f>
        <v/>
      </c>
      <c r="H928" t="str">
        <f>IF(ISBLANK(VLOOKUP($A928,'Entry data'!$A:$K,8,FALSE)),"",VLOOKUP($A928,'Entry data'!$A:$K,8,FALSE))</f>
        <v/>
      </c>
      <c r="I928" t="str">
        <f>IF(ISBLANK(VLOOKUP($A928,'Entry data'!$A:$K,9,FALSE)),"",VLOOKUP($A928,'Entry data'!$A:$K,9,FALSE))</f>
        <v/>
      </c>
      <c r="J928" t="str">
        <f>IF(ISBLANK(VLOOKUP($A928,'Entry data'!$A:$K,10,FALSE)),"",VLOOKUP($A928,'Entry data'!$A:$K,10,FALSE))</f>
        <v/>
      </c>
      <c r="K928" t="str">
        <f>IF(ISBLANK(VLOOKUP($A928,'Entry data'!$A:$K,11,FALSE)),"",VLOOKUP($A928,'Entry data'!$A:$K,11,FALSE))</f>
        <v/>
      </c>
      <c r="L928">
        <f>IF(OR(EXACT(D928,"C"),EXACT(D928,"P"),EXACT(D928,"D"),EXACT(D928,"T"),EXACT(D928,"X"),EXACT(E928,"DZF"),EXACT(E928,"OZF"),EXACT(D928,"N"),EXACT(D928,"F")),1,0)</f>
        <v>0</v>
      </c>
      <c r="M928" t="str">
        <f t="shared" si="56"/>
        <v/>
      </c>
      <c r="N928">
        <f t="shared" si="57"/>
        <v>0</v>
      </c>
      <c r="O928">
        <f t="shared" si="58"/>
        <v>0</v>
      </c>
      <c r="P928" t="str">
        <f t="shared" si="59"/>
        <v/>
      </c>
    </row>
    <row r="929" spans="1:16" x14ac:dyDescent="0.25">
      <c r="A929">
        <v>428</v>
      </c>
      <c r="B929" t="str">
        <f>IF(ISBLANK(VLOOKUP($A929,'Entry data'!$A:$K,2,FALSE)),"",VLOOKUP($A929,'Entry data'!$A:$K,2,FALSE))</f>
        <v/>
      </c>
      <c r="C929" t="str">
        <f>IF(ISBLANK(VLOOKUP($A929,'Entry data'!$A:$K,3,FALSE)),"",VLOOKUP($A929,'Entry data'!$A:$K,3,FALSE))</f>
        <v/>
      </c>
      <c r="D929" t="str">
        <f>IF(ISBLANK(VLOOKUP($A929,'Entry data'!$A:$K,4,FALSE)),"",VLOOKUP($A929,'Entry data'!$A:$K,4,FALSE))</f>
        <v/>
      </c>
      <c r="E929" t="str">
        <f>IF(ISBLANK(VLOOKUP($A929,'Entry data'!$A:$K,5,FALSE)),"",VLOOKUP($A929,'Entry data'!$A:$K,5,FALSE))</f>
        <v/>
      </c>
      <c r="F929" t="str">
        <f>IF(ISBLANK(VLOOKUP($A929,'Entry data'!$A:$K,6,FALSE)),"",VLOOKUP($A929,'Entry data'!$A:$K,6,FALSE))</f>
        <v/>
      </c>
      <c r="G929" t="str">
        <f>IF(ISBLANK(VLOOKUP($A929,'Entry data'!$A:$K,7,FALSE)),"",VLOOKUP($A929,'Entry data'!$A:$K,7,FALSE))</f>
        <v/>
      </c>
      <c r="H929" t="str">
        <f>IF(ISBLANK(VLOOKUP($A929,'Entry data'!$A:$K,8,FALSE)),"",VLOOKUP($A929,'Entry data'!$A:$K,8,FALSE))</f>
        <v/>
      </c>
      <c r="I929" t="str">
        <f>IF(ISBLANK(VLOOKUP($A929,'Entry data'!$A:$K,9,FALSE)),"",VLOOKUP($A929,'Entry data'!$A:$K,9,FALSE))</f>
        <v/>
      </c>
      <c r="J929" t="str">
        <f>IF(ISBLANK(VLOOKUP($A929,'Entry data'!$A:$K,10,FALSE)),"",VLOOKUP($A929,'Entry data'!$A:$K,10,FALSE))</f>
        <v/>
      </c>
      <c r="K929" t="str">
        <f>IF(ISBLANK(VLOOKUP($A929,'Entry data'!$A:$K,11,FALSE)),"",VLOOKUP($A929,'Entry data'!$A:$K,11,FALSE))</f>
        <v/>
      </c>
      <c r="L929">
        <f>IF(OR(EXACT(D929,"C"),EXACT(D929,"P"),EXACT(D929,"D"),EXACT(D929,"T"),EXACT(D929,"X"),EXACT(E929,"DZF"),EXACT(E929,"OZF"),EXACT(D929,"N"),EXACT(D929,"F")),1,0)</f>
        <v>0</v>
      </c>
      <c r="M929" t="str">
        <f t="shared" si="56"/>
        <v/>
      </c>
      <c r="N929">
        <f t="shared" si="57"/>
        <v>0</v>
      </c>
      <c r="O929">
        <f t="shared" si="58"/>
        <v>0</v>
      </c>
      <c r="P929" t="str">
        <f t="shared" si="59"/>
        <v/>
      </c>
    </row>
    <row r="930" spans="1:16" x14ac:dyDescent="0.25">
      <c r="A930">
        <v>429</v>
      </c>
      <c r="B930" t="str">
        <f>IF(ISBLANK(VLOOKUP($A930,'Entry data'!$A:$K,2,FALSE)),"",VLOOKUP($A930,'Entry data'!$A:$K,2,FALSE))</f>
        <v/>
      </c>
      <c r="C930" t="str">
        <f>IF(ISBLANK(VLOOKUP($A930,'Entry data'!$A:$K,3,FALSE)),"",VLOOKUP($A930,'Entry data'!$A:$K,3,FALSE))</f>
        <v/>
      </c>
      <c r="D930" t="str">
        <f>IF(ISBLANK(VLOOKUP($A930,'Entry data'!$A:$K,4,FALSE)),"",VLOOKUP($A930,'Entry data'!$A:$K,4,FALSE))</f>
        <v/>
      </c>
      <c r="E930" t="str">
        <f>IF(ISBLANK(VLOOKUP($A930,'Entry data'!$A:$K,5,FALSE)),"",VLOOKUP($A930,'Entry data'!$A:$K,5,FALSE))</f>
        <v/>
      </c>
      <c r="F930" t="str">
        <f>IF(ISBLANK(VLOOKUP($A930,'Entry data'!$A:$K,6,FALSE)),"",VLOOKUP($A930,'Entry data'!$A:$K,6,FALSE))</f>
        <v/>
      </c>
      <c r="G930" t="str">
        <f>IF(ISBLANK(VLOOKUP($A930,'Entry data'!$A:$K,7,FALSE)),"",VLOOKUP($A930,'Entry data'!$A:$K,7,FALSE))</f>
        <v/>
      </c>
      <c r="H930" t="str">
        <f>IF(ISBLANK(VLOOKUP($A930,'Entry data'!$A:$K,8,FALSE)),"",VLOOKUP($A930,'Entry data'!$A:$K,8,FALSE))</f>
        <v/>
      </c>
      <c r="I930" t="str">
        <f>IF(ISBLANK(VLOOKUP($A930,'Entry data'!$A:$K,9,FALSE)),"",VLOOKUP($A930,'Entry data'!$A:$K,9,FALSE))</f>
        <v/>
      </c>
      <c r="J930" t="str">
        <f>IF(ISBLANK(VLOOKUP($A930,'Entry data'!$A:$K,10,FALSE)),"",VLOOKUP($A930,'Entry data'!$A:$K,10,FALSE))</f>
        <v/>
      </c>
      <c r="K930" t="str">
        <f>IF(ISBLANK(VLOOKUP($A930,'Entry data'!$A:$K,11,FALSE)),"",VLOOKUP($A930,'Entry data'!$A:$K,11,FALSE))</f>
        <v/>
      </c>
      <c r="L930">
        <f>IF(OR(EXACT(D930,"C"),EXACT(D930,"P"),EXACT(D930,"D"),EXACT(D930,"T"),EXACT(D930,"X"),EXACT(E930,"DZF"),EXACT(E930,"OZF"),EXACT(D930,"N"),EXACT(D930,"F")),1,0)</f>
        <v>0</v>
      </c>
      <c r="M930" t="str">
        <f t="shared" si="56"/>
        <v/>
      </c>
      <c r="N930">
        <f t="shared" si="57"/>
        <v>0</v>
      </c>
      <c r="O930">
        <f t="shared" si="58"/>
        <v>0</v>
      </c>
      <c r="P930" t="str">
        <f t="shared" si="59"/>
        <v/>
      </c>
    </row>
    <row r="931" spans="1:16" x14ac:dyDescent="0.25">
      <c r="A931">
        <v>430</v>
      </c>
      <c r="B931" t="str">
        <f>IF(ISBLANK(VLOOKUP($A931,'Entry data'!$A:$K,2,FALSE)),"",VLOOKUP($A931,'Entry data'!$A:$K,2,FALSE))</f>
        <v/>
      </c>
      <c r="C931" t="str">
        <f>IF(ISBLANK(VLOOKUP($A931,'Entry data'!$A:$K,3,FALSE)),"",VLOOKUP($A931,'Entry data'!$A:$K,3,FALSE))</f>
        <v/>
      </c>
      <c r="D931" t="str">
        <f>IF(ISBLANK(VLOOKUP($A931,'Entry data'!$A:$K,4,FALSE)),"",VLOOKUP($A931,'Entry data'!$A:$K,4,FALSE))</f>
        <v/>
      </c>
      <c r="E931" t="str">
        <f>IF(ISBLANK(VLOOKUP($A931,'Entry data'!$A:$K,5,FALSE)),"",VLOOKUP($A931,'Entry data'!$A:$K,5,FALSE))</f>
        <v/>
      </c>
      <c r="F931" t="str">
        <f>IF(ISBLANK(VLOOKUP($A931,'Entry data'!$A:$K,6,FALSE)),"",VLOOKUP($A931,'Entry data'!$A:$K,6,FALSE))</f>
        <v/>
      </c>
      <c r="G931" t="str">
        <f>IF(ISBLANK(VLOOKUP($A931,'Entry data'!$A:$K,7,FALSE)),"",VLOOKUP($A931,'Entry data'!$A:$K,7,FALSE))</f>
        <v/>
      </c>
      <c r="H931" t="str">
        <f>IF(ISBLANK(VLOOKUP($A931,'Entry data'!$A:$K,8,FALSE)),"",VLOOKUP($A931,'Entry data'!$A:$K,8,FALSE))</f>
        <v/>
      </c>
      <c r="I931" t="str">
        <f>IF(ISBLANK(VLOOKUP($A931,'Entry data'!$A:$K,9,FALSE)),"",VLOOKUP($A931,'Entry data'!$A:$K,9,FALSE))</f>
        <v/>
      </c>
      <c r="J931" t="str">
        <f>IF(ISBLANK(VLOOKUP($A931,'Entry data'!$A:$K,10,FALSE)),"",VLOOKUP($A931,'Entry data'!$A:$K,10,FALSE))</f>
        <v/>
      </c>
      <c r="K931" t="str">
        <f>IF(ISBLANK(VLOOKUP($A931,'Entry data'!$A:$K,11,FALSE)),"",VLOOKUP($A931,'Entry data'!$A:$K,11,FALSE))</f>
        <v/>
      </c>
      <c r="L931">
        <f>IF(OR(EXACT(D931,"C"),EXACT(D931,"P"),EXACT(D931,"D"),EXACT(D931,"T"),EXACT(D931,"X"),EXACT(E931,"DZF"),EXACT(E931,"OZF"),EXACT(D931,"N"),EXACT(D931,"F")),1,0)</f>
        <v>0</v>
      </c>
      <c r="M931" t="str">
        <f t="shared" si="56"/>
        <v/>
      </c>
      <c r="N931">
        <f t="shared" si="57"/>
        <v>0</v>
      </c>
      <c r="O931">
        <f t="shared" si="58"/>
        <v>0</v>
      </c>
      <c r="P931" t="str">
        <f t="shared" si="59"/>
        <v/>
      </c>
    </row>
    <row r="932" spans="1:16" x14ac:dyDescent="0.25">
      <c r="A932">
        <v>431</v>
      </c>
      <c r="B932" t="str">
        <f>IF(ISBLANK(VLOOKUP($A932,'Entry data'!$A:$K,2,FALSE)),"",VLOOKUP($A932,'Entry data'!$A:$K,2,FALSE))</f>
        <v/>
      </c>
      <c r="C932" t="str">
        <f>IF(ISBLANK(VLOOKUP($A932,'Entry data'!$A:$K,3,FALSE)),"",VLOOKUP($A932,'Entry data'!$A:$K,3,FALSE))</f>
        <v/>
      </c>
      <c r="D932" t="str">
        <f>IF(ISBLANK(VLOOKUP($A932,'Entry data'!$A:$K,4,FALSE)),"",VLOOKUP($A932,'Entry data'!$A:$K,4,FALSE))</f>
        <v/>
      </c>
      <c r="E932" t="str">
        <f>IF(ISBLANK(VLOOKUP($A932,'Entry data'!$A:$K,5,FALSE)),"",VLOOKUP($A932,'Entry data'!$A:$K,5,FALSE))</f>
        <v/>
      </c>
      <c r="F932" t="str">
        <f>IF(ISBLANK(VLOOKUP($A932,'Entry data'!$A:$K,6,FALSE)),"",VLOOKUP($A932,'Entry data'!$A:$K,6,FALSE))</f>
        <v/>
      </c>
      <c r="G932" t="str">
        <f>IF(ISBLANK(VLOOKUP($A932,'Entry data'!$A:$K,7,FALSE)),"",VLOOKUP($A932,'Entry data'!$A:$K,7,FALSE))</f>
        <v/>
      </c>
      <c r="H932" t="str">
        <f>IF(ISBLANK(VLOOKUP($A932,'Entry data'!$A:$K,8,FALSE)),"",VLOOKUP($A932,'Entry data'!$A:$K,8,FALSE))</f>
        <v/>
      </c>
      <c r="I932" t="str">
        <f>IF(ISBLANK(VLOOKUP($A932,'Entry data'!$A:$K,9,FALSE)),"",VLOOKUP($A932,'Entry data'!$A:$K,9,FALSE))</f>
        <v/>
      </c>
      <c r="J932" t="str">
        <f>IF(ISBLANK(VLOOKUP($A932,'Entry data'!$A:$K,10,FALSE)),"",VLOOKUP($A932,'Entry data'!$A:$K,10,FALSE))</f>
        <v/>
      </c>
      <c r="K932" t="str">
        <f>IF(ISBLANK(VLOOKUP($A932,'Entry data'!$A:$K,11,FALSE)),"",VLOOKUP($A932,'Entry data'!$A:$K,11,FALSE))</f>
        <v/>
      </c>
      <c r="L932">
        <f>IF(OR(EXACT(D932,"C"),EXACT(D932,"P"),EXACT(D932,"D"),EXACT(D932,"T"),EXACT(D932,"X"),EXACT(E932,"DZF"),EXACT(E932,"OZF"),EXACT(D932,"N"),EXACT(D932,"F")),1,0)</f>
        <v>0</v>
      </c>
      <c r="M932" t="str">
        <f t="shared" si="56"/>
        <v/>
      </c>
      <c r="N932">
        <f t="shared" si="57"/>
        <v>0</v>
      </c>
      <c r="O932">
        <f t="shared" si="58"/>
        <v>0</v>
      </c>
      <c r="P932" t="str">
        <f t="shared" si="59"/>
        <v/>
      </c>
    </row>
    <row r="933" spans="1:16" x14ac:dyDescent="0.25">
      <c r="A933">
        <v>432</v>
      </c>
      <c r="B933" t="str">
        <f>IF(ISBLANK(VLOOKUP($A933,'Entry data'!$A:$K,2,FALSE)),"",VLOOKUP($A933,'Entry data'!$A:$K,2,FALSE))</f>
        <v/>
      </c>
      <c r="C933" t="str">
        <f>IF(ISBLANK(VLOOKUP($A933,'Entry data'!$A:$K,3,FALSE)),"",VLOOKUP($A933,'Entry data'!$A:$K,3,FALSE))</f>
        <v/>
      </c>
      <c r="D933" t="str">
        <f>IF(ISBLANK(VLOOKUP($A933,'Entry data'!$A:$K,4,FALSE)),"",VLOOKUP($A933,'Entry data'!$A:$K,4,FALSE))</f>
        <v/>
      </c>
      <c r="E933" t="str">
        <f>IF(ISBLANK(VLOOKUP($A933,'Entry data'!$A:$K,5,FALSE)),"",VLOOKUP($A933,'Entry data'!$A:$K,5,FALSE))</f>
        <v/>
      </c>
      <c r="F933" t="str">
        <f>IF(ISBLANK(VLOOKUP($A933,'Entry data'!$A:$K,6,FALSE)),"",VLOOKUP($A933,'Entry data'!$A:$K,6,FALSE))</f>
        <v/>
      </c>
      <c r="G933" t="str">
        <f>IF(ISBLANK(VLOOKUP($A933,'Entry data'!$A:$K,7,FALSE)),"",VLOOKUP($A933,'Entry data'!$A:$K,7,FALSE))</f>
        <v/>
      </c>
      <c r="H933" t="str">
        <f>IF(ISBLANK(VLOOKUP($A933,'Entry data'!$A:$K,8,FALSE)),"",VLOOKUP($A933,'Entry data'!$A:$K,8,FALSE))</f>
        <v/>
      </c>
      <c r="I933" t="str">
        <f>IF(ISBLANK(VLOOKUP($A933,'Entry data'!$A:$K,9,FALSE)),"",VLOOKUP($A933,'Entry data'!$A:$K,9,FALSE))</f>
        <v/>
      </c>
      <c r="J933" t="str">
        <f>IF(ISBLANK(VLOOKUP($A933,'Entry data'!$A:$K,10,FALSE)),"",VLOOKUP($A933,'Entry data'!$A:$K,10,FALSE))</f>
        <v/>
      </c>
      <c r="K933" t="str">
        <f>IF(ISBLANK(VLOOKUP($A933,'Entry data'!$A:$K,11,FALSE)),"",VLOOKUP($A933,'Entry data'!$A:$K,11,FALSE))</f>
        <v/>
      </c>
      <c r="L933">
        <f>IF(OR(EXACT(D933,"C"),EXACT(D933,"P"),EXACT(D933,"D"),EXACT(D933,"T"),EXACT(D933,"X"),EXACT(E933,"DZF"),EXACT(E933,"OZF"),EXACT(D933,"N"),EXACT(D933,"F")),1,0)</f>
        <v>0</v>
      </c>
      <c r="M933" t="str">
        <f t="shared" si="56"/>
        <v/>
      </c>
      <c r="N933">
        <f t="shared" si="57"/>
        <v>0</v>
      </c>
      <c r="O933">
        <f t="shared" si="58"/>
        <v>0</v>
      </c>
      <c r="P933" t="str">
        <f t="shared" si="59"/>
        <v/>
      </c>
    </row>
    <row r="934" spans="1:16" x14ac:dyDescent="0.25">
      <c r="A934">
        <v>433</v>
      </c>
      <c r="B934" t="str">
        <f>IF(ISBLANK(VLOOKUP($A934,'Entry data'!$A:$K,2,FALSE)),"",VLOOKUP($A934,'Entry data'!$A:$K,2,FALSE))</f>
        <v/>
      </c>
      <c r="C934" t="str">
        <f>IF(ISBLANK(VLOOKUP($A934,'Entry data'!$A:$K,3,FALSE)),"",VLOOKUP($A934,'Entry data'!$A:$K,3,FALSE))</f>
        <v/>
      </c>
      <c r="D934" t="str">
        <f>IF(ISBLANK(VLOOKUP($A934,'Entry data'!$A:$K,4,FALSE)),"",VLOOKUP($A934,'Entry data'!$A:$K,4,FALSE))</f>
        <v/>
      </c>
      <c r="E934" t="str">
        <f>IF(ISBLANK(VLOOKUP($A934,'Entry data'!$A:$K,5,FALSE)),"",VLOOKUP($A934,'Entry data'!$A:$K,5,FALSE))</f>
        <v/>
      </c>
      <c r="F934" t="str">
        <f>IF(ISBLANK(VLOOKUP($A934,'Entry data'!$A:$K,6,FALSE)),"",VLOOKUP($A934,'Entry data'!$A:$K,6,FALSE))</f>
        <v/>
      </c>
      <c r="G934" t="str">
        <f>IF(ISBLANK(VLOOKUP($A934,'Entry data'!$A:$K,7,FALSE)),"",VLOOKUP($A934,'Entry data'!$A:$K,7,FALSE))</f>
        <v/>
      </c>
      <c r="H934" t="str">
        <f>IF(ISBLANK(VLOOKUP($A934,'Entry data'!$A:$K,8,FALSE)),"",VLOOKUP($A934,'Entry data'!$A:$K,8,FALSE))</f>
        <v/>
      </c>
      <c r="I934" t="str">
        <f>IF(ISBLANK(VLOOKUP($A934,'Entry data'!$A:$K,9,FALSE)),"",VLOOKUP($A934,'Entry data'!$A:$K,9,FALSE))</f>
        <v/>
      </c>
      <c r="J934" t="str">
        <f>IF(ISBLANK(VLOOKUP($A934,'Entry data'!$A:$K,10,FALSE)),"",VLOOKUP($A934,'Entry data'!$A:$K,10,FALSE))</f>
        <v/>
      </c>
      <c r="K934" t="str">
        <f>IF(ISBLANK(VLOOKUP($A934,'Entry data'!$A:$K,11,FALSE)),"",VLOOKUP($A934,'Entry data'!$A:$K,11,FALSE))</f>
        <v/>
      </c>
      <c r="L934">
        <f>IF(OR(EXACT(D934,"C"),EXACT(D934,"P"),EXACT(D934,"D"),EXACT(D934,"T"),EXACT(D934,"X"),EXACT(E934,"DZF"),EXACT(E934,"OZF"),EXACT(D934,"N"),EXACT(D934,"F")),1,0)</f>
        <v>0</v>
      </c>
      <c r="M934" t="str">
        <f t="shared" si="56"/>
        <v/>
      </c>
      <c r="N934">
        <f t="shared" si="57"/>
        <v>0</v>
      </c>
      <c r="O934">
        <f t="shared" si="58"/>
        <v>0</v>
      </c>
      <c r="P934" t="str">
        <f t="shared" si="59"/>
        <v/>
      </c>
    </row>
    <row r="935" spans="1:16" x14ac:dyDescent="0.25">
      <c r="A935">
        <v>434</v>
      </c>
      <c r="B935" t="str">
        <f>IF(ISBLANK(VLOOKUP($A935,'Entry data'!$A:$K,2,FALSE)),"",VLOOKUP($A935,'Entry data'!$A:$K,2,FALSE))</f>
        <v/>
      </c>
      <c r="C935" t="str">
        <f>IF(ISBLANK(VLOOKUP($A935,'Entry data'!$A:$K,3,FALSE)),"",VLOOKUP($A935,'Entry data'!$A:$K,3,FALSE))</f>
        <v/>
      </c>
      <c r="D935" t="str">
        <f>IF(ISBLANK(VLOOKUP($A935,'Entry data'!$A:$K,4,FALSE)),"",VLOOKUP($A935,'Entry data'!$A:$K,4,FALSE))</f>
        <v/>
      </c>
      <c r="E935" t="str">
        <f>IF(ISBLANK(VLOOKUP($A935,'Entry data'!$A:$K,5,FALSE)),"",VLOOKUP($A935,'Entry data'!$A:$K,5,FALSE))</f>
        <v/>
      </c>
      <c r="F935" t="str">
        <f>IF(ISBLANK(VLOOKUP($A935,'Entry data'!$A:$K,6,FALSE)),"",VLOOKUP($A935,'Entry data'!$A:$K,6,FALSE))</f>
        <v/>
      </c>
      <c r="G935" t="str">
        <f>IF(ISBLANK(VLOOKUP($A935,'Entry data'!$A:$K,7,FALSE)),"",VLOOKUP($A935,'Entry data'!$A:$K,7,FALSE))</f>
        <v/>
      </c>
      <c r="H935" t="str">
        <f>IF(ISBLANK(VLOOKUP($A935,'Entry data'!$A:$K,8,FALSE)),"",VLOOKUP($A935,'Entry data'!$A:$K,8,FALSE))</f>
        <v/>
      </c>
      <c r="I935" t="str">
        <f>IF(ISBLANK(VLOOKUP($A935,'Entry data'!$A:$K,9,FALSE)),"",VLOOKUP($A935,'Entry data'!$A:$K,9,FALSE))</f>
        <v/>
      </c>
      <c r="J935" t="str">
        <f>IF(ISBLANK(VLOOKUP($A935,'Entry data'!$A:$K,10,FALSE)),"",VLOOKUP($A935,'Entry data'!$A:$K,10,FALSE))</f>
        <v/>
      </c>
      <c r="K935" t="str">
        <f>IF(ISBLANK(VLOOKUP($A935,'Entry data'!$A:$K,11,FALSE)),"",VLOOKUP($A935,'Entry data'!$A:$K,11,FALSE))</f>
        <v/>
      </c>
      <c r="L935">
        <f>IF(OR(EXACT(D935,"C"),EXACT(D935,"P"),EXACT(D935,"D"),EXACT(D935,"T"),EXACT(D935,"X"),EXACT(E935,"DZF"),EXACT(E935,"OZF"),EXACT(D935,"N"),EXACT(D935,"F")),1,0)</f>
        <v>0</v>
      </c>
      <c r="M935" t="str">
        <f t="shared" si="56"/>
        <v/>
      </c>
      <c r="N935">
        <f t="shared" si="57"/>
        <v>0</v>
      </c>
      <c r="O935">
        <f t="shared" si="58"/>
        <v>0</v>
      </c>
      <c r="P935" t="str">
        <f t="shared" si="59"/>
        <v/>
      </c>
    </row>
    <row r="936" spans="1:16" x14ac:dyDescent="0.25">
      <c r="A936">
        <v>435</v>
      </c>
      <c r="B936" t="str">
        <f>IF(ISBLANK(VLOOKUP($A936,'Entry data'!$A:$K,2,FALSE)),"",VLOOKUP($A936,'Entry data'!$A:$K,2,FALSE))</f>
        <v/>
      </c>
      <c r="C936" t="str">
        <f>IF(ISBLANK(VLOOKUP($A936,'Entry data'!$A:$K,3,FALSE)),"",VLOOKUP($A936,'Entry data'!$A:$K,3,FALSE))</f>
        <v/>
      </c>
      <c r="D936" t="str">
        <f>IF(ISBLANK(VLOOKUP($A936,'Entry data'!$A:$K,4,FALSE)),"",VLOOKUP($A936,'Entry data'!$A:$K,4,FALSE))</f>
        <v/>
      </c>
      <c r="E936" t="str">
        <f>IF(ISBLANK(VLOOKUP($A936,'Entry data'!$A:$K,5,FALSE)),"",VLOOKUP($A936,'Entry data'!$A:$K,5,FALSE))</f>
        <v/>
      </c>
      <c r="F936" t="str">
        <f>IF(ISBLANK(VLOOKUP($A936,'Entry data'!$A:$K,6,FALSE)),"",VLOOKUP($A936,'Entry data'!$A:$K,6,FALSE))</f>
        <v/>
      </c>
      <c r="G936" t="str">
        <f>IF(ISBLANK(VLOOKUP($A936,'Entry data'!$A:$K,7,FALSE)),"",VLOOKUP($A936,'Entry data'!$A:$K,7,FALSE))</f>
        <v/>
      </c>
      <c r="H936" t="str">
        <f>IF(ISBLANK(VLOOKUP($A936,'Entry data'!$A:$K,8,FALSE)),"",VLOOKUP($A936,'Entry data'!$A:$K,8,FALSE))</f>
        <v/>
      </c>
      <c r="I936" t="str">
        <f>IF(ISBLANK(VLOOKUP($A936,'Entry data'!$A:$K,9,FALSE)),"",VLOOKUP($A936,'Entry data'!$A:$K,9,FALSE))</f>
        <v/>
      </c>
      <c r="J936" t="str">
        <f>IF(ISBLANK(VLOOKUP($A936,'Entry data'!$A:$K,10,FALSE)),"",VLOOKUP($A936,'Entry data'!$A:$K,10,FALSE))</f>
        <v/>
      </c>
      <c r="K936" t="str">
        <f>IF(ISBLANK(VLOOKUP($A936,'Entry data'!$A:$K,11,FALSE)),"",VLOOKUP($A936,'Entry data'!$A:$K,11,FALSE))</f>
        <v/>
      </c>
      <c r="L936">
        <f>IF(OR(EXACT(D936,"C"),EXACT(D936,"P"),EXACT(D936,"D"),EXACT(D936,"T"),EXACT(D936,"X"),EXACT(E936,"DZF"),EXACT(E936,"OZF"),EXACT(D936,"N"),EXACT(D936,"F")),1,0)</f>
        <v>0</v>
      </c>
      <c r="M936" t="str">
        <f t="shared" si="56"/>
        <v/>
      </c>
      <c r="N936">
        <f t="shared" si="57"/>
        <v>0</v>
      </c>
      <c r="O936">
        <f t="shared" si="58"/>
        <v>0</v>
      </c>
      <c r="P936" t="str">
        <f t="shared" si="59"/>
        <v/>
      </c>
    </row>
    <row r="937" spans="1:16" x14ac:dyDescent="0.25">
      <c r="A937">
        <v>436</v>
      </c>
      <c r="B937" t="str">
        <f>IF(ISBLANK(VLOOKUP($A937,'Entry data'!$A:$K,2,FALSE)),"",VLOOKUP($A937,'Entry data'!$A:$K,2,FALSE))</f>
        <v/>
      </c>
      <c r="C937" t="str">
        <f>IF(ISBLANK(VLOOKUP($A937,'Entry data'!$A:$K,3,FALSE)),"",VLOOKUP($A937,'Entry data'!$A:$K,3,FALSE))</f>
        <v/>
      </c>
      <c r="D937" t="str">
        <f>IF(ISBLANK(VLOOKUP($A937,'Entry data'!$A:$K,4,FALSE)),"",VLOOKUP($A937,'Entry data'!$A:$K,4,FALSE))</f>
        <v/>
      </c>
      <c r="E937" t="str">
        <f>IF(ISBLANK(VLOOKUP($A937,'Entry data'!$A:$K,5,FALSE)),"",VLOOKUP($A937,'Entry data'!$A:$K,5,FALSE))</f>
        <v/>
      </c>
      <c r="F937" t="str">
        <f>IF(ISBLANK(VLOOKUP($A937,'Entry data'!$A:$K,6,FALSE)),"",VLOOKUP($A937,'Entry data'!$A:$K,6,FALSE))</f>
        <v/>
      </c>
      <c r="G937" t="str">
        <f>IF(ISBLANK(VLOOKUP($A937,'Entry data'!$A:$K,7,FALSE)),"",VLOOKUP($A937,'Entry data'!$A:$K,7,FALSE))</f>
        <v/>
      </c>
      <c r="H937" t="str">
        <f>IF(ISBLANK(VLOOKUP($A937,'Entry data'!$A:$K,8,FALSE)),"",VLOOKUP($A937,'Entry data'!$A:$K,8,FALSE))</f>
        <v/>
      </c>
      <c r="I937" t="str">
        <f>IF(ISBLANK(VLOOKUP($A937,'Entry data'!$A:$K,9,FALSE)),"",VLOOKUP($A937,'Entry data'!$A:$K,9,FALSE))</f>
        <v/>
      </c>
      <c r="J937" t="str">
        <f>IF(ISBLANK(VLOOKUP($A937,'Entry data'!$A:$K,10,FALSE)),"",VLOOKUP($A937,'Entry data'!$A:$K,10,FALSE))</f>
        <v/>
      </c>
      <c r="K937" t="str">
        <f>IF(ISBLANK(VLOOKUP($A937,'Entry data'!$A:$K,11,FALSE)),"",VLOOKUP($A937,'Entry data'!$A:$K,11,FALSE))</f>
        <v/>
      </c>
      <c r="L937">
        <f>IF(OR(EXACT(D937,"C"),EXACT(D937,"P"),EXACT(D937,"D"),EXACT(D937,"T"),EXACT(D937,"X"),EXACT(E937,"DZF"),EXACT(E937,"OZF"),EXACT(D937,"N"),EXACT(D937,"F")),1,0)</f>
        <v>0</v>
      </c>
      <c r="M937" t="str">
        <f t="shared" si="56"/>
        <v/>
      </c>
      <c r="N937">
        <f t="shared" si="57"/>
        <v>0</v>
      </c>
      <c r="O937">
        <f t="shared" si="58"/>
        <v>0</v>
      </c>
      <c r="P937" t="str">
        <f t="shared" si="59"/>
        <v/>
      </c>
    </row>
    <row r="938" spans="1:16" x14ac:dyDescent="0.25">
      <c r="A938">
        <v>437</v>
      </c>
      <c r="B938" t="str">
        <f>IF(ISBLANK(VLOOKUP($A938,'Entry data'!$A:$K,2,FALSE)),"",VLOOKUP($A938,'Entry data'!$A:$K,2,FALSE))</f>
        <v/>
      </c>
      <c r="C938" t="str">
        <f>IF(ISBLANK(VLOOKUP($A938,'Entry data'!$A:$K,3,FALSE)),"",VLOOKUP($A938,'Entry data'!$A:$K,3,FALSE))</f>
        <v/>
      </c>
      <c r="D938" t="str">
        <f>IF(ISBLANK(VLOOKUP($A938,'Entry data'!$A:$K,4,FALSE)),"",VLOOKUP($A938,'Entry data'!$A:$K,4,FALSE))</f>
        <v/>
      </c>
      <c r="E938" t="str">
        <f>IF(ISBLANK(VLOOKUP($A938,'Entry data'!$A:$K,5,FALSE)),"",VLOOKUP($A938,'Entry data'!$A:$K,5,FALSE))</f>
        <v/>
      </c>
      <c r="F938" t="str">
        <f>IF(ISBLANK(VLOOKUP($A938,'Entry data'!$A:$K,6,FALSE)),"",VLOOKUP($A938,'Entry data'!$A:$K,6,FALSE))</f>
        <v/>
      </c>
      <c r="G938" t="str">
        <f>IF(ISBLANK(VLOOKUP($A938,'Entry data'!$A:$K,7,FALSE)),"",VLOOKUP($A938,'Entry data'!$A:$K,7,FALSE))</f>
        <v/>
      </c>
      <c r="H938" t="str">
        <f>IF(ISBLANK(VLOOKUP($A938,'Entry data'!$A:$K,8,FALSE)),"",VLOOKUP($A938,'Entry data'!$A:$K,8,FALSE))</f>
        <v/>
      </c>
      <c r="I938" t="str">
        <f>IF(ISBLANK(VLOOKUP($A938,'Entry data'!$A:$K,9,FALSE)),"",VLOOKUP($A938,'Entry data'!$A:$K,9,FALSE))</f>
        <v/>
      </c>
      <c r="J938" t="str">
        <f>IF(ISBLANK(VLOOKUP($A938,'Entry data'!$A:$K,10,FALSE)),"",VLOOKUP($A938,'Entry data'!$A:$K,10,FALSE))</f>
        <v/>
      </c>
      <c r="K938" t="str">
        <f>IF(ISBLANK(VLOOKUP($A938,'Entry data'!$A:$K,11,FALSE)),"",VLOOKUP($A938,'Entry data'!$A:$K,11,FALSE))</f>
        <v/>
      </c>
      <c r="L938">
        <f>IF(OR(EXACT(D938,"C"),EXACT(D938,"P"),EXACT(D938,"D"),EXACT(D938,"T"),EXACT(D938,"X"),EXACT(E938,"DZF"),EXACT(E938,"OZF"),EXACT(D938,"N"),EXACT(D938,"F")),1,0)</f>
        <v>0</v>
      </c>
      <c r="M938" t="str">
        <f t="shared" si="56"/>
        <v/>
      </c>
      <c r="N938">
        <f t="shared" si="57"/>
        <v>0</v>
      </c>
      <c r="O938">
        <f t="shared" si="58"/>
        <v>0</v>
      </c>
      <c r="P938" t="str">
        <f t="shared" si="59"/>
        <v/>
      </c>
    </row>
    <row r="939" spans="1:16" x14ac:dyDescent="0.25">
      <c r="A939">
        <v>438</v>
      </c>
      <c r="B939" t="str">
        <f>IF(ISBLANK(VLOOKUP($A939,'Entry data'!$A:$K,2,FALSE)),"",VLOOKUP($A939,'Entry data'!$A:$K,2,FALSE))</f>
        <v/>
      </c>
      <c r="C939" t="str">
        <f>IF(ISBLANK(VLOOKUP($A939,'Entry data'!$A:$K,3,FALSE)),"",VLOOKUP($A939,'Entry data'!$A:$K,3,FALSE))</f>
        <v/>
      </c>
      <c r="D939" t="str">
        <f>IF(ISBLANK(VLOOKUP($A939,'Entry data'!$A:$K,4,FALSE)),"",VLOOKUP($A939,'Entry data'!$A:$K,4,FALSE))</f>
        <v/>
      </c>
      <c r="E939" t="str">
        <f>IF(ISBLANK(VLOOKUP($A939,'Entry data'!$A:$K,5,FALSE)),"",VLOOKUP($A939,'Entry data'!$A:$K,5,FALSE))</f>
        <v/>
      </c>
      <c r="F939" t="str">
        <f>IF(ISBLANK(VLOOKUP($A939,'Entry data'!$A:$K,6,FALSE)),"",VLOOKUP($A939,'Entry data'!$A:$K,6,FALSE))</f>
        <v/>
      </c>
      <c r="G939" t="str">
        <f>IF(ISBLANK(VLOOKUP($A939,'Entry data'!$A:$K,7,FALSE)),"",VLOOKUP($A939,'Entry data'!$A:$K,7,FALSE))</f>
        <v/>
      </c>
      <c r="H939" t="str">
        <f>IF(ISBLANK(VLOOKUP($A939,'Entry data'!$A:$K,8,FALSE)),"",VLOOKUP($A939,'Entry data'!$A:$K,8,FALSE))</f>
        <v/>
      </c>
      <c r="I939" t="str">
        <f>IF(ISBLANK(VLOOKUP($A939,'Entry data'!$A:$K,9,FALSE)),"",VLOOKUP($A939,'Entry data'!$A:$K,9,FALSE))</f>
        <v/>
      </c>
      <c r="J939" t="str">
        <f>IF(ISBLANK(VLOOKUP($A939,'Entry data'!$A:$K,10,FALSE)),"",VLOOKUP($A939,'Entry data'!$A:$K,10,FALSE))</f>
        <v/>
      </c>
      <c r="K939" t="str">
        <f>IF(ISBLANK(VLOOKUP($A939,'Entry data'!$A:$K,11,FALSE)),"",VLOOKUP($A939,'Entry data'!$A:$K,11,FALSE))</f>
        <v/>
      </c>
      <c r="L939">
        <f>IF(OR(EXACT(D939,"C"),EXACT(D939,"P"),EXACT(D939,"D"),EXACT(D939,"T"),EXACT(D939,"X"),EXACT(E939,"DZF"),EXACT(E939,"OZF"),EXACT(D939,"N"),EXACT(D939,"F")),1,0)</f>
        <v>0</v>
      </c>
      <c r="M939" t="str">
        <f t="shared" si="56"/>
        <v/>
      </c>
      <c r="N939">
        <f t="shared" si="57"/>
        <v>0</v>
      </c>
      <c r="O939">
        <f t="shared" si="58"/>
        <v>0</v>
      </c>
      <c r="P939" t="str">
        <f t="shared" si="59"/>
        <v/>
      </c>
    </row>
    <row r="940" spans="1:16" x14ac:dyDescent="0.25">
      <c r="A940">
        <v>439</v>
      </c>
      <c r="B940" t="str">
        <f>IF(ISBLANK(VLOOKUP($A940,'Entry data'!$A:$K,2,FALSE)),"",VLOOKUP($A940,'Entry data'!$A:$K,2,FALSE))</f>
        <v/>
      </c>
      <c r="C940" t="str">
        <f>IF(ISBLANK(VLOOKUP($A940,'Entry data'!$A:$K,3,FALSE)),"",VLOOKUP($A940,'Entry data'!$A:$K,3,FALSE))</f>
        <v/>
      </c>
      <c r="D940" t="str">
        <f>IF(ISBLANK(VLOOKUP($A940,'Entry data'!$A:$K,4,FALSE)),"",VLOOKUP($A940,'Entry data'!$A:$K,4,FALSE))</f>
        <v/>
      </c>
      <c r="E940" t="str">
        <f>IF(ISBLANK(VLOOKUP($A940,'Entry data'!$A:$K,5,FALSE)),"",VLOOKUP($A940,'Entry data'!$A:$K,5,FALSE))</f>
        <v/>
      </c>
      <c r="F940" t="str">
        <f>IF(ISBLANK(VLOOKUP($A940,'Entry data'!$A:$K,6,FALSE)),"",VLOOKUP($A940,'Entry data'!$A:$K,6,FALSE))</f>
        <v/>
      </c>
      <c r="G940" t="str">
        <f>IF(ISBLANK(VLOOKUP($A940,'Entry data'!$A:$K,7,FALSE)),"",VLOOKUP($A940,'Entry data'!$A:$K,7,FALSE))</f>
        <v/>
      </c>
      <c r="H940" t="str">
        <f>IF(ISBLANK(VLOOKUP($A940,'Entry data'!$A:$K,8,FALSE)),"",VLOOKUP($A940,'Entry data'!$A:$K,8,FALSE))</f>
        <v/>
      </c>
      <c r="I940" t="str">
        <f>IF(ISBLANK(VLOOKUP($A940,'Entry data'!$A:$K,9,FALSE)),"",VLOOKUP($A940,'Entry data'!$A:$K,9,FALSE))</f>
        <v/>
      </c>
      <c r="J940" t="str">
        <f>IF(ISBLANK(VLOOKUP($A940,'Entry data'!$A:$K,10,FALSE)),"",VLOOKUP($A940,'Entry data'!$A:$K,10,FALSE))</f>
        <v/>
      </c>
      <c r="K940" t="str">
        <f>IF(ISBLANK(VLOOKUP($A940,'Entry data'!$A:$K,11,FALSE)),"",VLOOKUP($A940,'Entry data'!$A:$K,11,FALSE))</f>
        <v/>
      </c>
      <c r="L940">
        <f>IF(OR(EXACT(D940,"C"),EXACT(D940,"P"),EXACT(D940,"D"),EXACT(D940,"T"),EXACT(D940,"X"),EXACT(E940,"DZF"),EXACT(E940,"OZF"),EXACT(D940,"N"),EXACT(D940,"F")),1,0)</f>
        <v>0</v>
      </c>
      <c r="M940" t="str">
        <f t="shared" si="56"/>
        <v/>
      </c>
      <c r="N940">
        <f t="shared" si="57"/>
        <v>0</v>
      </c>
      <c r="O940">
        <f t="shared" si="58"/>
        <v>0</v>
      </c>
      <c r="P940" t="str">
        <f t="shared" si="59"/>
        <v/>
      </c>
    </row>
    <row r="941" spans="1:16" x14ac:dyDescent="0.25">
      <c r="A941">
        <v>440</v>
      </c>
      <c r="B941" t="str">
        <f>IF(ISBLANK(VLOOKUP($A941,'Entry data'!$A:$K,2,FALSE)),"",VLOOKUP($A941,'Entry data'!$A:$K,2,FALSE))</f>
        <v/>
      </c>
      <c r="C941" t="str">
        <f>IF(ISBLANK(VLOOKUP($A941,'Entry data'!$A:$K,3,FALSE)),"",VLOOKUP($A941,'Entry data'!$A:$K,3,FALSE))</f>
        <v/>
      </c>
      <c r="D941" t="str">
        <f>IF(ISBLANK(VLOOKUP($A941,'Entry data'!$A:$K,4,FALSE)),"",VLOOKUP($A941,'Entry data'!$A:$K,4,FALSE))</f>
        <v/>
      </c>
      <c r="E941" t="str">
        <f>IF(ISBLANK(VLOOKUP($A941,'Entry data'!$A:$K,5,FALSE)),"",VLOOKUP($A941,'Entry data'!$A:$K,5,FALSE))</f>
        <v/>
      </c>
      <c r="F941" t="str">
        <f>IF(ISBLANK(VLOOKUP($A941,'Entry data'!$A:$K,6,FALSE)),"",VLOOKUP($A941,'Entry data'!$A:$K,6,FALSE))</f>
        <v/>
      </c>
      <c r="G941" t="str">
        <f>IF(ISBLANK(VLOOKUP($A941,'Entry data'!$A:$K,7,FALSE)),"",VLOOKUP($A941,'Entry data'!$A:$K,7,FALSE))</f>
        <v/>
      </c>
      <c r="H941" t="str">
        <f>IF(ISBLANK(VLOOKUP($A941,'Entry data'!$A:$K,8,FALSE)),"",VLOOKUP($A941,'Entry data'!$A:$K,8,FALSE))</f>
        <v/>
      </c>
      <c r="I941" t="str">
        <f>IF(ISBLANK(VLOOKUP($A941,'Entry data'!$A:$K,9,FALSE)),"",VLOOKUP($A941,'Entry data'!$A:$K,9,FALSE))</f>
        <v/>
      </c>
      <c r="J941" t="str">
        <f>IF(ISBLANK(VLOOKUP($A941,'Entry data'!$A:$K,10,FALSE)),"",VLOOKUP($A941,'Entry data'!$A:$K,10,FALSE))</f>
        <v/>
      </c>
      <c r="K941" t="str">
        <f>IF(ISBLANK(VLOOKUP($A941,'Entry data'!$A:$K,11,FALSE)),"",VLOOKUP($A941,'Entry data'!$A:$K,11,FALSE))</f>
        <v/>
      </c>
      <c r="L941">
        <f>IF(OR(EXACT(D941,"C"),EXACT(D941,"P"),EXACT(D941,"D"),EXACT(D941,"T"),EXACT(D941,"X"),EXACT(E941,"DZF"),EXACT(E941,"OZF"),EXACT(D941,"N"),EXACT(D941,"F")),1,0)</f>
        <v>0</v>
      </c>
      <c r="M941" t="str">
        <f t="shared" si="56"/>
        <v/>
      </c>
      <c r="N941">
        <f t="shared" si="57"/>
        <v>0</v>
      </c>
      <c r="O941">
        <f t="shared" si="58"/>
        <v>0</v>
      </c>
      <c r="P941" t="str">
        <f t="shared" si="59"/>
        <v/>
      </c>
    </row>
    <row r="942" spans="1:16" x14ac:dyDescent="0.25">
      <c r="A942">
        <v>441</v>
      </c>
      <c r="B942" t="str">
        <f>IF(ISBLANK(VLOOKUP($A942,'Entry data'!$A:$K,2,FALSE)),"",VLOOKUP($A942,'Entry data'!$A:$K,2,FALSE))</f>
        <v/>
      </c>
      <c r="C942" t="str">
        <f>IF(ISBLANK(VLOOKUP($A942,'Entry data'!$A:$K,3,FALSE)),"",VLOOKUP($A942,'Entry data'!$A:$K,3,FALSE))</f>
        <v/>
      </c>
      <c r="D942" t="str">
        <f>IF(ISBLANK(VLOOKUP($A942,'Entry data'!$A:$K,4,FALSE)),"",VLOOKUP($A942,'Entry data'!$A:$K,4,FALSE))</f>
        <v/>
      </c>
      <c r="E942" t="str">
        <f>IF(ISBLANK(VLOOKUP($A942,'Entry data'!$A:$K,5,FALSE)),"",VLOOKUP($A942,'Entry data'!$A:$K,5,FALSE))</f>
        <v/>
      </c>
      <c r="F942" t="str">
        <f>IF(ISBLANK(VLOOKUP($A942,'Entry data'!$A:$K,6,FALSE)),"",VLOOKUP($A942,'Entry data'!$A:$K,6,FALSE))</f>
        <v/>
      </c>
      <c r="G942" t="str">
        <f>IF(ISBLANK(VLOOKUP($A942,'Entry data'!$A:$K,7,FALSE)),"",VLOOKUP($A942,'Entry data'!$A:$K,7,FALSE))</f>
        <v/>
      </c>
      <c r="H942" t="str">
        <f>IF(ISBLANK(VLOOKUP($A942,'Entry data'!$A:$K,8,FALSE)),"",VLOOKUP($A942,'Entry data'!$A:$K,8,FALSE))</f>
        <v/>
      </c>
      <c r="I942" t="str">
        <f>IF(ISBLANK(VLOOKUP($A942,'Entry data'!$A:$K,9,FALSE)),"",VLOOKUP($A942,'Entry data'!$A:$K,9,FALSE))</f>
        <v/>
      </c>
      <c r="J942" t="str">
        <f>IF(ISBLANK(VLOOKUP($A942,'Entry data'!$A:$K,10,FALSE)),"",VLOOKUP($A942,'Entry data'!$A:$K,10,FALSE))</f>
        <v/>
      </c>
      <c r="K942" t="str">
        <f>IF(ISBLANK(VLOOKUP($A942,'Entry data'!$A:$K,11,FALSE)),"",VLOOKUP($A942,'Entry data'!$A:$K,11,FALSE))</f>
        <v/>
      </c>
      <c r="L942">
        <f>IF(OR(EXACT(D942,"C"),EXACT(D942,"P"),EXACT(D942,"D"),EXACT(D942,"T"),EXACT(D942,"X"),EXACT(E942,"DZF"),EXACT(E942,"OZF"),EXACT(D942,"N"),EXACT(D942,"F")),1,0)</f>
        <v>0</v>
      </c>
      <c r="M942" t="str">
        <f t="shared" si="56"/>
        <v/>
      </c>
      <c r="N942">
        <f t="shared" si="57"/>
        <v>0</v>
      </c>
      <c r="O942">
        <f t="shared" si="58"/>
        <v>0</v>
      </c>
      <c r="P942" t="str">
        <f t="shared" si="59"/>
        <v/>
      </c>
    </row>
    <row r="943" spans="1:16" x14ac:dyDescent="0.25">
      <c r="A943">
        <v>442</v>
      </c>
      <c r="B943" t="str">
        <f>IF(ISBLANK(VLOOKUP($A943,'Entry data'!$A:$K,2,FALSE)),"",VLOOKUP($A943,'Entry data'!$A:$K,2,FALSE))</f>
        <v/>
      </c>
      <c r="C943" t="str">
        <f>IF(ISBLANK(VLOOKUP($A943,'Entry data'!$A:$K,3,FALSE)),"",VLOOKUP($A943,'Entry data'!$A:$K,3,FALSE))</f>
        <v/>
      </c>
      <c r="D943" t="str">
        <f>IF(ISBLANK(VLOOKUP($A943,'Entry data'!$A:$K,4,FALSE)),"",VLOOKUP($A943,'Entry data'!$A:$K,4,FALSE))</f>
        <v/>
      </c>
      <c r="E943" t="str">
        <f>IF(ISBLANK(VLOOKUP($A943,'Entry data'!$A:$K,5,FALSE)),"",VLOOKUP($A943,'Entry data'!$A:$K,5,FALSE))</f>
        <v/>
      </c>
      <c r="F943" t="str">
        <f>IF(ISBLANK(VLOOKUP($A943,'Entry data'!$A:$K,6,FALSE)),"",VLOOKUP($A943,'Entry data'!$A:$K,6,FALSE))</f>
        <v/>
      </c>
      <c r="G943" t="str">
        <f>IF(ISBLANK(VLOOKUP($A943,'Entry data'!$A:$K,7,FALSE)),"",VLOOKUP($A943,'Entry data'!$A:$K,7,FALSE))</f>
        <v/>
      </c>
      <c r="H943" t="str">
        <f>IF(ISBLANK(VLOOKUP($A943,'Entry data'!$A:$K,8,FALSE)),"",VLOOKUP($A943,'Entry data'!$A:$K,8,FALSE))</f>
        <v/>
      </c>
      <c r="I943" t="str">
        <f>IF(ISBLANK(VLOOKUP($A943,'Entry data'!$A:$K,9,FALSE)),"",VLOOKUP($A943,'Entry data'!$A:$K,9,FALSE))</f>
        <v/>
      </c>
      <c r="J943" t="str">
        <f>IF(ISBLANK(VLOOKUP($A943,'Entry data'!$A:$K,10,FALSE)),"",VLOOKUP($A943,'Entry data'!$A:$K,10,FALSE))</f>
        <v/>
      </c>
      <c r="K943" t="str">
        <f>IF(ISBLANK(VLOOKUP($A943,'Entry data'!$A:$K,11,FALSE)),"",VLOOKUP($A943,'Entry data'!$A:$K,11,FALSE))</f>
        <v/>
      </c>
      <c r="L943">
        <f>IF(OR(EXACT(D943,"C"),EXACT(D943,"P"),EXACT(D943,"D"),EXACT(D943,"T"),EXACT(D943,"X"),EXACT(E943,"DZF"),EXACT(E943,"OZF"),EXACT(D943,"N"),EXACT(D943,"F")),1,0)</f>
        <v>0</v>
      </c>
      <c r="M943" t="str">
        <f t="shared" si="56"/>
        <v/>
      </c>
      <c r="N943">
        <f t="shared" si="57"/>
        <v>0</v>
      </c>
      <c r="O943">
        <f t="shared" si="58"/>
        <v>0</v>
      </c>
      <c r="P943" t="str">
        <f t="shared" si="59"/>
        <v/>
      </c>
    </row>
    <row r="944" spans="1:16" x14ac:dyDescent="0.25">
      <c r="A944">
        <v>443</v>
      </c>
      <c r="B944" t="str">
        <f>IF(ISBLANK(VLOOKUP($A944,'Entry data'!$A:$K,2,FALSE)),"",VLOOKUP($A944,'Entry data'!$A:$K,2,FALSE))</f>
        <v/>
      </c>
      <c r="C944" t="str">
        <f>IF(ISBLANK(VLOOKUP($A944,'Entry data'!$A:$K,3,FALSE)),"",VLOOKUP($A944,'Entry data'!$A:$K,3,FALSE))</f>
        <v/>
      </c>
      <c r="D944" t="str">
        <f>IF(ISBLANK(VLOOKUP($A944,'Entry data'!$A:$K,4,FALSE)),"",VLOOKUP($A944,'Entry data'!$A:$K,4,FALSE))</f>
        <v/>
      </c>
      <c r="E944" t="str">
        <f>IF(ISBLANK(VLOOKUP($A944,'Entry data'!$A:$K,5,FALSE)),"",VLOOKUP($A944,'Entry data'!$A:$K,5,FALSE))</f>
        <v/>
      </c>
      <c r="F944" t="str">
        <f>IF(ISBLANK(VLOOKUP($A944,'Entry data'!$A:$K,6,FALSE)),"",VLOOKUP($A944,'Entry data'!$A:$K,6,FALSE))</f>
        <v/>
      </c>
      <c r="G944" t="str">
        <f>IF(ISBLANK(VLOOKUP($A944,'Entry data'!$A:$K,7,FALSE)),"",VLOOKUP($A944,'Entry data'!$A:$K,7,FALSE))</f>
        <v/>
      </c>
      <c r="H944" t="str">
        <f>IF(ISBLANK(VLOOKUP($A944,'Entry data'!$A:$K,8,FALSE)),"",VLOOKUP($A944,'Entry data'!$A:$K,8,FALSE))</f>
        <v/>
      </c>
      <c r="I944" t="str">
        <f>IF(ISBLANK(VLOOKUP($A944,'Entry data'!$A:$K,9,FALSE)),"",VLOOKUP($A944,'Entry data'!$A:$K,9,FALSE))</f>
        <v/>
      </c>
      <c r="J944" t="str">
        <f>IF(ISBLANK(VLOOKUP($A944,'Entry data'!$A:$K,10,FALSE)),"",VLOOKUP($A944,'Entry data'!$A:$K,10,FALSE))</f>
        <v/>
      </c>
      <c r="K944" t="str">
        <f>IF(ISBLANK(VLOOKUP($A944,'Entry data'!$A:$K,11,FALSE)),"",VLOOKUP($A944,'Entry data'!$A:$K,11,FALSE))</f>
        <v/>
      </c>
      <c r="L944">
        <f>IF(OR(EXACT(D944,"C"),EXACT(D944,"P"),EXACT(D944,"D"),EXACT(D944,"T"),EXACT(D944,"X"),EXACT(E944,"DZF"),EXACT(E944,"OZF"),EXACT(D944,"N"),EXACT(D944,"F")),1,0)</f>
        <v>0</v>
      </c>
      <c r="M944" t="str">
        <f t="shared" si="56"/>
        <v/>
      </c>
      <c r="N944">
        <f t="shared" si="57"/>
        <v>0</v>
      </c>
      <c r="O944">
        <f t="shared" si="58"/>
        <v>0</v>
      </c>
      <c r="P944" t="str">
        <f t="shared" si="59"/>
        <v/>
      </c>
    </row>
    <row r="945" spans="1:16" x14ac:dyDescent="0.25">
      <c r="A945">
        <v>444</v>
      </c>
      <c r="B945" t="str">
        <f>IF(ISBLANK(VLOOKUP($A945,'Entry data'!$A:$K,2,FALSE)),"",VLOOKUP($A945,'Entry data'!$A:$K,2,FALSE))</f>
        <v/>
      </c>
      <c r="C945" t="str">
        <f>IF(ISBLANK(VLOOKUP($A945,'Entry data'!$A:$K,3,FALSE)),"",VLOOKUP($A945,'Entry data'!$A:$K,3,FALSE))</f>
        <v/>
      </c>
      <c r="D945" t="str">
        <f>IF(ISBLANK(VLOOKUP($A945,'Entry data'!$A:$K,4,FALSE)),"",VLOOKUP($A945,'Entry data'!$A:$K,4,FALSE))</f>
        <v/>
      </c>
      <c r="E945" t="str">
        <f>IF(ISBLANK(VLOOKUP($A945,'Entry data'!$A:$K,5,FALSE)),"",VLOOKUP($A945,'Entry data'!$A:$K,5,FALSE))</f>
        <v/>
      </c>
      <c r="F945" t="str">
        <f>IF(ISBLANK(VLOOKUP($A945,'Entry data'!$A:$K,6,FALSE)),"",VLOOKUP($A945,'Entry data'!$A:$K,6,FALSE))</f>
        <v/>
      </c>
      <c r="G945" t="str">
        <f>IF(ISBLANK(VLOOKUP($A945,'Entry data'!$A:$K,7,FALSE)),"",VLOOKUP($A945,'Entry data'!$A:$K,7,FALSE))</f>
        <v/>
      </c>
      <c r="H945" t="str">
        <f>IF(ISBLANK(VLOOKUP($A945,'Entry data'!$A:$K,8,FALSE)),"",VLOOKUP($A945,'Entry data'!$A:$K,8,FALSE))</f>
        <v/>
      </c>
      <c r="I945" t="str">
        <f>IF(ISBLANK(VLOOKUP($A945,'Entry data'!$A:$K,9,FALSE)),"",VLOOKUP($A945,'Entry data'!$A:$K,9,FALSE))</f>
        <v/>
      </c>
      <c r="J945" t="str">
        <f>IF(ISBLANK(VLOOKUP($A945,'Entry data'!$A:$K,10,FALSE)),"",VLOOKUP($A945,'Entry data'!$A:$K,10,FALSE))</f>
        <v/>
      </c>
      <c r="K945" t="str">
        <f>IF(ISBLANK(VLOOKUP($A945,'Entry data'!$A:$K,11,FALSE)),"",VLOOKUP($A945,'Entry data'!$A:$K,11,FALSE))</f>
        <v/>
      </c>
      <c r="L945">
        <f>IF(OR(EXACT(D945,"C"),EXACT(D945,"P"),EXACT(D945,"D"),EXACT(D945,"T"),EXACT(D945,"X"),EXACT(E945,"DZF"),EXACT(E945,"OZF"),EXACT(D945,"N"),EXACT(D945,"F")),1,0)</f>
        <v>0</v>
      </c>
      <c r="M945" t="str">
        <f t="shared" si="56"/>
        <v/>
      </c>
      <c r="N945">
        <f t="shared" si="57"/>
        <v>0</v>
      </c>
      <c r="O945">
        <f t="shared" si="58"/>
        <v>0</v>
      </c>
      <c r="P945" t="str">
        <f t="shared" si="59"/>
        <v/>
      </c>
    </row>
    <row r="946" spans="1:16" x14ac:dyDescent="0.25">
      <c r="A946">
        <v>445</v>
      </c>
      <c r="B946" t="str">
        <f>IF(ISBLANK(VLOOKUP($A946,'Entry data'!$A:$K,2,FALSE)),"",VLOOKUP($A946,'Entry data'!$A:$K,2,FALSE))</f>
        <v/>
      </c>
      <c r="C946" t="str">
        <f>IF(ISBLANK(VLOOKUP($A946,'Entry data'!$A:$K,3,FALSE)),"",VLOOKUP($A946,'Entry data'!$A:$K,3,FALSE))</f>
        <v/>
      </c>
      <c r="D946" t="str">
        <f>IF(ISBLANK(VLOOKUP($A946,'Entry data'!$A:$K,4,FALSE)),"",VLOOKUP($A946,'Entry data'!$A:$K,4,FALSE))</f>
        <v/>
      </c>
      <c r="E946" t="str">
        <f>IF(ISBLANK(VLOOKUP($A946,'Entry data'!$A:$K,5,FALSE)),"",VLOOKUP($A946,'Entry data'!$A:$K,5,FALSE))</f>
        <v/>
      </c>
      <c r="F946" t="str">
        <f>IF(ISBLANK(VLOOKUP($A946,'Entry data'!$A:$K,6,FALSE)),"",VLOOKUP($A946,'Entry data'!$A:$K,6,FALSE))</f>
        <v/>
      </c>
      <c r="G946" t="str">
        <f>IF(ISBLANK(VLOOKUP($A946,'Entry data'!$A:$K,7,FALSE)),"",VLOOKUP($A946,'Entry data'!$A:$K,7,FALSE))</f>
        <v/>
      </c>
      <c r="H946" t="str">
        <f>IF(ISBLANK(VLOOKUP($A946,'Entry data'!$A:$K,8,FALSE)),"",VLOOKUP($A946,'Entry data'!$A:$K,8,FALSE))</f>
        <v/>
      </c>
      <c r="I946" t="str">
        <f>IF(ISBLANK(VLOOKUP($A946,'Entry data'!$A:$K,9,FALSE)),"",VLOOKUP($A946,'Entry data'!$A:$K,9,FALSE))</f>
        <v/>
      </c>
      <c r="J946" t="str">
        <f>IF(ISBLANK(VLOOKUP($A946,'Entry data'!$A:$K,10,FALSE)),"",VLOOKUP($A946,'Entry data'!$A:$K,10,FALSE))</f>
        <v/>
      </c>
      <c r="K946" t="str">
        <f>IF(ISBLANK(VLOOKUP($A946,'Entry data'!$A:$K,11,FALSE)),"",VLOOKUP($A946,'Entry data'!$A:$K,11,FALSE))</f>
        <v/>
      </c>
      <c r="L946">
        <f>IF(OR(EXACT(D946,"C"),EXACT(D946,"P"),EXACT(D946,"D"),EXACT(D946,"T"),EXACT(D946,"X"),EXACT(E946,"DZF"),EXACT(E946,"OZF"),EXACT(D946,"N"),EXACT(D946,"F")),1,0)</f>
        <v>0</v>
      </c>
      <c r="M946" t="str">
        <f t="shared" si="56"/>
        <v/>
      </c>
      <c r="N946">
        <f t="shared" si="57"/>
        <v>0</v>
      </c>
      <c r="O946">
        <f t="shared" si="58"/>
        <v>0</v>
      </c>
      <c r="P946" t="str">
        <f t="shared" si="59"/>
        <v/>
      </c>
    </row>
    <row r="947" spans="1:16" x14ac:dyDescent="0.25">
      <c r="A947">
        <v>446</v>
      </c>
      <c r="B947" t="str">
        <f>IF(ISBLANK(VLOOKUP($A947,'Entry data'!$A:$K,2,FALSE)),"",VLOOKUP($A947,'Entry data'!$A:$K,2,FALSE))</f>
        <v/>
      </c>
      <c r="C947" t="str">
        <f>IF(ISBLANK(VLOOKUP($A947,'Entry data'!$A:$K,3,FALSE)),"",VLOOKUP($A947,'Entry data'!$A:$K,3,FALSE))</f>
        <v/>
      </c>
      <c r="D947" t="str">
        <f>IF(ISBLANK(VLOOKUP($A947,'Entry data'!$A:$K,4,FALSE)),"",VLOOKUP($A947,'Entry data'!$A:$K,4,FALSE))</f>
        <v/>
      </c>
      <c r="E947" t="str">
        <f>IF(ISBLANK(VLOOKUP($A947,'Entry data'!$A:$K,5,FALSE)),"",VLOOKUP($A947,'Entry data'!$A:$K,5,FALSE))</f>
        <v/>
      </c>
      <c r="F947" t="str">
        <f>IF(ISBLANK(VLOOKUP($A947,'Entry data'!$A:$K,6,FALSE)),"",VLOOKUP($A947,'Entry data'!$A:$K,6,FALSE))</f>
        <v/>
      </c>
      <c r="G947" t="str">
        <f>IF(ISBLANK(VLOOKUP($A947,'Entry data'!$A:$K,7,FALSE)),"",VLOOKUP($A947,'Entry data'!$A:$K,7,FALSE))</f>
        <v/>
      </c>
      <c r="H947" t="str">
        <f>IF(ISBLANK(VLOOKUP($A947,'Entry data'!$A:$K,8,FALSE)),"",VLOOKUP($A947,'Entry data'!$A:$K,8,FALSE))</f>
        <v/>
      </c>
      <c r="I947" t="str">
        <f>IF(ISBLANK(VLOOKUP($A947,'Entry data'!$A:$K,9,FALSE)),"",VLOOKUP($A947,'Entry data'!$A:$K,9,FALSE))</f>
        <v/>
      </c>
      <c r="J947" t="str">
        <f>IF(ISBLANK(VLOOKUP($A947,'Entry data'!$A:$K,10,FALSE)),"",VLOOKUP($A947,'Entry data'!$A:$K,10,FALSE))</f>
        <v/>
      </c>
      <c r="K947" t="str">
        <f>IF(ISBLANK(VLOOKUP($A947,'Entry data'!$A:$K,11,FALSE)),"",VLOOKUP($A947,'Entry data'!$A:$K,11,FALSE))</f>
        <v/>
      </c>
      <c r="L947">
        <f>IF(OR(EXACT(D947,"C"),EXACT(D947,"P"),EXACT(D947,"D"),EXACT(D947,"T"),EXACT(D947,"X"),EXACT(E947,"DZF"),EXACT(E947,"OZF"),EXACT(D947,"N"),EXACT(D947,"F")),1,0)</f>
        <v>0</v>
      </c>
      <c r="M947" t="str">
        <f t="shared" si="56"/>
        <v/>
      </c>
      <c r="N947">
        <f t="shared" si="57"/>
        <v>0</v>
      </c>
      <c r="O947">
        <f t="shared" si="58"/>
        <v>0</v>
      </c>
      <c r="P947" t="str">
        <f t="shared" si="59"/>
        <v/>
      </c>
    </row>
    <row r="948" spans="1:16" x14ac:dyDescent="0.25">
      <c r="A948">
        <v>447</v>
      </c>
      <c r="B948" t="str">
        <f>IF(ISBLANK(VLOOKUP($A948,'Entry data'!$A:$K,2,FALSE)),"",VLOOKUP($A948,'Entry data'!$A:$K,2,FALSE))</f>
        <v/>
      </c>
      <c r="C948" t="str">
        <f>IF(ISBLANK(VLOOKUP($A948,'Entry data'!$A:$K,3,FALSE)),"",VLOOKUP($A948,'Entry data'!$A:$K,3,FALSE))</f>
        <v/>
      </c>
      <c r="D948" t="str">
        <f>IF(ISBLANK(VLOOKUP($A948,'Entry data'!$A:$K,4,FALSE)),"",VLOOKUP($A948,'Entry data'!$A:$K,4,FALSE))</f>
        <v/>
      </c>
      <c r="E948" t="str">
        <f>IF(ISBLANK(VLOOKUP($A948,'Entry data'!$A:$K,5,FALSE)),"",VLOOKUP($A948,'Entry data'!$A:$K,5,FALSE))</f>
        <v/>
      </c>
      <c r="F948" t="str">
        <f>IF(ISBLANK(VLOOKUP($A948,'Entry data'!$A:$K,6,FALSE)),"",VLOOKUP($A948,'Entry data'!$A:$K,6,FALSE))</f>
        <v/>
      </c>
      <c r="G948" t="str">
        <f>IF(ISBLANK(VLOOKUP($A948,'Entry data'!$A:$K,7,FALSE)),"",VLOOKUP($A948,'Entry data'!$A:$K,7,FALSE))</f>
        <v/>
      </c>
      <c r="H948" t="str">
        <f>IF(ISBLANK(VLOOKUP($A948,'Entry data'!$A:$K,8,FALSE)),"",VLOOKUP($A948,'Entry data'!$A:$K,8,FALSE))</f>
        <v/>
      </c>
      <c r="I948" t="str">
        <f>IF(ISBLANK(VLOOKUP($A948,'Entry data'!$A:$K,9,FALSE)),"",VLOOKUP($A948,'Entry data'!$A:$K,9,FALSE))</f>
        <v/>
      </c>
      <c r="J948" t="str">
        <f>IF(ISBLANK(VLOOKUP($A948,'Entry data'!$A:$K,10,FALSE)),"",VLOOKUP($A948,'Entry data'!$A:$K,10,FALSE))</f>
        <v/>
      </c>
      <c r="K948" t="str">
        <f>IF(ISBLANK(VLOOKUP($A948,'Entry data'!$A:$K,11,FALSE)),"",VLOOKUP($A948,'Entry data'!$A:$K,11,FALSE))</f>
        <v/>
      </c>
      <c r="L948">
        <f>IF(OR(EXACT(D948,"C"),EXACT(D948,"P"),EXACT(D948,"D"),EXACT(D948,"T"),EXACT(D948,"X"),EXACT(E948,"DZF"),EXACT(E948,"OZF"),EXACT(D948,"N"),EXACT(D948,"F")),1,0)</f>
        <v>0</v>
      </c>
      <c r="M948" t="str">
        <f t="shared" si="56"/>
        <v/>
      </c>
      <c r="N948">
        <f t="shared" si="57"/>
        <v>0</v>
      </c>
      <c r="O948">
        <f t="shared" si="58"/>
        <v>0</v>
      </c>
      <c r="P948" t="str">
        <f t="shared" si="59"/>
        <v/>
      </c>
    </row>
    <row r="949" spans="1:16" x14ac:dyDescent="0.25">
      <c r="A949">
        <v>448</v>
      </c>
      <c r="B949" t="str">
        <f>IF(ISBLANK(VLOOKUP($A949,'Entry data'!$A:$K,2,FALSE)),"",VLOOKUP($A949,'Entry data'!$A:$K,2,FALSE))</f>
        <v/>
      </c>
      <c r="C949" t="str">
        <f>IF(ISBLANK(VLOOKUP($A949,'Entry data'!$A:$K,3,FALSE)),"",VLOOKUP($A949,'Entry data'!$A:$K,3,FALSE))</f>
        <v/>
      </c>
      <c r="D949" t="str">
        <f>IF(ISBLANK(VLOOKUP($A949,'Entry data'!$A:$K,4,FALSE)),"",VLOOKUP($A949,'Entry data'!$A:$K,4,FALSE))</f>
        <v/>
      </c>
      <c r="E949" t="str">
        <f>IF(ISBLANK(VLOOKUP($A949,'Entry data'!$A:$K,5,FALSE)),"",VLOOKUP($A949,'Entry data'!$A:$K,5,FALSE))</f>
        <v/>
      </c>
      <c r="F949" t="str">
        <f>IF(ISBLANK(VLOOKUP($A949,'Entry data'!$A:$K,6,FALSE)),"",VLOOKUP($A949,'Entry data'!$A:$K,6,FALSE))</f>
        <v/>
      </c>
      <c r="G949" t="str">
        <f>IF(ISBLANK(VLOOKUP($A949,'Entry data'!$A:$K,7,FALSE)),"",VLOOKUP($A949,'Entry data'!$A:$K,7,FALSE))</f>
        <v/>
      </c>
      <c r="H949" t="str">
        <f>IF(ISBLANK(VLOOKUP($A949,'Entry data'!$A:$K,8,FALSE)),"",VLOOKUP($A949,'Entry data'!$A:$K,8,FALSE))</f>
        <v/>
      </c>
      <c r="I949" t="str">
        <f>IF(ISBLANK(VLOOKUP($A949,'Entry data'!$A:$K,9,FALSE)),"",VLOOKUP($A949,'Entry data'!$A:$K,9,FALSE))</f>
        <v/>
      </c>
      <c r="J949" t="str">
        <f>IF(ISBLANK(VLOOKUP($A949,'Entry data'!$A:$K,10,FALSE)),"",VLOOKUP($A949,'Entry data'!$A:$K,10,FALSE))</f>
        <v/>
      </c>
      <c r="K949" t="str">
        <f>IF(ISBLANK(VLOOKUP($A949,'Entry data'!$A:$K,11,FALSE)),"",VLOOKUP($A949,'Entry data'!$A:$K,11,FALSE))</f>
        <v/>
      </c>
      <c r="L949">
        <f>IF(OR(EXACT(D949,"C"),EXACT(D949,"P"),EXACT(D949,"D"),EXACT(D949,"T"),EXACT(D949,"X"),EXACT(E949,"DZF"),EXACT(E949,"OZF"),EXACT(D949,"N"),EXACT(D949,"F")),1,0)</f>
        <v>0</v>
      </c>
      <c r="M949" t="str">
        <f t="shared" si="56"/>
        <v/>
      </c>
      <c r="N949">
        <f t="shared" si="57"/>
        <v>0</v>
      </c>
      <c r="O949">
        <f t="shared" si="58"/>
        <v>0</v>
      </c>
      <c r="P949" t="str">
        <f t="shared" si="59"/>
        <v/>
      </c>
    </row>
    <row r="950" spans="1:16" x14ac:dyDescent="0.25">
      <c r="A950">
        <v>449</v>
      </c>
      <c r="B950" t="str">
        <f>IF(ISBLANK(VLOOKUP($A950,'Entry data'!$A:$K,2,FALSE)),"",VLOOKUP($A950,'Entry data'!$A:$K,2,FALSE))</f>
        <v/>
      </c>
      <c r="C950" t="str">
        <f>IF(ISBLANK(VLOOKUP($A950,'Entry data'!$A:$K,3,FALSE)),"",VLOOKUP($A950,'Entry data'!$A:$K,3,FALSE))</f>
        <v/>
      </c>
      <c r="D950" t="str">
        <f>IF(ISBLANK(VLOOKUP($A950,'Entry data'!$A:$K,4,FALSE)),"",VLOOKUP($A950,'Entry data'!$A:$K,4,FALSE))</f>
        <v/>
      </c>
      <c r="E950" t="str">
        <f>IF(ISBLANK(VLOOKUP($A950,'Entry data'!$A:$K,5,FALSE)),"",VLOOKUP($A950,'Entry data'!$A:$K,5,FALSE))</f>
        <v/>
      </c>
      <c r="F950" t="str">
        <f>IF(ISBLANK(VLOOKUP($A950,'Entry data'!$A:$K,6,FALSE)),"",VLOOKUP($A950,'Entry data'!$A:$K,6,FALSE))</f>
        <v/>
      </c>
      <c r="G950" t="str">
        <f>IF(ISBLANK(VLOOKUP($A950,'Entry data'!$A:$K,7,FALSE)),"",VLOOKUP($A950,'Entry data'!$A:$K,7,FALSE))</f>
        <v/>
      </c>
      <c r="H950" t="str">
        <f>IF(ISBLANK(VLOOKUP($A950,'Entry data'!$A:$K,8,FALSE)),"",VLOOKUP($A950,'Entry data'!$A:$K,8,FALSE))</f>
        <v/>
      </c>
      <c r="I950" t="str">
        <f>IF(ISBLANK(VLOOKUP($A950,'Entry data'!$A:$K,9,FALSE)),"",VLOOKUP($A950,'Entry data'!$A:$K,9,FALSE))</f>
        <v/>
      </c>
      <c r="J950" t="str">
        <f>IF(ISBLANK(VLOOKUP($A950,'Entry data'!$A:$K,10,FALSE)),"",VLOOKUP($A950,'Entry data'!$A:$K,10,FALSE))</f>
        <v/>
      </c>
      <c r="K950" t="str">
        <f>IF(ISBLANK(VLOOKUP($A950,'Entry data'!$A:$K,11,FALSE)),"",VLOOKUP($A950,'Entry data'!$A:$K,11,FALSE))</f>
        <v/>
      </c>
      <c r="L950">
        <f>IF(OR(EXACT(D950,"C"),EXACT(D950,"P"),EXACT(D950,"D"),EXACT(D950,"T"),EXACT(D950,"X"),EXACT(E950,"DZF"),EXACT(E950,"OZF"),EXACT(D950,"N"),EXACT(D950,"F")),1,0)</f>
        <v>0</v>
      </c>
      <c r="M950" t="str">
        <f t="shared" si="56"/>
        <v/>
      </c>
      <c r="N950">
        <f t="shared" si="57"/>
        <v>0</v>
      </c>
      <c r="O950">
        <f t="shared" si="58"/>
        <v>0</v>
      </c>
      <c r="P950" t="str">
        <f t="shared" si="59"/>
        <v/>
      </c>
    </row>
    <row r="951" spans="1:16" x14ac:dyDescent="0.25">
      <c r="A951">
        <v>450</v>
      </c>
      <c r="B951" t="str">
        <f>IF(ISBLANK(VLOOKUP($A951,'Entry data'!$A:$K,2,FALSE)),"",VLOOKUP($A951,'Entry data'!$A:$K,2,FALSE))</f>
        <v/>
      </c>
      <c r="C951" t="str">
        <f>IF(ISBLANK(VLOOKUP($A951,'Entry data'!$A:$K,3,FALSE)),"",VLOOKUP($A951,'Entry data'!$A:$K,3,FALSE))</f>
        <v/>
      </c>
      <c r="D951" t="str">
        <f>IF(ISBLANK(VLOOKUP($A951,'Entry data'!$A:$K,4,FALSE)),"",VLOOKUP($A951,'Entry data'!$A:$K,4,FALSE))</f>
        <v/>
      </c>
      <c r="E951" t="str">
        <f>IF(ISBLANK(VLOOKUP($A951,'Entry data'!$A:$K,5,FALSE)),"",VLOOKUP($A951,'Entry data'!$A:$K,5,FALSE))</f>
        <v/>
      </c>
      <c r="F951" t="str">
        <f>IF(ISBLANK(VLOOKUP($A951,'Entry data'!$A:$K,6,FALSE)),"",VLOOKUP($A951,'Entry data'!$A:$K,6,FALSE))</f>
        <v/>
      </c>
      <c r="G951" t="str">
        <f>IF(ISBLANK(VLOOKUP($A951,'Entry data'!$A:$K,7,FALSE)),"",VLOOKUP($A951,'Entry data'!$A:$K,7,FALSE))</f>
        <v/>
      </c>
      <c r="H951" t="str">
        <f>IF(ISBLANK(VLOOKUP($A951,'Entry data'!$A:$K,8,FALSE)),"",VLOOKUP($A951,'Entry data'!$A:$K,8,FALSE))</f>
        <v/>
      </c>
      <c r="I951" t="str">
        <f>IF(ISBLANK(VLOOKUP($A951,'Entry data'!$A:$K,9,FALSE)),"",VLOOKUP($A951,'Entry data'!$A:$K,9,FALSE))</f>
        <v/>
      </c>
      <c r="J951" t="str">
        <f>IF(ISBLANK(VLOOKUP($A951,'Entry data'!$A:$K,10,FALSE)),"",VLOOKUP($A951,'Entry data'!$A:$K,10,FALSE))</f>
        <v/>
      </c>
      <c r="K951" t="str">
        <f>IF(ISBLANK(VLOOKUP($A951,'Entry data'!$A:$K,11,FALSE)),"",VLOOKUP($A951,'Entry data'!$A:$K,11,FALSE))</f>
        <v/>
      </c>
      <c r="L951">
        <f>IF(OR(EXACT(D951,"C"),EXACT(D951,"P"),EXACT(D951,"D"),EXACT(D951,"T"),EXACT(D951,"X"),EXACT(E951,"DZF"),EXACT(E951,"OZF"),EXACT(D951,"N"),EXACT(D951,"F")),1,0)</f>
        <v>0</v>
      </c>
      <c r="M951" t="str">
        <f t="shared" si="56"/>
        <v/>
      </c>
      <c r="N951">
        <f t="shared" si="57"/>
        <v>0</v>
      </c>
      <c r="O951">
        <f t="shared" si="58"/>
        <v>0</v>
      </c>
      <c r="P951" t="str">
        <f t="shared" si="59"/>
        <v/>
      </c>
    </row>
    <row r="952" spans="1:16" x14ac:dyDescent="0.25">
      <c r="A952">
        <v>451</v>
      </c>
      <c r="B952" t="str">
        <f>IF(ISBLANK(VLOOKUP($A952,'Entry data'!$A:$K,2,FALSE)),"",VLOOKUP($A952,'Entry data'!$A:$K,2,FALSE))</f>
        <v/>
      </c>
      <c r="C952" t="str">
        <f>IF(ISBLANK(VLOOKUP($A952,'Entry data'!$A:$K,3,FALSE)),"",VLOOKUP($A952,'Entry data'!$A:$K,3,FALSE))</f>
        <v/>
      </c>
      <c r="D952" t="str">
        <f>IF(ISBLANK(VLOOKUP($A952,'Entry data'!$A:$K,4,FALSE)),"",VLOOKUP($A952,'Entry data'!$A:$K,4,FALSE))</f>
        <v/>
      </c>
      <c r="E952" t="str">
        <f>IF(ISBLANK(VLOOKUP($A952,'Entry data'!$A:$K,5,FALSE)),"",VLOOKUP($A952,'Entry data'!$A:$K,5,FALSE))</f>
        <v/>
      </c>
      <c r="F952" t="str">
        <f>IF(ISBLANK(VLOOKUP($A952,'Entry data'!$A:$K,6,FALSE)),"",VLOOKUP($A952,'Entry data'!$A:$K,6,FALSE))</f>
        <v/>
      </c>
      <c r="G952" t="str">
        <f>IF(ISBLANK(VLOOKUP($A952,'Entry data'!$A:$K,7,FALSE)),"",VLOOKUP($A952,'Entry data'!$A:$K,7,FALSE))</f>
        <v/>
      </c>
      <c r="H952" t="str">
        <f>IF(ISBLANK(VLOOKUP($A952,'Entry data'!$A:$K,8,FALSE)),"",VLOOKUP($A952,'Entry data'!$A:$K,8,FALSE))</f>
        <v/>
      </c>
      <c r="I952" t="str">
        <f>IF(ISBLANK(VLOOKUP($A952,'Entry data'!$A:$K,9,FALSE)),"",VLOOKUP($A952,'Entry data'!$A:$K,9,FALSE))</f>
        <v/>
      </c>
      <c r="J952" t="str">
        <f>IF(ISBLANK(VLOOKUP($A952,'Entry data'!$A:$K,10,FALSE)),"",VLOOKUP($A952,'Entry data'!$A:$K,10,FALSE))</f>
        <v/>
      </c>
      <c r="K952" t="str">
        <f>IF(ISBLANK(VLOOKUP($A952,'Entry data'!$A:$K,11,FALSE)),"",VLOOKUP($A952,'Entry data'!$A:$K,11,FALSE))</f>
        <v/>
      </c>
      <c r="L952">
        <f>IF(OR(EXACT(D952,"C"),EXACT(D952,"P"),EXACT(D952,"D"),EXACT(D952,"T"),EXACT(D952,"X"),EXACT(E952,"DZF"),EXACT(E952,"OZF"),EXACT(D952,"N"),EXACT(D952,"F")),1,0)</f>
        <v>0</v>
      </c>
      <c r="M952" t="str">
        <f t="shared" si="56"/>
        <v/>
      </c>
      <c r="N952">
        <f t="shared" si="57"/>
        <v>0</v>
      </c>
      <c r="O952">
        <f t="shared" si="58"/>
        <v>0</v>
      </c>
      <c r="P952" t="str">
        <f t="shared" si="59"/>
        <v/>
      </c>
    </row>
    <row r="953" spans="1:16" x14ac:dyDescent="0.25">
      <c r="A953">
        <v>452</v>
      </c>
      <c r="B953" t="str">
        <f>IF(ISBLANK(VLOOKUP($A953,'Entry data'!$A:$K,2,FALSE)),"",VLOOKUP($A953,'Entry data'!$A:$K,2,FALSE))</f>
        <v/>
      </c>
      <c r="C953" t="str">
        <f>IF(ISBLANK(VLOOKUP($A953,'Entry data'!$A:$K,3,FALSE)),"",VLOOKUP($A953,'Entry data'!$A:$K,3,FALSE))</f>
        <v/>
      </c>
      <c r="D953" t="str">
        <f>IF(ISBLANK(VLOOKUP($A953,'Entry data'!$A:$K,4,FALSE)),"",VLOOKUP($A953,'Entry data'!$A:$K,4,FALSE))</f>
        <v/>
      </c>
      <c r="E953" t="str">
        <f>IF(ISBLANK(VLOOKUP($A953,'Entry data'!$A:$K,5,FALSE)),"",VLOOKUP($A953,'Entry data'!$A:$K,5,FALSE))</f>
        <v/>
      </c>
      <c r="F953" t="str">
        <f>IF(ISBLANK(VLOOKUP($A953,'Entry data'!$A:$K,6,FALSE)),"",VLOOKUP($A953,'Entry data'!$A:$K,6,FALSE))</f>
        <v/>
      </c>
      <c r="G953" t="str">
        <f>IF(ISBLANK(VLOOKUP($A953,'Entry data'!$A:$K,7,FALSE)),"",VLOOKUP($A953,'Entry data'!$A:$K,7,FALSE))</f>
        <v/>
      </c>
      <c r="H953" t="str">
        <f>IF(ISBLANK(VLOOKUP($A953,'Entry data'!$A:$K,8,FALSE)),"",VLOOKUP($A953,'Entry data'!$A:$K,8,FALSE))</f>
        <v/>
      </c>
      <c r="I953" t="str">
        <f>IF(ISBLANK(VLOOKUP($A953,'Entry data'!$A:$K,9,FALSE)),"",VLOOKUP($A953,'Entry data'!$A:$K,9,FALSE))</f>
        <v/>
      </c>
      <c r="J953" t="str">
        <f>IF(ISBLANK(VLOOKUP($A953,'Entry data'!$A:$K,10,FALSE)),"",VLOOKUP($A953,'Entry data'!$A:$K,10,FALSE))</f>
        <v/>
      </c>
      <c r="K953" t="str">
        <f>IF(ISBLANK(VLOOKUP($A953,'Entry data'!$A:$K,11,FALSE)),"",VLOOKUP($A953,'Entry data'!$A:$K,11,FALSE))</f>
        <v/>
      </c>
      <c r="L953">
        <f>IF(OR(EXACT(D953,"C"),EXACT(D953,"P"),EXACT(D953,"D"),EXACT(D953,"T"),EXACT(D953,"X"),EXACT(E953,"DZF"),EXACT(E953,"OZF"),EXACT(D953,"N"),EXACT(D953,"F")),1,0)</f>
        <v>0</v>
      </c>
      <c r="M953" t="str">
        <f t="shared" si="56"/>
        <v/>
      </c>
      <c r="N953">
        <f t="shared" si="57"/>
        <v>0</v>
      </c>
      <c r="O953">
        <f t="shared" si="58"/>
        <v>0</v>
      </c>
      <c r="P953" t="str">
        <f t="shared" si="59"/>
        <v/>
      </c>
    </row>
    <row r="954" spans="1:16" x14ac:dyDescent="0.25">
      <c r="A954">
        <v>453</v>
      </c>
      <c r="B954" t="str">
        <f>IF(ISBLANK(VLOOKUP($A954,'Entry data'!$A:$K,2,FALSE)),"",VLOOKUP($A954,'Entry data'!$A:$K,2,FALSE))</f>
        <v/>
      </c>
      <c r="C954" t="str">
        <f>IF(ISBLANK(VLOOKUP($A954,'Entry data'!$A:$K,3,FALSE)),"",VLOOKUP($A954,'Entry data'!$A:$K,3,FALSE))</f>
        <v/>
      </c>
      <c r="D954" t="str">
        <f>IF(ISBLANK(VLOOKUP($A954,'Entry data'!$A:$K,4,FALSE)),"",VLOOKUP($A954,'Entry data'!$A:$K,4,FALSE))</f>
        <v/>
      </c>
      <c r="E954" t="str">
        <f>IF(ISBLANK(VLOOKUP($A954,'Entry data'!$A:$K,5,FALSE)),"",VLOOKUP($A954,'Entry data'!$A:$K,5,FALSE))</f>
        <v/>
      </c>
      <c r="F954" t="str">
        <f>IF(ISBLANK(VLOOKUP($A954,'Entry data'!$A:$K,6,FALSE)),"",VLOOKUP($A954,'Entry data'!$A:$K,6,FALSE))</f>
        <v/>
      </c>
      <c r="G954" t="str">
        <f>IF(ISBLANK(VLOOKUP($A954,'Entry data'!$A:$K,7,FALSE)),"",VLOOKUP($A954,'Entry data'!$A:$K,7,FALSE))</f>
        <v/>
      </c>
      <c r="H954" t="str">
        <f>IF(ISBLANK(VLOOKUP($A954,'Entry data'!$A:$K,8,FALSE)),"",VLOOKUP($A954,'Entry data'!$A:$K,8,FALSE))</f>
        <v/>
      </c>
      <c r="I954" t="str">
        <f>IF(ISBLANK(VLOOKUP($A954,'Entry data'!$A:$K,9,FALSE)),"",VLOOKUP($A954,'Entry data'!$A:$K,9,FALSE))</f>
        <v/>
      </c>
      <c r="J954" t="str">
        <f>IF(ISBLANK(VLOOKUP($A954,'Entry data'!$A:$K,10,FALSE)),"",VLOOKUP($A954,'Entry data'!$A:$K,10,FALSE))</f>
        <v/>
      </c>
      <c r="K954" t="str">
        <f>IF(ISBLANK(VLOOKUP($A954,'Entry data'!$A:$K,11,FALSE)),"",VLOOKUP($A954,'Entry data'!$A:$K,11,FALSE))</f>
        <v/>
      </c>
      <c r="L954">
        <f>IF(OR(EXACT(D954,"C"),EXACT(D954,"P"),EXACT(D954,"D"),EXACT(D954,"T"),EXACT(D954,"X"),EXACT(E954,"DZF"),EXACT(E954,"OZF"),EXACT(D954,"N"),EXACT(D954,"F")),1,0)</f>
        <v>0</v>
      </c>
      <c r="M954" t="str">
        <f t="shared" si="56"/>
        <v/>
      </c>
      <c r="N954">
        <f t="shared" si="57"/>
        <v>0</v>
      </c>
      <c r="O954">
        <f t="shared" si="58"/>
        <v>0</v>
      </c>
      <c r="P954" t="str">
        <f t="shared" si="59"/>
        <v/>
      </c>
    </row>
    <row r="955" spans="1:16" x14ac:dyDescent="0.25">
      <c r="A955">
        <v>454</v>
      </c>
      <c r="B955" t="str">
        <f>IF(ISBLANK(VLOOKUP($A955,'Entry data'!$A:$K,2,FALSE)),"",VLOOKUP($A955,'Entry data'!$A:$K,2,FALSE))</f>
        <v/>
      </c>
      <c r="C955" t="str">
        <f>IF(ISBLANK(VLOOKUP($A955,'Entry data'!$A:$K,3,FALSE)),"",VLOOKUP($A955,'Entry data'!$A:$K,3,FALSE))</f>
        <v/>
      </c>
      <c r="D955" t="str">
        <f>IF(ISBLANK(VLOOKUP($A955,'Entry data'!$A:$K,4,FALSE)),"",VLOOKUP($A955,'Entry data'!$A:$K,4,FALSE))</f>
        <v/>
      </c>
      <c r="E955" t="str">
        <f>IF(ISBLANK(VLOOKUP($A955,'Entry data'!$A:$K,5,FALSE)),"",VLOOKUP($A955,'Entry data'!$A:$K,5,FALSE))</f>
        <v/>
      </c>
      <c r="F955" t="str">
        <f>IF(ISBLANK(VLOOKUP($A955,'Entry data'!$A:$K,6,FALSE)),"",VLOOKUP($A955,'Entry data'!$A:$K,6,FALSE))</f>
        <v/>
      </c>
      <c r="G955" t="str">
        <f>IF(ISBLANK(VLOOKUP($A955,'Entry data'!$A:$K,7,FALSE)),"",VLOOKUP($A955,'Entry data'!$A:$K,7,FALSE))</f>
        <v/>
      </c>
      <c r="H955" t="str">
        <f>IF(ISBLANK(VLOOKUP($A955,'Entry data'!$A:$K,8,FALSE)),"",VLOOKUP($A955,'Entry data'!$A:$K,8,FALSE))</f>
        <v/>
      </c>
      <c r="I955" t="str">
        <f>IF(ISBLANK(VLOOKUP($A955,'Entry data'!$A:$K,9,FALSE)),"",VLOOKUP($A955,'Entry data'!$A:$K,9,FALSE))</f>
        <v/>
      </c>
      <c r="J955" t="str">
        <f>IF(ISBLANK(VLOOKUP($A955,'Entry data'!$A:$K,10,FALSE)),"",VLOOKUP($A955,'Entry data'!$A:$K,10,FALSE))</f>
        <v/>
      </c>
      <c r="K955" t="str">
        <f>IF(ISBLANK(VLOOKUP($A955,'Entry data'!$A:$K,11,FALSE)),"",VLOOKUP($A955,'Entry data'!$A:$K,11,FALSE))</f>
        <v/>
      </c>
      <c r="L955">
        <f>IF(OR(EXACT(D955,"C"),EXACT(D955,"P"),EXACT(D955,"D"),EXACT(D955,"T"),EXACT(D955,"X"),EXACT(E955,"DZF"),EXACT(E955,"OZF"),EXACT(D955,"N"),EXACT(D955,"F")),1,0)</f>
        <v>0</v>
      </c>
      <c r="M955" t="str">
        <f t="shared" si="56"/>
        <v/>
      </c>
      <c r="N955">
        <f t="shared" si="57"/>
        <v>0</v>
      </c>
      <c r="O955">
        <f t="shared" si="58"/>
        <v>0</v>
      </c>
      <c r="P955" t="str">
        <f t="shared" si="59"/>
        <v/>
      </c>
    </row>
    <row r="956" spans="1:16" x14ac:dyDescent="0.25">
      <c r="A956">
        <v>455</v>
      </c>
      <c r="B956" t="str">
        <f>IF(ISBLANK(VLOOKUP($A956,'Entry data'!$A:$K,2,FALSE)),"",VLOOKUP($A956,'Entry data'!$A:$K,2,FALSE))</f>
        <v/>
      </c>
      <c r="C956" t="str">
        <f>IF(ISBLANK(VLOOKUP($A956,'Entry data'!$A:$K,3,FALSE)),"",VLOOKUP($A956,'Entry data'!$A:$K,3,FALSE))</f>
        <v/>
      </c>
      <c r="D956" t="str">
        <f>IF(ISBLANK(VLOOKUP($A956,'Entry data'!$A:$K,4,FALSE)),"",VLOOKUP($A956,'Entry data'!$A:$K,4,FALSE))</f>
        <v/>
      </c>
      <c r="E956" t="str">
        <f>IF(ISBLANK(VLOOKUP($A956,'Entry data'!$A:$K,5,FALSE)),"",VLOOKUP($A956,'Entry data'!$A:$K,5,FALSE))</f>
        <v/>
      </c>
      <c r="F956" t="str">
        <f>IF(ISBLANK(VLOOKUP($A956,'Entry data'!$A:$K,6,FALSE)),"",VLOOKUP($A956,'Entry data'!$A:$K,6,FALSE))</f>
        <v/>
      </c>
      <c r="G956" t="str">
        <f>IF(ISBLANK(VLOOKUP($A956,'Entry data'!$A:$K,7,FALSE)),"",VLOOKUP($A956,'Entry data'!$A:$K,7,FALSE))</f>
        <v/>
      </c>
      <c r="H956" t="str">
        <f>IF(ISBLANK(VLOOKUP($A956,'Entry data'!$A:$K,8,FALSE)),"",VLOOKUP($A956,'Entry data'!$A:$K,8,FALSE))</f>
        <v/>
      </c>
      <c r="I956" t="str">
        <f>IF(ISBLANK(VLOOKUP($A956,'Entry data'!$A:$K,9,FALSE)),"",VLOOKUP($A956,'Entry data'!$A:$K,9,FALSE))</f>
        <v/>
      </c>
      <c r="J956" t="str">
        <f>IF(ISBLANK(VLOOKUP($A956,'Entry data'!$A:$K,10,FALSE)),"",VLOOKUP($A956,'Entry data'!$A:$K,10,FALSE))</f>
        <v/>
      </c>
      <c r="K956" t="str">
        <f>IF(ISBLANK(VLOOKUP($A956,'Entry data'!$A:$K,11,FALSE)),"",VLOOKUP($A956,'Entry data'!$A:$K,11,FALSE))</f>
        <v/>
      </c>
      <c r="L956">
        <f>IF(OR(EXACT(D956,"C"),EXACT(D956,"P"),EXACT(D956,"D"),EXACT(D956,"T"),EXACT(D956,"X"),EXACT(E956,"DZF"),EXACT(E956,"OZF"),EXACT(D956,"N"),EXACT(D956,"F")),1,0)</f>
        <v>0</v>
      </c>
      <c r="M956" t="str">
        <f t="shared" si="56"/>
        <v/>
      </c>
      <c r="N956">
        <f t="shared" si="57"/>
        <v>0</v>
      </c>
      <c r="O956">
        <f t="shared" si="58"/>
        <v>0</v>
      </c>
      <c r="P956" t="str">
        <f t="shared" si="59"/>
        <v/>
      </c>
    </row>
    <row r="957" spans="1:16" x14ac:dyDescent="0.25">
      <c r="A957">
        <v>456</v>
      </c>
      <c r="B957" t="str">
        <f>IF(ISBLANK(VLOOKUP($A957,'Entry data'!$A:$K,2,FALSE)),"",VLOOKUP($A957,'Entry data'!$A:$K,2,FALSE))</f>
        <v/>
      </c>
      <c r="C957" t="str">
        <f>IF(ISBLANK(VLOOKUP($A957,'Entry data'!$A:$K,3,FALSE)),"",VLOOKUP($A957,'Entry data'!$A:$K,3,FALSE))</f>
        <v/>
      </c>
      <c r="D957" t="str">
        <f>IF(ISBLANK(VLOOKUP($A957,'Entry data'!$A:$K,4,FALSE)),"",VLOOKUP($A957,'Entry data'!$A:$K,4,FALSE))</f>
        <v/>
      </c>
      <c r="E957" t="str">
        <f>IF(ISBLANK(VLOOKUP($A957,'Entry data'!$A:$K,5,FALSE)),"",VLOOKUP($A957,'Entry data'!$A:$K,5,FALSE))</f>
        <v/>
      </c>
      <c r="F957" t="str">
        <f>IF(ISBLANK(VLOOKUP($A957,'Entry data'!$A:$K,6,FALSE)),"",VLOOKUP($A957,'Entry data'!$A:$K,6,FALSE))</f>
        <v/>
      </c>
      <c r="G957" t="str">
        <f>IF(ISBLANK(VLOOKUP($A957,'Entry data'!$A:$K,7,FALSE)),"",VLOOKUP($A957,'Entry data'!$A:$K,7,FALSE))</f>
        <v/>
      </c>
      <c r="H957" t="str">
        <f>IF(ISBLANK(VLOOKUP($A957,'Entry data'!$A:$K,8,FALSE)),"",VLOOKUP($A957,'Entry data'!$A:$K,8,FALSE))</f>
        <v/>
      </c>
      <c r="I957" t="str">
        <f>IF(ISBLANK(VLOOKUP($A957,'Entry data'!$A:$K,9,FALSE)),"",VLOOKUP($A957,'Entry data'!$A:$K,9,FALSE))</f>
        <v/>
      </c>
      <c r="J957" t="str">
        <f>IF(ISBLANK(VLOOKUP($A957,'Entry data'!$A:$K,10,FALSE)),"",VLOOKUP($A957,'Entry data'!$A:$K,10,FALSE))</f>
        <v/>
      </c>
      <c r="K957" t="str">
        <f>IF(ISBLANK(VLOOKUP($A957,'Entry data'!$A:$K,11,FALSE)),"",VLOOKUP($A957,'Entry data'!$A:$K,11,FALSE))</f>
        <v/>
      </c>
      <c r="L957">
        <f>IF(OR(EXACT(D957,"C"),EXACT(D957,"P"),EXACT(D957,"D"),EXACT(D957,"T"),EXACT(D957,"X"),EXACT(E957,"DZF"),EXACT(E957,"OZF"),EXACT(D957,"N"),EXACT(D957,"F")),1,0)</f>
        <v>0</v>
      </c>
      <c r="M957" t="str">
        <f t="shared" si="56"/>
        <v/>
      </c>
      <c r="N957">
        <f t="shared" si="57"/>
        <v>0</v>
      </c>
      <c r="O957">
        <f t="shared" si="58"/>
        <v>0</v>
      </c>
      <c r="P957" t="str">
        <f t="shared" si="59"/>
        <v/>
      </c>
    </row>
    <row r="958" spans="1:16" x14ac:dyDescent="0.25">
      <c r="A958">
        <v>457</v>
      </c>
      <c r="B958" t="str">
        <f>IF(ISBLANK(VLOOKUP($A958,'Entry data'!$A:$K,2,FALSE)),"",VLOOKUP($A958,'Entry data'!$A:$K,2,FALSE))</f>
        <v/>
      </c>
      <c r="C958" t="str">
        <f>IF(ISBLANK(VLOOKUP($A958,'Entry data'!$A:$K,3,FALSE)),"",VLOOKUP($A958,'Entry data'!$A:$K,3,FALSE))</f>
        <v/>
      </c>
      <c r="D958" t="str">
        <f>IF(ISBLANK(VLOOKUP($A958,'Entry data'!$A:$K,4,FALSE)),"",VLOOKUP($A958,'Entry data'!$A:$K,4,FALSE))</f>
        <v/>
      </c>
      <c r="E958" t="str">
        <f>IF(ISBLANK(VLOOKUP($A958,'Entry data'!$A:$K,5,FALSE)),"",VLOOKUP($A958,'Entry data'!$A:$K,5,FALSE))</f>
        <v/>
      </c>
      <c r="F958" t="str">
        <f>IF(ISBLANK(VLOOKUP($A958,'Entry data'!$A:$K,6,FALSE)),"",VLOOKUP($A958,'Entry data'!$A:$K,6,FALSE))</f>
        <v/>
      </c>
      <c r="G958" t="str">
        <f>IF(ISBLANK(VLOOKUP($A958,'Entry data'!$A:$K,7,FALSE)),"",VLOOKUP($A958,'Entry data'!$A:$K,7,FALSE))</f>
        <v/>
      </c>
      <c r="H958" t="str">
        <f>IF(ISBLANK(VLOOKUP($A958,'Entry data'!$A:$K,8,FALSE)),"",VLOOKUP($A958,'Entry data'!$A:$K,8,FALSE))</f>
        <v/>
      </c>
      <c r="I958" t="str">
        <f>IF(ISBLANK(VLOOKUP($A958,'Entry data'!$A:$K,9,FALSE)),"",VLOOKUP($A958,'Entry data'!$A:$K,9,FALSE))</f>
        <v/>
      </c>
      <c r="J958" t="str">
        <f>IF(ISBLANK(VLOOKUP($A958,'Entry data'!$A:$K,10,FALSE)),"",VLOOKUP($A958,'Entry data'!$A:$K,10,FALSE))</f>
        <v/>
      </c>
      <c r="K958" t="str">
        <f>IF(ISBLANK(VLOOKUP($A958,'Entry data'!$A:$K,11,FALSE)),"",VLOOKUP($A958,'Entry data'!$A:$K,11,FALSE))</f>
        <v/>
      </c>
      <c r="L958">
        <f>IF(OR(EXACT(D958,"C"),EXACT(D958,"P"),EXACT(D958,"D"),EXACT(D958,"T"),EXACT(D958,"X"),EXACT(E958,"DZF"),EXACT(E958,"OZF"),EXACT(D958,"N"),EXACT(D958,"F")),1,0)</f>
        <v>0</v>
      </c>
      <c r="M958" t="str">
        <f t="shared" si="56"/>
        <v/>
      </c>
      <c r="N958">
        <f t="shared" si="57"/>
        <v>0</v>
      </c>
      <c r="O958">
        <f t="shared" si="58"/>
        <v>0</v>
      </c>
      <c r="P958" t="str">
        <f t="shared" si="59"/>
        <v/>
      </c>
    </row>
    <row r="959" spans="1:16" x14ac:dyDescent="0.25">
      <c r="A959">
        <v>458</v>
      </c>
      <c r="B959" t="str">
        <f>IF(ISBLANK(VLOOKUP($A959,'Entry data'!$A:$K,2,FALSE)),"",VLOOKUP($A959,'Entry data'!$A:$K,2,FALSE))</f>
        <v/>
      </c>
      <c r="C959" t="str">
        <f>IF(ISBLANK(VLOOKUP($A959,'Entry data'!$A:$K,3,FALSE)),"",VLOOKUP($A959,'Entry data'!$A:$K,3,FALSE))</f>
        <v/>
      </c>
      <c r="D959" t="str">
        <f>IF(ISBLANK(VLOOKUP($A959,'Entry data'!$A:$K,4,FALSE)),"",VLOOKUP($A959,'Entry data'!$A:$K,4,FALSE))</f>
        <v/>
      </c>
      <c r="E959" t="str">
        <f>IF(ISBLANK(VLOOKUP($A959,'Entry data'!$A:$K,5,FALSE)),"",VLOOKUP($A959,'Entry data'!$A:$K,5,FALSE))</f>
        <v/>
      </c>
      <c r="F959" t="str">
        <f>IF(ISBLANK(VLOOKUP($A959,'Entry data'!$A:$K,6,FALSE)),"",VLOOKUP($A959,'Entry data'!$A:$K,6,FALSE))</f>
        <v/>
      </c>
      <c r="G959" t="str">
        <f>IF(ISBLANK(VLOOKUP($A959,'Entry data'!$A:$K,7,FALSE)),"",VLOOKUP($A959,'Entry data'!$A:$K,7,FALSE))</f>
        <v/>
      </c>
      <c r="H959" t="str">
        <f>IF(ISBLANK(VLOOKUP($A959,'Entry data'!$A:$K,8,FALSE)),"",VLOOKUP($A959,'Entry data'!$A:$K,8,FALSE))</f>
        <v/>
      </c>
      <c r="I959" t="str">
        <f>IF(ISBLANK(VLOOKUP($A959,'Entry data'!$A:$K,9,FALSE)),"",VLOOKUP($A959,'Entry data'!$A:$K,9,FALSE))</f>
        <v/>
      </c>
      <c r="J959" t="str">
        <f>IF(ISBLANK(VLOOKUP($A959,'Entry data'!$A:$K,10,FALSE)),"",VLOOKUP($A959,'Entry data'!$A:$K,10,FALSE))</f>
        <v/>
      </c>
      <c r="K959" t="str">
        <f>IF(ISBLANK(VLOOKUP($A959,'Entry data'!$A:$K,11,FALSE)),"",VLOOKUP($A959,'Entry data'!$A:$K,11,FALSE))</f>
        <v/>
      </c>
      <c r="L959">
        <f>IF(OR(EXACT(D959,"C"),EXACT(D959,"P"),EXACT(D959,"D"),EXACT(D959,"T"),EXACT(D959,"X"),EXACT(E959,"DZF"),EXACT(E959,"OZF"),EXACT(D959,"N"),EXACT(D959,"F")),1,0)</f>
        <v>0</v>
      </c>
      <c r="M959" t="str">
        <f t="shared" si="56"/>
        <v/>
      </c>
      <c r="N959">
        <f t="shared" si="57"/>
        <v>0</v>
      </c>
      <c r="O959">
        <f t="shared" si="58"/>
        <v>0</v>
      </c>
      <c r="P959" t="str">
        <f t="shared" si="59"/>
        <v/>
      </c>
    </row>
    <row r="960" spans="1:16" x14ac:dyDescent="0.25">
      <c r="A960">
        <v>459</v>
      </c>
      <c r="B960" t="str">
        <f>IF(ISBLANK(VLOOKUP($A960,'Entry data'!$A:$K,2,FALSE)),"",VLOOKUP($A960,'Entry data'!$A:$K,2,FALSE))</f>
        <v/>
      </c>
      <c r="C960" t="str">
        <f>IF(ISBLANK(VLOOKUP($A960,'Entry data'!$A:$K,3,FALSE)),"",VLOOKUP($A960,'Entry data'!$A:$K,3,FALSE))</f>
        <v/>
      </c>
      <c r="D960" t="str">
        <f>IF(ISBLANK(VLOOKUP($A960,'Entry data'!$A:$K,4,FALSE)),"",VLOOKUP($A960,'Entry data'!$A:$K,4,FALSE))</f>
        <v/>
      </c>
      <c r="E960" t="str">
        <f>IF(ISBLANK(VLOOKUP($A960,'Entry data'!$A:$K,5,FALSE)),"",VLOOKUP($A960,'Entry data'!$A:$K,5,FALSE))</f>
        <v/>
      </c>
      <c r="F960" t="str">
        <f>IF(ISBLANK(VLOOKUP($A960,'Entry data'!$A:$K,6,FALSE)),"",VLOOKUP($A960,'Entry data'!$A:$K,6,FALSE))</f>
        <v/>
      </c>
      <c r="G960" t="str">
        <f>IF(ISBLANK(VLOOKUP($A960,'Entry data'!$A:$K,7,FALSE)),"",VLOOKUP($A960,'Entry data'!$A:$K,7,FALSE))</f>
        <v/>
      </c>
      <c r="H960" t="str">
        <f>IF(ISBLANK(VLOOKUP($A960,'Entry data'!$A:$K,8,FALSE)),"",VLOOKUP($A960,'Entry data'!$A:$K,8,FALSE))</f>
        <v/>
      </c>
      <c r="I960" t="str">
        <f>IF(ISBLANK(VLOOKUP($A960,'Entry data'!$A:$K,9,FALSE)),"",VLOOKUP($A960,'Entry data'!$A:$K,9,FALSE))</f>
        <v/>
      </c>
      <c r="J960" t="str">
        <f>IF(ISBLANK(VLOOKUP($A960,'Entry data'!$A:$K,10,FALSE)),"",VLOOKUP($A960,'Entry data'!$A:$K,10,FALSE))</f>
        <v/>
      </c>
      <c r="K960" t="str">
        <f>IF(ISBLANK(VLOOKUP($A960,'Entry data'!$A:$K,11,FALSE)),"",VLOOKUP($A960,'Entry data'!$A:$K,11,FALSE))</f>
        <v/>
      </c>
      <c r="L960">
        <f>IF(OR(EXACT(D960,"C"),EXACT(D960,"P"),EXACT(D960,"D"),EXACT(D960,"T"),EXACT(D960,"X"),EXACT(E960,"DZF"),EXACT(E960,"OZF"),EXACT(D960,"N"),EXACT(D960,"F")),1,0)</f>
        <v>0</v>
      </c>
      <c r="M960" t="str">
        <f t="shared" si="56"/>
        <v/>
      </c>
      <c r="N960">
        <f t="shared" si="57"/>
        <v>0</v>
      </c>
      <c r="O960">
        <f t="shared" si="58"/>
        <v>0</v>
      </c>
      <c r="P960" t="str">
        <f t="shared" si="59"/>
        <v/>
      </c>
    </row>
    <row r="961" spans="1:16" x14ac:dyDescent="0.25">
      <c r="A961">
        <v>460</v>
      </c>
      <c r="B961" t="str">
        <f>IF(ISBLANK(VLOOKUP($A961,'Entry data'!$A:$K,2,FALSE)),"",VLOOKUP($A961,'Entry data'!$A:$K,2,FALSE))</f>
        <v/>
      </c>
      <c r="C961" t="str">
        <f>IF(ISBLANK(VLOOKUP($A961,'Entry data'!$A:$K,3,FALSE)),"",VLOOKUP($A961,'Entry data'!$A:$K,3,FALSE))</f>
        <v/>
      </c>
      <c r="D961" t="str">
        <f>IF(ISBLANK(VLOOKUP($A961,'Entry data'!$A:$K,4,FALSE)),"",VLOOKUP($A961,'Entry data'!$A:$K,4,FALSE))</f>
        <v/>
      </c>
      <c r="E961" t="str">
        <f>IF(ISBLANK(VLOOKUP($A961,'Entry data'!$A:$K,5,FALSE)),"",VLOOKUP($A961,'Entry data'!$A:$K,5,FALSE))</f>
        <v/>
      </c>
      <c r="F961" t="str">
        <f>IF(ISBLANK(VLOOKUP($A961,'Entry data'!$A:$K,6,FALSE)),"",VLOOKUP($A961,'Entry data'!$A:$K,6,FALSE))</f>
        <v/>
      </c>
      <c r="G961" t="str">
        <f>IF(ISBLANK(VLOOKUP($A961,'Entry data'!$A:$K,7,FALSE)),"",VLOOKUP($A961,'Entry data'!$A:$K,7,FALSE))</f>
        <v/>
      </c>
      <c r="H961" t="str">
        <f>IF(ISBLANK(VLOOKUP($A961,'Entry data'!$A:$K,8,FALSE)),"",VLOOKUP($A961,'Entry data'!$A:$K,8,FALSE))</f>
        <v/>
      </c>
      <c r="I961" t="str">
        <f>IF(ISBLANK(VLOOKUP($A961,'Entry data'!$A:$K,9,FALSE)),"",VLOOKUP($A961,'Entry data'!$A:$K,9,FALSE))</f>
        <v/>
      </c>
      <c r="J961" t="str">
        <f>IF(ISBLANK(VLOOKUP($A961,'Entry data'!$A:$K,10,FALSE)),"",VLOOKUP($A961,'Entry data'!$A:$K,10,FALSE))</f>
        <v/>
      </c>
      <c r="K961" t="str">
        <f>IF(ISBLANK(VLOOKUP($A961,'Entry data'!$A:$K,11,FALSE)),"",VLOOKUP($A961,'Entry data'!$A:$K,11,FALSE))</f>
        <v/>
      </c>
      <c r="L961">
        <f>IF(OR(EXACT(D961,"C"),EXACT(D961,"P"),EXACT(D961,"D"),EXACT(D961,"T"),EXACT(D961,"X"),EXACT(E961,"DZF"),EXACT(E961,"OZF"),EXACT(D961,"N"),EXACT(D961,"F")),1,0)</f>
        <v>0</v>
      </c>
      <c r="M961" t="str">
        <f t="shared" si="56"/>
        <v/>
      </c>
      <c r="N961">
        <f t="shared" si="57"/>
        <v>0</v>
      </c>
      <c r="O961">
        <f t="shared" si="58"/>
        <v>0</v>
      </c>
      <c r="P961" t="str">
        <f t="shared" si="59"/>
        <v/>
      </c>
    </row>
    <row r="962" spans="1:16" x14ac:dyDescent="0.25">
      <c r="A962">
        <v>461</v>
      </c>
      <c r="B962" t="str">
        <f>IF(ISBLANK(VLOOKUP($A962,'Entry data'!$A:$K,2,FALSE)),"",VLOOKUP($A962,'Entry data'!$A:$K,2,FALSE))</f>
        <v/>
      </c>
      <c r="C962" t="str">
        <f>IF(ISBLANK(VLOOKUP($A962,'Entry data'!$A:$K,3,FALSE)),"",VLOOKUP($A962,'Entry data'!$A:$K,3,FALSE))</f>
        <v/>
      </c>
      <c r="D962" t="str">
        <f>IF(ISBLANK(VLOOKUP($A962,'Entry data'!$A:$K,4,FALSE)),"",VLOOKUP($A962,'Entry data'!$A:$K,4,FALSE))</f>
        <v/>
      </c>
      <c r="E962" t="str">
        <f>IF(ISBLANK(VLOOKUP($A962,'Entry data'!$A:$K,5,FALSE)),"",VLOOKUP($A962,'Entry data'!$A:$K,5,FALSE))</f>
        <v/>
      </c>
      <c r="F962" t="str">
        <f>IF(ISBLANK(VLOOKUP($A962,'Entry data'!$A:$K,6,FALSE)),"",VLOOKUP($A962,'Entry data'!$A:$K,6,FALSE))</f>
        <v/>
      </c>
      <c r="G962" t="str">
        <f>IF(ISBLANK(VLOOKUP($A962,'Entry data'!$A:$K,7,FALSE)),"",VLOOKUP($A962,'Entry data'!$A:$K,7,FALSE))</f>
        <v/>
      </c>
      <c r="H962" t="str">
        <f>IF(ISBLANK(VLOOKUP($A962,'Entry data'!$A:$K,8,FALSE)),"",VLOOKUP($A962,'Entry data'!$A:$K,8,FALSE))</f>
        <v/>
      </c>
      <c r="I962" t="str">
        <f>IF(ISBLANK(VLOOKUP($A962,'Entry data'!$A:$K,9,FALSE)),"",VLOOKUP($A962,'Entry data'!$A:$K,9,FALSE))</f>
        <v/>
      </c>
      <c r="J962" t="str">
        <f>IF(ISBLANK(VLOOKUP($A962,'Entry data'!$A:$K,10,FALSE)),"",VLOOKUP($A962,'Entry data'!$A:$K,10,FALSE))</f>
        <v/>
      </c>
      <c r="K962" t="str">
        <f>IF(ISBLANK(VLOOKUP($A962,'Entry data'!$A:$K,11,FALSE)),"",VLOOKUP($A962,'Entry data'!$A:$K,11,FALSE))</f>
        <v/>
      </c>
      <c r="L962">
        <f>IF(OR(EXACT(D962,"C"),EXACT(D962,"P"),EXACT(D962,"D"),EXACT(D962,"T"),EXACT(D962,"X"),EXACT(E962,"DZF"),EXACT(E962,"OZF"),EXACT(D962,"N"),EXACT(D962,"F")),1,0)</f>
        <v>0</v>
      </c>
      <c r="M962" t="str">
        <f t="shared" ref="M962:M1001" si="60">IF(OR(EXACT(D962,"C"),EXACT(D962,"P")),E962,"")</f>
        <v/>
      </c>
      <c r="N962">
        <f t="shared" ref="N962:N1001" si="61">IF(OR(EXACT(D962,"GOAL"),EXACT(D962,"SHOT"),EXACT(D962,"MISS")),1,0)+IF(L963=0,N963,0)</f>
        <v>0</v>
      </c>
      <c r="O962">
        <f t="shared" ref="O962:O1001" si="62">IF(EXACT(D962,"GOAL"),1,0)+IF(L963=0,O963,0)</f>
        <v>0</v>
      </c>
      <c r="P962" t="str">
        <f t="shared" si="59"/>
        <v/>
      </c>
    </row>
    <row r="963" spans="1:16" x14ac:dyDescent="0.25">
      <c r="A963">
        <v>462</v>
      </c>
      <c r="B963" t="str">
        <f>IF(ISBLANK(VLOOKUP($A963,'Entry data'!$A:$K,2,FALSE)),"",VLOOKUP($A963,'Entry data'!$A:$K,2,FALSE))</f>
        <v/>
      </c>
      <c r="C963" t="str">
        <f>IF(ISBLANK(VLOOKUP($A963,'Entry data'!$A:$K,3,FALSE)),"",VLOOKUP($A963,'Entry data'!$A:$K,3,FALSE))</f>
        <v/>
      </c>
      <c r="D963" t="str">
        <f>IF(ISBLANK(VLOOKUP($A963,'Entry data'!$A:$K,4,FALSE)),"",VLOOKUP($A963,'Entry data'!$A:$K,4,FALSE))</f>
        <v/>
      </c>
      <c r="E963" t="str">
        <f>IF(ISBLANK(VLOOKUP($A963,'Entry data'!$A:$K,5,FALSE)),"",VLOOKUP($A963,'Entry data'!$A:$K,5,FALSE))</f>
        <v/>
      </c>
      <c r="F963" t="str">
        <f>IF(ISBLANK(VLOOKUP($A963,'Entry data'!$A:$K,6,FALSE)),"",VLOOKUP($A963,'Entry data'!$A:$K,6,FALSE))</f>
        <v/>
      </c>
      <c r="G963" t="str">
        <f>IF(ISBLANK(VLOOKUP($A963,'Entry data'!$A:$K,7,FALSE)),"",VLOOKUP($A963,'Entry data'!$A:$K,7,FALSE))</f>
        <v/>
      </c>
      <c r="H963" t="str">
        <f>IF(ISBLANK(VLOOKUP($A963,'Entry data'!$A:$K,8,FALSE)),"",VLOOKUP($A963,'Entry data'!$A:$K,8,FALSE))</f>
        <v/>
      </c>
      <c r="I963" t="str">
        <f>IF(ISBLANK(VLOOKUP($A963,'Entry data'!$A:$K,9,FALSE)),"",VLOOKUP($A963,'Entry data'!$A:$K,9,FALSE))</f>
        <v/>
      </c>
      <c r="J963" t="str">
        <f>IF(ISBLANK(VLOOKUP($A963,'Entry data'!$A:$K,10,FALSE)),"",VLOOKUP($A963,'Entry data'!$A:$K,10,FALSE))</f>
        <v/>
      </c>
      <c r="K963" t="str">
        <f>IF(ISBLANK(VLOOKUP($A963,'Entry data'!$A:$K,11,FALSE)),"",VLOOKUP($A963,'Entry data'!$A:$K,11,FALSE))</f>
        <v/>
      </c>
      <c r="L963">
        <f>IF(OR(EXACT(D963,"C"),EXACT(D963,"P"),EXACT(D963,"D"),EXACT(D963,"T"),EXACT(D963,"X"),EXACT(E963,"DZF"),EXACT(E963,"OZF"),EXACT(D963,"N"),EXACT(D963,"F")),1,0)</f>
        <v>0</v>
      </c>
      <c r="M963" t="str">
        <f t="shared" si="60"/>
        <v/>
      </c>
      <c r="N963">
        <f t="shared" si="61"/>
        <v>0</v>
      </c>
      <c r="O963">
        <f t="shared" si="62"/>
        <v>0</v>
      </c>
      <c r="P963" t="str">
        <f t="shared" ref="P963:P1001" si="63">IF(EXACT(D963,"F"),E963,"")</f>
        <v/>
      </c>
    </row>
    <row r="964" spans="1:16" x14ac:dyDescent="0.25">
      <c r="A964">
        <v>463</v>
      </c>
      <c r="B964" t="str">
        <f>IF(ISBLANK(VLOOKUP($A964,'Entry data'!$A:$K,2,FALSE)),"",VLOOKUP($A964,'Entry data'!$A:$K,2,FALSE))</f>
        <v/>
      </c>
      <c r="C964" t="str">
        <f>IF(ISBLANK(VLOOKUP($A964,'Entry data'!$A:$K,3,FALSE)),"",VLOOKUP($A964,'Entry data'!$A:$K,3,FALSE))</f>
        <v/>
      </c>
      <c r="D964" t="str">
        <f>IF(ISBLANK(VLOOKUP($A964,'Entry data'!$A:$K,4,FALSE)),"",VLOOKUP($A964,'Entry data'!$A:$K,4,FALSE))</f>
        <v/>
      </c>
      <c r="E964" t="str">
        <f>IF(ISBLANK(VLOOKUP($A964,'Entry data'!$A:$K,5,FALSE)),"",VLOOKUP($A964,'Entry data'!$A:$K,5,FALSE))</f>
        <v/>
      </c>
      <c r="F964" t="str">
        <f>IF(ISBLANK(VLOOKUP($A964,'Entry data'!$A:$K,6,FALSE)),"",VLOOKUP($A964,'Entry data'!$A:$K,6,FALSE))</f>
        <v/>
      </c>
      <c r="G964" t="str">
        <f>IF(ISBLANK(VLOOKUP($A964,'Entry data'!$A:$K,7,FALSE)),"",VLOOKUP($A964,'Entry data'!$A:$K,7,FALSE))</f>
        <v/>
      </c>
      <c r="H964" t="str">
        <f>IF(ISBLANK(VLOOKUP($A964,'Entry data'!$A:$K,8,FALSE)),"",VLOOKUP($A964,'Entry data'!$A:$K,8,FALSE))</f>
        <v/>
      </c>
      <c r="I964" t="str">
        <f>IF(ISBLANK(VLOOKUP($A964,'Entry data'!$A:$K,9,FALSE)),"",VLOOKUP($A964,'Entry data'!$A:$K,9,FALSE))</f>
        <v/>
      </c>
      <c r="J964" t="str">
        <f>IF(ISBLANK(VLOOKUP($A964,'Entry data'!$A:$K,10,FALSE)),"",VLOOKUP($A964,'Entry data'!$A:$K,10,FALSE))</f>
        <v/>
      </c>
      <c r="K964" t="str">
        <f>IF(ISBLANK(VLOOKUP($A964,'Entry data'!$A:$K,11,FALSE)),"",VLOOKUP($A964,'Entry data'!$A:$K,11,FALSE))</f>
        <v/>
      </c>
      <c r="L964">
        <f>IF(OR(EXACT(D964,"C"),EXACT(D964,"P"),EXACT(D964,"D"),EXACT(D964,"T"),EXACT(D964,"X"),EXACT(E964,"DZF"),EXACT(E964,"OZF"),EXACT(D964,"N"),EXACT(D964,"F")),1,0)</f>
        <v>0</v>
      </c>
      <c r="M964" t="str">
        <f t="shared" si="60"/>
        <v/>
      </c>
      <c r="N964">
        <f t="shared" si="61"/>
        <v>0</v>
      </c>
      <c r="O964">
        <f t="shared" si="62"/>
        <v>0</v>
      </c>
      <c r="P964" t="str">
        <f t="shared" si="63"/>
        <v/>
      </c>
    </row>
    <row r="965" spans="1:16" x14ac:dyDescent="0.25">
      <c r="A965">
        <v>464</v>
      </c>
      <c r="B965" t="str">
        <f>IF(ISBLANK(VLOOKUP($A965,'Entry data'!$A:$K,2,FALSE)),"",VLOOKUP($A965,'Entry data'!$A:$K,2,FALSE))</f>
        <v/>
      </c>
      <c r="C965" t="str">
        <f>IF(ISBLANK(VLOOKUP($A965,'Entry data'!$A:$K,3,FALSE)),"",VLOOKUP($A965,'Entry data'!$A:$K,3,FALSE))</f>
        <v/>
      </c>
      <c r="D965" t="str">
        <f>IF(ISBLANK(VLOOKUP($A965,'Entry data'!$A:$K,4,FALSE)),"",VLOOKUP($A965,'Entry data'!$A:$K,4,FALSE))</f>
        <v/>
      </c>
      <c r="E965" t="str">
        <f>IF(ISBLANK(VLOOKUP($A965,'Entry data'!$A:$K,5,FALSE)),"",VLOOKUP($A965,'Entry data'!$A:$K,5,FALSE))</f>
        <v/>
      </c>
      <c r="F965" t="str">
        <f>IF(ISBLANK(VLOOKUP($A965,'Entry data'!$A:$K,6,FALSE)),"",VLOOKUP($A965,'Entry data'!$A:$K,6,FALSE))</f>
        <v/>
      </c>
      <c r="G965" t="str">
        <f>IF(ISBLANK(VLOOKUP($A965,'Entry data'!$A:$K,7,FALSE)),"",VLOOKUP($A965,'Entry data'!$A:$K,7,FALSE))</f>
        <v/>
      </c>
      <c r="H965" t="str">
        <f>IF(ISBLANK(VLOOKUP($A965,'Entry data'!$A:$K,8,FALSE)),"",VLOOKUP($A965,'Entry data'!$A:$K,8,FALSE))</f>
        <v/>
      </c>
      <c r="I965" t="str">
        <f>IF(ISBLANK(VLOOKUP($A965,'Entry data'!$A:$K,9,FALSE)),"",VLOOKUP($A965,'Entry data'!$A:$K,9,FALSE))</f>
        <v/>
      </c>
      <c r="J965" t="str">
        <f>IF(ISBLANK(VLOOKUP($A965,'Entry data'!$A:$K,10,FALSE)),"",VLOOKUP($A965,'Entry data'!$A:$K,10,FALSE))</f>
        <v/>
      </c>
      <c r="K965" t="str">
        <f>IF(ISBLANK(VLOOKUP($A965,'Entry data'!$A:$K,11,FALSE)),"",VLOOKUP($A965,'Entry data'!$A:$K,11,FALSE))</f>
        <v/>
      </c>
      <c r="L965">
        <f>IF(OR(EXACT(D965,"C"),EXACT(D965,"P"),EXACT(D965,"D"),EXACT(D965,"T"),EXACT(D965,"X"),EXACT(E965,"DZF"),EXACT(E965,"OZF"),EXACT(D965,"N"),EXACT(D965,"F")),1,0)</f>
        <v>0</v>
      </c>
      <c r="M965" t="str">
        <f t="shared" si="60"/>
        <v/>
      </c>
      <c r="N965">
        <f t="shared" si="61"/>
        <v>0</v>
      </c>
      <c r="O965">
        <f t="shared" si="62"/>
        <v>0</v>
      </c>
      <c r="P965" t="str">
        <f t="shared" si="63"/>
        <v/>
      </c>
    </row>
    <row r="966" spans="1:16" x14ac:dyDescent="0.25">
      <c r="A966">
        <v>465</v>
      </c>
      <c r="B966" t="str">
        <f>IF(ISBLANK(VLOOKUP($A966,'Entry data'!$A:$K,2,FALSE)),"",VLOOKUP($A966,'Entry data'!$A:$K,2,FALSE))</f>
        <v/>
      </c>
      <c r="C966" t="str">
        <f>IF(ISBLANK(VLOOKUP($A966,'Entry data'!$A:$K,3,FALSE)),"",VLOOKUP($A966,'Entry data'!$A:$K,3,FALSE))</f>
        <v/>
      </c>
      <c r="D966" t="str">
        <f>IF(ISBLANK(VLOOKUP($A966,'Entry data'!$A:$K,4,FALSE)),"",VLOOKUP($A966,'Entry data'!$A:$K,4,FALSE))</f>
        <v/>
      </c>
      <c r="E966" t="str">
        <f>IF(ISBLANK(VLOOKUP($A966,'Entry data'!$A:$K,5,FALSE)),"",VLOOKUP($A966,'Entry data'!$A:$K,5,FALSE))</f>
        <v/>
      </c>
      <c r="F966" t="str">
        <f>IF(ISBLANK(VLOOKUP($A966,'Entry data'!$A:$K,6,FALSE)),"",VLOOKUP($A966,'Entry data'!$A:$K,6,FALSE))</f>
        <v/>
      </c>
      <c r="G966" t="str">
        <f>IF(ISBLANK(VLOOKUP($A966,'Entry data'!$A:$K,7,FALSE)),"",VLOOKUP($A966,'Entry data'!$A:$K,7,FALSE))</f>
        <v/>
      </c>
      <c r="H966" t="str">
        <f>IF(ISBLANK(VLOOKUP($A966,'Entry data'!$A:$K,8,FALSE)),"",VLOOKUP($A966,'Entry data'!$A:$K,8,FALSE))</f>
        <v/>
      </c>
      <c r="I966" t="str">
        <f>IF(ISBLANK(VLOOKUP($A966,'Entry data'!$A:$K,9,FALSE)),"",VLOOKUP($A966,'Entry data'!$A:$K,9,FALSE))</f>
        <v/>
      </c>
      <c r="J966" t="str">
        <f>IF(ISBLANK(VLOOKUP($A966,'Entry data'!$A:$K,10,FALSE)),"",VLOOKUP($A966,'Entry data'!$A:$K,10,FALSE))</f>
        <v/>
      </c>
      <c r="K966" t="str">
        <f>IF(ISBLANK(VLOOKUP($A966,'Entry data'!$A:$K,11,FALSE)),"",VLOOKUP($A966,'Entry data'!$A:$K,11,FALSE))</f>
        <v/>
      </c>
      <c r="L966">
        <f>IF(OR(EXACT(D966,"C"),EXACT(D966,"P"),EXACT(D966,"D"),EXACT(D966,"T"),EXACT(D966,"X"),EXACT(E966,"DZF"),EXACT(E966,"OZF"),EXACT(D966,"N"),EXACT(D966,"F")),1,0)</f>
        <v>0</v>
      </c>
      <c r="M966" t="str">
        <f t="shared" si="60"/>
        <v/>
      </c>
      <c r="N966">
        <f t="shared" si="61"/>
        <v>0</v>
      </c>
      <c r="O966">
        <f t="shared" si="62"/>
        <v>0</v>
      </c>
      <c r="P966" t="str">
        <f t="shared" si="63"/>
        <v/>
      </c>
    </row>
    <row r="967" spans="1:16" x14ac:dyDescent="0.25">
      <c r="A967">
        <v>466</v>
      </c>
      <c r="B967" t="str">
        <f>IF(ISBLANK(VLOOKUP($A967,'Entry data'!$A:$K,2,FALSE)),"",VLOOKUP($A967,'Entry data'!$A:$K,2,FALSE))</f>
        <v/>
      </c>
      <c r="C967" t="str">
        <f>IF(ISBLANK(VLOOKUP($A967,'Entry data'!$A:$K,3,FALSE)),"",VLOOKUP($A967,'Entry data'!$A:$K,3,FALSE))</f>
        <v/>
      </c>
      <c r="D967" t="str">
        <f>IF(ISBLANK(VLOOKUP($A967,'Entry data'!$A:$K,4,FALSE)),"",VLOOKUP($A967,'Entry data'!$A:$K,4,FALSE))</f>
        <v/>
      </c>
      <c r="E967" t="str">
        <f>IF(ISBLANK(VLOOKUP($A967,'Entry data'!$A:$K,5,FALSE)),"",VLOOKUP($A967,'Entry data'!$A:$K,5,FALSE))</f>
        <v/>
      </c>
      <c r="F967" t="str">
        <f>IF(ISBLANK(VLOOKUP($A967,'Entry data'!$A:$K,6,FALSE)),"",VLOOKUP($A967,'Entry data'!$A:$K,6,FALSE))</f>
        <v/>
      </c>
      <c r="G967" t="str">
        <f>IF(ISBLANK(VLOOKUP($A967,'Entry data'!$A:$K,7,FALSE)),"",VLOOKUP($A967,'Entry data'!$A:$K,7,FALSE))</f>
        <v/>
      </c>
      <c r="H967" t="str">
        <f>IF(ISBLANK(VLOOKUP($A967,'Entry data'!$A:$K,8,FALSE)),"",VLOOKUP($A967,'Entry data'!$A:$K,8,FALSE))</f>
        <v/>
      </c>
      <c r="I967" t="str">
        <f>IF(ISBLANK(VLOOKUP($A967,'Entry data'!$A:$K,9,FALSE)),"",VLOOKUP($A967,'Entry data'!$A:$K,9,FALSE))</f>
        <v/>
      </c>
      <c r="J967" t="str">
        <f>IF(ISBLANK(VLOOKUP($A967,'Entry data'!$A:$K,10,FALSE)),"",VLOOKUP($A967,'Entry data'!$A:$K,10,FALSE))</f>
        <v/>
      </c>
      <c r="K967" t="str">
        <f>IF(ISBLANK(VLOOKUP($A967,'Entry data'!$A:$K,11,FALSE)),"",VLOOKUP($A967,'Entry data'!$A:$K,11,FALSE))</f>
        <v/>
      </c>
      <c r="L967">
        <f>IF(OR(EXACT(D967,"C"),EXACT(D967,"P"),EXACT(D967,"D"),EXACT(D967,"T"),EXACT(D967,"X"),EXACT(E967,"DZF"),EXACT(E967,"OZF"),EXACT(D967,"N"),EXACT(D967,"F")),1,0)</f>
        <v>0</v>
      </c>
      <c r="M967" t="str">
        <f t="shared" si="60"/>
        <v/>
      </c>
      <c r="N967">
        <f t="shared" si="61"/>
        <v>0</v>
      </c>
      <c r="O967">
        <f t="shared" si="62"/>
        <v>0</v>
      </c>
      <c r="P967" t="str">
        <f t="shared" si="63"/>
        <v/>
      </c>
    </row>
    <row r="968" spans="1:16" x14ac:dyDescent="0.25">
      <c r="A968">
        <v>467</v>
      </c>
      <c r="B968" t="str">
        <f>IF(ISBLANK(VLOOKUP($A968,'Entry data'!$A:$K,2,FALSE)),"",VLOOKUP($A968,'Entry data'!$A:$K,2,FALSE))</f>
        <v/>
      </c>
      <c r="C968" t="str">
        <f>IF(ISBLANK(VLOOKUP($A968,'Entry data'!$A:$K,3,FALSE)),"",VLOOKUP($A968,'Entry data'!$A:$K,3,FALSE))</f>
        <v/>
      </c>
      <c r="D968" t="str">
        <f>IF(ISBLANK(VLOOKUP($A968,'Entry data'!$A:$K,4,FALSE)),"",VLOOKUP($A968,'Entry data'!$A:$K,4,FALSE))</f>
        <v/>
      </c>
      <c r="E968" t="str">
        <f>IF(ISBLANK(VLOOKUP($A968,'Entry data'!$A:$K,5,FALSE)),"",VLOOKUP($A968,'Entry data'!$A:$K,5,FALSE))</f>
        <v/>
      </c>
      <c r="F968" t="str">
        <f>IF(ISBLANK(VLOOKUP($A968,'Entry data'!$A:$K,6,FALSE)),"",VLOOKUP($A968,'Entry data'!$A:$K,6,FALSE))</f>
        <v/>
      </c>
      <c r="G968" t="str">
        <f>IF(ISBLANK(VLOOKUP($A968,'Entry data'!$A:$K,7,FALSE)),"",VLOOKUP($A968,'Entry data'!$A:$K,7,FALSE))</f>
        <v/>
      </c>
      <c r="H968" t="str">
        <f>IF(ISBLANK(VLOOKUP($A968,'Entry data'!$A:$K,8,FALSE)),"",VLOOKUP($A968,'Entry data'!$A:$K,8,FALSE))</f>
        <v/>
      </c>
      <c r="I968" t="str">
        <f>IF(ISBLANK(VLOOKUP($A968,'Entry data'!$A:$K,9,FALSE)),"",VLOOKUP($A968,'Entry data'!$A:$K,9,FALSE))</f>
        <v/>
      </c>
      <c r="J968" t="str">
        <f>IF(ISBLANK(VLOOKUP($A968,'Entry data'!$A:$K,10,FALSE)),"",VLOOKUP($A968,'Entry data'!$A:$K,10,FALSE))</f>
        <v/>
      </c>
      <c r="K968" t="str">
        <f>IF(ISBLANK(VLOOKUP($A968,'Entry data'!$A:$K,11,FALSE)),"",VLOOKUP($A968,'Entry data'!$A:$K,11,FALSE))</f>
        <v/>
      </c>
      <c r="L968">
        <f>IF(OR(EXACT(D968,"C"),EXACT(D968,"P"),EXACT(D968,"D"),EXACT(D968,"T"),EXACT(D968,"X"),EXACT(E968,"DZF"),EXACT(E968,"OZF"),EXACT(D968,"N"),EXACT(D968,"F")),1,0)</f>
        <v>0</v>
      </c>
      <c r="M968" t="str">
        <f t="shared" si="60"/>
        <v/>
      </c>
      <c r="N968">
        <f t="shared" si="61"/>
        <v>0</v>
      </c>
      <c r="O968">
        <f t="shared" si="62"/>
        <v>0</v>
      </c>
      <c r="P968" t="str">
        <f t="shared" si="63"/>
        <v/>
      </c>
    </row>
    <row r="969" spans="1:16" x14ac:dyDescent="0.25">
      <c r="A969">
        <v>468</v>
      </c>
      <c r="B969" t="str">
        <f>IF(ISBLANK(VLOOKUP($A969,'Entry data'!$A:$K,2,FALSE)),"",VLOOKUP($A969,'Entry data'!$A:$K,2,FALSE))</f>
        <v/>
      </c>
      <c r="C969" t="str">
        <f>IF(ISBLANK(VLOOKUP($A969,'Entry data'!$A:$K,3,FALSE)),"",VLOOKUP($A969,'Entry data'!$A:$K,3,FALSE))</f>
        <v/>
      </c>
      <c r="D969" t="str">
        <f>IF(ISBLANK(VLOOKUP($A969,'Entry data'!$A:$K,4,FALSE)),"",VLOOKUP($A969,'Entry data'!$A:$K,4,FALSE))</f>
        <v/>
      </c>
      <c r="E969" t="str">
        <f>IF(ISBLANK(VLOOKUP($A969,'Entry data'!$A:$K,5,FALSE)),"",VLOOKUP($A969,'Entry data'!$A:$K,5,FALSE))</f>
        <v/>
      </c>
      <c r="F969" t="str">
        <f>IF(ISBLANK(VLOOKUP($A969,'Entry data'!$A:$K,6,FALSE)),"",VLOOKUP($A969,'Entry data'!$A:$K,6,FALSE))</f>
        <v/>
      </c>
      <c r="G969" t="str">
        <f>IF(ISBLANK(VLOOKUP($A969,'Entry data'!$A:$K,7,FALSE)),"",VLOOKUP($A969,'Entry data'!$A:$K,7,FALSE))</f>
        <v/>
      </c>
      <c r="H969" t="str">
        <f>IF(ISBLANK(VLOOKUP($A969,'Entry data'!$A:$K,8,FALSE)),"",VLOOKUP($A969,'Entry data'!$A:$K,8,FALSE))</f>
        <v/>
      </c>
      <c r="I969" t="str">
        <f>IF(ISBLANK(VLOOKUP($A969,'Entry data'!$A:$K,9,FALSE)),"",VLOOKUP($A969,'Entry data'!$A:$K,9,FALSE))</f>
        <v/>
      </c>
      <c r="J969" t="str">
        <f>IF(ISBLANK(VLOOKUP($A969,'Entry data'!$A:$K,10,FALSE)),"",VLOOKUP($A969,'Entry data'!$A:$K,10,FALSE))</f>
        <v/>
      </c>
      <c r="K969" t="str">
        <f>IF(ISBLANK(VLOOKUP($A969,'Entry data'!$A:$K,11,FALSE)),"",VLOOKUP($A969,'Entry data'!$A:$K,11,FALSE))</f>
        <v/>
      </c>
      <c r="L969">
        <f>IF(OR(EXACT(D969,"C"),EXACT(D969,"P"),EXACT(D969,"D"),EXACT(D969,"T"),EXACT(D969,"X"),EXACT(E969,"DZF"),EXACT(E969,"OZF"),EXACT(D969,"N"),EXACT(D969,"F")),1,0)</f>
        <v>0</v>
      </c>
      <c r="M969" t="str">
        <f t="shared" si="60"/>
        <v/>
      </c>
      <c r="N969">
        <f t="shared" si="61"/>
        <v>0</v>
      </c>
      <c r="O969">
        <f t="shared" si="62"/>
        <v>0</v>
      </c>
      <c r="P969" t="str">
        <f t="shared" si="63"/>
        <v/>
      </c>
    </row>
    <row r="970" spans="1:16" x14ac:dyDescent="0.25">
      <c r="A970">
        <v>469</v>
      </c>
      <c r="B970" t="str">
        <f>IF(ISBLANK(VLOOKUP($A970,'Entry data'!$A:$K,2,FALSE)),"",VLOOKUP($A970,'Entry data'!$A:$K,2,FALSE))</f>
        <v/>
      </c>
      <c r="C970" t="str">
        <f>IF(ISBLANK(VLOOKUP($A970,'Entry data'!$A:$K,3,FALSE)),"",VLOOKUP($A970,'Entry data'!$A:$K,3,FALSE))</f>
        <v/>
      </c>
      <c r="D970" t="str">
        <f>IF(ISBLANK(VLOOKUP($A970,'Entry data'!$A:$K,4,FALSE)),"",VLOOKUP($A970,'Entry data'!$A:$K,4,FALSE))</f>
        <v/>
      </c>
      <c r="E970" t="str">
        <f>IF(ISBLANK(VLOOKUP($A970,'Entry data'!$A:$K,5,FALSE)),"",VLOOKUP($A970,'Entry data'!$A:$K,5,FALSE))</f>
        <v/>
      </c>
      <c r="F970" t="str">
        <f>IF(ISBLANK(VLOOKUP($A970,'Entry data'!$A:$K,6,FALSE)),"",VLOOKUP($A970,'Entry data'!$A:$K,6,FALSE))</f>
        <v/>
      </c>
      <c r="G970" t="str">
        <f>IF(ISBLANK(VLOOKUP($A970,'Entry data'!$A:$K,7,FALSE)),"",VLOOKUP($A970,'Entry data'!$A:$K,7,FALSE))</f>
        <v/>
      </c>
      <c r="H970" t="str">
        <f>IF(ISBLANK(VLOOKUP($A970,'Entry data'!$A:$K,8,FALSE)),"",VLOOKUP($A970,'Entry data'!$A:$K,8,FALSE))</f>
        <v/>
      </c>
      <c r="I970" t="str">
        <f>IF(ISBLANK(VLOOKUP($A970,'Entry data'!$A:$K,9,FALSE)),"",VLOOKUP($A970,'Entry data'!$A:$K,9,FALSE))</f>
        <v/>
      </c>
      <c r="J970" t="str">
        <f>IF(ISBLANK(VLOOKUP($A970,'Entry data'!$A:$K,10,FALSE)),"",VLOOKUP($A970,'Entry data'!$A:$K,10,FALSE))</f>
        <v/>
      </c>
      <c r="K970" t="str">
        <f>IF(ISBLANK(VLOOKUP($A970,'Entry data'!$A:$K,11,FALSE)),"",VLOOKUP($A970,'Entry data'!$A:$K,11,FALSE))</f>
        <v/>
      </c>
      <c r="L970">
        <f>IF(OR(EXACT(D970,"C"),EXACT(D970,"P"),EXACT(D970,"D"),EXACT(D970,"T"),EXACT(D970,"X"),EXACT(E970,"DZF"),EXACT(E970,"OZF"),EXACT(D970,"N"),EXACT(D970,"F")),1,0)</f>
        <v>0</v>
      </c>
      <c r="M970" t="str">
        <f t="shared" si="60"/>
        <v/>
      </c>
      <c r="N970">
        <f t="shared" si="61"/>
        <v>0</v>
      </c>
      <c r="O970">
        <f t="shared" si="62"/>
        <v>0</v>
      </c>
      <c r="P970" t="str">
        <f t="shared" si="63"/>
        <v/>
      </c>
    </row>
    <row r="971" spans="1:16" x14ac:dyDescent="0.25">
      <c r="A971">
        <v>470</v>
      </c>
      <c r="B971" t="str">
        <f>IF(ISBLANK(VLOOKUP($A971,'Entry data'!$A:$K,2,FALSE)),"",VLOOKUP($A971,'Entry data'!$A:$K,2,FALSE))</f>
        <v/>
      </c>
      <c r="C971" t="str">
        <f>IF(ISBLANK(VLOOKUP($A971,'Entry data'!$A:$K,3,FALSE)),"",VLOOKUP($A971,'Entry data'!$A:$K,3,FALSE))</f>
        <v/>
      </c>
      <c r="D971" t="str">
        <f>IF(ISBLANK(VLOOKUP($A971,'Entry data'!$A:$K,4,FALSE)),"",VLOOKUP($A971,'Entry data'!$A:$K,4,FALSE))</f>
        <v/>
      </c>
      <c r="E971" t="str">
        <f>IF(ISBLANK(VLOOKUP($A971,'Entry data'!$A:$K,5,FALSE)),"",VLOOKUP($A971,'Entry data'!$A:$K,5,FALSE))</f>
        <v/>
      </c>
      <c r="F971" t="str">
        <f>IF(ISBLANK(VLOOKUP($A971,'Entry data'!$A:$K,6,FALSE)),"",VLOOKUP($A971,'Entry data'!$A:$K,6,FALSE))</f>
        <v/>
      </c>
      <c r="G971" t="str">
        <f>IF(ISBLANK(VLOOKUP($A971,'Entry data'!$A:$K,7,FALSE)),"",VLOOKUP($A971,'Entry data'!$A:$K,7,FALSE))</f>
        <v/>
      </c>
      <c r="H971" t="str">
        <f>IF(ISBLANK(VLOOKUP($A971,'Entry data'!$A:$K,8,FALSE)),"",VLOOKUP($A971,'Entry data'!$A:$K,8,FALSE))</f>
        <v/>
      </c>
      <c r="I971" t="str">
        <f>IF(ISBLANK(VLOOKUP($A971,'Entry data'!$A:$K,9,FALSE)),"",VLOOKUP($A971,'Entry data'!$A:$K,9,FALSE))</f>
        <v/>
      </c>
      <c r="J971" t="str">
        <f>IF(ISBLANK(VLOOKUP($A971,'Entry data'!$A:$K,10,FALSE)),"",VLOOKUP($A971,'Entry data'!$A:$K,10,FALSE))</f>
        <v/>
      </c>
      <c r="K971" t="str">
        <f>IF(ISBLANK(VLOOKUP($A971,'Entry data'!$A:$K,11,FALSE)),"",VLOOKUP($A971,'Entry data'!$A:$K,11,FALSE))</f>
        <v/>
      </c>
      <c r="L971">
        <f>IF(OR(EXACT(D971,"C"),EXACT(D971,"P"),EXACT(D971,"D"),EXACT(D971,"T"),EXACT(D971,"X"),EXACT(E971,"DZF"),EXACT(E971,"OZF"),EXACT(D971,"N"),EXACT(D971,"F")),1,0)</f>
        <v>0</v>
      </c>
      <c r="M971" t="str">
        <f t="shared" si="60"/>
        <v/>
      </c>
      <c r="N971">
        <f t="shared" si="61"/>
        <v>0</v>
      </c>
      <c r="O971">
        <f t="shared" si="62"/>
        <v>0</v>
      </c>
      <c r="P971" t="str">
        <f t="shared" si="63"/>
        <v/>
      </c>
    </row>
    <row r="972" spans="1:16" x14ac:dyDescent="0.25">
      <c r="A972">
        <v>471</v>
      </c>
      <c r="B972" t="str">
        <f>IF(ISBLANK(VLOOKUP($A972,'Entry data'!$A:$K,2,FALSE)),"",VLOOKUP($A972,'Entry data'!$A:$K,2,FALSE))</f>
        <v/>
      </c>
      <c r="C972" t="str">
        <f>IF(ISBLANK(VLOOKUP($A972,'Entry data'!$A:$K,3,FALSE)),"",VLOOKUP($A972,'Entry data'!$A:$K,3,FALSE))</f>
        <v/>
      </c>
      <c r="D972" t="str">
        <f>IF(ISBLANK(VLOOKUP($A972,'Entry data'!$A:$K,4,FALSE)),"",VLOOKUP($A972,'Entry data'!$A:$K,4,FALSE))</f>
        <v/>
      </c>
      <c r="E972" t="str">
        <f>IF(ISBLANK(VLOOKUP($A972,'Entry data'!$A:$K,5,FALSE)),"",VLOOKUP($A972,'Entry data'!$A:$K,5,FALSE))</f>
        <v/>
      </c>
      <c r="F972" t="str">
        <f>IF(ISBLANK(VLOOKUP($A972,'Entry data'!$A:$K,6,FALSE)),"",VLOOKUP($A972,'Entry data'!$A:$K,6,FALSE))</f>
        <v/>
      </c>
      <c r="G972" t="str">
        <f>IF(ISBLANK(VLOOKUP($A972,'Entry data'!$A:$K,7,FALSE)),"",VLOOKUP($A972,'Entry data'!$A:$K,7,FALSE))</f>
        <v/>
      </c>
      <c r="H972" t="str">
        <f>IF(ISBLANK(VLOOKUP($A972,'Entry data'!$A:$K,8,FALSE)),"",VLOOKUP($A972,'Entry data'!$A:$K,8,FALSE))</f>
        <v/>
      </c>
      <c r="I972" t="str">
        <f>IF(ISBLANK(VLOOKUP($A972,'Entry data'!$A:$K,9,FALSE)),"",VLOOKUP($A972,'Entry data'!$A:$K,9,FALSE))</f>
        <v/>
      </c>
      <c r="J972" t="str">
        <f>IF(ISBLANK(VLOOKUP($A972,'Entry data'!$A:$K,10,FALSE)),"",VLOOKUP($A972,'Entry data'!$A:$K,10,FALSE))</f>
        <v/>
      </c>
      <c r="K972" t="str">
        <f>IF(ISBLANK(VLOOKUP($A972,'Entry data'!$A:$K,11,FALSE)),"",VLOOKUP($A972,'Entry data'!$A:$K,11,FALSE))</f>
        <v/>
      </c>
      <c r="L972">
        <f>IF(OR(EXACT(D972,"C"),EXACT(D972,"P"),EXACT(D972,"D"),EXACT(D972,"T"),EXACT(D972,"X"),EXACT(E972,"DZF"),EXACT(E972,"OZF"),EXACT(D972,"N"),EXACT(D972,"F")),1,0)</f>
        <v>0</v>
      </c>
      <c r="M972" t="str">
        <f t="shared" si="60"/>
        <v/>
      </c>
      <c r="N972">
        <f t="shared" si="61"/>
        <v>0</v>
      </c>
      <c r="O972">
        <f t="shared" si="62"/>
        <v>0</v>
      </c>
      <c r="P972" t="str">
        <f t="shared" si="63"/>
        <v/>
      </c>
    </row>
    <row r="973" spans="1:16" x14ac:dyDescent="0.25">
      <c r="A973">
        <v>472</v>
      </c>
      <c r="B973" t="str">
        <f>IF(ISBLANK(VLOOKUP($A973,'Entry data'!$A:$K,2,FALSE)),"",VLOOKUP($A973,'Entry data'!$A:$K,2,FALSE))</f>
        <v/>
      </c>
      <c r="C973" t="str">
        <f>IF(ISBLANK(VLOOKUP($A973,'Entry data'!$A:$K,3,FALSE)),"",VLOOKUP($A973,'Entry data'!$A:$K,3,FALSE))</f>
        <v/>
      </c>
      <c r="D973" t="str">
        <f>IF(ISBLANK(VLOOKUP($A973,'Entry data'!$A:$K,4,FALSE)),"",VLOOKUP($A973,'Entry data'!$A:$K,4,FALSE))</f>
        <v/>
      </c>
      <c r="E973" t="str">
        <f>IF(ISBLANK(VLOOKUP($A973,'Entry data'!$A:$K,5,FALSE)),"",VLOOKUP($A973,'Entry data'!$A:$K,5,FALSE))</f>
        <v/>
      </c>
      <c r="F973" t="str">
        <f>IF(ISBLANK(VLOOKUP($A973,'Entry data'!$A:$K,6,FALSE)),"",VLOOKUP($A973,'Entry data'!$A:$K,6,FALSE))</f>
        <v/>
      </c>
      <c r="G973" t="str">
        <f>IF(ISBLANK(VLOOKUP($A973,'Entry data'!$A:$K,7,FALSE)),"",VLOOKUP($A973,'Entry data'!$A:$K,7,FALSE))</f>
        <v/>
      </c>
      <c r="H973" t="str">
        <f>IF(ISBLANK(VLOOKUP($A973,'Entry data'!$A:$K,8,FALSE)),"",VLOOKUP($A973,'Entry data'!$A:$K,8,FALSE))</f>
        <v/>
      </c>
      <c r="I973" t="str">
        <f>IF(ISBLANK(VLOOKUP($A973,'Entry data'!$A:$K,9,FALSE)),"",VLOOKUP($A973,'Entry data'!$A:$K,9,FALSE))</f>
        <v/>
      </c>
      <c r="J973" t="str">
        <f>IF(ISBLANK(VLOOKUP($A973,'Entry data'!$A:$K,10,FALSE)),"",VLOOKUP($A973,'Entry data'!$A:$K,10,FALSE))</f>
        <v/>
      </c>
      <c r="K973" t="str">
        <f>IF(ISBLANK(VLOOKUP($A973,'Entry data'!$A:$K,11,FALSE)),"",VLOOKUP($A973,'Entry data'!$A:$K,11,FALSE))</f>
        <v/>
      </c>
      <c r="L973">
        <f>IF(OR(EXACT(D973,"C"),EXACT(D973,"P"),EXACT(D973,"D"),EXACT(D973,"T"),EXACT(D973,"X"),EXACT(E973,"DZF"),EXACT(E973,"OZF"),EXACT(D973,"N"),EXACT(D973,"F")),1,0)</f>
        <v>0</v>
      </c>
      <c r="M973" t="str">
        <f t="shared" si="60"/>
        <v/>
      </c>
      <c r="N973">
        <f t="shared" si="61"/>
        <v>0</v>
      </c>
      <c r="O973">
        <f t="shared" si="62"/>
        <v>0</v>
      </c>
      <c r="P973" t="str">
        <f t="shared" si="63"/>
        <v/>
      </c>
    </row>
    <row r="974" spans="1:16" x14ac:dyDescent="0.25">
      <c r="A974">
        <v>473</v>
      </c>
      <c r="B974" t="str">
        <f>IF(ISBLANK(VLOOKUP($A974,'Entry data'!$A:$K,2,FALSE)),"",VLOOKUP($A974,'Entry data'!$A:$K,2,FALSE))</f>
        <v/>
      </c>
      <c r="C974" t="str">
        <f>IF(ISBLANK(VLOOKUP($A974,'Entry data'!$A:$K,3,FALSE)),"",VLOOKUP($A974,'Entry data'!$A:$K,3,FALSE))</f>
        <v/>
      </c>
      <c r="D974" t="str">
        <f>IF(ISBLANK(VLOOKUP($A974,'Entry data'!$A:$K,4,FALSE)),"",VLOOKUP($A974,'Entry data'!$A:$K,4,FALSE))</f>
        <v/>
      </c>
      <c r="E974" t="str">
        <f>IF(ISBLANK(VLOOKUP($A974,'Entry data'!$A:$K,5,FALSE)),"",VLOOKUP($A974,'Entry data'!$A:$K,5,FALSE))</f>
        <v/>
      </c>
      <c r="F974" t="str">
        <f>IF(ISBLANK(VLOOKUP($A974,'Entry data'!$A:$K,6,FALSE)),"",VLOOKUP($A974,'Entry data'!$A:$K,6,FALSE))</f>
        <v/>
      </c>
      <c r="G974" t="str">
        <f>IF(ISBLANK(VLOOKUP($A974,'Entry data'!$A:$K,7,FALSE)),"",VLOOKUP($A974,'Entry data'!$A:$K,7,FALSE))</f>
        <v/>
      </c>
      <c r="H974" t="str">
        <f>IF(ISBLANK(VLOOKUP($A974,'Entry data'!$A:$K,8,FALSE)),"",VLOOKUP($A974,'Entry data'!$A:$K,8,FALSE))</f>
        <v/>
      </c>
      <c r="I974" t="str">
        <f>IF(ISBLANK(VLOOKUP($A974,'Entry data'!$A:$K,9,FALSE)),"",VLOOKUP($A974,'Entry data'!$A:$K,9,FALSE))</f>
        <v/>
      </c>
      <c r="J974" t="str">
        <f>IF(ISBLANK(VLOOKUP($A974,'Entry data'!$A:$K,10,FALSE)),"",VLOOKUP($A974,'Entry data'!$A:$K,10,FALSE))</f>
        <v/>
      </c>
      <c r="K974" t="str">
        <f>IF(ISBLANK(VLOOKUP($A974,'Entry data'!$A:$K,11,FALSE)),"",VLOOKUP($A974,'Entry data'!$A:$K,11,FALSE))</f>
        <v/>
      </c>
      <c r="L974">
        <f>IF(OR(EXACT(D974,"C"),EXACT(D974,"P"),EXACT(D974,"D"),EXACT(D974,"T"),EXACT(D974,"X"),EXACT(E974,"DZF"),EXACT(E974,"OZF"),EXACT(D974,"N"),EXACT(D974,"F")),1,0)</f>
        <v>0</v>
      </c>
      <c r="M974" t="str">
        <f t="shared" si="60"/>
        <v/>
      </c>
      <c r="N974">
        <f t="shared" si="61"/>
        <v>0</v>
      </c>
      <c r="O974">
        <f t="shared" si="62"/>
        <v>0</v>
      </c>
      <c r="P974" t="str">
        <f t="shared" si="63"/>
        <v/>
      </c>
    </row>
    <row r="975" spans="1:16" x14ac:dyDescent="0.25">
      <c r="A975">
        <v>474</v>
      </c>
      <c r="B975" t="str">
        <f>IF(ISBLANK(VLOOKUP($A975,'Entry data'!$A:$K,2,FALSE)),"",VLOOKUP($A975,'Entry data'!$A:$K,2,FALSE))</f>
        <v/>
      </c>
      <c r="C975" t="str">
        <f>IF(ISBLANK(VLOOKUP($A975,'Entry data'!$A:$K,3,FALSE)),"",VLOOKUP($A975,'Entry data'!$A:$K,3,FALSE))</f>
        <v/>
      </c>
      <c r="D975" t="str">
        <f>IF(ISBLANK(VLOOKUP($A975,'Entry data'!$A:$K,4,FALSE)),"",VLOOKUP($A975,'Entry data'!$A:$K,4,FALSE))</f>
        <v/>
      </c>
      <c r="E975" t="str">
        <f>IF(ISBLANK(VLOOKUP($A975,'Entry data'!$A:$K,5,FALSE)),"",VLOOKUP($A975,'Entry data'!$A:$K,5,FALSE))</f>
        <v/>
      </c>
      <c r="F975" t="str">
        <f>IF(ISBLANK(VLOOKUP($A975,'Entry data'!$A:$K,6,FALSE)),"",VLOOKUP($A975,'Entry data'!$A:$K,6,FALSE))</f>
        <v/>
      </c>
      <c r="G975" t="str">
        <f>IF(ISBLANK(VLOOKUP($A975,'Entry data'!$A:$K,7,FALSE)),"",VLOOKUP($A975,'Entry data'!$A:$K,7,FALSE))</f>
        <v/>
      </c>
      <c r="H975" t="str">
        <f>IF(ISBLANK(VLOOKUP($A975,'Entry data'!$A:$K,8,FALSE)),"",VLOOKUP($A975,'Entry data'!$A:$K,8,FALSE))</f>
        <v/>
      </c>
      <c r="I975" t="str">
        <f>IF(ISBLANK(VLOOKUP($A975,'Entry data'!$A:$K,9,FALSE)),"",VLOOKUP($A975,'Entry data'!$A:$K,9,FALSE))</f>
        <v/>
      </c>
      <c r="J975" t="str">
        <f>IF(ISBLANK(VLOOKUP($A975,'Entry data'!$A:$K,10,FALSE)),"",VLOOKUP($A975,'Entry data'!$A:$K,10,FALSE))</f>
        <v/>
      </c>
      <c r="K975" t="str">
        <f>IF(ISBLANK(VLOOKUP($A975,'Entry data'!$A:$K,11,FALSE)),"",VLOOKUP($A975,'Entry data'!$A:$K,11,FALSE))</f>
        <v/>
      </c>
      <c r="L975">
        <f>IF(OR(EXACT(D975,"C"),EXACT(D975,"P"),EXACT(D975,"D"),EXACT(D975,"T"),EXACT(D975,"X"),EXACT(E975,"DZF"),EXACT(E975,"OZF"),EXACT(D975,"N"),EXACT(D975,"F")),1,0)</f>
        <v>0</v>
      </c>
      <c r="M975" t="str">
        <f t="shared" si="60"/>
        <v/>
      </c>
      <c r="N975">
        <f t="shared" si="61"/>
        <v>0</v>
      </c>
      <c r="O975">
        <f t="shared" si="62"/>
        <v>0</v>
      </c>
      <c r="P975" t="str">
        <f t="shared" si="63"/>
        <v/>
      </c>
    </row>
    <row r="976" spans="1:16" x14ac:dyDescent="0.25">
      <c r="A976">
        <v>475</v>
      </c>
      <c r="B976" t="str">
        <f>IF(ISBLANK(VLOOKUP($A976,'Entry data'!$A:$K,2,FALSE)),"",VLOOKUP($A976,'Entry data'!$A:$K,2,FALSE))</f>
        <v/>
      </c>
      <c r="C976" t="str">
        <f>IF(ISBLANK(VLOOKUP($A976,'Entry data'!$A:$K,3,FALSE)),"",VLOOKUP($A976,'Entry data'!$A:$K,3,FALSE))</f>
        <v/>
      </c>
      <c r="D976" t="str">
        <f>IF(ISBLANK(VLOOKUP($A976,'Entry data'!$A:$K,4,FALSE)),"",VLOOKUP($A976,'Entry data'!$A:$K,4,FALSE))</f>
        <v/>
      </c>
      <c r="E976" t="str">
        <f>IF(ISBLANK(VLOOKUP($A976,'Entry data'!$A:$K,5,FALSE)),"",VLOOKUP($A976,'Entry data'!$A:$K,5,FALSE))</f>
        <v/>
      </c>
      <c r="F976" t="str">
        <f>IF(ISBLANK(VLOOKUP($A976,'Entry data'!$A:$K,6,FALSE)),"",VLOOKUP($A976,'Entry data'!$A:$K,6,FALSE))</f>
        <v/>
      </c>
      <c r="G976" t="str">
        <f>IF(ISBLANK(VLOOKUP($A976,'Entry data'!$A:$K,7,FALSE)),"",VLOOKUP($A976,'Entry data'!$A:$K,7,FALSE))</f>
        <v/>
      </c>
      <c r="H976" t="str">
        <f>IF(ISBLANK(VLOOKUP($A976,'Entry data'!$A:$K,8,FALSE)),"",VLOOKUP($A976,'Entry data'!$A:$K,8,FALSE))</f>
        <v/>
      </c>
      <c r="I976" t="str">
        <f>IF(ISBLANK(VLOOKUP($A976,'Entry data'!$A:$K,9,FALSE)),"",VLOOKUP($A976,'Entry data'!$A:$K,9,FALSE))</f>
        <v/>
      </c>
      <c r="J976" t="str">
        <f>IF(ISBLANK(VLOOKUP($A976,'Entry data'!$A:$K,10,FALSE)),"",VLOOKUP($A976,'Entry data'!$A:$K,10,FALSE))</f>
        <v/>
      </c>
      <c r="K976" t="str">
        <f>IF(ISBLANK(VLOOKUP($A976,'Entry data'!$A:$K,11,FALSE)),"",VLOOKUP($A976,'Entry data'!$A:$K,11,FALSE))</f>
        <v/>
      </c>
      <c r="L976">
        <f>IF(OR(EXACT(D976,"C"),EXACT(D976,"P"),EXACT(D976,"D"),EXACT(D976,"T"),EXACT(D976,"X"),EXACT(E976,"DZF"),EXACT(E976,"OZF"),EXACT(D976,"N"),EXACT(D976,"F")),1,0)</f>
        <v>0</v>
      </c>
      <c r="M976" t="str">
        <f t="shared" si="60"/>
        <v/>
      </c>
      <c r="N976">
        <f t="shared" si="61"/>
        <v>0</v>
      </c>
      <c r="O976">
        <f t="shared" si="62"/>
        <v>0</v>
      </c>
      <c r="P976" t="str">
        <f t="shared" si="63"/>
        <v/>
      </c>
    </row>
    <row r="977" spans="1:16" x14ac:dyDescent="0.25">
      <c r="A977">
        <v>476</v>
      </c>
      <c r="B977" t="str">
        <f>IF(ISBLANK(VLOOKUP($A977,'Entry data'!$A:$K,2,FALSE)),"",VLOOKUP($A977,'Entry data'!$A:$K,2,FALSE))</f>
        <v/>
      </c>
      <c r="C977" t="str">
        <f>IF(ISBLANK(VLOOKUP($A977,'Entry data'!$A:$K,3,FALSE)),"",VLOOKUP($A977,'Entry data'!$A:$K,3,FALSE))</f>
        <v/>
      </c>
      <c r="D977" t="str">
        <f>IF(ISBLANK(VLOOKUP($A977,'Entry data'!$A:$K,4,FALSE)),"",VLOOKUP($A977,'Entry data'!$A:$K,4,FALSE))</f>
        <v/>
      </c>
      <c r="E977" t="str">
        <f>IF(ISBLANK(VLOOKUP($A977,'Entry data'!$A:$K,5,FALSE)),"",VLOOKUP($A977,'Entry data'!$A:$K,5,FALSE))</f>
        <v/>
      </c>
      <c r="F977" t="str">
        <f>IF(ISBLANK(VLOOKUP($A977,'Entry data'!$A:$K,6,FALSE)),"",VLOOKUP($A977,'Entry data'!$A:$K,6,FALSE))</f>
        <v/>
      </c>
      <c r="G977" t="str">
        <f>IF(ISBLANK(VLOOKUP($A977,'Entry data'!$A:$K,7,FALSE)),"",VLOOKUP($A977,'Entry data'!$A:$K,7,FALSE))</f>
        <v/>
      </c>
      <c r="H977" t="str">
        <f>IF(ISBLANK(VLOOKUP($A977,'Entry data'!$A:$K,8,FALSE)),"",VLOOKUP($A977,'Entry data'!$A:$K,8,FALSE))</f>
        <v/>
      </c>
      <c r="I977" t="str">
        <f>IF(ISBLANK(VLOOKUP($A977,'Entry data'!$A:$K,9,FALSE)),"",VLOOKUP($A977,'Entry data'!$A:$K,9,FALSE))</f>
        <v/>
      </c>
      <c r="J977" t="str">
        <f>IF(ISBLANK(VLOOKUP($A977,'Entry data'!$A:$K,10,FALSE)),"",VLOOKUP($A977,'Entry data'!$A:$K,10,FALSE))</f>
        <v/>
      </c>
      <c r="K977" t="str">
        <f>IF(ISBLANK(VLOOKUP($A977,'Entry data'!$A:$K,11,FALSE)),"",VLOOKUP($A977,'Entry data'!$A:$K,11,FALSE))</f>
        <v/>
      </c>
      <c r="L977">
        <f>IF(OR(EXACT(D977,"C"),EXACT(D977,"P"),EXACT(D977,"D"),EXACT(D977,"T"),EXACT(D977,"X"),EXACT(E977,"DZF"),EXACT(E977,"OZF"),EXACT(D977,"N"),EXACT(D977,"F")),1,0)</f>
        <v>0</v>
      </c>
      <c r="M977" t="str">
        <f t="shared" si="60"/>
        <v/>
      </c>
      <c r="N977">
        <f t="shared" si="61"/>
        <v>0</v>
      </c>
      <c r="O977">
        <f t="shared" si="62"/>
        <v>0</v>
      </c>
      <c r="P977" t="str">
        <f t="shared" si="63"/>
        <v/>
      </c>
    </row>
    <row r="978" spans="1:16" x14ac:dyDescent="0.25">
      <c r="A978">
        <v>477</v>
      </c>
      <c r="B978" t="str">
        <f>IF(ISBLANK(VLOOKUP($A978,'Entry data'!$A:$K,2,FALSE)),"",VLOOKUP($A978,'Entry data'!$A:$K,2,FALSE))</f>
        <v/>
      </c>
      <c r="C978" t="str">
        <f>IF(ISBLANK(VLOOKUP($A978,'Entry data'!$A:$K,3,FALSE)),"",VLOOKUP($A978,'Entry data'!$A:$K,3,FALSE))</f>
        <v/>
      </c>
      <c r="D978" t="str">
        <f>IF(ISBLANK(VLOOKUP($A978,'Entry data'!$A:$K,4,FALSE)),"",VLOOKUP($A978,'Entry data'!$A:$K,4,FALSE))</f>
        <v/>
      </c>
      <c r="E978" t="str">
        <f>IF(ISBLANK(VLOOKUP($A978,'Entry data'!$A:$K,5,FALSE)),"",VLOOKUP($A978,'Entry data'!$A:$K,5,FALSE))</f>
        <v/>
      </c>
      <c r="F978" t="str">
        <f>IF(ISBLANK(VLOOKUP($A978,'Entry data'!$A:$K,6,FALSE)),"",VLOOKUP($A978,'Entry data'!$A:$K,6,FALSE))</f>
        <v/>
      </c>
      <c r="G978" t="str">
        <f>IF(ISBLANK(VLOOKUP($A978,'Entry data'!$A:$K,7,FALSE)),"",VLOOKUP($A978,'Entry data'!$A:$K,7,FALSE))</f>
        <v/>
      </c>
      <c r="H978" t="str">
        <f>IF(ISBLANK(VLOOKUP($A978,'Entry data'!$A:$K,8,FALSE)),"",VLOOKUP($A978,'Entry data'!$A:$K,8,FALSE))</f>
        <v/>
      </c>
      <c r="I978" t="str">
        <f>IF(ISBLANK(VLOOKUP($A978,'Entry data'!$A:$K,9,FALSE)),"",VLOOKUP($A978,'Entry data'!$A:$K,9,FALSE))</f>
        <v/>
      </c>
      <c r="J978" t="str">
        <f>IF(ISBLANK(VLOOKUP($A978,'Entry data'!$A:$K,10,FALSE)),"",VLOOKUP($A978,'Entry data'!$A:$K,10,FALSE))</f>
        <v/>
      </c>
      <c r="K978" t="str">
        <f>IF(ISBLANK(VLOOKUP($A978,'Entry data'!$A:$K,11,FALSE)),"",VLOOKUP($A978,'Entry data'!$A:$K,11,FALSE))</f>
        <v/>
      </c>
      <c r="L978">
        <f>IF(OR(EXACT(D978,"C"),EXACT(D978,"P"),EXACT(D978,"D"),EXACT(D978,"T"),EXACT(D978,"X"),EXACT(E978,"DZF"),EXACT(E978,"OZF"),EXACT(D978,"N"),EXACT(D978,"F")),1,0)</f>
        <v>0</v>
      </c>
      <c r="M978" t="str">
        <f t="shared" si="60"/>
        <v/>
      </c>
      <c r="N978">
        <f t="shared" si="61"/>
        <v>0</v>
      </c>
      <c r="O978">
        <f t="shared" si="62"/>
        <v>0</v>
      </c>
      <c r="P978" t="str">
        <f t="shared" si="63"/>
        <v/>
      </c>
    </row>
    <row r="979" spans="1:16" x14ac:dyDescent="0.25">
      <c r="A979">
        <v>478</v>
      </c>
      <c r="B979" t="str">
        <f>IF(ISBLANK(VLOOKUP($A979,'Entry data'!$A:$K,2,FALSE)),"",VLOOKUP($A979,'Entry data'!$A:$K,2,FALSE))</f>
        <v/>
      </c>
      <c r="C979" t="str">
        <f>IF(ISBLANK(VLOOKUP($A979,'Entry data'!$A:$K,3,FALSE)),"",VLOOKUP($A979,'Entry data'!$A:$K,3,FALSE))</f>
        <v/>
      </c>
      <c r="D979" t="str">
        <f>IF(ISBLANK(VLOOKUP($A979,'Entry data'!$A:$K,4,FALSE)),"",VLOOKUP($A979,'Entry data'!$A:$K,4,FALSE))</f>
        <v/>
      </c>
      <c r="E979" t="str">
        <f>IF(ISBLANK(VLOOKUP($A979,'Entry data'!$A:$K,5,FALSE)),"",VLOOKUP($A979,'Entry data'!$A:$K,5,FALSE))</f>
        <v/>
      </c>
      <c r="F979" t="str">
        <f>IF(ISBLANK(VLOOKUP($A979,'Entry data'!$A:$K,6,FALSE)),"",VLOOKUP($A979,'Entry data'!$A:$K,6,FALSE))</f>
        <v/>
      </c>
      <c r="G979" t="str">
        <f>IF(ISBLANK(VLOOKUP($A979,'Entry data'!$A:$K,7,FALSE)),"",VLOOKUP($A979,'Entry data'!$A:$K,7,FALSE))</f>
        <v/>
      </c>
      <c r="H979" t="str">
        <f>IF(ISBLANK(VLOOKUP($A979,'Entry data'!$A:$K,8,FALSE)),"",VLOOKUP($A979,'Entry data'!$A:$K,8,FALSE))</f>
        <v/>
      </c>
      <c r="I979" t="str">
        <f>IF(ISBLANK(VLOOKUP($A979,'Entry data'!$A:$K,9,FALSE)),"",VLOOKUP($A979,'Entry data'!$A:$K,9,FALSE))</f>
        <v/>
      </c>
      <c r="J979" t="str">
        <f>IF(ISBLANK(VLOOKUP($A979,'Entry data'!$A:$K,10,FALSE)),"",VLOOKUP($A979,'Entry data'!$A:$K,10,FALSE))</f>
        <v/>
      </c>
      <c r="K979" t="str">
        <f>IF(ISBLANK(VLOOKUP($A979,'Entry data'!$A:$K,11,FALSE)),"",VLOOKUP($A979,'Entry data'!$A:$K,11,FALSE))</f>
        <v/>
      </c>
      <c r="L979">
        <f>IF(OR(EXACT(D979,"C"),EXACT(D979,"P"),EXACT(D979,"D"),EXACT(D979,"T"),EXACT(D979,"X"),EXACT(E979,"DZF"),EXACT(E979,"OZF"),EXACT(D979,"N"),EXACT(D979,"F")),1,0)</f>
        <v>0</v>
      </c>
      <c r="M979" t="str">
        <f t="shared" si="60"/>
        <v/>
      </c>
      <c r="N979">
        <f t="shared" si="61"/>
        <v>0</v>
      </c>
      <c r="O979">
        <f t="shared" si="62"/>
        <v>0</v>
      </c>
      <c r="P979" t="str">
        <f t="shared" si="63"/>
        <v/>
      </c>
    </row>
    <row r="980" spans="1:16" x14ac:dyDescent="0.25">
      <c r="A980">
        <v>479</v>
      </c>
      <c r="B980" t="str">
        <f>IF(ISBLANK(VLOOKUP($A980,'Entry data'!$A:$K,2,FALSE)),"",VLOOKUP($A980,'Entry data'!$A:$K,2,FALSE))</f>
        <v/>
      </c>
      <c r="C980" t="str">
        <f>IF(ISBLANK(VLOOKUP($A980,'Entry data'!$A:$K,3,FALSE)),"",VLOOKUP($A980,'Entry data'!$A:$K,3,FALSE))</f>
        <v/>
      </c>
      <c r="D980" t="str">
        <f>IF(ISBLANK(VLOOKUP($A980,'Entry data'!$A:$K,4,FALSE)),"",VLOOKUP($A980,'Entry data'!$A:$K,4,FALSE))</f>
        <v/>
      </c>
      <c r="E980" t="str">
        <f>IF(ISBLANK(VLOOKUP($A980,'Entry data'!$A:$K,5,FALSE)),"",VLOOKUP($A980,'Entry data'!$A:$K,5,FALSE))</f>
        <v/>
      </c>
      <c r="F980" t="str">
        <f>IF(ISBLANK(VLOOKUP($A980,'Entry data'!$A:$K,6,FALSE)),"",VLOOKUP($A980,'Entry data'!$A:$K,6,FALSE))</f>
        <v/>
      </c>
      <c r="G980" t="str">
        <f>IF(ISBLANK(VLOOKUP($A980,'Entry data'!$A:$K,7,FALSE)),"",VLOOKUP($A980,'Entry data'!$A:$K,7,FALSE))</f>
        <v/>
      </c>
      <c r="H980" t="str">
        <f>IF(ISBLANK(VLOOKUP($A980,'Entry data'!$A:$K,8,FALSE)),"",VLOOKUP($A980,'Entry data'!$A:$K,8,FALSE))</f>
        <v/>
      </c>
      <c r="I980" t="str">
        <f>IF(ISBLANK(VLOOKUP($A980,'Entry data'!$A:$K,9,FALSE)),"",VLOOKUP($A980,'Entry data'!$A:$K,9,FALSE))</f>
        <v/>
      </c>
      <c r="J980" t="str">
        <f>IF(ISBLANK(VLOOKUP($A980,'Entry data'!$A:$K,10,FALSE)),"",VLOOKUP($A980,'Entry data'!$A:$K,10,FALSE))</f>
        <v/>
      </c>
      <c r="K980" t="str">
        <f>IF(ISBLANK(VLOOKUP($A980,'Entry data'!$A:$K,11,FALSE)),"",VLOOKUP($A980,'Entry data'!$A:$K,11,FALSE))</f>
        <v/>
      </c>
      <c r="L980">
        <f>IF(OR(EXACT(D980,"C"),EXACT(D980,"P"),EXACT(D980,"D"),EXACT(D980,"T"),EXACT(D980,"X"),EXACT(E980,"DZF"),EXACT(E980,"OZF"),EXACT(D980,"N"),EXACT(D980,"F")),1,0)</f>
        <v>0</v>
      </c>
      <c r="M980" t="str">
        <f t="shared" si="60"/>
        <v/>
      </c>
      <c r="N980">
        <f t="shared" si="61"/>
        <v>0</v>
      </c>
      <c r="O980">
        <f t="shared" si="62"/>
        <v>0</v>
      </c>
      <c r="P980" t="str">
        <f t="shared" si="63"/>
        <v/>
      </c>
    </row>
    <row r="981" spans="1:16" x14ac:dyDescent="0.25">
      <c r="A981">
        <v>480</v>
      </c>
      <c r="B981" t="str">
        <f>IF(ISBLANK(VLOOKUP($A981,'Entry data'!$A:$K,2,FALSE)),"",VLOOKUP($A981,'Entry data'!$A:$K,2,FALSE))</f>
        <v/>
      </c>
      <c r="C981" t="str">
        <f>IF(ISBLANK(VLOOKUP($A981,'Entry data'!$A:$K,3,FALSE)),"",VLOOKUP($A981,'Entry data'!$A:$K,3,FALSE))</f>
        <v/>
      </c>
      <c r="D981" t="str">
        <f>IF(ISBLANK(VLOOKUP($A981,'Entry data'!$A:$K,4,FALSE)),"",VLOOKUP($A981,'Entry data'!$A:$K,4,FALSE))</f>
        <v/>
      </c>
      <c r="E981" t="str">
        <f>IF(ISBLANK(VLOOKUP($A981,'Entry data'!$A:$K,5,FALSE)),"",VLOOKUP($A981,'Entry data'!$A:$K,5,FALSE))</f>
        <v/>
      </c>
      <c r="F981" t="str">
        <f>IF(ISBLANK(VLOOKUP($A981,'Entry data'!$A:$K,6,FALSE)),"",VLOOKUP($A981,'Entry data'!$A:$K,6,FALSE))</f>
        <v/>
      </c>
      <c r="G981" t="str">
        <f>IF(ISBLANK(VLOOKUP($A981,'Entry data'!$A:$K,7,FALSE)),"",VLOOKUP($A981,'Entry data'!$A:$K,7,FALSE))</f>
        <v/>
      </c>
      <c r="H981" t="str">
        <f>IF(ISBLANK(VLOOKUP($A981,'Entry data'!$A:$K,8,FALSE)),"",VLOOKUP($A981,'Entry data'!$A:$K,8,FALSE))</f>
        <v/>
      </c>
      <c r="I981" t="str">
        <f>IF(ISBLANK(VLOOKUP($A981,'Entry data'!$A:$K,9,FALSE)),"",VLOOKUP($A981,'Entry data'!$A:$K,9,FALSE))</f>
        <v/>
      </c>
      <c r="J981" t="str">
        <f>IF(ISBLANK(VLOOKUP($A981,'Entry data'!$A:$K,10,FALSE)),"",VLOOKUP($A981,'Entry data'!$A:$K,10,FALSE))</f>
        <v/>
      </c>
      <c r="K981" t="str">
        <f>IF(ISBLANK(VLOOKUP($A981,'Entry data'!$A:$K,11,FALSE)),"",VLOOKUP($A981,'Entry data'!$A:$K,11,FALSE))</f>
        <v/>
      </c>
      <c r="L981">
        <f>IF(OR(EXACT(D981,"C"),EXACT(D981,"P"),EXACT(D981,"D"),EXACT(D981,"T"),EXACT(D981,"X"),EXACT(E981,"DZF"),EXACT(E981,"OZF"),EXACT(D981,"N"),EXACT(D981,"F")),1,0)</f>
        <v>0</v>
      </c>
      <c r="M981" t="str">
        <f t="shared" si="60"/>
        <v/>
      </c>
      <c r="N981">
        <f t="shared" si="61"/>
        <v>0</v>
      </c>
      <c r="O981">
        <f t="shared" si="62"/>
        <v>0</v>
      </c>
      <c r="P981" t="str">
        <f t="shared" si="63"/>
        <v/>
      </c>
    </row>
    <row r="982" spans="1:16" x14ac:dyDescent="0.25">
      <c r="A982">
        <v>481</v>
      </c>
      <c r="B982" t="str">
        <f>IF(ISBLANK(VLOOKUP($A982,'Entry data'!$A:$K,2,FALSE)),"",VLOOKUP($A982,'Entry data'!$A:$K,2,FALSE))</f>
        <v/>
      </c>
      <c r="C982" t="str">
        <f>IF(ISBLANK(VLOOKUP($A982,'Entry data'!$A:$K,3,FALSE)),"",VLOOKUP($A982,'Entry data'!$A:$K,3,FALSE))</f>
        <v/>
      </c>
      <c r="D982" t="str">
        <f>IF(ISBLANK(VLOOKUP($A982,'Entry data'!$A:$K,4,FALSE)),"",VLOOKUP($A982,'Entry data'!$A:$K,4,FALSE))</f>
        <v/>
      </c>
      <c r="E982" t="str">
        <f>IF(ISBLANK(VLOOKUP($A982,'Entry data'!$A:$K,5,FALSE)),"",VLOOKUP($A982,'Entry data'!$A:$K,5,FALSE))</f>
        <v/>
      </c>
      <c r="F982" t="str">
        <f>IF(ISBLANK(VLOOKUP($A982,'Entry data'!$A:$K,6,FALSE)),"",VLOOKUP($A982,'Entry data'!$A:$K,6,FALSE))</f>
        <v/>
      </c>
      <c r="G982" t="str">
        <f>IF(ISBLANK(VLOOKUP($A982,'Entry data'!$A:$K,7,FALSE)),"",VLOOKUP($A982,'Entry data'!$A:$K,7,FALSE))</f>
        <v/>
      </c>
      <c r="H982" t="str">
        <f>IF(ISBLANK(VLOOKUP($A982,'Entry data'!$A:$K,8,FALSE)),"",VLOOKUP($A982,'Entry data'!$A:$K,8,FALSE))</f>
        <v/>
      </c>
      <c r="I982" t="str">
        <f>IF(ISBLANK(VLOOKUP($A982,'Entry data'!$A:$K,9,FALSE)),"",VLOOKUP($A982,'Entry data'!$A:$K,9,FALSE))</f>
        <v/>
      </c>
      <c r="J982" t="str">
        <f>IF(ISBLANK(VLOOKUP($A982,'Entry data'!$A:$K,10,FALSE)),"",VLOOKUP($A982,'Entry data'!$A:$K,10,FALSE))</f>
        <v/>
      </c>
      <c r="K982" t="str">
        <f>IF(ISBLANK(VLOOKUP($A982,'Entry data'!$A:$K,11,FALSE)),"",VLOOKUP($A982,'Entry data'!$A:$K,11,FALSE))</f>
        <v/>
      </c>
      <c r="L982">
        <f>IF(OR(EXACT(D982,"C"),EXACT(D982,"P"),EXACT(D982,"D"),EXACT(D982,"T"),EXACT(D982,"X"),EXACT(E982,"DZF"),EXACT(E982,"OZF"),EXACT(D982,"N"),EXACT(D982,"F")),1,0)</f>
        <v>0</v>
      </c>
      <c r="M982" t="str">
        <f t="shared" si="60"/>
        <v/>
      </c>
      <c r="N982">
        <f t="shared" si="61"/>
        <v>0</v>
      </c>
      <c r="O982">
        <f t="shared" si="62"/>
        <v>0</v>
      </c>
      <c r="P982" t="str">
        <f t="shared" si="63"/>
        <v/>
      </c>
    </row>
    <row r="983" spans="1:16" x14ac:dyDescent="0.25">
      <c r="A983">
        <v>482</v>
      </c>
      <c r="B983" t="str">
        <f>IF(ISBLANK(VLOOKUP($A983,'Entry data'!$A:$K,2,FALSE)),"",VLOOKUP($A983,'Entry data'!$A:$K,2,FALSE))</f>
        <v/>
      </c>
      <c r="C983" t="str">
        <f>IF(ISBLANK(VLOOKUP($A983,'Entry data'!$A:$K,3,FALSE)),"",VLOOKUP($A983,'Entry data'!$A:$K,3,FALSE))</f>
        <v/>
      </c>
      <c r="D983" t="str">
        <f>IF(ISBLANK(VLOOKUP($A983,'Entry data'!$A:$K,4,FALSE)),"",VLOOKUP($A983,'Entry data'!$A:$K,4,FALSE))</f>
        <v/>
      </c>
      <c r="E983" t="str">
        <f>IF(ISBLANK(VLOOKUP($A983,'Entry data'!$A:$K,5,FALSE)),"",VLOOKUP($A983,'Entry data'!$A:$K,5,FALSE))</f>
        <v/>
      </c>
      <c r="F983" t="str">
        <f>IF(ISBLANK(VLOOKUP($A983,'Entry data'!$A:$K,6,FALSE)),"",VLOOKUP($A983,'Entry data'!$A:$K,6,FALSE))</f>
        <v/>
      </c>
      <c r="G983" t="str">
        <f>IF(ISBLANK(VLOOKUP($A983,'Entry data'!$A:$K,7,FALSE)),"",VLOOKUP($A983,'Entry data'!$A:$K,7,FALSE))</f>
        <v/>
      </c>
      <c r="H983" t="str">
        <f>IF(ISBLANK(VLOOKUP($A983,'Entry data'!$A:$K,8,FALSE)),"",VLOOKUP($A983,'Entry data'!$A:$K,8,FALSE))</f>
        <v/>
      </c>
      <c r="I983" t="str">
        <f>IF(ISBLANK(VLOOKUP($A983,'Entry data'!$A:$K,9,FALSE)),"",VLOOKUP($A983,'Entry data'!$A:$K,9,FALSE))</f>
        <v/>
      </c>
      <c r="J983" t="str">
        <f>IF(ISBLANK(VLOOKUP($A983,'Entry data'!$A:$K,10,FALSE)),"",VLOOKUP($A983,'Entry data'!$A:$K,10,FALSE))</f>
        <v/>
      </c>
      <c r="K983" t="str">
        <f>IF(ISBLANK(VLOOKUP($A983,'Entry data'!$A:$K,11,FALSE)),"",VLOOKUP($A983,'Entry data'!$A:$K,11,FALSE))</f>
        <v/>
      </c>
      <c r="L983">
        <f>IF(OR(EXACT(D983,"C"),EXACT(D983,"P"),EXACT(D983,"D"),EXACT(D983,"T"),EXACT(D983,"X"),EXACT(E983,"DZF"),EXACT(E983,"OZF"),EXACT(D983,"N"),EXACT(D983,"F")),1,0)</f>
        <v>0</v>
      </c>
      <c r="M983" t="str">
        <f t="shared" si="60"/>
        <v/>
      </c>
      <c r="N983">
        <f t="shared" si="61"/>
        <v>0</v>
      </c>
      <c r="O983">
        <f t="shared" si="62"/>
        <v>0</v>
      </c>
      <c r="P983" t="str">
        <f t="shared" si="63"/>
        <v/>
      </c>
    </row>
    <row r="984" spans="1:16" x14ac:dyDescent="0.25">
      <c r="A984">
        <v>483</v>
      </c>
      <c r="B984" t="str">
        <f>IF(ISBLANK(VLOOKUP($A984,'Entry data'!$A:$K,2,FALSE)),"",VLOOKUP($A984,'Entry data'!$A:$K,2,FALSE))</f>
        <v/>
      </c>
      <c r="C984" t="str">
        <f>IF(ISBLANK(VLOOKUP($A984,'Entry data'!$A:$K,3,FALSE)),"",VLOOKUP($A984,'Entry data'!$A:$K,3,FALSE))</f>
        <v/>
      </c>
      <c r="D984" t="str">
        <f>IF(ISBLANK(VLOOKUP($A984,'Entry data'!$A:$K,4,FALSE)),"",VLOOKUP($A984,'Entry data'!$A:$K,4,FALSE))</f>
        <v/>
      </c>
      <c r="E984" t="str">
        <f>IF(ISBLANK(VLOOKUP($A984,'Entry data'!$A:$K,5,FALSE)),"",VLOOKUP($A984,'Entry data'!$A:$K,5,FALSE))</f>
        <v/>
      </c>
      <c r="F984" t="str">
        <f>IF(ISBLANK(VLOOKUP($A984,'Entry data'!$A:$K,6,FALSE)),"",VLOOKUP($A984,'Entry data'!$A:$K,6,FALSE))</f>
        <v/>
      </c>
      <c r="G984" t="str">
        <f>IF(ISBLANK(VLOOKUP($A984,'Entry data'!$A:$K,7,FALSE)),"",VLOOKUP($A984,'Entry data'!$A:$K,7,FALSE))</f>
        <v/>
      </c>
      <c r="H984" t="str">
        <f>IF(ISBLANK(VLOOKUP($A984,'Entry data'!$A:$K,8,FALSE)),"",VLOOKUP($A984,'Entry data'!$A:$K,8,FALSE))</f>
        <v/>
      </c>
      <c r="I984" t="str">
        <f>IF(ISBLANK(VLOOKUP($A984,'Entry data'!$A:$K,9,FALSE)),"",VLOOKUP($A984,'Entry data'!$A:$K,9,FALSE))</f>
        <v/>
      </c>
      <c r="J984" t="str">
        <f>IF(ISBLANK(VLOOKUP($A984,'Entry data'!$A:$K,10,FALSE)),"",VLOOKUP($A984,'Entry data'!$A:$K,10,FALSE))</f>
        <v/>
      </c>
      <c r="K984" t="str">
        <f>IF(ISBLANK(VLOOKUP($A984,'Entry data'!$A:$K,11,FALSE)),"",VLOOKUP($A984,'Entry data'!$A:$K,11,FALSE))</f>
        <v/>
      </c>
      <c r="L984">
        <f>IF(OR(EXACT(D984,"C"),EXACT(D984,"P"),EXACT(D984,"D"),EXACT(D984,"T"),EXACT(D984,"X"),EXACT(E984,"DZF"),EXACT(E984,"OZF"),EXACT(D984,"N"),EXACT(D984,"F")),1,0)</f>
        <v>0</v>
      </c>
      <c r="M984" t="str">
        <f t="shared" si="60"/>
        <v/>
      </c>
      <c r="N984">
        <f t="shared" si="61"/>
        <v>0</v>
      </c>
      <c r="O984">
        <f t="shared" si="62"/>
        <v>0</v>
      </c>
      <c r="P984" t="str">
        <f t="shared" si="63"/>
        <v/>
      </c>
    </row>
    <row r="985" spans="1:16" x14ac:dyDescent="0.25">
      <c r="A985">
        <v>484</v>
      </c>
      <c r="B985" t="str">
        <f>IF(ISBLANK(VLOOKUP($A985,'Entry data'!$A:$K,2,FALSE)),"",VLOOKUP($A985,'Entry data'!$A:$K,2,FALSE))</f>
        <v/>
      </c>
      <c r="C985" t="str">
        <f>IF(ISBLANK(VLOOKUP($A985,'Entry data'!$A:$K,3,FALSE)),"",VLOOKUP($A985,'Entry data'!$A:$K,3,FALSE))</f>
        <v/>
      </c>
      <c r="D985" t="str">
        <f>IF(ISBLANK(VLOOKUP($A985,'Entry data'!$A:$K,4,FALSE)),"",VLOOKUP($A985,'Entry data'!$A:$K,4,FALSE))</f>
        <v/>
      </c>
      <c r="E985" t="str">
        <f>IF(ISBLANK(VLOOKUP($A985,'Entry data'!$A:$K,5,FALSE)),"",VLOOKUP($A985,'Entry data'!$A:$K,5,FALSE))</f>
        <v/>
      </c>
      <c r="F985" t="str">
        <f>IF(ISBLANK(VLOOKUP($A985,'Entry data'!$A:$K,6,FALSE)),"",VLOOKUP($A985,'Entry data'!$A:$K,6,FALSE))</f>
        <v/>
      </c>
      <c r="G985" t="str">
        <f>IF(ISBLANK(VLOOKUP($A985,'Entry data'!$A:$K,7,FALSE)),"",VLOOKUP($A985,'Entry data'!$A:$K,7,FALSE))</f>
        <v/>
      </c>
      <c r="H985" t="str">
        <f>IF(ISBLANK(VLOOKUP($A985,'Entry data'!$A:$K,8,FALSE)),"",VLOOKUP($A985,'Entry data'!$A:$K,8,FALSE))</f>
        <v/>
      </c>
      <c r="I985" t="str">
        <f>IF(ISBLANK(VLOOKUP($A985,'Entry data'!$A:$K,9,FALSE)),"",VLOOKUP($A985,'Entry data'!$A:$K,9,FALSE))</f>
        <v/>
      </c>
      <c r="J985" t="str">
        <f>IF(ISBLANK(VLOOKUP($A985,'Entry data'!$A:$K,10,FALSE)),"",VLOOKUP($A985,'Entry data'!$A:$K,10,FALSE))</f>
        <v/>
      </c>
      <c r="K985" t="str">
        <f>IF(ISBLANK(VLOOKUP($A985,'Entry data'!$A:$K,11,FALSE)),"",VLOOKUP($A985,'Entry data'!$A:$K,11,FALSE))</f>
        <v/>
      </c>
      <c r="L985">
        <f>IF(OR(EXACT(D985,"C"),EXACT(D985,"P"),EXACT(D985,"D"),EXACT(D985,"T"),EXACT(D985,"X"),EXACT(E985,"DZF"),EXACT(E985,"OZF"),EXACT(D985,"N"),EXACT(D985,"F")),1,0)</f>
        <v>0</v>
      </c>
      <c r="M985" t="str">
        <f t="shared" si="60"/>
        <v/>
      </c>
      <c r="N985">
        <f t="shared" si="61"/>
        <v>0</v>
      </c>
      <c r="O985">
        <f t="shared" si="62"/>
        <v>0</v>
      </c>
      <c r="P985" t="str">
        <f t="shared" si="63"/>
        <v/>
      </c>
    </row>
    <row r="986" spans="1:16" x14ac:dyDescent="0.25">
      <c r="A986">
        <v>485</v>
      </c>
      <c r="B986" t="str">
        <f>IF(ISBLANK(VLOOKUP($A986,'Entry data'!$A:$K,2,FALSE)),"",VLOOKUP($A986,'Entry data'!$A:$K,2,FALSE))</f>
        <v/>
      </c>
      <c r="C986" t="str">
        <f>IF(ISBLANK(VLOOKUP($A986,'Entry data'!$A:$K,3,FALSE)),"",VLOOKUP($A986,'Entry data'!$A:$K,3,FALSE))</f>
        <v/>
      </c>
      <c r="D986" t="str">
        <f>IF(ISBLANK(VLOOKUP($A986,'Entry data'!$A:$K,4,FALSE)),"",VLOOKUP($A986,'Entry data'!$A:$K,4,FALSE))</f>
        <v/>
      </c>
      <c r="E986" t="str">
        <f>IF(ISBLANK(VLOOKUP($A986,'Entry data'!$A:$K,5,FALSE)),"",VLOOKUP($A986,'Entry data'!$A:$K,5,FALSE))</f>
        <v/>
      </c>
      <c r="F986" t="str">
        <f>IF(ISBLANK(VLOOKUP($A986,'Entry data'!$A:$K,6,FALSE)),"",VLOOKUP($A986,'Entry data'!$A:$K,6,FALSE))</f>
        <v/>
      </c>
      <c r="G986" t="str">
        <f>IF(ISBLANK(VLOOKUP($A986,'Entry data'!$A:$K,7,FALSE)),"",VLOOKUP($A986,'Entry data'!$A:$K,7,FALSE))</f>
        <v/>
      </c>
      <c r="H986" t="str">
        <f>IF(ISBLANK(VLOOKUP($A986,'Entry data'!$A:$K,8,FALSE)),"",VLOOKUP($A986,'Entry data'!$A:$K,8,FALSE))</f>
        <v/>
      </c>
      <c r="I986" t="str">
        <f>IF(ISBLANK(VLOOKUP($A986,'Entry data'!$A:$K,9,FALSE)),"",VLOOKUP($A986,'Entry data'!$A:$K,9,FALSE))</f>
        <v/>
      </c>
      <c r="J986" t="str">
        <f>IF(ISBLANK(VLOOKUP($A986,'Entry data'!$A:$K,10,FALSE)),"",VLOOKUP($A986,'Entry data'!$A:$K,10,FALSE))</f>
        <v/>
      </c>
      <c r="K986" t="str">
        <f>IF(ISBLANK(VLOOKUP($A986,'Entry data'!$A:$K,11,FALSE)),"",VLOOKUP($A986,'Entry data'!$A:$K,11,FALSE))</f>
        <v/>
      </c>
      <c r="L986">
        <f>IF(OR(EXACT(D986,"C"),EXACT(D986,"P"),EXACT(D986,"D"),EXACT(D986,"T"),EXACT(D986,"X"),EXACT(E986,"DZF"),EXACT(E986,"OZF"),EXACT(D986,"N"),EXACT(D986,"F")),1,0)</f>
        <v>0</v>
      </c>
      <c r="M986" t="str">
        <f t="shared" si="60"/>
        <v/>
      </c>
      <c r="N986">
        <f t="shared" si="61"/>
        <v>0</v>
      </c>
      <c r="O986">
        <f t="shared" si="62"/>
        <v>0</v>
      </c>
      <c r="P986" t="str">
        <f t="shared" si="63"/>
        <v/>
      </c>
    </row>
    <row r="987" spans="1:16" x14ac:dyDescent="0.25">
      <c r="A987">
        <v>486</v>
      </c>
      <c r="B987" t="str">
        <f>IF(ISBLANK(VLOOKUP($A987,'Entry data'!$A:$K,2,FALSE)),"",VLOOKUP($A987,'Entry data'!$A:$K,2,FALSE))</f>
        <v/>
      </c>
      <c r="C987" t="str">
        <f>IF(ISBLANK(VLOOKUP($A987,'Entry data'!$A:$K,3,FALSE)),"",VLOOKUP($A987,'Entry data'!$A:$K,3,FALSE))</f>
        <v/>
      </c>
      <c r="D987" t="str">
        <f>IF(ISBLANK(VLOOKUP($A987,'Entry data'!$A:$K,4,FALSE)),"",VLOOKUP($A987,'Entry data'!$A:$K,4,FALSE))</f>
        <v/>
      </c>
      <c r="E987" t="str">
        <f>IF(ISBLANK(VLOOKUP($A987,'Entry data'!$A:$K,5,FALSE)),"",VLOOKUP($A987,'Entry data'!$A:$K,5,FALSE))</f>
        <v/>
      </c>
      <c r="F987" t="str">
        <f>IF(ISBLANK(VLOOKUP($A987,'Entry data'!$A:$K,6,FALSE)),"",VLOOKUP($A987,'Entry data'!$A:$K,6,FALSE))</f>
        <v/>
      </c>
      <c r="G987" t="str">
        <f>IF(ISBLANK(VLOOKUP($A987,'Entry data'!$A:$K,7,FALSE)),"",VLOOKUP($A987,'Entry data'!$A:$K,7,FALSE))</f>
        <v/>
      </c>
      <c r="H987" t="str">
        <f>IF(ISBLANK(VLOOKUP($A987,'Entry data'!$A:$K,8,FALSE)),"",VLOOKUP($A987,'Entry data'!$A:$K,8,FALSE))</f>
        <v/>
      </c>
      <c r="I987" t="str">
        <f>IF(ISBLANK(VLOOKUP($A987,'Entry data'!$A:$K,9,FALSE)),"",VLOOKUP($A987,'Entry data'!$A:$K,9,FALSE))</f>
        <v/>
      </c>
      <c r="J987" t="str">
        <f>IF(ISBLANK(VLOOKUP($A987,'Entry data'!$A:$K,10,FALSE)),"",VLOOKUP($A987,'Entry data'!$A:$K,10,FALSE))</f>
        <v/>
      </c>
      <c r="K987" t="str">
        <f>IF(ISBLANK(VLOOKUP($A987,'Entry data'!$A:$K,11,FALSE)),"",VLOOKUP($A987,'Entry data'!$A:$K,11,FALSE))</f>
        <v/>
      </c>
      <c r="L987">
        <f>IF(OR(EXACT(D987,"C"),EXACT(D987,"P"),EXACT(D987,"D"),EXACT(D987,"T"),EXACT(D987,"X"),EXACT(E987,"DZF"),EXACT(E987,"OZF"),EXACT(D987,"N"),EXACT(D987,"F")),1,0)</f>
        <v>0</v>
      </c>
      <c r="M987" t="str">
        <f t="shared" si="60"/>
        <v/>
      </c>
      <c r="N987">
        <f t="shared" si="61"/>
        <v>0</v>
      </c>
      <c r="O987">
        <f t="shared" si="62"/>
        <v>0</v>
      </c>
      <c r="P987" t="str">
        <f t="shared" si="63"/>
        <v/>
      </c>
    </row>
    <row r="988" spans="1:16" x14ac:dyDescent="0.25">
      <c r="A988">
        <v>487</v>
      </c>
      <c r="B988" t="str">
        <f>IF(ISBLANK(VLOOKUP($A988,'Entry data'!$A:$K,2,FALSE)),"",VLOOKUP($A988,'Entry data'!$A:$K,2,FALSE))</f>
        <v/>
      </c>
      <c r="C988" t="str">
        <f>IF(ISBLANK(VLOOKUP($A988,'Entry data'!$A:$K,3,FALSE)),"",VLOOKUP($A988,'Entry data'!$A:$K,3,FALSE))</f>
        <v/>
      </c>
      <c r="D988" t="str">
        <f>IF(ISBLANK(VLOOKUP($A988,'Entry data'!$A:$K,4,FALSE)),"",VLOOKUP($A988,'Entry data'!$A:$K,4,FALSE))</f>
        <v/>
      </c>
      <c r="E988" t="str">
        <f>IF(ISBLANK(VLOOKUP($A988,'Entry data'!$A:$K,5,FALSE)),"",VLOOKUP($A988,'Entry data'!$A:$K,5,FALSE))</f>
        <v/>
      </c>
      <c r="F988" t="str">
        <f>IF(ISBLANK(VLOOKUP($A988,'Entry data'!$A:$K,6,FALSE)),"",VLOOKUP($A988,'Entry data'!$A:$K,6,FALSE))</f>
        <v/>
      </c>
      <c r="G988" t="str">
        <f>IF(ISBLANK(VLOOKUP($A988,'Entry data'!$A:$K,7,FALSE)),"",VLOOKUP($A988,'Entry data'!$A:$K,7,FALSE))</f>
        <v/>
      </c>
      <c r="H988" t="str">
        <f>IF(ISBLANK(VLOOKUP($A988,'Entry data'!$A:$K,8,FALSE)),"",VLOOKUP($A988,'Entry data'!$A:$K,8,FALSE))</f>
        <v/>
      </c>
      <c r="I988" t="str">
        <f>IF(ISBLANK(VLOOKUP($A988,'Entry data'!$A:$K,9,FALSE)),"",VLOOKUP($A988,'Entry data'!$A:$K,9,FALSE))</f>
        <v/>
      </c>
      <c r="J988" t="str">
        <f>IF(ISBLANK(VLOOKUP($A988,'Entry data'!$A:$K,10,FALSE)),"",VLOOKUP($A988,'Entry data'!$A:$K,10,FALSE))</f>
        <v/>
      </c>
      <c r="K988" t="str">
        <f>IF(ISBLANK(VLOOKUP($A988,'Entry data'!$A:$K,11,FALSE)),"",VLOOKUP($A988,'Entry data'!$A:$K,11,FALSE))</f>
        <v/>
      </c>
      <c r="L988">
        <f>IF(OR(EXACT(D988,"C"),EXACT(D988,"P"),EXACT(D988,"D"),EXACT(D988,"T"),EXACT(D988,"X"),EXACT(E988,"DZF"),EXACT(E988,"OZF"),EXACT(D988,"N"),EXACT(D988,"F")),1,0)</f>
        <v>0</v>
      </c>
      <c r="M988" t="str">
        <f t="shared" si="60"/>
        <v/>
      </c>
      <c r="N988">
        <f t="shared" si="61"/>
        <v>0</v>
      </c>
      <c r="O988">
        <f t="shared" si="62"/>
        <v>0</v>
      </c>
      <c r="P988" t="str">
        <f t="shared" si="63"/>
        <v/>
      </c>
    </row>
    <row r="989" spans="1:16" x14ac:dyDescent="0.25">
      <c r="A989">
        <v>488</v>
      </c>
      <c r="B989" t="str">
        <f>IF(ISBLANK(VLOOKUP($A989,'Entry data'!$A:$K,2,FALSE)),"",VLOOKUP($A989,'Entry data'!$A:$K,2,FALSE))</f>
        <v/>
      </c>
      <c r="C989" t="str">
        <f>IF(ISBLANK(VLOOKUP($A989,'Entry data'!$A:$K,3,FALSE)),"",VLOOKUP($A989,'Entry data'!$A:$K,3,FALSE))</f>
        <v/>
      </c>
      <c r="D989" t="str">
        <f>IF(ISBLANK(VLOOKUP($A989,'Entry data'!$A:$K,4,FALSE)),"",VLOOKUP($A989,'Entry data'!$A:$K,4,FALSE))</f>
        <v/>
      </c>
      <c r="E989" t="str">
        <f>IF(ISBLANK(VLOOKUP($A989,'Entry data'!$A:$K,5,FALSE)),"",VLOOKUP($A989,'Entry data'!$A:$K,5,FALSE))</f>
        <v/>
      </c>
      <c r="F989" t="str">
        <f>IF(ISBLANK(VLOOKUP($A989,'Entry data'!$A:$K,6,FALSE)),"",VLOOKUP($A989,'Entry data'!$A:$K,6,FALSE))</f>
        <v/>
      </c>
      <c r="G989" t="str">
        <f>IF(ISBLANK(VLOOKUP($A989,'Entry data'!$A:$K,7,FALSE)),"",VLOOKUP($A989,'Entry data'!$A:$K,7,FALSE))</f>
        <v/>
      </c>
      <c r="H989" t="str">
        <f>IF(ISBLANK(VLOOKUP($A989,'Entry data'!$A:$K,8,FALSE)),"",VLOOKUP($A989,'Entry data'!$A:$K,8,FALSE))</f>
        <v/>
      </c>
      <c r="I989" t="str">
        <f>IF(ISBLANK(VLOOKUP($A989,'Entry data'!$A:$K,9,FALSE)),"",VLOOKUP($A989,'Entry data'!$A:$K,9,FALSE))</f>
        <v/>
      </c>
      <c r="J989" t="str">
        <f>IF(ISBLANK(VLOOKUP($A989,'Entry data'!$A:$K,10,FALSE)),"",VLOOKUP($A989,'Entry data'!$A:$K,10,FALSE))</f>
        <v/>
      </c>
      <c r="K989" t="str">
        <f>IF(ISBLANK(VLOOKUP($A989,'Entry data'!$A:$K,11,FALSE)),"",VLOOKUP($A989,'Entry data'!$A:$K,11,FALSE))</f>
        <v/>
      </c>
      <c r="L989">
        <f>IF(OR(EXACT(D989,"C"),EXACT(D989,"P"),EXACT(D989,"D"),EXACT(D989,"T"),EXACT(D989,"X"),EXACT(E989,"DZF"),EXACT(E989,"OZF"),EXACT(D989,"N"),EXACT(D989,"F")),1,0)</f>
        <v>0</v>
      </c>
      <c r="M989" t="str">
        <f t="shared" si="60"/>
        <v/>
      </c>
      <c r="N989">
        <f t="shared" si="61"/>
        <v>0</v>
      </c>
      <c r="O989">
        <f t="shared" si="62"/>
        <v>0</v>
      </c>
      <c r="P989" t="str">
        <f t="shared" si="63"/>
        <v/>
      </c>
    </row>
    <row r="990" spans="1:16" x14ac:dyDescent="0.25">
      <c r="A990">
        <v>489</v>
      </c>
      <c r="B990" t="str">
        <f>IF(ISBLANK(VLOOKUP($A990,'Entry data'!$A:$K,2,FALSE)),"",VLOOKUP($A990,'Entry data'!$A:$K,2,FALSE))</f>
        <v/>
      </c>
      <c r="C990" t="str">
        <f>IF(ISBLANK(VLOOKUP($A990,'Entry data'!$A:$K,3,FALSE)),"",VLOOKUP($A990,'Entry data'!$A:$K,3,FALSE))</f>
        <v/>
      </c>
      <c r="D990" t="str">
        <f>IF(ISBLANK(VLOOKUP($A990,'Entry data'!$A:$K,4,FALSE)),"",VLOOKUP($A990,'Entry data'!$A:$K,4,FALSE))</f>
        <v/>
      </c>
      <c r="E990" t="str">
        <f>IF(ISBLANK(VLOOKUP($A990,'Entry data'!$A:$K,5,FALSE)),"",VLOOKUP($A990,'Entry data'!$A:$K,5,FALSE))</f>
        <v/>
      </c>
      <c r="F990" t="str">
        <f>IF(ISBLANK(VLOOKUP($A990,'Entry data'!$A:$K,6,FALSE)),"",VLOOKUP($A990,'Entry data'!$A:$K,6,FALSE))</f>
        <v/>
      </c>
      <c r="G990" t="str">
        <f>IF(ISBLANK(VLOOKUP($A990,'Entry data'!$A:$K,7,FALSE)),"",VLOOKUP($A990,'Entry data'!$A:$K,7,FALSE))</f>
        <v/>
      </c>
      <c r="H990" t="str">
        <f>IF(ISBLANK(VLOOKUP($A990,'Entry data'!$A:$K,8,FALSE)),"",VLOOKUP($A990,'Entry data'!$A:$K,8,FALSE))</f>
        <v/>
      </c>
      <c r="I990" t="str">
        <f>IF(ISBLANK(VLOOKUP($A990,'Entry data'!$A:$K,9,FALSE)),"",VLOOKUP($A990,'Entry data'!$A:$K,9,FALSE))</f>
        <v/>
      </c>
      <c r="J990" t="str">
        <f>IF(ISBLANK(VLOOKUP($A990,'Entry data'!$A:$K,10,FALSE)),"",VLOOKUP($A990,'Entry data'!$A:$K,10,FALSE))</f>
        <v/>
      </c>
      <c r="K990" t="str">
        <f>IF(ISBLANK(VLOOKUP($A990,'Entry data'!$A:$K,11,FALSE)),"",VLOOKUP($A990,'Entry data'!$A:$K,11,FALSE))</f>
        <v/>
      </c>
      <c r="L990">
        <f>IF(OR(EXACT(D990,"C"),EXACT(D990,"P"),EXACT(D990,"D"),EXACT(D990,"T"),EXACT(D990,"X"),EXACT(E990,"DZF"),EXACT(E990,"OZF"),EXACT(D990,"N"),EXACT(D990,"F")),1,0)</f>
        <v>0</v>
      </c>
      <c r="M990" t="str">
        <f t="shared" si="60"/>
        <v/>
      </c>
      <c r="N990">
        <f t="shared" si="61"/>
        <v>0</v>
      </c>
      <c r="O990">
        <f t="shared" si="62"/>
        <v>0</v>
      </c>
      <c r="P990" t="str">
        <f t="shared" si="63"/>
        <v/>
      </c>
    </row>
    <row r="991" spans="1:16" x14ac:dyDescent="0.25">
      <c r="A991">
        <v>490</v>
      </c>
      <c r="B991" t="str">
        <f>IF(ISBLANK(VLOOKUP($A991,'Entry data'!$A:$K,2,FALSE)),"",VLOOKUP($A991,'Entry data'!$A:$K,2,FALSE))</f>
        <v/>
      </c>
      <c r="C991" t="str">
        <f>IF(ISBLANK(VLOOKUP($A991,'Entry data'!$A:$K,3,FALSE)),"",VLOOKUP($A991,'Entry data'!$A:$K,3,FALSE))</f>
        <v/>
      </c>
      <c r="D991" t="str">
        <f>IF(ISBLANK(VLOOKUP($A991,'Entry data'!$A:$K,4,FALSE)),"",VLOOKUP($A991,'Entry data'!$A:$K,4,FALSE))</f>
        <v/>
      </c>
      <c r="E991" t="str">
        <f>IF(ISBLANK(VLOOKUP($A991,'Entry data'!$A:$K,5,FALSE)),"",VLOOKUP($A991,'Entry data'!$A:$K,5,FALSE))</f>
        <v/>
      </c>
      <c r="F991" t="str">
        <f>IF(ISBLANK(VLOOKUP($A991,'Entry data'!$A:$K,6,FALSE)),"",VLOOKUP($A991,'Entry data'!$A:$K,6,FALSE))</f>
        <v/>
      </c>
      <c r="G991" t="str">
        <f>IF(ISBLANK(VLOOKUP($A991,'Entry data'!$A:$K,7,FALSE)),"",VLOOKUP($A991,'Entry data'!$A:$K,7,FALSE))</f>
        <v/>
      </c>
      <c r="H991" t="str">
        <f>IF(ISBLANK(VLOOKUP($A991,'Entry data'!$A:$K,8,FALSE)),"",VLOOKUP($A991,'Entry data'!$A:$K,8,FALSE))</f>
        <v/>
      </c>
      <c r="I991" t="str">
        <f>IF(ISBLANK(VLOOKUP($A991,'Entry data'!$A:$K,9,FALSE)),"",VLOOKUP($A991,'Entry data'!$A:$K,9,FALSE))</f>
        <v/>
      </c>
      <c r="J991" t="str">
        <f>IF(ISBLANK(VLOOKUP($A991,'Entry data'!$A:$K,10,FALSE)),"",VLOOKUP($A991,'Entry data'!$A:$K,10,FALSE))</f>
        <v/>
      </c>
      <c r="K991" t="str">
        <f>IF(ISBLANK(VLOOKUP($A991,'Entry data'!$A:$K,11,FALSE)),"",VLOOKUP($A991,'Entry data'!$A:$K,11,FALSE))</f>
        <v/>
      </c>
      <c r="L991">
        <f>IF(OR(EXACT(D991,"C"),EXACT(D991,"P"),EXACT(D991,"D"),EXACT(D991,"T"),EXACT(D991,"X"),EXACT(E991,"DZF"),EXACT(E991,"OZF"),EXACT(D991,"N"),EXACT(D991,"F")),1,0)</f>
        <v>0</v>
      </c>
      <c r="M991" t="str">
        <f t="shared" si="60"/>
        <v/>
      </c>
      <c r="N991">
        <f t="shared" si="61"/>
        <v>0</v>
      </c>
      <c r="O991">
        <f t="shared" si="62"/>
        <v>0</v>
      </c>
      <c r="P991" t="str">
        <f t="shared" si="63"/>
        <v/>
      </c>
    </row>
    <row r="992" spans="1:16" x14ac:dyDescent="0.25">
      <c r="A992">
        <v>491</v>
      </c>
      <c r="B992" t="str">
        <f>IF(ISBLANK(VLOOKUP($A992,'Entry data'!$A:$K,2,FALSE)),"",VLOOKUP($A992,'Entry data'!$A:$K,2,FALSE))</f>
        <v/>
      </c>
      <c r="C992" t="str">
        <f>IF(ISBLANK(VLOOKUP($A992,'Entry data'!$A:$K,3,FALSE)),"",VLOOKUP($A992,'Entry data'!$A:$K,3,FALSE))</f>
        <v/>
      </c>
      <c r="D992" t="str">
        <f>IF(ISBLANK(VLOOKUP($A992,'Entry data'!$A:$K,4,FALSE)),"",VLOOKUP($A992,'Entry data'!$A:$K,4,FALSE))</f>
        <v/>
      </c>
      <c r="E992" t="str">
        <f>IF(ISBLANK(VLOOKUP($A992,'Entry data'!$A:$K,5,FALSE)),"",VLOOKUP($A992,'Entry data'!$A:$K,5,FALSE))</f>
        <v/>
      </c>
      <c r="F992" t="str">
        <f>IF(ISBLANK(VLOOKUP($A992,'Entry data'!$A:$K,6,FALSE)),"",VLOOKUP($A992,'Entry data'!$A:$K,6,FALSE))</f>
        <v/>
      </c>
      <c r="G992" t="str">
        <f>IF(ISBLANK(VLOOKUP($A992,'Entry data'!$A:$K,7,FALSE)),"",VLOOKUP($A992,'Entry data'!$A:$K,7,FALSE))</f>
        <v/>
      </c>
      <c r="H992" t="str">
        <f>IF(ISBLANK(VLOOKUP($A992,'Entry data'!$A:$K,8,FALSE)),"",VLOOKUP($A992,'Entry data'!$A:$K,8,FALSE))</f>
        <v/>
      </c>
      <c r="I992" t="str">
        <f>IF(ISBLANK(VLOOKUP($A992,'Entry data'!$A:$K,9,FALSE)),"",VLOOKUP($A992,'Entry data'!$A:$K,9,FALSE))</f>
        <v/>
      </c>
      <c r="J992" t="str">
        <f>IF(ISBLANK(VLOOKUP($A992,'Entry data'!$A:$K,10,FALSE)),"",VLOOKUP($A992,'Entry data'!$A:$K,10,FALSE))</f>
        <v/>
      </c>
      <c r="K992" t="str">
        <f>IF(ISBLANK(VLOOKUP($A992,'Entry data'!$A:$K,11,FALSE)),"",VLOOKUP($A992,'Entry data'!$A:$K,11,FALSE))</f>
        <v/>
      </c>
      <c r="L992">
        <f>IF(OR(EXACT(D992,"C"),EXACT(D992,"P"),EXACT(D992,"D"),EXACT(D992,"T"),EXACT(D992,"X"),EXACT(E992,"DZF"),EXACT(E992,"OZF"),EXACT(D992,"N"),EXACT(D992,"F")),1,0)</f>
        <v>0</v>
      </c>
      <c r="M992" t="str">
        <f t="shared" si="60"/>
        <v/>
      </c>
      <c r="N992">
        <f t="shared" si="61"/>
        <v>0</v>
      </c>
      <c r="O992">
        <f t="shared" si="62"/>
        <v>0</v>
      </c>
      <c r="P992" t="str">
        <f t="shared" si="63"/>
        <v/>
      </c>
    </row>
    <row r="993" spans="1:16" x14ac:dyDescent="0.25">
      <c r="A993">
        <v>492</v>
      </c>
      <c r="B993" t="str">
        <f>IF(ISBLANK(VLOOKUP($A993,'Entry data'!$A:$K,2,FALSE)),"",VLOOKUP($A993,'Entry data'!$A:$K,2,FALSE))</f>
        <v/>
      </c>
      <c r="C993" t="str">
        <f>IF(ISBLANK(VLOOKUP($A993,'Entry data'!$A:$K,3,FALSE)),"",VLOOKUP($A993,'Entry data'!$A:$K,3,FALSE))</f>
        <v/>
      </c>
      <c r="D993" t="str">
        <f>IF(ISBLANK(VLOOKUP($A993,'Entry data'!$A:$K,4,FALSE)),"",VLOOKUP($A993,'Entry data'!$A:$K,4,FALSE))</f>
        <v/>
      </c>
      <c r="E993" t="str">
        <f>IF(ISBLANK(VLOOKUP($A993,'Entry data'!$A:$K,5,FALSE)),"",VLOOKUP($A993,'Entry data'!$A:$K,5,FALSE))</f>
        <v/>
      </c>
      <c r="F993" t="str">
        <f>IF(ISBLANK(VLOOKUP($A993,'Entry data'!$A:$K,6,FALSE)),"",VLOOKUP($A993,'Entry data'!$A:$K,6,FALSE))</f>
        <v/>
      </c>
      <c r="G993" t="str">
        <f>IF(ISBLANK(VLOOKUP($A993,'Entry data'!$A:$K,7,FALSE)),"",VLOOKUP($A993,'Entry data'!$A:$K,7,FALSE))</f>
        <v/>
      </c>
      <c r="H993" t="str">
        <f>IF(ISBLANK(VLOOKUP($A993,'Entry data'!$A:$K,8,FALSE)),"",VLOOKUP($A993,'Entry data'!$A:$K,8,FALSE))</f>
        <v/>
      </c>
      <c r="I993" t="str">
        <f>IF(ISBLANK(VLOOKUP($A993,'Entry data'!$A:$K,9,FALSE)),"",VLOOKUP($A993,'Entry data'!$A:$K,9,FALSE))</f>
        <v/>
      </c>
      <c r="J993" t="str">
        <f>IF(ISBLANK(VLOOKUP($A993,'Entry data'!$A:$K,10,FALSE)),"",VLOOKUP($A993,'Entry data'!$A:$K,10,FALSE))</f>
        <v/>
      </c>
      <c r="K993" t="str">
        <f>IF(ISBLANK(VLOOKUP($A993,'Entry data'!$A:$K,11,FALSE)),"",VLOOKUP($A993,'Entry data'!$A:$K,11,FALSE))</f>
        <v/>
      </c>
      <c r="L993">
        <f>IF(OR(EXACT(D993,"C"),EXACT(D993,"P"),EXACT(D993,"D"),EXACT(D993,"T"),EXACT(D993,"X"),EXACT(E993,"DZF"),EXACT(E993,"OZF"),EXACT(D993,"N"),EXACT(D993,"F")),1,0)</f>
        <v>0</v>
      </c>
      <c r="M993" t="str">
        <f t="shared" si="60"/>
        <v/>
      </c>
      <c r="N993">
        <f t="shared" si="61"/>
        <v>0</v>
      </c>
      <c r="O993">
        <f t="shared" si="62"/>
        <v>0</v>
      </c>
      <c r="P993" t="str">
        <f t="shared" si="63"/>
        <v/>
      </c>
    </row>
    <row r="994" spans="1:16" x14ac:dyDescent="0.25">
      <c r="A994">
        <v>493</v>
      </c>
      <c r="B994" t="str">
        <f>IF(ISBLANK(VLOOKUP($A994,'Entry data'!$A:$K,2,FALSE)),"",VLOOKUP($A994,'Entry data'!$A:$K,2,FALSE))</f>
        <v/>
      </c>
      <c r="C994" t="str">
        <f>IF(ISBLANK(VLOOKUP($A994,'Entry data'!$A:$K,3,FALSE)),"",VLOOKUP($A994,'Entry data'!$A:$K,3,FALSE))</f>
        <v/>
      </c>
      <c r="D994" t="str">
        <f>IF(ISBLANK(VLOOKUP($A994,'Entry data'!$A:$K,4,FALSE)),"",VLOOKUP($A994,'Entry data'!$A:$K,4,FALSE))</f>
        <v/>
      </c>
      <c r="E994" t="str">
        <f>IF(ISBLANK(VLOOKUP($A994,'Entry data'!$A:$K,5,FALSE)),"",VLOOKUP($A994,'Entry data'!$A:$K,5,FALSE))</f>
        <v/>
      </c>
      <c r="F994" t="str">
        <f>IF(ISBLANK(VLOOKUP($A994,'Entry data'!$A:$K,6,FALSE)),"",VLOOKUP($A994,'Entry data'!$A:$K,6,FALSE))</f>
        <v/>
      </c>
      <c r="G994" t="str">
        <f>IF(ISBLANK(VLOOKUP($A994,'Entry data'!$A:$K,7,FALSE)),"",VLOOKUP($A994,'Entry data'!$A:$K,7,FALSE))</f>
        <v/>
      </c>
      <c r="H994" t="str">
        <f>IF(ISBLANK(VLOOKUP($A994,'Entry data'!$A:$K,8,FALSE)),"",VLOOKUP($A994,'Entry data'!$A:$K,8,FALSE))</f>
        <v/>
      </c>
      <c r="I994" t="str">
        <f>IF(ISBLANK(VLOOKUP($A994,'Entry data'!$A:$K,9,FALSE)),"",VLOOKUP($A994,'Entry data'!$A:$K,9,FALSE))</f>
        <v/>
      </c>
      <c r="J994" t="str">
        <f>IF(ISBLANK(VLOOKUP($A994,'Entry data'!$A:$K,10,FALSE)),"",VLOOKUP($A994,'Entry data'!$A:$K,10,FALSE))</f>
        <v/>
      </c>
      <c r="K994" t="str">
        <f>IF(ISBLANK(VLOOKUP($A994,'Entry data'!$A:$K,11,FALSE)),"",VLOOKUP($A994,'Entry data'!$A:$K,11,FALSE))</f>
        <v/>
      </c>
      <c r="L994">
        <f>IF(OR(EXACT(D994,"C"),EXACT(D994,"P"),EXACT(D994,"D"),EXACT(D994,"T"),EXACT(D994,"X"),EXACT(E994,"DZF"),EXACT(E994,"OZF"),EXACT(D994,"N"),EXACT(D994,"F")),1,0)</f>
        <v>0</v>
      </c>
      <c r="M994" t="str">
        <f t="shared" si="60"/>
        <v/>
      </c>
      <c r="N994">
        <f t="shared" si="61"/>
        <v>0</v>
      </c>
      <c r="O994">
        <f t="shared" si="62"/>
        <v>0</v>
      </c>
      <c r="P994" t="str">
        <f t="shared" si="63"/>
        <v/>
      </c>
    </row>
    <row r="995" spans="1:16" x14ac:dyDescent="0.25">
      <c r="A995">
        <v>494</v>
      </c>
      <c r="B995" t="str">
        <f>IF(ISBLANK(VLOOKUP($A995,'Entry data'!$A:$K,2,FALSE)),"",VLOOKUP($A995,'Entry data'!$A:$K,2,FALSE))</f>
        <v/>
      </c>
      <c r="C995" t="str">
        <f>IF(ISBLANK(VLOOKUP($A995,'Entry data'!$A:$K,3,FALSE)),"",VLOOKUP($A995,'Entry data'!$A:$K,3,FALSE))</f>
        <v/>
      </c>
      <c r="D995" t="str">
        <f>IF(ISBLANK(VLOOKUP($A995,'Entry data'!$A:$K,4,FALSE)),"",VLOOKUP($A995,'Entry data'!$A:$K,4,FALSE))</f>
        <v/>
      </c>
      <c r="E995" t="str">
        <f>IF(ISBLANK(VLOOKUP($A995,'Entry data'!$A:$K,5,FALSE)),"",VLOOKUP($A995,'Entry data'!$A:$K,5,FALSE))</f>
        <v/>
      </c>
      <c r="F995" t="str">
        <f>IF(ISBLANK(VLOOKUP($A995,'Entry data'!$A:$K,6,FALSE)),"",VLOOKUP($A995,'Entry data'!$A:$K,6,FALSE))</f>
        <v/>
      </c>
      <c r="G995" t="str">
        <f>IF(ISBLANK(VLOOKUP($A995,'Entry data'!$A:$K,7,FALSE)),"",VLOOKUP($A995,'Entry data'!$A:$K,7,FALSE))</f>
        <v/>
      </c>
      <c r="H995" t="str">
        <f>IF(ISBLANK(VLOOKUP($A995,'Entry data'!$A:$K,8,FALSE)),"",VLOOKUP($A995,'Entry data'!$A:$K,8,FALSE))</f>
        <v/>
      </c>
      <c r="I995" t="str">
        <f>IF(ISBLANK(VLOOKUP($A995,'Entry data'!$A:$K,9,FALSE)),"",VLOOKUP($A995,'Entry data'!$A:$K,9,FALSE))</f>
        <v/>
      </c>
      <c r="J995" t="str">
        <f>IF(ISBLANK(VLOOKUP($A995,'Entry data'!$A:$K,10,FALSE)),"",VLOOKUP($A995,'Entry data'!$A:$K,10,FALSE))</f>
        <v/>
      </c>
      <c r="K995" t="str">
        <f>IF(ISBLANK(VLOOKUP($A995,'Entry data'!$A:$K,11,FALSE)),"",VLOOKUP($A995,'Entry data'!$A:$K,11,FALSE))</f>
        <v/>
      </c>
      <c r="L995">
        <f>IF(OR(EXACT(D995,"C"),EXACT(D995,"P"),EXACT(D995,"D"),EXACT(D995,"T"),EXACT(D995,"X"),EXACT(E995,"DZF"),EXACT(E995,"OZF"),EXACT(D995,"N"),EXACT(D995,"F")),1,0)</f>
        <v>0</v>
      </c>
      <c r="M995" t="str">
        <f t="shared" si="60"/>
        <v/>
      </c>
      <c r="N995">
        <f t="shared" si="61"/>
        <v>0</v>
      </c>
      <c r="O995">
        <f t="shared" si="62"/>
        <v>0</v>
      </c>
      <c r="P995" t="str">
        <f t="shared" si="63"/>
        <v/>
      </c>
    </row>
    <row r="996" spans="1:16" x14ac:dyDescent="0.25">
      <c r="A996">
        <v>495</v>
      </c>
      <c r="B996" t="str">
        <f>IF(ISBLANK(VLOOKUP($A996,'Entry data'!$A:$K,2,FALSE)),"",VLOOKUP($A996,'Entry data'!$A:$K,2,FALSE))</f>
        <v/>
      </c>
      <c r="C996" t="str">
        <f>IF(ISBLANK(VLOOKUP($A996,'Entry data'!$A:$K,3,FALSE)),"",VLOOKUP($A996,'Entry data'!$A:$K,3,FALSE))</f>
        <v/>
      </c>
      <c r="D996" t="str">
        <f>IF(ISBLANK(VLOOKUP($A996,'Entry data'!$A:$K,4,FALSE)),"",VLOOKUP($A996,'Entry data'!$A:$K,4,FALSE))</f>
        <v/>
      </c>
      <c r="E996" t="str">
        <f>IF(ISBLANK(VLOOKUP($A996,'Entry data'!$A:$K,5,FALSE)),"",VLOOKUP($A996,'Entry data'!$A:$K,5,FALSE))</f>
        <v/>
      </c>
      <c r="F996" t="str">
        <f>IF(ISBLANK(VLOOKUP($A996,'Entry data'!$A:$K,6,FALSE)),"",VLOOKUP($A996,'Entry data'!$A:$K,6,FALSE))</f>
        <v/>
      </c>
      <c r="G996" t="str">
        <f>IF(ISBLANK(VLOOKUP($A996,'Entry data'!$A:$K,7,FALSE)),"",VLOOKUP($A996,'Entry data'!$A:$K,7,FALSE))</f>
        <v/>
      </c>
      <c r="H996" t="str">
        <f>IF(ISBLANK(VLOOKUP($A996,'Entry data'!$A:$K,8,FALSE)),"",VLOOKUP($A996,'Entry data'!$A:$K,8,FALSE))</f>
        <v/>
      </c>
      <c r="I996" t="str">
        <f>IF(ISBLANK(VLOOKUP($A996,'Entry data'!$A:$K,9,FALSE)),"",VLOOKUP($A996,'Entry data'!$A:$K,9,FALSE))</f>
        <v/>
      </c>
      <c r="J996" t="str">
        <f>IF(ISBLANK(VLOOKUP($A996,'Entry data'!$A:$K,10,FALSE)),"",VLOOKUP($A996,'Entry data'!$A:$K,10,FALSE))</f>
        <v/>
      </c>
      <c r="K996" t="str">
        <f>IF(ISBLANK(VLOOKUP($A996,'Entry data'!$A:$K,11,FALSE)),"",VLOOKUP($A996,'Entry data'!$A:$K,11,FALSE))</f>
        <v/>
      </c>
      <c r="L996">
        <f>IF(OR(EXACT(D996,"C"),EXACT(D996,"P"),EXACT(D996,"D"),EXACT(D996,"T"),EXACT(D996,"X"),EXACT(E996,"DZF"),EXACT(E996,"OZF"),EXACT(D996,"N"),EXACT(D996,"F")),1,0)</f>
        <v>0</v>
      </c>
      <c r="M996" t="str">
        <f t="shared" si="60"/>
        <v/>
      </c>
      <c r="N996">
        <f t="shared" si="61"/>
        <v>0</v>
      </c>
      <c r="O996">
        <f t="shared" si="62"/>
        <v>0</v>
      </c>
      <c r="P996" t="str">
        <f t="shared" si="63"/>
        <v/>
      </c>
    </row>
    <row r="997" spans="1:16" x14ac:dyDescent="0.25">
      <c r="A997">
        <v>496</v>
      </c>
      <c r="B997" t="str">
        <f>IF(ISBLANK(VLOOKUP($A997,'Entry data'!$A:$K,2,FALSE)),"",VLOOKUP($A997,'Entry data'!$A:$K,2,FALSE))</f>
        <v/>
      </c>
      <c r="C997" t="str">
        <f>IF(ISBLANK(VLOOKUP($A997,'Entry data'!$A:$K,3,FALSE)),"",VLOOKUP($A997,'Entry data'!$A:$K,3,FALSE))</f>
        <v/>
      </c>
      <c r="D997" t="str">
        <f>IF(ISBLANK(VLOOKUP($A997,'Entry data'!$A:$K,4,FALSE)),"",VLOOKUP($A997,'Entry data'!$A:$K,4,FALSE))</f>
        <v/>
      </c>
      <c r="E997" t="str">
        <f>IF(ISBLANK(VLOOKUP($A997,'Entry data'!$A:$K,5,FALSE)),"",VLOOKUP($A997,'Entry data'!$A:$K,5,FALSE))</f>
        <v/>
      </c>
      <c r="F997" t="str">
        <f>IF(ISBLANK(VLOOKUP($A997,'Entry data'!$A:$K,6,FALSE)),"",VLOOKUP($A997,'Entry data'!$A:$K,6,FALSE))</f>
        <v/>
      </c>
      <c r="G997" t="str">
        <f>IF(ISBLANK(VLOOKUP($A997,'Entry data'!$A:$K,7,FALSE)),"",VLOOKUP($A997,'Entry data'!$A:$K,7,FALSE))</f>
        <v/>
      </c>
      <c r="H997" t="str">
        <f>IF(ISBLANK(VLOOKUP($A997,'Entry data'!$A:$K,8,FALSE)),"",VLOOKUP($A997,'Entry data'!$A:$K,8,FALSE))</f>
        <v/>
      </c>
      <c r="I997" t="str">
        <f>IF(ISBLANK(VLOOKUP($A997,'Entry data'!$A:$K,9,FALSE)),"",VLOOKUP($A997,'Entry data'!$A:$K,9,FALSE))</f>
        <v/>
      </c>
      <c r="J997" t="str">
        <f>IF(ISBLANK(VLOOKUP($A997,'Entry data'!$A:$K,10,FALSE)),"",VLOOKUP($A997,'Entry data'!$A:$K,10,FALSE))</f>
        <v/>
      </c>
      <c r="K997" t="str">
        <f>IF(ISBLANK(VLOOKUP($A997,'Entry data'!$A:$K,11,FALSE)),"",VLOOKUP($A997,'Entry data'!$A:$K,11,FALSE))</f>
        <v/>
      </c>
      <c r="L997">
        <f>IF(OR(EXACT(D997,"C"),EXACT(D997,"P"),EXACT(D997,"D"),EXACT(D997,"T"),EXACT(D997,"X"),EXACT(E997,"DZF"),EXACT(E997,"OZF"),EXACT(D997,"N"),EXACT(D997,"F")),1,0)</f>
        <v>0</v>
      </c>
      <c r="M997" t="str">
        <f t="shared" si="60"/>
        <v/>
      </c>
      <c r="N997">
        <f t="shared" si="61"/>
        <v>0</v>
      </c>
      <c r="O997">
        <f t="shared" si="62"/>
        <v>0</v>
      </c>
      <c r="P997" t="str">
        <f t="shared" si="63"/>
        <v/>
      </c>
    </row>
    <row r="998" spans="1:16" x14ac:dyDescent="0.25">
      <c r="A998">
        <v>497</v>
      </c>
      <c r="B998" t="str">
        <f>IF(ISBLANK(VLOOKUP($A998,'Entry data'!$A:$K,2,FALSE)),"",VLOOKUP($A998,'Entry data'!$A:$K,2,FALSE))</f>
        <v/>
      </c>
      <c r="C998" t="str">
        <f>IF(ISBLANK(VLOOKUP($A998,'Entry data'!$A:$K,3,FALSE)),"",VLOOKUP($A998,'Entry data'!$A:$K,3,FALSE))</f>
        <v/>
      </c>
      <c r="D998" t="str">
        <f>IF(ISBLANK(VLOOKUP($A998,'Entry data'!$A:$K,4,FALSE)),"",VLOOKUP($A998,'Entry data'!$A:$K,4,FALSE))</f>
        <v/>
      </c>
      <c r="E998" t="str">
        <f>IF(ISBLANK(VLOOKUP($A998,'Entry data'!$A:$K,5,FALSE)),"",VLOOKUP($A998,'Entry data'!$A:$K,5,FALSE))</f>
        <v/>
      </c>
      <c r="F998" t="str">
        <f>IF(ISBLANK(VLOOKUP($A998,'Entry data'!$A:$K,6,FALSE)),"",VLOOKUP($A998,'Entry data'!$A:$K,6,FALSE))</f>
        <v/>
      </c>
      <c r="G998" t="str">
        <f>IF(ISBLANK(VLOOKUP($A998,'Entry data'!$A:$K,7,FALSE)),"",VLOOKUP($A998,'Entry data'!$A:$K,7,FALSE))</f>
        <v/>
      </c>
      <c r="H998" t="str">
        <f>IF(ISBLANK(VLOOKUP($A998,'Entry data'!$A:$K,8,FALSE)),"",VLOOKUP($A998,'Entry data'!$A:$K,8,FALSE))</f>
        <v/>
      </c>
      <c r="I998" t="str">
        <f>IF(ISBLANK(VLOOKUP($A998,'Entry data'!$A:$K,9,FALSE)),"",VLOOKUP($A998,'Entry data'!$A:$K,9,FALSE))</f>
        <v/>
      </c>
      <c r="J998" t="str">
        <f>IF(ISBLANK(VLOOKUP($A998,'Entry data'!$A:$K,10,FALSE)),"",VLOOKUP($A998,'Entry data'!$A:$K,10,FALSE))</f>
        <v/>
      </c>
      <c r="K998" t="str">
        <f>IF(ISBLANK(VLOOKUP($A998,'Entry data'!$A:$K,11,FALSE)),"",VLOOKUP($A998,'Entry data'!$A:$K,11,FALSE))</f>
        <v/>
      </c>
      <c r="L998">
        <f>IF(OR(EXACT(D998,"C"),EXACT(D998,"P"),EXACT(D998,"D"),EXACT(D998,"T"),EXACT(D998,"X"),EXACT(E998,"DZF"),EXACT(E998,"OZF"),EXACT(D998,"N"),EXACT(D998,"F")),1,0)</f>
        <v>0</v>
      </c>
      <c r="M998" t="str">
        <f t="shared" si="60"/>
        <v/>
      </c>
      <c r="N998">
        <f t="shared" si="61"/>
        <v>0</v>
      </c>
      <c r="O998">
        <f t="shared" si="62"/>
        <v>0</v>
      </c>
      <c r="P998" t="str">
        <f t="shared" si="63"/>
        <v/>
      </c>
    </row>
    <row r="999" spans="1:16" x14ac:dyDescent="0.25">
      <c r="A999">
        <v>498</v>
      </c>
      <c r="B999" t="str">
        <f>IF(ISBLANK(VLOOKUP($A999,'Entry data'!$A:$K,2,FALSE)),"",VLOOKUP($A999,'Entry data'!$A:$K,2,FALSE))</f>
        <v/>
      </c>
      <c r="C999" t="str">
        <f>IF(ISBLANK(VLOOKUP($A999,'Entry data'!$A:$K,3,FALSE)),"",VLOOKUP($A999,'Entry data'!$A:$K,3,FALSE))</f>
        <v/>
      </c>
      <c r="D999" t="str">
        <f>IF(ISBLANK(VLOOKUP($A999,'Entry data'!$A:$K,4,FALSE)),"",VLOOKUP($A999,'Entry data'!$A:$K,4,FALSE))</f>
        <v/>
      </c>
      <c r="E999" t="str">
        <f>IF(ISBLANK(VLOOKUP($A999,'Entry data'!$A:$K,5,FALSE)),"",VLOOKUP($A999,'Entry data'!$A:$K,5,FALSE))</f>
        <v/>
      </c>
      <c r="F999" t="str">
        <f>IF(ISBLANK(VLOOKUP($A999,'Entry data'!$A:$K,6,FALSE)),"",VLOOKUP($A999,'Entry data'!$A:$K,6,FALSE))</f>
        <v/>
      </c>
      <c r="G999" t="str">
        <f>IF(ISBLANK(VLOOKUP($A999,'Entry data'!$A:$K,7,FALSE)),"",VLOOKUP($A999,'Entry data'!$A:$K,7,FALSE))</f>
        <v/>
      </c>
      <c r="H999" t="str">
        <f>IF(ISBLANK(VLOOKUP($A999,'Entry data'!$A:$K,8,FALSE)),"",VLOOKUP($A999,'Entry data'!$A:$K,8,FALSE))</f>
        <v/>
      </c>
      <c r="I999" t="str">
        <f>IF(ISBLANK(VLOOKUP($A999,'Entry data'!$A:$K,9,FALSE)),"",VLOOKUP($A999,'Entry data'!$A:$K,9,FALSE))</f>
        <v/>
      </c>
      <c r="J999" t="str">
        <f>IF(ISBLANK(VLOOKUP($A999,'Entry data'!$A:$K,10,FALSE)),"",VLOOKUP($A999,'Entry data'!$A:$K,10,FALSE))</f>
        <v/>
      </c>
      <c r="K999" t="str">
        <f>IF(ISBLANK(VLOOKUP($A999,'Entry data'!$A:$K,11,FALSE)),"",VLOOKUP($A999,'Entry data'!$A:$K,11,FALSE))</f>
        <v/>
      </c>
      <c r="L999">
        <f>IF(OR(EXACT(D999,"C"),EXACT(D999,"P"),EXACT(D999,"D"),EXACT(D999,"T"),EXACT(D999,"X"),EXACT(E999,"DZF"),EXACT(E999,"OZF"),EXACT(D999,"N"),EXACT(D999,"F")),1,0)</f>
        <v>0</v>
      </c>
      <c r="M999" t="str">
        <f t="shared" si="60"/>
        <v/>
      </c>
      <c r="N999">
        <f t="shared" si="61"/>
        <v>0</v>
      </c>
      <c r="O999">
        <f t="shared" si="62"/>
        <v>0</v>
      </c>
      <c r="P999" t="str">
        <f t="shared" si="63"/>
        <v/>
      </c>
    </row>
    <row r="1000" spans="1:16" x14ac:dyDescent="0.25">
      <c r="A1000">
        <v>499</v>
      </c>
      <c r="B1000" t="str">
        <f>IF(ISBLANK(VLOOKUP($A1000,'Entry data'!$A:$K,2,FALSE)),"",VLOOKUP($A1000,'Entry data'!$A:$K,2,FALSE))</f>
        <v/>
      </c>
      <c r="C1000" t="str">
        <f>IF(ISBLANK(VLOOKUP($A1000,'Entry data'!$A:$K,3,FALSE)),"",VLOOKUP($A1000,'Entry data'!$A:$K,3,FALSE))</f>
        <v/>
      </c>
      <c r="D1000" t="str">
        <f>IF(ISBLANK(VLOOKUP($A1000,'Entry data'!$A:$K,4,FALSE)),"",VLOOKUP($A1000,'Entry data'!$A:$K,4,FALSE))</f>
        <v/>
      </c>
      <c r="E1000" t="str">
        <f>IF(ISBLANK(VLOOKUP($A1000,'Entry data'!$A:$K,5,FALSE)),"",VLOOKUP($A1000,'Entry data'!$A:$K,5,FALSE))</f>
        <v/>
      </c>
      <c r="F1000" t="str">
        <f>IF(ISBLANK(VLOOKUP($A1000,'Entry data'!$A:$K,6,FALSE)),"",VLOOKUP($A1000,'Entry data'!$A:$K,6,FALSE))</f>
        <v/>
      </c>
      <c r="G1000" t="str">
        <f>IF(ISBLANK(VLOOKUP($A1000,'Entry data'!$A:$K,7,FALSE)),"",VLOOKUP($A1000,'Entry data'!$A:$K,7,FALSE))</f>
        <v/>
      </c>
      <c r="H1000" t="str">
        <f>IF(ISBLANK(VLOOKUP($A1000,'Entry data'!$A:$K,8,FALSE)),"",VLOOKUP($A1000,'Entry data'!$A:$K,8,FALSE))</f>
        <v/>
      </c>
      <c r="I1000" t="str">
        <f>IF(ISBLANK(VLOOKUP($A1000,'Entry data'!$A:$K,9,FALSE)),"",VLOOKUP($A1000,'Entry data'!$A:$K,9,FALSE))</f>
        <v/>
      </c>
      <c r="J1000" t="str">
        <f>IF(ISBLANK(VLOOKUP($A1000,'Entry data'!$A:$K,10,FALSE)),"",VLOOKUP($A1000,'Entry data'!$A:$K,10,FALSE))</f>
        <v/>
      </c>
      <c r="K1000" t="str">
        <f>IF(ISBLANK(VLOOKUP($A1000,'Entry data'!$A:$K,11,FALSE)),"",VLOOKUP($A1000,'Entry data'!$A:$K,11,FALSE))</f>
        <v/>
      </c>
      <c r="L1000">
        <f>IF(OR(EXACT(D1000,"C"),EXACT(D1000,"P"),EXACT(D1000,"D"),EXACT(D1000,"T"),EXACT(D1000,"X"),EXACT(E1000,"DZF"),EXACT(E1000,"OZF"),EXACT(D1000,"N"),EXACT(D1000,"F")),1,0)</f>
        <v>0</v>
      </c>
      <c r="M1000" t="str">
        <f t="shared" si="60"/>
        <v/>
      </c>
      <c r="N1000">
        <f t="shared" si="61"/>
        <v>0</v>
      </c>
      <c r="O1000">
        <f t="shared" si="62"/>
        <v>0</v>
      </c>
      <c r="P1000" t="str">
        <f t="shared" si="63"/>
        <v/>
      </c>
    </row>
    <row r="1001" spans="1:16" x14ac:dyDescent="0.25">
      <c r="A1001">
        <v>500</v>
      </c>
      <c r="B1001" t="str">
        <f>IF(ISBLANK(VLOOKUP($A1001,'Entry data'!$A:$K,2,FALSE)),"",VLOOKUP($A1001,'Entry data'!$A:$K,2,FALSE))</f>
        <v/>
      </c>
      <c r="C1001" t="str">
        <f>IF(ISBLANK(VLOOKUP($A1001,'Entry data'!$A:$K,3,FALSE)),"",VLOOKUP($A1001,'Entry data'!$A:$K,3,FALSE))</f>
        <v/>
      </c>
      <c r="D1001" t="str">
        <f>IF(ISBLANK(VLOOKUP($A1001,'Entry data'!$A:$K,4,FALSE)),"",VLOOKUP($A1001,'Entry data'!$A:$K,4,FALSE))</f>
        <v/>
      </c>
      <c r="E1001" t="str">
        <f>IF(ISBLANK(VLOOKUP($A1001,'Entry data'!$A:$K,5,FALSE)),"",VLOOKUP($A1001,'Entry data'!$A:$K,5,FALSE))</f>
        <v/>
      </c>
      <c r="F1001" t="str">
        <f>IF(ISBLANK(VLOOKUP($A1001,'Entry data'!$A:$K,6,FALSE)),"",VLOOKUP($A1001,'Entry data'!$A:$K,6,FALSE))</f>
        <v/>
      </c>
      <c r="G1001" t="str">
        <f>IF(ISBLANK(VLOOKUP($A1001,'Entry data'!$A:$K,7,FALSE)),"",VLOOKUP($A1001,'Entry data'!$A:$K,7,FALSE))</f>
        <v/>
      </c>
      <c r="H1001" t="str">
        <f>IF(ISBLANK(VLOOKUP($A1001,'Entry data'!$A:$K,8,FALSE)),"",VLOOKUP($A1001,'Entry data'!$A:$K,8,FALSE))</f>
        <v/>
      </c>
      <c r="I1001" t="str">
        <f>IF(ISBLANK(VLOOKUP($A1001,'Entry data'!$A:$K,9,FALSE)),"",VLOOKUP($A1001,'Entry data'!$A:$K,9,FALSE))</f>
        <v/>
      </c>
      <c r="J1001" t="str">
        <f>IF(ISBLANK(VLOOKUP($A1001,'Entry data'!$A:$K,10,FALSE)),"",VLOOKUP($A1001,'Entry data'!$A:$K,10,FALSE))</f>
        <v/>
      </c>
      <c r="K1001" t="str">
        <f>IF(ISBLANK(VLOOKUP($A1001,'Entry data'!$A:$K,11,FALSE)),"",VLOOKUP($A1001,'Entry data'!$A:$K,11,FALSE))</f>
        <v/>
      </c>
      <c r="L1001">
        <f>IF(OR(EXACT(D1001,"C"),EXACT(D1001,"P"),EXACT(D1001,"D"),EXACT(D1001,"T"),EXACT(D1001,"X"),EXACT(E1001,"DZF"),EXACT(E1001,"OZF"),EXACT(D1001,"N"),EXACT(D1001,"F")),1,0)</f>
        <v>0</v>
      </c>
      <c r="M1001" t="str">
        <f t="shared" si="60"/>
        <v/>
      </c>
      <c r="N1001">
        <f t="shared" si="61"/>
        <v>0</v>
      </c>
      <c r="O1001">
        <f t="shared" si="62"/>
        <v>0</v>
      </c>
      <c r="P1001" t="str">
        <f t="shared" si="63"/>
        <v/>
      </c>
    </row>
  </sheetData>
  <sortState ref="A2:L1001">
    <sortCondition ref="B2:B1001"/>
    <sortCondition descending="1" ref="C2:C100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00"/>
  <sheetViews>
    <sheetView workbookViewId="0">
      <selection sqref="A1:Q600"/>
    </sheetView>
  </sheetViews>
  <sheetFormatPr defaultRowHeight="15" x14ac:dyDescent="0.25"/>
  <cols>
    <col min="1" max="1" width="6.85546875" style="1" bestFit="1" customWidth="1"/>
    <col min="2" max="2" width="5.5703125" style="5" bestFit="1" customWidth="1"/>
    <col min="3" max="3" width="10" style="1" bestFit="1" customWidth="1"/>
    <col min="4" max="4" width="8.140625" style="1" bestFit="1" customWidth="1"/>
    <col min="5" max="5" width="12.42578125" style="1" bestFit="1" customWidth="1"/>
    <col min="6" max="6" width="13.140625" style="1" bestFit="1" customWidth="1"/>
    <col min="7" max="7" width="13.140625" style="1" customWidth="1"/>
    <col min="8" max="8" width="16.85546875" style="1" bestFit="1" customWidth="1"/>
    <col min="9" max="9" width="13.85546875" style="1" bestFit="1" customWidth="1"/>
    <col min="10" max="10" width="12.5703125" style="1" bestFit="1" customWidth="1"/>
    <col min="11" max="11" width="12.5703125" style="1" customWidth="1"/>
    <col min="12" max="12" width="8.85546875" style="1" bestFit="1" customWidth="1"/>
    <col min="13" max="13" width="9.5703125" style="1" bestFit="1" customWidth="1"/>
  </cols>
  <sheetData>
    <row r="1" spans="1:17" x14ac:dyDescent="0.25">
      <c r="A1" s="1" t="s">
        <v>0</v>
      </c>
      <c r="B1" s="5" t="s">
        <v>1</v>
      </c>
      <c r="C1" s="1" t="s">
        <v>2</v>
      </c>
      <c r="D1" s="1" t="s">
        <v>59</v>
      </c>
      <c r="E1" s="1" t="s">
        <v>60</v>
      </c>
      <c r="F1" s="1" t="s">
        <v>61</v>
      </c>
      <c r="G1" s="1" t="s">
        <v>63</v>
      </c>
      <c r="H1" s="1" t="s">
        <v>62</v>
      </c>
      <c r="I1" s="1" t="s">
        <v>6</v>
      </c>
      <c r="J1" s="1" t="s">
        <v>4</v>
      </c>
      <c r="K1" s="1" t="s">
        <v>16</v>
      </c>
      <c r="L1" s="1" t="s">
        <v>12</v>
      </c>
      <c r="M1" s="1" t="s">
        <v>13</v>
      </c>
      <c r="N1" s="1" t="s">
        <v>50</v>
      </c>
      <c r="O1" s="1" t="s">
        <v>43</v>
      </c>
      <c r="P1" s="1" t="s">
        <v>5</v>
      </c>
      <c r="Q1" s="1" t="s">
        <v>44</v>
      </c>
    </row>
    <row r="2" spans="1:17" x14ac:dyDescent="0.25">
      <c r="A2" s="1" t="str">
        <f>IF(calc!$L2=1,calc!B2,"")</f>
        <v/>
      </c>
      <c r="B2" s="5" t="str">
        <f>IF(calc!$L2=1,calc!C2,"")</f>
        <v/>
      </c>
      <c r="C2" s="1" t="str">
        <f>IF(calc!$L2=1,calc!D2,"")</f>
        <v/>
      </c>
      <c r="D2" s="1" t="str">
        <f>IF(calc!$L2=1,calc!E2,"")</f>
        <v/>
      </c>
      <c r="E2" s="1" t="str">
        <f>IF(calc!$L2=1,IF(EXACT(calc!$D2,"FAC"),"",calc!F2),"")</f>
        <v/>
      </c>
      <c r="F2" s="1" t="str">
        <f>IF(calc!$L2=1,IF(EXACT(calc!$D2,"FAC"),"",calc!G2),"")</f>
        <v/>
      </c>
      <c r="G2" s="1" t="str">
        <f>IF(calc!$L2=1,IF(EXACT(calc!$D2,"FAC"),"",calc!H2),"")</f>
        <v/>
      </c>
      <c r="H2" s="1" t="str">
        <f>IF(calc!$L2=1,IF(EXACT(calc!$D2,"FAC"),"",calc!I2),"")</f>
        <v/>
      </c>
      <c r="I2" s="1" t="str">
        <f>IF(calc!$L2=1,calc!J2,"")</f>
        <v/>
      </c>
      <c r="J2" s="1" t="str">
        <f>IF(calc!$L2=1,calc!K2,"")</f>
        <v/>
      </c>
      <c r="K2" s="1" t="str">
        <f>IF(calc!$L2=1,calc!M2,"")</f>
        <v/>
      </c>
      <c r="L2" s="1" t="str">
        <f>IF(calc!$L2=1,calc!N2,"")</f>
        <v/>
      </c>
      <c r="M2" s="1" t="str">
        <f>IF(calc!$L2=1,calc!O2,"")</f>
        <v/>
      </c>
      <c r="N2" s="1" t="str">
        <f>IF(calc!$L2=1,calc!P2,"")</f>
        <v/>
      </c>
      <c r="O2">
        <f>'Entry data'!C$1</f>
        <v>20064</v>
      </c>
      <c r="P2" t="str">
        <f>'Entry data'!C$2</f>
        <v>NSH</v>
      </c>
      <c r="Q2" t="str">
        <f>'Entry data'!C$3</f>
        <v>Home</v>
      </c>
    </row>
    <row r="3" spans="1:17" x14ac:dyDescent="0.25">
      <c r="A3" s="1" t="str">
        <f>IF(calc!$L3=1,calc!B3,"")</f>
        <v/>
      </c>
      <c r="B3" s="5" t="str">
        <f>IF(calc!$L3=1,calc!C3,"")</f>
        <v/>
      </c>
      <c r="C3" s="1" t="str">
        <f>IF(calc!$L3=1,calc!D3,"")</f>
        <v/>
      </c>
      <c r="D3" s="1" t="str">
        <f>IF(calc!$L3=1,calc!E3,"")</f>
        <v/>
      </c>
      <c r="E3" s="1" t="str">
        <f>IF(calc!$L3=1,IF(EXACT(calc!$D3,"FAC"),"",calc!F3),"")</f>
        <v/>
      </c>
      <c r="F3" s="1" t="str">
        <f>IF(calc!$L3=1,IF(EXACT(calc!$D3,"FAC"),"",calc!G3),"")</f>
        <v/>
      </c>
      <c r="G3" s="1" t="str">
        <f>IF(calc!$L3=1,IF(EXACT(calc!$D3,"FAC"),"",calc!H3),"")</f>
        <v/>
      </c>
      <c r="H3" s="1" t="str">
        <f>IF(calc!$L3=1,IF(EXACT(calc!$D3,"FAC"),"",calc!I3),"")</f>
        <v/>
      </c>
      <c r="I3" s="1" t="str">
        <f>IF(calc!$L3=1,calc!J3,"")</f>
        <v/>
      </c>
      <c r="J3" s="1" t="str">
        <f>IF(calc!$L3=1,calc!K3,"")</f>
        <v/>
      </c>
      <c r="K3" s="1" t="str">
        <f>IF(calc!$L3=1,calc!M3,"")</f>
        <v/>
      </c>
      <c r="L3" s="1" t="str">
        <f>IF(calc!$L3=1,calc!N3,"")</f>
        <v/>
      </c>
      <c r="M3" s="1" t="str">
        <f>IF(calc!$L3=1,calc!O3,"")</f>
        <v/>
      </c>
      <c r="N3" s="1" t="str">
        <f>IF(calc!$L3=1,calc!P3,"")</f>
        <v/>
      </c>
      <c r="O3">
        <f>'Entry data'!C$1</f>
        <v>20064</v>
      </c>
      <c r="P3" t="str">
        <f>'Entry data'!C$2</f>
        <v>NSH</v>
      </c>
      <c r="Q3" t="str">
        <f>'Entry data'!C$3</f>
        <v>Home</v>
      </c>
    </row>
    <row r="4" spans="1:17" x14ac:dyDescent="0.25">
      <c r="A4" s="1">
        <f>IF(calc!$L4=1,calc!B4,"")</f>
        <v>1</v>
      </c>
      <c r="B4" s="5">
        <f>IF(calc!$L4=1,calc!C4,"")</f>
        <v>0.82777777777777783</v>
      </c>
      <c r="C4" s="1" t="str">
        <f>IF(calc!$L4=1,calc!D4,"")</f>
        <v>C</v>
      </c>
      <c r="D4" s="1" t="str">
        <f>IF(calc!$L4=1,calc!E4,"")</f>
        <v>71DET</v>
      </c>
      <c r="E4" s="1" t="str">
        <f>IF(calc!$L4=1,IF(EXACT(calc!$D4,"FAC"),"",calc!F4),"")</f>
        <v>4NSH</v>
      </c>
      <c r="F4" s="1" t="str">
        <f>IF(calc!$L4=1,IF(EXACT(calc!$D4,"FAC"),"",calc!G4),"")</f>
        <v>N</v>
      </c>
      <c r="G4" s="1" t="str">
        <f>IF(calc!$L4=1,IF(EXACT(calc!$D4,"FAC"),"",calc!H4),"")</f>
        <v>L</v>
      </c>
      <c r="H4" s="1" t="str">
        <f>IF(calc!$L4=1,IF(EXACT(calc!$D4,"FAC"),"",calc!I4),"")</f>
        <v>N</v>
      </c>
      <c r="I4" s="1">
        <f>IF(calc!$L4=1,calc!J4,"")</f>
        <v>5</v>
      </c>
      <c r="J4" s="1">
        <f>IF(calc!$L4=1,calc!K4,"")</f>
        <v>5</v>
      </c>
      <c r="K4" s="1" t="str">
        <f>IF(calc!$L4=1,calc!M4,"")</f>
        <v>71DET</v>
      </c>
      <c r="L4" s="1">
        <f>IF(calc!$L4=1,calc!N4,"")</f>
        <v>0</v>
      </c>
      <c r="M4" s="1">
        <f>IF(calc!$L4=1,calc!O4,"")</f>
        <v>0</v>
      </c>
      <c r="N4" s="1" t="str">
        <f>IF(calc!$L4=1,calc!P4,"")</f>
        <v/>
      </c>
      <c r="O4">
        <f>'Entry data'!C$1</f>
        <v>20064</v>
      </c>
      <c r="P4" t="str">
        <f>'Entry data'!C$2</f>
        <v>NSH</v>
      </c>
      <c r="Q4" t="str">
        <f>'Entry data'!C$3</f>
        <v>Home</v>
      </c>
    </row>
    <row r="5" spans="1:17" x14ac:dyDescent="0.25">
      <c r="A5" s="1" t="str">
        <f>IF(calc!$L5=1,calc!B5,"")</f>
        <v/>
      </c>
      <c r="B5" s="5" t="str">
        <f>IF(calc!$L5=1,calc!C5,"")</f>
        <v/>
      </c>
      <c r="C5" s="1" t="str">
        <f>IF(calc!$L5=1,calc!D5,"")</f>
        <v/>
      </c>
      <c r="D5" s="1" t="str">
        <f>IF(calc!$L5=1,calc!E5,"")</f>
        <v/>
      </c>
      <c r="E5" s="1" t="str">
        <f>IF(calc!$L5=1,IF(EXACT(calc!$D5,"FAC"),"",calc!F5),"")</f>
        <v/>
      </c>
      <c r="F5" s="1" t="str">
        <f>IF(calc!$L5=1,IF(EXACT(calc!$D5,"FAC"),"",calc!G5),"")</f>
        <v/>
      </c>
      <c r="G5" s="1" t="str">
        <f>IF(calc!$L5=1,IF(EXACT(calc!$D5,"FAC"),"",calc!H5),"")</f>
        <v/>
      </c>
      <c r="H5" s="1" t="str">
        <f>IF(calc!$L5=1,IF(EXACT(calc!$D5,"FAC"),"",calc!I5),"")</f>
        <v/>
      </c>
      <c r="I5" s="1" t="str">
        <f>IF(calc!$L5=1,calc!J5,"")</f>
        <v/>
      </c>
      <c r="J5" s="1" t="str">
        <f>IF(calc!$L5=1,calc!K5,"")</f>
        <v/>
      </c>
      <c r="K5" s="1" t="str">
        <f>IF(calc!$L5=1,calc!M5,"")</f>
        <v/>
      </c>
      <c r="L5" s="1" t="str">
        <f>IF(calc!$L5=1,calc!N5,"")</f>
        <v/>
      </c>
      <c r="M5" s="1" t="str">
        <f>IF(calc!$L5=1,calc!O5,"")</f>
        <v/>
      </c>
      <c r="N5" s="1" t="str">
        <f>IF(calc!$L5=1,calc!P5,"")</f>
        <v/>
      </c>
      <c r="O5">
        <f>'Entry data'!C$1</f>
        <v>20064</v>
      </c>
      <c r="P5" t="str">
        <f>'Entry data'!C$2</f>
        <v>NSH</v>
      </c>
      <c r="Q5" t="str">
        <f>'Entry data'!C$3</f>
        <v>Home</v>
      </c>
    </row>
    <row r="6" spans="1:17" x14ac:dyDescent="0.25">
      <c r="A6" s="1">
        <f>IF(calc!$L6=1,calc!B6,"")</f>
        <v>1</v>
      </c>
      <c r="B6" s="5">
        <f>IF(calc!$L6=1,calc!C6,"")</f>
        <v>0.79722222222222217</v>
      </c>
      <c r="C6" s="1" t="str">
        <f>IF(calc!$L6=1,calc!D6,"")</f>
        <v>D</v>
      </c>
      <c r="D6" s="1" t="str">
        <f>IF(calc!$L6=1,calc!E6,"")</f>
        <v>14DET</v>
      </c>
      <c r="E6" s="1" t="str">
        <f>IF(calc!$L6=1,IF(EXACT(calc!$D6,"FAC"),"",calc!F6),"")</f>
        <v>N</v>
      </c>
      <c r="F6" s="1" t="str">
        <f>IF(calc!$L6=1,IF(EXACT(calc!$D6,"FAC"),"",calc!G6),"")</f>
        <v/>
      </c>
      <c r="G6" s="1" t="str">
        <f>IF(calc!$L6=1,IF(EXACT(calc!$D6,"FAC"),"",calc!H6),"")</f>
        <v>R</v>
      </c>
      <c r="H6" s="1" t="str">
        <f>IF(calc!$L6=1,IF(EXACT(calc!$D6,"FAC"),"",calc!I6),"")</f>
        <v>40DET</v>
      </c>
      <c r="I6" s="1">
        <f>IF(calc!$L6=1,calc!J6,"")</f>
        <v>5</v>
      </c>
      <c r="J6" s="1">
        <f>IF(calc!$L6=1,calc!K6,"")</f>
        <v>5</v>
      </c>
      <c r="K6" s="1" t="str">
        <f>IF(calc!$L6=1,calc!M6,"")</f>
        <v/>
      </c>
      <c r="L6" s="1">
        <f>IF(calc!$L6=1,calc!N6,"")</f>
        <v>1</v>
      </c>
      <c r="M6" s="1">
        <f>IF(calc!$L6=1,calc!O6,"")</f>
        <v>0</v>
      </c>
      <c r="N6" s="1" t="str">
        <f>IF(calc!$L6=1,calc!P6,"")</f>
        <v/>
      </c>
      <c r="O6">
        <f>'Entry data'!C$1</f>
        <v>20064</v>
      </c>
      <c r="P6" t="str">
        <f>'Entry data'!C$2</f>
        <v>NSH</v>
      </c>
      <c r="Q6" t="str">
        <f>'Entry data'!C$3</f>
        <v>Home</v>
      </c>
    </row>
    <row r="7" spans="1:17" x14ac:dyDescent="0.25">
      <c r="A7" s="1" t="str">
        <f>IF(calc!$L7=1,calc!B7,"")</f>
        <v/>
      </c>
      <c r="B7" s="5" t="str">
        <f>IF(calc!$L7=1,calc!C7,"")</f>
        <v/>
      </c>
      <c r="C7" s="1" t="str">
        <f>IF(calc!$L7=1,calc!D7,"")</f>
        <v/>
      </c>
      <c r="D7" s="1" t="str">
        <f>IF(calc!$L7=1,calc!E7,"")</f>
        <v/>
      </c>
      <c r="E7" s="1" t="str">
        <f>IF(calc!$L7=1,IF(EXACT(calc!$D7,"FAC"),"",calc!F7),"")</f>
        <v/>
      </c>
      <c r="F7" s="1" t="str">
        <f>IF(calc!$L7=1,IF(EXACT(calc!$D7,"FAC"),"",calc!G7),"")</f>
        <v/>
      </c>
      <c r="G7" s="1" t="str">
        <f>IF(calc!$L7=1,IF(EXACT(calc!$D7,"FAC"),"",calc!H7),"")</f>
        <v/>
      </c>
      <c r="H7" s="1" t="str">
        <f>IF(calc!$L7=1,IF(EXACT(calc!$D7,"FAC"),"",calc!I7),"")</f>
        <v/>
      </c>
      <c r="I7" s="1" t="str">
        <f>IF(calc!$L7=1,calc!J7,"")</f>
        <v/>
      </c>
      <c r="J7" s="1" t="str">
        <f>IF(calc!$L7=1,calc!K7,"")</f>
        <v/>
      </c>
      <c r="K7" s="1" t="str">
        <f>IF(calc!$L7=1,calc!M7,"")</f>
        <v/>
      </c>
      <c r="L7" s="1" t="str">
        <f>IF(calc!$L7=1,calc!N7,"")</f>
        <v/>
      </c>
      <c r="M7" s="1" t="str">
        <f>IF(calc!$L7=1,calc!O7,"")</f>
        <v/>
      </c>
      <c r="N7" s="1" t="str">
        <f>IF(calc!$L7=1,calc!P7,"")</f>
        <v/>
      </c>
      <c r="O7">
        <f>'Entry data'!C$1</f>
        <v>20064</v>
      </c>
      <c r="P7" t="str">
        <f>'Entry data'!C$2</f>
        <v>NSH</v>
      </c>
      <c r="Q7" t="str">
        <f>'Entry data'!C$3</f>
        <v>Home</v>
      </c>
    </row>
    <row r="8" spans="1:17" x14ac:dyDescent="0.25">
      <c r="A8" s="1" t="str">
        <f>IF(calc!$L8=1,calc!B8,"")</f>
        <v/>
      </c>
      <c r="B8" s="5" t="str">
        <f>IF(calc!$L8=1,calc!C8,"")</f>
        <v/>
      </c>
      <c r="C8" s="1" t="str">
        <f>IF(calc!$L8=1,calc!D8,"")</f>
        <v/>
      </c>
      <c r="D8" s="1" t="str">
        <f>IF(calc!$L8=1,calc!E8,"")</f>
        <v/>
      </c>
      <c r="E8" s="1" t="str">
        <f>IF(calc!$L8=1,IF(EXACT(calc!$D8,"FAC"),"",calc!F8),"")</f>
        <v/>
      </c>
      <c r="F8" s="1" t="str">
        <f>IF(calc!$L8=1,IF(EXACT(calc!$D8,"FAC"),"",calc!G8),"")</f>
        <v/>
      </c>
      <c r="G8" s="1" t="str">
        <f>IF(calc!$L8=1,IF(EXACT(calc!$D8,"FAC"),"",calc!H8),"")</f>
        <v/>
      </c>
      <c r="H8" s="1" t="str">
        <f>IF(calc!$L8=1,IF(EXACT(calc!$D8,"FAC"),"",calc!I8),"")</f>
        <v/>
      </c>
      <c r="I8" s="1" t="str">
        <f>IF(calc!$L8=1,calc!J8,"")</f>
        <v/>
      </c>
      <c r="J8" s="1" t="str">
        <f>IF(calc!$L8=1,calc!K8,"")</f>
        <v/>
      </c>
      <c r="K8" s="1" t="str">
        <f>IF(calc!$L8=1,calc!M8,"")</f>
        <v/>
      </c>
      <c r="L8" s="1" t="str">
        <f>IF(calc!$L8=1,calc!N8,"")</f>
        <v/>
      </c>
      <c r="M8" s="1" t="str">
        <f>IF(calc!$L8=1,calc!O8,"")</f>
        <v/>
      </c>
      <c r="N8" s="1" t="str">
        <f>IF(calc!$L8=1,calc!P8,"")</f>
        <v/>
      </c>
      <c r="O8">
        <f>'Entry data'!C$1</f>
        <v>20064</v>
      </c>
      <c r="P8" t="str">
        <f>'Entry data'!C$2</f>
        <v>NSH</v>
      </c>
      <c r="Q8" t="str">
        <f>'Entry data'!C$3</f>
        <v>Home</v>
      </c>
    </row>
    <row r="9" spans="1:17" x14ac:dyDescent="0.25">
      <c r="A9" s="1">
        <f>IF(calc!$L9=1,calc!B9,"")</f>
        <v>1</v>
      </c>
      <c r="B9" s="5">
        <f>IF(calc!$L9=1,calc!C9,"")</f>
        <v>0.79166666666666674</v>
      </c>
      <c r="C9" s="1" t="str">
        <f>IF(calc!$L9=1,calc!D9,"")</f>
        <v>FAC</v>
      </c>
      <c r="D9" s="1" t="str">
        <f>IF(calc!$L9=1,calc!E9,"")</f>
        <v>OZF</v>
      </c>
      <c r="E9" s="1" t="str">
        <f>IF(calc!$L9=1,IF(EXACT(calc!$D9,"FAC"),"",calc!F9),"")</f>
        <v/>
      </c>
      <c r="F9" s="1" t="str">
        <f>IF(calc!$L9=1,IF(EXACT(calc!$D9,"FAC"),"",calc!G9),"")</f>
        <v/>
      </c>
      <c r="G9" s="1" t="str">
        <f>IF(calc!$L9=1,IF(EXACT(calc!$D9,"FAC"),"",calc!H9),"")</f>
        <v/>
      </c>
      <c r="H9" s="1" t="str">
        <f>IF(calc!$L9=1,IF(EXACT(calc!$D9,"FAC"),"",calc!I9),"")</f>
        <v/>
      </c>
      <c r="I9" s="1">
        <f>IF(calc!$L9=1,calc!J9,"")</f>
        <v>5</v>
      </c>
      <c r="J9" s="1">
        <f>IF(calc!$L9=1,calc!K9,"")</f>
        <v>5</v>
      </c>
      <c r="K9" s="1" t="str">
        <f>IF(calc!$L9=1,calc!M9,"")</f>
        <v/>
      </c>
      <c r="L9" s="1">
        <f>IF(calc!$L9=1,calc!N9,"")</f>
        <v>0</v>
      </c>
      <c r="M9" s="1">
        <f>IF(calc!$L9=1,calc!O9,"")</f>
        <v>0</v>
      </c>
      <c r="N9" s="1" t="str">
        <f>IF(calc!$L9=1,calc!P9,"")</f>
        <v/>
      </c>
      <c r="O9">
        <f>'Entry data'!C$1</f>
        <v>20064</v>
      </c>
      <c r="P9" t="str">
        <f>'Entry data'!C$2</f>
        <v>NSH</v>
      </c>
      <c r="Q9" t="str">
        <f>'Entry data'!C$3</f>
        <v>Home</v>
      </c>
    </row>
    <row r="10" spans="1:17" x14ac:dyDescent="0.25">
      <c r="A10" s="1">
        <f>IF(calc!$L10=1,calc!B10,"")</f>
        <v>1</v>
      </c>
      <c r="B10" s="5">
        <f>IF(calc!$L10=1,calc!C10,"")</f>
        <v>0.78749999999999998</v>
      </c>
      <c r="C10" s="1" t="str">
        <f>IF(calc!$L10=1,calc!D10,"")</f>
        <v>D</v>
      </c>
      <c r="D10" s="1" t="str">
        <f>IF(calc!$L10=1,calc!E10,"")</f>
        <v>33NSH</v>
      </c>
      <c r="E10" s="1" t="str">
        <f>IF(calc!$L10=1,IF(EXACT(calc!$D10,"FAC"),"",calc!F10),"")</f>
        <v>48DET</v>
      </c>
      <c r="F10" s="1" t="str">
        <f>IF(calc!$L10=1,IF(EXACT(calc!$D10,"FAC"),"",calc!G10),"")</f>
        <v/>
      </c>
      <c r="G10" s="1" t="str">
        <f>IF(calc!$L10=1,IF(EXACT(calc!$D10,"FAC"),"",calc!H10),"")</f>
        <v>L</v>
      </c>
      <c r="H10" s="1" t="str">
        <f>IF(calc!$L10=1,IF(EXACT(calc!$D10,"FAC"),"",calc!I10),"")</f>
        <v>N</v>
      </c>
      <c r="I10" s="1">
        <f>IF(calc!$L10=1,calc!J10,"")</f>
        <v>5</v>
      </c>
      <c r="J10" s="1">
        <f>IF(calc!$L10=1,calc!K10,"")</f>
        <v>5</v>
      </c>
      <c r="K10" s="1" t="str">
        <f>IF(calc!$L10=1,calc!M10,"")</f>
        <v/>
      </c>
      <c r="L10" s="1">
        <f>IF(calc!$L10=1,calc!N10,"")</f>
        <v>2</v>
      </c>
      <c r="M10" s="1">
        <f>IF(calc!$L10=1,calc!O10,"")</f>
        <v>0</v>
      </c>
      <c r="N10" s="1" t="str">
        <f>IF(calc!$L10=1,calc!P10,"")</f>
        <v/>
      </c>
      <c r="O10">
        <f>'Entry data'!C$1</f>
        <v>20064</v>
      </c>
      <c r="P10" t="str">
        <f>'Entry data'!C$2</f>
        <v>NSH</v>
      </c>
      <c r="Q10" t="str">
        <f>'Entry data'!C$3</f>
        <v>Home</v>
      </c>
    </row>
    <row r="11" spans="1:17" x14ac:dyDescent="0.25">
      <c r="A11" s="1" t="str">
        <f>IF(calc!$L11=1,calc!B11,"")</f>
        <v/>
      </c>
      <c r="B11" s="5" t="str">
        <f>IF(calc!$L11=1,calc!C11,"")</f>
        <v/>
      </c>
      <c r="C11" s="1" t="str">
        <f>IF(calc!$L11=1,calc!D11,"")</f>
        <v/>
      </c>
      <c r="D11" s="1" t="str">
        <f>IF(calc!$L11=1,calc!E11,"")</f>
        <v/>
      </c>
      <c r="E11" s="1" t="str">
        <f>IF(calc!$L11=1,IF(EXACT(calc!$D11,"FAC"),"",calc!F11),"")</f>
        <v/>
      </c>
      <c r="F11" s="1" t="str">
        <f>IF(calc!$L11=1,IF(EXACT(calc!$D11,"FAC"),"",calc!G11),"")</f>
        <v/>
      </c>
      <c r="G11" s="1" t="str">
        <f>IF(calc!$L11=1,IF(EXACT(calc!$D11,"FAC"),"",calc!H11),"")</f>
        <v/>
      </c>
      <c r="H11" s="1" t="str">
        <f>IF(calc!$L11=1,IF(EXACT(calc!$D11,"FAC"),"",calc!I11),"")</f>
        <v/>
      </c>
      <c r="I11" s="1" t="str">
        <f>IF(calc!$L11=1,calc!J11,"")</f>
        <v/>
      </c>
      <c r="J11" s="1" t="str">
        <f>IF(calc!$L11=1,calc!K11,"")</f>
        <v/>
      </c>
      <c r="K11" s="1" t="str">
        <f>IF(calc!$L11=1,calc!M11,"")</f>
        <v/>
      </c>
      <c r="L11" s="1" t="str">
        <f>IF(calc!$L11=1,calc!N11,"")</f>
        <v/>
      </c>
      <c r="M11" s="1" t="str">
        <f>IF(calc!$L11=1,calc!O11,"")</f>
        <v/>
      </c>
      <c r="N11" s="1" t="str">
        <f>IF(calc!$L11=1,calc!P11,"")</f>
        <v/>
      </c>
      <c r="O11">
        <f>'Entry data'!C$1</f>
        <v>20064</v>
      </c>
      <c r="P11" t="str">
        <f>'Entry data'!C$2</f>
        <v>NSH</v>
      </c>
      <c r="Q11" t="str">
        <f>'Entry data'!C$3</f>
        <v>Home</v>
      </c>
    </row>
    <row r="12" spans="1:17" x14ac:dyDescent="0.25">
      <c r="A12" s="1" t="str">
        <f>IF(calc!$L12=1,calc!B12,"")</f>
        <v/>
      </c>
      <c r="B12" s="5" t="str">
        <f>IF(calc!$L12=1,calc!C12,"")</f>
        <v/>
      </c>
      <c r="C12" s="1" t="str">
        <f>IF(calc!$L12=1,calc!D12,"")</f>
        <v/>
      </c>
      <c r="D12" s="1" t="str">
        <f>IF(calc!$L12=1,calc!E12,"")</f>
        <v/>
      </c>
      <c r="E12" s="1" t="str">
        <f>IF(calc!$L12=1,IF(EXACT(calc!$D12,"FAC"),"",calc!F12),"")</f>
        <v/>
      </c>
      <c r="F12" s="1" t="str">
        <f>IF(calc!$L12=1,IF(EXACT(calc!$D12,"FAC"),"",calc!G12),"")</f>
        <v/>
      </c>
      <c r="G12" s="1" t="str">
        <f>IF(calc!$L12=1,IF(EXACT(calc!$D12,"FAC"),"",calc!H12),"")</f>
        <v/>
      </c>
      <c r="H12" s="1" t="str">
        <f>IF(calc!$L12=1,IF(EXACT(calc!$D12,"FAC"),"",calc!I12),"")</f>
        <v/>
      </c>
      <c r="I12" s="1" t="str">
        <f>IF(calc!$L12=1,calc!J12,"")</f>
        <v/>
      </c>
      <c r="J12" s="1" t="str">
        <f>IF(calc!$L12=1,calc!K12,"")</f>
        <v/>
      </c>
      <c r="K12" s="1" t="str">
        <f>IF(calc!$L12=1,calc!M12,"")</f>
        <v/>
      </c>
      <c r="L12" s="1" t="str">
        <f>IF(calc!$L12=1,calc!N12,"")</f>
        <v/>
      </c>
      <c r="M12" s="1" t="str">
        <f>IF(calc!$L12=1,calc!O12,"")</f>
        <v/>
      </c>
      <c r="N12" s="1" t="str">
        <f>IF(calc!$L12=1,calc!P12,"")</f>
        <v/>
      </c>
      <c r="O12">
        <f>'Entry data'!C$1</f>
        <v>20064</v>
      </c>
      <c r="P12" t="str">
        <f>'Entry data'!C$2</f>
        <v>NSH</v>
      </c>
      <c r="Q12" t="str">
        <f>'Entry data'!C$3</f>
        <v>Home</v>
      </c>
    </row>
    <row r="13" spans="1:17" x14ac:dyDescent="0.25">
      <c r="A13" s="1" t="str">
        <f>IF(calc!$L13=1,calc!B13,"")</f>
        <v/>
      </c>
      <c r="B13" s="5" t="str">
        <f>IF(calc!$L13=1,calc!C13,"")</f>
        <v/>
      </c>
      <c r="C13" s="1" t="str">
        <f>IF(calc!$L13=1,calc!D13,"")</f>
        <v/>
      </c>
      <c r="D13" s="1" t="str">
        <f>IF(calc!$L13=1,calc!E13,"")</f>
        <v/>
      </c>
      <c r="E13" s="1" t="str">
        <f>IF(calc!$L13=1,IF(EXACT(calc!$D13,"FAC"),"",calc!F13),"")</f>
        <v/>
      </c>
      <c r="F13" s="1" t="str">
        <f>IF(calc!$L13=1,IF(EXACT(calc!$D13,"FAC"),"",calc!G13),"")</f>
        <v/>
      </c>
      <c r="G13" s="1" t="str">
        <f>IF(calc!$L13=1,IF(EXACT(calc!$D13,"FAC"),"",calc!H13),"")</f>
        <v/>
      </c>
      <c r="H13" s="1" t="str">
        <f>IF(calc!$L13=1,IF(EXACT(calc!$D13,"FAC"),"",calc!I13),"")</f>
        <v/>
      </c>
      <c r="I13" s="1" t="str">
        <f>IF(calc!$L13=1,calc!J13,"")</f>
        <v/>
      </c>
      <c r="J13" s="1" t="str">
        <f>IF(calc!$L13=1,calc!K13,"")</f>
        <v/>
      </c>
      <c r="K13" s="1" t="str">
        <f>IF(calc!$L13=1,calc!M13,"")</f>
        <v/>
      </c>
      <c r="L13" s="1" t="str">
        <f>IF(calc!$L13=1,calc!N13,"")</f>
        <v/>
      </c>
      <c r="M13" s="1" t="str">
        <f>IF(calc!$L13=1,calc!O13,"")</f>
        <v/>
      </c>
      <c r="N13" s="1" t="str">
        <f>IF(calc!$L13=1,calc!P13,"")</f>
        <v/>
      </c>
      <c r="O13">
        <f>'Entry data'!C$1</f>
        <v>20064</v>
      </c>
      <c r="P13" t="str">
        <f>'Entry data'!C$2</f>
        <v>NSH</v>
      </c>
      <c r="Q13" t="str">
        <f>'Entry data'!C$3</f>
        <v>Home</v>
      </c>
    </row>
    <row r="14" spans="1:17" x14ac:dyDescent="0.25">
      <c r="A14" s="1">
        <f>IF(calc!$L14=1,calc!B14,"")</f>
        <v>1</v>
      </c>
      <c r="B14" s="5">
        <f>IF(calc!$L14=1,calc!C14,"")</f>
        <v>0.76666666666666661</v>
      </c>
      <c r="C14" s="1" t="str">
        <f>IF(calc!$L14=1,calc!D14,"")</f>
        <v>C</v>
      </c>
      <c r="D14" s="1" t="str">
        <f>IF(calc!$L14=1,calc!E14,"")</f>
        <v>14DET</v>
      </c>
      <c r="E14" s="1" t="str">
        <f>IF(calc!$L14=1,IF(EXACT(calc!$D14,"FAC"),"",calc!F14),"")</f>
        <v>38NSH</v>
      </c>
      <c r="F14" s="1" t="str">
        <f>IF(calc!$L14=1,IF(EXACT(calc!$D14,"FAC"),"",calc!G14),"")</f>
        <v>N</v>
      </c>
      <c r="G14" s="1" t="str">
        <f>IF(calc!$L14=1,IF(EXACT(calc!$D14,"FAC"),"",calc!H14),"")</f>
        <v>C</v>
      </c>
      <c r="H14" s="1" t="str">
        <f>IF(calc!$L14=1,IF(EXACT(calc!$D14,"FAC"),"",calc!I14),"")</f>
        <v>N</v>
      </c>
      <c r="I14" s="1">
        <f>IF(calc!$L14=1,calc!J14,"")</f>
        <v>5</v>
      </c>
      <c r="J14" s="1">
        <f>IF(calc!$L14=1,calc!K14,"")</f>
        <v>5</v>
      </c>
      <c r="K14" s="1" t="str">
        <f>IF(calc!$L14=1,calc!M14,"")</f>
        <v>14DET</v>
      </c>
      <c r="L14" s="1">
        <f>IF(calc!$L14=1,calc!N14,"")</f>
        <v>1</v>
      </c>
      <c r="M14" s="1">
        <f>IF(calc!$L14=1,calc!O14,"")</f>
        <v>0</v>
      </c>
      <c r="N14" s="1" t="str">
        <f>IF(calc!$L14=1,calc!P14,"")</f>
        <v/>
      </c>
      <c r="O14">
        <f>'Entry data'!C$1</f>
        <v>20064</v>
      </c>
      <c r="P14" t="str">
        <f>'Entry data'!C$2</f>
        <v>NSH</v>
      </c>
      <c r="Q14" t="str">
        <f>'Entry data'!C$3</f>
        <v>Home</v>
      </c>
    </row>
    <row r="15" spans="1:17" x14ac:dyDescent="0.25">
      <c r="A15" s="1" t="str">
        <f>IF(calc!$L15=1,calc!B15,"")</f>
        <v/>
      </c>
      <c r="B15" s="5" t="str">
        <f>IF(calc!$L15=1,calc!C15,"")</f>
        <v/>
      </c>
      <c r="C15" s="1" t="str">
        <f>IF(calc!$L15=1,calc!D15,"")</f>
        <v/>
      </c>
      <c r="D15" s="1" t="str">
        <f>IF(calc!$L15=1,calc!E15,"")</f>
        <v/>
      </c>
      <c r="E15" s="1" t="str">
        <f>IF(calc!$L15=1,IF(EXACT(calc!$D15,"FAC"),"",calc!F15),"")</f>
        <v/>
      </c>
      <c r="F15" s="1" t="str">
        <f>IF(calc!$L15=1,IF(EXACT(calc!$D15,"FAC"),"",calc!G15),"")</f>
        <v/>
      </c>
      <c r="G15" s="1" t="str">
        <f>IF(calc!$L15=1,IF(EXACT(calc!$D15,"FAC"),"",calc!H15),"")</f>
        <v/>
      </c>
      <c r="H15" s="1" t="str">
        <f>IF(calc!$L15=1,IF(EXACT(calc!$D15,"FAC"),"",calc!I15),"")</f>
        <v/>
      </c>
      <c r="I15" s="1" t="str">
        <f>IF(calc!$L15=1,calc!J15,"")</f>
        <v/>
      </c>
      <c r="J15" s="1" t="str">
        <f>IF(calc!$L15=1,calc!K15,"")</f>
        <v/>
      </c>
      <c r="K15" s="1" t="str">
        <f>IF(calc!$L15=1,calc!M15,"")</f>
        <v/>
      </c>
      <c r="L15" s="1" t="str">
        <f>IF(calc!$L15=1,calc!N15,"")</f>
        <v/>
      </c>
      <c r="M15" s="1" t="str">
        <f>IF(calc!$L15=1,calc!O15,"")</f>
        <v/>
      </c>
      <c r="N15" s="1" t="str">
        <f>IF(calc!$L15=1,calc!P15,"")</f>
        <v/>
      </c>
      <c r="O15">
        <f>'Entry data'!C$1</f>
        <v>20064</v>
      </c>
      <c r="P15" t="str">
        <f>'Entry data'!C$2</f>
        <v>NSH</v>
      </c>
      <c r="Q15" t="str">
        <f>'Entry data'!C$3</f>
        <v>Home</v>
      </c>
    </row>
    <row r="16" spans="1:17" x14ac:dyDescent="0.25">
      <c r="A16" s="1" t="str">
        <f>IF(calc!$L16=1,calc!B16,"")</f>
        <v/>
      </c>
      <c r="B16" s="5" t="str">
        <f>IF(calc!$L16=1,calc!C16,"")</f>
        <v/>
      </c>
      <c r="C16" s="1" t="str">
        <f>IF(calc!$L16=1,calc!D16,"")</f>
        <v/>
      </c>
      <c r="D16" s="1" t="str">
        <f>IF(calc!$L16=1,calc!E16,"")</f>
        <v/>
      </c>
      <c r="E16" s="1" t="str">
        <f>IF(calc!$L16=1,IF(EXACT(calc!$D16,"FAC"),"",calc!F16),"")</f>
        <v/>
      </c>
      <c r="F16" s="1" t="str">
        <f>IF(calc!$L16=1,IF(EXACT(calc!$D16,"FAC"),"",calc!G16),"")</f>
        <v/>
      </c>
      <c r="G16" s="1" t="str">
        <f>IF(calc!$L16=1,IF(EXACT(calc!$D16,"FAC"),"",calc!H16),"")</f>
        <v/>
      </c>
      <c r="H16" s="1" t="str">
        <f>IF(calc!$L16=1,IF(EXACT(calc!$D16,"FAC"),"",calc!I16),"")</f>
        <v/>
      </c>
      <c r="I16" s="1" t="str">
        <f>IF(calc!$L16=1,calc!J16,"")</f>
        <v/>
      </c>
      <c r="J16" s="1" t="str">
        <f>IF(calc!$L16=1,calc!K16,"")</f>
        <v/>
      </c>
      <c r="K16" s="1" t="str">
        <f>IF(calc!$L16=1,calc!M16,"")</f>
        <v/>
      </c>
      <c r="L16" s="1" t="str">
        <f>IF(calc!$L16=1,calc!N16,"")</f>
        <v/>
      </c>
      <c r="M16" s="1" t="str">
        <f>IF(calc!$L16=1,calc!O16,"")</f>
        <v/>
      </c>
      <c r="N16" s="1" t="str">
        <f>IF(calc!$L16=1,calc!P16,"")</f>
        <v/>
      </c>
      <c r="O16">
        <f>'Entry data'!C$1</f>
        <v>20064</v>
      </c>
      <c r="P16" t="str">
        <f>'Entry data'!C$2</f>
        <v>NSH</v>
      </c>
      <c r="Q16" t="str">
        <f>'Entry data'!C$3</f>
        <v>Home</v>
      </c>
    </row>
    <row r="17" spans="1:17" x14ac:dyDescent="0.25">
      <c r="A17" s="1">
        <f>IF(calc!$L17=1,calc!B17,"")</f>
        <v>1</v>
      </c>
      <c r="B17" s="5">
        <f>IF(calc!$L17=1,calc!C17,"")</f>
        <v>0.75902777777777775</v>
      </c>
      <c r="C17" s="1" t="str">
        <f>IF(calc!$L17=1,calc!D17,"")</f>
        <v>D</v>
      </c>
      <c r="D17" s="1" t="str">
        <f>IF(calc!$L17=1,calc!E17,"")</f>
        <v>52DET</v>
      </c>
      <c r="E17" s="1" t="str">
        <f>IF(calc!$L17=1,IF(EXACT(calc!$D17,"FAC"),"",calc!F17),"")</f>
        <v>N</v>
      </c>
      <c r="F17" s="1" t="str">
        <f>IF(calc!$L17=1,IF(EXACT(calc!$D17,"FAC"),"",calc!G17),"")</f>
        <v/>
      </c>
      <c r="G17" s="1" t="str">
        <f>IF(calc!$L17=1,IF(EXACT(calc!$D17,"FAC"),"",calc!H17),"")</f>
        <v>L</v>
      </c>
      <c r="H17" s="1" t="str">
        <f>IF(calc!$L17=1,IF(EXACT(calc!$D17,"FAC"),"",calc!I17),"")</f>
        <v>N</v>
      </c>
      <c r="I17" s="1">
        <f>IF(calc!$L17=1,calc!J17,"")</f>
        <v>5</v>
      </c>
      <c r="J17" s="1">
        <f>IF(calc!$L17=1,calc!K17,"")</f>
        <v>5</v>
      </c>
      <c r="K17" s="1" t="str">
        <f>IF(calc!$L17=1,calc!M17,"")</f>
        <v/>
      </c>
      <c r="L17" s="1">
        <f>IF(calc!$L17=1,calc!N17,"")</f>
        <v>2</v>
      </c>
      <c r="M17" s="1">
        <f>IF(calc!$L17=1,calc!O17,"")</f>
        <v>0</v>
      </c>
      <c r="N17" s="1" t="str">
        <f>IF(calc!$L17=1,calc!P17,"")</f>
        <v/>
      </c>
      <c r="O17">
        <f>'Entry data'!C$1</f>
        <v>20064</v>
      </c>
      <c r="P17" t="str">
        <f>'Entry data'!C$2</f>
        <v>NSH</v>
      </c>
      <c r="Q17" t="str">
        <f>'Entry data'!C$3</f>
        <v>Home</v>
      </c>
    </row>
    <row r="18" spans="1:17" x14ac:dyDescent="0.25">
      <c r="A18" s="1" t="str">
        <f>IF(calc!$L18=1,calc!B18,"")</f>
        <v/>
      </c>
      <c r="B18" s="5" t="str">
        <f>IF(calc!$L18=1,calc!C18,"")</f>
        <v/>
      </c>
      <c r="C18" s="1" t="str">
        <f>IF(calc!$L18=1,calc!D18,"")</f>
        <v/>
      </c>
      <c r="D18" s="1" t="str">
        <f>IF(calc!$L18=1,calc!E18,"")</f>
        <v/>
      </c>
      <c r="E18" s="1" t="str">
        <f>IF(calc!$L18=1,IF(EXACT(calc!$D18,"FAC"),"",calc!F18),"")</f>
        <v/>
      </c>
      <c r="F18" s="1" t="str">
        <f>IF(calc!$L18=1,IF(EXACT(calc!$D18,"FAC"),"",calc!G18),"")</f>
        <v/>
      </c>
      <c r="G18" s="1" t="str">
        <f>IF(calc!$L18=1,IF(EXACT(calc!$D18,"FAC"),"",calc!H18),"")</f>
        <v/>
      </c>
      <c r="H18" s="1" t="str">
        <f>IF(calc!$L18=1,IF(EXACT(calc!$D18,"FAC"),"",calc!I18),"")</f>
        <v/>
      </c>
      <c r="I18" s="1" t="str">
        <f>IF(calc!$L18=1,calc!J18,"")</f>
        <v/>
      </c>
      <c r="J18" s="1" t="str">
        <f>IF(calc!$L18=1,calc!K18,"")</f>
        <v/>
      </c>
      <c r="K18" s="1" t="str">
        <f>IF(calc!$L18=1,calc!M18,"")</f>
        <v/>
      </c>
      <c r="L18" s="1" t="str">
        <f>IF(calc!$L18=1,calc!N18,"")</f>
        <v/>
      </c>
      <c r="M18" s="1" t="str">
        <f>IF(calc!$L18=1,calc!O18,"")</f>
        <v/>
      </c>
      <c r="N18" s="1" t="str">
        <f>IF(calc!$L18=1,calc!P18,"")</f>
        <v/>
      </c>
      <c r="O18">
        <f>'Entry data'!C$1</f>
        <v>20064</v>
      </c>
      <c r="P18" t="str">
        <f>'Entry data'!C$2</f>
        <v>NSH</v>
      </c>
      <c r="Q18" t="str">
        <f>'Entry data'!C$3</f>
        <v>Home</v>
      </c>
    </row>
    <row r="19" spans="1:17" x14ac:dyDescent="0.25">
      <c r="A19" s="1" t="str">
        <f>IF(calc!$L19=1,calc!B19,"")</f>
        <v/>
      </c>
      <c r="B19" s="5" t="str">
        <f>IF(calc!$L19=1,calc!C19,"")</f>
        <v/>
      </c>
      <c r="C19" s="1" t="str">
        <f>IF(calc!$L19=1,calc!D19,"")</f>
        <v/>
      </c>
      <c r="D19" s="1" t="str">
        <f>IF(calc!$L19=1,calc!E19,"")</f>
        <v/>
      </c>
      <c r="E19" s="1" t="str">
        <f>IF(calc!$L19=1,IF(EXACT(calc!$D19,"FAC"),"",calc!F19),"")</f>
        <v/>
      </c>
      <c r="F19" s="1" t="str">
        <f>IF(calc!$L19=1,IF(EXACT(calc!$D19,"FAC"),"",calc!G19),"")</f>
        <v/>
      </c>
      <c r="G19" s="1" t="str">
        <f>IF(calc!$L19=1,IF(EXACT(calc!$D19,"FAC"),"",calc!H19),"")</f>
        <v/>
      </c>
      <c r="H19" s="1" t="str">
        <f>IF(calc!$L19=1,IF(EXACT(calc!$D19,"FAC"),"",calc!I19),"")</f>
        <v/>
      </c>
      <c r="I19" s="1" t="str">
        <f>IF(calc!$L19=1,calc!J19,"")</f>
        <v/>
      </c>
      <c r="J19" s="1" t="str">
        <f>IF(calc!$L19=1,calc!K19,"")</f>
        <v/>
      </c>
      <c r="K19" s="1" t="str">
        <f>IF(calc!$L19=1,calc!M19,"")</f>
        <v/>
      </c>
      <c r="L19" s="1" t="str">
        <f>IF(calc!$L19=1,calc!N19,"")</f>
        <v/>
      </c>
      <c r="M19" s="1" t="str">
        <f>IF(calc!$L19=1,calc!O19,"")</f>
        <v/>
      </c>
      <c r="N19" s="1" t="str">
        <f>IF(calc!$L19=1,calc!P19,"")</f>
        <v/>
      </c>
      <c r="O19">
        <f>'Entry data'!C$1</f>
        <v>20064</v>
      </c>
      <c r="P19" t="str">
        <f>'Entry data'!C$2</f>
        <v>NSH</v>
      </c>
      <c r="Q19" t="str">
        <f>'Entry data'!C$3</f>
        <v>Home</v>
      </c>
    </row>
    <row r="20" spans="1:17" x14ac:dyDescent="0.25">
      <c r="A20" s="1" t="str">
        <f>IF(calc!$L20=1,calc!B20,"")</f>
        <v/>
      </c>
      <c r="B20" s="5" t="str">
        <f>IF(calc!$L20=1,calc!C20,"")</f>
        <v/>
      </c>
      <c r="C20" s="1" t="str">
        <f>IF(calc!$L20=1,calc!D20,"")</f>
        <v/>
      </c>
      <c r="D20" s="1" t="str">
        <f>IF(calc!$L20=1,calc!E20,"")</f>
        <v/>
      </c>
      <c r="E20" s="1" t="str">
        <f>IF(calc!$L20=1,IF(EXACT(calc!$D20,"FAC"),"",calc!F20),"")</f>
        <v/>
      </c>
      <c r="F20" s="1" t="str">
        <f>IF(calc!$L20=1,IF(EXACT(calc!$D20,"FAC"),"",calc!G20),"")</f>
        <v/>
      </c>
      <c r="G20" s="1" t="str">
        <f>IF(calc!$L20=1,IF(EXACT(calc!$D20,"FAC"),"",calc!H20),"")</f>
        <v/>
      </c>
      <c r="H20" s="1" t="str">
        <f>IF(calc!$L20=1,IF(EXACT(calc!$D20,"FAC"),"",calc!I20),"")</f>
        <v/>
      </c>
      <c r="I20" s="1" t="str">
        <f>IF(calc!$L20=1,calc!J20,"")</f>
        <v/>
      </c>
      <c r="J20" s="1" t="str">
        <f>IF(calc!$L20=1,calc!K20,"")</f>
        <v/>
      </c>
      <c r="K20" s="1" t="str">
        <f>IF(calc!$L20=1,calc!M20,"")</f>
        <v/>
      </c>
      <c r="L20" s="1" t="str">
        <f>IF(calc!$L20=1,calc!N20,"")</f>
        <v/>
      </c>
      <c r="M20" s="1" t="str">
        <f>IF(calc!$L20=1,calc!O20,"")</f>
        <v/>
      </c>
      <c r="N20" s="1" t="str">
        <f>IF(calc!$L20=1,calc!P20,"")</f>
        <v/>
      </c>
      <c r="O20">
        <f>'Entry data'!C$1</f>
        <v>20064</v>
      </c>
      <c r="P20" t="str">
        <f>'Entry data'!C$2</f>
        <v>NSH</v>
      </c>
      <c r="Q20" t="str">
        <f>'Entry data'!C$3</f>
        <v>Home</v>
      </c>
    </row>
    <row r="21" spans="1:17" x14ac:dyDescent="0.25">
      <c r="A21" s="1" t="str">
        <f>IF(calc!$L21=1,calc!B21,"")</f>
        <v/>
      </c>
      <c r="B21" s="5" t="str">
        <f>IF(calc!$L21=1,calc!C21,"")</f>
        <v/>
      </c>
      <c r="C21" s="1" t="str">
        <f>IF(calc!$L21=1,calc!D21,"")</f>
        <v/>
      </c>
      <c r="D21" s="1" t="str">
        <f>IF(calc!$L21=1,calc!E21,"")</f>
        <v/>
      </c>
      <c r="E21" s="1" t="str">
        <f>IF(calc!$L21=1,IF(EXACT(calc!$D21,"FAC"),"",calc!F21),"")</f>
        <v/>
      </c>
      <c r="F21" s="1" t="str">
        <f>IF(calc!$L21=1,IF(EXACT(calc!$D21,"FAC"),"",calc!G21),"")</f>
        <v/>
      </c>
      <c r="G21" s="1" t="str">
        <f>IF(calc!$L21=1,IF(EXACT(calc!$D21,"FAC"),"",calc!H21),"")</f>
        <v/>
      </c>
      <c r="H21" s="1" t="str">
        <f>IF(calc!$L21=1,IF(EXACT(calc!$D21,"FAC"),"",calc!I21),"")</f>
        <v/>
      </c>
      <c r="I21" s="1" t="str">
        <f>IF(calc!$L21=1,calc!J21,"")</f>
        <v/>
      </c>
      <c r="J21" s="1" t="str">
        <f>IF(calc!$L21=1,calc!K21,"")</f>
        <v/>
      </c>
      <c r="K21" s="1" t="str">
        <f>IF(calc!$L21=1,calc!M21,"")</f>
        <v/>
      </c>
      <c r="L21" s="1" t="str">
        <f>IF(calc!$L21=1,calc!N21,"")</f>
        <v/>
      </c>
      <c r="M21" s="1" t="str">
        <f>IF(calc!$L21=1,calc!O21,"")</f>
        <v/>
      </c>
      <c r="N21" s="1" t="str">
        <f>IF(calc!$L21=1,calc!P21,"")</f>
        <v/>
      </c>
      <c r="O21">
        <f>'Entry data'!C$1</f>
        <v>20064</v>
      </c>
      <c r="P21" t="str">
        <f>'Entry data'!C$2</f>
        <v>NSH</v>
      </c>
      <c r="Q21" t="str">
        <f>'Entry data'!C$3</f>
        <v>Home</v>
      </c>
    </row>
    <row r="22" spans="1:17" x14ac:dyDescent="0.25">
      <c r="A22" s="1">
        <f>IF(calc!$L22=1,calc!B22,"")</f>
        <v>1</v>
      </c>
      <c r="B22" s="5">
        <f>IF(calc!$L22=1,calc!C22,"")</f>
        <v>0.73819444444444449</v>
      </c>
      <c r="C22" s="1" t="str">
        <f>IF(calc!$L22=1,calc!D22,"")</f>
        <v>FAC</v>
      </c>
      <c r="D22" s="1" t="str">
        <f>IF(calc!$L22=1,calc!E22,"")</f>
        <v>OZF</v>
      </c>
      <c r="E22" s="1" t="str">
        <f>IF(calc!$L22=1,IF(EXACT(calc!$D22,"FAC"),"",calc!F22),"")</f>
        <v/>
      </c>
      <c r="F22" s="1" t="str">
        <f>IF(calc!$L22=1,IF(EXACT(calc!$D22,"FAC"),"",calc!G22),"")</f>
        <v/>
      </c>
      <c r="G22" s="1" t="str">
        <f>IF(calc!$L22=1,IF(EXACT(calc!$D22,"FAC"),"",calc!H22),"")</f>
        <v/>
      </c>
      <c r="H22" s="1" t="str">
        <f>IF(calc!$L22=1,IF(EXACT(calc!$D22,"FAC"),"",calc!I22),"")</f>
        <v/>
      </c>
      <c r="I22" s="1">
        <f>IF(calc!$L22=1,calc!J22,"")</f>
        <v>5</v>
      </c>
      <c r="J22" s="1">
        <f>IF(calc!$L22=1,calc!K22,"")</f>
        <v>5</v>
      </c>
      <c r="K22" s="1" t="str">
        <f>IF(calc!$L22=1,calc!M22,"")</f>
        <v/>
      </c>
      <c r="L22" s="1">
        <f>IF(calc!$L22=1,calc!N22,"")</f>
        <v>1</v>
      </c>
      <c r="M22" s="1">
        <f>IF(calc!$L22=1,calc!O22,"")</f>
        <v>0</v>
      </c>
      <c r="N22" s="1" t="str">
        <f>IF(calc!$L22=1,calc!P22,"")</f>
        <v/>
      </c>
      <c r="O22">
        <f>'Entry data'!C$1</f>
        <v>20064</v>
      </c>
      <c r="P22" t="str">
        <f>'Entry data'!C$2</f>
        <v>NSH</v>
      </c>
      <c r="Q22" t="str">
        <f>'Entry data'!C$3</f>
        <v>Home</v>
      </c>
    </row>
    <row r="23" spans="1:17" x14ac:dyDescent="0.25">
      <c r="A23" s="1" t="str">
        <f>IF(calc!$L23=1,calc!B23,"")</f>
        <v/>
      </c>
      <c r="B23" s="5" t="str">
        <f>IF(calc!$L23=1,calc!C23,"")</f>
        <v/>
      </c>
      <c r="C23" s="1" t="str">
        <f>IF(calc!$L23=1,calc!D23,"")</f>
        <v/>
      </c>
      <c r="D23" s="1" t="str">
        <f>IF(calc!$L23=1,calc!E23,"")</f>
        <v/>
      </c>
      <c r="E23" s="1" t="str">
        <f>IF(calc!$L23=1,IF(EXACT(calc!$D23,"FAC"),"",calc!F23),"")</f>
        <v/>
      </c>
      <c r="F23" s="1" t="str">
        <f>IF(calc!$L23=1,IF(EXACT(calc!$D23,"FAC"),"",calc!G23),"")</f>
        <v/>
      </c>
      <c r="G23" s="1" t="str">
        <f>IF(calc!$L23=1,IF(EXACT(calc!$D23,"FAC"),"",calc!H23),"")</f>
        <v/>
      </c>
      <c r="H23" s="1" t="str">
        <f>IF(calc!$L23=1,IF(EXACT(calc!$D23,"FAC"),"",calc!I23),"")</f>
        <v/>
      </c>
      <c r="I23" s="1" t="str">
        <f>IF(calc!$L23=1,calc!J23,"")</f>
        <v/>
      </c>
      <c r="J23" s="1" t="str">
        <f>IF(calc!$L23=1,calc!K23,"")</f>
        <v/>
      </c>
      <c r="K23" s="1" t="str">
        <f>IF(calc!$L23=1,calc!M23,"")</f>
        <v/>
      </c>
      <c r="L23" s="1" t="str">
        <f>IF(calc!$L23=1,calc!N23,"")</f>
        <v/>
      </c>
      <c r="M23" s="1" t="str">
        <f>IF(calc!$L23=1,calc!O23,"")</f>
        <v/>
      </c>
      <c r="N23" s="1" t="str">
        <f>IF(calc!$L23=1,calc!P23,"")</f>
        <v/>
      </c>
      <c r="O23">
        <f>'Entry data'!C$1</f>
        <v>20064</v>
      </c>
      <c r="P23" t="str">
        <f>'Entry data'!C$2</f>
        <v>NSH</v>
      </c>
      <c r="Q23" t="str">
        <f>'Entry data'!C$3</f>
        <v>Home</v>
      </c>
    </row>
    <row r="24" spans="1:17" x14ac:dyDescent="0.25">
      <c r="A24" s="1" t="str">
        <f>IF(calc!$L24=1,calc!B24,"")</f>
        <v/>
      </c>
      <c r="B24" s="5" t="str">
        <f>IF(calc!$L24=1,calc!C24,"")</f>
        <v/>
      </c>
      <c r="C24" s="1" t="str">
        <f>IF(calc!$L24=1,calc!D24,"")</f>
        <v/>
      </c>
      <c r="D24" s="1" t="str">
        <f>IF(calc!$L24=1,calc!E24,"")</f>
        <v/>
      </c>
      <c r="E24" s="1" t="str">
        <f>IF(calc!$L24=1,IF(EXACT(calc!$D24,"FAC"),"",calc!F24),"")</f>
        <v/>
      </c>
      <c r="F24" s="1" t="str">
        <f>IF(calc!$L24=1,IF(EXACT(calc!$D24,"FAC"),"",calc!G24),"")</f>
        <v/>
      </c>
      <c r="G24" s="1" t="str">
        <f>IF(calc!$L24=1,IF(EXACT(calc!$D24,"FAC"),"",calc!H24),"")</f>
        <v/>
      </c>
      <c r="H24" s="1" t="str">
        <f>IF(calc!$L24=1,IF(EXACT(calc!$D24,"FAC"),"",calc!I24),"")</f>
        <v/>
      </c>
      <c r="I24" s="1" t="str">
        <f>IF(calc!$L24=1,calc!J24,"")</f>
        <v/>
      </c>
      <c r="J24" s="1" t="str">
        <f>IF(calc!$L24=1,calc!K24,"")</f>
        <v/>
      </c>
      <c r="K24" s="1" t="str">
        <f>IF(calc!$L24=1,calc!M24,"")</f>
        <v/>
      </c>
      <c r="L24" s="1" t="str">
        <f>IF(calc!$L24=1,calc!N24,"")</f>
        <v/>
      </c>
      <c r="M24" s="1" t="str">
        <f>IF(calc!$L24=1,calc!O24,"")</f>
        <v/>
      </c>
      <c r="N24" s="1" t="str">
        <f>IF(calc!$L24=1,calc!P24,"")</f>
        <v/>
      </c>
      <c r="O24">
        <f>'Entry data'!C$1</f>
        <v>20064</v>
      </c>
      <c r="P24" t="str">
        <f>'Entry data'!C$2</f>
        <v>NSH</v>
      </c>
      <c r="Q24" t="str">
        <f>'Entry data'!C$3</f>
        <v>Home</v>
      </c>
    </row>
    <row r="25" spans="1:17" x14ac:dyDescent="0.25">
      <c r="A25" s="1" t="str">
        <f>IF(calc!$L25=1,calc!B25,"")</f>
        <v/>
      </c>
      <c r="B25" s="5" t="str">
        <f>IF(calc!$L25=1,calc!C25,"")</f>
        <v/>
      </c>
      <c r="C25" s="1" t="str">
        <f>IF(calc!$L25=1,calc!D25,"")</f>
        <v/>
      </c>
      <c r="D25" s="1" t="str">
        <f>IF(calc!$L25=1,calc!E25,"")</f>
        <v/>
      </c>
      <c r="E25" s="1" t="str">
        <f>IF(calc!$L25=1,IF(EXACT(calc!$D25,"FAC"),"",calc!F25),"")</f>
        <v/>
      </c>
      <c r="F25" s="1" t="str">
        <f>IF(calc!$L25=1,IF(EXACT(calc!$D25,"FAC"),"",calc!G25),"")</f>
        <v/>
      </c>
      <c r="G25" s="1" t="str">
        <f>IF(calc!$L25=1,IF(EXACT(calc!$D25,"FAC"),"",calc!H25),"")</f>
        <v/>
      </c>
      <c r="H25" s="1" t="str">
        <f>IF(calc!$L25=1,IF(EXACT(calc!$D25,"FAC"),"",calc!I25),"")</f>
        <v/>
      </c>
      <c r="I25" s="1" t="str">
        <f>IF(calc!$L25=1,calc!J25,"")</f>
        <v/>
      </c>
      <c r="J25" s="1" t="str">
        <f>IF(calc!$L25=1,calc!K25,"")</f>
        <v/>
      </c>
      <c r="K25" s="1" t="str">
        <f>IF(calc!$L25=1,calc!M25,"")</f>
        <v/>
      </c>
      <c r="L25" s="1" t="str">
        <f>IF(calc!$L25=1,calc!N25,"")</f>
        <v/>
      </c>
      <c r="M25" s="1" t="str">
        <f>IF(calc!$L25=1,calc!O25,"")</f>
        <v/>
      </c>
      <c r="N25" s="1" t="str">
        <f>IF(calc!$L25=1,calc!P25,"")</f>
        <v/>
      </c>
      <c r="O25">
        <f>'Entry data'!C$1</f>
        <v>20064</v>
      </c>
      <c r="P25" t="str">
        <f>'Entry data'!C$2</f>
        <v>NSH</v>
      </c>
      <c r="Q25" t="str">
        <f>'Entry data'!C$3</f>
        <v>Home</v>
      </c>
    </row>
    <row r="26" spans="1:17" x14ac:dyDescent="0.25">
      <c r="A26" s="1" t="str">
        <f>IF(calc!$L26=1,calc!B26,"")</f>
        <v/>
      </c>
      <c r="B26" s="5" t="str">
        <f>IF(calc!$L26=1,calc!C26,"")</f>
        <v/>
      </c>
      <c r="C26" s="1" t="str">
        <f>IF(calc!$L26=1,calc!D26,"")</f>
        <v/>
      </c>
      <c r="D26" s="1" t="str">
        <f>IF(calc!$L26=1,calc!E26,"")</f>
        <v/>
      </c>
      <c r="E26" s="1" t="str">
        <f>IF(calc!$L26=1,IF(EXACT(calc!$D26,"FAC"),"",calc!F26),"")</f>
        <v/>
      </c>
      <c r="F26" s="1" t="str">
        <f>IF(calc!$L26=1,IF(EXACT(calc!$D26,"FAC"),"",calc!G26),"")</f>
        <v/>
      </c>
      <c r="G26" s="1" t="str">
        <f>IF(calc!$L26=1,IF(EXACT(calc!$D26,"FAC"),"",calc!H26),"")</f>
        <v/>
      </c>
      <c r="H26" s="1" t="str">
        <f>IF(calc!$L26=1,IF(EXACT(calc!$D26,"FAC"),"",calc!I26),"")</f>
        <v/>
      </c>
      <c r="I26" s="1" t="str">
        <f>IF(calc!$L26=1,calc!J26,"")</f>
        <v/>
      </c>
      <c r="J26" s="1" t="str">
        <f>IF(calc!$L26=1,calc!K26,"")</f>
        <v/>
      </c>
      <c r="K26" s="1" t="str">
        <f>IF(calc!$L26=1,calc!M26,"")</f>
        <v/>
      </c>
      <c r="L26" s="1" t="str">
        <f>IF(calc!$L26=1,calc!N26,"")</f>
        <v/>
      </c>
      <c r="M26" s="1" t="str">
        <f>IF(calc!$L26=1,calc!O26,"")</f>
        <v/>
      </c>
      <c r="N26" s="1" t="str">
        <f>IF(calc!$L26=1,calc!P26,"")</f>
        <v/>
      </c>
      <c r="O26">
        <f>'Entry data'!C$1</f>
        <v>20064</v>
      </c>
      <c r="P26" t="str">
        <f>'Entry data'!C$2</f>
        <v>NSH</v>
      </c>
      <c r="Q26" t="str">
        <f>'Entry data'!C$3</f>
        <v>Home</v>
      </c>
    </row>
    <row r="27" spans="1:17" x14ac:dyDescent="0.25">
      <c r="A27" s="1" t="str">
        <f>IF(calc!$L27=1,calc!B27,"")</f>
        <v/>
      </c>
      <c r="B27" s="5" t="str">
        <f>IF(calc!$L27=1,calc!C27,"")</f>
        <v/>
      </c>
      <c r="C27" s="1" t="str">
        <f>IF(calc!$L27=1,calc!D27,"")</f>
        <v/>
      </c>
      <c r="D27" s="1" t="str">
        <f>IF(calc!$L27=1,calc!E27,"")</f>
        <v/>
      </c>
      <c r="E27" s="1" t="str">
        <f>IF(calc!$L27=1,IF(EXACT(calc!$D27,"FAC"),"",calc!F27),"")</f>
        <v/>
      </c>
      <c r="F27" s="1" t="str">
        <f>IF(calc!$L27=1,IF(EXACT(calc!$D27,"FAC"),"",calc!G27),"")</f>
        <v/>
      </c>
      <c r="G27" s="1" t="str">
        <f>IF(calc!$L27=1,IF(EXACT(calc!$D27,"FAC"),"",calc!H27),"")</f>
        <v/>
      </c>
      <c r="H27" s="1" t="str">
        <f>IF(calc!$L27=1,IF(EXACT(calc!$D27,"FAC"),"",calc!I27),"")</f>
        <v/>
      </c>
      <c r="I27" s="1" t="str">
        <f>IF(calc!$L27=1,calc!J27,"")</f>
        <v/>
      </c>
      <c r="J27" s="1" t="str">
        <f>IF(calc!$L27=1,calc!K27,"")</f>
        <v/>
      </c>
      <c r="K27" s="1" t="str">
        <f>IF(calc!$L27=1,calc!M27,"")</f>
        <v/>
      </c>
      <c r="L27" s="1" t="str">
        <f>IF(calc!$L27=1,calc!N27,"")</f>
        <v/>
      </c>
      <c r="M27" s="1" t="str">
        <f>IF(calc!$L27=1,calc!O27,"")</f>
        <v/>
      </c>
      <c r="N27" s="1" t="str">
        <f>IF(calc!$L27=1,calc!P27,"")</f>
        <v/>
      </c>
      <c r="O27">
        <f>'Entry data'!C$1</f>
        <v>20064</v>
      </c>
      <c r="P27" t="str">
        <f>'Entry data'!C$2</f>
        <v>NSH</v>
      </c>
      <c r="Q27" t="str">
        <f>'Entry data'!C$3</f>
        <v>Home</v>
      </c>
    </row>
    <row r="28" spans="1:17" x14ac:dyDescent="0.25">
      <c r="A28" s="1">
        <f>IF(calc!$L28=1,calc!B28,"")</f>
        <v>1</v>
      </c>
      <c r="B28" s="5">
        <f>IF(calc!$L28=1,calc!C28,"")</f>
        <v>0.71458333333333324</v>
      </c>
      <c r="C28" s="1" t="str">
        <f>IF(calc!$L28=1,calc!D28,"")</f>
        <v>D</v>
      </c>
      <c r="D28" s="1" t="str">
        <f>IF(calc!$L28=1,calc!E28,"")</f>
        <v>62DET</v>
      </c>
      <c r="E28" s="1" t="str">
        <f>IF(calc!$L28=1,IF(EXACT(calc!$D28,"FAC"),"",calc!F28),"")</f>
        <v>4NSH</v>
      </c>
      <c r="F28" s="1" t="str">
        <f>IF(calc!$L28=1,IF(EXACT(calc!$D28,"FAC"),"",calc!G28),"")</f>
        <v/>
      </c>
      <c r="G28" s="1" t="str">
        <f>IF(calc!$L28=1,IF(EXACT(calc!$D28,"FAC"),"",calc!H28),"")</f>
        <v>C</v>
      </c>
      <c r="H28" s="1" t="str">
        <f>IF(calc!$L28=1,IF(EXACT(calc!$D28,"FAC"),"",calc!I28),"")</f>
        <v>N</v>
      </c>
      <c r="I28" s="1">
        <f>IF(calc!$L28=1,calc!J28,"")</f>
        <v>5</v>
      </c>
      <c r="J28" s="1">
        <f>IF(calc!$L28=1,calc!K28,"")</f>
        <v>5</v>
      </c>
      <c r="K28" s="1" t="str">
        <f>IF(calc!$L28=1,calc!M28,"")</f>
        <v/>
      </c>
      <c r="L28" s="1">
        <f>IF(calc!$L28=1,calc!N28,"")</f>
        <v>0</v>
      </c>
      <c r="M28" s="1">
        <f>IF(calc!$L28=1,calc!O28,"")</f>
        <v>0</v>
      </c>
      <c r="N28" s="1" t="str">
        <f>IF(calc!$L28=1,calc!P28,"")</f>
        <v/>
      </c>
      <c r="O28">
        <f>'Entry data'!C$1</f>
        <v>20064</v>
      </c>
      <c r="P28" t="str">
        <f>'Entry data'!C$2</f>
        <v>NSH</v>
      </c>
      <c r="Q28" t="str">
        <f>'Entry data'!C$3</f>
        <v>Home</v>
      </c>
    </row>
    <row r="29" spans="1:17" x14ac:dyDescent="0.25">
      <c r="A29" s="1">
        <f>IF(calc!$L29=1,calc!B29,"")</f>
        <v>1</v>
      </c>
      <c r="B29" s="5">
        <f>IF(calc!$L29=1,calc!C29,"")</f>
        <v>0.70763888888888893</v>
      </c>
      <c r="C29" s="1" t="str">
        <f>IF(calc!$L29=1,calc!D29,"")</f>
        <v>D</v>
      </c>
      <c r="D29" s="1" t="str">
        <f>IF(calc!$L29=1,calc!E29,"")</f>
        <v>10NSH</v>
      </c>
      <c r="E29" s="1" t="str">
        <f>IF(calc!$L29=1,IF(EXACT(calc!$D29,"FAC"),"",calc!F29),"")</f>
        <v>N</v>
      </c>
      <c r="F29" s="1" t="str">
        <f>IF(calc!$L29=1,IF(EXACT(calc!$D29,"FAC"),"",calc!G29),"")</f>
        <v/>
      </c>
      <c r="G29" s="1" t="str">
        <f>IF(calc!$L29=1,IF(EXACT(calc!$D29,"FAC"),"",calc!H29),"")</f>
        <v>L</v>
      </c>
      <c r="H29" s="1" t="str">
        <f>IF(calc!$L29=1,IF(EXACT(calc!$D29,"FAC"),"",calc!I29),"")</f>
        <v>N</v>
      </c>
      <c r="I29" s="1">
        <f>IF(calc!$L29=1,calc!J29,"")</f>
        <v>5</v>
      </c>
      <c r="J29" s="1">
        <f>IF(calc!$L29=1,calc!K29,"")</f>
        <v>5</v>
      </c>
      <c r="K29" s="1" t="str">
        <f>IF(calc!$L29=1,calc!M29,"")</f>
        <v/>
      </c>
      <c r="L29" s="1">
        <f>IF(calc!$L29=1,calc!N29,"")</f>
        <v>0</v>
      </c>
      <c r="M29" s="1">
        <f>IF(calc!$L29=1,calc!O29,"")</f>
        <v>0</v>
      </c>
      <c r="N29" s="1" t="str">
        <f>IF(calc!$L29=1,calc!P29,"")</f>
        <v/>
      </c>
      <c r="O29">
        <f>'Entry data'!C$1</f>
        <v>20064</v>
      </c>
      <c r="P29" t="str">
        <f>'Entry data'!C$2</f>
        <v>NSH</v>
      </c>
      <c r="Q29" t="str">
        <f>'Entry data'!C$3</f>
        <v>Home</v>
      </c>
    </row>
    <row r="30" spans="1:17" x14ac:dyDescent="0.25">
      <c r="A30" s="1" t="str">
        <f>IF(calc!$L30=1,calc!B30,"")</f>
        <v/>
      </c>
      <c r="B30" s="5" t="str">
        <f>IF(calc!$L30=1,calc!C30,"")</f>
        <v/>
      </c>
      <c r="C30" s="1" t="str">
        <f>IF(calc!$L30=1,calc!D30,"")</f>
        <v/>
      </c>
      <c r="D30" s="1" t="str">
        <f>IF(calc!$L30=1,calc!E30,"")</f>
        <v/>
      </c>
      <c r="E30" s="1" t="str">
        <f>IF(calc!$L30=1,IF(EXACT(calc!$D30,"FAC"),"",calc!F30),"")</f>
        <v/>
      </c>
      <c r="F30" s="1" t="str">
        <f>IF(calc!$L30=1,IF(EXACT(calc!$D30,"FAC"),"",calc!G30),"")</f>
        <v/>
      </c>
      <c r="G30" s="1" t="str">
        <f>IF(calc!$L30=1,IF(EXACT(calc!$D30,"FAC"),"",calc!H30),"")</f>
        <v/>
      </c>
      <c r="H30" s="1" t="str">
        <f>IF(calc!$L30=1,IF(EXACT(calc!$D30,"FAC"),"",calc!I30),"")</f>
        <v/>
      </c>
      <c r="I30" s="1" t="str">
        <f>IF(calc!$L30=1,calc!J30,"")</f>
        <v/>
      </c>
      <c r="J30" s="1" t="str">
        <f>IF(calc!$L30=1,calc!K30,"")</f>
        <v/>
      </c>
      <c r="K30" s="1" t="str">
        <f>IF(calc!$L30=1,calc!M30,"")</f>
        <v/>
      </c>
      <c r="L30" s="1" t="str">
        <f>IF(calc!$L30=1,calc!N30,"")</f>
        <v/>
      </c>
      <c r="M30" s="1" t="str">
        <f>IF(calc!$L30=1,calc!O30,"")</f>
        <v/>
      </c>
      <c r="N30" s="1" t="str">
        <f>IF(calc!$L30=1,calc!P30,"")</f>
        <v/>
      </c>
      <c r="O30">
        <f>'Entry data'!C$1</f>
        <v>20064</v>
      </c>
      <c r="P30" t="str">
        <f>'Entry data'!C$2</f>
        <v>NSH</v>
      </c>
      <c r="Q30" t="str">
        <f>'Entry data'!C$3</f>
        <v>Home</v>
      </c>
    </row>
    <row r="31" spans="1:17" x14ac:dyDescent="0.25">
      <c r="A31" s="1">
        <f>IF(calc!$L31=1,calc!B31,"")</f>
        <v>1</v>
      </c>
      <c r="B31" s="5">
        <f>IF(calc!$L31=1,calc!C31,"")</f>
        <v>0.69652777777777775</v>
      </c>
      <c r="C31" s="1" t="str">
        <f>IF(calc!$L31=1,calc!D31,"")</f>
        <v>D</v>
      </c>
      <c r="D31" s="1" t="str">
        <f>IF(calc!$L31=1,calc!E31,"")</f>
        <v>62DET</v>
      </c>
      <c r="E31" s="1" t="str">
        <f>IF(calc!$L31=1,IF(EXACT(calc!$D31,"FAC"),"",calc!F31),"")</f>
        <v>4NSH</v>
      </c>
      <c r="F31" s="1" t="str">
        <f>IF(calc!$L31=1,IF(EXACT(calc!$D31,"FAC"),"",calc!G31),"")</f>
        <v/>
      </c>
      <c r="G31" s="1" t="str">
        <f>IF(calc!$L31=1,IF(EXACT(calc!$D31,"FAC"),"",calc!H31),"")</f>
        <v>L</v>
      </c>
      <c r="H31" s="1" t="str">
        <f>IF(calc!$L31=1,IF(EXACT(calc!$D31,"FAC"),"",calc!I31),"")</f>
        <v>N</v>
      </c>
      <c r="I31" s="1">
        <f>IF(calc!$L31=1,calc!J31,"")</f>
        <v>5</v>
      </c>
      <c r="J31" s="1">
        <f>IF(calc!$L31=1,calc!K31,"")</f>
        <v>5</v>
      </c>
      <c r="K31" s="1" t="str">
        <f>IF(calc!$L31=1,calc!M31,"")</f>
        <v/>
      </c>
      <c r="L31" s="1">
        <f>IF(calc!$L31=1,calc!N31,"")</f>
        <v>2</v>
      </c>
      <c r="M31" s="1">
        <f>IF(calc!$L31=1,calc!O31,"")</f>
        <v>0</v>
      </c>
      <c r="N31" s="1" t="str">
        <f>IF(calc!$L31=1,calc!P31,"")</f>
        <v/>
      </c>
      <c r="O31">
        <f>'Entry data'!C$1</f>
        <v>20064</v>
      </c>
      <c r="P31" t="str">
        <f>'Entry data'!C$2</f>
        <v>NSH</v>
      </c>
      <c r="Q31" t="str">
        <f>'Entry data'!C$3</f>
        <v>Home</v>
      </c>
    </row>
    <row r="32" spans="1:17" x14ac:dyDescent="0.25">
      <c r="A32" s="1" t="str">
        <f>IF(calc!$L32=1,calc!B32,"")</f>
        <v/>
      </c>
      <c r="B32" s="5" t="str">
        <f>IF(calc!$L32=1,calc!C32,"")</f>
        <v/>
      </c>
      <c r="C32" s="1" t="str">
        <f>IF(calc!$L32=1,calc!D32,"")</f>
        <v/>
      </c>
      <c r="D32" s="1" t="str">
        <f>IF(calc!$L32=1,calc!E32,"")</f>
        <v/>
      </c>
      <c r="E32" s="1" t="str">
        <f>IF(calc!$L32=1,IF(EXACT(calc!$D32,"FAC"),"",calc!F32),"")</f>
        <v/>
      </c>
      <c r="F32" s="1" t="str">
        <f>IF(calc!$L32=1,IF(EXACT(calc!$D32,"FAC"),"",calc!G32),"")</f>
        <v/>
      </c>
      <c r="G32" s="1" t="str">
        <f>IF(calc!$L32=1,IF(EXACT(calc!$D32,"FAC"),"",calc!H32),"")</f>
        <v/>
      </c>
      <c r="H32" s="1" t="str">
        <f>IF(calc!$L32=1,IF(EXACT(calc!$D32,"FAC"),"",calc!I32),"")</f>
        <v/>
      </c>
      <c r="I32" s="1" t="str">
        <f>IF(calc!$L32=1,calc!J32,"")</f>
        <v/>
      </c>
      <c r="J32" s="1" t="str">
        <f>IF(calc!$L32=1,calc!K32,"")</f>
        <v/>
      </c>
      <c r="K32" s="1" t="str">
        <f>IF(calc!$L32=1,calc!M32,"")</f>
        <v/>
      </c>
      <c r="L32" s="1" t="str">
        <f>IF(calc!$L32=1,calc!N32,"")</f>
        <v/>
      </c>
      <c r="M32" s="1" t="str">
        <f>IF(calc!$L32=1,calc!O32,"")</f>
        <v/>
      </c>
      <c r="N32" s="1" t="str">
        <f>IF(calc!$L32=1,calc!P32,"")</f>
        <v/>
      </c>
      <c r="O32">
        <f>'Entry data'!C$1</f>
        <v>20064</v>
      </c>
      <c r="P32" t="str">
        <f>'Entry data'!C$2</f>
        <v>NSH</v>
      </c>
      <c r="Q32" t="str">
        <f>'Entry data'!C$3</f>
        <v>Home</v>
      </c>
    </row>
    <row r="33" spans="1:17" x14ac:dyDescent="0.25">
      <c r="A33" s="1" t="str">
        <f>IF(calc!$L33=1,calc!B33,"")</f>
        <v/>
      </c>
      <c r="B33" s="5" t="str">
        <f>IF(calc!$L33=1,calc!C33,"")</f>
        <v/>
      </c>
      <c r="C33" s="1" t="str">
        <f>IF(calc!$L33=1,calc!D33,"")</f>
        <v/>
      </c>
      <c r="D33" s="1" t="str">
        <f>IF(calc!$L33=1,calc!E33,"")</f>
        <v/>
      </c>
      <c r="E33" s="1" t="str">
        <f>IF(calc!$L33=1,IF(EXACT(calc!$D33,"FAC"),"",calc!F33),"")</f>
        <v/>
      </c>
      <c r="F33" s="1" t="str">
        <f>IF(calc!$L33=1,IF(EXACT(calc!$D33,"FAC"),"",calc!G33),"")</f>
        <v/>
      </c>
      <c r="G33" s="1" t="str">
        <f>IF(calc!$L33=1,IF(EXACT(calc!$D33,"FAC"),"",calc!H33),"")</f>
        <v/>
      </c>
      <c r="H33" s="1" t="str">
        <f>IF(calc!$L33=1,IF(EXACT(calc!$D33,"FAC"),"",calc!I33),"")</f>
        <v/>
      </c>
      <c r="I33" s="1" t="str">
        <f>IF(calc!$L33=1,calc!J33,"")</f>
        <v/>
      </c>
      <c r="J33" s="1" t="str">
        <f>IF(calc!$L33=1,calc!K33,"")</f>
        <v/>
      </c>
      <c r="K33" s="1" t="str">
        <f>IF(calc!$L33=1,calc!M33,"")</f>
        <v/>
      </c>
      <c r="L33" s="1" t="str">
        <f>IF(calc!$L33=1,calc!N33,"")</f>
        <v/>
      </c>
      <c r="M33" s="1" t="str">
        <f>IF(calc!$L33=1,calc!O33,"")</f>
        <v/>
      </c>
      <c r="N33" s="1" t="str">
        <f>IF(calc!$L33=1,calc!P33,"")</f>
        <v/>
      </c>
      <c r="O33">
        <f>'Entry data'!C$1</f>
        <v>20064</v>
      </c>
      <c r="P33" t="str">
        <f>'Entry data'!C$2</f>
        <v>NSH</v>
      </c>
      <c r="Q33" t="str">
        <f>'Entry data'!C$3</f>
        <v>Home</v>
      </c>
    </row>
    <row r="34" spans="1:17" x14ac:dyDescent="0.25">
      <c r="A34" s="1">
        <f>IF(calc!$L34=1,calc!B34,"")</f>
        <v>1</v>
      </c>
      <c r="B34" s="5">
        <f>IF(calc!$L34=1,calc!C34,"")</f>
        <v>0.68472222222222223</v>
      </c>
      <c r="C34" s="1" t="str">
        <f>IF(calc!$L34=1,calc!D34,"")</f>
        <v>D</v>
      </c>
      <c r="D34" s="1" t="str">
        <f>IF(calc!$L34=1,calc!E34,"")</f>
        <v>9NSH</v>
      </c>
      <c r="E34" s="1" t="str">
        <f>IF(calc!$L34=1,IF(EXACT(calc!$D34,"FAC"),"",calc!F34),"")</f>
        <v>52DET</v>
      </c>
      <c r="F34" s="1" t="str">
        <f>IF(calc!$L34=1,IF(EXACT(calc!$D34,"FAC"),"",calc!G34),"")</f>
        <v/>
      </c>
      <c r="G34" s="1" t="str">
        <f>IF(calc!$L34=1,IF(EXACT(calc!$D34,"FAC"),"",calc!H34),"")</f>
        <v>R</v>
      </c>
      <c r="H34" s="1" t="str">
        <f>IF(calc!$L34=1,IF(EXACT(calc!$D34,"FAC"),"",calc!I34),"")</f>
        <v>N</v>
      </c>
      <c r="I34" s="1">
        <f>IF(calc!$L34=1,calc!J34,"")</f>
        <v>5</v>
      </c>
      <c r="J34" s="1">
        <f>IF(calc!$L34=1,calc!K34,"")</f>
        <v>5</v>
      </c>
      <c r="K34" s="1" t="str">
        <f>IF(calc!$L34=1,calc!M34,"")</f>
        <v/>
      </c>
      <c r="L34" s="1">
        <f>IF(calc!$L34=1,calc!N34,"")</f>
        <v>0</v>
      </c>
      <c r="M34" s="1">
        <f>IF(calc!$L34=1,calc!O34,"")</f>
        <v>0</v>
      </c>
      <c r="N34" s="1" t="str">
        <f>IF(calc!$L34=1,calc!P34,"")</f>
        <v/>
      </c>
      <c r="O34">
        <f>'Entry data'!C$1</f>
        <v>20064</v>
      </c>
      <c r="P34" t="str">
        <f>'Entry data'!C$2</f>
        <v>NSH</v>
      </c>
      <c r="Q34" t="str">
        <f>'Entry data'!C$3</f>
        <v>Home</v>
      </c>
    </row>
    <row r="35" spans="1:17" x14ac:dyDescent="0.25">
      <c r="A35" s="1">
        <f>IF(calc!$L35=1,calc!B35,"")</f>
        <v>1</v>
      </c>
      <c r="B35" s="5">
        <f>IF(calc!$L35=1,calc!C35,"")</f>
        <v>0.67708333333333337</v>
      </c>
      <c r="C35" s="1" t="str">
        <f>IF(calc!$L35=1,calc!D35,"")</f>
        <v>C</v>
      </c>
      <c r="D35" s="1" t="str">
        <f>IF(calc!$L35=1,calc!E35,"")</f>
        <v>51DET</v>
      </c>
      <c r="E35" s="1" t="str">
        <f>IF(calc!$L35=1,IF(EXACT(calc!$D35,"FAC"),"",calc!F35),"")</f>
        <v>59NSH</v>
      </c>
      <c r="F35" s="1" t="str">
        <f>IF(calc!$L35=1,IF(EXACT(calc!$D35,"FAC"),"",calc!G35),"")</f>
        <v>Y</v>
      </c>
      <c r="G35" s="1" t="str">
        <f>IF(calc!$L35=1,IF(EXACT(calc!$D35,"FAC"),"",calc!H35),"")</f>
        <v>C</v>
      </c>
      <c r="H35" s="1" t="str">
        <f>IF(calc!$L35=1,IF(EXACT(calc!$D35,"FAC"),"",calc!I35),"")</f>
        <v>N</v>
      </c>
      <c r="I35" s="1">
        <f>IF(calc!$L35=1,calc!J35,"")</f>
        <v>5</v>
      </c>
      <c r="J35" s="1">
        <f>IF(calc!$L35=1,calc!K35,"")</f>
        <v>5</v>
      </c>
      <c r="K35" s="1" t="str">
        <f>IF(calc!$L35=1,calc!M35,"")</f>
        <v>51DET</v>
      </c>
      <c r="L35" s="1">
        <f>IF(calc!$L35=1,calc!N35,"")</f>
        <v>0</v>
      </c>
      <c r="M35" s="1">
        <f>IF(calc!$L35=1,calc!O35,"")</f>
        <v>0</v>
      </c>
      <c r="N35" s="1" t="str">
        <f>IF(calc!$L35=1,calc!P35,"")</f>
        <v/>
      </c>
      <c r="O35">
        <f>'Entry data'!C$1</f>
        <v>20064</v>
      </c>
      <c r="P35" t="str">
        <f>'Entry data'!C$2</f>
        <v>NSH</v>
      </c>
      <c r="Q35" t="str">
        <f>'Entry data'!C$3</f>
        <v>Home</v>
      </c>
    </row>
    <row r="36" spans="1:17" x14ac:dyDescent="0.25">
      <c r="A36" s="1" t="str">
        <f>IF(calc!$L36=1,calc!B36,"")</f>
        <v/>
      </c>
      <c r="B36" s="5" t="str">
        <f>IF(calc!$L36=1,calc!C36,"")</f>
        <v/>
      </c>
      <c r="C36" s="1" t="str">
        <f>IF(calc!$L36=1,calc!D36,"")</f>
        <v/>
      </c>
      <c r="D36" s="1" t="str">
        <f>IF(calc!$L36=1,calc!E36,"")</f>
        <v/>
      </c>
      <c r="E36" s="1" t="str">
        <f>IF(calc!$L36=1,IF(EXACT(calc!$D36,"FAC"),"",calc!F36),"")</f>
        <v/>
      </c>
      <c r="F36" s="1" t="str">
        <f>IF(calc!$L36=1,IF(EXACT(calc!$D36,"FAC"),"",calc!G36),"")</f>
        <v/>
      </c>
      <c r="G36" s="1" t="str">
        <f>IF(calc!$L36=1,IF(EXACT(calc!$D36,"FAC"),"",calc!H36),"")</f>
        <v/>
      </c>
      <c r="H36" s="1" t="str">
        <f>IF(calc!$L36=1,IF(EXACT(calc!$D36,"FAC"),"",calc!I36),"")</f>
        <v/>
      </c>
      <c r="I36" s="1" t="str">
        <f>IF(calc!$L36=1,calc!J36,"")</f>
        <v/>
      </c>
      <c r="J36" s="1" t="str">
        <f>IF(calc!$L36=1,calc!K36,"")</f>
        <v/>
      </c>
      <c r="K36" s="1" t="str">
        <f>IF(calc!$L36=1,calc!M36,"")</f>
        <v/>
      </c>
      <c r="L36" s="1" t="str">
        <f>IF(calc!$L36=1,calc!N36,"")</f>
        <v/>
      </c>
      <c r="M36" s="1" t="str">
        <f>IF(calc!$L36=1,calc!O36,"")</f>
        <v/>
      </c>
      <c r="N36" s="1" t="str">
        <f>IF(calc!$L36=1,calc!P36,"")</f>
        <v/>
      </c>
      <c r="O36">
        <f>'Entry data'!C$1</f>
        <v>20064</v>
      </c>
      <c r="P36" t="str">
        <f>'Entry data'!C$2</f>
        <v>NSH</v>
      </c>
      <c r="Q36" t="str">
        <f>'Entry data'!C$3</f>
        <v>Home</v>
      </c>
    </row>
    <row r="37" spans="1:17" x14ac:dyDescent="0.25">
      <c r="A37" s="1" t="str">
        <f>IF(calc!$L37=1,calc!B37,"")</f>
        <v/>
      </c>
      <c r="B37" s="5" t="str">
        <f>IF(calc!$L37=1,calc!C37,"")</f>
        <v/>
      </c>
      <c r="C37" s="1" t="str">
        <f>IF(calc!$L37=1,calc!D37,"")</f>
        <v/>
      </c>
      <c r="D37" s="1" t="str">
        <f>IF(calc!$L37=1,calc!E37,"")</f>
        <v/>
      </c>
      <c r="E37" s="1" t="str">
        <f>IF(calc!$L37=1,IF(EXACT(calc!$D37,"FAC"),"",calc!F37),"")</f>
        <v/>
      </c>
      <c r="F37" s="1" t="str">
        <f>IF(calc!$L37=1,IF(EXACT(calc!$D37,"FAC"),"",calc!G37),"")</f>
        <v/>
      </c>
      <c r="G37" s="1" t="str">
        <f>IF(calc!$L37=1,IF(EXACT(calc!$D37,"FAC"),"",calc!H37),"")</f>
        <v/>
      </c>
      <c r="H37" s="1" t="str">
        <f>IF(calc!$L37=1,IF(EXACT(calc!$D37,"FAC"),"",calc!I37),"")</f>
        <v/>
      </c>
      <c r="I37" s="1" t="str">
        <f>IF(calc!$L37=1,calc!J37,"")</f>
        <v/>
      </c>
      <c r="J37" s="1" t="str">
        <f>IF(calc!$L37=1,calc!K37,"")</f>
        <v/>
      </c>
      <c r="K37" s="1" t="str">
        <f>IF(calc!$L37=1,calc!M37,"")</f>
        <v/>
      </c>
      <c r="L37" s="1" t="str">
        <f>IF(calc!$L37=1,calc!N37,"")</f>
        <v/>
      </c>
      <c r="M37" s="1" t="str">
        <f>IF(calc!$L37=1,calc!O37,"")</f>
        <v/>
      </c>
      <c r="N37" s="1" t="str">
        <f>IF(calc!$L37=1,calc!P37,"")</f>
        <v/>
      </c>
      <c r="O37">
        <f>'Entry data'!C$1</f>
        <v>20064</v>
      </c>
      <c r="P37" t="str">
        <f>'Entry data'!C$2</f>
        <v>NSH</v>
      </c>
      <c r="Q37" t="str">
        <f>'Entry data'!C$3</f>
        <v>Home</v>
      </c>
    </row>
    <row r="38" spans="1:17" x14ac:dyDescent="0.25">
      <c r="A38" s="1">
        <f>IF(calc!$L38=1,calc!B38,"")</f>
        <v>1</v>
      </c>
      <c r="B38" s="5">
        <f>IF(calc!$L38=1,calc!C38,"")</f>
        <v>0.66527777777777775</v>
      </c>
      <c r="C38" s="1" t="str">
        <f>IF(calc!$L38=1,calc!D38,"")</f>
        <v>C</v>
      </c>
      <c r="D38" s="1" t="str">
        <f>IF(calc!$L38=1,calc!E38,"")</f>
        <v>38NSH</v>
      </c>
      <c r="E38" s="1" t="str">
        <f>IF(calc!$L38=1,IF(EXACT(calc!$D38,"FAC"),"",calc!F38),"")</f>
        <v>2DET</v>
      </c>
      <c r="F38" s="1" t="str">
        <f>IF(calc!$L38=1,IF(EXACT(calc!$D38,"FAC"),"",calc!G38),"")</f>
        <v>N</v>
      </c>
      <c r="G38" s="1" t="str">
        <f>IF(calc!$L38=1,IF(EXACT(calc!$D38,"FAC"),"",calc!H38),"")</f>
        <v>R</v>
      </c>
      <c r="H38" s="1" t="str">
        <f>IF(calc!$L38=1,IF(EXACT(calc!$D38,"FAC"),"",calc!I38),"")</f>
        <v>N</v>
      </c>
      <c r="I38" s="1">
        <f>IF(calc!$L38=1,calc!J38,"")</f>
        <v>5</v>
      </c>
      <c r="J38" s="1">
        <f>IF(calc!$L38=1,calc!K38,"")</f>
        <v>5</v>
      </c>
      <c r="K38" s="1" t="str">
        <f>IF(calc!$L38=1,calc!M38,"")</f>
        <v>38NSH</v>
      </c>
      <c r="L38" s="1">
        <f>IF(calc!$L38=1,calc!N38,"")</f>
        <v>1</v>
      </c>
      <c r="M38" s="1">
        <f>IF(calc!$L38=1,calc!O38,"")</f>
        <v>0</v>
      </c>
      <c r="N38" s="1" t="str">
        <f>IF(calc!$L38=1,calc!P38,"")</f>
        <v/>
      </c>
      <c r="O38">
        <f>'Entry data'!C$1</f>
        <v>20064</v>
      </c>
      <c r="P38" t="str">
        <f>'Entry data'!C$2</f>
        <v>NSH</v>
      </c>
      <c r="Q38" t="str">
        <f>'Entry data'!C$3</f>
        <v>Home</v>
      </c>
    </row>
    <row r="39" spans="1:17" x14ac:dyDescent="0.25">
      <c r="A39" s="1" t="str">
        <f>IF(calc!$L39=1,calc!B39,"")</f>
        <v/>
      </c>
      <c r="B39" s="5" t="str">
        <f>IF(calc!$L39=1,calc!C39,"")</f>
        <v/>
      </c>
      <c r="C39" s="1" t="str">
        <f>IF(calc!$L39=1,calc!D39,"")</f>
        <v/>
      </c>
      <c r="D39" s="1" t="str">
        <f>IF(calc!$L39=1,calc!E39,"")</f>
        <v/>
      </c>
      <c r="E39" s="1" t="str">
        <f>IF(calc!$L39=1,IF(EXACT(calc!$D39,"FAC"),"",calc!F39),"")</f>
        <v/>
      </c>
      <c r="F39" s="1" t="str">
        <f>IF(calc!$L39=1,IF(EXACT(calc!$D39,"FAC"),"",calc!G39),"")</f>
        <v/>
      </c>
      <c r="G39" s="1" t="str">
        <f>IF(calc!$L39=1,IF(EXACT(calc!$D39,"FAC"),"",calc!H39),"")</f>
        <v/>
      </c>
      <c r="H39" s="1" t="str">
        <f>IF(calc!$L39=1,IF(EXACT(calc!$D39,"FAC"),"",calc!I39),"")</f>
        <v/>
      </c>
      <c r="I39" s="1" t="str">
        <f>IF(calc!$L39=1,calc!J39,"")</f>
        <v/>
      </c>
      <c r="J39" s="1" t="str">
        <f>IF(calc!$L39=1,calc!K39,"")</f>
        <v/>
      </c>
      <c r="K39" s="1" t="str">
        <f>IF(calc!$L39=1,calc!M39,"")</f>
        <v/>
      </c>
      <c r="L39" s="1" t="str">
        <f>IF(calc!$L39=1,calc!N39,"")</f>
        <v/>
      </c>
      <c r="M39" s="1" t="str">
        <f>IF(calc!$L39=1,calc!O39,"")</f>
        <v/>
      </c>
      <c r="N39" s="1" t="str">
        <f>IF(calc!$L39=1,calc!P39,"")</f>
        <v/>
      </c>
      <c r="O39">
        <f>'Entry data'!C$1</f>
        <v>20064</v>
      </c>
      <c r="P39" t="str">
        <f>'Entry data'!C$2</f>
        <v>NSH</v>
      </c>
      <c r="Q39" t="str">
        <f>'Entry data'!C$3</f>
        <v>Home</v>
      </c>
    </row>
    <row r="40" spans="1:17" x14ac:dyDescent="0.25">
      <c r="A40" s="1" t="str">
        <f>IF(calc!$L40=1,calc!B40,"")</f>
        <v/>
      </c>
      <c r="B40" s="5" t="str">
        <f>IF(calc!$L40=1,calc!C40,"")</f>
        <v/>
      </c>
      <c r="C40" s="1" t="str">
        <f>IF(calc!$L40=1,calc!D40,"")</f>
        <v/>
      </c>
      <c r="D40" s="1" t="str">
        <f>IF(calc!$L40=1,calc!E40,"")</f>
        <v/>
      </c>
      <c r="E40" s="1" t="str">
        <f>IF(calc!$L40=1,IF(EXACT(calc!$D40,"FAC"),"",calc!F40),"")</f>
        <v/>
      </c>
      <c r="F40" s="1" t="str">
        <f>IF(calc!$L40=1,IF(EXACT(calc!$D40,"FAC"),"",calc!G40),"")</f>
        <v/>
      </c>
      <c r="G40" s="1" t="str">
        <f>IF(calc!$L40=1,IF(EXACT(calc!$D40,"FAC"),"",calc!H40),"")</f>
        <v/>
      </c>
      <c r="H40" s="1" t="str">
        <f>IF(calc!$L40=1,IF(EXACT(calc!$D40,"FAC"),"",calc!I40),"")</f>
        <v/>
      </c>
      <c r="I40" s="1" t="str">
        <f>IF(calc!$L40=1,calc!J40,"")</f>
        <v/>
      </c>
      <c r="J40" s="1" t="str">
        <f>IF(calc!$L40=1,calc!K40,"")</f>
        <v/>
      </c>
      <c r="K40" s="1" t="str">
        <f>IF(calc!$L40=1,calc!M40,"")</f>
        <v/>
      </c>
      <c r="L40" s="1" t="str">
        <f>IF(calc!$L40=1,calc!N40,"")</f>
        <v/>
      </c>
      <c r="M40" s="1" t="str">
        <f>IF(calc!$L40=1,calc!O40,"")</f>
        <v/>
      </c>
      <c r="N40" s="1" t="str">
        <f>IF(calc!$L40=1,calc!P40,"")</f>
        <v/>
      </c>
      <c r="O40">
        <f>'Entry data'!C$1</f>
        <v>20064</v>
      </c>
      <c r="P40" t="str">
        <f>'Entry data'!C$2</f>
        <v>NSH</v>
      </c>
      <c r="Q40" t="str">
        <f>'Entry data'!C$3</f>
        <v>Home</v>
      </c>
    </row>
    <row r="41" spans="1:17" x14ac:dyDescent="0.25">
      <c r="A41" s="1">
        <f>IF(calc!$L41=1,calc!B41,"")</f>
        <v>1</v>
      </c>
      <c r="B41" s="5">
        <f>IF(calc!$L41=1,calc!C41,"")</f>
        <v>0.65625</v>
      </c>
      <c r="C41" s="1" t="str">
        <f>IF(calc!$L41=1,calc!D41,"")</f>
        <v>FAC</v>
      </c>
      <c r="D41" s="1" t="str">
        <f>IF(calc!$L41=1,calc!E41,"")</f>
        <v>DZF</v>
      </c>
      <c r="E41" s="1" t="str">
        <f>IF(calc!$L41=1,IF(EXACT(calc!$D41,"FAC"),"",calc!F41),"")</f>
        <v/>
      </c>
      <c r="F41" s="1" t="str">
        <f>IF(calc!$L41=1,IF(EXACT(calc!$D41,"FAC"),"",calc!G41),"")</f>
        <v/>
      </c>
      <c r="G41" s="1" t="str">
        <f>IF(calc!$L41=1,IF(EXACT(calc!$D41,"FAC"),"",calc!H41),"")</f>
        <v/>
      </c>
      <c r="H41" s="1" t="str">
        <f>IF(calc!$L41=1,IF(EXACT(calc!$D41,"FAC"),"",calc!I41),"")</f>
        <v/>
      </c>
      <c r="I41" s="1">
        <f>IF(calc!$L41=1,calc!J41,"")</f>
        <v>5</v>
      </c>
      <c r="J41" s="1">
        <f>IF(calc!$L41=1,calc!K41,"")</f>
        <v>5</v>
      </c>
      <c r="K41" s="1" t="str">
        <f>IF(calc!$L41=1,calc!M41,"")</f>
        <v/>
      </c>
      <c r="L41" s="1">
        <f>IF(calc!$L41=1,calc!N41,"")</f>
        <v>0</v>
      </c>
      <c r="M41" s="1">
        <f>IF(calc!$L41=1,calc!O41,"")</f>
        <v>0</v>
      </c>
      <c r="N41" s="1" t="str">
        <f>IF(calc!$L41=1,calc!P41,"")</f>
        <v/>
      </c>
      <c r="O41">
        <f>'Entry data'!C$1</f>
        <v>20064</v>
      </c>
      <c r="P41" t="str">
        <f>'Entry data'!C$2</f>
        <v>NSH</v>
      </c>
      <c r="Q41" t="str">
        <f>'Entry data'!C$3</f>
        <v>Home</v>
      </c>
    </row>
    <row r="42" spans="1:17" x14ac:dyDescent="0.25">
      <c r="A42" s="1" t="str">
        <f>IF(calc!$L42=1,calc!B42,"")</f>
        <v/>
      </c>
      <c r="B42" s="5" t="str">
        <f>IF(calc!$L42=1,calc!C42,"")</f>
        <v/>
      </c>
      <c r="C42" s="1" t="str">
        <f>IF(calc!$L42=1,calc!D42,"")</f>
        <v/>
      </c>
      <c r="D42" s="1" t="str">
        <f>IF(calc!$L42=1,calc!E42,"")</f>
        <v/>
      </c>
      <c r="E42" s="1" t="str">
        <f>IF(calc!$L42=1,IF(EXACT(calc!$D42,"FAC"),"",calc!F42),"")</f>
        <v/>
      </c>
      <c r="F42" s="1" t="str">
        <f>IF(calc!$L42=1,IF(EXACT(calc!$D42,"FAC"),"",calc!G42),"")</f>
        <v/>
      </c>
      <c r="G42" s="1" t="str">
        <f>IF(calc!$L42=1,IF(EXACT(calc!$D42,"FAC"),"",calc!H42),"")</f>
        <v/>
      </c>
      <c r="H42" s="1" t="str">
        <f>IF(calc!$L42=1,IF(EXACT(calc!$D42,"FAC"),"",calc!I42),"")</f>
        <v/>
      </c>
      <c r="I42" s="1" t="str">
        <f>IF(calc!$L42=1,calc!J42,"")</f>
        <v/>
      </c>
      <c r="J42" s="1" t="str">
        <f>IF(calc!$L42=1,calc!K42,"")</f>
        <v/>
      </c>
      <c r="K42" s="1" t="str">
        <f>IF(calc!$L42=1,calc!M42,"")</f>
        <v/>
      </c>
      <c r="L42" s="1" t="str">
        <f>IF(calc!$L42=1,calc!N42,"")</f>
        <v/>
      </c>
      <c r="M42" s="1" t="str">
        <f>IF(calc!$L42=1,calc!O42,"")</f>
        <v/>
      </c>
      <c r="N42" s="1" t="str">
        <f>IF(calc!$L42=1,calc!P42,"")</f>
        <v/>
      </c>
      <c r="O42">
        <f>'Entry data'!C$1</f>
        <v>20064</v>
      </c>
      <c r="P42" t="str">
        <f>'Entry data'!C$2</f>
        <v>NSH</v>
      </c>
      <c r="Q42" t="str">
        <f>'Entry data'!C$3</f>
        <v>Home</v>
      </c>
    </row>
    <row r="43" spans="1:17" x14ac:dyDescent="0.25">
      <c r="A43" s="1">
        <f>IF(calc!$L43=1,calc!B43,"")</f>
        <v>1</v>
      </c>
      <c r="B43" s="5">
        <f>IF(calc!$L43=1,calc!C43,"")</f>
        <v>0.65138888888888891</v>
      </c>
      <c r="C43" s="1" t="str">
        <f>IF(calc!$L43=1,calc!D43,"")</f>
        <v>FAC</v>
      </c>
      <c r="D43" s="1" t="str">
        <f>IF(calc!$L43=1,calc!E43,"")</f>
        <v>DZF</v>
      </c>
      <c r="E43" s="1" t="str">
        <f>IF(calc!$L43=1,IF(EXACT(calc!$D43,"FAC"),"",calc!F43),"")</f>
        <v/>
      </c>
      <c r="F43" s="1" t="str">
        <f>IF(calc!$L43=1,IF(EXACT(calc!$D43,"FAC"),"",calc!G43),"")</f>
        <v/>
      </c>
      <c r="G43" s="1" t="str">
        <f>IF(calc!$L43=1,IF(EXACT(calc!$D43,"FAC"),"",calc!H43),"")</f>
        <v/>
      </c>
      <c r="H43" s="1" t="str">
        <f>IF(calc!$L43=1,IF(EXACT(calc!$D43,"FAC"),"",calc!I43),"")</f>
        <v/>
      </c>
      <c r="I43" s="1">
        <f>IF(calc!$L43=1,calc!J43,"")</f>
        <v>5</v>
      </c>
      <c r="J43" s="1">
        <f>IF(calc!$L43=1,calc!K43,"")</f>
        <v>5</v>
      </c>
      <c r="K43" s="1" t="str">
        <f>IF(calc!$L43=1,calc!M43,"")</f>
        <v/>
      </c>
      <c r="L43" s="1">
        <f>IF(calc!$L43=1,calc!N43,"")</f>
        <v>1</v>
      </c>
      <c r="M43" s="1">
        <f>IF(calc!$L43=1,calc!O43,"")</f>
        <v>0</v>
      </c>
      <c r="N43" s="1" t="str">
        <f>IF(calc!$L43=1,calc!P43,"")</f>
        <v/>
      </c>
      <c r="O43">
        <f>'Entry data'!C$1</f>
        <v>20064</v>
      </c>
      <c r="P43" t="str">
        <f>'Entry data'!C$2</f>
        <v>NSH</v>
      </c>
      <c r="Q43" t="str">
        <f>'Entry data'!C$3</f>
        <v>Home</v>
      </c>
    </row>
    <row r="44" spans="1:17" x14ac:dyDescent="0.25">
      <c r="A44" s="1" t="str">
        <f>IF(calc!$L44=1,calc!B44,"")</f>
        <v/>
      </c>
      <c r="B44" s="5" t="str">
        <f>IF(calc!$L44=1,calc!C44,"")</f>
        <v/>
      </c>
      <c r="C44" s="1" t="str">
        <f>IF(calc!$L44=1,calc!D44,"")</f>
        <v/>
      </c>
      <c r="D44" s="1" t="str">
        <f>IF(calc!$L44=1,calc!E44,"")</f>
        <v/>
      </c>
      <c r="E44" s="1" t="str">
        <f>IF(calc!$L44=1,IF(EXACT(calc!$D44,"FAC"),"",calc!F44),"")</f>
        <v/>
      </c>
      <c r="F44" s="1" t="str">
        <f>IF(calc!$L44=1,IF(EXACT(calc!$D44,"FAC"),"",calc!G44),"")</f>
        <v/>
      </c>
      <c r="G44" s="1" t="str">
        <f>IF(calc!$L44=1,IF(EXACT(calc!$D44,"FAC"),"",calc!H44),"")</f>
        <v/>
      </c>
      <c r="H44" s="1" t="str">
        <f>IF(calc!$L44=1,IF(EXACT(calc!$D44,"FAC"),"",calc!I44),"")</f>
        <v/>
      </c>
      <c r="I44" s="1" t="str">
        <f>IF(calc!$L44=1,calc!J44,"")</f>
        <v/>
      </c>
      <c r="J44" s="1" t="str">
        <f>IF(calc!$L44=1,calc!K44,"")</f>
        <v/>
      </c>
      <c r="K44" s="1" t="str">
        <f>IF(calc!$L44=1,calc!M44,"")</f>
        <v/>
      </c>
      <c r="L44" s="1" t="str">
        <f>IF(calc!$L44=1,calc!N44,"")</f>
        <v/>
      </c>
      <c r="M44" s="1" t="str">
        <f>IF(calc!$L44=1,calc!O44,"")</f>
        <v/>
      </c>
      <c r="N44" s="1" t="str">
        <f>IF(calc!$L44=1,calc!P44,"")</f>
        <v/>
      </c>
      <c r="O44">
        <f>'Entry data'!C$1</f>
        <v>20064</v>
      </c>
      <c r="P44" t="str">
        <f>'Entry data'!C$2</f>
        <v>NSH</v>
      </c>
      <c r="Q44" t="str">
        <f>'Entry data'!C$3</f>
        <v>Home</v>
      </c>
    </row>
    <row r="45" spans="1:17" x14ac:dyDescent="0.25">
      <c r="A45" s="1" t="str">
        <f>IF(calc!$L45=1,calc!B45,"")</f>
        <v/>
      </c>
      <c r="B45" s="5" t="str">
        <f>IF(calc!$L45=1,calc!C45,"")</f>
        <v/>
      </c>
      <c r="C45" s="1" t="str">
        <f>IF(calc!$L45=1,calc!D45,"")</f>
        <v/>
      </c>
      <c r="D45" s="1" t="str">
        <f>IF(calc!$L45=1,calc!E45,"")</f>
        <v/>
      </c>
      <c r="E45" s="1" t="str">
        <f>IF(calc!$L45=1,IF(EXACT(calc!$D45,"FAC"),"",calc!F45),"")</f>
        <v/>
      </c>
      <c r="F45" s="1" t="str">
        <f>IF(calc!$L45=1,IF(EXACT(calc!$D45,"FAC"),"",calc!G45),"")</f>
        <v/>
      </c>
      <c r="G45" s="1" t="str">
        <f>IF(calc!$L45=1,IF(EXACT(calc!$D45,"FAC"),"",calc!H45),"")</f>
        <v/>
      </c>
      <c r="H45" s="1" t="str">
        <f>IF(calc!$L45=1,IF(EXACT(calc!$D45,"FAC"),"",calc!I45),"")</f>
        <v/>
      </c>
      <c r="I45" s="1" t="str">
        <f>IF(calc!$L45=1,calc!J45,"")</f>
        <v/>
      </c>
      <c r="J45" s="1" t="str">
        <f>IF(calc!$L45=1,calc!K45,"")</f>
        <v/>
      </c>
      <c r="K45" s="1" t="str">
        <f>IF(calc!$L45=1,calc!M45,"")</f>
        <v/>
      </c>
      <c r="L45" s="1" t="str">
        <f>IF(calc!$L45=1,calc!N45,"")</f>
        <v/>
      </c>
      <c r="M45" s="1" t="str">
        <f>IF(calc!$L45=1,calc!O45,"")</f>
        <v/>
      </c>
      <c r="N45" s="1" t="str">
        <f>IF(calc!$L45=1,calc!P45,"")</f>
        <v/>
      </c>
      <c r="O45">
        <f>'Entry data'!C$1</f>
        <v>20064</v>
      </c>
      <c r="P45" t="str">
        <f>'Entry data'!C$2</f>
        <v>NSH</v>
      </c>
      <c r="Q45" t="str">
        <f>'Entry data'!C$3</f>
        <v>Home</v>
      </c>
    </row>
    <row r="46" spans="1:17" x14ac:dyDescent="0.25">
      <c r="A46" s="1" t="str">
        <f>IF(calc!$L46=1,calc!B46,"")</f>
        <v/>
      </c>
      <c r="B46" s="5" t="str">
        <f>IF(calc!$L46=1,calc!C46,"")</f>
        <v/>
      </c>
      <c r="C46" s="1" t="str">
        <f>IF(calc!$L46=1,calc!D46,"")</f>
        <v/>
      </c>
      <c r="D46" s="1" t="str">
        <f>IF(calc!$L46=1,calc!E46,"")</f>
        <v/>
      </c>
      <c r="E46" s="1" t="str">
        <f>IF(calc!$L46=1,IF(EXACT(calc!$D46,"FAC"),"",calc!F46),"")</f>
        <v/>
      </c>
      <c r="F46" s="1" t="str">
        <f>IF(calc!$L46=1,IF(EXACT(calc!$D46,"FAC"),"",calc!G46),"")</f>
        <v/>
      </c>
      <c r="G46" s="1" t="str">
        <f>IF(calc!$L46=1,IF(EXACT(calc!$D46,"FAC"),"",calc!H46),"")</f>
        <v/>
      </c>
      <c r="H46" s="1" t="str">
        <f>IF(calc!$L46=1,IF(EXACT(calc!$D46,"FAC"),"",calc!I46),"")</f>
        <v/>
      </c>
      <c r="I46" s="1" t="str">
        <f>IF(calc!$L46=1,calc!J46,"")</f>
        <v/>
      </c>
      <c r="J46" s="1" t="str">
        <f>IF(calc!$L46=1,calc!K46,"")</f>
        <v/>
      </c>
      <c r="K46" s="1" t="str">
        <f>IF(calc!$L46=1,calc!M46,"")</f>
        <v/>
      </c>
      <c r="L46" s="1" t="str">
        <f>IF(calc!$L46=1,calc!N46,"")</f>
        <v/>
      </c>
      <c r="M46" s="1" t="str">
        <f>IF(calc!$L46=1,calc!O46,"")</f>
        <v/>
      </c>
      <c r="N46" s="1" t="str">
        <f>IF(calc!$L46=1,calc!P46,"")</f>
        <v/>
      </c>
      <c r="O46">
        <f>'Entry data'!C$1</f>
        <v>20064</v>
      </c>
      <c r="P46" t="str">
        <f>'Entry data'!C$2</f>
        <v>NSH</v>
      </c>
      <c r="Q46" t="str">
        <f>'Entry data'!C$3</f>
        <v>Home</v>
      </c>
    </row>
    <row r="47" spans="1:17" x14ac:dyDescent="0.25">
      <c r="A47" s="1" t="str">
        <f>IF(calc!$L47=1,calc!B47,"")</f>
        <v/>
      </c>
      <c r="B47" s="5" t="str">
        <f>IF(calc!$L47=1,calc!C47,"")</f>
        <v/>
      </c>
      <c r="C47" s="1" t="str">
        <f>IF(calc!$L47=1,calc!D47,"")</f>
        <v/>
      </c>
      <c r="D47" s="1" t="str">
        <f>IF(calc!$L47=1,calc!E47,"")</f>
        <v/>
      </c>
      <c r="E47" s="1" t="str">
        <f>IF(calc!$L47=1,IF(EXACT(calc!$D47,"FAC"),"",calc!F47),"")</f>
        <v/>
      </c>
      <c r="F47" s="1" t="str">
        <f>IF(calc!$L47=1,IF(EXACT(calc!$D47,"FAC"),"",calc!G47),"")</f>
        <v/>
      </c>
      <c r="G47" s="1" t="str">
        <f>IF(calc!$L47=1,IF(EXACT(calc!$D47,"FAC"),"",calc!H47),"")</f>
        <v/>
      </c>
      <c r="H47" s="1" t="str">
        <f>IF(calc!$L47=1,IF(EXACT(calc!$D47,"FAC"),"",calc!I47),"")</f>
        <v/>
      </c>
      <c r="I47" s="1" t="str">
        <f>IF(calc!$L47=1,calc!J47,"")</f>
        <v/>
      </c>
      <c r="J47" s="1" t="str">
        <f>IF(calc!$L47=1,calc!K47,"")</f>
        <v/>
      </c>
      <c r="K47" s="1" t="str">
        <f>IF(calc!$L47=1,calc!M47,"")</f>
        <v/>
      </c>
      <c r="L47" s="1" t="str">
        <f>IF(calc!$L47=1,calc!N47,"")</f>
        <v/>
      </c>
      <c r="M47" s="1" t="str">
        <f>IF(calc!$L47=1,calc!O47,"")</f>
        <v/>
      </c>
      <c r="N47" s="1" t="str">
        <f>IF(calc!$L47=1,calc!P47,"")</f>
        <v/>
      </c>
      <c r="O47">
        <f>'Entry data'!C$1</f>
        <v>20064</v>
      </c>
      <c r="P47" t="str">
        <f>'Entry data'!C$2</f>
        <v>NSH</v>
      </c>
      <c r="Q47" t="str">
        <f>'Entry data'!C$3</f>
        <v>Home</v>
      </c>
    </row>
    <row r="48" spans="1:17" x14ac:dyDescent="0.25">
      <c r="A48" s="1">
        <f>IF(calc!$L48=1,calc!B48,"")</f>
        <v>1</v>
      </c>
      <c r="B48" s="5">
        <f>IF(calc!$L48=1,calc!C48,"")</f>
        <v>0.62708333333333333</v>
      </c>
      <c r="C48" s="1" t="str">
        <f>IF(calc!$L48=1,calc!D48,"")</f>
        <v>D</v>
      </c>
      <c r="D48" s="1" t="str">
        <f>IF(calc!$L48=1,calc!E48,"")</f>
        <v>15DET</v>
      </c>
      <c r="E48" s="1" t="str">
        <f>IF(calc!$L48=1,IF(EXACT(calc!$D48,"FAC"),"",calc!F48),"")</f>
        <v>4NSH</v>
      </c>
      <c r="F48" s="1" t="str">
        <f>IF(calc!$L48=1,IF(EXACT(calc!$D48,"FAC"),"",calc!G48),"")</f>
        <v/>
      </c>
      <c r="G48" s="1" t="str">
        <f>IF(calc!$L48=1,IF(EXACT(calc!$D48,"FAC"),"",calc!H48),"")</f>
        <v>L</v>
      </c>
      <c r="H48" s="1" t="str">
        <f>IF(calc!$L48=1,IF(EXACT(calc!$D48,"FAC"),"",calc!I48),"")</f>
        <v>N</v>
      </c>
      <c r="I48" s="1">
        <f>IF(calc!$L48=1,calc!J48,"")</f>
        <v>5</v>
      </c>
      <c r="J48" s="1">
        <f>IF(calc!$L48=1,calc!K48,"")</f>
        <v>5</v>
      </c>
      <c r="K48" s="1" t="str">
        <f>IF(calc!$L48=1,calc!M48,"")</f>
        <v/>
      </c>
      <c r="L48" s="1">
        <f>IF(calc!$L48=1,calc!N48,"")</f>
        <v>0</v>
      </c>
      <c r="M48" s="1">
        <f>IF(calc!$L48=1,calc!O48,"")</f>
        <v>0</v>
      </c>
      <c r="N48" s="1" t="str">
        <f>IF(calc!$L48=1,calc!P48,"")</f>
        <v/>
      </c>
      <c r="O48">
        <f>'Entry data'!C$1</f>
        <v>20064</v>
      </c>
      <c r="P48" t="str">
        <f>'Entry data'!C$2</f>
        <v>NSH</v>
      </c>
      <c r="Q48" t="str">
        <f>'Entry data'!C$3</f>
        <v>Home</v>
      </c>
    </row>
    <row r="49" spans="1:17" x14ac:dyDescent="0.25">
      <c r="A49" s="1" t="str">
        <f>IF(calc!$L49=1,calc!B49,"")</f>
        <v/>
      </c>
      <c r="B49" s="5" t="str">
        <f>IF(calc!$L49=1,calc!C49,"")</f>
        <v/>
      </c>
      <c r="C49" s="1" t="str">
        <f>IF(calc!$L49=1,calc!D49,"")</f>
        <v/>
      </c>
      <c r="D49" s="1" t="str">
        <f>IF(calc!$L49=1,calc!E49,"")</f>
        <v/>
      </c>
      <c r="E49" s="1" t="str">
        <f>IF(calc!$L49=1,IF(EXACT(calc!$D49,"FAC"),"",calc!F49),"")</f>
        <v/>
      </c>
      <c r="F49" s="1" t="str">
        <f>IF(calc!$L49=1,IF(EXACT(calc!$D49,"FAC"),"",calc!G49),"")</f>
        <v/>
      </c>
      <c r="G49" s="1" t="str">
        <f>IF(calc!$L49=1,IF(EXACT(calc!$D49,"FAC"),"",calc!H49),"")</f>
        <v/>
      </c>
      <c r="H49" s="1" t="str">
        <f>IF(calc!$L49=1,IF(EXACT(calc!$D49,"FAC"),"",calc!I49),"")</f>
        <v/>
      </c>
      <c r="I49" s="1" t="str">
        <f>IF(calc!$L49=1,calc!J49,"")</f>
        <v/>
      </c>
      <c r="J49" s="1" t="str">
        <f>IF(calc!$L49=1,calc!K49,"")</f>
        <v/>
      </c>
      <c r="K49" s="1" t="str">
        <f>IF(calc!$L49=1,calc!M49,"")</f>
        <v/>
      </c>
      <c r="L49" s="1" t="str">
        <f>IF(calc!$L49=1,calc!N49,"")</f>
        <v/>
      </c>
      <c r="M49" s="1" t="str">
        <f>IF(calc!$L49=1,calc!O49,"")</f>
        <v/>
      </c>
      <c r="N49" s="1" t="str">
        <f>IF(calc!$L49=1,calc!P49,"")</f>
        <v/>
      </c>
      <c r="O49">
        <f>'Entry data'!C$1</f>
        <v>20064</v>
      </c>
      <c r="P49" t="str">
        <f>'Entry data'!C$2</f>
        <v>NSH</v>
      </c>
      <c r="Q49" t="str">
        <f>'Entry data'!C$3</f>
        <v>Home</v>
      </c>
    </row>
    <row r="50" spans="1:17" x14ac:dyDescent="0.25">
      <c r="A50" s="1" t="str">
        <f>IF(calc!$L50=1,calc!B50,"")</f>
        <v/>
      </c>
      <c r="B50" s="5" t="str">
        <f>IF(calc!$L50=1,calc!C50,"")</f>
        <v/>
      </c>
      <c r="C50" s="1" t="str">
        <f>IF(calc!$L50=1,calc!D50,"")</f>
        <v/>
      </c>
      <c r="D50" s="1" t="str">
        <f>IF(calc!$L50=1,calc!E50,"")</f>
        <v/>
      </c>
      <c r="E50" s="1" t="str">
        <f>IF(calc!$L50=1,IF(EXACT(calc!$D50,"FAC"),"",calc!F50),"")</f>
        <v/>
      </c>
      <c r="F50" s="1" t="str">
        <f>IF(calc!$L50=1,IF(EXACT(calc!$D50,"FAC"),"",calc!G50),"")</f>
        <v/>
      </c>
      <c r="G50" s="1" t="str">
        <f>IF(calc!$L50=1,IF(EXACT(calc!$D50,"FAC"),"",calc!H50),"")</f>
        <v/>
      </c>
      <c r="H50" s="1" t="str">
        <f>IF(calc!$L50=1,IF(EXACT(calc!$D50,"FAC"),"",calc!I50),"")</f>
        <v/>
      </c>
      <c r="I50" s="1" t="str">
        <f>IF(calc!$L50=1,calc!J50,"")</f>
        <v/>
      </c>
      <c r="J50" s="1" t="str">
        <f>IF(calc!$L50=1,calc!K50,"")</f>
        <v/>
      </c>
      <c r="K50" s="1" t="str">
        <f>IF(calc!$L50=1,calc!M50,"")</f>
        <v/>
      </c>
      <c r="L50" s="1" t="str">
        <f>IF(calc!$L50=1,calc!N50,"")</f>
        <v/>
      </c>
      <c r="M50" s="1" t="str">
        <f>IF(calc!$L50=1,calc!O50,"")</f>
        <v/>
      </c>
      <c r="N50" s="1" t="str">
        <f>IF(calc!$L50=1,calc!P50,"")</f>
        <v/>
      </c>
      <c r="O50">
        <f>'Entry data'!C$1</f>
        <v>20064</v>
      </c>
      <c r="P50" t="str">
        <f>'Entry data'!C$2</f>
        <v>NSH</v>
      </c>
      <c r="Q50" t="str">
        <f>'Entry data'!C$3</f>
        <v>Home</v>
      </c>
    </row>
    <row r="51" spans="1:17" x14ac:dyDescent="0.25">
      <c r="A51" s="1" t="str">
        <f>IF(calc!$L51=1,calc!B51,"")</f>
        <v/>
      </c>
      <c r="B51" s="5" t="str">
        <f>IF(calc!$L51=1,calc!C51,"")</f>
        <v/>
      </c>
      <c r="C51" s="1" t="str">
        <f>IF(calc!$L51=1,calc!D51,"")</f>
        <v/>
      </c>
      <c r="D51" s="1" t="str">
        <f>IF(calc!$L51=1,calc!E51,"")</f>
        <v/>
      </c>
      <c r="E51" s="1" t="str">
        <f>IF(calc!$L51=1,IF(EXACT(calc!$D51,"FAC"),"",calc!F51),"")</f>
        <v/>
      </c>
      <c r="F51" s="1" t="str">
        <f>IF(calc!$L51=1,IF(EXACT(calc!$D51,"FAC"),"",calc!G51),"")</f>
        <v/>
      </c>
      <c r="G51" s="1" t="str">
        <f>IF(calc!$L51=1,IF(EXACT(calc!$D51,"FAC"),"",calc!H51),"")</f>
        <v/>
      </c>
      <c r="H51" s="1" t="str">
        <f>IF(calc!$L51=1,IF(EXACT(calc!$D51,"FAC"),"",calc!I51),"")</f>
        <v/>
      </c>
      <c r="I51" s="1" t="str">
        <f>IF(calc!$L51=1,calc!J51,"")</f>
        <v/>
      </c>
      <c r="J51" s="1" t="str">
        <f>IF(calc!$L51=1,calc!K51,"")</f>
        <v/>
      </c>
      <c r="K51" s="1" t="str">
        <f>IF(calc!$L51=1,calc!M51,"")</f>
        <v/>
      </c>
      <c r="L51" s="1" t="str">
        <f>IF(calc!$L51=1,calc!N51,"")</f>
        <v/>
      </c>
      <c r="M51" s="1" t="str">
        <f>IF(calc!$L51=1,calc!O51,"")</f>
        <v/>
      </c>
      <c r="N51" s="1" t="str">
        <f>IF(calc!$L51=1,calc!P51,"")</f>
        <v/>
      </c>
      <c r="O51">
        <f>'Entry data'!C$1</f>
        <v>20064</v>
      </c>
      <c r="P51" t="str">
        <f>'Entry data'!C$2</f>
        <v>NSH</v>
      </c>
      <c r="Q51" t="str">
        <f>'Entry data'!C$3</f>
        <v>Home</v>
      </c>
    </row>
    <row r="52" spans="1:17" x14ac:dyDescent="0.25">
      <c r="A52" s="1">
        <f>IF(calc!$L52=1,calc!B52,"")</f>
        <v>1</v>
      </c>
      <c r="B52" s="5">
        <f>IF(calc!$L52=1,calc!C52,"")</f>
        <v>0.60763888888888895</v>
      </c>
      <c r="C52" s="1" t="str">
        <f>IF(calc!$L52=1,calc!D52,"")</f>
        <v>FAC</v>
      </c>
      <c r="D52" s="1" t="str">
        <f>IF(calc!$L52=1,calc!E52,"")</f>
        <v>DZF</v>
      </c>
      <c r="E52" s="1" t="str">
        <f>IF(calc!$L52=1,IF(EXACT(calc!$D52,"FAC"),"",calc!F52),"")</f>
        <v/>
      </c>
      <c r="F52" s="1" t="str">
        <f>IF(calc!$L52=1,IF(EXACT(calc!$D52,"FAC"),"",calc!G52),"")</f>
        <v/>
      </c>
      <c r="G52" s="1" t="str">
        <f>IF(calc!$L52=1,IF(EXACT(calc!$D52,"FAC"),"",calc!H52),"")</f>
        <v/>
      </c>
      <c r="H52" s="1" t="str">
        <f>IF(calc!$L52=1,IF(EXACT(calc!$D52,"FAC"),"",calc!I52),"")</f>
        <v/>
      </c>
      <c r="I52" s="1">
        <f>IF(calc!$L52=1,calc!J52,"")</f>
        <v>5</v>
      </c>
      <c r="J52" s="1">
        <f>IF(calc!$L52=1,calc!K52,"")</f>
        <v>5</v>
      </c>
      <c r="K52" s="1" t="str">
        <f>IF(calc!$L52=1,calc!M52,"")</f>
        <v/>
      </c>
      <c r="L52" s="1">
        <f>IF(calc!$L52=1,calc!N52,"")</f>
        <v>1</v>
      </c>
      <c r="M52" s="1">
        <f>IF(calc!$L52=1,calc!O52,"")</f>
        <v>0</v>
      </c>
      <c r="N52" s="1" t="str">
        <f>IF(calc!$L52=1,calc!P52,"")</f>
        <v/>
      </c>
      <c r="O52">
        <f>'Entry data'!C$1</f>
        <v>20064</v>
      </c>
      <c r="P52" t="str">
        <f>'Entry data'!C$2</f>
        <v>NSH</v>
      </c>
      <c r="Q52" t="str">
        <f>'Entry data'!C$3</f>
        <v>Home</v>
      </c>
    </row>
    <row r="53" spans="1:17" x14ac:dyDescent="0.25">
      <c r="A53" s="1" t="str">
        <f>IF(calc!$L53=1,calc!B53,"")</f>
        <v/>
      </c>
      <c r="B53" s="5" t="str">
        <f>IF(calc!$L53=1,calc!C53,"")</f>
        <v/>
      </c>
      <c r="C53" s="1" t="str">
        <f>IF(calc!$L53=1,calc!D53,"")</f>
        <v/>
      </c>
      <c r="D53" s="1" t="str">
        <f>IF(calc!$L53=1,calc!E53,"")</f>
        <v/>
      </c>
      <c r="E53" s="1" t="str">
        <f>IF(calc!$L53=1,IF(EXACT(calc!$D53,"FAC"),"",calc!F53),"")</f>
        <v/>
      </c>
      <c r="F53" s="1" t="str">
        <f>IF(calc!$L53=1,IF(EXACT(calc!$D53,"FAC"),"",calc!G53),"")</f>
        <v/>
      </c>
      <c r="G53" s="1" t="str">
        <f>IF(calc!$L53=1,IF(EXACT(calc!$D53,"FAC"),"",calc!H53),"")</f>
        <v/>
      </c>
      <c r="H53" s="1" t="str">
        <f>IF(calc!$L53=1,IF(EXACT(calc!$D53,"FAC"),"",calc!I53),"")</f>
        <v/>
      </c>
      <c r="I53" s="1" t="str">
        <f>IF(calc!$L53=1,calc!J53,"")</f>
        <v/>
      </c>
      <c r="J53" s="1" t="str">
        <f>IF(calc!$L53=1,calc!K53,"")</f>
        <v/>
      </c>
      <c r="K53" s="1" t="str">
        <f>IF(calc!$L53=1,calc!M53,"")</f>
        <v/>
      </c>
      <c r="L53" s="1" t="str">
        <f>IF(calc!$L53=1,calc!N53,"")</f>
        <v/>
      </c>
      <c r="M53" s="1" t="str">
        <f>IF(calc!$L53=1,calc!O53,"")</f>
        <v/>
      </c>
      <c r="N53" s="1" t="str">
        <f>IF(calc!$L53=1,calc!P53,"")</f>
        <v/>
      </c>
      <c r="O53">
        <f>'Entry data'!C$1</f>
        <v>20064</v>
      </c>
      <c r="P53" t="str">
        <f>'Entry data'!C$2</f>
        <v>NSH</v>
      </c>
      <c r="Q53" t="str">
        <f>'Entry data'!C$3</f>
        <v>Home</v>
      </c>
    </row>
    <row r="54" spans="1:17" x14ac:dyDescent="0.25">
      <c r="A54" s="1" t="str">
        <f>IF(calc!$L54=1,calc!B54,"")</f>
        <v/>
      </c>
      <c r="B54" s="5" t="str">
        <f>IF(calc!$L54=1,calc!C54,"")</f>
        <v/>
      </c>
      <c r="C54" s="1" t="str">
        <f>IF(calc!$L54=1,calc!D54,"")</f>
        <v/>
      </c>
      <c r="D54" s="1" t="str">
        <f>IF(calc!$L54=1,calc!E54,"")</f>
        <v/>
      </c>
      <c r="E54" s="1" t="str">
        <f>IF(calc!$L54=1,IF(EXACT(calc!$D54,"FAC"),"",calc!F54),"")</f>
        <v/>
      </c>
      <c r="F54" s="1" t="str">
        <f>IF(calc!$L54=1,IF(EXACT(calc!$D54,"FAC"),"",calc!G54),"")</f>
        <v/>
      </c>
      <c r="G54" s="1" t="str">
        <f>IF(calc!$L54=1,IF(EXACT(calc!$D54,"FAC"),"",calc!H54),"")</f>
        <v/>
      </c>
      <c r="H54" s="1" t="str">
        <f>IF(calc!$L54=1,IF(EXACT(calc!$D54,"FAC"),"",calc!I54),"")</f>
        <v/>
      </c>
      <c r="I54" s="1" t="str">
        <f>IF(calc!$L54=1,calc!J54,"")</f>
        <v/>
      </c>
      <c r="J54" s="1" t="str">
        <f>IF(calc!$L54=1,calc!K54,"")</f>
        <v/>
      </c>
      <c r="K54" s="1" t="str">
        <f>IF(calc!$L54=1,calc!M54,"")</f>
        <v/>
      </c>
      <c r="L54" s="1" t="str">
        <f>IF(calc!$L54=1,calc!N54,"")</f>
        <v/>
      </c>
      <c r="M54" s="1" t="str">
        <f>IF(calc!$L54=1,calc!O54,"")</f>
        <v/>
      </c>
      <c r="N54" s="1" t="str">
        <f>IF(calc!$L54=1,calc!P54,"")</f>
        <v/>
      </c>
      <c r="O54">
        <f>'Entry data'!C$1</f>
        <v>20064</v>
      </c>
      <c r="P54" t="str">
        <f>'Entry data'!C$2</f>
        <v>NSH</v>
      </c>
      <c r="Q54" t="str">
        <f>'Entry data'!C$3</f>
        <v>Home</v>
      </c>
    </row>
    <row r="55" spans="1:17" x14ac:dyDescent="0.25">
      <c r="A55" s="1">
        <f>IF(calc!$L55=1,calc!B55,"")</f>
        <v>1</v>
      </c>
      <c r="B55" s="5">
        <f>IF(calc!$L55=1,calc!C55,"")</f>
        <v>0.59722222222222221</v>
      </c>
      <c r="C55" s="1" t="str">
        <f>IF(calc!$L55=1,calc!D55,"")</f>
        <v>FAC</v>
      </c>
      <c r="D55" s="1" t="str">
        <f>IF(calc!$L55=1,calc!E55,"")</f>
        <v>DZF</v>
      </c>
      <c r="E55" s="1" t="str">
        <f>IF(calc!$L55=1,IF(EXACT(calc!$D55,"FAC"),"",calc!F55),"")</f>
        <v/>
      </c>
      <c r="F55" s="1" t="str">
        <f>IF(calc!$L55=1,IF(EXACT(calc!$D55,"FAC"),"",calc!G55),"")</f>
        <v/>
      </c>
      <c r="G55" s="1" t="str">
        <f>IF(calc!$L55=1,IF(EXACT(calc!$D55,"FAC"),"",calc!H55),"")</f>
        <v/>
      </c>
      <c r="H55" s="1" t="str">
        <f>IF(calc!$L55=1,IF(EXACT(calc!$D55,"FAC"),"",calc!I55),"")</f>
        <v/>
      </c>
      <c r="I55" s="1">
        <f>IF(calc!$L55=1,calc!J55,"")</f>
        <v>5</v>
      </c>
      <c r="J55" s="1">
        <f>IF(calc!$L55=1,calc!K55,"")</f>
        <v>5</v>
      </c>
      <c r="K55" s="1" t="str">
        <f>IF(calc!$L55=1,calc!M55,"")</f>
        <v/>
      </c>
      <c r="L55" s="1">
        <f>IF(calc!$L55=1,calc!N55,"")</f>
        <v>0</v>
      </c>
      <c r="M55" s="1">
        <f>IF(calc!$L55=1,calc!O55,"")</f>
        <v>0</v>
      </c>
      <c r="N55" s="1" t="str">
        <f>IF(calc!$L55=1,calc!P55,"")</f>
        <v/>
      </c>
      <c r="O55">
        <f>'Entry data'!C$1</f>
        <v>20064</v>
      </c>
      <c r="P55" t="str">
        <f>'Entry data'!C$2</f>
        <v>NSH</v>
      </c>
      <c r="Q55" t="str">
        <f>'Entry data'!C$3</f>
        <v>Home</v>
      </c>
    </row>
    <row r="56" spans="1:17" x14ac:dyDescent="0.25">
      <c r="A56" s="1">
        <f>IF(calc!$L56=1,calc!B56,"")</f>
        <v>1</v>
      </c>
      <c r="B56" s="5">
        <f>IF(calc!$L56=1,calc!C56,"")</f>
        <v>0.5805555555555556</v>
      </c>
      <c r="C56" s="1" t="str">
        <f>IF(calc!$L56=1,calc!D56,"")</f>
        <v>D</v>
      </c>
      <c r="D56" s="1" t="str">
        <f>IF(calc!$L56=1,calc!E56,"")</f>
        <v>14NSH</v>
      </c>
      <c r="E56" s="1" t="str">
        <f>IF(calc!$L56=1,IF(EXACT(calc!$D56,"FAC"),"",calc!F56),"")</f>
        <v>N</v>
      </c>
      <c r="F56" s="1" t="str">
        <f>IF(calc!$L56=1,IF(EXACT(calc!$D56,"FAC"),"",calc!G56),"")</f>
        <v/>
      </c>
      <c r="G56" s="1" t="str">
        <f>IF(calc!$L56=1,IF(EXACT(calc!$D56,"FAC"),"",calc!H56),"")</f>
        <v>L</v>
      </c>
      <c r="H56" s="1" t="str">
        <f>IF(calc!$L56=1,IF(EXACT(calc!$D56,"FAC"),"",calc!I56),"")</f>
        <v>N</v>
      </c>
      <c r="I56" s="1">
        <f>IF(calc!$L56=1,calc!J56,"")</f>
        <v>5</v>
      </c>
      <c r="J56" s="1">
        <f>IF(calc!$L56=1,calc!K56,"")</f>
        <v>5</v>
      </c>
      <c r="K56" s="1" t="str">
        <f>IF(calc!$L56=1,calc!M56,"")</f>
        <v/>
      </c>
      <c r="L56" s="1">
        <f>IF(calc!$L56=1,calc!N56,"")</f>
        <v>0</v>
      </c>
      <c r="M56" s="1">
        <f>IF(calc!$L56=1,calc!O56,"")</f>
        <v>0</v>
      </c>
      <c r="N56" s="1" t="str">
        <f>IF(calc!$L56=1,calc!P56,"")</f>
        <v/>
      </c>
      <c r="O56">
        <f>'Entry data'!C$1</f>
        <v>20064</v>
      </c>
      <c r="P56" t="str">
        <f>'Entry data'!C$2</f>
        <v>NSH</v>
      </c>
      <c r="Q56" t="str">
        <f>'Entry data'!C$3</f>
        <v>Home</v>
      </c>
    </row>
    <row r="57" spans="1:17" x14ac:dyDescent="0.25">
      <c r="A57" s="1">
        <f>IF(calc!$L57=1,calc!B57,"")</f>
        <v>1</v>
      </c>
      <c r="B57" s="5">
        <f>IF(calc!$L57=1,calc!C57,"")</f>
        <v>0.5708333333333333</v>
      </c>
      <c r="C57" s="1" t="str">
        <f>IF(calc!$L57=1,calc!D57,"")</f>
        <v>C</v>
      </c>
      <c r="D57" s="1" t="str">
        <f>IF(calc!$L57=1,calc!E57,"")</f>
        <v>51DET</v>
      </c>
      <c r="E57" s="1" t="str">
        <f>IF(calc!$L57=1,IF(EXACT(calc!$D57,"FAC"),"",calc!F57),"")</f>
        <v>7NSH</v>
      </c>
      <c r="F57" s="1" t="str">
        <f>IF(calc!$L57=1,IF(EXACT(calc!$D57,"FAC"),"",calc!G57),"")</f>
        <v>Y</v>
      </c>
      <c r="G57" s="1" t="str">
        <f>IF(calc!$L57=1,IF(EXACT(calc!$D57,"FAC"),"",calc!H57),"")</f>
        <v>C</v>
      </c>
      <c r="H57" s="1" t="str">
        <f>IF(calc!$L57=1,IF(EXACT(calc!$D57,"FAC"),"",calc!I57),"")</f>
        <v>N</v>
      </c>
      <c r="I57" s="1">
        <f>IF(calc!$L57=1,calc!J57,"")</f>
        <v>5</v>
      </c>
      <c r="J57" s="1">
        <f>IF(calc!$L57=1,calc!K57,"")</f>
        <v>5</v>
      </c>
      <c r="K57" s="1" t="str">
        <f>IF(calc!$L57=1,calc!M57,"")</f>
        <v>51DET</v>
      </c>
      <c r="L57" s="1">
        <f>IF(calc!$L57=1,calc!N57,"")</f>
        <v>1</v>
      </c>
      <c r="M57" s="1">
        <f>IF(calc!$L57=1,calc!O57,"")</f>
        <v>0</v>
      </c>
      <c r="N57" s="1" t="str">
        <f>IF(calc!$L57=1,calc!P57,"")</f>
        <v/>
      </c>
      <c r="O57">
        <f>'Entry data'!C$1</f>
        <v>20064</v>
      </c>
      <c r="P57" t="str">
        <f>'Entry data'!C$2</f>
        <v>NSH</v>
      </c>
      <c r="Q57" t="str">
        <f>'Entry data'!C$3</f>
        <v>Home</v>
      </c>
    </row>
    <row r="58" spans="1:17" x14ac:dyDescent="0.25">
      <c r="A58" s="1" t="str">
        <f>IF(calc!$L58=1,calc!B58,"")</f>
        <v/>
      </c>
      <c r="B58" s="5" t="str">
        <f>IF(calc!$L58=1,calc!C58,"")</f>
        <v/>
      </c>
      <c r="C58" s="1" t="str">
        <f>IF(calc!$L58=1,calc!D58,"")</f>
        <v/>
      </c>
      <c r="D58" s="1" t="str">
        <f>IF(calc!$L58=1,calc!E58,"")</f>
        <v/>
      </c>
      <c r="E58" s="1" t="str">
        <f>IF(calc!$L58=1,IF(EXACT(calc!$D58,"FAC"),"",calc!F58),"")</f>
        <v/>
      </c>
      <c r="F58" s="1" t="str">
        <f>IF(calc!$L58=1,IF(EXACT(calc!$D58,"FAC"),"",calc!G58),"")</f>
        <v/>
      </c>
      <c r="G58" s="1" t="str">
        <f>IF(calc!$L58=1,IF(EXACT(calc!$D58,"FAC"),"",calc!H58),"")</f>
        <v/>
      </c>
      <c r="H58" s="1" t="str">
        <f>IF(calc!$L58=1,IF(EXACT(calc!$D58,"FAC"),"",calc!I58),"")</f>
        <v/>
      </c>
      <c r="I58" s="1" t="str">
        <f>IF(calc!$L58=1,calc!J58,"")</f>
        <v/>
      </c>
      <c r="J58" s="1" t="str">
        <f>IF(calc!$L58=1,calc!K58,"")</f>
        <v/>
      </c>
      <c r="K58" s="1" t="str">
        <f>IF(calc!$L58=1,calc!M58,"")</f>
        <v/>
      </c>
      <c r="L58" s="1" t="str">
        <f>IF(calc!$L58=1,calc!N58,"")</f>
        <v/>
      </c>
      <c r="M58" s="1" t="str">
        <f>IF(calc!$L58=1,calc!O58,"")</f>
        <v/>
      </c>
      <c r="N58" s="1" t="str">
        <f>IF(calc!$L58=1,calc!P58,"")</f>
        <v/>
      </c>
      <c r="O58">
        <f>'Entry data'!C$1</f>
        <v>20064</v>
      </c>
      <c r="P58" t="str">
        <f>'Entry data'!C$2</f>
        <v>NSH</v>
      </c>
      <c r="Q58" t="str">
        <f>'Entry data'!C$3</f>
        <v>Home</v>
      </c>
    </row>
    <row r="59" spans="1:17" x14ac:dyDescent="0.25">
      <c r="A59" s="1" t="str">
        <f>IF(calc!$L59=1,calc!B59,"")</f>
        <v/>
      </c>
      <c r="B59" s="5" t="str">
        <f>IF(calc!$L59=1,calc!C59,"")</f>
        <v/>
      </c>
      <c r="C59" s="1" t="str">
        <f>IF(calc!$L59=1,calc!D59,"")</f>
        <v/>
      </c>
      <c r="D59" s="1" t="str">
        <f>IF(calc!$L59=1,calc!E59,"")</f>
        <v/>
      </c>
      <c r="E59" s="1" t="str">
        <f>IF(calc!$L59=1,IF(EXACT(calc!$D59,"FAC"),"",calc!F59),"")</f>
        <v/>
      </c>
      <c r="F59" s="1" t="str">
        <f>IF(calc!$L59=1,IF(EXACT(calc!$D59,"FAC"),"",calc!G59),"")</f>
        <v/>
      </c>
      <c r="G59" s="1" t="str">
        <f>IF(calc!$L59=1,IF(EXACT(calc!$D59,"FAC"),"",calc!H59),"")</f>
        <v/>
      </c>
      <c r="H59" s="1" t="str">
        <f>IF(calc!$L59=1,IF(EXACT(calc!$D59,"FAC"),"",calc!I59),"")</f>
        <v/>
      </c>
      <c r="I59" s="1" t="str">
        <f>IF(calc!$L59=1,calc!J59,"")</f>
        <v/>
      </c>
      <c r="J59" s="1" t="str">
        <f>IF(calc!$L59=1,calc!K59,"")</f>
        <v/>
      </c>
      <c r="K59" s="1" t="str">
        <f>IF(calc!$L59=1,calc!M59,"")</f>
        <v/>
      </c>
      <c r="L59" s="1" t="str">
        <f>IF(calc!$L59=1,calc!N59,"")</f>
        <v/>
      </c>
      <c r="M59" s="1" t="str">
        <f>IF(calc!$L59=1,calc!O59,"")</f>
        <v/>
      </c>
      <c r="N59" s="1" t="str">
        <f>IF(calc!$L59=1,calc!P59,"")</f>
        <v/>
      </c>
      <c r="O59">
        <f>'Entry data'!C$1</f>
        <v>20064</v>
      </c>
      <c r="P59" t="str">
        <f>'Entry data'!C$2</f>
        <v>NSH</v>
      </c>
      <c r="Q59" t="str">
        <f>'Entry data'!C$3</f>
        <v>Home</v>
      </c>
    </row>
    <row r="60" spans="1:17" x14ac:dyDescent="0.25">
      <c r="A60" s="1">
        <f>IF(calc!$L60=1,calc!B60,"")</f>
        <v>1</v>
      </c>
      <c r="B60" s="5">
        <f>IF(calc!$L60=1,calc!C60,"")</f>
        <v>0.56805555555555554</v>
      </c>
      <c r="C60" s="1" t="str">
        <f>IF(calc!$L60=1,calc!D60,"")</f>
        <v>FAC</v>
      </c>
      <c r="D60" s="1" t="str">
        <f>IF(calc!$L60=1,calc!E60,"")</f>
        <v>OZF</v>
      </c>
      <c r="E60" s="1" t="str">
        <f>IF(calc!$L60=1,IF(EXACT(calc!$D60,"FAC"),"",calc!F60),"")</f>
        <v/>
      </c>
      <c r="F60" s="1" t="str">
        <f>IF(calc!$L60=1,IF(EXACT(calc!$D60,"FAC"),"",calc!G60),"")</f>
        <v/>
      </c>
      <c r="G60" s="1" t="str">
        <f>IF(calc!$L60=1,IF(EXACT(calc!$D60,"FAC"),"",calc!H60),"")</f>
        <v/>
      </c>
      <c r="H60" s="1" t="str">
        <f>IF(calc!$L60=1,IF(EXACT(calc!$D60,"FAC"),"",calc!I60),"")</f>
        <v/>
      </c>
      <c r="I60" s="1">
        <f>IF(calc!$L60=1,calc!J60,"")</f>
        <v>5</v>
      </c>
      <c r="J60" s="1">
        <f>IF(calc!$L60=1,calc!K60,"")</f>
        <v>5</v>
      </c>
      <c r="K60" s="1" t="str">
        <f>IF(calc!$L60=1,calc!M60,"")</f>
        <v/>
      </c>
      <c r="L60" s="1">
        <f>IF(calc!$L60=1,calc!N60,"")</f>
        <v>2</v>
      </c>
      <c r="M60" s="1">
        <f>IF(calc!$L60=1,calc!O60,"")</f>
        <v>0</v>
      </c>
      <c r="N60" s="1" t="str">
        <f>IF(calc!$L60=1,calc!P60,"")</f>
        <v/>
      </c>
      <c r="O60">
        <f>'Entry data'!C$1</f>
        <v>20064</v>
      </c>
      <c r="P60" t="str">
        <f>'Entry data'!C$2</f>
        <v>NSH</v>
      </c>
      <c r="Q60" t="str">
        <f>'Entry data'!C$3</f>
        <v>Home</v>
      </c>
    </row>
    <row r="61" spans="1:17" x14ac:dyDescent="0.25">
      <c r="A61" s="1" t="str">
        <f>IF(calc!$L61=1,calc!B61,"")</f>
        <v/>
      </c>
      <c r="B61" s="5" t="str">
        <f>IF(calc!$L61=1,calc!C61,"")</f>
        <v/>
      </c>
      <c r="C61" s="1" t="str">
        <f>IF(calc!$L61=1,calc!D61,"")</f>
        <v/>
      </c>
      <c r="D61" s="1" t="str">
        <f>IF(calc!$L61=1,calc!E61,"")</f>
        <v/>
      </c>
      <c r="E61" s="1" t="str">
        <f>IF(calc!$L61=1,IF(EXACT(calc!$D61,"FAC"),"",calc!F61),"")</f>
        <v/>
      </c>
      <c r="F61" s="1" t="str">
        <f>IF(calc!$L61=1,IF(EXACT(calc!$D61,"FAC"),"",calc!G61),"")</f>
        <v/>
      </c>
      <c r="G61" s="1" t="str">
        <f>IF(calc!$L61=1,IF(EXACT(calc!$D61,"FAC"),"",calc!H61),"")</f>
        <v/>
      </c>
      <c r="H61" s="1" t="str">
        <f>IF(calc!$L61=1,IF(EXACT(calc!$D61,"FAC"),"",calc!I61),"")</f>
        <v/>
      </c>
      <c r="I61" s="1" t="str">
        <f>IF(calc!$L61=1,calc!J61,"")</f>
        <v/>
      </c>
      <c r="J61" s="1" t="str">
        <f>IF(calc!$L61=1,calc!K61,"")</f>
        <v/>
      </c>
      <c r="K61" s="1" t="str">
        <f>IF(calc!$L61=1,calc!M61,"")</f>
        <v/>
      </c>
      <c r="L61" s="1" t="str">
        <f>IF(calc!$L61=1,calc!N61,"")</f>
        <v/>
      </c>
      <c r="M61" s="1" t="str">
        <f>IF(calc!$L61=1,calc!O61,"")</f>
        <v/>
      </c>
      <c r="N61" s="1" t="str">
        <f>IF(calc!$L61=1,calc!P61,"")</f>
        <v/>
      </c>
      <c r="O61">
        <f>'Entry data'!C$1</f>
        <v>20064</v>
      </c>
      <c r="P61" t="str">
        <f>'Entry data'!C$2</f>
        <v>NSH</v>
      </c>
      <c r="Q61" t="str">
        <f>'Entry data'!C$3</f>
        <v>Home</v>
      </c>
    </row>
    <row r="62" spans="1:17" x14ac:dyDescent="0.25">
      <c r="A62" s="1" t="str">
        <f>IF(calc!$L62=1,calc!B62,"")</f>
        <v/>
      </c>
      <c r="B62" s="5" t="str">
        <f>IF(calc!$L62=1,calc!C62,"")</f>
        <v/>
      </c>
      <c r="C62" s="1" t="str">
        <f>IF(calc!$L62=1,calc!D62,"")</f>
        <v/>
      </c>
      <c r="D62" s="1" t="str">
        <f>IF(calc!$L62=1,calc!E62,"")</f>
        <v/>
      </c>
      <c r="E62" s="1" t="str">
        <f>IF(calc!$L62=1,IF(EXACT(calc!$D62,"FAC"),"",calc!F62),"")</f>
        <v/>
      </c>
      <c r="F62" s="1" t="str">
        <f>IF(calc!$L62=1,IF(EXACT(calc!$D62,"FAC"),"",calc!G62),"")</f>
        <v/>
      </c>
      <c r="G62" s="1" t="str">
        <f>IF(calc!$L62=1,IF(EXACT(calc!$D62,"FAC"),"",calc!H62),"")</f>
        <v/>
      </c>
      <c r="H62" s="1" t="str">
        <f>IF(calc!$L62=1,IF(EXACT(calc!$D62,"FAC"),"",calc!I62),"")</f>
        <v/>
      </c>
      <c r="I62" s="1" t="str">
        <f>IF(calc!$L62=1,calc!J62,"")</f>
        <v/>
      </c>
      <c r="J62" s="1" t="str">
        <f>IF(calc!$L62=1,calc!K62,"")</f>
        <v/>
      </c>
      <c r="K62" s="1" t="str">
        <f>IF(calc!$L62=1,calc!M62,"")</f>
        <v/>
      </c>
      <c r="L62" s="1" t="str">
        <f>IF(calc!$L62=1,calc!N62,"")</f>
        <v/>
      </c>
      <c r="M62" s="1" t="str">
        <f>IF(calc!$L62=1,calc!O62,"")</f>
        <v/>
      </c>
      <c r="N62" s="1" t="str">
        <f>IF(calc!$L62=1,calc!P62,"")</f>
        <v/>
      </c>
      <c r="O62">
        <f>'Entry data'!C$1</f>
        <v>20064</v>
      </c>
      <c r="P62" t="str">
        <f>'Entry data'!C$2</f>
        <v>NSH</v>
      </c>
      <c r="Q62" t="str">
        <f>'Entry data'!C$3</f>
        <v>Home</v>
      </c>
    </row>
    <row r="63" spans="1:17" x14ac:dyDescent="0.25">
      <c r="A63" s="1" t="str">
        <f>IF(calc!$L63=1,calc!B63,"")</f>
        <v/>
      </c>
      <c r="B63" s="5" t="str">
        <f>IF(calc!$L63=1,calc!C63,"")</f>
        <v/>
      </c>
      <c r="C63" s="1" t="str">
        <f>IF(calc!$L63=1,calc!D63,"")</f>
        <v/>
      </c>
      <c r="D63" s="1" t="str">
        <f>IF(calc!$L63=1,calc!E63,"")</f>
        <v/>
      </c>
      <c r="E63" s="1" t="str">
        <f>IF(calc!$L63=1,IF(EXACT(calc!$D63,"FAC"),"",calc!F63),"")</f>
        <v/>
      </c>
      <c r="F63" s="1" t="str">
        <f>IF(calc!$L63=1,IF(EXACT(calc!$D63,"FAC"),"",calc!G63),"")</f>
        <v/>
      </c>
      <c r="G63" s="1" t="str">
        <f>IF(calc!$L63=1,IF(EXACT(calc!$D63,"FAC"),"",calc!H63),"")</f>
        <v/>
      </c>
      <c r="H63" s="1" t="str">
        <f>IF(calc!$L63=1,IF(EXACT(calc!$D63,"FAC"),"",calc!I63),"")</f>
        <v/>
      </c>
      <c r="I63" s="1" t="str">
        <f>IF(calc!$L63=1,calc!J63,"")</f>
        <v/>
      </c>
      <c r="J63" s="1" t="str">
        <f>IF(calc!$L63=1,calc!K63,"")</f>
        <v/>
      </c>
      <c r="K63" s="1" t="str">
        <f>IF(calc!$L63=1,calc!M63,"")</f>
        <v/>
      </c>
      <c r="L63" s="1" t="str">
        <f>IF(calc!$L63=1,calc!N63,"")</f>
        <v/>
      </c>
      <c r="M63" s="1" t="str">
        <f>IF(calc!$L63=1,calc!O63,"")</f>
        <v/>
      </c>
      <c r="N63" s="1" t="str">
        <f>IF(calc!$L63=1,calc!P63,"")</f>
        <v/>
      </c>
      <c r="O63">
        <f>'Entry data'!C$1</f>
        <v>20064</v>
      </c>
      <c r="P63" t="str">
        <f>'Entry data'!C$2</f>
        <v>NSH</v>
      </c>
      <c r="Q63" t="str">
        <f>'Entry data'!C$3</f>
        <v>Home</v>
      </c>
    </row>
    <row r="64" spans="1:17" x14ac:dyDescent="0.25">
      <c r="A64" s="1" t="str">
        <f>IF(calc!$L64=1,calc!B64,"")</f>
        <v/>
      </c>
      <c r="B64" s="5" t="str">
        <f>IF(calc!$L64=1,calc!C64,"")</f>
        <v/>
      </c>
      <c r="C64" s="1" t="str">
        <f>IF(calc!$L64=1,calc!D64,"")</f>
        <v/>
      </c>
      <c r="D64" s="1" t="str">
        <f>IF(calc!$L64=1,calc!E64,"")</f>
        <v/>
      </c>
      <c r="E64" s="1" t="str">
        <f>IF(calc!$L64=1,IF(EXACT(calc!$D64,"FAC"),"",calc!F64),"")</f>
        <v/>
      </c>
      <c r="F64" s="1" t="str">
        <f>IF(calc!$L64=1,IF(EXACT(calc!$D64,"FAC"),"",calc!G64),"")</f>
        <v/>
      </c>
      <c r="G64" s="1" t="str">
        <f>IF(calc!$L64=1,IF(EXACT(calc!$D64,"FAC"),"",calc!H64),"")</f>
        <v/>
      </c>
      <c r="H64" s="1" t="str">
        <f>IF(calc!$L64=1,IF(EXACT(calc!$D64,"FAC"),"",calc!I64),"")</f>
        <v/>
      </c>
      <c r="I64" s="1" t="str">
        <f>IF(calc!$L64=1,calc!J64,"")</f>
        <v/>
      </c>
      <c r="J64" s="1" t="str">
        <f>IF(calc!$L64=1,calc!K64,"")</f>
        <v/>
      </c>
      <c r="K64" s="1" t="str">
        <f>IF(calc!$L64=1,calc!M64,"")</f>
        <v/>
      </c>
      <c r="L64" s="1" t="str">
        <f>IF(calc!$L64=1,calc!N64,"")</f>
        <v/>
      </c>
      <c r="M64" s="1" t="str">
        <f>IF(calc!$L64=1,calc!O64,"")</f>
        <v/>
      </c>
      <c r="N64" s="1" t="str">
        <f>IF(calc!$L64=1,calc!P64,"")</f>
        <v/>
      </c>
      <c r="O64">
        <f>'Entry data'!C$1</f>
        <v>20064</v>
      </c>
      <c r="P64" t="str">
        <f>'Entry data'!C$2</f>
        <v>NSH</v>
      </c>
      <c r="Q64" t="str">
        <f>'Entry data'!C$3</f>
        <v>Home</v>
      </c>
    </row>
    <row r="65" spans="1:17" x14ac:dyDescent="0.25">
      <c r="A65" s="1">
        <f>IF(calc!$L65=1,calc!B65,"")</f>
        <v>1</v>
      </c>
      <c r="B65" s="5">
        <f>IF(calc!$L65=1,calc!C65,"")</f>
        <v>0.55208333333333337</v>
      </c>
      <c r="C65" s="1" t="str">
        <f>IF(calc!$L65=1,calc!D65,"")</f>
        <v>FAC</v>
      </c>
      <c r="D65" s="1" t="str">
        <f>IF(calc!$L65=1,calc!E65,"")</f>
        <v>OZF</v>
      </c>
      <c r="E65" s="1" t="str">
        <f>IF(calc!$L65=1,IF(EXACT(calc!$D65,"FAC"),"",calc!F65),"")</f>
        <v/>
      </c>
      <c r="F65" s="1" t="str">
        <f>IF(calc!$L65=1,IF(EXACT(calc!$D65,"FAC"),"",calc!G65),"")</f>
        <v/>
      </c>
      <c r="G65" s="1" t="str">
        <f>IF(calc!$L65=1,IF(EXACT(calc!$D65,"FAC"),"",calc!H65),"")</f>
        <v/>
      </c>
      <c r="H65" s="1" t="str">
        <f>IF(calc!$L65=1,IF(EXACT(calc!$D65,"FAC"),"",calc!I65),"")</f>
        <v/>
      </c>
      <c r="I65" s="1">
        <f>IF(calc!$L65=1,calc!J65,"")</f>
        <v>5</v>
      </c>
      <c r="J65" s="1">
        <f>IF(calc!$L65=1,calc!K65,"")</f>
        <v>5</v>
      </c>
      <c r="K65" s="1" t="str">
        <f>IF(calc!$L65=1,calc!M65,"")</f>
        <v/>
      </c>
      <c r="L65" s="1">
        <f>IF(calc!$L65=1,calc!N65,"")</f>
        <v>0</v>
      </c>
      <c r="M65" s="1">
        <f>IF(calc!$L65=1,calc!O65,"")</f>
        <v>0</v>
      </c>
      <c r="N65" s="1" t="str">
        <f>IF(calc!$L65=1,calc!P65,"")</f>
        <v/>
      </c>
      <c r="O65">
        <f>'Entry data'!C$1</f>
        <v>20064</v>
      </c>
      <c r="P65" t="str">
        <f>'Entry data'!C$2</f>
        <v>NSH</v>
      </c>
      <c r="Q65" t="str">
        <f>'Entry data'!C$3</f>
        <v>Home</v>
      </c>
    </row>
    <row r="66" spans="1:17" x14ac:dyDescent="0.25">
      <c r="A66" s="1" t="str">
        <f>IF(calc!$L66=1,calc!B66,"")</f>
        <v/>
      </c>
      <c r="B66" s="5" t="str">
        <f>IF(calc!$L66=1,calc!C66,"")</f>
        <v/>
      </c>
      <c r="C66" s="1" t="str">
        <f>IF(calc!$L66=1,calc!D66,"")</f>
        <v/>
      </c>
      <c r="D66" s="1" t="str">
        <f>IF(calc!$L66=1,calc!E66,"")</f>
        <v/>
      </c>
      <c r="E66" s="1" t="str">
        <f>IF(calc!$L66=1,IF(EXACT(calc!$D66,"FAC"),"",calc!F66),"")</f>
        <v/>
      </c>
      <c r="F66" s="1" t="str">
        <f>IF(calc!$L66=1,IF(EXACT(calc!$D66,"FAC"),"",calc!G66),"")</f>
        <v/>
      </c>
      <c r="G66" s="1" t="str">
        <f>IF(calc!$L66=1,IF(EXACT(calc!$D66,"FAC"),"",calc!H66),"")</f>
        <v/>
      </c>
      <c r="H66" s="1" t="str">
        <f>IF(calc!$L66=1,IF(EXACT(calc!$D66,"FAC"),"",calc!I66),"")</f>
        <v/>
      </c>
      <c r="I66" s="1" t="str">
        <f>IF(calc!$L66=1,calc!J66,"")</f>
        <v/>
      </c>
      <c r="J66" s="1" t="str">
        <f>IF(calc!$L66=1,calc!K66,"")</f>
        <v/>
      </c>
      <c r="K66" s="1" t="str">
        <f>IF(calc!$L66=1,calc!M66,"")</f>
        <v/>
      </c>
      <c r="L66" s="1" t="str">
        <f>IF(calc!$L66=1,calc!N66,"")</f>
        <v/>
      </c>
      <c r="M66" s="1" t="str">
        <f>IF(calc!$L66=1,calc!O66,"")</f>
        <v/>
      </c>
      <c r="N66" s="1" t="str">
        <f>IF(calc!$L66=1,calc!P66,"")</f>
        <v/>
      </c>
      <c r="O66">
        <f>'Entry data'!C$1</f>
        <v>20064</v>
      </c>
      <c r="P66" t="str">
        <f>'Entry data'!C$2</f>
        <v>NSH</v>
      </c>
      <c r="Q66" t="str">
        <f>'Entry data'!C$3</f>
        <v>Home</v>
      </c>
    </row>
    <row r="67" spans="1:17" x14ac:dyDescent="0.25">
      <c r="A67" s="1">
        <f>IF(calc!$L67=1,calc!B67,"")</f>
        <v>1</v>
      </c>
      <c r="B67" s="5">
        <f>IF(calc!$L67=1,calc!C67,"")</f>
        <v>0.54652777777777783</v>
      </c>
      <c r="C67" s="1" t="str">
        <f>IF(calc!$L67=1,calc!D67,"")</f>
        <v>FAC</v>
      </c>
      <c r="D67" s="1" t="str">
        <f>IF(calc!$L67=1,calc!E67,"")</f>
        <v>OZF</v>
      </c>
      <c r="E67" s="1" t="str">
        <f>IF(calc!$L67=1,IF(EXACT(calc!$D67,"FAC"),"",calc!F67),"")</f>
        <v/>
      </c>
      <c r="F67" s="1" t="str">
        <f>IF(calc!$L67=1,IF(EXACT(calc!$D67,"FAC"),"",calc!G67),"")</f>
        <v/>
      </c>
      <c r="G67" s="1" t="str">
        <f>IF(calc!$L67=1,IF(EXACT(calc!$D67,"FAC"),"",calc!H67),"")</f>
        <v/>
      </c>
      <c r="H67" s="1" t="str">
        <f>IF(calc!$L67=1,IF(EXACT(calc!$D67,"FAC"),"",calc!I67),"")</f>
        <v/>
      </c>
      <c r="I67" s="1">
        <f>IF(calc!$L67=1,calc!J67,"")</f>
        <v>5</v>
      </c>
      <c r="J67" s="1">
        <f>IF(calc!$L67=1,calc!K67,"")</f>
        <v>4</v>
      </c>
      <c r="K67" s="1" t="str">
        <f>IF(calc!$L67=1,calc!M67,"")</f>
        <v/>
      </c>
      <c r="L67" s="1">
        <f>IF(calc!$L67=1,calc!N67,"")</f>
        <v>1</v>
      </c>
      <c r="M67" s="1">
        <f>IF(calc!$L67=1,calc!O67,"")</f>
        <v>0</v>
      </c>
      <c r="N67" s="1" t="str">
        <f>IF(calc!$L67=1,calc!P67,"")</f>
        <v/>
      </c>
      <c r="O67">
        <f>'Entry data'!C$1</f>
        <v>20064</v>
      </c>
      <c r="P67" t="str">
        <f>'Entry data'!C$2</f>
        <v>NSH</v>
      </c>
      <c r="Q67" t="str">
        <f>'Entry data'!C$3</f>
        <v>Home</v>
      </c>
    </row>
    <row r="68" spans="1:17" x14ac:dyDescent="0.25">
      <c r="A68" s="1" t="str">
        <f>IF(calc!$L68=1,calc!B68,"")</f>
        <v/>
      </c>
      <c r="B68" s="5" t="str">
        <f>IF(calc!$L68=1,calc!C68,"")</f>
        <v/>
      </c>
      <c r="C68" s="1" t="str">
        <f>IF(calc!$L68=1,calc!D68,"")</f>
        <v/>
      </c>
      <c r="D68" s="1" t="str">
        <f>IF(calc!$L68=1,calc!E68,"")</f>
        <v/>
      </c>
      <c r="E68" s="1" t="str">
        <f>IF(calc!$L68=1,IF(EXACT(calc!$D68,"FAC"),"",calc!F68),"")</f>
        <v/>
      </c>
      <c r="F68" s="1" t="str">
        <f>IF(calc!$L68=1,IF(EXACT(calc!$D68,"FAC"),"",calc!G68),"")</f>
        <v/>
      </c>
      <c r="G68" s="1" t="str">
        <f>IF(calc!$L68=1,IF(EXACT(calc!$D68,"FAC"),"",calc!H68),"")</f>
        <v/>
      </c>
      <c r="H68" s="1" t="str">
        <f>IF(calc!$L68=1,IF(EXACT(calc!$D68,"FAC"),"",calc!I68),"")</f>
        <v/>
      </c>
      <c r="I68" s="1" t="str">
        <f>IF(calc!$L68=1,calc!J68,"")</f>
        <v/>
      </c>
      <c r="J68" s="1" t="str">
        <f>IF(calc!$L68=1,calc!K68,"")</f>
        <v/>
      </c>
      <c r="K68" s="1" t="str">
        <f>IF(calc!$L68=1,calc!M68,"")</f>
        <v/>
      </c>
      <c r="L68" s="1" t="str">
        <f>IF(calc!$L68=1,calc!N68,"")</f>
        <v/>
      </c>
      <c r="M68" s="1" t="str">
        <f>IF(calc!$L68=1,calc!O68,"")</f>
        <v/>
      </c>
      <c r="N68" s="1" t="str">
        <f>IF(calc!$L68=1,calc!P68,"")</f>
        <v/>
      </c>
      <c r="O68">
        <f>'Entry data'!C$1</f>
        <v>20064</v>
      </c>
      <c r="P68" t="str">
        <f>'Entry data'!C$2</f>
        <v>NSH</v>
      </c>
      <c r="Q68" t="str">
        <f>'Entry data'!C$3</f>
        <v>Home</v>
      </c>
    </row>
    <row r="69" spans="1:17" x14ac:dyDescent="0.25">
      <c r="A69" s="1" t="str">
        <f>IF(calc!$L69=1,calc!B69,"")</f>
        <v/>
      </c>
      <c r="B69" s="5" t="str">
        <f>IF(calc!$L69=1,calc!C69,"")</f>
        <v/>
      </c>
      <c r="C69" s="1" t="str">
        <f>IF(calc!$L69=1,calc!D69,"")</f>
        <v/>
      </c>
      <c r="D69" s="1" t="str">
        <f>IF(calc!$L69=1,calc!E69,"")</f>
        <v/>
      </c>
      <c r="E69" s="1" t="str">
        <f>IF(calc!$L69=1,IF(EXACT(calc!$D69,"FAC"),"",calc!F69),"")</f>
        <v/>
      </c>
      <c r="F69" s="1" t="str">
        <f>IF(calc!$L69=1,IF(EXACT(calc!$D69,"FAC"),"",calc!G69),"")</f>
        <v/>
      </c>
      <c r="G69" s="1" t="str">
        <f>IF(calc!$L69=1,IF(EXACT(calc!$D69,"FAC"),"",calc!H69),"")</f>
        <v/>
      </c>
      <c r="H69" s="1" t="str">
        <f>IF(calc!$L69=1,IF(EXACT(calc!$D69,"FAC"),"",calc!I69),"")</f>
        <v/>
      </c>
      <c r="I69" s="1" t="str">
        <f>IF(calc!$L69=1,calc!J69,"")</f>
        <v/>
      </c>
      <c r="J69" s="1" t="str">
        <f>IF(calc!$L69=1,calc!K69,"")</f>
        <v/>
      </c>
      <c r="K69" s="1" t="str">
        <f>IF(calc!$L69=1,calc!M69,"")</f>
        <v/>
      </c>
      <c r="L69" s="1" t="str">
        <f>IF(calc!$L69=1,calc!N69,"")</f>
        <v/>
      </c>
      <c r="M69" s="1" t="str">
        <f>IF(calc!$L69=1,calc!O69,"")</f>
        <v/>
      </c>
      <c r="N69" s="1" t="str">
        <f>IF(calc!$L69=1,calc!P69,"")</f>
        <v/>
      </c>
      <c r="O69">
        <f>'Entry data'!C$1</f>
        <v>20064</v>
      </c>
      <c r="P69" t="str">
        <f>'Entry data'!C$2</f>
        <v>NSH</v>
      </c>
      <c r="Q69" t="str">
        <f>'Entry data'!C$3</f>
        <v>Home</v>
      </c>
    </row>
    <row r="70" spans="1:17" x14ac:dyDescent="0.25">
      <c r="A70" s="1">
        <f>IF(calc!$L70=1,calc!B70,"")</f>
        <v>1</v>
      </c>
      <c r="B70" s="5">
        <f>IF(calc!$L70=1,calc!C70,"")</f>
        <v>0.50138888888888888</v>
      </c>
      <c r="C70" s="1" t="str">
        <f>IF(calc!$L70=1,calc!D70,"")</f>
        <v>C</v>
      </c>
      <c r="D70" s="1" t="str">
        <f>IF(calc!$L70=1,calc!E70,"")</f>
        <v>14DET</v>
      </c>
      <c r="E70" s="1" t="str">
        <f>IF(calc!$L70=1,IF(EXACT(calc!$D70,"FAC"),"",calc!F70),"")</f>
        <v>12NSH</v>
      </c>
      <c r="F70" s="1" t="str">
        <f>IF(calc!$L70=1,IF(EXACT(calc!$D70,"FAC"),"",calc!G70),"")</f>
        <v>Y</v>
      </c>
      <c r="G70" s="1" t="str">
        <f>IF(calc!$L70=1,IF(EXACT(calc!$D70,"FAC"),"",calc!H70),"")</f>
        <v>R</v>
      </c>
      <c r="H70" s="1" t="str">
        <f>IF(calc!$L70=1,IF(EXACT(calc!$D70,"FAC"),"",calc!I70),"")</f>
        <v>N</v>
      </c>
      <c r="I70" s="1">
        <f>IF(calc!$L70=1,calc!J70,"")</f>
        <v>4</v>
      </c>
      <c r="J70" s="1">
        <f>IF(calc!$L70=1,calc!K70,"")</f>
        <v>5</v>
      </c>
      <c r="K70" s="1" t="str">
        <f>IF(calc!$L70=1,calc!M70,"")</f>
        <v>14DET</v>
      </c>
      <c r="L70" s="1">
        <f>IF(calc!$L70=1,calc!N70,"")</f>
        <v>1</v>
      </c>
      <c r="M70" s="1">
        <f>IF(calc!$L70=1,calc!O70,"")</f>
        <v>0</v>
      </c>
      <c r="N70" s="1" t="str">
        <f>IF(calc!$L70=1,calc!P70,"")</f>
        <v/>
      </c>
      <c r="O70">
        <f>'Entry data'!C$1</f>
        <v>20064</v>
      </c>
      <c r="P70" t="str">
        <f>'Entry data'!C$2</f>
        <v>NSH</v>
      </c>
      <c r="Q70" t="str">
        <f>'Entry data'!C$3</f>
        <v>Home</v>
      </c>
    </row>
    <row r="71" spans="1:17" x14ac:dyDescent="0.25">
      <c r="A71" s="1" t="str">
        <f>IF(calc!$L71=1,calc!B71,"")</f>
        <v/>
      </c>
      <c r="B71" s="5" t="str">
        <f>IF(calc!$L71=1,calc!C71,"")</f>
        <v/>
      </c>
      <c r="C71" s="1" t="str">
        <f>IF(calc!$L71=1,calc!D71,"")</f>
        <v/>
      </c>
      <c r="D71" s="1" t="str">
        <f>IF(calc!$L71=1,calc!E71,"")</f>
        <v/>
      </c>
      <c r="E71" s="1" t="str">
        <f>IF(calc!$L71=1,IF(EXACT(calc!$D71,"FAC"),"",calc!F71),"")</f>
        <v/>
      </c>
      <c r="F71" s="1" t="str">
        <f>IF(calc!$L71=1,IF(EXACT(calc!$D71,"FAC"),"",calc!G71),"")</f>
        <v/>
      </c>
      <c r="G71" s="1" t="str">
        <f>IF(calc!$L71=1,IF(EXACT(calc!$D71,"FAC"),"",calc!H71),"")</f>
        <v/>
      </c>
      <c r="H71" s="1" t="str">
        <f>IF(calc!$L71=1,IF(EXACT(calc!$D71,"FAC"),"",calc!I71),"")</f>
        <v/>
      </c>
      <c r="I71" s="1" t="str">
        <f>IF(calc!$L71=1,calc!J71,"")</f>
        <v/>
      </c>
      <c r="J71" s="1" t="str">
        <f>IF(calc!$L71=1,calc!K71,"")</f>
        <v/>
      </c>
      <c r="K71" s="1" t="str">
        <f>IF(calc!$L71=1,calc!M71,"")</f>
        <v/>
      </c>
      <c r="L71" s="1" t="str">
        <f>IF(calc!$L71=1,calc!N71,"")</f>
        <v/>
      </c>
      <c r="M71" s="1" t="str">
        <f>IF(calc!$L71=1,calc!O71,"")</f>
        <v/>
      </c>
      <c r="N71" s="1" t="str">
        <f>IF(calc!$L71=1,calc!P71,"")</f>
        <v/>
      </c>
      <c r="O71">
        <f>'Entry data'!C$1</f>
        <v>20064</v>
      </c>
      <c r="P71" t="str">
        <f>'Entry data'!C$2</f>
        <v>NSH</v>
      </c>
      <c r="Q71" t="str">
        <f>'Entry data'!C$3</f>
        <v>Home</v>
      </c>
    </row>
    <row r="72" spans="1:17" x14ac:dyDescent="0.25">
      <c r="A72" s="1">
        <f>IF(calc!$L72=1,calc!B72,"")</f>
        <v>1</v>
      </c>
      <c r="B72" s="5">
        <f>IF(calc!$L72=1,calc!C72,"")</f>
        <v>0.46666666666666662</v>
      </c>
      <c r="C72" s="1" t="str">
        <f>IF(calc!$L72=1,calc!D72,"")</f>
        <v>D</v>
      </c>
      <c r="D72" s="1" t="str">
        <f>IF(calc!$L72=1,calc!E72,"")</f>
        <v>53DET</v>
      </c>
      <c r="E72" s="1" t="str">
        <f>IF(calc!$L72=1,IF(EXACT(calc!$D72,"FAC"),"",calc!F72),"")</f>
        <v>N</v>
      </c>
      <c r="F72" s="1" t="str">
        <f>IF(calc!$L72=1,IF(EXACT(calc!$D72,"FAC"),"",calc!G72),"")</f>
        <v/>
      </c>
      <c r="G72" s="1" t="str">
        <f>IF(calc!$L72=1,IF(EXACT(calc!$D72,"FAC"),"",calc!H72),"")</f>
        <v>C</v>
      </c>
      <c r="H72" s="1" t="str">
        <f>IF(calc!$L72=1,IF(EXACT(calc!$D72,"FAC"),"",calc!I72),"")</f>
        <v>41DET</v>
      </c>
      <c r="I72" s="1">
        <f>IF(calc!$L72=1,calc!J72,"")</f>
        <v>4</v>
      </c>
      <c r="J72" s="1">
        <f>IF(calc!$L72=1,calc!K72,"")</f>
        <v>5</v>
      </c>
      <c r="K72" s="1" t="str">
        <f>IF(calc!$L72=1,calc!M72,"")</f>
        <v/>
      </c>
      <c r="L72" s="1">
        <f>IF(calc!$L72=1,calc!N72,"")</f>
        <v>1</v>
      </c>
      <c r="M72" s="1">
        <f>IF(calc!$L72=1,calc!O72,"")</f>
        <v>0</v>
      </c>
      <c r="N72" s="1" t="str">
        <f>IF(calc!$L72=1,calc!P72,"")</f>
        <v/>
      </c>
      <c r="O72">
        <f>'Entry data'!C$1</f>
        <v>20064</v>
      </c>
      <c r="P72" t="str">
        <f>'Entry data'!C$2</f>
        <v>NSH</v>
      </c>
      <c r="Q72" t="str">
        <f>'Entry data'!C$3</f>
        <v>Home</v>
      </c>
    </row>
    <row r="73" spans="1:17" x14ac:dyDescent="0.25">
      <c r="A73" s="1" t="str">
        <f>IF(calc!$L73=1,calc!B73,"")</f>
        <v/>
      </c>
      <c r="B73" s="5" t="str">
        <f>IF(calc!$L73=1,calc!C73,"")</f>
        <v/>
      </c>
      <c r="C73" s="1" t="str">
        <f>IF(calc!$L73=1,calc!D73,"")</f>
        <v/>
      </c>
      <c r="D73" s="1" t="str">
        <f>IF(calc!$L73=1,calc!E73,"")</f>
        <v/>
      </c>
      <c r="E73" s="1" t="str">
        <f>IF(calc!$L73=1,IF(EXACT(calc!$D73,"FAC"),"",calc!F73),"")</f>
        <v/>
      </c>
      <c r="F73" s="1" t="str">
        <f>IF(calc!$L73=1,IF(EXACT(calc!$D73,"FAC"),"",calc!G73),"")</f>
        <v/>
      </c>
      <c r="G73" s="1" t="str">
        <f>IF(calc!$L73=1,IF(EXACT(calc!$D73,"FAC"),"",calc!H73),"")</f>
        <v/>
      </c>
      <c r="H73" s="1" t="str">
        <f>IF(calc!$L73=1,IF(EXACT(calc!$D73,"FAC"),"",calc!I73),"")</f>
        <v/>
      </c>
      <c r="I73" s="1" t="str">
        <f>IF(calc!$L73=1,calc!J73,"")</f>
        <v/>
      </c>
      <c r="J73" s="1" t="str">
        <f>IF(calc!$L73=1,calc!K73,"")</f>
        <v/>
      </c>
      <c r="K73" s="1" t="str">
        <f>IF(calc!$L73=1,calc!M73,"")</f>
        <v/>
      </c>
      <c r="L73" s="1" t="str">
        <f>IF(calc!$L73=1,calc!N73,"")</f>
        <v/>
      </c>
      <c r="M73" s="1" t="str">
        <f>IF(calc!$L73=1,calc!O73,"")</f>
        <v/>
      </c>
      <c r="N73" s="1" t="str">
        <f>IF(calc!$L73=1,calc!P73,"")</f>
        <v/>
      </c>
      <c r="O73">
        <f>'Entry data'!C$1</f>
        <v>20064</v>
      </c>
      <c r="P73" t="str">
        <f>'Entry data'!C$2</f>
        <v>NSH</v>
      </c>
      <c r="Q73" t="str">
        <f>'Entry data'!C$3</f>
        <v>Home</v>
      </c>
    </row>
    <row r="74" spans="1:17" x14ac:dyDescent="0.25">
      <c r="A74" s="1" t="str">
        <f>IF(calc!$L74=1,calc!B74,"")</f>
        <v/>
      </c>
      <c r="B74" s="5" t="str">
        <f>IF(calc!$L74=1,calc!C74,"")</f>
        <v/>
      </c>
      <c r="C74" s="1" t="str">
        <f>IF(calc!$L74=1,calc!D74,"")</f>
        <v/>
      </c>
      <c r="D74" s="1" t="str">
        <f>IF(calc!$L74=1,calc!E74,"")</f>
        <v/>
      </c>
      <c r="E74" s="1" t="str">
        <f>IF(calc!$L74=1,IF(EXACT(calc!$D74,"FAC"),"",calc!F74),"")</f>
        <v/>
      </c>
      <c r="F74" s="1" t="str">
        <f>IF(calc!$L74=1,IF(EXACT(calc!$D74,"FAC"),"",calc!G74),"")</f>
        <v/>
      </c>
      <c r="G74" s="1" t="str">
        <f>IF(calc!$L74=1,IF(EXACT(calc!$D74,"FAC"),"",calc!H74),"")</f>
        <v/>
      </c>
      <c r="H74" s="1" t="str">
        <f>IF(calc!$L74=1,IF(EXACT(calc!$D74,"FAC"),"",calc!I74),"")</f>
        <v/>
      </c>
      <c r="I74" s="1" t="str">
        <f>IF(calc!$L74=1,calc!J74,"")</f>
        <v/>
      </c>
      <c r="J74" s="1" t="str">
        <f>IF(calc!$L74=1,calc!K74,"")</f>
        <v/>
      </c>
      <c r="K74" s="1" t="str">
        <f>IF(calc!$L74=1,calc!M74,"")</f>
        <v/>
      </c>
      <c r="L74" s="1" t="str">
        <f>IF(calc!$L74=1,calc!N74,"")</f>
        <v/>
      </c>
      <c r="M74" s="1" t="str">
        <f>IF(calc!$L74=1,calc!O74,"")</f>
        <v/>
      </c>
      <c r="N74" s="1" t="str">
        <f>IF(calc!$L74=1,calc!P74,"")</f>
        <v/>
      </c>
      <c r="O74">
        <f>'Entry data'!C$1</f>
        <v>20064</v>
      </c>
      <c r="P74" t="str">
        <f>'Entry data'!C$2</f>
        <v>NSH</v>
      </c>
      <c r="Q74" t="str">
        <f>'Entry data'!C$3</f>
        <v>Home</v>
      </c>
    </row>
    <row r="75" spans="1:17" x14ac:dyDescent="0.25">
      <c r="A75" s="1">
        <f>IF(calc!$L75=1,calc!B75,"")</f>
        <v>1</v>
      </c>
      <c r="B75" s="5">
        <f>IF(calc!$L75=1,calc!C75,"")</f>
        <v>0.45416666666666666</v>
      </c>
      <c r="C75" s="1" t="str">
        <f>IF(calc!$L75=1,calc!D75,"")</f>
        <v>D</v>
      </c>
      <c r="D75" s="1" t="str">
        <f>IF(calc!$L75=1,calc!E75,"")</f>
        <v>16NSH</v>
      </c>
      <c r="E75" s="1" t="str">
        <f>IF(calc!$L75=1,IF(EXACT(calc!$D75,"FAC"),"",calc!F75),"")</f>
        <v>65DET</v>
      </c>
      <c r="F75" s="1" t="str">
        <f>IF(calc!$L75=1,IF(EXACT(calc!$D75,"FAC"),"",calc!G75),"")</f>
        <v/>
      </c>
      <c r="G75" s="1" t="str">
        <f>IF(calc!$L75=1,IF(EXACT(calc!$D75,"FAC"),"",calc!H75),"")</f>
        <v>R</v>
      </c>
      <c r="H75" s="1" t="str">
        <f>IF(calc!$L75=1,IF(EXACT(calc!$D75,"FAC"),"",calc!I75),"")</f>
        <v>33NSH</v>
      </c>
      <c r="I75" s="1">
        <f>IF(calc!$L75=1,calc!J75,"")</f>
        <v>5</v>
      </c>
      <c r="J75" s="1">
        <f>IF(calc!$L75=1,calc!K75,"")</f>
        <v>5</v>
      </c>
      <c r="K75" s="1" t="str">
        <f>IF(calc!$L75=1,calc!M75,"")</f>
        <v/>
      </c>
      <c r="L75" s="1">
        <f>IF(calc!$L75=1,calc!N75,"")</f>
        <v>0</v>
      </c>
      <c r="M75" s="1">
        <f>IF(calc!$L75=1,calc!O75,"")</f>
        <v>0</v>
      </c>
      <c r="N75" s="1" t="str">
        <f>IF(calc!$L75=1,calc!P75,"")</f>
        <v/>
      </c>
      <c r="O75">
        <f>'Entry data'!C$1</f>
        <v>20064</v>
      </c>
      <c r="P75" t="str">
        <f>'Entry data'!C$2</f>
        <v>NSH</v>
      </c>
      <c r="Q75" t="str">
        <f>'Entry data'!C$3</f>
        <v>Home</v>
      </c>
    </row>
    <row r="76" spans="1:17" x14ac:dyDescent="0.25">
      <c r="A76" s="1">
        <f>IF(calc!$L76=1,calc!B76,"")</f>
        <v>1</v>
      </c>
      <c r="B76" s="5">
        <f>IF(calc!$L76=1,calc!C76,"")</f>
        <v>0.4458333333333333</v>
      </c>
      <c r="C76" s="1" t="str">
        <f>IF(calc!$L76=1,calc!D76,"")</f>
        <v>C</v>
      </c>
      <c r="D76" s="1" t="str">
        <f>IF(calc!$L76=1,calc!E76,"")</f>
        <v>92NSH</v>
      </c>
      <c r="E76" s="1" t="str">
        <f>IF(calc!$L76=1,IF(EXACT(calc!$D76,"FAC"),"",calc!F76),"")</f>
        <v>65DET</v>
      </c>
      <c r="F76" s="1" t="str">
        <f>IF(calc!$L76=1,IF(EXACT(calc!$D76,"FAC"),"",calc!G76),"")</f>
        <v>N</v>
      </c>
      <c r="G76" s="1" t="str">
        <f>IF(calc!$L76=1,IF(EXACT(calc!$D76,"FAC"),"",calc!H76),"")</f>
        <v>R</v>
      </c>
      <c r="H76" s="1" t="str">
        <f>IF(calc!$L76=1,IF(EXACT(calc!$D76,"FAC"),"",calc!I76),"")</f>
        <v>N</v>
      </c>
      <c r="I76" s="1">
        <f>IF(calc!$L76=1,calc!J76,"")</f>
        <v>5</v>
      </c>
      <c r="J76" s="1">
        <f>IF(calc!$L76=1,calc!K76,"")</f>
        <v>5</v>
      </c>
      <c r="K76" s="1" t="str">
        <f>IF(calc!$L76=1,calc!M76,"")</f>
        <v>92NSH</v>
      </c>
      <c r="L76" s="1">
        <f>IF(calc!$L76=1,calc!N76,"")</f>
        <v>2</v>
      </c>
      <c r="M76" s="1">
        <f>IF(calc!$L76=1,calc!O76,"")</f>
        <v>0</v>
      </c>
      <c r="N76" s="1" t="str">
        <f>IF(calc!$L76=1,calc!P76,"")</f>
        <v/>
      </c>
      <c r="O76">
        <f>'Entry data'!C$1</f>
        <v>20064</v>
      </c>
      <c r="P76" t="str">
        <f>'Entry data'!C$2</f>
        <v>NSH</v>
      </c>
      <c r="Q76" t="str">
        <f>'Entry data'!C$3</f>
        <v>Home</v>
      </c>
    </row>
    <row r="77" spans="1:17" x14ac:dyDescent="0.25">
      <c r="A77" s="1" t="str">
        <f>IF(calc!$L77=1,calc!B77,"")</f>
        <v/>
      </c>
      <c r="B77" s="5" t="str">
        <f>IF(calc!$L77=1,calc!C77,"")</f>
        <v/>
      </c>
      <c r="C77" s="1" t="str">
        <f>IF(calc!$L77=1,calc!D77,"")</f>
        <v/>
      </c>
      <c r="D77" s="1" t="str">
        <f>IF(calc!$L77=1,calc!E77,"")</f>
        <v/>
      </c>
      <c r="E77" s="1" t="str">
        <f>IF(calc!$L77=1,IF(EXACT(calc!$D77,"FAC"),"",calc!F77),"")</f>
        <v/>
      </c>
      <c r="F77" s="1" t="str">
        <f>IF(calc!$L77=1,IF(EXACT(calc!$D77,"FAC"),"",calc!G77),"")</f>
        <v/>
      </c>
      <c r="G77" s="1" t="str">
        <f>IF(calc!$L77=1,IF(EXACT(calc!$D77,"FAC"),"",calc!H77),"")</f>
        <v/>
      </c>
      <c r="H77" s="1" t="str">
        <f>IF(calc!$L77=1,IF(EXACT(calc!$D77,"FAC"),"",calc!I77),"")</f>
        <v/>
      </c>
      <c r="I77" s="1" t="str">
        <f>IF(calc!$L77=1,calc!J77,"")</f>
        <v/>
      </c>
      <c r="J77" s="1" t="str">
        <f>IF(calc!$L77=1,calc!K77,"")</f>
        <v/>
      </c>
      <c r="K77" s="1" t="str">
        <f>IF(calc!$L77=1,calc!M77,"")</f>
        <v/>
      </c>
      <c r="L77" s="1" t="str">
        <f>IF(calc!$L77=1,calc!N77,"")</f>
        <v/>
      </c>
      <c r="M77" s="1" t="str">
        <f>IF(calc!$L77=1,calc!O77,"")</f>
        <v/>
      </c>
      <c r="N77" s="1" t="str">
        <f>IF(calc!$L77=1,calc!P77,"")</f>
        <v/>
      </c>
      <c r="O77">
        <f>'Entry data'!C$1</f>
        <v>20064</v>
      </c>
      <c r="P77" t="str">
        <f>'Entry data'!C$2</f>
        <v>NSH</v>
      </c>
      <c r="Q77" t="str">
        <f>'Entry data'!C$3</f>
        <v>Home</v>
      </c>
    </row>
    <row r="78" spans="1:17" x14ac:dyDescent="0.25">
      <c r="A78" s="1" t="str">
        <f>IF(calc!$L78=1,calc!B78,"")</f>
        <v/>
      </c>
      <c r="B78" s="5" t="str">
        <f>IF(calc!$L78=1,calc!C78,"")</f>
        <v/>
      </c>
      <c r="C78" s="1" t="str">
        <f>IF(calc!$L78=1,calc!D78,"")</f>
        <v/>
      </c>
      <c r="D78" s="1" t="str">
        <f>IF(calc!$L78=1,calc!E78,"")</f>
        <v/>
      </c>
      <c r="E78" s="1" t="str">
        <f>IF(calc!$L78=1,IF(EXACT(calc!$D78,"FAC"),"",calc!F78),"")</f>
        <v/>
      </c>
      <c r="F78" s="1" t="str">
        <f>IF(calc!$L78=1,IF(EXACT(calc!$D78,"FAC"),"",calc!G78),"")</f>
        <v/>
      </c>
      <c r="G78" s="1" t="str">
        <f>IF(calc!$L78=1,IF(EXACT(calc!$D78,"FAC"),"",calc!H78),"")</f>
        <v/>
      </c>
      <c r="H78" s="1" t="str">
        <f>IF(calc!$L78=1,IF(EXACT(calc!$D78,"FAC"),"",calc!I78),"")</f>
        <v/>
      </c>
      <c r="I78" s="1" t="str">
        <f>IF(calc!$L78=1,calc!J78,"")</f>
        <v/>
      </c>
      <c r="J78" s="1" t="str">
        <f>IF(calc!$L78=1,calc!K78,"")</f>
        <v/>
      </c>
      <c r="K78" s="1" t="str">
        <f>IF(calc!$L78=1,calc!M78,"")</f>
        <v/>
      </c>
      <c r="L78" s="1" t="str">
        <f>IF(calc!$L78=1,calc!N78,"")</f>
        <v/>
      </c>
      <c r="M78" s="1" t="str">
        <f>IF(calc!$L78=1,calc!O78,"")</f>
        <v/>
      </c>
      <c r="N78" s="1" t="str">
        <f>IF(calc!$L78=1,calc!P78,"")</f>
        <v/>
      </c>
      <c r="O78">
        <f>'Entry data'!C$1</f>
        <v>20064</v>
      </c>
      <c r="P78" t="str">
        <f>'Entry data'!C$2</f>
        <v>NSH</v>
      </c>
      <c r="Q78" t="str">
        <f>'Entry data'!C$3</f>
        <v>Home</v>
      </c>
    </row>
    <row r="79" spans="1:17" x14ac:dyDescent="0.25">
      <c r="A79" s="1" t="str">
        <f>IF(calc!$L79=1,calc!B79,"")</f>
        <v/>
      </c>
      <c r="B79" s="5" t="str">
        <f>IF(calc!$L79=1,calc!C79,"")</f>
        <v/>
      </c>
      <c r="C79" s="1" t="str">
        <f>IF(calc!$L79=1,calc!D79,"")</f>
        <v/>
      </c>
      <c r="D79" s="1" t="str">
        <f>IF(calc!$L79=1,calc!E79,"")</f>
        <v/>
      </c>
      <c r="E79" s="1" t="str">
        <f>IF(calc!$L79=1,IF(EXACT(calc!$D79,"FAC"),"",calc!F79),"")</f>
        <v/>
      </c>
      <c r="F79" s="1" t="str">
        <f>IF(calc!$L79=1,IF(EXACT(calc!$D79,"FAC"),"",calc!G79),"")</f>
        <v/>
      </c>
      <c r="G79" s="1" t="str">
        <f>IF(calc!$L79=1,IF(EXACT(calc!$D79,"FAC"),"",calc!H79),"")</f>
        <v/>
      </c>
      <c r="H79" s="1" t="str">
        <f>IF(calc!$L79=1,IF(EXACT(calc!$D79,"FAC"),"",calc!I79),"")</f>
        <v/>
      </c>
      <c r="I79" s="1" t="str">
        <f>IF(calc!$L79=1,calc!J79,"")</f>
        <v/>
      </c>
      <c r="J79" s="1" t="str">
        <f>IF(calc!$L79=1,calc!K79,"")</f>
        <v/>
      </c>
      <c r="K79" s="1" t="str">
        <f>IF(calc!$L79=1,calc!M79,"")</f>
        <v/>
      </c>
      <c r="L79" s="1" t="str">
        <f>IF(calc!$L79=1,calc!N79,"")</f>
        <v/>
      </c>
      <c r="M79" s="1" t="str">
        <f>IF(calc!$L79=1,calc!O79,"")</f>
        <v/>
      </c>
      <c r="N79" s="1" t="str">
        <f>IF(calc!$L79=1,calc!P79,"")</f>
        <v/>
      </c>
      <c r="O79">
        <f>'Entry data'!C$1</f>
        <v>20064</v>
      </c>
      <c r="P79" t="str">
        <f>'Entry data'!C$2</f>
        <v>NSH</v>
      </c>
      <c r="Q79" t="str">
        <f>'Entry data'!C$3</f>
        <v>Home</v>
      </c>
    </row>
    <row r="80" spans="1:17" x14ac:dyDescent="0.25">
      <c r="A80" s="1">
        <f>IF(calc!$L80=1,calc!B80,"")</f>
        <v>1</v>
      </c>
      <c r="B80" s="5">
        <f>IF(calc!$L80=1,calc!C80,"")</f>
        <v>0.44166666666666671</v>
      </c>
      <c r="C80" s="1" t="str">
        <f>IF(calc!$L80=1,calc!D80,"")</f>
        <v>FAC</v>
      </c>
      <c r="D80" s="1" t="str">
        <f>IF(calc!$L80=1,calc!E80,"")</f>
        <v>DZF</v>
      </c>
      <c r="E80" s="1" t="str">
        <f>IF(calc!$L80=1,IF(EXACT(calc!$D80,"FAC"),"",calc!F80),"")</f>
        <v/>
      </c>
      <c r="F80" s="1" t="str">
        <f>IF(calc!$L80=1,IF(EXACT(calc!$D80,"FAC"),"",calc!G80),"")</f>
        <v/>
      </c>
      <c r="G80" s="1" t="str">
        <f>IF(calc!$L80=1,IF(EXACT(calc!$D80,"FAC"),"",calc!H80),"")</f>
        <v/>
      </c>
      <c r="H80" s="1" t="str">
        <f>IF(calc!$L80=1,IF(EXACT(calc!$D80,"FAC"),"",calc!I80),"")</f>
        <v/>
      </c>
      <c r="I80" s="1">
        <f>IF(calc!$L80=1,calc!J80,"")</f>
        <v>5</v>
      </c>
      <c r="J80" s="1">
        <f>IF(calc!$L80=1,calc!K80,"")</f>
        <v>5</v>
      </c>
      <c r="K80" s="1" t="str">
        <f>IF(calc!$L80=1,calc!M80,"")</f>
        <v/>
      </c>
      <c r="L80" s="1">
        <f>IF(calc!$L80=1,calc!N80,"")</f>
        <v>1</v>
      </c>
      <c r="M80" s="1">
        <f>IF(calc!$L80=1,calc!O80,"")</f>
        <v>0</v>
      </c>
      <c r="N80" s="1" t="str">
        <f>IF(calc!$L80=1,calc!P80,"")</f>
        <v/>
      </c>
      <c r="O80">
        <f>'Entry data'!C$1</f>
        <v>20064</v>
      </c>
      <c r="P80" t="str">
        <f>'Entry data'!C$2</f>
        <v>NSH</v>
      </c>
      <c r="Q80" t="str">
        <f>'Entry data'!C$3</f>
        <v>Home</v>
      </c>
    </row>
    <row r="81" spans="1:17" x14ac:dyDescent="0.25">
      <c r="A81" s="1" t="str">
        <f>IF(calc!$L81=1,calc!B81,"")</f>
        <v/>
      </c>
      <c r="B81" s="5" t="str">
        <f>IF(calc!$L81=1,calc!C81,"")</f>
        <v/>
      </c>
      <c r="C81" s="1" t="str">
        <f>IF(calc!$L81=1,calc!D81,"")</f>
        <v/>
      </c>
      <c r="D81" s="1" t="str">
        <f>IF(calc!$L81=1,calc!E81,"")</f>
        <v/>
      </c>
      <c r="E81" s="1" t="str">
        <f>IF(calc!$L81=1,IF(EXACT(calc!$D81,"FAC"),"",calc!F81),"")</f>
        <v/>
      </c>
      <c r="F81" s="1" t="str">
        <f>IF(calc!$L81=1,IF(EXACT(calc!$D81,"FAC"),"",calc!G81),"")</f>
        <v/>
      </c>
      <c r="G81" s="1" t="str">
        <f>IF(calc!$L81=1,IF(EXACT(calc!$D81,"FAC"),"",calc!H81),"")</f>
        <v/>
      </c>
      <c r="H81" s="1" t="str">
        <f>IF(calc!$L81=1,IF(EXACT(calc!$D81,"FAC"),"",calc!I81),"")</f>
        <v/>
      </c>
      <c r="I81" s="1" t="str">
        <f>IF(calc!$L81=1,calc!J81,"")</f>
        <v/>
      </c>
      <c r="J81" s="1" t="str">
        <f>IF(calc!$L81=1,calc!K81,"")</f>
        <v/>
      </c>
      <c r="K81" s="1" t="str">
        <f>IF(calc!$L81=1,calc!M81,"")</f>
        <v/>
      </c>
      <c r="L81" s="1" t="str">
        <f>IF(calc!$L81=1,calc!N81,"")</f>
        <v/>
      </c>
      <c r="M81" s="1" t="str">
        <f>IF(calc!$L81=1,calc!O81,"")</f>
        <v/>
      </c>
      <c r="N81" s="1" t="str">
        <f>IF(calc!$L81=1,calc!P81,"")</f>
        <v/>
      </c>
      <c r="O81">
        <f>'Entry data'!C$1</f>
        <v>20064</v>
      </c>
      <c r="P81" t="str">
        <f>'Entry data'!C$2</f>
        <v>NSH</v>
      </c>
      <c r="Q81" t="str">
        <f>'Entry data'!C$3</f>
        <v>Home</v>
      </c>
    </row>
    <row r="82" spans="1:17" x14ac:dyDescent="0.25">
      <c r="A82" s="1">
        <f>IF(calc!$L82=1,calc!B82,"")</f>
        <v>1</v>
      </c>
      <c r="B82" s="5">
        <f>IF(calc!$L82=1,calc!C82,"")</f>
        <v>0.43124999999999997</v>
      </c>
      <c r="C82" s="1" t="str">
        <f>IF(calc!$L82=1,calc!D82,"")</f>
        <v>C</v>
      </c>
      <c r="D82" s="1" t="str">
        <f>IF(calc!$L82=1,calc!E82,"")</f>
        <v>51DET</v>
      </c>
      <c r="E82" s="1" t="str">
        <f>IF(calc!$L82=1,IF(EXACT(calc!$D82,"FAC"),"",calc!F82),"")</f>
        <v>4NSH</v>
      </c>
      <c r="F82" s="1" t="str">
        <f>IF(calc!$L82=1,IF(EXACT(calc!$D82,"FAC"),"",calc!G82),"")</f>
        <v>Y</v>
      </c>
      <c r="G82" s="1" t="str">
        <f>IF(calc!$L82=1,IF(EXACT(calc!$D82,"FAC"),"",calc!H82),"")</f>
        <v>C</v>
      </c>
      <c r="H82" s="1" t="str">
        <f>IF(calc!$L82=1,IF(EXACT(calc!$D82,"FAC"),"",calc!I82),"")</f>
        <v>N</v>
      </c>
      <c r="I82" s="1">
        <f>IF(calc!$L82=1,calc!J82,"")</f>
        <v>5</v>
      </c>
      <c r="J82" s="1">
        <f>IF(calc!$L82=1,calc!K82,"")</f>
        <v>5</v>
      </c>
      <c r="K82" s="1" t="str">
        <f>IF(calc!$L82=1,calc!M82,"")</f>
        <v>51DET</v>
      </c>
      <c r="L82" s="1">
        <f>IF(calc!$L82=1,calc!N82,"")</f>
        <v>0</v>
      </c>
      <c r="M82" s="1">
        <f>IF(calc!$L82=1,calc!O82,"")</f>
        <v>0</v>
      </c>
      <c r="N82" s="1" t="str">
        <f>IF(calc!$L82=1,calc!P82,"")</f>
        <v/>
      </c>
      <c r="O82">
        <f>'Entry data'!C$1</f>
        <v>20064</v>
      </c>
      <c r="P82" t="str">
        <f>'Entry data'!C$2</f>
        <v>NSH</v>
      </c>
      <c r="Q82" t="str">
        <f>'Entry data'!C$3</f>
        <v>Home</v>
      </c>
    </row>
    <row r="83" spans="1:17" x14ac:dyDescent="0.25">
      <c r="A83" s="1">
        <f>IF(calc!$L83=1,calc!B83,"")</f>
        <v>1</v>
      </c>
      <c r="B83" s="5">
        <f>IF(calc!$L83=1,calc!C83,"")</f>
        <v>0.41388888888888892</v>
      </c>
      <c r="C83" s="1" t="str">
        <f>IF(calc!$L83=1,calc!D83,"")</f>
        <v>D</v>
      </c>
      <c r="D83" s="1" t="str">
        <f>IF(calc!$L83=1,calc!E83,"")</f>
        <v>9NSH</v>
      </c>
      <c r="E83" s="1" t="str">
        <f>IF(calc!$L83=1,IF(EXACT(calc!$D83,"FAC"),"",calc!F83),"")</f>
        <v>N</v>
      </c>
      <c r="F83" s="1" t="str">
        <f>IF(calc!$L83=1,IF(EXACT(calc!$D83,"FAC"),"",calc!G83),"")</f>
        <v/>
      </c>
      <c r="G83" s="1" t="str">
        <f>IF(calc!$L83=1,IF(EXACT(calc!$D83,"FAC"),"",calc!H83),"")</f>
        <v>L</v>
      </c>
      <c r="H83" s="1" t="str">
        <f>IF(calc!$L83=1,IF(EXACT(calc!$D83,"FAC"),"",calc!I83),"")</f>
        <v>9NSH</v>
      </c>
      <c r="I83" s="1">
        <f>IF(calc!$L83=1,calc!J83,"")</f>
        <v>5</v>
      </c>
      <c r="J83" s="1">
        <f>IF(calc!$L83=1,calc!K83,"")</f>
        <v>5</v>
      </c>
      <c r="K83" s="1" t="str">
        <f>IF(calc!$L83=1,calc!M83,"")</f>
        <v/>
      </c>
      <c r="L83" s="1">
        <f>IF(calc!$L83=1,calc!N83,"")</f>
        <v>1</v>
      </c>
      <c r="M83" s="1">
        <f>IF(calc!$L83=1,calc!O83,"")</f>
        <v>0</v>
      </c>
      <c r="N83" s="1" t="str">
        <f>IF(calc!$L83=1,calc!P83,"")</f>
        <v/>
      </c>
      <c r="O83">
        <f>'Entry data'!C$1</f>
        <v>20064</v>
      </c>
      <c r="P83" t="str">
        <f>'Entry data'!C$2</f>
        <v>NSH</v>
      </c>
      <c r="Q83" t="str">
        <f>'Entry data'!C$3</f>
        <v>Home</v>
      </c>
    </row>
    <row r="84" spans="1:17" x14ac:dyDescent="0.25">
      <c r="A84" s="1" t="str">
        <f>IF(calc!$L84=1,calc!B84,"")</f>
        <v/>
      </c>
      <c r="B84" s="5" t="str">
        <f>IF(calc!$L84=1,calc!C84,"")</f>
        <v/>
      </c>
      <c r="C84" s="1" t="str">
        <f>IF(calc!$L84=1,calc!D84,"")</f>
        <v/>
      </c>
      <c r="D84" s="1" t="str">
        <f>IF(calc!$L84=1,calc!E84,"")</f>
        <v/>
      </c>
      <c r="E84" s="1" t="str">
        <f>IF(calc!$L84=1,IF(EXACT(calc!$D84,"FAC"),"",calc!F84),"")</f>
        <v/>
      </c>
      <c r="F84" s="1" t="str">
        <f>IF(calc!$L84=1,IF(EXACT(calc!$D84,"FAC"),"",calc!G84),"")</f>
        <v/>
      </c>
      <c r="G84" s="1" t="str">
        <f>IF(calc!$L84=1,IF(EXACT(calc!$D84,"FAC"),"",calc!H84),"")</f>
        <v/>
      </c>
      <c r="H84" s="1" t="str">
        <f>IF(calc!$L84=1,IF(EXACT(calc!$D84,"FAC"),"",calc!I84),"")</f>
        <v/>
      </c>
      <c r="I84" s="1" t="str">
        <f>IF(calc!$L84=1,calc!J84,"")</f>
        <v/>
      </c>
      <c r="J84" s="1" t="str">
        <f>IF(calc!$L84=1,calc!K84,"")</f>
        <v/>
      </c>
      <c r="K84" s="1" t="str">
        <f>IF(calc!$L84=1,calc!M84,"")</f>
        <v/>
      </c>
      <c r="L84" s="1" t="str">
        <f>IF(calc!$L84=1,calc!N84,"")</f>
        <v/>
      </c>
      <c r="M84" s="1" t="str">
        <f>IF(calc!$L84=1,calc!O84,"")</f>
        <v/>
      </c>
      <c r="N84" s="1" t="str">
        <f>IF(calc!$L84=1,calc!P84,"")</f>
        <v/>
      </c>
      <c r="O84">
        <f>'Entry data'!C$1</f>
        <v>20064</v>
      </c>
      <c r="P84" t="str">
        <f>'Entry data'!C$2</f>
        <v>NSH</v>
      </c>
      <c r="Q84" t="str">
        <f>'Entry data'!C$3</f>
        <v>Home</v>
      </c>
    </row>
    <row r="85" spans="1:17" x14ac:dyDescent="0.25">
      <c r="A85" s="1">
        <f>IF(calc!$L85=1,calc!B85,"")</f>
        <v>1</v>
      </c>
      <c r="B85" s="5">
        <f>IF(calc!$L85=1,calc!C85,"")</f>
        <v>0.4055555555555555</v>
      </c>
      <c r="C85" s="1" t="str">
        <f>IF(calc!$L85=1,calc!D85,"")</f>
        <v>C</v>
      </c>
      <c r="D85" s="1" t="str">
        <f>IF(calc!$L85=1,calc!E85,"")</f>
        <v>18NSH</v>
      </c>
      <c r="E85" s="1" t="str">
        <f>IF(calc!$L85=1,IF(EXACT(calc!$D85,"FAC"),"",calc!F85),"")</f>
        <v>53DET</v>
      </c>
      <c r="F85" s="1" t="str">
        <f>IF(calc!$L85=1,IF(EXACT(calc!$D85,"FAC"),"",calc!G85),"")</f>
        <v>N</v>
      </c>
      <c r="G85" s="1" t="str">
        <f>IF(calc!$L85=1,IF(EXACT(calc!$D85,"FAC"),"",calc!H85),"")</f>
        <v>L</v>
      </c>
      <c r="H85" s="1" t="str">
        <f>IF(calc!$L85=1,IF(EXACT(calc!$D85,"FAC"),"",calc!I85),"")</f>
        <v>N</v>
      </c>
      <c r="I85" s="1">
        <f>IF(calc!$L85=1,calc!J85,"")</f>
        <v>5</v>
      </c>
      <c r="J85" s="1">
        <f>IF(calc!$L85=1,calc!K85,"")</f>
        <v>5</v>
      </c>
      <c r="K85" s="1" t="str">
        <f>IF(calc!$L85=1,calc!M85,"")</f>
        <v>18NSH</v>
      </c>
      <c r="L85" s="1">
        <f>IF(calc!$L85=1,calc!N85,"")</f>
        <v>1</v>
      </c>
      <c r="M85" s="1">
        <f>IF(calc!$L85=1,calc!O85,"")</f>
        <v>0</v>
      </c>
      <c r="N85" s="1" t="str">
        <f>IF(calc!$L85=1,calc!P85,"")</f>
        <v/>
      </c>
      <c r="O85">
        <f>'Entry data'!C$1</f>
        <v>20064</v>
      </c>
      <c r="P85" t="str">
        <f>'Entry data'!C$2</f>
        <v>NSH</v>
      </c>
      <c r="Q85" t="str">
        <f>'Entry data'!C$3</f>
        <v>Home</v>
      </c>
    </row>
    <row r="86" spans="1:17" x14ac:dyDescent="0.25">
      <c r="A86" s="1" t="str">
        <f>IF(calc!$L86=1,calc!B86,"")</f>
        <v/>
      </c>
      <c r="B86" s="5" t="str">
        <f>IF(calc!$L86=1,calc!C86,"")</f>
        <v/>
      </c>
      <c r="C86" s="1" t="str">
        <f>IF(calc!$L86=1,calc!D86,"")</f>
        <v/>
      </c>
      <c r="D86" s="1" t="str">
        <f>IF(calc!$L86=1,calc!E86,"")</f>
        <v/>
      </c>
      <c r="E86" s="1" t="str">
        <f>IF(calc!$L86=1,IF(EXACT(calc!$D86,"FAC"),"",calc!F86),"")</f>
        <v/>
      </c>
      <c r="F86" s="1" t="str">
        <f>IF(calc!$L86=1,IF(EXACT(calc!$D86,"FAC"),"",calc!G86),"")</f>
        <v/>
      </c>
      <c r="G86" s="1" t="str">
        <f>IF(calc!$L86=1,IF(EXACT(calc!$D86,"FAC"),"",calc!H86),"")</f>
        <v/>
      </c>
      <c r="H86" s="1" t="str">
        <f>IF(calc!$L86=1,IF(EXACT(calc!$D86,"FAC"),"",calc!I86),"")</f>
        <v/>
      </c>
      <c r="I86" s="1" t="str">
        <f>IF(calc!$L86=1,calc!J86,"")</f>
        <v/>
      </c>
      <c r="J86" s="1" t="str">
        <f>IF(calc!$L86=1,calc!K86,"")</f>
        <v/>
      </c>
      <c r="K86" s="1" t="str">
        <f>IF(calc!$L86=1,calc!M86,"")</f>
        <v/>
      </c>
      <c r="L86" s="1" t="str">
        <f>IF(calc!$L86=1,calc!N86,"")</f>
        <v/>
      </c>
      <c r="M86" s="1" t="str">
        <f>IF(calc!$L86=1,calc!O86,"")</f>
        <v/>
      </c>
      <c r="N86" s="1" t="str">
        <f>IF(calc!$L86=1,calc!P86,"")</f>
        <v/>
      </c>
      <c r="O86">
        <f>'Entry data'!C$1</f>
        <v>20064</v>
      </c>
      <c r="P86" t="str">
        <f>'Entry data'!C$2</f>
        <v>NSH</v>
      </c>
      <c r="Q86" t="str">
        <f>'Entry data'!C$3</f>
        <v>Home</v>
      </c>
    </row>
    <row r="87" spans="1:17" x14ac:dyDescent="0.25">
      <c r="A87" s="1" t="str">
        <f>IF(calc!$L87=1,calc!B87,"")</f>
        <v/>
      </c>
      <c r="B87" s="5" t="str">
        <f>IF(calc!$L87=1,calc!C87,"")</f>
        <v/>
      </c>
      <c r="C87" s="1" t="str">
        <f>IF(calc!$L87=1,calc!D87,"")</f>
        <v/>
      </c>
      <c r="D87" s="1" t="str">
        <f>IF(calc!$L87=1,calc!E87,"")</f>
        <v/>
      </c>
      <c r="E87" s="1" t="str">
        <f>IF(calc!$L87=1,IF(EXACT(calc!$D87,"FAC"),"",calc!F87),"")</f>
        <v/>
      </c>
      <c r="F87" s="1" t="str">
        <f>IF(calc!$L87=1,IF(EXACT(calc!$D87,"FAC"),"",calc!G87),"")</f>
        <v/>
      </c>
      <c r="G87" s="1" t="str">
        <f>IF(calc!$L87=1,IF(EXACT(calc!$D87,"FAC"),"",calc!H87),"")</f>
        <v/>
      </c>
      <c r="H87" s="1" t="str">
        <f>IF(calc!$L87=1,IF(EXACT(calc!$D87,"FAC"),"",calc!I87),"")</f>
        <v/>
      </c>
      <c r="I87" s="1" t="str">
        <f>IF(calc!$L87=1,calc!J87,"")</f>
        <v/>
      </c>
      <c r="J87" s="1" t="str">
        <f>IF(calc!$L87=1,calc!K87,"")</f>
        <v/>
      </c>
      <c r="K87" s="1" t="str">
        <f>IF(calc!$L87=1,calc!M87,"")</f>
        <v/>
      </c>
      <c r="L87" s="1" t="str">
        <f>IF(calc!$L87=1,calc!N87,"")</f>
        <v/>
      </c>
      <c r="M87" s="1" t="str">
        <f>IF(calc!$L87=1,calc!O87,"")</f>
        <v/>
      </c>
      <c r="N87" s="1" t="str">
        <f>IF(calc!$L87=1,calc!P87,"")</f>
        <v/>
      </c>
      <c r="O87">
        <f>'Entry data'!C$1</f>
        <v>20064</v>
      </c>
      <c r="P87" t="str">
        <f>'Entry data'!C$2</f>
        <v>NSH</v>
      </c>
      <c r="Q87" t="str">
        <f>'Entry data'!C$3</f>
        <v>Home</v>
      </c>
    </row>
    <row r="88" spans="1:17" x14ac:dyDescent="0.25">
      <c r="A88" s="1">
        <f>IF(calc!$L88=1,calc!B88,"")</f>
        <v>1</v>
      </c>
      <c r="B88" s="5">
        <f>IF(calc!$L88=1,calc!C88,"")</f>
        <v>0.39305555555555555</v>
      </c>
      <c r="C88" s="1" t="str">
        <f>IF(calc!$L88=1,calc!D88,"")</f>
        <v>D</v>
      </c>
      <c r="D88" s="1" t="str">
        <f>IF(calc!$L88=1,calc!E88,"")</f>
        <v>21DET</v>
      </c>
      <c r="E88" s="1" t="str">
        <f>IF(calc!$L88=1,IF(EXACT(calc!$D88,"FAC"),"",calc!F88),"")</f>
        <v>N</v>
      </c>
      <c r="F88" s="1" t="str">
        <f>IF(calc!$L88=1,IF(EXACT(calc!$D88,"FAC"),"",calc!G88),"")</f>
        <v/>
      </c>
      <c r="G88" s="1" t="str">
        <f>IF(calc!$L88=1,IF(EXACT(calc!$D88,"FAC"),"",calc!H88),"")</f>
        <v>C</v>
      </c>
      <c r="H88" s="1" t="str">
        <f>IF(calc!$L88=1,IF(EXACT(calc!$D88,"FAC"),"",calc!I88),"")</f>
        <v>N</v>
      </c>
      <c r="I88" s="1">
        <f>IF(calc!$L88=1,calc!J88,"")</f>
        <v>5</v>
      </c>
      <c r="J88" s="1">
        <f>IF(calc!$L88=1,calc!K88,"")</f>
        <v>5</v>
      </c>
      <c r="K88" s="1" t="str">
        <f>IF(calc!$L88=1,calc!M88,"")</f>
        <v/>
      </c>
      <c r="L88" s="1">
        <f>IF(calc!$L88=1,calc!N88,"")</f>
        <v>0</v>
      </c>
      <c r="M88" s="1">
        <f>IF(calc!$L88=1,calc!O88,"")</f>
        <v>0</v>
      </c>
      <c r="N88" s="1" t="str">
        <f>IF(calc!$L88=1,calc!P88,"")</f>
        <v/>
      </c>
      <c r="O88">
        <f>'Entry data'!C$1</f>
        <v>20064</v>
      </c>
      <c r="P88" t="str">
        <f>'Entry data'!C$2</f>
        <v>NSH</v>
      </c>
      <c r="Q88" t="str">
        <f>'Entry data'!C$3</f>
        <v>Home</v>
      </c>
    </row>
    <row r="89" spans="1:17" x14ac:dyDescent="0.25">
      <c r="A89" s="1">
        <f>IF(calc!$L89=1,calc!B89,"")</f>
        <v>1</v>
      </c>
      <c r="B89" s="5">
        <f>IF(calc!$L89=1,calc!C89,"")</f>
        <v>0.36527777777777781</v>
      </c>
      <c r="C89" s="1" t="str">
        <f>IF(calc!$L89=1,calc!D89,"")</f>
        <v>X</v>
      </c>
      <c r="D89" s="1" t="str">
        <f>IF(calc!$L89=1,calc!E89,"")</f>
        <v>DET</v>
      </c>
      <c r="E89" s="1" t="str">
        <f>IF(calc!$L89=1,IF(EXACT(calc!$D89,"FAC"),"",calc!F89),"")</f>
        <v/>
      </c>
      <c r="F89" s="1" t="str">
        <f>IF(calc!$L89=1,IF(EXACT(calc!$D89,"FAC"),"",calc!G89),"")</f>
        <v/>
      </c>
      <c r="G89" s="1" t="str">
        <f>IF(calc!$L89=1,IF(EXACT(calc!$D89,"FAC"),"",calc!H89),"")</f>
        <v/>
      </c>
      <c r="H89" s="1" t="str">
        <f>IF(calc!$L89=1,IF(EXACT(calc!$D89,"FAC"),"",calc!I89),"")</f>
        <v>N</v>
      </c>
      <c r="I89" s="1">
        <f>IF(calc!$L89=1,calc!J89,"")</f>
        <v>5</v>
      </c>
      <c r="J89" s="1">
        <f>IF(calc!$L89=1,calc!K89,"")</f>
        <v>5</v>
      </c>
      <c r="K89" s="1" t="str">
        <f>IF(calc!$L89=1,calc!M89,"")</f>
        <v/>
      </c>
      <c r="L89" s="1">
        <f>IF(calc!$L89=1,calc!N89,"")</f>
        <v>0</v>
      </c>
      <c r="M89" s="1">
        <f>IF(calc!$L89=1,calc!O89,"")</f>
        <v>0</v>
      </c>
      <c r="N89" s="1" t="str">
        <f>IF(calc!$L89=1,calc!P89,"")</f>
        <v/>
      </c>
      <c r="O89">
        <f>'Entry data'!C$1</f>
        <v>20064</v>
      </c>
      <c r="P89" t="str">
        <f>'Entry data'!C$2</f>
        <v>NSH</v>
      </c>
      <c r="Q89" t="str">
        <f>'Entry data'!C$3</f>
        <v>Home</v>
      </c>
    </row>
    <row r="90" spans="1:17" x14ac:dyDescent="0.25">
      <c r="A90" s="1" t="str">
        <f>IF(calc!$L90=1,calc!B90,"")</f>
        <v/>
      </c>
      <c r="B90" s="5" t="str">
        <f>IF(calc!$L90=1,calc!C90,"")</f>
        <v/>
      </c>
      <c r="C90" s="1" t="str">
        <f>IF(calc!$L90=1,calc!D90,"")</f>
        <v/>
      </c>
      <c r="D90" s="1" t="str">
        <f>IF(calc!$L90=1,calc!E90,"")</f>
        <v/>
      </c>
      <c r="E90" s="1" t="str">
        <f>IF(calc!$L90=1,IF(EXACT(calc!$D90,"FAC"),"",calc!F90),"")</f>
        <v/>
      </c>
      <c r="F90" s="1" t="str">
        <f>IF(calc!$L90=1,IF(EXACT(calc!$D90,"FAC"),"",calc!G90),"")</f>
        <v/>
      </c>
      <c r="G90" s="1" t="str">
        <f>IF(calc!$L90=1,IF(EXACT(calc!$D90,"FAC"),"",calc!H90),"")</f>
        <v/>
      </c>
      <c r="H90" s="1" t="str">
        <f>IF(calc!$L90=1,IF(EXACT(calc!$D90,"FAC"),"",calc!I90),"")</f>
        <v/>
      </c>
      <c r="I90" s="1" t="str">
        <f>IF(calc!$L90=1,calc!J90,"")</f>
        <v/>
      </c>
      <c r="J90" s="1" t="str">
        <f>IF(calc!$L90=1,calc!K90,"")</f>
        <v/>
      </c>
      <c r="K90" s="1" t="str">
        <f>IF(calc!$L90=1,calc!M90,"")</f>
        <v/>
      </c>
      <c r="L90" s="1" t="str">
        <f>IF(calc!$L90=1,calc!N90,"")</f>
        <v/>
      </c>
      <c r="M90" s="1" t="str">
        <f>IF(calc!$L90=1,calc!O90,"")</f>
        <v/>
      </c>
      <c r="N90" s="1" t="str">
        <f>IF(calc!$L90=1,calc!P90,"")</f>
        <v/>
      </c>
      <c r="O90">
        <f>'Entry data'!C$1</f>
        <v>20064</v>
      </c>
      <c r="P90" t="str">
        <f>'Entry data'!C$2</f>
        <v>NSH</v>
      </c>
      <c r="Q90" t="str">
        <f>'Entry data'!C$3</f>
        <v>Home</v>
      </c>
    </row>
    <row r="91" spans="1:17" x14ac:dyDescent="0.25">
      <c r="A91" s="1" t="str">
        <f>IF(calc!$L91=1,calc!B91,"")</f>
        <v/>
      </c>
      <c r="B91" s="5" t="str">
        <f>IF(calc!$L91=1,calc!C91,"")</f>
        <v/>
      </c>
      <c r="C91" s="1" t="str">
        <f>IF(calc!$L91=1,calc!D91,"")</f>
        <v/>
      </c>
      <c r="D91" s="1" t="str">
        <f>IF(calc!$L91=1,calc!E91,"")</f>
        <v/>
      </c>
      <c r="E91" s="1" t="str">
        <f>IF(calc!$L91=1,IF(EXACT(calc!$D91,"FAC"),"",calc!F91),"")</f>
        <v/>
      </c>
      <c r="F91" s="1" t="str">
        <f>IF(calc!$L91=1,IF(EXACT(calc!$D91,"FAC"),"",calc!G91),"")</f>
        <v/>
      </c>
      <c r="G91" s="1" t="str">
        <f>IF(calc!$L91=1,IF(EXACT(calc!$D91,"FAC"),"",calc!H91),"")</f>
        <v/>
      </c>
      <c r="H91" s="1" t="str">
        <f>IF(calc!$L91=1,IF(EXACT(calc!$D91,"FAC"),"",calc!I91),"")</f>
        <v/>
      </c>
      <c r="I91" s="1" t="str">
        <f>IF(calc!$L91=1,calc!J91,"")</f>
        <v/>
      </c>
      <c r="J91" s="1" t="str">
        <f>IF(calc!$L91=1,calc!K91,"")</f>
        <v/>
      </c>
      <c r="K91" s="1" t="str">
        <f>IF(calc!$L91=1,calc!M91,"")</f>
        <v/>
      </c>
      <c r="L91" s="1" t="str">
        <f>IF(calc!$L91=1,calc!N91,"")</f>
        <v/>
      </c>
      <c r="M91" s="1" t="str">
        <f>IF(calc!$L91=1,calc!O91,"")</f>
        <v/>
      </c>
      <c r="N91" s="1" t="str">
        <f>IF(calc!$L91=1,calc!P91,"")</f>
        <v/>
      </c>
      <c r="O91">
        <f>'Entry data'!C$1</f>
        <v>20064</v>
      </c>
      <c r="P91" t="str">
        <f>'Entry data'!C$2</f>
        <v>NSH</v>
      </c>
      <c r="Q91" t="str">
        <f>'Entry data'!C$3</f>
        <v>Home</v>
      </c>
    </row>
    <row r="92" spans="1:17" x14ac:dyDescent="0.25">
      <c r="A92" s="1">
        <f>IF(calc!$L92=1,calc!B92,"")</f>
        <v>1</v>
      </c>
      <c r="B92" s="5">
        <f>IF(calc!$L92=1,calc!C92,"")</f>
        <v>0.35069444444444442</v>
      </c>
      <c r="C92" s="1" t="str">
        <f>IF(calc!$L92=1,calc!D92,"")</f>
        <v>X</v>
      </c>
      <c r="D92" s="1" t="str">
        <f>IF(calc!$L92=1,calc!E92,"")</f>
        <v>41DET</v>
      </c>
      <c r="E92" s="1" t="str">
        <f>IF(calc!$L92=1,IF(EXACT(calc!$D92,"FAC"),"",calc!F92),"")</f>
        <v>25NSH</v>
      </c>
      <c r="F92" s="1" t="str">
        <f>IF(calc!$L92=1,IF(EXACT(calc!$D92,"FAC"),"",calc!G92),"")</f>
        <v>Y</v>
      </c>
      <c r="G92" s="1" t="str">
        <f>IF(calc!$L92=1,IF(EXACT(calc!$D92,"FAC"),"",calc!H92),"")</f>
        <v>C</v>
      </c>
      <c r="H92" s="1" t="str">
        <f>IF(calc!$L92=1,IF(EXACT(calc!$D92,"FAC"),"",calc!I92),"")</f>
        <v>N</v>
      </c>
      <c r="I92" s="1">
        <f>IF(calc!$L92=1,calc!J92,"")</f>
        <v>5</v>
      </c>
      <c r="J92" s="1">
        <f>IF(calc!$L92=1,calc!K92,"")</f>
        <v>5</v>
      </c>
      <c r="K92" s="1" t="str">
        <f>IF(calc!$L92=1,calc!M92,"")</f>
        <v/>
      </c>
      <c r="L92" s="1">
        <f>IF(calc!$L92=1,calc!N92,"")</f>
        <v>1</v>
      </c>
      <c r="M92" s="1">
        <f>IF(calc!$L92=1,calc!O92,"")</f>
        <v>0</v>
      </c>
      <c r="N92" s="1" t="str">
        <f>IF(calc!$L92=1,calc!P92,"")</f>
        <v/>
      </c>
      <c r="O92">
        <f>'Entry data'!C$1</f>
        <v>20064</v>
      </c>
      <c r="P92" t="str">
        <f>'Entry data'!C$2</f>
        <v>NSH</v>
      </c>
      <c r="Q92" t="str">
        <f>'Entry data'!C$3</f>
        <v>Home</v>
      </c>
    </row>
    <row r="93" spans="1:17" x14ac:dyDescent="0.25">
      <c r="A93" s="1" t="str">
        <f>IF(calc!$L93=1,calc!B93,"")</f>
        <v/>
      </c>
      <c r="B93" s="5" t="str">
        <f>IF(calc!$L93=1,calc!C93,"")</f>
        <v/>
      </c>
      <c r="C93" s="1" t="str">
        <f>IF(calc!$L93=1,calc!D93,"")</f>
        <v/>
      </c>
      <c r="D93" s="1" t="str">
        <f>IF(calc!$L93=1,calc!E93,"")</f>
        <v/>
      </c>
      <c r="E93" s="1" t="str">
        <f>IF(calc!$L93=1,IF(EXACT(calc!$D93,"FAC"),"",calc!F93),"")</f>
        <v/>
      </c>
      <c r="F93" s="1" t="str">
        <f>IF(calc!$L93=1,IF(EXACT(calc!$D93,"FAC"),"",calc!G93),"")</f>
        <v/>
      </c>
      <c r="G93" s="1" t="str">
        <f>IF(calc!$L93=1,IF(EXACT(calc!$D93,"FAC"),"",calc!H93),"")</f>
        <v/>
      </c>
      <c r="H93" s="1" t="str">
        <f>IF(calc!$L93=1,IF(EXACT(calc!$D93,"FAC"),"",calc!I93),"")</f>
        <v/>
      </c>
      <c r="I93" s="1" t="str">
        <f>IF(calc!$L93=1,calc!J93,"")</f>
        <v/>
      </c>
      <c r="J93" s="1" t="str">
        <f>IF(calc!$L93=1,calc!K93,"")</f>
        <v/>
      </c>
      <c r="K93" s="1" t="str">
        <f>IF(calc!$L93=1,calc!M93,"")</f>
        <v/>
      </c>
      <c r="L93" s="1" t="str">
        <f>IF(calc!$L93=1,calc!N93,"")</f>
        <v/>
      </c>
      <c r="M93" s="1" t="str">
        <f>IF(calc!$L93=1,calc!O93,"")</f>
        <v/>
      </c>
      <c r="N93" s="1" t="str">
        <f>IF(calc!$L93=1,calc!P93,"")</f>
        <v/>
      </c>
      <c r="O93">
        <f>'Entry data'!C$1</f>
        <v>20064</v>
      </c>
      <c r="P93" t="str">
        <f>'Entry data'!C$2</f>
        <v>NSH</v>
      </c>
      <c r="Q93" t="str">
        <f>'Entry data'!C$3</f>
        <v>Home</v>
      </c>
    </row>
    <row r="94" spans="1:17" x14ac:dyDescent="0.25">
      <c r="A94" s="1" t="str">
        <f>IF(calc!$L94=1,calc!B94,"")</f>
        <v/>
      </c>
      <c r="B94" s="5" t="str">
        <f>IF(calc!$L94=1,calc!C94,"")</f>
        <v/>
      </c>
      <c r="C94" s="1" t="str">
        <f>IF(calc!$L94=1,calc!D94,"")</f>
        <v/>
      </c>
      <c r="D94" s="1" t="str">
        <f>IF(calc!$L94=1,calc!E94,"")</f>
        <v/>
      </c>
      <c r="E94" s="1" t="str">
        <f>IF(calc!$L94=1,IF(EXACT(calc!$D94,"FAC"),"",calc!F94),"")</f>
        <v/>
      </c>
      <c r="F94" s="1" t="str">
        <f>IF(calc!$L94=1,IF(EXACT(calc!$D94,"FAC"),"",calc!G94),"")</f>
        <v/>
      </c>
      <c r="G94" s="1" t="str">
        <f>IF(calc!$L94=1,IF(EXACT(calc!$D94,"FAC"),"",calc!H94),"")</f>
        <v/>
      </c>
      <c r="H94" s="1" t="str">
        <f>IF(calc!$L94=1,IF(EXACT(calc!$D94,"FAC"),"",calc!I94),"")</f>
        <v/>
      </c>
      <c r="I94" s="1" t="str">
        <f>IF(calc!$L94=1,calc!J94,"")</f>
        <v/>
      </c>
      <c r="J94" s="1" t="str">
        <f>IF(calc!$L94=1,calc!K94,"")</f>
        <v/>
      </c>
      <c r="K94" s="1" t="str">
        <f>IF(calc!$L94=1,calc!M94,"")</f>
        <v/>
      </c>
      <c r="L94" s="1" t="str">
        <f>IF(calc!$L94=1,calc!N94,"")</f>
        <v/>
      </c>
      <c r="M94" s="1" t="str">
        <f>IF(calc!$L94=1,calc!O94,"")</f>
        <v/>
      </c>
      <c r="N94" s="1" t="str">
        <f>IF(calc!$L94=1,calc!P94,"")</f>
        <v/>
      </c>
      <c r="O94">
        <f>'Entry data'!C$1</f>
        <v>20064</v>
      </c>
      <c r="P94" t="str">
        <f>'Entry data'!C$2</f>
        <v>NSH</v>
      </c>
      <c r="Q94" t="str">
        <f>'Entry data'!C$3</f>
        <v>Home</v>
      </c>
    </row>
    <row r="95" spans="1:17" x14ac:dyDescent="0.25">
      <c r="A95" s="1">
        <f>IF(calc!$L95=1,calc!B95,"")</f>
        <v>1</v>
      </c>
      <c r="B95" s="5">
        <f>IF(calc!$L95=1,calc!C95,"")</f>
        <v>0.33958333333333335</v>
      </c>
      <c r="C95" s="1" t="str">
        <f>IF(calc!$L95=1,calc!D95,"")</f>
        <v>C</v>
      </c>
      <c r="D95" s="1" t="str">
        <f>IF(calc!$L95=1,calc!E95,"")</f>
        <v>33NSH</v>
      </c>
      <c r="E95" s="1" t="str">
        <f>IF(calc!$L95=1,IF(EXACT(calc!$D95,"FAC"),"",calc!F95),"")</f>
        <v>65DET</v>
      </c>
      <c r="F95" s="1" t="str">
        <f>IF(calc!$L95=1,IF(EXACT(calc!$D95,"FAC"),"",calc!G95),"")</f>
        <v>N</v>
      </c>
      <c r="G95" s="1" t="str">
        <f>IF(calc!$L95=1,IF(EXACT(calc!$D95,"FAC"),"",calc!H95),"")</f>
        <v>R</v>
      </c>
      <c r="H95" s="1" t="str">
        <f>IF(calc!$L95=1,IF(EXACT(calc!$D95,"FAC"),"",calc!I95),"")</f>
        <v>N</v>
      </c>
      <c r="I95" s="1">
        <f>IF(calc!$L95=1,calc!J95,"")</f>
        <v>5</v>
      </c>
      <c r="J95" s="1">
        <f>IF(calc!$L95=1,calc!K95,"")</f>
        <v>5</v>
      </c>
      <c r="K95" s="1" t="str">
        <f>IF(calc!$L95=1,calc!M95,"")</f>
        <v>33NSH</v>
      </c>
      <c r="L95" s="1">
        <f>IF(calc!$L95=1,calc!N95,"")</f>
        <v>0</v>
      </c>
      <c r="M95" s="1">
        <f>IF(calc!$L95=1,calc!O95,"")</f>
        <v>0</v>
      </c>
      <c r="N95" s="1" t="str">
        <f>IF(calc!$L95=1,calc!P95,"")</f>
        <v/>
      </c>
      <c r="O95">
        <f>'Entry data'!C$1</f>
        <v>20064</v>
      </c>
      <c r="P95" t="str">
        <f>'Entry data'!C$2</f>
        <v>NSH</v>
      </c>
      <c r="Q95" t="str">
        <f>'Entry data'!C$3</f>
        <v>Home</v>
      </c>
    </row>
    <row r="96" spans="1:17" x14ac:dyDescent="0.25">
      <c r="A96" s="1">
        <f>IF(calc!$L96=1,calc!B96,"")</f>
        <v>1</v>
      </c>
      <c r="B96" s="5">
        <f>IF(calc!$L96=1,calc!C96,"")</f>
        <v>0.33333333333333331</v>
      </c>
      <c r="C96" s="1" t="str">
        <f>IF(calc!$L96=1,calc!D96,"")</f>
        <v>F</v>
      </c>
      <c r="D96" s="1" t="str">
        <f>IF(calc!$L96=1,calc!E96,"")</f>
        <v>29DET</v>
      </c>
      <c r="E96" s="1" t="str">
        <f>IF(calc!$L96=1,IF(EXACT(calc!$D96,"FAC"),"",calc!F96),"")</f>
        <v>4NSH</v>
      </c>
      <c r="F96" s="1" t="str">
        <f>IF(calc!$L96=1,IF(EXACT(calc!$D96,"FAC"),"",calc!G96),"")</f>
        <v/>
      </c>
      <c r="G96" s="1" t="str">
        <f>IF(calc!$L96=1,IF(EXACT(calc!$D96,"FAC"),"",calc!H96),"")</f>
        <v>L</v>
      </c>
      <c r="H96" s="1" t="str">
        <f>IF(calc!$L96=1,IF(EXACT(calc!$D96,"FAC"),"",calc!I96),"")</f>
        <v>N</v>
      </c>
      <c r="I96" s="1">
        <f>IF(calc!$L96=1,calc!J96,"")</f>
        <v>5</v>
      </c>
      <c r="J96" s="1">
        <f>IF(calc!$L96=1,calc!K96,"")</f>
        <v>5</v>
      </c>
      <c r="K96" s="1" t="str">
        <f>IF(calc!$L96=1,calc!M96,"")</f>
        <v/>
      </c>
      <c r="L96" s="1">
        <f>IF(calc!$L96=1,calc!N96,"")</f>
        <v>0</v>
      </c>
      <c r="M96" s="1">
        <f>IF(calc!$L96=1,calc!O96,"")</f>
        <v>0</v>
      </c>
      <c r="N96" s="1" t="str">
        <f>IF(calc!$L96=1,calc!P96,"")</f>
        <v>29DET</v>
      </c>
      <c r="O96">
        <f>'Entry data'!C$1</f>
        <v>20064</v>
      </c>
      <c r="P96" t="str">
        <f>'Entry data'!C$2</f>
        <v>NSH</v>
      </c>
      <c r="Q96" t="str">
        <f>'Entry data'!C$3</f>
        <v>Home</v>
      </c>
    </row>
    <row r="97" spans="1:17" x14ac:dyDescent="0.25">
      <c r="A97" s="1" t="str">
        <f>IF(calc!$L97=1,calc!B97,"")</f>
        <v/>
      </c>
      <c r="B97" s="5" t="str">
        <f>IF(calc!$L97=1,calc!C97,"")</f>
        <v/>
      </c>
      <c r="C97" s="1" t="str">
        <f>IF(calc!$L97=1,calc!D97,"")</f>
        <v/>
      </c>
      <c r="D97" s="1" t="str">
        <f>IF(calc!$L97=1,calc!E97,"")</f>
        <v/>
      </c>
      <c r="E97" s="1" t="str">
        <f>IF(calc!$L97=1,IF(EXACT(calc!$D97,"FAC"),"",calc!F97),"")</f>
        <v/>
      </c>
      <c r="F97" s="1" t="str">
        <f>IF(calc!$L97=1,IF(EXACT(calc!$D97,"FAC"),"",calc!G97),"")</f>
        <v/>
      </c>
      <c r="G97" s="1" t="str">
        <f>IF(calc!$L97=1,IF(EXACT(calc!$D97,"FAC"),"",calc!H97),"")</f>
        <v/>
      </c>
      <c r="H97" s="1" t="str">
        <f>IF(calc!$L97=1,IF(EXACT(calc!$D97,"FAC"),"",calc!I97),"")</f>
        <v/>
      </c>
      <c r="I97" s="1" t="str">
        <f>IF(calc!$L97=1,calc!J97,"")</f>
        <v/>
      </c>
      <c r="J97" s="1" t="str">
        <f>IF(calc!$L97=1,calc!K97,"")</f>
        <v/>
      </c>
      <c r="K97" s="1" t="str">
        <f>IF(calc!$L97=1,calc!M97,"")</f>
        <v/>
      </c>
      <c r="L97" s="1" t="str">
        <f>IF(calc!$L97=1,calc!N97,"")</f>
        <v/>
      </c>
      <c r="M97" s="1" t="str">
        <f>IF(calc!$L97=1,calc!O97,"")</f>
        <v/>
      </c>
      <c r="N97" s="1" t="str">
        <f>IF(calc!$L97=1,calc!P97,"")</f>
        <v/>
      </c>
      <c r="O97">
        <f>'Entry data'!C$1</f>
        <v>20064</v>
      </c>
      <c r="P97" t="str">
        <f>'Entry data'!C$2</f>
        <v>NSH</v>
      </c>
      <c r="Q97" t="str">
        <f>'Entry data'!C$3</f>
        <v>Home</v>
      </c>
    </row>
    <row r="98" spans="1:17" x14ac:dyDescent="0.25">
      <c r="A98" s="1">
        <f>IF(calc!$L98=1,calc!B98,"")</f>
        <v>1</v>
      </c>
      <c r="B98" s="5">
        <f>IF(calc!$L98=1,calc!C98,"")</f>
        <v>0.32430555555555557</v>
      </c>
      <c r="C98" s="1" t="str">
        <f>IF(calc!$L98=1,calc!D98,"")</f>
        <v>D</v>
      </c>
      <c r="D98" s="1" t="str">
        <f>IF(calc!$L98=1,calc!E98,"")</f>
        <v>25DET</v>
      </c>
      <c r="E98" s="1" t="str">
        <f>IF(calc!$L98=1,IF(EXACT(calc!$D98,"FAC"),"",calc!F98),"")</f>
        <v>N</v>
      </c>
      <c r="F98" s="1" t="str">
        <f>IF(calc!$L98=1,IF(EXACT(calc!$D98,"FAC"),"",calc!G98),"")</f>
        <v/>
      </c>
      <c r="G98" s="1" t="str">
        <f>IF(calc!$L98=1,IF(EXACT(calc!$D98,"FAC"),"",calc!H98),"")</f>
        <v>R</v>
      </c>
      <c r="H98" s="1" t="str">
        <f>IF(calc!$L98=1,IF(EXACT(calc!$D98,"FAC"),"",calc!I98),"")</f>
        <v>N</v>
      </c>
      <c r="I98" s="1">
        <f>IF(calc!$L98=1,calc!J98,"")</f>
        <v>5</v>
      </c>
      <c r="J98" s="1">
        <f>IF(calc!$L98=1,calc!K98,"")</f>
        <v>5</v>
      </c>
      <c r="K98" s="1" t="str">
        <f>IF(calc!$L98=1,calc!M98,"")</f>
        <v/>
      </c>
      <c r="L98" s="1">
        <f>IF(calc!$L98=1,calc!N98,"")</f>
        <v>0</v>
      </c>
      <c r="M98" s="1">
        <f>IF(calc!$L98=1,calc!O98,"")</f>
        <v>0</v>
      </c>
      <c r="N98" s="1" t="str">
        <f>IF(calc!$L98=1,calc!P98,"")</f>
        <v/>
      </c>
      <c r="O98">
        <f>'Entry data'!C$1</f>
        <v>20064</v>
      </c>
      <c r="P98" t="str">
        <f>'Entry data'!C$2</f>
        <v>NSH</v>
      </c>
      <c r="Q98" t="str">
        <f>'Entry data'!C$3</f>
        <v>Home</v>
      </c>
    </row>
    <row r="99" spans="1:17" x14ac:dyDescent="0.25">
      <c r="A99" s="1">
        <f>IF(calc!$L99=1,calc!B99,"")</f>
        <v>1</v>
      </c>
      <c r="B99" s="5">
        <f>IF(calc!$L99=1,calc!C99,"")</f>
        <v>0.31805555555555554</v>
      </c>
      <c r="C99" s="1" t="str">
        <f>IF(calc!$L99=1,calc!D99,"")</f>
        <v>F</v>
      </c>
      <c r="D99" s="1" t="str">
        <f>IF(calc!$L99=1,calc!E99,"")</f>
        <v>92NSH</v>
      </c>
      <c r="E99" s="1" t="str">
        <f>IF(calc!$L99=1,IF(EXACT(calc!$D99,"FAC"),"",calc!F99),"")</f>
        <v>52DET</v>
      </c>
      <c r="F99" s="1" t="str">
        <f>IF(calc!$L99=1,IF(EXACT(calc!$D99,"FAC"),"",calc!G99),"")</f>
        <v/>
      </c>
      <c r="G99" s="1" t="str">
        <f>IF(calc!$L99=1,IF(EXACT(calc!$D99,"FAC"),"",calc!H99),"")</f>
        <v>R</v>
      </c>
      <c r="H99" s="1" t="str">
        <f>IF(calc!$L99=1,IF(EXACT(calc!$D99,"FAC"),"",calc!I99),"")</f>
        <v>N</v>
      </c>
      <c r="I99" s="1">
        <f>IF(calc!$L99=1,calc!J99,"")</f>
        <v>5</v>
      </c>
      <c r="J99" s="1">
        <f>IF(calc!$L99=1,calc!K99,"")</f>
        <v>5</v>
      </c>
      <c r="K99" s="1" t="str">
        <f>IF(calc!$L99=1,calc!M99,"")</f>
        <v/>
      </c>
      <c r="L99" s="1">
        <f>IF(calc!$L99=1,calc!N99,"")</f>
        <v>0</v>
      </c>
      <c r="M99" s="1">
        <f>IF(calc!$L99=1,calc!O99,"")</f>
        <v>0</v>
      </c>
      <c r="N99" s="1" t="str">
        <f>IF(calc!$L99=1,calc!P99,"")</f>
        <v>92NSH</v>
      </c>
      <c r="O99">
        <f>'Entry data'!C$1</f>
        <v>20064</v>
      </c>
      <c r="P99" t="str">
        <f>'Entry data'!C$2</f>
        <v>NSH</v>
      </c>
      <c r="Q99" t="str">
        <f>'Entry data'!C$3</f>
        <v>Home</v>
      </c>
    </row>
    <row r="100" spans="1:17" x14ac:dyDescent="0.25">
      <c r="A100" s="1">
        <f>IF(calc!$L100=1,calc!B100,"")</f>
        <v>1</v>
      </c>
      <c r="B100" s="5">
        <f>IF(calc!$L100=1,calc!C100,"")</f>
        <v>0.31527777777777777</v>
      </c>
      <c r="C100" s="1" t="str">
        <f>IF(calc!$L100=1,calc!D100,"")</f>
        <v>C</v>
      </c>
      <c r="D100" s="1" t="str">
        <f>IF(calc!$L100=1,calc!E100,"")</f>
        <v>8DET</v>
      </c>
      <c r="E100" s="1" t="str">
        <f>IF(calc!$L100=1,IF(EXACT(calc!$D100,"FAC"),"",calc!F100),"")</f>
        <v>14NSH</v>
      </c>
      <c r="F100" s="1" t="str">
        <f>IF(calc!$L100=1,IF(EXACT(calc!$D100,"FAC"),"",calc!G100),"")</f>
        <v>N</v>
      </c>
      <c r="G100" s="1" t="str">
        <f>IF(calc!$L100=1,IF(EXACT(calc!$D100,"FAC"),"",calc!H100),"")</f>
        <v>R</v>
      </c>
      <c r="H100" s="1" t="str">
        <f>IF(calc!$L100=1,IF(EXACT(calc!$D100,"FAC"),"",calc!I100),"")</f>
        <v>N</v>
      </c>
      <c r="I100" s="1">
        <f>IF(calc!$L100=1,calc!J100,"")</f>
        <v>5</v>
      </c>
      <c r="J100" s="1">
        <f>IF(calc!$L100=1,calc!K100,"")</f>
        <v>5</v>
      </c>
      <c r="K100" s="1" t="str">
        <f>IF(calc!$L100=1,calc!M100,"")</f>
        <v>8DET</v>
      </c>
      <c r="L100" s="1">
        <f>IF(calc!$L100=1,calc!N100,"")</f>
        <v>1</v>
      </c>
      <c r="M100" s="1">
        <f>IF(calc!$L100=1,calc!O100,"")</f>
        <v>0</v>
      </c>
      <c r="N100" s="1" t="str">
        <f>IF(calc!$L100=1,calc!P100,"")</f>
        <v/>
      </c>
      <c r="O100">
        <f>'Entry data'!C$1</f>
        <v>20064</v>
      </c>
      <c r="P100" t="str">
        <f>'Entry data'!C$2</f>
        <v>NSH</v>
      </c>
      <c r="Q100" t="str">
        <f>'Entry data'!C$3</f>
        <v>Home</v>
      </c>
    </row>
    <row r="101" spans="1:17" x14ac:dyDescent="0.25">
      <c r="A101" s="1" t="str">
        <f>IF(calc!$L101=1,calc!B101,"")</f>
        <v/>
      </c>
      <c r="B101" s="5" t="str">
        <f>IF(calc!$L101=1,calc!C101,"")</f>
        <v/>
      </c>
      <c r="C101" s="1" t="str">
        <f>IF(calc!$L101=1,calc!D101,"")</f>
        <v/>
      </c>
      <c r="D101" s="1" t="str">
        <f>IF(calc!$L101=1,calc!E101,"")</f>
        <v/>
      </c>
      <c r="E101" s="1" t="str">
        <f>IF(calc!$L101=1,IF(EXACT(calc!$D101,"FAC"),"",calc!F101),"")</f>
        <v/>
      </c>
      <c r="F101" s="1" t="str">
        <f>IF(calc!$L101=1,IF(EXACT(calc!$D101,"FAC"),"",calc!G101),"")</f>
        <v/>
      </c>
      <c r="G101" s="1" t="str">
        <f>IF(calc!$L101=1,IF(EXACT(calc!$D101,"FAC"),"",calc!H101),"")</f>
        <v/>
      </c>
      <c r="H101" s="1" t="str">
        <f>IF(calc!$L101=1,IF(EXACT(calc!$D101,"FAC"),"",calc!I101),"")</f>
        <v/>
      </c>
      <c r="I101" s="1" t="str">
        <f>IF(calc!$L101=1,calc!J101,"")</f>
        <v/>
      </c>
      <c r="J101" s="1" t="str">
        <f>IF(calc!$L101=1,calc!K101,"")</f>
        <v/>
      </c>
      <c r="K101" s="1" t="str">
        <f>IF(calc!$L101=1,calc!M101,"")</f>
        <v/>
      </c>
      <c r="L101" s="1" t="str">
        <f>IF(calc!$L101=1,calc!N101,"")</f>
        <v/>
      </c>
      <c r="M101" s="1" t="str">
        <f>IF(calc!$L101=1,calc!O101,"")</f>
        <v/>
      </c>
      <c r="N101" s="1" t="str">
        <f>IF(calc!$L101=1,calc!P101,"")</f>
        <v/>
      </c>
      <c r="O101">
        <f>'Entry data'!C$1</f>
        <v>20064</v>
      </c>
      <c r="P101" t="str">
        <f>'Entry data'!C$2</f>
        <v>NSH</v>
      </c>
      <c r="Q101" t="str">
        <f>'Entry data'!C$3</f>
        <v>Home</v>
      </c>
    </row>
    <row r="102" spans="1:17" x14ac:dyDescent="0.25">
      <c r="A102" s="1">
        <f>IF(calc!$L102=1,calc!B102,"")</f>
        <v>1</v>
      </c>
      <c r="B102" s="5">
        <f>IF(calc!$L102=1,calc!C102,"")</f>
        <v>0.30833333333333335</v>
      </c>
      <c r="C102" s="1" t="str">
        <f>IF(calc!$L102=1,calc!D102,"")</f>
        <v>D</v>
      </c>
      <c r="D102" s="1" t="str">
        <f>IF(calc!$L102=1,calc!E102,"")</f>
        <v>19NSH</v>
      </c>
      <c r="E102" s="1" t="str">
        <f>IF(calc!$L102=1,IF(EXACT(calc!$D102,"FAC"),"",calc!F102),"")</f>
        <v>52DET</v>
      </c>
      <c r="F102" s="1" t="str">
        <f>IF(calc!$L102=1,IF(EXACT(calc!$D102,"FAC"),"",calc!G102),"")</f>
        <v/>
      </c>
      <c r="G102" s="1" t="str">
        <f>IF(calc!$L102=1,IF(EXACT(calc!$D102,"FAC"),"",calc!H102),"")</f>
        <v>R</v>
      </c>
      <c r="H102" s="1" t="str">
        <f>IF(calc!$L102=1,IF(EXACT(calc!$D102,"FAC"),"",calc!I102),"")</f>
        <v>N</v>
      </c>
      <c r="I102" s="1">
        <f>IF(calc!$L102=1,calc!J102,"")</f>
        <v>5</v>
      </c>
      <c r="J102" s="1">
        <f>IF(calc!$L102=1,calc!K102,"")</f>
        <v>5</v>
      </c>
      <c r="K102" s="1" t="str">
        <f>IF(calc!$L102=1,calc!M102,"")</f>
        <v/>
      </c>
      <c r="L102" s="1">
        <f>IF(calc!$L102=1,calc!N102,"")</f>
        <v>0</v>
      </c>
      <c r="M102" s="1">
        <f>IF(calc!$L102=1,calc!O102,"")</f>
        <v>0</v>
      </c>
      <c r="N102" s="1" t="str">
        <f>IF(calc!$L102=1,calc!P102,"")</f>
        <v/>
      </c>
      <c r="O102">
        <f>'Entry data'!C$1</f>
        <v>20064</v>
      </c>
      <c r="P102" t="str">
        <f>'Entry data'!C$2</f>
        <v>NSH</v>
      </c>
      <c r="Q102" t="str">
        <f>'Entry data'!C$3</f>
        <v>Home</v>
      </c>
    </row>
    <row r="103" spans="1:17" x14ac:dyDescent="0.25">
      <c r="A103" s="1">
        <f>IF(calc!$L103=1,calc!B103,"")</f>
        <v>1</v>
      </c>
      <c r="B103" s="5">
        <f>IF(calc!$L103=1,calc!C103,"")</f>
        <v>0.29097222222222224</v>
      </c>
      <c r="C103" s="1" t="str">
        <f>IF(calc!$L103=1,calc!D103,"")</f>
        <v>C</v>
      </c>
      <c r="D103" s="1" t="str">
        <f>IF(calc!$L103=1,calc!E103,"")</f>
        <v>71DET</v>
      </c>
      <c r="E103" s="1" t="str">
        <f>IF(calc!$L103=1,IF(EXACT(calc!$D103,"FAC"),"",calc!F103),"")</f>
        <v>59NSH</v>
      </c>
      <c r="F103" s="1" t="str">
        <f>IF(calc!$L103=1,IF(EXACT(calc!$D103,"FAC"),"",calc!G103),"")</f>
        <v>N</v>
      </c>
      <c r="G103" s="1" t="str">
        <f>IF(calc!$L103=1,IF(EXACT(calc!$D103,"FAC"),"",calc!H103),"")</f>
        <v>C</v>
      </c>
      <c r="H103" s="1" t="str">
        <f>IF(calc!$L103=1,IF(EXACT(calc!$D103,"FAC"),"",calc!I103),"")</f>
        <v>N</v>
      </c>
      <c r="I103" s="1">
        <f>IF(calc!$L103=1,calc!J103,"")</f>
        <v>5</v>
      </c>
      <c r="J103" s="1">
        <f>IF(calc!$L103=1,calc!K103,"")</f>
        <v>5</v>
      </c>
      <c r="K103" s="1" t="str">
        <f>IF(calc!$L103=1,calc!M103,"")</f>
        <v>71DET</v>
      </c>
      <c r="L103" s="1">
        <f>IF(calc!$L103=1,calc!N103,"")</f>
        <v>0</v>
      </c>
      <c r="M103" s="1">
        <f>IF(calc!$L103=1,calc!O103,"")</f>
        <v>0</v>
      </c>
      <c r="N103" s="1" t="str">
        <f>IF(calc!$L103=1,calc!P103,"")</f>
        <v/>
      </c>
      <c r="O103">
        <f>'Entry data'!C$1</f>
        <v>20064</v>
      </c>
      <c r="P103" t="str">
        <f>'Entry data'!C$2</f>
        <v>NSH</v>
      </c>
      <c r="Q103" t="str">
        <f>'Entry data'!C$3</f>
        <v>Home</v>
      </c>
    </row>
    <row r="104" spans="1:17" x14ac:dyDescent="0.25">
      <c r="A104" s="1" t="str">
        <f>IF(calc!$L104=1,calc!B104,"")</f>
        <v/>
      </c>
      <c r="B104" s="5" t="str">
        <f>IF(calc!$L104=1,calc!C104,"")</f>
        <v/>
      </c>
      <c r="C104" s="1" t="str">
        <f>IF(calc!$L104=1,calc!D104,"")</f>
        <v/>
      </c>
      <c r="D104" s="1" t="str">
        <f>IF(calc!$L104=1,calc!E104,"")</f>
        <v/>
      </c>
      <c r="E104" s="1" t="str">
        <f>IF(calc!$L104=1,IF(EXACT(calc!$D104,"FAC"),"",calc!F104),"")</f>
        <v/>
      </c>
      <c r="F104" s="1" t="str">
        <f>IF(calc!$L104=1,IF(EXACT(calc!$D104,"FAC"),"",calc!G104),"")</f>
        <v/>
      </c>
      <c r="G104" s="1" t="str">
        <f>IF(calc!$L104=1,IF(EXACT(calc!$D104,"FAC"),"",calc!H104),"")</f>
        <v/>
      </c>
      <c r="H104" s="1" t="str">
        <f>IF(calc!$L104=1,IF(EXACT(calc!$D104,"FAC"),"",calc!I104),"")</f>
        <v/>
      </c>
      <c r="I104" s="1" t="str">
        <f>IF(calc!$L104=1,calc!J104,"")</f>
        <v/>
      </c>
      <c r="J104" s="1" t="str">
        <f>IF(calc!$L104=1,calc!K104,"")</f>
        <v/>
      </c>
      <c r="K104" s="1" t="str">
        <f>IF(calc!$L104=1,calc!M104,"")</f>
        <v/>
      </c>
      <c r="L104" s="1" t="str">
        <f>IF(calc!$L104=1,calc!N104,"")</f>
        <v/>
      </c>
      <c r="M104" s="1" t="str">
        <f>IF(calc!$L104=1,calc!O104,"")</f>
        <v/>
      </c>
      <c r="N104" s="1" t="str">
        <f>IF(calc!$L104=1,calc!P104,"")</f>
        <v/>
      </c>
      <c r="O104">
        <f>'Entry data'!C$1</f>
        <v>20064</v>
      </c>
      <c r="P104" t="str">
        <f>'Entry data'!C$2</f>
        <v>NSH</v>
      </c>
      <c r="Q104" t="str">
        <f>'Entry data'!C$3</f>
        <v>Home</v>
      </c>
    </row>
    <row r="105" spans="1:17" x14ac:dyDescent="0.25">
      <c r="A105" s="1">
        <f>IF(calc!$L105=1,calc!B105,"")</f>
        <v>1</v>
      </c>
      <c r="B105" s="5">
        <f>IF(calc!$L105=1,calc!C105,"")</f>
        <v>0.28402777777777777</v>
      </c>
      <c r="C105" s="1" t="str">
        <f>IF(calc!$L105=1,calc!D105,"")</f>
        <v>C</v>
      </c>
      <c r="D105" s="1" t="str">
        <f>IF(calc!$L105=1,calc!E105,"")</f>
        <v>63NSH</v>
      </c>
      <c r="E105" s="1" t="str">
        <f>IF(calc!$L105=1,IF(EXACT(calc!$D105,"FAC"),"",calc!F105),"")</f>
        <v>2DET</v>
      </c>
      <c r="F105" s="1" t="str">
        <f>IF(calc!$L105=1,IF(EXACT(calc!$D105,"FAC"),"",calc!G105),"")</f>
        <v>Y</v>
      </c>
      <c r="G105" s="1" t="str">
        <f>IF(calc!$L105=1,IF(EXACT(calc!$D105,"FAC"),"",calc!H105),"")</f>
        <v>R</v>
      </c>
      <c r="H105" s="1" t="str">
        <f>IF(calc!$L105=1,IF(EXACT(calc!$D105,"FAC"),"",calc!I105),"")</f>
        <v>N</v>
      </c>
      <c r="I105" s="1">
        <f>IF(calc!$L105=1,calc!J105,"")</f>
        <v>5</v>
      </c>
      <c r="J105" s="1">
        <f>IF(calc!$L105=1,calc!K105,"")</f>
        <v>5</v>
      </c>
      <c r="K105" s="1" t="str">
        <f>IF(calc!$L105=1,calc!M105,"")</f>
        <v>63NSH</v>
      </c>
      <c r="L105" s="1">
        <f>IF(calc!$L105=1,calc!N105,"")</f>
        <v>1</v>
      </c>
      <c r="M105" s="1">
        <f>IF(calc!$L105=1,calc!O105,"")</f>
        <v>0</v>
      </c>
      <c r="N105" s="1" t="str">
        <f>IF(calc!$L105=1,calc!P105,"")</f>
        <v/>
      </c>
      <c r="O105">
        <f>'Entry data'!C$1</f>
        <v>20064</v>
      </c>
      <c r="P105" t="str">
        <f>'Entry data'!C$2</f>
        <v>NSH</v>
      </c>
      <c r="Q105" t="str">
        <f>'Entry data'!C$3</f>
        <v>Home</v>
      </c>
    </row>
    <row r="106" spans="1:17" x14ac:dyDescent="0.25">
      <c r="A106" s="1" t="str">
        <f>IF(calc!$L106=1,calc!B106,"")</f>
        <v/>
      </c>
      <c r="B106" s="5" t="str">
        <f>IF(calc!$L106=1,calc!C106,"")</f>
        <v/>
      </c>
      <c r="C106" s="1" t="str">
        <f>IF(calc!$L106=1,calc!D106,"")</f>
        <v/>
      </c>
      <c r="D106" s="1" t="str">
        <f>IF(calc!$L106=1,calc!E106,"")</f>
        <v/>
      </c>
      <c r="E106" s="1" t="str">
        <f>IF(calc!$L106=1,IF(EXACT(calc!$D106,"FAC"),"",calc!F106),"")</f>
        <v/>
      </c>
      <c r="F106" s="1" t="str">
        <f>IF(calc!$L106=1,IF(EXACT(calc!$D106,"FAC"),"",calc!G106),"")</f>
        <v/>
      </c>
      <c r="G106" s="1" t="str">
        <f>IF(calc!$L106=1,IF(EXACT(calc!$D106,"FAC"),"",calc!H106),"")</f>
        <v/>
      </c>
      <c r="H106" s="1" t="str">
        <f>IF(calc!$L106=1,IF(EXACT(calc!$D106,"FAC"),"",calc!I106),"")</f>
        <v/>
      </c>
      <c r="I106" s="1" t="str">
        <f>IF(calc!$L106=1,calc!J106,"")</f>
        <v/>
      </c>
      <c r="J106" s="1" t="str">
        <f>IF(calc!$L106=1,calc!K106,"")</f>
        <v/>
      </c>
      <c r="K106" s="1" t="str">
        <f>IF(calc!$L106=1,calc!M106,"")</f>
        <v/>
      </c>
      <c r="L106" s="1" t="str">
        <f>IF(calc!$L106=1,calc!N106,"")</f>
        <v/>
      </c>
      <c r="M106" s="1" t="str">
        <f>IF(calc!$L106=1,calc!O106,"")</f>
        <v/>
      </c>
      <c r="N106" s="1" t="str">
        <f>IF(calc!$L106=1,calc!P106,"")</f>
        <v/>
      </c>
      <c r="O106">
        <f>'Entry data'!C$1</f>
        <v>20064</v>
      </c>
      <c r="P106" t="str">
        <f>'Entry data'!C$2</f>
        <v>NSH</v>
      </c>
      <c r="Q106" t="str">
        <f>'Entry data'!C$3</f>
        <v>Home</v>
      </c>
    </row>
    <row r="107" spans="1:17" x14ac:dyDescent="0.25">
      <c r="A107" s="1">
        <f>IF(calc!$L107=1,calc!B107,"")</f>
        <v>1</v>
      </c>
      <c r="B107" s="5">
        <f>IF(calc!$L107=1,calc!C107,"")</f>
        <v>0.27847222222222223</v>
      </c>
      <c r="C107" s="1" t="str">
        <f>IF(calc!$L107=1,calc!D107,"")</f>
        <v>C</v>
      </c>
      <c r="D107" s="1" t="str">
        <f>IF(calc!$L107=1,calc!E107,"")</f>
        <v>71DET</v>
      </c>
      <c r="E107" s="1" t="str">
        <f>IF(calc!$L107=1,IF(EXACT(calc!$D107,"FAC"),"",calc!F107),"")</f>
        <v>59NSH</v>
      </c>
      <c r="F107" s="1" t="str">
        <f>IF(calc!$L107=1,IF(EXACT(calc!$D107,"FAC"),"",calc!G107),"")</f>
        <v>N</v>
      </c>
      <c r="G107" s="1" t="str">
        <f>IF(calc!$L107=1,IF(EXACT(calc!$D107,"FAC"),"",calc!H107),"")</f>
        <v>L</v>
      </c>
      <c r="H107" s="1" t="str">
        <f>IF(calc!$L107=1,IF(EXACT(calc!$D107,"FAC"),"",calc!I107),"")</f>
        <v>N</v>
      </c>
      <c r="I107" s="1">
        <f>IF(calc!$L107=1,calc!J107,"")</f>
        <v>5</v>
      </c>
      <c r="J107" s="1">
        <f>IF(calc!$L107=1,calc!K107,"")</f>
        <v>5</v>
      </c>
      <c r="K107" s="1" t="str">
        <f>IF(calc!$L107=1,calc!M107,"")</f>
        <v>71DET</v>
      </c>
      <c r="L107" s="1">
        <f>IF(calc!$L107=1,calc!N107,"")</f>
        <v>0</v>
      </c>
      <c r="M107" s="1">
        <f>IF(calc!$L107=1,calc!O107,"")</f>
        <v>0</v>
      </c>
      <c r="N107" s="1" t="str">
        <f>IF(calc!$L107=1,calc!P107,"")</f>
        <v/>
      </c>
      <c r="O107">
        <f>'Entry data'!C$1</f>
        <v>20064</v>
      </c>
      <c r="P107" t="str">
        <f>'Entry data'!C$2</f>
        <v>NSH</v>
      </c>
      <c r="Q107" t="str">
        <f>'Entry data'!C$3</f>
        <v>Home</v>
      </c>
    </row>
    <row r="108" spans="1:17" x14ac:dyDescent="0.25">
      <c r="A108" s="1">
        <f>IF(calc!$L108=1,calc!B108,"")</f>
        <v>1</v>
      </c>
      <c r="B108" s="5">
        <f>IF(calc!$L108=1,calc!C108,"")</f>
        <v>0.27152777777777776</v>
      </c>
      <c r="C108" s="1" t="str">
        <f>IF(calc!$L108=1,calc!D108,"")</f>
        <v>D</v>
      </c>
      <c r="D108" s="1" t="str">
        <f>IF(calc!$L108=1,calc!E108,"")</f>
        <v>21DET</v>
      </c>
      <c r="E108" s="1" t="str">
        <f>IF(calc!$L108=1,IF(EXACT(calc!$D108,"FAC"),"",calc!F108),"")</f>
        <v>15NSH</v>
      </c>
      <c r="F108" s="1" t="str">
        <f>IF(calc!$L108=1,IF(EXACT(calc!$D108,"FAC"),"",calc!G108),"")</f>
        <v/>
      </c>
      <c r="G108" s="1" t="str">
        <f>IF(calc!$L108=1,IF(EXACT(calc!$D108,"FAC"),"",calc!H108),"")</f>
        <v>C</v>
      </c>
      <c r="H108" s="1" t="str">
        <f>IF(calc!$L108=1,IF(EXACT(calc!$D108,"FAC"),"",calc!I108),"")</f>
        <v>N</v>
      </c>
      <c r="I108" s="1">
        <f>IF(calc!$L108=1,calc!J108,"")</f>
        <v>5</v>
      </c>
      <c r="J108" s="1">
        <f>IF(calc!$L108=1,calc!K108,"")</f>
        <v>5</v>
      </c>
      <c r="K108" s="1" t="str">
        <f>IF(calc!$L108=1,calc!M108,"")</f>
        <v/>
      </c>
      <c r="L108" s="1">
        <f>IF(calc!$L108=1,calc!N108,"")</f>
        <v>0</v>
      </c>
      <c r="M108" s="1">
        <f>IF(calc!$L108=1,calc!O108,"")</f>
        <v>0</v>
      </c>
      <c r="N108" s="1" t="str">
        <f>IF(calc!$L108=1,calc!P108,"")</f>
        <v/>
      </c>
      <c r="O108">
        <f>'Entry data'!C$1</f>
        <v>20064</v>
      </c>
      <c r="P108" t="str">
        <f>'Entry data'!C$2</f>
        <v>NSH</v>
      </c>
      <c r="Q108" t="str">
        <f>'Entry data'!C$3</f>
        <v>Home</v>
      </c>
    </row>
    <row r="109" spans="1:17" x14ac:dyDescent="0.25">
      <c r="A109" s="1">
        <f>IF(calc!$L109=1,calc!B109,"")</f>
        <v>1</v>
      </c>
      <c r="B109" s="5">
        <f>IF(calc!$L109=1,calc!C109,"")</f>
        <v>0.26666666666666666</v>
      </c>
      <c r="C109" s="1" t="str">
        <f>IF(calc!$L109=1,calc!D109,"")</f>
        <v>D</v>
      </c>
      <c r="D109" s="1" t="str">
        <f>IF(calc!$L109=1,calc!E109,"")</f>
        <v>15NSH</v>
      </c>
      <c r="E109" s="1" t="str">
        <f>IF(calc!$L109=1,IF(EXACT(calc!$D109,"FAC"),"",calc!F109),"")</f>
        <v>25DET</v>
      </c>
      <c r="F109" s="1" t="str">
        <f>IF(calc!$L109=1,IF(EXACT(calc!$D109,"FAC"),"",calc!G109),"")</f>
        <v/>
      </c>
      <c r="G109" s="1" t="str">
        <f>IF(calc!$L109=1,IF(EXACT(calc!$D109,"FAC"),"",calc!H109),"")</f>
        <v>L</v>
      </c>
      <c r="H109" s="1" t="str">
        <f>IF(calc!$L109=1,IF(EXACT(calc!$D109,"FAC"),"",calc!I109),"")</f>
        <v>N</v>
      </c>
      <c r="I109" s="1">
        <f>IF(calc!$L109=1,calc!J109,"")</f>
        <v>5</v>
      </c>
      <c r="J109" s="1">
        <f>IF(calc!$L109=1,calc!K109,"")</f>
        <v>5</v>
      </c>
      <c r="K109" s="1" t="str">
        <f>IF(calc!$L109=1,calc!M109,"")</f>
        <v/>
      </c>
      <c r="L109" s="1">
        <f>IF(calc!$L109=1,calc!N109,"")</f>
        <v>1</v>
      </c>
      <c r="M109" s="1">
        <f>IF(calc!$L109=1,calc!O109,"")</f>
        <v>0</v>
      </c>
      <c r="N109" s="1" t="str">
        <f>IF(calc!$L109=1,calc!P109,"")</f>
        <v/>
      </c>
      <c r="O109">
        <f>'Entry data'!C$1</f>
        <v>20064</v>
      </c>
      <c r="P109" t="str">
        <f>'Entry data'!C$2</f>
        <v>NSH</v>
      </c>
      <c r="Q109" t="str">
        <f>'Entry data'!C$3</f>
        <v>Home</v>
      </c>
    </row>
    <row r="110" spans="1:17" x14ac:dyDescent="0.25">
      <c r="A110" s="1" t="str">
        <f>IF(calc!$L110=1,calc!B110,"")</f>
        <v/>
      </c>
      <c r="B110" s="5" t="str">
        <f>IF(calc!$L110=1,calc!C110,"")</f>
        <v/>
      </c>
      <c r="C110" s="1" t="str">
        <f>IF(calc!$L110=1,calc!D110,"")</f>
        <v/>
      </c>
      <c r="D110" s="1" t="str">
        <f>IF(calc!$L110=1,calc!E110,"")</f>
        <v/>
      </c>
      <c r="E110" s="1" t="str">
        <f>IF(calc!$L110=1,IF(EXACT(calc!$D110,"FAC"),"",calc!F110),"")</f>
        <v/>
      </c>
      <c r="F110" s="1" t="str">
        <f>IF(calc!$L110=1,IF(EXACT(calc!$D110,"FAC"),"",calc!G110),"")</f>
        <v/>
      </c>
      <c r="G110" s="1" t="str">
        <f>IF(calc!$L110=1,IF(EXACT(calc!$D110,"FAC"),"",calc!H110),"")</f>
        <v/>
      </c>
      <c r="H110" s="1" t="str">
        <f>IF(calc!$L110=1,IF(EXACT(calc!$D110,"FAC"),"",calc!I110),"")</f>
        <v/>
      </c>
      <c r="I110" s="1" t="str">
        <f>IF(calc!$L110=1,calc!J110,"")</f>
        <v/>
      </c>
      <c r="J110" s="1" t="str">
        <f>IF(calc!$L110=1,calc!K110,"")</f>
        <v/>
      </c>
      <c r="K110" s="1" t="str">
        <f>IF(calc!$L110=1,calc!M110,"")</f>
        <v/>
      </c>
      <c r="L110" s="1" t="str">
        <f>IF(calc!$L110=1,calc!N110,"")</f>
        <v/>
      </c>
      <c r="M110" s="1" t="str">
        <f>IF(calc!$L110=1,calc!O110,"")</f>
        <v/>
      </c>
      <c r="N110" s="1" t="str">
        <f>IF(calc!$L110=1,calc!P110,"")</f>
        <v/>
      </c>
      <c r="O110">
        <f>'Entry data'!C$1</f>
        <v>20064</v>
      </c>
      <c r="P110" t="str">
        <f>'Entry data'!C$2</f>
        <v>NSH</v>
      </c>
      <c r="Q110" t="str">
        <f>'Entry data'!C$3</f>
        <v>Home</v>
      </c>
    </row>
    <row r="111" spans="1:17" x14ac:dyDescent="0.25">
      <c r="A111" s="1" t="str">
        <f>IF(calc!$L111=1,calc!B111,"")</f>
        <v/>
      </c>
      <c r="B111" s="5" t="str">
        <f>IF(calc!$L111=1,calc!C111,"")</f>
        <v/>
      </c>
      <c r="C111" s="1" t="str">
        <f>IF(calc!$L111=1,calc!D111,"")</f>
        <v/>
      </c>
      <c r="D111" s="1" t="str">
        <f>IF(calc!$L111=1,calc!E111,"")</f>
        <v/>
      </c>
      <c r="E111" s="1" t="str">
        <f>IF(calc!$L111=1,IF(EXACT(calc!$D111,"FAC"),"",calc!F111),"")</f>
        <v/>
      </c>
      <c r="F111" s="1" t="str">
        <f>IF(calc!$L111=1,IF(EXACT(calc!$D111,"FAC"),"",calc!G111),"")</f>
        <v/>
      </c>
      <c r="G111" s="1" t="str">
        <f>IF(calc!$L111=1,IF(EXACT(calc!$D111,"FAC"),"",calc!H111),"")</f>
        <v/>
      </c>
      <c r="H111" s="1" t="str">
        <f>IF(calc!$L111=1,IF(EXACT(calc!$D111,"FAC"),"",calc!I111),"")</f>
        <v/>
      </c>
      <c r="I111" s="1" t="str">
        <f>IF(calc!$L111=1,calc!J111,"")</f>
        <v/>
      </c>
      <c r="J111" s="1" t="str">
        <f>IF(calc!$L111=1,calc!K111,"")</f>
        <v/>
      </c>
      <c r="K111" s="1" t="str">
        <f>IF(calc!$L111=1,calc!M111,"")</f>
        <v/>
      </c>
      <c r="L111" s="1" t="str">
        <f>IF(calc!$L111=1,calc!N111,"")</f>
        <v/>
      </c>
      <c r="M111" s="1" t="str">
        <f>IF(calc!$L111=1,calc!O111,"")</f>
        <v/>
      </c>
      <c r="N111" s="1" t="str">
        <f>IF(calc!$L111=1,calc!P111,"")</f>
        <v/>
      </c>
      <c r="O111">
        <f>'Entry data'!C$1</f>
        <v>20064</v>
      </c>
      <c r="P111" t="str">
        <f>'Entry data'!C$2</f>
        <v>NSH</v>
      </c>
      <c r="Q111" t="str">
        <f>'Entry data'!C$3</f>
        <v>Home</v>
      </c>
    </row>
    <row r="112" spans="1:17" x14ac:dyDescent="0.25">
      <c r="A112" s="1">
        <f>IF(calc!$L112=1,calc!B112,"")</f>
        <v>1</v>
      </c>
      <c r="B112" s="5">
        <f>IF(calc!$L112=1,calc!C112,"")</f>
        <v>0.25833333333333336</v>
      </c>
      <c r="C112" s="1" t="str">
        <f>IF(calc!$L112=1,calc!D112,"")</f>
        <v>D</v>
      </c>
      <c r="D112" s="1" t="str">
        <f>IF(calc!$L112=1,calc!E112,"")</f>
        <v>15DET</v>
      </c>
      <c r="E112" s="1" t="str">
        <f>IF(calc!$L112=1,IF(EXACT(calc!$D112,"FAC"),"",calc!F112),"")</f>
        <v>N</v>
      </c>
      <c r="F112" s="1" t="str">
        <f>IF(calc!$L112=1,IF(EXACT(calc!$D112,"FAC"),"",calc!G112),"")</f>
        <v/>
      </c>
      <c r="G112" s="1" t="str">
        <f>IF(calc!$L112=1,IF(EXACT(calc!$D112,"FAC"),"",calc!H112),"")</f>
        <v>R</v>
      </c>
      <c r="H112" s="1" t="str">
        <f>IF(calc!$L112=1,IF(EXACT(calc!$D112,"FAC"),"",calc!I112),"")</f>
        <v>N</v>
      </c>
      <c r="I112" s="1">
        <f>IF(calc!$L112=1,calc!J112,"")</f>
        <v>5</v>
      </c>
      <c r="J112" s="1">
        <f>IF(calc!$L112=1,calc!K112,"")</f>
        <v>5</v>
      </c>
      <c r="K112" s="1" t="str">
        <f>IF(calc!$L112=1,calc!M112,"")</f>
        <v/>
      </c>
      <c r="L112" s="1">
        <f>IF(calc!$L112=1,calc!N112,"")</f>
        <v>0</v>
      </c>
      <c r="M112" s="1">
        <f>IF(calc!$L112=1,calc!O112,"")</f>
        <v>0</v>
      </c>
      <c r="N112" s="1" t="str">
        <f>IF(calc!$L112=1,calc!P112,"")</f>
        <v/>
      </c>
      <c r="O112">
        <f>'Entry data'!C$1</f>
        <v>20064</v>
      </c>
      <c r="P112" t="str">
        <f>'Entry data'!C$2</f>
        <v>NSH</v>
      </c>
      <c r="Q112" t="str">
        <f>'Entry data'!C$3</f>
        <v>Home</v>
      </c>
    </row>
    <row r="113" spans="1:17" x14ac:dyDescent="0.25">
      <c r="A113" s="1" t="str">
        <f>IF(calc!$L113=1,calc!B113,"")</f>
        <v/>
      </c>
      <c r="B113" s="5" t="str">
        <f>IF(calc!$L113=1,calc!C113,"")</f>
        <v/>
      </c>
      <c r="C113" s="1" t="str">
        <f>IF(calc!$L113=1,calc!D113,"")</f>
        <v/>
      </c>
      <c r="D113" s="1" t="str">
        <f>IF(calc!$L113=1,calc!E113,"")</f>
        <v/>
      </c>
      <c r="E113" s="1" t="str">
        <f>IF(calc!$L113=1,IF(EXACT(calc!$D113,"FAC"),"",calc!F113),"")</f>
        <v/>
      </c>
      <c r="F113" s="1" t="str">
        <f>IF(calc!$L113=1,IF(EXACT(calc!$D113,"FAC"),"",calc!G113),"")</f>
        <v/>
      </c>
      <c r="G113" s="1" t="str">
        <f>IF(calc!$L113=1,IF(EXACT(calc!$D113,"FAC"),"",calc!H113),"")</f>
        <v/>
      </c>
      <c r="H113" s="1" t="str">
        <f>IF(calc!$L113=1,IF(EXACT(calc!$D113,"FAC"),"",calc!I113),"")</f>
        <v/>
      </c>
      <c r="I113" s="1" t="str">
        <f>IF(calc!$L113=1,calc!J113,"")</f>
        <v/>
      </c>
      <c r="J113" s="1" t="str">
        <f>IF(calc!$L113=1,calc!K113,"")</f>
        <v/>
      </c>
      <c r="K113" s="1" t="str">
        <f>IF(calc!$L113=1,calc!M113,"")</f>
        <v/>
      </c>
      <c r="L113" s="1" t="str">
        <f>IF(calc!$L113=1,calc!N113,"")</f>
        <v/>
      </c>
      <c r="M113" s="1" t="str">
        <f>IF(calc!$L113=1,calc!O113,"")</f>
        <v/>
      </c>
      <c r="N113" s="1" t="str">
        <f>IF(calc!$L113=1,calc!P113,"")</f>
        <v/>
      </c>
      <c r="O113">
        <f>'Entry data'!C$1</f>
        <v>20064</v>
      </c>
      <c r="P113" t="str">
        <f>'Entry data'!C$2</f>
        <v>NSH</v>
      </c>
      <c r="Q113" t="str">
        <f>'Entry data'!C$3</f>
        <v>Home</v>
      </c>
    </row>
    <row r="114" spans="1:17" x14ac:dyDescent="0.25">
      <c r="A114" s="1">
        <f>IF(calc!$L114=1,calc!B114,"")</f>
        <v>1</v>
      </c>
      <c r="B114" s="5">
        <f>IF(calc!$L114=1,calc!C114,"")</f>
        <v>0.23541666666666669</v>
      </c>
      <c r="C114" s="1" t="str">
        <f>IF(calc!$L114=1,calc!D114,"")</f>
        <v>C</v>
      </c>
      <c r="D114" s="1" t="str">
        <f>IF(calc!$L114=1,calc!E114,"")</f>
        <v>62DET</v>
      </c>
      <c r="E114" s="1" t="str">
        <f>IF(calc!$L114=1,IF(EXACT(calc!$D114,"FAC"),"",calc!F114),"")</f>
        <v>4NSH</v>
      </c>
      <c r="F114" s="1" t="str">
        <f>IF(calc!$L114=1,IF(EXACT(calc!$D114,"FAC"),"",calc!G114),"")</f>
        <v>N</v>
      </c>
      <c r="G114" s="1" t="str">
        <f>IF(calc!$L114=1,IF(EXACT(calc!$D114,"FAC"),"",calc!H114),"")</f>
        <v>R</v>
      </c>
      <c r="H114" s="1" t="str">
        <f>IF(calc!$L114=1,IF(EXACT(calc!$D114,"FAC"),"",calc!I114),"")</f>
        <v>N</v>
      </c>
      <c r="I114" s="1">
        <f>IF(calc!$L114=1,calc!J114,"")</f>
        <v>5</v>
      </c>
      <c r="J114" s="1">
        <f>IF(calc!$L114=1,calc!K114,"")</f>
        <v>5</v>
      </c>
      <c r="K114" s="1" t="str">
        <f>IF(calc!$L114=1,calc!M114,"")</f>
        <v>62DET</v>
      </c>
      <c r="L114" s="1">
        <f>IF(calc!$L114=1,calc!N114,"")</f>
        <v>2</v>
      </c>
      <c r="M114" s="1">
        <f>IF(calc!$L114=1,calc!O114,"")</f>
        <v>0</v>
      </c>
      <c r="N114" s="1" t="str">
        <f>IF(calc!$L114=1,calc!P114,"")</f>
        <v/>
      </c>
      <c r="O114">
        <f>'Entry data'!C$1</f>
        <v>20064</v>
      </c>
      <c r="P114" t="str">
        <f>'Entry data'!C$2</f>
        <v>NSH</v>
      </c>
      <c r="Q114" t="str">
        <f>'Entry data'!C$3</f>
        <v>Home</v>
      </c>
    </row>
    <row r="115" spans="1:17" x14ac:dyDescent="0.25">
      <c r="A115" s="1" t="str">
        <f>IF(calc!$L115=1,calc!B115,"")</f>
        <v/>
      </c>
      <c r="B115" s="5" t="str">
        <f>IF(calc!$L115=1,calc!C115,"")</f>
        <v/>
      </c>
      <c r="C115" s="1" t="str">
        <f>IF(calc!$L115=1,calc!D115,"")</f>
        <v/>
      </c>
      <c r="D115" s="1" t="str">
        <f>IF(calc!$L115=1,calc!E115,"")</f>
        <v/>
      </c>
      <c r="E115" s="1" t="str">
        <f>IF(calc!$L115=1,IF(EXACT(calc!$D115,"FAC"),"",calc!F115),"")</f>
        <v/>
      </c>
      <c r="F115" s="1" t="str">
        <f>IF(calc!$L115=1,IF(EXACT(calc!$D115,"FAC"),"",calc!G115),"")</f>
        <v/>
      </c>
      <c r="G115" s="1" t="str">
        <f>IF(calc!$L115=1,IF(EXACT(calc!$D115,"FAC"),"",calc!H115),"")</f>
        <v/>
      </c>
      <c r="H115" s="1" t="str">
        <f>IF(calc!$L115=1,IF(EXACT(calc!$D115,"FAC"),"",calc!I115),"")</f>
        <v/>
      </c>
      <c r="I115" s="1" t="str">
        <f>IF(calc!$L115=1,calc!J115,"")</f>
        <v/>
      </c>
      <c r="J115" s="1" t="str">
        <f>IF(calc!$L115=1,calc!K115,"")</f>
        <v/>
      </c>
      <c r="K115" s="1" t="str">
        <f>IF(calc!$L115=1,calc!M115,"")</f>
        <v/>
      </c>
      <c r="L115" s="1" t="str">
        <f>IF(calc!$L115=1,calc!N115,"")</f>
        <v/>
      </c>
      <c r="M115" s="1" t="str">
        <f>IF(calc!$L115=1,calc!O115,"")</f>
        <v/>
      </c>
      <c r="N115" s="1" t="str">
        <f>IF(calc!$L115=1,calc!P115,"")</f>
        <v/>
      </c>
      <c r="O115">
        <f>'Entry data'!C$1</f>
        <v>20064</v>
      </c>
      <c r="P115" t="str">
        <f>'Entry data'!C$2</f>
        <v>NSH</v>
      </c>
      <c r="Q115" t="str">
        <f>'Entry data'!C$3</f>
        <v>Home</v>
      </c>
    </row>
    <row r="116" spans="1:17" x14ac:dyDescent="0.25">
      <c r="A116" s="1" t="str">
        <f>IF(calc!$L116=1,calc!B116,"")</f>
        <v/>
      </c>
      <c r="B116" s="5" t="str">
        <f>IF(calc!$L116=1,calc!C116,"")</f>
        <v/>
      </c>
      <c r="C116" s="1" t="str">
        <f>IF(calc!$L116=1,calc!D116,"")</f>
        <v/>
      </c>
      <c r="D116" s="1" t="str">
        <f>IF(calc!$L116=1,calc!E116,"")</f>
        <v/>
      </c>
      <c r="E116" s="1" t="str">
        <f>IF(calc!$L116=1,IF(EXACT(calc!$D116,"FAC"),"",calc!F116),"")</f>
        <v/>
      </c>
      <c r="F116" s="1" t="str">
        <f>IF(calc!$L116=1,IF(EXACT(calc!$D116,"FAC"),"",calc!G116),"")</f>
        <v/>
      </c>
      <c r="G116" s="1" t="str">
        <f>IF(calc!$L116=1,IF(EXACT(calc!$D116,"FAC"),"",calc!H116),"")</f>
        <v/>
      </c>
      <c r="H116" s="1" t="str">
        <f>IF(calc!$L116=1,IF(EXACT(calc!$D116,"FAC"),"",calc!I116),"")</f>
        <v/>
      </c>
      <c r="I116" s="1" t="str">
        <f>IF(calc!$L116=1,calc!J116,"")</f>
        <v/>
      </c>
      <c r="J116" s="1" t="str">
        <f>IF(calc!$L116=1,calc!K116,"")</f>
        <v/>
      </c>
      <c r="K116" s="1" t="str">
        <f>IF(calc!$L116=1,calc!M116,"")</f>
        <v/>
      </c>
      <c r="L116" s="1" t="str">
        <f>IF(calc!$L116=1,calc!N116,"")</f>
        <v/>
      </c>
      <c r="M116" s="1" t="str">
        <f>IF(calc!$L116=1,calc!O116,"")</f>
        <v/>
      </c>
      <c r="N116" s="1" t="str">
        <f>IF(calc!$L116=1,calc!P116,"")</f>
        <v/>
      </c>
      <c r="O116">
        <f>'Entry data'!C$1</f>
        <v>20064</v>
      </c>
      <c r="P116" t="str">
        <f>'Entry data'!C$2</f>
        <v>NSH</v>
      </c>
      <c r="Q116" t="str">
        <f>'Entry data'!C$3</f>
        <v>Home</v>
      </c>
    </row>
    <row r="117" spans="1:17" x14ac:dyDescent="0.25">
      <c r="A117" s="1" t="str">
        <f>IF(calc!$L117=1,calc!B117,"")</f>
        <v/>
      </c>
      <c r="B117" s="5" t="str">
        <f>IF(calc!$L117=1,calc!C117,"")</f>
        <v/>
      </c>
      <c r="C117" s="1" t="str">
        <f>IF(calc!$L117=1,calc!D117,"")</f>
        <v/>
      </c>
      <c r="D117" s="1" t="str">
        <f>IF(calc!$L117=1,calc!E117,"")</f>
        <v/>
      </c>
      <c r="E117" s="1" t="str">
        <f>IF(calc!$L117=1,IF(EXACT(calc!$D117,"FAC"),"",calc!F117),"")</f>
        <v/>
      </c>
      <c r="F117" s="1" t="str">
        <f>IF(calc!$L117=1,IF(EXACT(calc!$D117,"FAC"),"",calc!G117),"")</f>
        <v/>
      </c>
      <c r="G117" s="1" t="str">
        <f>IF(calc!$L117=1,IF(EXACT(calc!$D117,"FAC"),"",calc!H117),"")</f>
        <v/>
      </c>
      <c r="H117" s="1" t="str">
        <f>IF(calc!$L117=1,IF(EXACT(calc!$D117,"FAC"),"",calc!I117),"")</f>
        <v/>
      </c>
      <c r="I117" s="1" t="str">
        <f>IF(calc!$L117=1,calc!J117,"")</f>
        <v/>
      </c>
      <c r="J117" s="1" t="str">
        <f>IF(calc!$L117=1,calc!K117,"")</f>
        <v/>
      </c>
      <c r="K117" s="1" t="str">
        <f>IF(calc!$L117=1,calc!M117,"")</f>
        <v/>
      </c>
      <c r="L117" s="1" t="str">
        <f>IF(calc!$L117=1,calc!N117,"")</f>
        <v/>
      </c>
      <c r="M117" s="1" t="str">
        <f>IF(calc!$L117=1,calc!O117,"")</f>
        <v/>
      </c>
      <c r="N117" s="1" t="str">
        <f>IF(calc!$L117=1,calc!P117,"")</f>
        <v/>
      </c>
      <c r="O117">
        <f>'Entry data'!C$1</f>
        <v>20064</v>
      </c>
      <c r="P117" t="str">
        <f>'Entry data'!C$2</f>
        <v>NSH</v>
      </c>
      <c r="Q117" t="str">
        <f>'Entry data'!C$3</f>
        <v>Home</v>
      </c>
    </row>
    <row r="118" spans="1:17" x14ac:dyDescent="0.25">
      <c r="A118" s="1" t="str">
        <f>IF(calc!$L118=1,calc!B118,"")</f>
        <v/>
      </c>
      <c r="B118" s="5" t="str">
        <f>IF(calc!$L118=1,calc!C118,"")</f>
        <v/>
      </c>
      <c r="C118" s="1" t="str">
        <f>IF(calc!$L118=1,calc!D118,"")</f>
        <v/>
      </c>
      <c r="D118" s="1" t="str">
        <f>IF(calc!$L118=1,calc!E118,"")</f>
        <v/>
      </c>
      <c r="E118" s="1" t="str">
        <f>IF(calc!$L118=1,IF(EXACT(calc!$D118,"FAC"),"",calc!F118),"")</f>
        <v/>
      </c>
      <c r="F118" s="1" t="str">
        <f>IF(calc!$L118=1,IF(EXACT(calc!$D118,"FAC"),"",calc!G118),"")</f>
        <v/>
      </c>
      <c r="G118" s="1" t="str">
        <f>IF(calc!$L118=1,IF(EXACT(calc!$D118,"FAC"),"",calc!H118),"")</f>
        <v/>
      </c>
      <c r="H118" s="1" t="str">
        <f>IF(calc!$L118=1,IF(EXACT(calc!$D118,"FAC"),"",calc!I118),"")</f>
        <v/>
      </c>
      <c r="I118" s="1" t="str">
        <f>IF(calc!$L118=1,calc!J118,"")</f>
        <v/>
      </c>
      <c r="J118" s="1" t="str">
        <f>IF(calc!$L118=1,calc!K118,"")</f>
        <v/>
      </c>
      <c r="K118" s="1" t="str">
        <f>IF(calc!$L118=1,calc!M118,"")</f>
        <v/>
      </c>
      <c r="L118" s="1" t="str">
        <f>IF(calc!$L118=1,calc!N118,"")</f>
        <v/>
      </c>
      <c r="M118" s="1" t="str">
        <f>IF(calc!$L118=1,calc!O118,"")</f>
        <v/>
      </c>
      <c r="N118" s="1" t="str">
        <f>IF(calc!$L118=1,calc!P118,"")</f>
        <v/>
      </c>
      <c r="O118">
        <f>'Entry data'!C$1</f>
        <v>20064</v>
      </c>
      <c r="P118" t="str">
        <f>'Entry data'!C$2</f>
        <v>NSH</v>
      </c>
      <c r="Q118" t="str">
        <f>'Entry data'!C$3</f>
        <v>Home</v>
      </c>
    </row>
    <row r="119" spans="1:17" x14ac:dyDescent="0.25">
      <c r="A119" s="1">
        <f>IF(calc!$L119=1,calc!B119,"")</f>
        <v>1</v>
      </c>
      <c r="B119" s="5">
        <f>IF(calc!$L119=1,calc!C119,"")</f>
        <v>0.22638888888888897</v>
      </c>
      <c r="C119" s="1" t="str">
        <f>IF(calc!$L119=1,calc!D119,"")</f>
        <v>FAC</v>
      </c>
      <c r="D119" s="1" t="str">
        <f>IF(calc!$L119=1,calc!E119,"")</f>
        <v>OZF</v>
      </c>
      <c r="E119" s="1" t="str">
        <f>IF(calc!$L119=1,IF(EXACT(calc!$D119,"FAC"),"",calc!F119),"")</f>
        <v/>
      </c>
      <c r="F119" s="1" t="str">
        <f>IF(calc!$L119=1,IF(EXACT(calc!$D119,"FAC"),"",calc!G119),"")</f>
        <v/>
      </c>
      <c r="G119" s="1" t="str">
        <f>IF(calc!$L119=1,IF(EXACT(calc!$D119,"FAC"),"",calc!H119),"")</f>
        <v/>
      </c>
      <c r="H119" s="1" t="str">
        <f>IF(calc!$L119=1,IF(EXACT(calc!$D119,"FAC"),"",calc!I119),"")</f>
        <v/>
      </c>
      <c r="I119" s="1">
        <f>IF(calc!$L119=1,calc!J119,"")</f>
        <v>5</v>
      </c>
      <c r="J119" s="1">
        <f>IF(calc!$L119=1,calc!K119,"")</f>
        <v>5</v>
      </c>
      <c r="K119" s="1" t="str">
        <f>IF(calc!$L119=1,calc!M119,"")</f>
        <v/>
      </c>
      <c r="L119" s="1">
        <f>IF(calc!$L119=1,calc!N119,"")</f>
        <v>0</v>
      </c>
      <c r="M119" s="1">
        <f>IF(calc!$L119=1,calc!O119,"")</f>
        <v>0</v>
      </c>
      <c r="N119" s="1" t="str">
        <f>IF(calc!$L119=1,calc!P119,"")</f>
        <v/>
      </c>
      <c r="O119">
        <f>'Entry data'!C$1</f>
        <v>20064</v>
      </c>
      <c r="P119" t="str">
        <f>'Entry data'!C$2</f>
        <v>NSH</v>
      </c>
      <c r="Q119" t="str">
        <f>'Entry data'!C$3</f>
        <v>Home</v>
      </c>
    </row>
    <row r="120" spans="1:17" x14ac:dyDescent="0.25">
      <c r="A120" s="1" t="str">
        <f>IF(calc!$L120=1,calc!B120,"")</f>
        <v/>
      </c>
      <c r="B120" s="5" t="str">
        <f>IF(calc!$L120=1,calc!C120,"")</f>
        <v/>
      </c>
      <c r="C120" s="1" t="str">
        <f>IF(calc!$L120=1,calc!D120,"")</f>
        <v/>
      </c>
      <c r="D120" s="1" t="str">
        <f>IF(calc!$L120=1,calc!E120,"")</f>
        <v/>
      </c>
      <c r="E120" s="1" t="str">
        <f>IF(calc!$L120=1,IF(EXACT(calc!$D120,"FAC"),"",calc!F120),"")</f>
        <v/>
      </c>
      <c r="F120" s="1" t="str">
        <f>IF(calc!$L120=1,IF(EXACT(calc!$D120,"FAC"),"",calc!G120),"")</f>
        <v/>
      </c>
      <c r="G120" s="1" t="str">
        <f>IF(calc!$L120=1,IF(EXACT(calc!$D120,"FAC"),"",calc!H120),"")</f>
        <v/>
      </c>
      <c r="H120" s="1" t="str">
        <f>IF(calc!$L120=1,IF(EXACT(calc!$D120,"FAC"),"",calc!I120),"")</f>
        <v/>
      </c>
      <c r="I120" s="1" t="str">
        <f>IF(calc!$L120=1,calc!J120,"")</f>
        <v/>
      </c>
      <c r="J120" s="1" t="str">
        <f>IF(calc!$L120=1,calc!K120,"")</f>
        <v/>
      </c>
      <c r="K120" s="1" t="str">
        <f>IF(calc!$L120=1,calc!M120,"")</f>
        <v/>
      </c>
      <c r="L120" s="1" t="str">
        <f>IF(calc!$L120=1,calc!N120,"")</f>
        <v/>
      </c>
      <c r="M120" s="1" t="str">
        <f>IF(calc!$L120=1,calc!O120,"")</f>
        <v/>
      </c>
      <c r="N120" s="1" t="str">
        <f>IF(calc!$L120=1,calc!P120,"")</f>
        <v/>
      </c>
      <c r="O120">
        <f>'Entry data'!C$1</f>
        <v>20064</v>
      </c>
      <c r="P120" t="str">
        <f>'Entry data'!C$2</f>
        <v>NSH</v>
      </c>
      <c r="Q120" t="str">
        <f>'Entry data'!C$3</f>
        <v>Home</v>
      </c>
    </row>
    <row r="121" spans="1:17" x14ac:dyDescent="0.25">
      <c r="A121" s="1">
        <f>IF(calc!$L121=1,calc!B121,"")</f>
        <v>1</v>
      </c>
      <c r="B121" s="5">
        <f>IF(calc!$L121=1,calc!C121,"")</f>
        <v>0.20694444444444449</v>
      </c>
      <c r="C121" s="1" t="str">
        <f>IF(calc!$L121=1,calc!D121,"")</f>
        <v>FAC</v>
      </c>
      <c r="D121" s="1" t="str">
        <f>IF(calc!$L121=1,calc!E121,"")</f>
        <v>DZF</v>
      </c>
      <c r="E121" s="1" t="str">
        <f>IF(calc!$L121=1,IF(EXACT(calc!$D121,"FAC"),"",calc!F121),"")</f>
        <v/>
      </c>
      <c r="F121" s="1" t="str">
        <f>IF(calc!$L121=1,IF(EXACT(calc!$D121,"FAC"),"",calc!G121),"")</f>
        <v/>
      </c>
      <c r="G121" s="1" t="str">
        <f>IF(calc!$L121=1,IF(EXACT(calc!$D121,"FAC"),"",calc!H121),"")</f>
        <v/>
      </c>
      <c r="H121" s="1" t="str">
        <f>IF(calc!$L121=1,IF(EXACT(calc!$D121,"FAC"),"",calc!I121),"")</f>
        <v/>
      </c>
      <c r="I121" s="1">
        <f>IF(calc!$L121=1,calc!J121,"")</f>
        <v>5</v>
      </c>
      <c r="J121" s="1">
        <f>IF(calc!$L121=1,calc!K121,"")</f>
        <v>5</v>
      </c>
      <c r="K121" s="1" t="str">
        <f>IF(calc!$L121=1,calc!M121,"")</f>
        <v/>
      </c>
      <c r="L121" s="1">
        <f>IF(calc!$L121=1,calc!N121,"")</f>
        <v>0</v>
      </c>
      <c r="M121" s="1">
        <f>IF(calc!$L121=1,calc!O121,"")</f>
        <v>0</v>
      </c>
      <c r="N121" s="1" t="str">
        <f>IF(calc!$L121=1,calc!P121,"")</f>
        <v/>
      </c>
      <c r="O121">
        <f>'Entry data'!C$1</f>
        <v>20064</v>
      </c>
      <c r="P121" t="str">
        <f>'Entry data'!C$2</f>
        <v>NSH</v>
      </c>
      <c r="Q121" t="str">
        <f>'Entry data'!C$3</f>
        <v>Home</v>
      </c>
    </row>
    <row r="122" spans="1:17" x14ac:dyDescent="0.25">
      <c r="A122" s="1" t="str">
        <f>IF(calc!$L122=1,calc!B122,"")</f>
        <v/>
      </c>
      <c r="B122" s="5" t="str">
        <f>IF(calc!$L122=1,calc!C122,"")</f>
        <v/>
      </c>
      <c r="C122" s="1" t="str">
        <f>IF(calc!$L122=1,calc!D122,"")</f>
        <v/>
      </c>
      <c r="D122" s="1" t="str">
        <f>IF(calc!$L122=1,calc!E122,"")</f>
        <v/>
      </c>
      <c r="E122" s="1" t="str">
        <f>IF(calc!$L122=1,IF(EXACT(calc!$D122,"FAC"),"",calc!F122),"")</f>
        <v/>
      </c>
      <c r="F122" s="1" t="str">
        <f>IF(calc!$L122=1,IF(EXACT(calc!$D122,"FAC"),"",calc!G122),"")</f>
        <v/>
      </c>
      <c r="G122" s="1" t="str">
        <f>IF(calc!$L122=1,IF(EXACT(calc!$D122,"FAC"),"",calc!H122),"")</f>
        <v/>
      </c>
      <c r="H122" s="1" t="str">
        <f>IF(calc!$L122=1,IF(EXACT(calc!$D122,"FAC"),"",calc!I122),"")</f>
        <v/>
      </c>
      <c r="I122" s="1" t="str">
        <f>IF(calc!$L122=1,calc!J122,"")</f>
        <v/>
      </c>
      <c r="J122" s="1" t="str">
        <f>IF(calc!$L122=1,calc!K122,"")</f>
        <v/>
      </c>
      <c r="K122" s="1" t="str">
        <f>IF(calc!$L122=1,calc!M122,"")</f>
        <v/>
      </c>
      <c r="L122" s="1" t="str">
        <f>IF(calc!$L122=1,calc!N122,"")</f>
        <v/>
      </c>
      <c r="M122" s="1" t="str">
        <f>IF(calc!$L122=1,calc!O122,"")</f>
        <v/>
      </c>
      <c r="N122" s="1" t="str">
        <f>IF(calc!$L122=1,calc!P122,"")</f>
        <v/>
      </c>
      <c r="O122">
        <f>'Entry data'!C$1</f>
        <v>20064</v>
      </c>
      <c r="P122" t="str">
        <f>'Entry data'!C$2</f>
        <v>NSH</v>
      </c>
      <c r="Q122" t="str">
        <f>'Entry data'!C$3</f>
        <v>Home</v>
      </c>
    </row>
    <row r="123" spans="1:17" x14ac:dyDescent="0.25">
      <c r="A123" s="1" t="str">
        <f>IF(calc!$L123=1,calc!B123,"")</f>
        <v/>
      </c>
      <c r="B123" s="5" t="str">
        <f>IF(calc!$L123=1,calc!C123,"")</f>
        <v/>
      </c>
      <c r="C123" s="1" t="str">
        <f>IF(calc!$L123=1,calc!D123,"")</f>
        <v/>
      </c>
      <c r="D123" s="1" t="str">
        <f>IF(calc!$L123=1,calc!E123,"")</f>
        <v/>
      </c>
      <c r="E123" s="1" t="str">
        <f>IF(calc!$L123=1,IF(EXACT(calc!$D123,"FAC"),"",calc!F123),"")</f>
        <v/>
      </c>
      <c r="F123" s="1" t="str">
        <f>IF(calc!$L123=1,IF(EXACT(calc!$D123,"FAC"),"",calc!G123),"")</f>
        <v/>
      </c>
      <c r="G123" s="1" t="str">
        <f>IF(calc!$L123=1,IF(EXACT(calc!$D123,"FAC"),"",calc!H123),"")</f>
        <v/>
      </c>
      <c r="H123" s="1" t="str">
        <f>IF(calc!$L123=1,IF(EXACT(calc!$D123,"FAC"),"",calc!I123),"")</f>
        <v/>
      </c>
      <c r="I123" s="1" t="str">
        <f>IF(calc!$L123=1,calc!J123,"")</f>
        <v/>
      </c>
      <c r="J123" s="1" t="str">
        <f>IF(calc!$L123=1,calc!K123,"")</f>
        <v/>
      </c>
      <c r="K123" s="1" t="str">
        <f>IF(calc!$L123=1,calc!M123,"")</f>
        <v/>
      </c>
      <c r="L123" s="1" t="str">
        <f>IF(calc!$L123=1,calc!N123,"")</f>
        <v/>
      </c>
      <c r="M123" s="1" t="str">
        <f>IF(calc!$L123=1,calc!O123,"")</f>
        <v/>
      </c>
      <c r="N123" s="1" t="str">
        <f>IF(calc!$L123=1,calc!P123,"")</f>
        <v/>
      </c>
      <c r="O123">
        <f>'Entry data'!C$1</f>
        <v>20064</v>
      </c>
      <c r="P123" t="str">
        <f>'Entry data'!C$2</f>
        <v>NSH</v>
      </c>
      <c r="Q123" t="str">
        <f>'Entry data'!C$3</f>
        <v>Home</v>
      </c>
    </row>
    <row r="124" spans="1:17" x14ac:dyDescent="0.25">
      <c r="A124" s="1">
        <f>IF(calc!$L124=1,calc!B124,"")</f>
        <v>1</v>
      </c>
      <c r="B124" s="5">
        <f>IF(calc!$L124=1,calc!C124,"")</f>
        <v>0.19513888888888897</v>
      </c>
      <c r="C124" s="1" t="str">
        <f>IF(calc!$L124=1,calc!D124,"")</f>
        <v>FAC</v>
      </c>
      <c r="D124" s="1" t="str">
        <f>IF(calc!$L124=1,calc!E124,"")</f>
        <v>DZF</v>
      </c>
      <c r="E124" s="1" t="str">
        <f>IF(calc!$L124=1,IF(EXACT(calc!$D124,"FAC"),"",calc!F124),"")</f>
        <v/>
      </c>
      <c r="F124" s="1" t="str">
        <f>IF(calc!$L124=1,IF(EXACT(calc!$D124,"FAC"),"",calc!G124),"")</f>
        <v/>
      </c>
      <c r="G124" s="1" t="str">
        <f>IF(calc!$L124=1,IF(EXACT(calc!$D124,"FAC"),"",calc!H124),"")</f>
        <v/>
      </c>
      <c r="H124" s="1" t="str">
        <f>IF(calc!$L124=1,IF(EXACT(calc!$D124,"FAC"),"",calc!I124),"")</f>
        <v/>
      </c>
      <c r="I124" s="1">
        <f>IF(calc!$L124=1,calc!J124,"")</f>
        <v>5</v>
      </c>
      <c r="J124" s="1">
        <f>IF(calc!$L124=1,calc!K124,"")</f>
        <v>5</v>
      </c>
      <c r="K124" s="1" t="str">
        <f>IF(calc!$L124=1,calc!M124,"")</f>
        <v/>
      </c>
      <c r="L124" s="1">
        <f>IF(calc!$L124=1,calc!N124,"")</f>
        <v>0</v>
      </c>
      <c r="M124" s="1">
        <f>IF(calc!$L124=1,calc!O124,"")</f>
        <v>0</v>
      </c>
      <c r="N124" s="1" t="str">
        <f>IF(calc!$L124=1,calc!P124,"")</f>
        <v/>
      </c>
      <c r="O124">
        <f>'Entry data'!C$1</f>
        <v>20064</v>
      </c>
      <c r="P124" t="str">
        <f>'Entry data'!C$2</f>
        <v>NSH</v>
      </c>
      <c r="Q124" t="str">
        <f>'Entry data'!C$3</f>
        <v>Home</v>
      </c>
    </row>
    <row r="125" spans="1:17" x14ac:dyDescent="0.25">
      <c r="A125" s="1">
        <f>IF(calc!$L125=1,calc!B125,"")</f>
        <v>1</v>
      </c>
      <c r="B125" s="5">
        <f>IF(calc!$L125=1,calc!C125,"")</f>
        <v>0.18263888888888891</v>
      </c>
      <c r="C125" s="1" t="str">
        <f>IF(calc!$L125=1,calc!D125,"")</f>
        <v>C</v>
      </c>
      <c r="D125" s="1" t="str">
        <f>IF(calc!$L125=1,calc!E125,"")</f>
        <v>53DET</v>
      </c>
      <c r="E125" s="1" t="str">
        <f>IF(calc!$L125=1,IF(EXACT(calc!$D125,"FAC"),"",calc!F125),"")</f>
        <v>76NSH</v>
      </c>
      <c r="F125" s="1" t="str">
        <f>IF(calc!$L125=1,IF(EXACT(calc!$D125,"FAC"),"",calc!G125),"")</f>
        <v>N</v>
      </c>
      <c r="G125" s="1" t="str">
        <f>IF(calc!$L125=1,IF(EXACT(calc!$D125,"FAC"),"",calc!H125),"")</f>
        <v>R</v>
      </c>
      <c r="H125" s="1" t="str">
        <f>IF(calc!$L125=1,IF(EXACT(calc!$D125,"FAC"),"",calc!I125),"")</f>
        <v>N</v>
      </c>
      <c r="I125" s="1">
        <f>IF(calc!$L125=1,calc!J125,"")</f>
        <v>5</v>
      </c>
      <c r="J125" s="1">
        <f>IF(calc!$L125=1,calc!K125,"")</f>
        <v>5</v>
      </c>
      <c r="K125" s="1" t="str">
        <f>IF(calc!$L125=1,calc!M125,"")</f>
        <v>53DET</v>
      </c>
      <c r="L125" s="1">
        <f>IF(calc!$L125=1,calc!N125,"")</f>
        <v>0</v>
      </c>
      <c r="M125" s="1">
        <f>IF(calc!$L125=1,calc!O125,"")</f>
        <v>0</v>
      </c>
      <c r="N125" s="1" t="str">
        <f>IF(calc!$L125=1,calc!P125,"")</f>
        <v/>
      </c>
      <c r="O125">
        <f>'Entry data'!C$1</f>
        <v>20064</v>
      </c>
      <c r="P125" t="str">
        <f>'Entry data'!C$2</f>
        <v>NSH</v>
      </c>
      <c r="Q125" t="str">
        <f>'Entry data'!C$3</f>
        <v>Home</v>
      </c>
    </row>
    <row r="126" spans="1:17" x14ac:dyDescent="0.25">
      <c r="A126" s="1">
        <f>IF(calc!$L126=1,calc!B126,"")</f>
        <v>1</v>
      </c>
      <c r="B126" s="5">
        <f>IF(calc!$L126=1,calc!C126,"")</f>
        <v>0.16666666666666666</v>
      </c>
      <c r="C126" s="1" t="str">
        <f>IF(calc!$L126=1,calc!D126,"")</f>
        <v>D</v>
      </c>
      <c r="D126" s="1" t="str">
        <f>IF(calc!$L126=1,calc!E126,"")</f>
        <v>40DET</v>
      </c>
      <c r="E126" s="1" t="str">
        <f>IF(calc!$L126=1,IF(EXACT(calc!$D126,"FAC"),"",calc!F126),"")</f>
        <v>N</v>
      </c>
      <c r="F126" s="1" t="str">
        <f>IF(calc!$L126=1,IF(EXACT(calc!$D126,"FAC"),"",calc!G126),"")</f>
        <v/>
      </c>
      <c r="G126" s="1" t="str">
        <f>IF(calc!$L126=1,IF(EXACT(calc!$D126,"FAC"),"",calc!H126),"")</f>
        <v>L</v>
      </c>
      <c r="H126" s="1" t="str">
        <f>IF(calc!$L126=1,IF(EXACT(calc!$D126,"FAC"),"",calc!I126),"")</f>
        <v>N</v>
      </c>
      <c r="I126" s="1">
        <f>IF(calc!$L126=1,calc!J126,"")</f>
        <v>5</v>
      </c>
      <c r="J126" s="1">
        <f>IF(calc!$L126=1,calc!K126,"")</f>
        <v>5</v>
      </c>
      <c r="K126" s="1" t="str">
        <f>IF(calc!$L126=1,calc!M126,"")</f>
        <v/>
      </c>
      <c r="L126" s="1">
        <f>IF(calc!$L126=1,calc!N126,"")</f>
        <v>0</v>
      </c>
      <c r="M126" s="1">
        <f>IF(calc!$L126=1,calc!O126,"")</f>
        <v>0</v>
      </c>
      <c r="N126" s="1" t="str">
        <f>IF(calc!$L126=1,calc!P126,"")</f>
        <v/>
      </c>
      <c r="O126">
        <f>'Entry data'!C$1</f>
        <v>20064</v>
      </c>
      <c r="P126" t="str">
        <f>'Entry data'!C$2</f>
        <v>NSH</v>
      </c>
      <c r="Q126" t="str">
        <f>'Entry data'!C$3</f>
        <v>Home</v>
      </c>
    </row>
    <row r="127" spans="1:17" x14ac:dyDescent="0.25">
      <c r="A127" s="1" t="str">
        <f>IF(calc!$L127=1,calc!B127,"")</f>
        <v/>
      </c>
      <c r="B127" s="5" t="str">
        <f>IF(calc!$L127=1,calc!C127,"")</f>
        <v/>
      </c>
      <c r="C127" s="1" t="str">
        <f>IF(calc!$L127=1,calc!D127,"")</f>
        <v/>
      </c>
      <c r="D127" s="1" t="str">
        <f>IF(calc!$L127=1,calc!E127,"")</f>
        <v/>
      </c>
      <c r="E127" s="1" t="str">
        <f>IF(calc!$L127=1,IF(EXACT(calc!$D127,"FAC"),"",calc!F127),"")</f>
        <v/>
      </c>
      <c r="F127" s="1" t="str">
        <f>IF(calc!$L127=1,IF(EXACT(calc!$D127,"FAC"),"",calc!G127),"")</f>
        <v/>
      </c>
      <c r="G127" s="1" t="str">
        <f>IF(calc!$L127=1,IF(EXACT(calc!$D127,"FAC"),"",calc!H127),"")</f>
        <v/>
      </c>
      <c r="H127" s="1" t="str">
        <f>IF(calc!$L127=1,IF(EXACT(calc!$D127,"FAC"),"",calc!I127),"")</f>
        <v/>
      </c>
      <c r="I127" s="1" t="str">
        <f>IF(calc!$L127=1,calc!J127,"")</f>
        <v/>
      </c>
      <c r="J127" s="1" t="str">
        <f>IF(calc!$L127=1,calc!K127,"")</f>
        <v/>
      </c>
      <c r="K127" s="1" t="str">
        <f>IF(calc!$L127=1,calc!M127,"")</f>
        <v/>
      </c>
      <c r="L127" s="1" t="str">
        <f>IF(calc!$L127=1,calc!N127,"")</f>
        <v/>
      </c>
      <c r="M127" s="1" t="str">
        <f>IF(calc!$L127=1,calc!O127,"")</f>
        <v/>
      </c>
      <c r="N127" s="1" t="str">
        <f>IF(calc!$L127=1,calc!P127,"")</f>
        <v/>
      </c>
      <c r="O127">
        <f>'Entry data'!C$1</f>
        <v>20064</v>
      </c>
      <c r="P127" t="str">
        <f>'Entry data'!C$2</f>
        <v>NSH</v>
      </c>
      <c r="Q127" t="str">
        <f>'Entry data'!C$3</f>
        <v>Home</v>
      </c>
    </row>
    <row r="128" spans="1:17" x14ac:dyDescent="0.25">
      <c r="A128" s="1">
        <f>IF(calc!$L128=1,calc!B128,"")</f>
        <v>1</v>
      </c>
      <c r="B128" s="5">
        <f>IF(calc!$L128=1,calc!C128,"")</f>
        <v>0.15277777777777776</v>
      </c>
      <c r="C128" s="1" t="str">
        <f>IF(calc!$L128=1,calc!D128,"")</f>
        <v>C</v>
      </c>
      <c r="D128" s="1" t="str">
        <f>IF(calc!$L128=1,calc!E128,"")</f>
        <v>38NSH</v>
      </c>
      <c r="E128" s="1" t="str">
        <f>IF(calc!$L128=1,IF(EXACT(calc!$D128,"FAC"),"",calc!F128),"")</f>
        <v>2DET</v>
      </c>
      <c r="F128" s="1" t="str">
        <f>IF(calc!$L128=1,IF(EXACT(calc!$D128,"FAC"),"",calc!G128),"")</f>
        <v>N</v>
      </c>
      <c r="G128" s="1" t="str">
        <f>IF(calc!$L128=1,IF(EXACT(calc!$D128,"FAC"),"",calc!H128),"")</f>
        <v>R</v>
      </c>
      <c r="H128" s="1" t="str">
        <f>IF(calc!$L128=1,IF(EXACT(calc!$D128,"FAC"),"",calc!I128),"")</f>
        <v>N</v>
      </c>
      <c r="I128" s="1">
        <f>IF(calc!$L128=1,calc!J128,"")</f>
        <v>5</v>
      </c>
      <c r="J128" s="1">
        <f>IF(calc!$L128=1,calc!K128,"")</f>
        <v>5</v>
      </c>
      <c r="K128" s="1" t="str">
        <f>IF(calc!$L128=1,calc!M128,"")</f>
        <v>38NSH</v>
      </c>
      <c r="L128" s="1">
        <f>IF(calc!$L128=1,calc!N128,"")</f>
        <v>0</v>
      </c>
      <c r="M128" s="1">
        <f>IF(calc!$L128=1,calc!O128,"")</f>
        <v>0</v>
      </c>
      <c r="N128" s="1" t="str">
        <f>IF(calc!$L128=1,calc!P128,"")</f>
        <v/>
      </c>
      <c r="O128">
        <f>'Entry data'!C$1</f>
        <v>20064</v>
      </c>
      <c r="P128" t="str">
        <f>'Entry data'!C$2</f>
        <v>NSH</v>
      </c>
      <c r="Q128" t="str">
        <f>'Entry data'!C$3</f>
        <v>Home</v>
      </c>
    </row>
    <row r="129" spans="1:17" x14ac:dyDescent="0.25">
      <c r="A129" s="1" t="str">
        <f>IF(calc!$L129=1,calc!B129,"")</f>
        <v/>
      </c>
      <c r="B129" s="5" t="str">
        <f>IF(calc!$L129=1,calc!C129,"")</f>
        <v/>
      </c>
      <c r="C129" s="1" t="str">
        <f>IF(calc!$L129=1,calc!D129,"")</f>
        <v/>
      </c>
      <c r="D129" s="1" t="str">
        <f>IF(calc!$L129=1,calc!E129,"")</f>
        <v/>
      </c>
      <c r="E129" s="1" t="str">
        <f>IF(calc!$L129=1,IF(EXACT(calc!$D129,"FAC"),"",calc!F129),"")</f>
        <v/>
      </c>
      <c r="F129" s="1" t="str">
        <f>IF(calc!$L129=1,IF(EXACT(calc!$D129,"FAC"),"",calc!G129),"")</f>
        <v/>
      </c>
      <c r="G129" s="1" t="str">
        <f>IF(calc!$L129=1,IF(EXACT(calc!$D129,"FAC"),"",calc!H129),"")</f>
        <v/>
      </c>
      <c r="H129" s="1" t="str">
        <f>IF(calc!$L129=1,IF(EXACT(calc!$D129,"FAC"),"",calc!I129),"")</f>
        <v/>
      </c>
      <c r="I129" s="1" t="str">
        <f>IF(calc!$L129=1,calc!J129,"")</f>
        <v/>
      </c>
      <c r="J129" s="1" t="str">
        <f>IF(calc!$L129=1,calc!K129,"")</f>
        <v/>
      </c>
      <c r="K129" s="1" t="str">
        <f>IF(calc!$L129=1,calc!M129,"")</f>
        <v/>
      </c>
      <c r="L129" s="1" t="str">
        <f>IF(calc!$L129=1,calc!N129,"")</f>
        <v/>
      </c>
      <c r="M129" s="1" t="str">
        <f>IF(calc!$L129=1,calc!O129,"")</f>
        <v/>
      </c>
      <c r="N129" s="1" t="str">
        <f>IF(calc!$L129=1,calc!P129,"")</f>
        <v/>
      </c>
      <c r="O129">
        <f>'Entry data'!C$1</f>
        <v>20064</v>
      </c>
      <c r="P129" t="str">
        <f>'Entry data'!C$2</f>
        <v>NSH</v>
      </c>
      <c r="Q129" t="str">
        <f>'Entry data'!C$3</f>
        <v>Home</v>
      </c>
    </row>
    <row r="130" spans="1:17" x14ac:dyDescent="0.25">
      <c r="A130" s="1">
        <f>IF(calc!$L130=1,calc!B130,"")</f>
        <v>1</v>
      </c>
      <c r="B130" s="5">
        <f>IF(calc!$L130=1,calc!C130,"")</f>
        <v>0.1423611111111111</v>
      </c>
      <c r="C130" s="1" t="str">
        <f>IF(calc!$L130=1,calc!D130,"")</f>
        <v>C</v>
      </c>
      <c r="D130" s="1" t="str">
        <f>IF(calc!$L130=1,calc!E130,"")</f>
        <v>21DET</v>
      </c>
      <c r="E130" s="1" t="str">
        <f>IF(calc!$L130=1,IF(EXACT(calc!$D130,"FAC"),"",calc!F130),"")</f>
        <v>7NSH</v>
      </c>
      <c r="F130" s="1" t="str">
        <f>IF(calc!$L130=1,IF(EXACT(calc!$D130,"FAC"),"",calc!G130),"")</f>
        <v>Y</v>
      </c>
      <c r="G130" s="1" t="str">
        <f>IF(calc!$L130=1,IF(EXACT(calc!$D130,"FAC"),"",calc!H130),"")</f>
        <v>C</v>
      </c>
      <c r="H130" s="1" t="str">
        <f>IF(calc!$L130=1,IF(EXACT(calc!$D130,"FAC"),"",calc!I130),"")</f>
        <v>N</v>
      </c>
      <c r="I130" s="1">
        <f>IF(calc!$L130=1,calc!J130,"")</f>
        <v>5</v>
      </c>
      <c r="J130" s="1">
        <f>IF(calc!$L130=1,calc!K130,"")</f>
        <v>5</v>
      </c>
      <c r="K130" s="1" t="str">
        <f>IF(calc!$L130=1,calc!M130,"")</f>
        <v>21DET</v>
      </c>
      <c r="L130" s="1">
        <f>IF(calc!$L130=1,calc!N130,"")</f>
        <v>1</v>
      </c>
      <c r="M130" s="1">
        <f>IF(calc!$L130=1,calc!O130,"")</f>
        <v>0</v>
      </c>
      <c r="N130" s="1" t="str">
        <f>IF(calc!$L130=1,calc!P130,"")</f>
        <v/>
      </c>
      <c r="O130">
        <f>'Entry data'!C$1</f>
        <v>20064</v>
      </c>
      <c r="P130" t="str">
        <f>'Entry data'!C$2</f>
        <v>NSH</v>
      </c>
      <c r="Q130" t="str">
        <f>'Entry data'!C$3</f>
        <v>Home</v>
      </c>
    </row>
    <row r="131" spans="1:17" x14ac:dyDescent="0.25">
      <c r="A131" s="1" t="str">
        <f>IF(calc!$L131=1,calc!B131,"")</f>
        <v/>
      </c>
      <c r="B131" s="5" t="str">
        <f>IF(calc!$L131=1,calc!C131,"")</f>
        <v/>
      </c>
      <c r="C131" s="1" t="str">
        <f>IF(calc!$L131=1,calc!D131,"")</f>
        <v/>
      </c>
      <c r="D131" s="1" t="str">
        <f>IF(calc!$L131=1,calc!E131,"")</f>
        <v/>
      </c>
      <c r="E131" s="1" t="str">
        <f>IF(calc!$L131=1,IF(EXACT(calc!$D131,"FAC"),"",calc!F131),"")</f>
        <v/>
      </c>
      <c r="F131" s="1" t="str">
        <f>IF(calc!$L131=1,IF(EXACT(calc!$D131,"FAC"),"",calc!G131),"")</f>
        <v/>
      </c>
      <c r="G131" s="1" t="str">
        <f>IF(calc!$L131=1,IF(EXACT(calc!$D131,"FAC"),"",calc!H131),"")</f>
        <v/>
      </c>
      <c r="H131" s="1" t="str">
        <f>IF(calc!$L131=1,IF(EXACT(calc!$D131,"FAC"),"",calc!I131),"")</f>
        <v/>
      </c>
      <c r="I131" s="1" t="str">
        <f>IF(calc!$L131=1,calc!J131,"")</f>
        <v/>
      </c>
      <c r="J131" s="1" t="str">
        <f>IF(calc!$L131=1,calc!K131,"")</f>
        <v/>
      </c>
      <c r="K131" s="1" t="str">
        <f>IF(calc!$L131=1,calc!M131,"")</f>
        <v/>
      </c>
      <c r="L131" s="1" t="str">
        <f>IF(calc!$L131=1,calc!N131,"")</f>
        <v/>
      </c>
      <c r="M131" s="1" t="str">
        <f>IF(calc!$L131=1,calc!O131,"")</f>
        <v/>
      </c>
      <c r="N131" s="1" t="str">
        <f>IF(calc!$L131=1,calc!P131,"")</f>
        <v/>
      </c>
      <c r="O131">
        <f>'Entry data'!C$1</f>
        <v>20064</v>
      </c>
      <c r="P131" t="str">
        <f>'Entry data'!C$2</f>
        <v>NSH</v>
      </c>
      <c r="Q131" t="str">
        <f>'Entry data'!C$3</f>
        <v>Home</v>
      </c>
    </row>
    <row r="132" spans="1:17" x14ac:dyDescent="0.25">
      <c r="A132" s="1">
        <f>IF(calc!$L132=1,calc!B132,"")</f>
        <v>1</v>
      </c>
      <c r="B132" s="5">
        <f>IF(calc!$L132=1,calc!C132,"")</f>
        <v>0.13333333333333333</v>
      </c>
      <c r="C132" s="1" t="str">
        <f>IF(calc!$L132=1,calc!D132,"")</f>
        <v>C</v>
      </c>
      <c r="D132" s="1" t="str">
        <f>IF(calc!$L132=1,calc!E132,"")</f>
        <v>21DET</v>
      </c>
      <c r="E132" s="1" t="str">
        <f>IF(calc!$L132=1,IF(EXACT(calc!$D132,"FAC"),"",calc!F132),"")</f>
        <v>7NSH</v>
      </c>
      <c r="F132" s="1" t="str">
        <f>IF(calc!$L132=1,IF(EXACT(calc!$D132,"FAC"),"",calc!G132),"")</f>
        <v>N</v>
      </c>
      <c r="G132" s="1" t="str">
        <f>IF(calc!$L132=1,IF(EXACT(calc!$D132,"FAC"),"",calc!H132),"")</f>
        <v>L</v>
      </c>
      <c r="H132" s="1" t="str">
        <f>IF(calc!$L132=1,IF(EXACT(calc!$D132,"FAC"),"",calc!I132),"")</f>
        <v>N</v>
      </c>
      <c r="I132" s="1">
        <f>IF(calc!$L132=1,calc!J132,"")</f>
        <v>5</v>
      </c>
      <c r="J132" s="1">
        <f>IF(calc!$L132=1,calc!K132,"")</f>
        <v>5</v>
      </c>
      <c r="K132" s="1" t="str">
        <f>IF(calc!$L132=1,calc!M132,"")</f>
        <v>21DET</v>
      </c>
      <c r="L132" s="1">
        <f>IF(calc!$L132=1,calc!N132,"")</f>
        <v>1</v>
      </c>
      <c r="M132" s="1">
        <f>IF(calc!$L132=1,calc!O132,"")</f>
        <v>0</v>
      </c>
      <c r="N132" s="1" t="str">
        <f>IF(calc!$L132=1,calc!P132,"")</f>
        <v/>
      </c>
      <c r="O132">
        <f>'Entry data'!C$1</f>
        <v>20064</v>
      </c>
      <c r="P132" t="str">
        <f>'Entry data'!C$2</f>
        <v>NSH</v>
      </c>
      <c r="Q132" t="str">
        <f>'Entry data'!C$3</f>
        <v>Home</v>
      </c>
    </row>
    <row r="133" spans="1:17" x14ac:dyDescent="0.25">
      <c r="A133" s="1" t="str">
        <f>IF(calc!$L133=1,calc!B133,"")</f>
        <v/>
      </c>
      <c r="B133" s="5" t="str">
        <f>IF(calc!$L133=1,calc!C133,"")</f>
        <v/>
      </c>
      <c r="C133" s="1" t="str">
        <f>IF(calc!$L133=1,calc!D133,"")</f>
        <v/>
      </c>
      <c r="D133" s="1" t="str">
        <f>IF(calc!$L133=1,calc!E133,"")</f>
        <v/>
      </c>
      <c r="E133" s="1" t="str">
        <f>IF(calc!$L133=1,IF(EXACT(calc!$D133,"FAC"),"",calc!F133),"")</f>
        <v/>
      </c>
      <c r="F133" s="1" t="str">
        <f>IF(calc!$L133=1,IF(EXACT(calc!$D133,"FAC"),"",calc!G133),"")</f>
        <v/>
      </c>
      <c r="G133" s="1" t="str">
        <f>IF(calc!$L133=1,IF(EXACT(calc!$D133,"FAC"),"",calc!H133),"")</f>
        <v/>
      </c>
      <c r="H133" s="1" t="str">
        <f>IF(calc!$L133=1,IF(EXACT(calc!$D133,"FAC"),"",calc!I133),"")</f>
        <v/>
      </c>
      <c r="I133" s="1" t="str">
        <f>IF(calc!$L133=1,calc!J133,"")</f>
        <v/>
      </c>
      <c r="J133" s="1" t="str">
        <f>IF(calc!$L133=1,calc!K133,"")</f>
        <v/>
      </c>
      <c r="K133" s="1" t="str">
        <f>IF(calc!$L133=1,calc!M133,"")</f>
        <v/>
      </c>
      <c r="L133" s="1" t="str">
        <f>IF(calc!$L133=1,calc!N133,"")</f>
        <v/>
      </c>
      <c r="M133" s="1" t="str">
        <f>IF(calc!$L133=1,calc!O133,"")</f>
        <v/>
      </c>
      <c r="N133" s="1" t="str">
        <f>IF(calc!$L133=1,calc!P133,"")</f>
        <v/>
      </c>
      <c r="O133">
        <f>'Entry data'!C$1</f>
        <v>20064</v>
      </c>
      <c r="P133" t="str">
        <f>'Entry data'!C$2</f>
        <v>NSH</v>
      </c>
      <c r="Q133" t="str">
        <f>'Entry data'!C$3</f>
        <v>Home</v>
      </c>
    </row>
    <row r="134" spans="1:17" x14ac:dyDescent="0.25">
      <c r="A134" s="1" t="str">
        <f>IF(calc!$L134=1,calc!B134,"")</f>
        <v/>
      </c>
      <c r="B134" s="5" t="str">
        <f>IF(calc!$L134=1,calc!C134,"")</f>
        <v/>
      </c>
      <c r="C134" s="1" t="str">
        <f>IF(calc!$L134=1,calc!D134,"")</f>
        <v/>
      </c>
      <c r="D134" s="1" t="str">
        <f>IF(calc!$L134=1,calc!E134,"")</f>
        <v/>
      </c>
      <c r="E134" s="1" t="str">
        <f>IF(calc!$L134=1,IF(EXACT(calc!$D134,"FAC"),"",calc!F134),"")</f>
        <v/>
      </c>
      <c r="F134" s="1" t="str">
        <f>IF(calc!$L134=1,IF(EXACT(calc!$D134,"FAC"),"",calc!G134),"")</f>
        <v/>
      </c>
      <c r="G134" s="1" t="str">
        <f>IF(calc!$L134=1,IF(EXACT(calc!$D134,"FAC"),"",calc!H134),"")</f>
        <v/>
      </c>
      <c r="H134" s="1" t="str">
        <f>IF(calc!$L134=1,IF(EXACT(calc!$D134,"FAC"),"",calc!I134),"")</f>
        <v/>
      </c>
      <c r="I134" s="1" t="str">
        <f>IF(calc!$L134=1,calc!J134,"")</f>
        <v/>
      </c>
      <c r="J134" s="1" t="str">
        <f>IF(calc!$L134=1,calc!K134,"")</f>
        <v/>
      </c>
      <c r="K134" s="1" t="str">
        <f>IF(calc!$L134=1,calc!M134,"")</f>
        <v/>
      </c>
      <c r="L134" s="1" t="str">
        <f>IF(calc!$L134=1,calc!N134,"")</f>
        <v/>
      </c>
      <c r="M134" s="1" t="str">
        <f>IF(calc!$L134=1,calc!O134,"")</f>
        <v/>
      </c>
      <c r="N134" s="1" t="str">
        <f>IF(calc!$L134=1,calc!P134,"")</f>
        <v/>
      </c>
      <c r="O134">
        <f>'Entry data'!C$1</f>
        <v>20064</v>
      </c>
      <c r="P134" t="str">
        <f>'Entry data'!C$2</f>
        <v>NSH</v>
      </c>
      <c r="Q134" t="str">
        <f>'Entry data'!C$3</f>
        <v>Home</v>
      </c>
    </row>
    <row r="135" spans="1:17" x14ac:dyDescent="0.25">
      <c r="A135" s="1">
        <f>IF(calc!$L135=1,calc!B135,"")</f>
        <v>1</v>
      </c>
      <c r="B135" s="5">
        <f>IF(calc!$L135=1,calc!C135,"")</f>
        <v>0.13055555555555554</v>
      </c>
      <c r="C135" s="1" t="str">
        <f>IF(calc!$L135=1,calc!D135,"")</f>
        <v>FAC</v>
      </c>
      <c r="D135" s="1" t="str">
        <f>IF(calc!$L135=1,calc!E135,"")</f>
        <v>OZF</v>
      </c>
      <c r="E135" s="1" t="str">
        <f>IF(calc!$L135=1,IF(EXACT(calc!$D135,"FAC"),"",calc!F135),"")</f>
        <v/>
      </c>
      <c r="F135" s="1" t="str">
        <f>IF(calc!$L135=1,IF(EXACT(calc!$D135,"FAC"),"",calc!G135),"")</f>
        <v/>
      </c>
      <c r="G135" s="1" t="str">
        <f>IF(calc!$L135=1,IF(EXACT(calc!$D135,"FAC"),"",calc!H135),"")</f>
        <v/>
      </c>
      <c r="H135" s="1" t="str">
        <f>IF(calc!$L135=1,IF(EXACT(calc!$D135,"FAC"),"",calc!I135),"")</f>
        <v/>
      </c>
      <c r="I135" s="1">
        <f>IF(calc!$L135=1,calc!J135,"")</f>
        <v>5</v>
      </c>
      <c r="J135" s="1">
        <f>IF(calc!$L135=1,calc!K135,"")</f>
        <v>5</v>
      </c>
      <c r="K135" s="1" t="str">
        <f>IF(calc!$L135=1,calc!M135,"")</f>
        <v/>
      </c>
      <c r="L135" s="1">
        <f>IF(calc!$L135=1,calc!N135,"")</f>
        <v>0</v>
      </c>
      <c r="M135" s="1">
        <f>IF(calc!$L135=1,calc!O135,"")</f>
        <v>0</v>
      </c>
      <c r="N135" s="1" t="str">
        <f>IF(calc!$L135=1,calc!P135,"")</f>
        <v/>
      </c>
      <c r="O135">
        <f>'Entry data'!C$1</f>
        <v>20064</v>
      </c>
      <c r="P135" t="str">
        <f>'Entry data'!C$2</f>
        <v>NSH</v>
      </c>
      <c r="Q135" t="str">
        <f>'Entry data'!C$3</f>
        <v>Home</v>
      </c>
    </row>
    <row r="136" spans="1:17" x14ac:dyDescent="0.25">
      <c r="A136" s="1">
        <f>IF(calc!$L136=1,calc!B136,"")</f>
        <v>1</v>
      </c>
      <c r="B136" s="5">
        <f>IF(calc!$L136=1,calc!C136,"")</f>
        <v>0.1111111111111111</v>
      </c>
      <c r="C136" s="1" t="str">
        <f>IF(calc!$L136=1,calc!D136,"")</f>
        <v>C</v>
      </c>
      <c r="D136" s="1" t="str">
        <f>IF(calc!$L136=1,calc!E136,"")</f>
        <v>56NSH</v>
      </c>
      <c r="E136" s="1" t="str">
        <f>IF(calc!$L136=1,IF(EXACT(calc!$D136,"FAC"),"",calc!F136),"")</f>
        <v>48DET</v>
      </c>
      <c r="F136" s="1" t="str">
        <f>IF(calc!$L136=1,IF(EXACT(calc!$D136,"FAC"),"",calc!G136),"")</f>
        <v>Y</v>
      </c>
      <c r="G136" s="1" t="str">
        <f>IF(calc!$L136=1,IF(EXACT(calc!$D136,"FAC"),"",calc!H136),"")</f>
        <v>C</v>
      </c>
      <c r="H136" s="1" t="str">
        <f>IF(calc!$L136=1,IF(EXACT(calc!$D136,"FAC"),"",calc!I136),"")</f>
        <v>N</v>
      </c>
      <c r="I136" s="1">
        <f>IF(calc!$L136=1,calc!J136,"")</f>
        <v>5</v>
      </c>
      <c r="J136" s="1">
        <f>IF(calc!$L136=1,calc!K136,"")</f>
        <v>5</v>
      </c>
      <c r="K136" s="1" t="str">
        <f>IF(calc!$L136=1,calc!M136,"")</f>
        <v>56NSH</v>
      </c>
      <c r="L136" s="1">
        <f>IF(calc!$L136=1,calc!N136,"")</f>
        <v>1</v>
      </c>
      <c r="M136" s="1">
        <f>IF(calc!$L136=1,calc!O136,"")</f>
        <v>0</v>
      </c>
      <c r="N136" s="1" t="str">
        <f>IF(calc!$L136=1,calc!P136,"")</f>
        <v/>
      </c>
      <c r="O136">
        <f>'Entry data'!C$1</f>
        <v>20064</v>
      </c>
      <c r="P136" t="str">
        <f>'Entry data'!C$2</f>
        <v>NSH</v>
      </c>
      <c r="Q136" t="str">
        <f>'Entry data'!C$3</f>
        <v>Home</v>
      </c>
    </row>
    <row r="137" spans="1:17" x14ac:dyDescent="0.25">
      <c r="A137" s="1" t="str">
        <f>IF(calc!$L137=1,calc!B137,"")</f>
        <v/>
      </c>
      <c r="B137" s="5" t="str">
        <f>IF(calc!$L137=1,calc!C137,"")</f>
        <v/>
      </c>
      <c r="C137" s="1" t="str">
        <f>IF(calc!$L137=1,calc!D137,"")</f>
        <v/>
      </c>
      <c r="D137" s="1" t="str">
        <f>IF(calc!$L137=1,calc!E137,"")</f>
        <v/>
      </c>
      <c r="E137" s="1" t="str">
        <f>IF(calc!$L137=1,IF(EXACT(calc!$D137,"FAC"),"",calc!F137),"")</f>
        <v/>
      </c>
      <c r="F137" s="1" t="str">
        <f>IF(calc!$L137=1,IF(EXACT(calc!$D137,"FAC"),"",calc!G137),"")</f>
        <v/>
      </c>
      <c r="G137" s="1" t="str">
        <f>IF(calc!$L137=1,IF(EXACT(calc!$D137,"FAC"),"",calc!H137),"")</f>
        <v/>
      </c>
      <c r="H137" s="1" t="str">
        <f>IF(calc!$L137=1,IF(EXACT(calc!$D137,"FAC"),"",calc!I137),"")</f>
        <v/>
      </c>
      <c r="I137" s="1" t="str">
        <f>IF(calc!$L137=1,calc!J137,"")</f>
        <v/>
      </c>
      <c r="J137" s="1" t="str">
        <f>IF(calc!$L137=1,calc!K137,"")</f>
        <v/>
      </c>
      <c r="K137" s="1" t="str">
        <f>IF(calc!$L137=1,calc!M137,"")</f>
        <v/>
      </c>
      <c r="L137" s="1" t="str">
        <f>IF(calc!$L137=1,calc!N137,"")</f>
        <v/>
      </c>
      <c r="M137" s="1" t="str">
        <f>IF(calc!$L137=1,calc!O137,"")</f>
        <v/>
      </c>
      <c r="N137" s="1" t="str">
        <f>IF(calc!$L137=1,calc!P137,"")</f>
        <v/>
      </c>
      <c r="O137">
        <f>'Entry data'!C$1</f>
        <v>20064</v>
      </c>
      <c r="P137" t="str">
        <f>'Entry data'!C$2</f>
        <v>NSH</v>
      </c>
      <c r="Q137" t="str">
        <f>'Entry data'!C$3</f>
        <v>Home</v>
      </c>
    </row>
    <row r="138" spans="1:17" x14ac:dyDescent="0.25">
      <c r="A138" s="1" t="str">
        <f>IF(calc!$L138=1,calc!B138,"")</f>
        <v/>
      </c>
      <c r="B138" s="5" t="str">
        <f>IF(calc!$L138=1,calc!C138,"")</f>
        <v/>
      </c>
      <c r="C138" s="1" t="str">
        <f>IF(calc!$L138=1,calc!D138,"")</f>
        <v/>
      </c>
      <c r="D138" s="1" t="str">
        <f>IF(calc!$L138=1,calc!E138,"")</f>
        <v/>
      </c>
      <c r="E138" s="1" t="str">
        <f>IF(calc!$L138=1,IF(EXACT(calc!$D138,"FAC"),"",calc!F138),"")</f>
        <v/>
      </c>
      <c r="F138" s="1" t="str">
        <f>IF(calc!$L138=1,IF(EXACT(calc!$D138,"FAC"),"",calc!G138),"")</f>
        <v/>
      </c>
      <c r="G138" s="1" t="str">
        <f>IF(calc!$L138=1,IF(EXACT(calc!$D138,"FAC"),"",calc!H138),"")</f>
        <v/>
      </c>
      <c r="H138" s="1" t="str">
        <f>IF(calc!$L138=1,IF(EXACT(calc!$D138,"FAC"),"",calc!I138),"")</f>
        <v/>
      </c>
      <c r="I138" s="1" t="str">
        <f>IF(calc!$L138=1,calc!J138,"")</f>
        <v/>
      </c>
      <c r="J138" s="1" t="str">
        <f>IF(calc!$L138=1,calc!K138,"")</f>
        <v/>
      </c>
      <c r="K138" s="1" t="str">
        <f>IF(calc!$L138=1,calc!M138,"")</f>
        <v/>
      </c>
      <c r="L138" s="1" t="str">
        <f>IF(calc!$L138=1,calc!N138,"")</f>
        <v/>
      </c>
      <c r="M138" s="1" t="str">
        <f>IF(calc!$L138=1,calc!O138,"")</f>
        <v/>
      </c>
      <c r="N138" s="1" t="str">
        <f>IF(calc!$L138=1,calc!P138,"")</f>
        <v/>
      </c>
      <c r="O138">
        <f>'Entry data'!C$1</f>
        <v>20064</v>
      </c>
      <c r="P138" t="str">
        <f>'Entry data'!C$2</f>
        <v>NSH</v>
      </c>
      <c r="Q138" t="str">
        <f>'Entry data'!C$3</f>
        <v>Home</v>
      </c>
    </row>
    <row r="139" spans="1:17" x14ac:dyDescent="0.25">
      <c r="A139" s="1">
        <f>IF(calc!$L139=1,calc!B139,"")</f>
        <v>1</v>
      </c>
      <c r="B139" s="5">
        <f>IF(calc!$L139=1,calc!C139,"")</f>
        <v>9.7222222222222224E-2</v>
      </c>
      <c r="C139" s="1" t="str">
        <f>IF(calc!$L139=1,calc!D139,"")</f>
        <v>D</v>
      </c>
      <c r="D139" s="1" t="str">
        <f>IF(calc!$L139=1,calc!E139,"")</f>
        <v>92NSH</v>
      </c>
      <c r="E139" s="1" t="str">
        <f>IF(calc!$L139=1,IF(EXACT(calc!$D139,"FAC"),"",calc!F139),"")</f>
        <v>N</v>
      </c>
      <c r="F139" s="1" t="str">
        <f>IF(calc!$L139=1,IF(EXACT(calc!$D139,"FAC"),"",calc!G139),"")</f>
        <v/>
      </c>
      <c r="G139" s="1" t="str">
        <f>IF(calc!$L139=1,IF(EXACT(calc!$D139,"FAC"),"",calc!H139),"")</f>
        <v>R</v>
      </c>
      <c r="H139" s="1" t="str">
        <f>IF(calc!$L139=1,IF(EXACT(calc!$D139,"FAC"),"",calc!I139),"")</f>
        <v>N</v>
      </c>
      <c r="I139" s="1">
        <f>IF(calc!$L139=1,calc!J139,"")</f>
        <v>5</v>
      </c>
      <c r="J139" s="1">
        <f>IF(calc!$L139=1,calc!K139,"")</f>
        <v>5</v>
      </c>
      <c r="K139" s="1" t="str">
        <f>IF(calc!$L139=1,calc!M139,"")</f>
        <v/>
      </c>
      <c r="L139" s="1">
        <f>IF(calc!$L139=1,calc!N139,"")</f>
        <v>4</v>
      </c>
      <c r="M139" s="1">
        <f>IF(calc!$L139=1,calc!O139,"")</f>
        <v>0</v>
      </c>
      <c r="N139" s="1" t="str">
        <f>IF(calc!$L139=1,calc!P139,"")</f>
        <v/>
      </c>
      <c r="O139">
        <f>'Entry data'!C$1</f>
        <v>20064</v>
      </c>
      <c r="P139" t="str">
        <f>'Entry data'!C$2</f>
        <v>NSH</v>
      </c>
      <c r="Q139" t="str">
        <f>'Entry data'!C$3</f>
        <v>Home</v>
      </c>
    </row>
    <row r="140" spans="1:17" x14ac:dyDescent="0.25">
      <c r="A140" s="1" t="str">
        <f>IF(calc!$L140=1,calc!B140,"")</f>
        <v/>
      </c>
      <c r="B140" s="5" t="str">
        <f>IF(calc!$L140=1,calc!C140,"")</f>
        <v/>
      </c>
      <c r="C140" s="1" t="str">
        <f>IF(calc!$L140=1,calc!D140,"")</f>
        <v/>
      </c>
      <c r="D140" s="1" t="str">
        <f>IF(calc!$L140=1,calc!E140,"")</f>
        <v/>
      </c>
      <c r="E140" s="1" t="str">
        <f>IF(calc!$L140=1,IF(EXACT(calc!$D140,"FAC"),"",calc!F140),"")</f>
        <v/>
      </c>
      <c r="F140" s="1" t="str">
        <f>IF(calc!$L140=1,IF(EXACT(calc!$D140,"FAC"),"",calc!G140),"")</f>
        <v/>
      </c>
      <c r="G140" s="1" t="str">
        <f>IF(calc!$L140=1,IF(EXACT(calc!$D140,"FAC"),"",calc!H140),"")</f>
        <v/>
      </c>
      <c r="H140" s="1" t="str">
        <f>IF(calc!$L140=1,IF(EXACT(calc!$D140,"FAC"),"",calc!I140),"")</f>
        <v/>
      </c>
      <c r="I140" s="1" t="str">
        <f>IF(calc!$L140=1,calc!J140,"")</f>
        <v/>
      </c>
      <c r="J140" s="1" t="str">
        <f>IF(calc!$L140=1,calc!K140,"")</f>
        <v/>
      </c>
      <c r="K140" s="1" t="str">
        <f>IF(calc!$L140=1,calc!M140,"")</f>
        <v/>
      </c>
      <c r="L140" s="1" t="str">
        <f>IF(calc!$L140=1,calc!N140,"")</f>
        <v/>
      </c>
      <c r="M140" s="1" t="str">
        <f>IF(calc!$L140=1,calc!O140,"")</f>
        <v/>
      </c>
      <c r="N140" s="1" t="str">
        <f>IF(calc!$L140=1,calc!P140,"")</f>
        <v/>
      </c>
      <c r="O140">
        <f>'Entry data'!C$1</f>
        <v>20064</v>
      </c>
      <c r="P140" t="str">
        <f>'Entry data'!C$2</f>
        <v>NSH</v>
      </c>
      <c r="Q140" t="str">
        <f>'Entry data'!C$3</f>
        <v>Home</v>
      </c>
    </row>
    <row r="141" spans="1:17" x14ac:dyDescent="0.25">
      <c r="A141" s="1" t="str">
        <f>IF(calc!$L141=1,calc!B141,"")</f>
        <v/>
      </c>
      <c r="B141" s="5" t="str">
        <f>IF(calc!$L141=1,calc!C141,"")</f>
        <v/>
      </c>
      <c r="C141" s="1" t="str">
        <f>IF(calc!$L141=1,calc!D141,"")</f>
        <v/>
      </c>
      <c r="D141" s="1" t="str">
        <f>IF(calc!$L141=1,calc!E141,"")</f>
        <v/>
      </c>
      <c r="E141" s="1" t="str">
        <f>IF(calc!$L141=1,IF(EXACT(calc!$D141,"FAC"),"",calc!F141),"")</f>
        <v/>
      </c>
      <c r="F141" s="1" t="str">
        <f>IF(calc!$L141=1,IF(EXACT(calc!$D141,"FAC"),"",calc!G141),"")</f>
        <v/>
      </c>
      <c r="G141" s="1" t="str">
        <f>IF(calc!$L141=1,IF(EXACT(calc!$D141,"FAC"),"",calc!H141),"")</f>
        <v/>
      </c>
      <c r="H141" s="1" t="str">
        <f>IF(calc!$L141=1,IF(EXACT(calc!$D141,"FAC"),"",calc!I141),"")</f>
        <v/>
      </c>
      <c r="I141" s="1" t="str">
        <f>IF(calc!$L141=1,calc!J141,"")</f>
        <v/>
      </c>
      <c r="J141" s="1" t="str">
        <f>IF(calc!$L141=1,calc!K141,"")</f>
        <v/>
      </c>
      <c r="K141" s="1" t="str">
        <f>IF(calc!$L141=1,calc!M141,"")</f>
        <v/>
      </c>
      <c r="L141" s="1" t="str">
        <f>IF(calc!$L141=1,calc!N141,"")</f>
        <v/>
      </c>
      <c r="M141" s="1" t="str">
        <f>IF(calc!$L141=1,calc!O141,"")</f>
        <v/>
      </c>
      <c r="N141" s="1" t="str">
        <f>IF(calc!$L141=1,calc!P141,"")</f>
        <v/>
      </c>
      <c r="O141">
        <f>'Entry data'!C$1</f>
        <v>20064</v>
      </c>
      <c r="P141" t="str">
        <f>'Entry data'!C$2</f>
        <v>NSH</v>
      </c>
      <c r="Q141" t="str">
        <f>'Entry data'!C$3</f>
        <v>Home</v>
      </c>
    </row>
    <row r="142" spans="1:17" x14ac:dyDescent="0.25">
      <c r="A142" s="1" t="str">
        <f>IF(calc!$L142=1,calc!B142,"")</f>
        <v/>
      </c>
      <c r="B142" s="5" t="str">
        <f>IF(calc!$L142=1,calc!C142,"")</f>
        <v/>
      </c>
      <c r="C142" s="1" t="str">
        <f>IF(calc!$L142=1,calc!D142,"")</f>
        <v/>
      </c>
      <c r="D142" s="1" t="str">
        <f>IF(calc!$L142=1,calc!E142,"")</f>
        <v/>
      </c>
      <c r="E142" s="1" t="str">
        <f>IF(calc!$L142=1,IF(EXACT(calc!$D142,"FAC"),"",calc!F142),"")</f>
        <v/>
      </c>
      <c r="F142" s="1" t="str">
        <f>IF(calc!$L142=1,IF(EXACT(calc!$D142,"FAC"),"",calc!G142),"")</f>
        <v/>
      </c>
      <c r="G142" s="1" t="str">
        <f>IF(calc!$L142=1,IF(EXACT(calc!$D142,"FAC"),"",calc!H142),"")</f>
        <v/>
      </c>
      <c r="H142" s="1" t="str">
        <f>IF(calc!$L142=1,IF(EXACT(calc!$D142,"FAC"),"",calc!I142),"")</f>
        <v/>
      </c>
      <c r="I142" s="1" t="str">
        <f>IF(calc!$L142=1,calc!J142,"")</f>
        <v/>
      </c>
      <c r="J142" s="1" t="str">
        <f>IF(calc!$L142=1,calc!K142,"")</f>
        <v/>
      </c>
      <c r="K142" s="1" t="str">
        <f>IF(calc!$L142=1,calc!M142,"")</f>
        <v/>
      </c>
      <c r="L142" s="1" t="str">
        <f>IF(calc!$L142=1,calc!N142,"")</f>
        <v/>
      </c>
      <c r="M142" s="1" t="str">
        <f>IF(calc!$L142=1,calc!O142,"")</f>
        <v/>
      </c>
      <c r="N142" s="1" t="str">
        <f>IF(calc!$L142=1,calc!P142,"")</f>
        <v/>
      </c>
      <c r="O142">
        <f>'Entry data'!C$1</f>
        <v>20064</v>
      </c>
      <c r="P142" t="str">
        <f>'Entry data'!C$2</f>
        <v>NSH</v>
      </c>
      <c r="Q142" t="str">
        <f>'Entry data'!C$3</f>
        <v>Home</v>
      </c>
    </row>
    <row r="143" spans="1:17" x14ac:dyDescent="0.25">
      <c r="A143" s="1" t="str">
        <f>IF(calc!$L143=1,calc!B143,"")</f>
        <v/>
      </c>
      <c r="B143" s="5" t="str">
        <f>IF(calc!$L143=1,calc!C143,"")</f>
        <v/>
      </c>
      <c r="C143" s="1" t="str">
        <f>IF(calc!$L143=1,calc!D143,"")</f>
        <v/>
      </c>
      <c r="D143" s="1" t="str">
        <f>IF(calc!$L143=1,calc!E143,"")</f>
        <v/>
      </c>
      <c r="E143" s="1" t="str">
        <f>IF(calc!$L143=1,IF(EXACT(calc!$D143,"FAC"),"",calc!F143),"")</f>
        <v/>
      </c>
      <c r="F143" s="1" t="str">
        <f>IF(calc!$L143=1,IF(EXACT(calc!$D143,"FAC"),"",calc!G143),"")</f>
        <v/>
      </c>
      <c r="G143" s="1" t="str">
        <f>IF(calc!$L143=1,IF(EXACT(calc!$D143,"FAC"),"",calc!H143),"")</f>
        <v/>
      </c>
      <c r="H143" s="1" t="str">
        <f>IF(calc!$L143=1,IF(EXACT(calc!$D143,"FAC"),"",calc!I143),"")</f>
        <v/>
      </c>
      <c r="I143" s="1" t="str">
        <f>IF(calc!$L143=1,calc!J143,"")</f>
        <v/>
      </c>
      <c r="J143" s="1" t="str">
        <f>IF(calc!$L143=1,calc!K143,"")</f>
        <v/>
      </c>
      <c r="K143" s="1" t="str">
        <f>IF(calc!$L143=1,calc!M143,"")</f>
        <v/>
      </c>
      <c r="L143" s="1" t="str">
        <f>IF(calc!$L143=1,calc!N143,"")</f>
        <v/>
      </c>
      <c r="M143" s="1" t="str">
        <f>IF(calc!$L143=1,calc!O143,"")</f>
        <v/>
      </c>
      <c r="N143" s="1" t="str">
        <f>IF(calc!$L143=1,calc!P143,"")</f>
        <v/>
      </c>
      <c r="O143">
        <f>'Entry data'!C$1</f>
        <v>20064</v>
      </c>
      <c r="P143" t="str">
        <f>'Entry data'!C$2</f>
        <v>NSH</v>
      </c>
      <c r="Q143" t="str">
        <f>'Entry data'!C$3</f>
        <v>Home</v>
      </c>
    </row>
    <row r="144" spans="1:17" x14ac:dyDescent="0.25">
      <c r="A144" s="1" t="str">
        <f>IF(calc!$L144=1,calc!B144,"")</f>
        <v/>
      </c>
      <c r="B144" s="5" t="str">
        <f>IF(calc!$L144=1,calc!C144,"")</f>
        <v/>
      </c>
      <c r="C144" s="1" t="str">
        <f>IF(calc!$L144=1,calc!D144,"")</f>
        <v/>
      </c>
      <c r="D144" s="1" t="str">
        <f>IF(calc!$L144=1,calc!E144,"")</f>
        <v/>
      </c>
      <c r="E144" s="1" t="str">
        <f>IF(calc!$L144=1,IF(EXACT(calc!$D144,"FAC"),"",calc!F144),"")</f>
        <v/>
      </c>
      <c r="F144" s="1" t="str">
        <f>IF(calc!$L144=1,IF(EXACT(calc!$D144,"FAC"),"",calc!G144),"")</f>
        <v/>
      </c>
      <c r="G144" s="1" t="str">
        <f>IF(calc!$L144=1,IF(EXACT(calc!$D144,"FAC"),"",calc!H144),"")</f>
        <v/>
      </c>
      <c r="H144" s="1" t="str">
        <f>IF(calc!$L144=1,IF(EXACT(calc!$D144,"FAC"),"",calc!I144),"")</f>
        <v/>
      </c>
      <c r="I144" s="1" t="str">
        <f>IF(calc!$L144=1,calc!J144,"")</f>
        <v/>
      </c>
      <c r="J144" s="1" t="str">
        <f>IF(calc!$L144=1,calc!K144,"")</f>
        <v/>
      </c>
      <c r="K144" s="1" t="str">
        <f>IF(calc!$L144=1,calc!M144,"")</f>
        <v/>
      </c>
      <c r="L144" s="1" t="str">
        <f>IF(calc!$L144=1,calc!N144,"")</f>
        <v/>
      </c>
      <c r="M144" s="1" t="str">
        <f>IF(calc!$L144=1,calc!O144,"")</f>
        <v/>
      </c>
      <c r="N144" s="1" t="str">
        <f>IF(calc!$L144=1,calc!P144,"")</f>
        <v/>
      </c>
      <c r="O144">
        <f>'Entry data'!C$1</f>
        <v>20064</v>
      </c>
      <c r="P144" t="str">
        <f>'Entry data'!C$2</f>
        <v>NSH</v>
      </c>
      <c r="Q144" t="str">
        <f>'Entry data'!C$3</f>
        <v>Home</v>
      </c>
    </row>
    <row r="145" spans="1:17" x14ac:dyDescent="0.25">
      <c r="A145" s="1">
        <f>IF(calc!$L145=1,calc!B145,"")</f>
        <v>1</v>
      </c>
      <c r="B145" s="5">
        <f>IF(calc!$L145=1,calc!C145,"")</f>
        <v>4.4444444444444446E-2</v>
      </c>
      <c r="C145" s="1" t="str">
        <f>IF(calc!$L145=1,calc!D145,"")</f>
        <v>C</v>
      </c>
      <c r="D145" s="1" t="str">
        <f>IF(calc!$L145=1,calc!E145,"")</f>
        <v>8DET</v>
      </c>
      <c r="E145" s="1" t="str">
        <f>IF(calc!$L145=1,IF(EXACT(calc!$D145,"FAC"),"",calc!F145),"")</f>
        <v>4NSH</v>
      </c>
      <c r="F145" s="1" t="str">
        <f>IF(calc!$L145=1,IF(EXACT(calc!$D145,"FAC"),"",calc!G145),"")</f>
        <v>N</v>
      </c>
      <c r="G145" s="1" t="str">
        <f>IF(calc!$L145=1,IF(EXACT(calc!$D145,"FAC"),"",calc!H145),"")</f>
        <v>C</v>
      </c>
      <c r="H145" s="1" t="str">
        <f>IF(calc!$L145=1,IF(EXACT(calc!$D145,"FAC"),"",calc!I145),"")</f>
        <v>N</v>
      </c>
      <c r="I145" s="1">
        <f>IF(calc!$L145=1,calc!J145,"")</f>
        <v>5</v>
      </c>
      <c r="J145" s="1">
        <f>IF(calc!$L145=1,calc!K145,"")</f>
        <v>5</v>
      </c>
      <c r="K145" s="1" t="str">
        <f>IF(calc!$L145=1,calc!M145,"")</f>
        <v>8DET</v>
      </c>
      <c r="L145" s="1">
        <f>IF(calc!$L145=1,calc!N145,"")</f>
        <v>0</v>
      </c>
      <c r="M145" s="1">
        <f>IF(calc!$L145=1,calc!O145,"")</f>
        <v>0</v>
      </c>
      <c r="N145" s="1" t="str">
        <f>IF(calc!$L145=1,calc!P145,"")</f>
        <v/>
      </c>
      <c r="O145">
        <f>'Entry data'!C$1</f>
        <v>20064</v>
      </c>
      <c r="P145" t="str">
        <f>'Entry data'!C$2</f>
        <v>NSH</v>
      </c>
      <c r="Q145" t="str">
        <f>'Entry data'!C$3</f>
        <v>Home</v>
      </c>
    </row>
    <row r="146" spans="1:17" x14ac:dyDescent="0.25">
      <c r="A146" s="1">
        <f>IF(calc!$L146=1,calc!B146,"")</f>
        <v>1</v>
      </c>
      <c r="B146" s="5">
        <f>IF(calc!$L146=1,calc!C146,"")</f>
        <v>3.888888888888889E-2</v>
      </c>
      <c r="C146" s="1" t="str">
        <f>IF(calc!$L146=1,calc!D146,"")</f>
        <v>F</v>
      </c>
      <c r="D146" s="1" t="str">
        <f>IF(calc!$L146=1,calc!E146,"")</f>
        <v>63NSH</v>
      </c>
      <c r="E146" s="1" t="str">
        <f>IF(calc!$L146=1,IF(EXACT(calc!$D146,"FAC"),"",calc!F146),"")</f>
        <v>53DET</v>
      </c>
      <c r="F146" s="1" t="str">
        <f>IF(calc!$L146=1,IF(EXACT(calc!$D146,"FAC"),"",calc!G146),"")</f>
        <v/>
      </c>
      <c r="G146" s="1" t="str">
        <f>IF(calc!$L146=1,IF(EXACT(calc!$D146,"FAC"),"",calc!H146),"")</f>
        <v>L</v>
      </c>
      <c r="H146" s="1" t="str">
        <f>IF(calc!$L146=1,IF(EXACT(calc!$D146,"FAC"),"",calc!I146),"")</f>
        <v>N</v>
      </c>
      <c r="I146" s="1">
        <f>IF(calc!$L146=1,calc!J146,"")</f>
        <v>5</v>
      </c>
      <c r="J146" s="1">
        <f>IF(calc!$L146=1,calc!K146,"")</f>
        <v>5</v>
      </c>
      <c r="K146" s="1" t="str">
        <f>IF(calc!$L146=1,calc!M146,"")</f>
        <v/>
      </c>
      <c r="L146" s="1">
        <f>IF(calc!$L146=1,calc!N146,"")</f>
        <v>0</v>
      </c>
      <c r="M146" s="1">
        <f>IF(calc!$L146=1,calc!O146,"")</f>
        <v>0</v>
      </c>
      <c r="N146" s="1" t="str">
        <f>IF(calc!$L146=1,calc!P146,"")</f>
        <v>63NSH</v>
      </c>
      <c r="O146">
        <f>'Entry data'!C$1</f>
        <v>20064</v>
      </c>
      <c r="P146" t="str">
        <f>'Entry data'!C$2</f>
        <v>NSH</v>
      </c>
      <c r="Q146" t="str">
        <f>'Entry data'!C$3</f>
        <v>Home</v>
      </c>
    </row>
    <row r="147" spans="1:17" x14ac:dyDescent="0.25">
      <c r="A147" s="1">
        <f>IF(calc!$L147=1,calc!B147,"")</f>
        <v>1</v>
      </c>
      <c r="B147" s="5">
        <f>IF(calc!$L147=1,calc!C147,"")</f>
        <v>3.6805555555555557E-2</v>
      </c>
      <c r="C147" s="1" t="str">
        <f>IF(calc!$L147=1,calc!D147,"")</f>
        <v>D</v>
      </c>
      <c r="D147" s="1" t="str">
        <f>IF(calc!$L147=1,calc!E147,"")</f>
        <v>40DET</v>
      </c>
      <c r="E147" s="1" t="str">
        <f>IF(calc!$L147=1,IF(EXACT(calc!$D147,"FAC"),"",calc!F147),"")</f>
        <v>4NSH</v>
      </c>
      <c r="F147" s="1" t="str">
        <f>IF(calc!$L147=1,IF(EXACT(calc!$D147,"FAC"),"",calc!G147),"")</f>
        <v/>
      </c>
      <c r="G147" s="1" t="str">
        <f>IF(calc!$L147=1,IF(EXACT(calc!$D147,"FAC"),"",calc!H147),"")</f>
        <v>L</v>
      </c>
      <c r="H147" s="1" t="str">
        <f>IF(calc!$L147=1,IF(EXACT(calc!$D147,"FAC"),"",calc!I147),"")</f>
        <v>N</v>
      </c>
      <c r="I147" s="1">
        <f>IF(calc!$L147=1,calc!J147,"")</f>
        <v>5</v>
      </c>
      <c r="J147" s="1">
        <f>IF(calc!$L147=1,calc!K147,"")</f>
        <v>5</v>
      </c>
      <c r="K147" s="1" t="str">
        <f>IF(calc!$L147=1,calc!M147,"")</f>
        <v/>
      </c>
      <c r="L147" s="1">
        <f>IF(calc!$L147=1,calc!N147,"")</f>
        <v>1</v>
      </c>
      <c r="M147" s="1">
        <f>IF(calc!$L147=1,calc!O147,"")</f>
        <v>0</v>
      </c>
      <c r="N147" s="1" t="str">
        <f>IF(calc!$L147=1,calc!P147,"")</f>
        <v/>
      </c>
      <c r="O147">
        <f>'Entry data'!C$1</f>
        <v>20064</v>
      </c>
      <c r="P147" t="str">
        <f>'Entry data'!C$2</f>
        <v>NSH</v>
      </c>
      <c r="Q147" t="str">
        <f>'Entry data'!C$3</f>
        <v>Home</v>
      </c>
    </row>
    <row r="148" spans="1:17" x14ac:dyDescent="0.25">
      <c r="A148" s="1" t="str">
        <f>IF(calc!$L148=1,calc!B148,"")</f>
        <v/>
      </c>
      <c r="B148" s="5" t="str">
        <f>IF(calc!$L148=1,calc!C148,"")</f>
        <v/>
      </c>
      <c r="C148" s="1" t="str">
        <f>IF(calc!$L148=1,calc!D148,"")</f>
        <v/>
      </c>
      <c r="D148" s="1" t="str">
        <f>IF(calc!$L148=1,calc!E148,"")</f>
        <v/>
      </c>
      <c r="E148" s="1" t="str">
        <f>IF(calc!$L148=1,IF(EXACT(calc!$D148,"FAC"),"",calc!F148),"")</f>
        <v/>
      </c>
      <c r="F148" s="1" t="str">
        <f>IF(calc!$L148=1,IF(EXACT(calc!$D148,"FAC"),"",calc!G148),"")</f>
        <v/>
      </c>
      <c r="G148" s="1" t="str">
        <f>IF(calc!$L148=1,IF(EXACT(calc!$D148,"FAC"),"",calc!H148),"")</f>
        <v/>
      </c>
      <c r="H148" s="1" t="str">
        <f>IF(calc!$L148=1,IF(EXACT(calc!$D148,"FAC"),"",calc!I148),"")</f>
        <v/>
      </c>
      <c r="I148" s="1" t="str">
        <f>IF(calc!$L148=1,calc!J148,"")</f>
        <v/>
      </c>
      <c r="J148" s="1" t="str">
        <f>IF(calc!$L148=1,calc!K148,"")</f>
        <v/>
      </c>
      <c r="K148" s="1" t="str">
        <f>IF(calc!$L148=1,calc!M148,"")</f>
        <v/>
      </c>
      <c r="L148" s="1" t="str">
        <f>IF(calc!$L148=1,calc!N148,"")</f>
        <v/>
      </c>
      <c r="M148" s="1" t="str">
        <f>IF(calc!$L148=1,calc!O148,"")</f>
        <v/>
      </c>
      <c r="N148" s="1" t="str">
        <f>IF(calc!$L148=1,calc!P148,"")</f>
        <v/>
      </c>
      <c r="O148">
        <f>'Entry data'!C$1</f>
        <v>20064</v>
      </c>
      <c r="P148" t="str">
        <f>'Entry data'!C$2</f>
        <v>NSH</v>
      </c>
      <c r="Q148" t="str">
        <f>'Entry data'!C$3</f>
        <v>Home</v>
      </c>
    </row>
    <row r="149" spans="1:17" x14ac:dyDescent="0.25">
      <c r="A149" s="1" t="str">
        <f>IF(calc!$L149=1,calc!B149,"")</f>
        <v/>
      </c>
      <c r="B149" s="5" t="str">
        <f>IF(calc!$L149=1,calc!C149,"")</f>
        <v/>
      </c>
      <c r="C149" s="1" t="str">
        <f>IF(calc!$L149=1,calc!D149,"")</f>
        <v/>
      </c>
      <c r="D149" s="1" t="str">
        <f>IF(calc!$L149=1,calc!E149,"")</f>
        <v/>
      </c>
      <c r="E149" s="1" t="str">
        <f>IF(calc!$L149=1,IF(EXACT(calc!$D149,"FAC"),"",calc!F149),"")</f>
        <v/>
      </c>
      <c r="F149" s="1" t="str">
        <f>IF(calc!$L149=1,IF(EXACT(calc!$D149,"FAC"),"",calc!G149),"")</f>
        <v/>
      </c>
      <c r="G149" s="1" t="str">
        <f>IF(calc!$L149=1,IF(EXACT(calc!$D149,"FAC"),"",calc!H149),"")</f>
        <v/>
      </c>
      <c r="H149" s="1" t="str">
        <f>IF(calc!$L149=1,IF(EXACT(calc!$D149,"FAC"),"",calc!I149),"")</f>
        <v/>
      </c>
      <c r="I149" s="1" t="str">
        <f>IF(calc!$L149=1,calc!J149,"")</f>
        <v/>
      </c>
      <c r="J149" s="1" t="str">
        <f>IF(calc!$L149=1,calc!K149,"")</f>
        <v/>
      </c>
      <c r="K149" s="1" t="str">
        <f>IF(calc!$L149=1,calc!M149,"")</f>
        <v/>
      </c>
      <c r="L149" s="1" t="str">
        <f>IF(calc!$L149=1,calc!N149,"")</f>
        <v/>
      </c>
      <c r="M149" s="1" t="str">
        <f>IF(calc!$L149=1,calc!O149,"")</f>
        <v/>
      </c>
      <c r="N149" s="1" t="str">
        <f>IF(calc!$L149=1,calc!P149,"")</f>
        <v/>
      </c>
      <c r="O149">
        <f>'Entry data'!C$1</f>
        <v>20064</v>
      </c>
      <c r="P149" t="str">
        <f>'Entry data'!C$2</f>
        <v>NSH</v>
      </c>
      <c r="Q149" t="str">
        <f>'Entry data'!C$3</f>
        <v>Home</v>
      </c>
    </row>
    <row r="150" spans="1:17" x14ac:dyDescent="0.25">
      <c r="A150" s="1" t="str">
        <f>IF(calc!$L150=1,calc!B150,"")</f>
        <v/>
      </c>
      <c r="B150" s="5" t="str">
        <f>IF(calc!$L150=1,calc!C150,"")</f>
        <v/>
      </c>
      <c r="C150" s="1" t="str">
        <f>IF(calc!$L150=1,calc!D150,"")</f>
        <v/>
      </c>
      <c r="D150" s="1" t="str">
        <f>IF(calc!$L150=1,calc!E150,"")</f>
        <v/>
      </c>
      <c r="E150" s="1" t="str">
        <f>IF(calc!$L150=1,IF(EXACT(calc!$D150,"FAC"),"",calc!F150),"")</f>
        <v/>
      </c>
      <c r="F150" s="1" t="str">
        <f>IF(calc!$L150=1,IF(EXACT(calc!$D150,"FAC"),"",calc!G150),"")</f>
        <v/>
      </c>
      <c r="G150" s="1" t="str">
        <f>IF(calc!$L150=1,IF(EXACT(calc!$D150,"FAC"),"",calc!H150),"")</f>
        <v/>
      </c>
      <c r="H150" s="1" t="str">
        <f>IF(calc!$L150=1,IF(EXACT(calc!$D150,"FAC"),"",calc!I150),"")</f>
        <v/>
      </c>
      <c r="I150" s="1" t="str">
        <f>IF(calc!$L150=1,calc!J150,"")</f>
        <v/>
      </c>
      <c r="J150" s="1" t="str">
        <f>IF(calc!$L150=1,calc!K150,"")</f>
        <v/>
      </c>
      <c r="K150" s="1" t="str">
        <f>IF(calc!$L150=1,calc!M150,"")</f>
        <v/>
      </c>
      <c r="L150" s="1" t="str">
        <f>IF(calc!$L150=1,calc!N150,"")</f>
        <v/>
      </c>
      <c r="M150" s="1" t="str">
        <f>IF(calc!$L150=1,calc!O150,"")</f>
        <v/>
      </c>
      <c r="N150" s="1" t="str">
        <f>IF(calc!$L150=1,calc!P150,"")</f>
        <v/>
      </c>
      <c r="O150">
        <f>'Entry data'!C$1</f>
        <v>20064</v>
      </c>
      <c r="P150" t="str">
        <f>'Entry data'!C$2</f>
        <v>NSH</v>
      </c>
      <c r="Q150" t="str">
        <f>'Entry data'!C$3</f>
        <v>Home</v>
      </c>
    </row>
    <row r="151" spans="1:17" x14ac:dyDescent="0.25">
      <c r="A151" s="1">
        <f>IF(calc!$L151=1,calc!B151,"")</f>
        <v>1</v>
      </c>
      <c r="B151" s="5">
        <f>IF(calc!$L151=1,calc!C151,"")</f>
        <v>1.6666666666666666E-2</v>
      </c>
      <c r="C151" s="1" t="str">
        <f>IF(calc!$L151=1,calc!D151,"")</f>
        <v>D</v>
      </c>
      <c r="D151" s="1" t="str">
        <f>IF(calc!$L151=1,calc!E151,"")</f>
        <v>15NSH</v>
      </c>
      <c r="E151" s="1" t="str">
        <f>IF(calc!$L151=1,IF(EXACT(calc!$D151,"FAC"),"",calc!F151),"")</f>
        <v>71DET</v>
      </c>
      <c r="F151" s="1" t="str">
        <f>IF(calc!$L151=1,IF(EXACT(calc!$D151,"FAC"),"",calc!G151),"")</f>
        <v/>
      </c>
      <c r="G151" s="1" t="str">
        <f>IF(calc!$L151=1,IF(EXACT(calc!$D151,"FAC"),"",calc!H151),"")</f>
        <v>C</v>
      </c>
      <c r="H151" s="1" t="str">
        <f>IF(calc!$L151=1,IF(EXACT(calc!$D151,"FAC"),"",calc!I151),"")</f>
        <v>N</v>
      </c>
      <c r="I151" s="1">
        <f>IF(calc!$L151=1,calc!J151,"")</f>
        <v>5</v>
      </c>
      <c r="J151" s="1">
        <f>IF(calc!$L151=1,calc!K151,"")</f>
        <v>5</v>
      </c>
      <c r="K151" s="1" t="str">
        <f>IF(calc!$L151=1,calc!M151,"")</f>
        <v/>
      </c>
      <c r="L151" s="1">
        <f>IF(calc!$L151=1,calc!N151,"")</f>
        <v>0</v>
      </c>
      <c r="M151" s="1">
        <f>IF(calc!$L151=1,calc!O151,"")</f>
        <v>0</v>
      </c>
      <c r="N151" s="1" t="str">
        <f>IF(calc!$L151=1,calc!P151,"")</f>
        <v/>
      </c>
      <c r="O151">
        <f>'Entry data'!C$1</f>
        <v>20064</v>
      </c>
      <c r="P151" t="str">
        <f>'Entry data'!C$2</f>
        <v>NSH</v>
      </c>
      <c r="Q151" t="str">
        <f>'Entry data'!C$3</f>
        <v>Home</v>
      </c>
    </row>
    <row r="152" spans="1:17" x14ac:dyDescent="0.25">
      <c r="A152" s="1">
        <f>IF(calc!$L152=1,calc!B152,"")</f>
        <v>1</v>
      </c>
      <c r="B152" s="5">
        <f>IF(calc!$L152=1,calc!C152,"")</f>
        <v>9.0277777777777787E-3</v>
      </c>
      <c r="C152" s="1" t="str">
        <f>IF(calc!$L152=1,calc!D152,"")</f>
        <v>D</v>
      </c>
      <c r="D152" s="1" t="str">
        <f>IF(calc!$L152=1,calc!E152,"")</f>
        <v>12NSH</v>
      </c>
      <c r="E152" s="1" t="str">
        <f>IF(calc!$L152=1,IF(EXACT(calc!$D152,"FAC"),"",calc!F152),"")</f>
        <v>N</v>
      </c>
      <c r="F152" s="1" t="str">
        <f>IF(calc!$L152=1,IF(EXACT(calc!$D152,"FAC"),"",calc!G152),"")</f>
        <v/>
      </c>
      <c r="G152" s="1" t="str">
        <f>IF(calc!$L152=1,IF(EXACT(calc!$D152,"FAC"),"",calc!H152),"")</f>
        <v>R</v>
      </c>
      <c r="H152" s="1" t="str">
        <f>IF(calc!$L152=1,IF(EXACT(calc!$D152,"FAC"),"",calc!I152),"")</f>
        <v>N</v>
      </c>
      <c r="I152" s="1">
        <f>IF(calc!$L152=1,calc!J152,"")</f>
        <v>5</v>
      </c>
      <c r="J152" s="1">
        <f>IF(calc!$L152=1,calc!K152,"")</f>
        <v>5</v>
      </c>
      <c r="K152" s="1" t="str">
        <f>IF(calc!$L152=1,calc!M152,"")</f>
        <v/>
      </c>
      <c r="L152" s="1">
        <f>IF(calc!$L152=1,calc!N152,"")</f>
        <v>0</v>
      </c>
      <c r="M152" s="1">
        <f>IF(calc!$L152=1,calc!O152,"")</f>
        <v>0</v>
      </c>
      <c r="N152" s="1" t="str">
        <f>IF(calc!$L152=1,calc!P152,"")</f>
        <v/>
      </c>
      <c r="O152">
        <f>'Entry data'!C$1</f>
        <v>20064</v>
      </c>
      <c r="P152" t="str">
        <f>'Entry data'!C$2</f>
        <v>NSH</v>
      </c>
      <c r="Q152" t="str">
        <f>'Entry data'!C$3</f>
        <v>Home</v>
      </c>
    </row>
    <row r="153" spans="1:17" x14ac:dyDescent="0.25">
      <c r="A153" s="1" t="str">
        <f>IF(calc!$L153=1,calc!B153,"")</f>
        <v/>
      </c>
      <c r="B153" s="5" t="str">
        <f>IF(calc!$L153=1,calc!C153,"")</f>
        <v/>
      </c>
      <c r="C153" s="1" t="str">
        <f>IF(calc!$L153=1,calc!D153,"")</f>
        <v/>
      </c>
      <c r="D153" s="1" t="str">
        <f>IF(calc!$L153=1,calc!E153,"")</f>
        <v/>
      </c>
      <c r="E153" s="1" t="str">
        <f>IF(calc!$L153=1,IF(EXACT(calc!$D153,"FAC"),"",calc!F153),"")</f>
        <v/>
      </c>
      <c r="F153" s="1" t="str">
        <f>IF(calc!$L153=1,IF(EXACT(calc!$D153,"FAC"),"",calc!G153),"")</f>
        <v/>
      </c>
      <c r="G153" s="1" t="str">
        <f>IF(calc!$L153=1,IF(EXACT(calc!$D153,"FAC"),"",calc!H153),"")</f>
        <v/>
      </c>
      <c r="H153" s="1" t="str">
        <f>IF(calc!$L153=1,IF(EXACT(calc!$D153,"FAC"),"",calc!I153),"")</f>
        <v/>
      </c>
      <c r="I153" s="1" t="str">
        <f>IF(calc!$L153=1,calc!J153,"")</f>
        <v/>
      </c>
      <c r="J153" s="1" t="str">
        <f>IF(calc!$L153=1,calc!K153,"")</f>
        <v/>
      </c>
      <c r="K153" s="1" t="str">
        <f>IF(calc!$L153=1,calc!M153,"")</f>
        <v/>
      </c>
      <c r="L153" s="1" t="str">
        <f>IF(calc!$L153=1,calc!N153,"")</f>
        <v/>
      </c>
      <c r="M153" s="1" t="str">
        <f>IF(calc!$L153=1,calc!O153,"")</f>
        <v/>
      </c>
      <c r="N153" s="1" t="str">
        <f>IF(calc!$L153=1,calc!P153,"")</f>
        <v/>
      </c>
      <c r="O153">
        <f>'Entry data'!C$1</f>
        <v>20064</v>
      </c>
      <c r="P153" t="str">
        <f>'Entry data'!C$2</f>
        <v>NSH</v>
      </c>
      <c r="Q153" t="str">
        <f>'Entry data'!C$3</f>
        <v>Home</v>
      </c>
    </row>
    <row r="154" spans="1:17" x14ac:dyDescent="0.25">
      <c r="A154" s="1" t="str">
        <f>IF(calc!$L154=1,calc!B154,"")</f>
        <v/>
      </c>
      <c r="B154" s="5" t="str">
        <f>IF(calc!$L154=1,calc!C154,"")</f>
        <v/>
      </c>
      <c r="C154" s="1" t="str">
        <f>IF(calc!$L154=1,calc!D154,"")</f>
        <v/>
      </c>
      <c r="D154" s="1" t="str">
        <f>IF(calc!$L154=1,calc!E154,"")</f>
        <v/>
      </c>
      <c r="E154" s="1" t="str">
        <f>IF(calc!$L154=1,IF(EXACT(calc!$D154,"FAC"),"",calc!F154),"")</f>
        <v/>
      </c>
      <c r="F154" s="1" t="str">
        <f>IF(calc!$L154=1,IF(EXACT(calc!$D154,"FAC"),"",calc!G154),"")</f>
        <v/>
      </c>
      <c r="G154" s="1" t="str">
        <f>IF(calc!$L154=1,IF(EXACT(calc!$D154,"FAC"),"",calc!H154),"")</f>
        <v/>
      </c>
      <c r="H154" s="1" t="str">
        <f>IF(calc!$L154=1,IF(EXACT(calc!$D154,"FAC"),"",calc!I154),"")</f>
        <v/>
      </c>
      <c r="I154" s="1" t="str">
        <f>IF(calc!$L154=1,calc!J154,"")</f>
        <v/>
      </c>
      <c r="J154" s="1" t="str">
        <f>IF(calc!$L154=1,calc!K154,"")</f>
        <v/>
      </c>
      <c r="K154" s="1" t="str">
        <f>IF(calc!$L154=1,calc!M154,"")</f>
        <v/>
      </c>
      <c r="L154" s="1" t="str">
        <f>IF(calc!$L154=1,calc!N154,"")</f>
        <v/>
      </c>
      <c r="M154" s="1" t="str">
        <f>IF(calc!$L154=1,calc!O154,"")</f>
        <v/>
      </c>
      <c r="N154" s="1" t="str">
        <f>IF(calc!$L154=1,calc!P154,"")</f>
        <v/>
      </c>
      <c r="O154">
        <f>'Entry data'!C$1</f>
        <v>20064</v>
      </c>
      <c r="P154" t="str">
        <f>'Entry data'!C$2</f>
        <v>NSH</v>
      </c>
      <c r="Q154" t="str">
        <f>'Entry data'!C$3</f>
        <v>Home</v>
      </c>
    </row>
    <row r="155" spans="1:17" x14ac:dyDescent="0.25">
      <c r="A155" s="1" t="str">
        <f>IF(calc!$L155=1,calc!B155,"")</f>
        <v/>
      </c>
      <c r="B155" s="5" t="str">
        <f>IF(calc!$L155=1,calc!C155,"")</f>
        <v/>
      </c>
      <c r="C155" s="1" t="str">
        <f>IF(calc!$L155=1,calc!D155,"")</f>
        <v/>
      </c>
      <c r="D155" s="1" t="str">
        <f>IF(calc!$L155=1,calc!E155,"")</f>
        <v/>
      </c>
      <c r="E155" s="1" t="str">
        <f>IF(calc!$L155=1,IF(EXACT(calc!$D155,"FAC"),"",calc!F155),"")</f>
        <v/>
      </c>
      <c r="F155" s="1" t="str">
        <f>IF(calc!$L155=1,IF(EXACT(calc!$D155,"FAC"),"",calc!G155),"")</f>
        <v/>
      </c>
      <c r="G155" s="1" t="str">
        <f>IF(calc!$L155=1,IF(EXACT(calc!$D155,"FAC"),"",calc!H155),"")</f>
        <v/>
      </c>
      <c r="H155" s="1" t="str">
        <f>IF(calc!$L155=1,IF(EXACT(calc!$D155,"FAC"),"",calc!I155),"")</f>
        <v/>
      </c>
      <c r="I155" s="1" t="str">
        <f>IF(calc!$L155=1,calc!J155,"")</f>
        <v/>
      </c>
      <c r="J155" s="1" t="str">
        <f>IF(calc!$L155=1,calc!K155,"")</f>
        <v/>
      </c>
      <c r="K155" s="1" t="str">
        <f>IF(calc!$L155=1,calc!M155,"")</f>
        <v/>
      </c>
      <c r="L155" s="1" t="str">
        <f>IF(calc!$L155=1,calc!N155,"")</f>
        <v/>
      </c>
      <c r="M155" s="1" t="str">
        <f>IF(calc!$L155=1,calc!O155,"")</f>
        <v/>
      </c>
      <c r="N155" s="1" t="str">
        <f>IF(calc!$L155=1,calc!P155,"")</f>
        <v/>
      </c>
      <c r="O155">
        <f>'Entry data'!C$1</f>
        <v>20064</v>
      </c>
      <c r="P155" t="str">
        <f>'Entry data'!C$2</f>
        <v>NSH</v>
      </c>
      <c r="Q155" t="str">
        <f>'Entry data'!C$3</f>
        <v>Home</v>
      </c>
    </row>
    <row r="156" spans="1:17" x14ac:dyDescent="0.25">
      <c r="A156" s="1" t="str">
        <f>IF(calc!$L156=1,calc!B156,"")</f>
        <v/>
      </c>
      <c r="B156" s="5" t="str">
        <f>IF(calc!$L156=1,calc!C156,"")</f>
        <v/>
      </c>
      <c r="C156" s="1" t="str">
        <f>IF(calc!$L156=1,calc!D156,"")</f>
        <v/>
      </c>
      <c r="D156" s="1" t="str">
        <f>IF(calc!$L156=1,calc!E156,"")</f>
        <v/>
      </c>
      <c r="E156" s="1" t="str">
        <f>IF(calc!$L156=1,IF(EXACT(calc!$D156,"FAC"),"",calc!F156),"")</f>
        <v/>
      </c>
      <c r="F156" s="1" t="str">
        <f>IF(calc!$L156=1,IF(EXACT(calc!$D156,"FAC"),"",calc!G156),"")</f>
        <v/>
      </c>
      <c r="G156" s="1" t="str">
        <f>IF(calc!$L156=1,IF(EXACT(calc!$D156,"FAC"),"",calc!H156),"")</f>
        <v/>
      </c>
      <c r="H156" s="1" t="str">
        <f>IF(calc!$L156=1,IF(EXACT(calc!$D156,"FAC"),"",calc!I156),"")</f>
        <v/>
      </c>
      <c r="I156" s="1" t="str">
        <f>IF(calc!$L156=1,calc!J156,"")</f>
        <v/>
      </c>
      <c r="J156" s="1" t="str">
        <f>IF(calc!$L156=1,calc!K156,"")</f>
        <v/>
      </c>
      <c r="K156" s="1" t="str">
        <f>IF(calc!$L156=1,calc!M156,"")</f>
        <v/>
      </c>
      <c r="L156" s="1" t="str">
        <f>IF(calc!$L156=1,calc!N156,"")</f>
        <v/>
      </c>
      <c r="M156" s="1" t="str">
        <f>IF(calc!$L156=1,calc!O156,"")</f>
        <v/>
      </c>
      <c r="N156" s="1" t="str">
        <f>IF(calc!$L156=1,calc!P156,"")</f>
        <v/>
      </c>
      <c r="O156">
        <f>'Entry data'!C$1</f>
        <v>20064</v>
      </c>
      <c r="P156" t="str">
        <f>'Entry data'!C$2</f>
        <v>NSH</v>
      </c>
      <c r="Q156" t="str">
        <f>'Entry data'!C$3</f>
        <v>Home</v>
      </c>
    </row>
    <row r="157" spans="1:17" x14ac:dyDescent="0.25">
      <c r="A157" s="1">
        <f>IF(calc!$L157=1,calc!B157,"")</f>
        <v>2</v>
      </c>
      <c r="B157" s="5">
        <f>IF(calc!$L157=1,calc!C157,"")</f>
        <v>0.82847222222222217</v>
      </c>
      <c r="C157" s="1" t="str">
        <f>IF(calc!$L157=1,calc!D157,"")</f>
        <v>C</v>
      </c>
      <c r="D157" s="1" t="str">
        <f>IF(calc!$L157=1,calc!E157,"")</f>
        <v>56NSH</v>
      </c>
      <c r="E157" s="1" t="str">
        <f>IF(calc!$L157=1,IF(EXACT(calc!$D157,"FAC"),"",calc!F157),"")</f>
        <v>25DET</v>
      </c>
      <c r="F157" s="1" t="str">
        <f>IF(calc!$L157=1,IF(EXACT(calc!$D157,"FAC"),"",calc!G157),"")</f>
        <v>N</v>
      </c>
      <c r="G157" s="1" t="str">
        <f>IF(calc!$L157=1,IF(EXACT(calc!$D157,"FAC"),"",calc!H157),"")</f>
        <v>C</v>
      </c>
      <c r="H157" s="1" t="str">
        <f>IF(calc!$L157=1,IF(EXACT(calc!$D157,"FAC"),"",calc!I157),"")</f>
        <v>N</v>
      </c>
      <c r="I157" s="1">
        <f>IF(calc!$L157=1,calc!J157,"")</f>
        <v>5</v>
      </c>
      <c r="J157" s="1">
        <f>IF(calc!$L157=1,calc!K157,"")</f>
        <v>5</v>
      </c>
      <c r="K157" s="1" t="str">
        <f>IF(calc!$L157=1,calc!M157,"")</f>
        <v>56NSH</v>
      </c>
      <c r="L157" s="1">
        <f>IF(calc!$L157=1,calc!N157,"")</f>
        <v>0</v>
      </c>
      <c r="M157" s="1">
        <f>IF(calc!$L157=1,calc!O157,"")</f>
        <v>0</v>
      </c>
      <c r="N157" s="1" t="str">
        <f>IF(calc!$L157=1,calc!P157,"")</f>
        <v/>
      </c>
      <c r="O157">
        <f>'Entry data'!C$1</f>
        <v>20064</v>
      </c>
      <c r="P157" t="str">
        <f>'Entry data'!C$2</f>
        <v>NSH</v>
      </c>
      <c r="Q157" t="str">
        <f>'Entry data'!C$3</f>
        <v>Home</v>
      </c>
    </row>
    <row r="158" spans="1:17" x14ac:dyDescent="0.25">
      <c r="A158" s="1" t="str">
        <f>IF(calc!$L158=1,calc!B158,"")</f>
        <v/>
      </c>
      <c r="B158" s="5" t="str">
        <f>IF(calc!$L158=1,calc!C158,"")</f>
        <v/>
      </c>
      <c r="C158" s="1" t="str">
        <f>IF(calc!$L158=1,calc!D158,"")</f>
        <v/>
      </c>
      <c r="D158" s="1" t="str">
        <f>IF(calc!$L158=1,calc!E158,"")</f>
        <v/>
      </c>
      <c r="E158" s="1" t="str">
        <f>IF(calc!$L158=1,IF(EXACT(calc!$D158,"FAC"),"",calc!F158),"")</f>
        <v/>
      </c>
      <c r="F158" s="1" t="str">
        <f>IF(calc!$L158=1,IF(EXACT(calc!$D158,"FAC"),"",calc!G158),"")</f>
        <v/>
      </c>
      <c r="G158" s="1" t="str">
        <f>IF(calc!$L158=1,IF(EXACT(calc!$D158,"FAC"),"",calc!H158),"")</f>
        <v/>
      </c>
      <c r="H158" s="1" t="str">
        <f>IF(calc!$L158=1,IF(EXACT(calc!$D158,"FAC"),"",calc!I158),"")</f>
        <v/>
      </c>
      <c r="I158" s="1" t="str">
        <f>IF(calc!$L158=1,calc!J158,"")</f>
        <v/>
      </c>
      <c r="J158" s="1" t="str">
        <f>IF(calc!$L158=1,calc!K158,"")</f>
        <v/>
      </c>
      <c r="K158" s="1" t="str">
        <f>IF(calc!$L158=1,calc!M158,"")</f>
        <v/>
      </c>
      <c r="L158" s="1" t="str">
        <f>IF(calc!$L158=1,calc!N158,"")</f>
        <v/>
      </c>
      <c r="M158" s="1" t="str">
        <f>IF(calc!$L158=1,calc!O158,"")</f>
        <v/>
      </c>
      <c r="N158" s="1" t="str">
        <f>IF(calc!$L158=1,calc!P158,"")</f>
        <v/>
      </c>
      <c r="O158">
        <f>'Entry data'!C$1</f>
        <v>20064</v>
      </c>
      <c r="P158" t="str">
        <f>'Entry data'!C$2</f>
        <v>NSH</v>
      </c>
      <c r="Q158" t="str">
        <f>'Entry data'!C$3</f>
        <v>Home</v>
      </c>
    </row>
    <row r="159" spans="1:17" x14ac:dyDescent="0.25">
      <c r="A159" s="1" t="str">
        <f>IF(calc!$L159=1,calc!B159,"")</f>
        <v/>
      </c>
      <c r="B159" s="5" t="str">
        <f>IF(calc!$L159=1,calc!C159,"")</f>
        <v/>
      </c>
      <c r="C159" s="1" t="str">
        <f>IF(calc!$L159=1,calc!D159,"")</f>
        <v/>
      </c>
      <c r="D159" s="1" t="str">
        <f>IF(calc!$L159=1,calc!E159,"")</f>
        <v/>
      </c>
      <c r="E159" s="1" t="str">
        <f>IF(calc!$L159=1,IF(EXACT(calc!$D159,"FAC"),"",calc!F159),"")</f>
        <v/>
      </c>
      <c r="F159" s="1" t="str">
        <f>IF(calc!$L159=1,IF(EXACT(calc!$D159,"FAC"),"",calc!G159),"")</f>
        <v/>
      </c>
      <c r="G159" s="1" t="str">
        <f>IF(calc!$L159=1,IF(EXACT(calc!$D159,"FAC"),"",calc!H159),"")</f>
        <v/>
      </c>
      <c r="H159" s="1" t="str">
        <f>IF(calc!$L159=1,IF(EXACT(calc!$D159,"FAC"),"",calc!I159),"")</f>
        <v/>
      </c>
      <c r="I159" s="1" t="str">
        <f>IF(calc!$L159=1,calc!J159,"")</f>
        <v/>
      </c>
      <c r="J159" s="1" t="str">
        <f>IF(calc!$L159=1,calc!K159,"")</f>
        <v/>
      </c>
      <c r="K159" s="1" t="str">
        <f>IF(calc!$L159=1,calc!M159,"")</f>
        <v/>
      </c>
      <c r="L159" s="1" t="str">
        <f>IF(calc!$L159=1,calc!N159,"")</f>
        <v/>
      </c>
      <c r="M159" s="1" t="str">
        <f>IF(calc!$L159=1,calc!O159,"")</f>
        <v/>
      </c>
      <c r="N159" s="1" t="str">
        <f>IF(calc!$L159=1,calc!P159,"")</f>
        <v/>
      </c>
      <c r="O159">
        <f>'Entry data'!C$1</f>
        <v>20064</v>
      </c>
      <c r="P159" t="str">
        <f>'Entry data'!C$2</f>
        <v>NSH</v>
      </c>
      <c r="Q159" t="str">
        <f>'Entry data'!C$3</f>
        <v>Home</v>
      </c>
    </row>
    <row r="160" spans="1:17" x14ac:dyDescent="0.25">
      <c r="A160" s="1">
        <f>IF(calc!$L160=1,calc!B160,"")</f>
        <v>2</v>
      </c>
      <c r="B160" s="5">
        <f>IF(calc!$L160=1,calc!C160,"")</f>
        <v>0.8125</v>
      </c>
      <c r="C160" s="1" t="str">
        <f>IF(calc!$L160=1,calc!D160,"")</f>
        <v>C</v>
      </c>
      <c r="D160" s="1" t="str">
        <f>IF(calc!$L160=1,calc!E160,"")</f>
        <v>51DET</v>
      </c>
      <c r="E160" s="1" t="str">
        <f>IF(calc!$L160=1,IF(EXACT(calc!$D160,"FAC"),"",calc!F160),"")</f>
        <v>4NSH</v>
      </c>
      <c r="F160" s="1" t="str">
        <f>IF(calc!$L160=1,IF(EXACT(calc!$D160,"FAC"),"",calc!G160),"")</f>
        <v>Y</v>
      </c>
      <c r="G160" s="1" t="str">
        <f>IF(calc!$L160=1,IF(EXACT(calc!$D160,"FAC"),"",calc!H160),"")</f>
        <v>C</v>
      </c>
      <c r="H160" s="1" t="str">
        <f>IF(calc!$L160=1,IF(EXACT(calc!$D160,"FAC"),"",calc!I160),"")</f>
        <v>N</v>
      </c>
      <c r="I160" s="1">
        <f>IF(calc!$L160=1,calc!J160,"")</f>
        <v>5</v>
      </c>
      <c r="J160" s="1">
        <f>IF(calc!$L160=1,calc!K160,"")</f>
        <v>5</v>
      </c>
      <c r="K160" s="1" t="str">
        <f>IF(calc!$L160=1,calc!M160,"")</f>
        <v>51DET</v>
      </c>
      <c r="L160" s="1">
        <f>IF(calc!$L160=1,calc!N160,"")</f>
        <v>2</v>
      </c>
      <c r="M160" s="1">
        <f>IF(calc!$L160=1,calc!O160,"")</f>
        <v>0</v>
      </c>
      <c r="N160" s="1" t="str">
        <f>IF(calc!$L160=1,calc!P160,"")</f>
        <v/>
      </c>
      <c r="O160">
        <f>'Entry data'!C$1</f>
        <v>20064</v>
      </c>
      <c r="P160" t="str">
        <f>'Entry data'!C$2</f>
        <v>NSH</v>
      </c>
      <c r="Q160" t="str">
        <f>'Entry data'!C$3</f>
        <v>Home</v>
      </c>
    </row>
    <row r="161" spans="1:17" x14ac:dyDescent="0.25">
      <c r="A161" s="1" t="str">
        <f>IF(calc!$L161=1,calc!B161,"")</f>
        <v/>
      </c>
      <c r="B161" s="5" t="str">
        <f>IF(calc!$L161=1,calc!C161,"")</f>
        <v/>
      </c>
      <c r="C161" s="1" t="str">
        <f>IF(calc!$L161=1,calc!D161,"")</f>
        <v/>
      </c>
      <c r="D161" s="1" t="str">
        <f>IF(calc!$L161=1,calc!E161,"")</f>
        <v/>
      </c>
      <c r="E161" s="1" t="str">
        <f>IF(calc!$L161=1,IF(EXACT(calc!$D161,"FAC"),"",calc!F161),"")</f>
        <v/>
      </c>
      <c r="F161" s="1" t="str">
        <f>IF(calc!$L161=1,IF(EXACT(calc!$D161,"FAC"),"",calc!G161),"")</f>
        <v/>
      </c>
      <c r="G161" s="1" t="str">
        <f>IF(calc!$L161=1,IF(EXACT(calc!$D161,"FAC"),"",calc!H161),"")</f>
        <v/>
      </c>
      <c r="H161" s="1" t="str">
        <f>IF(calc!$L161=1,IF(EXACT(calc!$D161,"FAC"),"",calc!I161),"")</f>
        <v/>
      </c>
      <c r="I161" s="1" t="str">
        <f>IF(calc!$L161=1,calc!J161,"")</f>
        <v/>
      </c>
      <c r="J161" s="1" t="str">
        <f>IF(calc!$L161=1,calc!K161,"")</f>
        <v/>
      </c>
      <c r="K161" s="1" t="str">
        <f>IF(calc!$L161=1,calc!M161,"")</f>
        <v/>
      </c>
      <c r="L161" s="1" t="str">
        <f>IF(calc!$L161=1,calc!N161,"")</f>
        <v/>
      </c>
      <c r="M161" s="1" t="str">
        <f>IF(calc!$L161=1,calc!O161,"")</f>
        <v/>
      </c>
      <c r="N161" s="1" t="str">
        <f>IF(calc!$L161=1,calc!P161,"")</f>
        <v/>
      </c>
      <c r="O161">
        <f>'Entry data'!C$1</f>
        <v>20064</v>
      </c>
      <c r="P161" t="str">
        <f>'Entry data'!C$2</f>
        <v>NSH</v>
      </c>
      <c r="Q161" t="str">
        <f>'Entry data'!C$3</f>
        <v>Home</v>
      </c>
    </row>
    <row r="162" spans="1:17" x14ac:dyDescent="0.25">
      <c r="A162" s="1" t="str">
        <f>IF(calc!$L162=1,calc!B162,"")</f>
        <v/>
      </c>
      <c r="B162" s="5" t="str">
        <f>IF(calc!$L162=1,calc!C162,"")</f>
        <v/>
      </c>
      <c r="C162" s="1" t="str">
        <f>IF(calc!$L162=1,calc!D162,"")</f>
        <v/>
      </c>
      <c r="D162" s="1" t="str">
        <f>IF(calc!$L162=1,calc!E162,"")</f>
        <v/>
      </c>
      <c r="E162" s="1" t="str">
        <f>IF(calc!$L162=1,IF(EXACT(calc!$D162,"FAC"),"",calc!F162),"")</f>
        <v/>
      </c>
      <c r="F162" s="1" t="str">
        <f>IF(calc!$L162=1,IF(EXACT(calc!$D162,"FAC"),"",calc!G162),"")</f>
        <v/>
      </c>
      <c r="G162" s="1" t="str">
        <f>IF(calc!$L162=1,IF(EXACT(calc!$D162,"FAC"),"",calc!H162),"")</f>
        <v/>
      </c>
      <c r="H162" s="1" t="str">
        <f>IF(calc!$L162=1,IF(EXACT(calc!$D162,"FAC"),"",calc!I162),"")</f>
        <v/>
      </c>
      <c r="I162" s="1" t="str">
        <f>IF(calc!$L162=1,calc!J162,"")</f>
        <v/>
      </c>
      <c r="J162" s="1" t="str">
        <f>IF(calc!$L162=1,calc!K162,"")</f>
        <v/>
      </c>
      <c r="K162" s="1" t="str">
        <f>IF(calc!$L162=1,calc!M162,"")</f>
        <v/>
      </c>
      <c r="L162" s="1" t="str">
        <f>IF(calc!$L162=1,calc!N162,"")</f>
        <v/>
      </c>
      <c r="M162" s="1" t="str">
        <f>IF(calc!$L162=1,calc!O162,"")</f>
        <v/>
      </c>
      <c r="N162" s="1" t="str">
        <f>IF(calc!$L162=1,calc!P162,"")</f>
        <v/>
      </c>
      <c r="O162">
        <f>'Entry data'!C$1</f>
        <v>20064</v>
      </c>
      <c r="P162" t="str">
        <f>'Entry data'!C$2</f>
        <v>NSH</v>
      </c>
      <c r="Q162" t="str">
        <f>'Entry data'!C$3</f>
        <v>Home</v>
      </c>
    </row>
    <row r="163" spans="1:17" x14ac:dyDescent="0.25">
      <c r="A163" s="1" t="str">
        <f>IF(calc!$L163=1,calc!B163,"")</f>
        <v/>
      </c>
      <c r="B163" s="5" t="str">
        <f>IF(calc!$L163=1,calc!C163,"")</f>
        <v/>
      </c>
      <c r="C163" s="1" t="str">
        <f>IF(calc!$L163=1,calc!D163,"")</f>
        <v/>
      </c>
      <c r="D163" s="1" t="str">
        <f>IF(calc!$L163=1,calc!E163,"")</f>
        <v/>
      </c>
      <c r="E163" s="1" t="str">
        <f>IF(calc!$L163=1,IF(EXACT(calc!$D163,"FAC"),"",calc!F163),"")</f>
        <v/>
      </c>
      <c r="F163" s="1" t="str">
        <f>IF(calc!$L163=1,IF(EXACT(calc!$D163,"FAC"),"",calc!G163),"")</f>
        <v/>
      </c>
      <c r="G163" s="1" t="str">
        <f>IF(calc!$L163=1,IF(EXACT(calc!$D163,"FAC"),"",calc!H163),"")</f>
        <v/>
      </c>
      <c r="H163" s="1" t="str">
        <f>IF(calc!$L163=1,IF(EXACT(calc!$D163,"FAC"),"",calc!I163),"")</f>
        <v/>
      </c>
      <c r="I163" s="1" t="str">
        <f>IF(calc!$L163=1,calc!J163,"")</f>
        <v/>
      </c>
      <c r="J163" s="1" t="str">
        <f>IF(calc!$L163=1,calc!K163,"")</f>
        <v/>
      </c>
      <c r="K163" s="1" t="str">
        <f>IF(calc!$L163=1,calc!M163,"")</f>
        <v/>
      </c>
      <c r="L163" s="1" t="str">
        <f>IF(calc!$L163=1,calc!N163,"")</f>
        <v/>
      </c>
      <c r="M163" s="1" t="str">
        <f>IF(calc!$L163=1,calc!O163,"")</f>
        <v/>
      </c>
      <c r="N163" s="1" t="str">
        <f>IF(calc!$L163=1,calc!P163,"")</f>
        <v/>
      </c>
      <c r="O163">
        <f>'Entry data'!C$1</f>
        <v>20064</v>
      </c>
      <c r="P163" t="str">
        <f>'Entry data'!C$2</f>
        <v>NSH</v>
      </c>
      <c r="Q163" t="str">
        <f>'Entry data'!C$3</f>
        <v>Home</v>
      </c>
    </row>
    <row r="164" spans="1:17" x14ac:dyDescent="0.25">
      <c r="A164" s="1">
        <f>IF(calc!$L164=1,calc!B164,"")</f>
        <v>2</v>
      </c>
      <c r="B164" s="5">
        <f>IF(calc!$L164=1,calc!C164,"")</f>
        <v>0.79652777777777783</v>
      </c>
      <c r="C164" s="1" t="str">
        <f>IF(calc!$L164=1,calc!D164,"")</f>
        <v>C</v>
      </c>
      <c r="D164" s="1" t="str">
        <f>IF(calc!$L164=1,calc!E164,"")</f>
        <v>18NSH</v>
      </c>
      <c r="E164" s="1" t="str">
        <f>IF(calc!$L164=1,IF(EXACT(calc!$D164,"FAC"),"",calc!F164),"")</f>
        <v>52DET</v>
      </c>
      <c r="F164" s="1" t="str">
        <f>IF(calc!$L164=1,IF(EXACT(calc!$D164,"FAC"),"",calc!G164),"")</f>
        <v>Y</v>
      </c>
      <c r="G164" s="1" t="str">
        <f>IF(calc!$L164=1,IF(EXACT(calc!$D164,"FAC"),"",calc!H164),"")</f>
        <v>C</v>
      </c>
      <c r="H164" s="1" t="str">
        <f>IF(calc!$L164=1,IF(EXACT(calc!$D164,"FAC"),"",calc!I164),"")</f>
        <v>N</v>
      </c>
      <c r="I164" s="1">
        <f>IF(calc!$L164=1,calc!J164,"")</f>
        <v>5</v>
      </c>
      <c r="J164" s="1">
        <f>IF(calc!$L164=1,calc!K164,"")</f>
        <v>5</v>
      </c>
      <c r="K164" s="1" t="str">
        <f>IF(calc!$L164=1,calc!M164,"")</f>
        <v>18NSH</v>
      </c>
      <c r="L164" s="1">
        <f>IF(calc!$L164=1,calc!N164,"")</f>
        <v>1</v>
      </c>
      <c r="M164" s="1">
        <f>IF(calc!$L164=1,calc!O164,"")</f>
        <v>0</v>
      </c>
      <c r="N164" s="1" t="str">
        <f>IF(calc!$L164=1,calc!P164,"")</f>
        <v/>
      </c>
      <c r="O164">
        <f>'Entry data'!C$1</f>
        <v>20064</v>
      </c>
      <c r="P164" t="str">
        <f>'Entry data'!C$2</f>
        <v>NSH</v>
      </c>
      <c r="Q164" t="str">
        <f>'Entry data'!C$3</f>
        <v>Home</v>
      </c>
    </row>
    <row r="165" spans="1:17" x14ac:dyDescent="0.25">
      <c r="A165" s="1" t="str">
        <f>IF(calc!$L165=1,calc!B165,"")</f>
        <v/>
      </c>
      <c r="B165" s="5" t="str">
        <f>IF(calc!$L165=1,calc!C165,"")</f>
        <v/>
      </c>
      <c r="C165" s="1" t="str">
        <f>IF(calc!$L165=1,calc!D165,"")</f>
        <v/>
      </c>
      <c r="D165" s="1" t="str">
        <f>IF(calc!$L165=1,calc!E165,"")</f>
        <v/>
      </c>
      <c r="E165" s="1" t="str">
        <f>IF(calc!$L165=1,IF(EXACT(calc!$D165,"FAC"),"",calc!F165),"")</f>
        <v/>
      </c>
      <c r="F165" s="1" t="str">
        <f>IF(calc!$L165=1,IF(EXACT(calc!$D165,"FAC"),"",calc!G165),"")</f>
        <v/>
      </c>
      <c r="G165" s="1" t="str">
        <f>IF(calc!$L165=1,IF(EXACT(calc!$D165,"FAC"),"",calc!H165),"")</f>
        <v/>
      </c>
      <c r="H165" s="1" t="str">
        <f>IF(calc!$L165=1,IF(EXACT(calc!$D165,"FAC"),"",calc!I165),"")</f>
        <v/>
      </c>
      <c r="I165" s="1" t="str">
        <f>IF(calc!$L165=1,calc!J165,"")</f>
        <v/>
      </c>
      <c r="J165" s="1" t="str">
        <f>IF(calc!$L165=1,calc!K165,"")</f>
        <v/>
      </c>
      <c r="K165" s="1" t="str">
        <f>IF(calc!$L165=1,calc!M165,"")</f>
        <v/>
      </c>
      <c r="L165" s="1" t="str">
        <f>IF(calc!$L165=1,calc!N165,"")</f>
        <v/>
      </c>
      <c r="M165" s="1" t="str">
        <f>IF(calc!$L165=1,calc!O165,"")</f>
        <v/>
      </c>
      <c r="N165" s="1" t="str">
        <f>IF(calc!$L165=1,calc!P165,"")</f>
        <v/>
      </c>
      <c r="O165">
        <f>'Entry data'!C$1</f>
        <v>20064</v>
      </c>
      <c r="P165" t="str">
        <f>'Entry data'!C$2</f>
        <v>NSH</v>
      </c>
      <c r="Q165" t="str">
        <f>'Entry data'!C$3</f>
        <v>Home</v>
      </c>
    </row>
    <row r="166" spans="1:17" x14ac:dyDescent="0.25">
      <c r="A166" s="1">
        <f>IF(calc!$L166=1,calc!B166,"")</f>
        <v>2</v>
      </c>
      <c r="B166" s="5">
        <f>IF(calc!$L166=1,calc!C166,"")</f>
        <v>0.77083333333333337</v>
      </c>
      <c r="C166" s="1" t="str">
        <f>IF(calc!$L166=1,calc!D166,"")</f>
        <v>D</v>
      </c>
      <c r="D166" s="1" t="str">
        <f>IF(calc!$L166=1,calc!E166,"")</f>
        <v>15DET</v>
      </c>
      <c r="E166" s="1" t="str">
        <f>IF(calc!$L166=1,IF(EXACT(calc!$D166,"FAC"),"",calc!F166),"")</f>
        <v>15NSH</v>
      </c>
      <c r="F166" s="1" t="str">
        <f>IF(calc!$L166=1,IF(EXACT(calc!$D166,"FAC"),"",calc!G166),"")</f>
        <v/>
      </c>
      <c r="G166" s="1" t="str">
        <f>IF(calc!$L166=1,IF(EXACT(calc!$D166,"FAC"),"",calc!H166),"")</f>
        <v>C</v>
      </c>
      <c r="H166" s="1" t="str">
        <f>IF(calc!$L166=1,IF(EXACT(calc!$D166,"FAC"),"",calc!I166),"")</f>
        <v>21DET</v>
      </c>
      <c r="I166" s="1">
        <f>IF(calc!$L166=1,calc!J166,"")</f>
        <v>5</v>
      </c>
      <c r="J166" s="1">
        <f>IF(calc!$L166=1,calc!K166,"")</f>
        <v>5</v>
      </c>
      <c r="K166" s="1" t="str">
        <f>IF(calc!$L166=1,calc!M166,"")</f>
        <v/>
      </c>
      <c r="L166" s="1">
        <f>IF(calc!$L166=1,calc!N166,"")</f>
        <v>1</v>
      </c>
      <c r="M166" s="1">
        <f>IF(calc!$L166=1,calc!O166,"")</f>
        <v>0</v>
      </c>
      <c r="N166" s="1" t="str">
        <f>IF(calc!$L166=1,calc!P166,"")</f>
        <v/>
      </c>
      <c r="O166">
        <f>'Entry data'!C$1</f>
        <v>20064</v>
      </c>
      <c r="P166" t="str">
        <f>'Entry data'!C$2</f>
        <v>NSH</v>
      </c>
      <c r="Q166" t="str">
        <f>'Entry data'!C$3</f>
        <v>Home</v>
      </c>
    </row>
    <row r="167" spans="1:17" x14ac:dyDescent="0.25">
      <c r="A167" s="1" t="str">
        <f>IF(calc!$L167=1,calc!B167,"")</f>
        <v/>
      </c>
      <c r="B167" s="5" t="str">
        <f>IF(calc!$L167=1,calc!C167,"")</f>
        <v/>
      </c>
      <c r="C167" s="1" t="str">
        <f>IF(calc!$L167=1,calc!D167,"")</f>
        <v/>
      </c>
      <c r="D167" s="1" t="str">
        <f>IF(calc!$L167=1,calc!E167,"")</f>
        <v/>
      </c>
      <c r="E167" s="1" t="str">
        <f>IF(calc!$L167=1,IF(EXACT(calc!$D167,"FAC"),"",calc!F167),"")</f>
        <v/>
      </c>
      <c r="F167" s="1" t="str">
        <f>IF(calc!$L167=1,IF(EXACT(calc!$D167,"FAC"),"",calc!G167),"")</f>
        <v/>
      </c>
      <c r="G167" s="1" t="str">
        <f>IF(calc!$L167=1,IF(EXACT(calc!$D167,"FAC"),"",calc!H167),"")</f>
        <v/>
      </c>
      <c r="H167" s="1" t="str">
        <f>IF(calc!$L167=1,IF(EXACT(calc!$D167,"FAC"),"",calc!I167),"")</f>
        <v/>
      </c>
      <c r="I167" s="1" t="str">
        <f>IF(calc!$L167=1,calc!J167,"")</f>
        <v/>
      </c>
      <c r="J167" s="1" t="str">
        <f>IF(calc!$L167=1,calc!K167,"")</f>
        <v/>
      </c>
      <c r="K167" s="1" t="str">
        <f>IF(calc!$L167=1,calc!M167,"")</f>
        <v/>
      </c>
      <c r="L167" s="1" t="str">
        <f>IF(calc!$L167=1,calc!N167,"")</f>
        <v/>
      </c>
      <c r="M167" s="1" t="str">
        <f>IF(calc!$L167=1,calc!O167,"")</f>
        <v/>
      </c>
      <c r="N167" s="1" t="str">
        <f>IF(calc!$L167=1,calc!P167,"")</f>
        <v/>
      </c>
      <c r="O167">
        <f>'Entry data'!C$1</f>
        <v>20064</v>
      </c>
      <c r="P167" t="str">
        <f>'Entry data'!C$2</f>
        <v>NSH</v>
      </c>
      <c r="Q167" t="str">
        <f>'Entry data'!C$3</f>
        <v>Home</v>
      </c>
    </row>
    <row r="168" spans="1:17" x14ac:dyDescent="0.25">
      <c r="A168" s="1" t="str">
        <f>IF(calc!$L168=1,calc!B168,"")</f>
        <v/>
      </c>
      <c r="B168" s="5" t="str">
        <f>IF(calc!$L168=1,calc!C168,"")</f>
        <v/>
      </c>
      <c r="C168" s="1" t="str">
        <f>IF(calc!$L168=1,calc!D168,"")</f>
        <v/>
      </c>
      <c r="D168" s="1" t="str">
        <f>IF(calc!$L168=1,calc!E168,"")</f>
        <v/>
      </c>
      <c r="E168" s="1" t="str">
        <f>IF(calc!$L168=1,IF(EXACT(calc!$D168,"FAC"),"",calc!F168),"")</f>
        <v/>
      </c>
      <c r="F168" s="1" t="str">
        <f>IF(calc!$L168=1,IF(EXACT(calc!$D168,"FAC"),"",calc!G168),"")</f>
        <v/>
      </c>
      <c r="G168" s="1" t="str">
        <f>IF(calc!$L168=1,IF(EXACT(calc!$D168,"FAC"),"",calc!H168),"")</f>
        <v/>
      </c>
      <c r="H168" s="1" t="str">
        <f>IF(calc!$L168=1,IF(EXACT(calc!$D168,"FAC"),"",calc!I168),"")</f>
        <v/>
      </c>
      <c r="I168" s="1" t="str">
        <f>IF(calc!$L168=1,calc!J168,"")</f>
        <v/>
      </c>
      <c r="J168" s="1" t="str">
        <f>IF(calc!$L168=1,calc!K168,"")</f>
        <v/>
      </c>
      <c r="K168" s="1" t="str">
        <f>IF(calc!$L168=1,calc!M168,"")</f>
        <v/>
      </c>
      <c r="L168" s="1" t="str">
        <f>IF(calc!$L168=1,calc!N168,"")</f>
        <v/>
      </c>
      <c r="M168" s="1" t="str">
        <f>IF(calc!$L168=1,calc!O168,"")</f>
        <v/>
      </c>
      <c r="N168" s="1" t="str">
        <f>IF(calc!$L168=1,calc!P168,"")</f>
        <v/>
      </c>
      <c r="O168">
        <f>'Entry data'!C$1</f>
        <v>20064</v>
      </c>
      <c r="P168" t="str">
        <f>'Entry data'!C$2</f>
        <v>NSH</v>
      </c>
      <c r="Q168" t="str">
        <f>'Entry data'!C$3</f>
        <v>Home</v>
      </c>
    </row>
    <row r="169" spans="1:17" x14ac:dyDescent="0.25">
      <c r="A169" s="1">
        <f>IF(calc!$L169=1,calc!B169,"")</f>
        <v>2</v>
      </c>
      <c r="B169" s="5">
        <f>IF(calc!$L169=1,calc!C169,"")</f>
        <v>0.7583333333333333</v>
      </c>
      <c r="C169" s="1" t="str">
        <f>IF(calc!$L169=1,calc!D169,"")</f>
        <v>D</v>
      </c>
      <c r="D169" s="1" t="str">
        <f>IF(calc!$L169=1,calc!E169,"")</f>
        <v>59NSH</v>
      </c>
      <c r="E169" s="1" t="str">
        <f>IF(calc!$L169=1,IF(EXACT(calc!$D169,"FAC"),"",calc!F169),"")</f>
        <v>48DET</v>
      </c>
      <c r="F169" s="1" t="str">
        <f>IF(calc!$L169=1,IF(EXACT(calc!$D169,"FAC"),"",calc!G169),"")</f>
        <v/>
      </c>
      <c r="G169" s="1" t="str">
        <f>IF(calc!$L169=1,IF(EXACT(calc!$D169,"FAC"),"",calc!H169),"")</f>
        <v>L</v>
      </c>
      <c r="H169" s="1" t="str">
        <f>IF(calc!$L169=1,IF(EXACT(calc!$D169,"FAC"),"",calc!I169),"")</f>
        <v>N</v>
      </c>
      <c r="I169" s="1">
        <f>IF(calc!$L169=1,calc!J169,"")</f>
        <v>5</v>
      </c>
      <c r="J169" s="1">
        <f>IF(calc!$L169=1,calc!K169,"")</f>
        <v>5</v>
      </c>
      <c r="K169" s="1" t="str">
        <f>IF(calc!$L169=1,calc!M169,"")</f>
        <v/>
      </c>
      <c r="L169" s="1">
        <f>IF(calc!$L169=1,calc!N169,"")</f>
        <v>0</v>
      </c>
      <c r="M169" s="1">
        <f>IF(calc!$L169=1,calc!O169,"")</f>
        <v>0</v>
      </c>
      <c r="N169" s="1" t="str">
        <f>IF(calc!$L169=1,calc!P169,"")</f>
        <v/>
      </c>
      <c r="O169">
        <f>'Entry data'!C$1</f>
        <v>20064</v>
      </c>
      <c r="P169" t="str">
        <f>'Entry data'!C$2</f>
        <v>NSH</v>
      </c>
      <c r="Q169" t="str">
        <f>'Entry data'!C$3</f>
        <v>Home</v>
      </c>
    </row>
    <row r="170" spans="1:17" x14ac:dyDescent="0.25">
      <c r="A170" s="1">
        <f>IF(calc!$L170=1,calc!B170,"")</f>
        <v>2</v>
      </c>
      <c r="B170" s="5">
        <f>IF(calc!$L170=1,calc!C170,"")</f>
        <v>0.73541666666666661</v>
      </c>
      <c r="C170" s="1" t="str">
        <f>IF(calc!$L170=1,calc!D170,"")</f>
        <v>C</v>
      </c>
      <c r="D170" s="1" t="str">
        <f>IF(calc!$L170=1,calc!E170,"")</f>
        <v>38NSH</v>
      </c>
      <c r="E170" s="1" t="str">
        <f>IF(calc!$L170=1,IF(EXACT(calc!$D170,"FAC"),"",calc!F170),"")</f>
        <v>2DET</v>
      </c>
      <c r="F170" s="1" t="str">
        <f>IF(calc!$L170=1,IF(EXACT(calc!$D170,"FAC"),"",calc!G170),"")</f>
        <v>N</v>
      </c>
      <c r="G170" s="1" t="str">
        <f>IF(calc!$L170=1,IF(EXACT(calc!$D170,"FAC"),"",calc!H170),"")</f>
        <v>C</v>
      </c>
      <c r="H170" s="1" t="str">
        <f>IF(calc!$L170=1,IF(EXACT(calc!$D170,"FAC"),"",calc!I170),"")</f>
        <v>N</v>
      </c>
      <c r="I170" s="1">
        <f>IF(calc!$L170=1,calc!J170,"")</f>
        <v>5</v>
      </c>
      <c r="J170" s="1">
        <f>IF(calc!$L170=1,calc!K170,"")</f>
        <v>5</v>
      </c>
      <c r="K170" s="1" t="str">
        <f>IF(calc!$L170=1,calc!M170,"")</f>
        <v>38NSH</v>
      </c>
      <c r="L170" s="1">
        <f>IF(calc!$L170=1,calc!N170,"")</f>
        <v>1</v>
      </c>
      <c r="M170" s="1">
        <f>IF(calc!$L170=1,calc!O170,"")</f>
        <v>0</v>
      </c>
      <c r="N170" s="1" t="str">
        <f>IF(calc!$L170=1,calc!P170,"")</f>
        <v/>
      </c>
      <c r="O170">
        <f>'Entry data'!C$1</f>
        <v>20064</v>
      </c>
      <c r="P170" t="str">
        <f>'Entry data'!C$2</f>
        <v>NSH</v>
      </c>
      <c r="Q170" t="str">
        <f>'Entry data'!C$3</f>
        <v>Home</v>
      </c>
    </row>
    <row r="171" spans="1:17" x14ac:dyDescent="0.25">
      <c r="A171" s="1" t="str">
        <f>IF(calc!$L171=1,calc!B171,"")</f>
        <v/>
      </c>
      <c r="B171" s="5" t="str">
        <f>IF(calc!$L171=1,calc!C171,"")</f>
        <v/>
      </c>
      <c r="C171" s="1" t="str">
        <f>IF(calc!$L171=1,calc!D171,"")</f>
        <v/>
      </c>
      <c r="D171" s="1" t="str">
        <f>IF(calc!$L171=1,calc!E171,"")</f>
        <v/>
      </c>
      <c r="E171" s="1" t="str">
        <f>IF(calc!$L171=1,IF(EXACT(calc!$D171,"FAC"),"",calc!F171),"")</f>
        <v/>
      </c>
      <c r="F171" s="1" t="str">
        <f>IF(calc!$L171=1,IF(EXACT(calc!$D171,"FAC"),"",calc!G171),"")</f>
        <v/>
      </c>
      <c r="G171" s="1" t="str">
        <f>IF(calc!$L171=1,IF(EXACT(calc!$D171,"FAC"),"",calc!H171),"")</f>
        <v/>
      </c>
      <c r="H171" s="1" t="str">
        <f>IF(calc!$L171=1,IF(EXACT(calc!$D171,"FAC"),"",calc!I171),"")</f>
        <v/>
      </c>
      <c r="I171" s="1" t="str">
        <f>IF(calc!$L171=1,calc!J171,"")</f>
        <v/>
      </c>
      <c r="J171" s="1" t="str">
        <f>IF(calc!$L171=1,calc!K171,"")</f>
        <v/>
      </c>
      <c r="K171" s="1" t="str">
        <f>IF(calc!$L171=1,calc!M171,"")</f>
        <v/>
      </c>
      <c r="L171" s="1" t="str">
        <f>IF(calc!$L171=1,calc!N171,"")</f>
        <v/>
      </c>
      <c r="M171" s="1" t="str">
        <f>IF(calc!$L171=1,calc!O171,"")</f>
        <v/>
      </c>
      <c r="N171" s="1" t="str">
        <f>IF(calc!$L171=1,calc!P171,"")</f>
        <v/>
      </c>
      <c r="O171">
        <f>'Entry data'!C$1</f>
        <v>20064</v>
      </c>
      <c r="P171" t="str">
        <f>'Entry data'!C$2</f>
        <v>NSH</v>
      </c>
      <c r="Q171" t="str">
        <f>'Entry data'!C$3</f>
        <v>Home</v>
      </c>
    </row>
    <row r="172" spans="1:17" x14ac:dyDescent="0.25">
      <c r="A172" s="1" t="str">
        <f>IF(calc!$L172=1,calc!B172,"")</f>
        <v/>
      </c>
      <c r="B172" s="5" t="str">
        <f>IF(calc!$L172=1,calc!C172,"")</f>
        <v/>
      </c>
      <c r="C172" s="1" t="str">
        <f>IF(calc!$L172=1,calc!D172,"")</f>
        <v/>
      </c>
      <c r="D172" s="1" t="str">
        <f>IF(calc!$L172=1,calc!E172,"")</f>
        <v/>
      </c>
      <c r="E172" s="1" t="str">
        <f>IF(calc!$L172=1,IF(EXACT(calc!$D172,"FAC"),"",calc!F172),"")</f>
        <v/>
      </c>
      <c r="F172" s="1" t="str">
        <f>IF(calc!$L172=1,IF(EXACT(calc!$D172,"FAC"),"",calc!G172),"")</f>
        <v/>
      </c>
      <c r="G172" s="1" t="str">
        <f>IF(calc!$L172=1,IF(EXACT(calc!$D172,"FAC"),"",calc!H172),"")</f>
        <v/>
      </c>
      <c r="H172" s="1" t="str">
        <f>IF(calc!$L172=1,IF(EXACT(calc!$D172,"FAC"),"",calc!I172),"")</f>
        <v/>
      </c>
      <c r="I172" s="1" t="str">
        <f>IF(calc!$L172=1,calc!J172,"")</f>
        <v/>
      </c>
      <c r="J172" s="1" t="str">
        <f>IF(calc!$L172=1,calc!K172,"")</f>
        <v/>
      </c>
      <c r="K172" s="1" t="str">
        <f>IF(calc!$L172=1,calc!M172,"")</f>
        <v/>
      </c>
      <c r="L172" s="1" t="str">
        <f>IF(calc!$L172=1,calc!N172,"")</f>
        <v/>
      </c>
      <c r="M172" s="1" t="str">
        <f>IF(calc!$L172=1,calc!O172,"")</f>
        <v/>
      </c>
      <c r="N172" s="1" t="str">
        <f>IF(calc!$L172=1,calc!P172,"")</f>
        <v/>
      </c>
      <c r="O172">
        <f>'Entry data'!C$1</f>
        <v>20064</v>
      </c>
      <c r="P172" t="str">
        <f>'Entry data'!C$2</f>
        <v>NSH</v>
      </c>
      <c r="Q172" t="str">
        <f>'Entry data'!C$3</f>
        <v>Home</v>
      </c>
    </row>
    <row r="173" spans="1:17" x14ac:dyDescent="0.25">
      <c r="A173" s="1">
        <f>IF(calc!$L173=1,calc!B173,"")</f>
        <v>2</v>
      </c>
      <c r="B173" s="5">
        <f>IF(calc!$L173=1,calc!C173,"")</f>
        <v>0.72083333333333333</v>
      </c>
      <c r="C173" s="1" t="str">
        <f>IF(calc!$L173=1,calc!D173,"")</f>
        <v>C</v>
      </c>
      <c r="D173" s="1" t="str">
        <f>IF(calc!$L173=1,calc!E173,"")</f>
        <v>10NSH</v>
      </c>
      <c r="E173" s="1" t="str">
        <f>IF(calc!$L173=1,IF(EXACT(calc!$D173,"FAC"),"",calc!F173),"")</f>
        <v>52DET</v>
      </c>
      <c r="F173" s="1" t="str">
        <f>IF(calc!$L173=1,IF(EXACT(calc!$D173,"FAC"),"",calc!G173),"")</f>
        <v>Y</v>
      </c>
      <c r="G173" s="1" t="str">
        <f>IF(calc!$L173=1,IF(EXACT(calc!$D173,"FAC"),"",calc!H173),"")</f>
        <v>R</v>
      </c>
      <c r="H173" s="1" t="str">
        <f>IF(calc!$L173=1,IF(EXACT(calc!$D173,"FAC"),"",calc!I173),"")</f>
        <v>N</v>
      </c>
      <c r="I173" s="1">
        <f>IF(calc!$L173=1,calc!J173,"")</f>
        <v>5</v>
      </c>
      <c r="J173" s="1">
        <f>IF(calc!$L173=1,calc!K173,"")</f>
        <v>5</v>
      </c>
      <c r="K173" s="1" t="str">
        <f>IF(calc!$L173=1,calc!M173,"")</f>
        <v>10NSH</v>
      </c>
      <c r="L173" s="1">
        <f>IF(calc!$L173=1,calc!N173,"")</f>
        <v>0</v>
      </c>
      <c r="M173" s="1">
        <f>IF(calc!$L173=1,calc!O173,"")</f>
        <v>0</v>
      </c>
      <c r="N173" s="1" t="str">
        <f>IF(calc!$L173=1,calc!P173,"")</f>
        <v/>
      </c>
      <c r="O173">
        <f>'Entry data'!C$1</f>
        <v>20064</v>
      </c>
      <c r="P173" t="str">
        <f>'Entry data'!C$2</f>
        <v>NSH</v>
      </c>
      <c r="Q173" t="str">
        <f>'Entry data'!C$3</f>
        <v>Home</v>
      </c>
    </row>
    <row r="174" spans="1:17" x14ac:dyDescent="0.25">
      <c r="A174" s="1">
        <f>IF(calc!$L174=1,calc!B174,"")</f>
        <v>2</v>
      </c>
      <c r="B174" s="5">
        <f>IF(calc!$L174=1,calc!C174,"")</f>
        <v>0.71180555555555547</v>
      </c>
      <c r="C174" s="1" t="str">
        <f>IF(calc!$L174=1,calc!D174,"")</f>
        <v>X</v>
      </c>
      <c r="D174" s="1" t="str">
        <f>IF(calc!$L174=1,calc!E174,"")</f>
        <v>DET</v>
      </c>
      <c r="E174" s="1" t="str">
        <f>IF(calc!$L174=1,IF(EXACT(calc!$D174,"FAC"),"",calc!F174),"")</f>
        <v/>
      </c>
      <c r="F174" s="1" t="str">
        <f>IF(calc!$L174=1,IF(EXACT(calc!$D174,"FAC"),"",calc!G174),"")</f>
        <v/>
      </c>
      <c r="G174" s="1" t="str">
        <f>IF(calc!$L174=1,IF(EXACT(calc!$D174,"FAC"),"",calc!H174),"")</f>
        <v/>
      </c>
      <c r="H174" s="1" t="str">
        <f>IF(calc!$L174=1,IF(EXACT(calc!$D174,"FAC"),"",calc!I174),"")</f>
        <v>N</v>
      </c>
      <c r="I174" s="1">
        <f>IF(calc!$L174=1,calc!J174,"")</f>
        <v>5</v>
      </c>
      <c r="J174" s="1">
        <f>IF(calc!$L174=1,calc!K174,"")</f>
        <v>5</v>
      </c>
      <c r="K174" s="1" t="str">
        <f>IF(calc!$L174=1,calc!M174,"")</f>
        <v/>
      </c>
      <c r="L174" s="1">
        <f>IF(calc!$L174=1,calc!N174,"")</f>
        <v>3</v>
      </c>
      <c r="M174" s="1">
        <f>IF(calc!$L174=1,calc!O174,"")</f>
        <v>0</v>
      </c>
      <c r="N174" s="1" t="str">
        <f>IF(calc!$L174=1,calc!P174,"")</f>
        <v/>
      </c>
      <c r="O174">
        <f>'Entry data'!C$1</f>
        <v>20064</v>
      </c>
      <c r="P174" t="str">
        <f>'Entry data'!C$2</f>
        <v>NSH</v>
      </c>
      <c r="Q174" t="str">
        <f>'Entry data'!C$3</f>
        <v>Home</v>
      </c>
    </row>
    <row r="175" spans="1:17" x14ac:dyDescent="0.25">
      <c r="A175" s="1" t="str">
        <f>IF(calc!$L175=1,calc!B175,"")</f>
        <v/>
      </c>
      <c r="B175" s="5" t="str">
        <f>IF(calc!$L175=1,calc!C175,"")</f>
        <v/>
      </c>
      <c r="C175" s="1" t="str">
        <f>IF(calc!$L175=1,calc!D175,"")</f>
        <v/>
      </c>
      <c r="D175" s="1" t="str">
        <f>IF(calc!$L175=1,calc!E175,"")</f>
        <v/>
      </c>
      <c r="E175" s="1" t="str">
        <f>IF(calc!$L175=1,IF(EXACT(calc!$D175,"FAC"),"",calc!F175),"")</f>
        <v/>
      </c>
      <c r="F175" s="1" t="str">
        <f>IF(calc!$L175=1,IF(EXACT(calc!$D175,"FAC"),"",calc!G175),"")</f>
        <v/>
      </c>
      <c r="G175" s="1" t="str">
        <f>IF(calc!$L175=1,IF(EXACT(calc!$D175,"FAC"),"",calc!H175),"")</f>
        <v/>
      </c>
      <c r="H175" s="1" t="str">
        <f>IF(calc!$L175=1,IF(EXACT(calc!$D175,"FAC"),"",calc!I175),"")</f>
        <v/>
      </c>
      <c r="I175" s="1" t="str">
        <f>IF(calc!$L175=1,calc!J175,"")</f>
        <v/>
      </c>
      <c r="J175" s="1" t="str">
        <f>IF(calc!$L175=1,calc!K175,"")</f>
        <v/>
      </c>
      <c r="K175" s="1" t="str">
        <f>IF(calc!$L175=1,calc!M175,"")</f>
        <v/>
      </c>
      <c r="L175" s="1" t="str">
        <f>IF(calc!$L175=1,calc!N175,"")</f>
        <v/>
      </c>
      <c r="M175" s="1" t="str">
        <f>IF(calc!$L175=1,calc!O175,"")</f>
        <v/>
      </c>
      <c r="N175" s="1" t="str">
        <f>IF(calc!$L175=1,calc!P175,"")</f>
        <v/>
      </c>
      <c r="O175">
        <f>'Entry data'!C$1</f>
        <v>20064</v>
      </c>
      <c r="P175" t="str">
        <f>'Entry data'!C$2</f>
        <v>NSH</v>
      </c>
      <c r="Q175" t="str">
        <f>'Entry data'!C$3</f>
        <v>Home</v>
      </c>
    </row>
    <row r="176" spans="1:17" x14ac:dyDescent="0.25">
      <c r="A176" s="1" t="str">
        <f>IF(calc!$L176=1,calc!B176,"")</f>
        <v/>
      </c>
      <c r="B176" s="5" t="str">
        <f>IF(calc!$L176=1,calc!C176,"")</f>
        <v/>
      </c>
      <c r="C176" s="1" t="str">
        <f>IF(calc!$L176=1,calc!D176,"")</f>
        <v/>
      </c>
      <c r="D176" s="1" t="str">
        <f>IF(calc!$L176=1,calc!E176,"")</f>
        <v/>
      </c>
      <c r="E176" s="1" t="str">
        <f>IF(calc!$L176=1,IF(EXACT(calc!$D176,"FAC"),"",calc!F176),"")</f>
        <v/>
      </c>
      <c r="F176" s="1" t="str">
        <f>IF(calc!$L176=1,IF(EXACT(calc!$D176,"FAC"),"",calc!G176),"")</f>
        <v/>
      </c>
      <c r="G176" s="1" t="str">
        <f>IF(calc!$L176=1,IF(EXACT(calc!$D176,"FAC"),"",calc!H176),"")</f>
        <v/>
      </c>
      <c r="H176" s="1" t="str">
        <f>IF(calc!$L176=1,IF(EXACT(calc!$D176,"FAC"),"",calc!I176),"")</f>
        <v/>
      </c>
      <c r="I176" s="1" t="str">
        <f>IF(calc!$L176=1,calc!J176,"")</f>
        <v/>
      </c>
      <c r="J176" s="1" t="str">
        <f>IF(calc!$L176=1,calc!K176,"")</f>
        <v/>
      </c>
      <c r="K176" s="1" t="str">
        <f>IF(calc!$L176=1,calc!M176,"")</f>
        <v/>
      </c>
      <c r="L176" s="1" t="str">
        <f>IF(calc!$L176=1,calc!N176,"")</f>
        <v/>
      </c>
      <c r="M176" s="1" t="str">
        <f>IF(calc!$L176=1,calc!O176,"")</f>
        <v/>
      </c>
      <c r="N176" s="1" t="str">
        <f>IF(calc!$L176=1,calc!P176,"")</f>
        <v/>
      </c>
      <c r="O176">
        <f>'Entry data'!C$1</f>
        <v>20064</v>
      </c>
      <c r="P176" t="str">
        <f>'Entry data'!C$2</f>
        <v>NSH</v>
      </c>
      <c r="Q176" t="str">
        <f>'Entry data'!C$3</f>
        <v>Home</v>
      </c>
    </row>
    <row r="177" spans="1:17" x14ac:dyDescent="0.25">
      <c r="A177" s="1" t="str">
        <f>IF(calc!$L177=1,calc!B177,"")</f>
        <v/>
      </c>
      <c r="B177" s="5" t="str">
        <f>IF(calc!$L177=1,calc!C177,"")</f>
        <v/>
      </c>
      <c r="C177" s="1" t="str">
        <f>IF(calc!$L177=1,calc!D177,"")</f>
        <v/>
      </c>
      <c r="D177" s="1" t="str">
        <f>IF(calc!$L177=1,calc!E177,"")</f>
        <v/>
      </c>
      <c r="E177" s="1" t="str">
        <f>IF(calc!$L177=1,IF(EXACT(calc!$D177,"FAC"),"",calc!F177),"")</f>
        <v/>
      </c>
      <c r="F177" s="1" t="str">
        <f>IF(calc!$L177=1,IF(EXACT(calc!$D177,"FAC"),"",calc!G177),"")</f>
        <v/>
      </c>
      <c r="G177" s="1" t="str">
        <f>IF(calc!$L177=1,IF(EXACT(calc!$D177,"FAC"),"",calc!H177),"")</f>
        <v/>
      </c>
      <c r="H177" s="1" t="str">
        <f>IF(calc!$L177=1,IF(EXACT(calc!$D177,"FAC"),"",calc!I177),"")</f>
        <v/>
      </c>
      <c r="I177" s="1" t="str">
        <f>IF(calc!$L177=1,calc!J177,"")</f>
        <v/>
      </c>
      <c r="J177" s="1" t="str">
        <f>IF(calc!$L177=1,calc!K177,"")</f>
        <v/>
      </c>
      <c r="K177" s="1" t="str">
        <f>IF(calc!$L177=1,calc!M177,"")</f>
        <v/>
      </c>
      <c r="L177" s="1" t="str">
        <f>IF(calc!$L177=1,calc!N177,"")</f>
        <v/>
      </c>
      <c r="M177" s="1" t="str">
        <f>IF(calc!$L177=1,calc!O177,"")</f>
        <v/>
      </c>
      <c r="N177" s="1" t="str">
        <f>IF(calc!$L177=1,calc!P177,"")</f>
        <v/>
      </c>
      <c r="O177">
        <f>'Entry data'!C$1</f>
        <v>20064</v>
      </c>
      <c r="P177" t="str">
        <f>'Entry data'!C$2</f>
        <v>NSH</v>
      </c>
      <c r="Q177" t="str">
        <f>'Entry data'!C$3</f>
        <v>Home</v>
      </c>
    </row>
    <row r="178" spans="1:17" x14ac:dyDescent="0.25">
      <c r="A178" s="1" t="str">
        <f>IF(calc!$L178=1,calc!B178,"")</f>
        <v/>
      </c>
      <c r="B178" s="5" t="str">
        <f>IF(calc!$L178=1,calc!C178,"")</f>
        <v/>
      </c>
      <c r="C178" s="1" t="str">
        <f>IF(calc!$L178=1,calc!D178,"")</f>
        <v/>
      </c>
      <c r="D178" s="1" t="str">
        <f>IF(calc!$L178=1,calc!E178,"")</f>
        <v/>
      </c>
      <c r="E178" s="1" t="str">
        <f>IF(calc!$L178=1,IF(EXACT(calc!$D178,"FAC"),"",calc!F178),"")</f>
        <v/>
      </c>
      <c r="F178" s="1" t="str">
        <f>IF(calc!$L178=1,IF(EXACT(calc!$D178,"FAC"),"",calc!G178),"")</f>
        <v/>
      </c>
      <c r="G178" s="1" t="str">
        <f>IF(calc!$L178=1,IF(EXACT(calc!$D178,"FAC"),"",calc!H178),"")</f>
        <v/>
      </c>
      <c r="H178" s="1" t="str">
        <f>IF(calc!$L178=1,IF(EXACT(calc!$D178,"FAC"),"",calc!I178),"")</f>
        <v/>
      </c>
      <c r="I178" s="1" t="str">
        <f>IF(calc!$L178=1,calc!J178,"")</f>
        <v/>
      </c>
      <c r="J178" s="1" t="str">
        <f>IF(calc!$L178=1,calc!K178,"")</f>
        <v/>
      </c>
      <c r="K178" s="1" t="str">
        <f>IF(calc!$L178=1,calc!M178,"")</f>
        <v/>
      </c>
      <c r="L178" s="1" t="str">
        <f>IF(calc!$L178=1,calc!N178,"")</f>
        <v/>
      </c>
      <c r="M178" s="1" t="str">
        <f>IF(calc!$L178=1,calc!O178,"")</f>
        <v/>
      </c>
      <c r="N178" s="1" t="str">
        <f>IF(calc!$L178=1,calc!P178,"")</f>
        <v/>
      </c>
      <c r="O178">
        <f>'Entry data'!C$1</f>
        <v>20064</v>
      </c>
      <c r="P178" t="str">
        <f>'Entry data'!C$2</f>
        <v>NSH</v>
      </c>
      <c r="Q178" t="str">
        <f>'Entry data'!C$3</f>
        <v>Home</v>
      </c>
    </row>
    <row r="179" spans="1:17" x14ac:dyDescent="0.25">
      <c r="A179" s="1" t="str">
        <f>IF(calc!$L179=1,calc!B179,"")</f>
        <v/>
      </c>
      <c r="B179" s="5" t="str">
        <f>IF(calc!$L179=1,calc!C179,"")</f>
        <v/>
      </c>
      <c r="C179" s="1" t="str">
        <f>IF(calc!$L179=1,calc!D179,"")</f>
        <v/>
      </c>
      <c r="D179" s="1" t="str">
        <f>IF(calc!$L179=1,calc!E179,"")</f>
        <v/>
      </c>
      <c r="E179" s="1" t="str">
        <f>IF(calc!$L179=1,IF(EXACT(calc!$D179,"FAC"),"",calc!F179),"")</f>
        <v/>
      </c>
      <c r="F179" s="1" t="str">
        <f>IF(calc!$L179=1,IF(EXACT(calc!$D179,"FAC"),"",calc!G179),"")</f>
        <v/>
      </c>
      <c r="G179" s="1" t="str">
        <f>IF(calc!$L179=1,IF(EXACT(calc!$D179,"FAC"),"",calc!H179),"")</f>
        <v/>
      </c>
      <c r="H179" s="1" t="str">
        <f>IF(calc!$L179=1,IF(EXACT(calc!$D179,"FAC"),"",calc!I179),"")</f>
        <v/>
      </c>
      <c r="I179" s="1" t="str">
        <f>IF(calc!$L179=1,calc!J179,"")</f>
        <v/>
      </c>
      <c r="J179" s="1" t="str">
        <f>IF(calc!$L179=1,calc!K179,"")</f>
        <v/>
      </c>
      <c r="K179" s="1" t="str">
        <f>IF(calc!$L179=1,calc!M179,"")</f>
        <v/>
      </c>
      <c r="L179" s="1" t="str">
        <f>IF(calc!$L179=1,calc!N179,"")</f>
        <v/>
      </c>
      <c r="M179" s="1" t="str">
        <f>IF(calc!$L179=1,calc!O179,"")</f>
        <v/>
      </c>
      <c r="N179" s="1" t="str">
        <f>IF(calc!$L179=1,calc!P179,"")</f>
        <v/>
      </c>
      <c r="O179">
        <f>'Entry data'!C$1</f>
        <v>20064</v>
      </c>
      <c r="P179" t="str">
        <f>'Entry data'!C$2</f>
        <v>NSH</v>
      </c>
      <c r="Q179" t="str">
        <f>'Entry data'!C$3</f>
        <v>Home</v>
      </c>
    </row>
    <row r="180" spans="1:17" x14ac:dyDescent="0.25">
      <c r="A180" s="1" t="str">
        <f>IF(calc!$L180=1,calc!B180,"")</f>
        <v/>
      </c>
      <c r="B180" s="5" t="str">
        <f>IF(calc!$L180=1,calc!C180,"")</f>
        <v/>
      </c>
      <c r="C180" s="1" t="str">
        <f>IF(calc!$L180=1,calc!D180,"")</f>
        <v/>
      </c>
      <c r="D180" s="1" t="str">
        <f>IF(calc!$L180=1,calc!E180,"")</f>
        <v/>
      </c>
      <c r="E180" s="1" t="str">
        <f>IF(calc!$L180=1,IF(EXACT(calc!$D180,"FAC"),"",calc!F180),"")</f>
        <v/>
      </c>
      <c r="F180" s="1" t="str">
        <f>IF(calc!$L180=1,IF(EXACT(calc!$D180,"FAC"),"",calc!G180),"")</f>
        <v/>
      </c>
      <c r="G180" s="1" t="str">
        <f>IF(calc!$L180=1,IF(EXACT(calc!$D180,"FAC"),"",calc!H180),"")</f>
        <v/>
      </c>
      <c r="H180" s="1" t="str">
        <f>IF(calc!$L180=1,IF(EXACT(calc!$D180,"FAC"),"",calc!I180),"")</f>
        <v/>
      </c>
      <c r="I180" s="1" t="str">
        <f>IF(calc!$L180=1,calc!J180,"")</f>
        <v/>
      </c>
      <c r="J180" s="1" t="str">
        <f>IF(calc!$L180=1,calc!K180,"")</f>
        <v/>
      </c>
      <c r="K180" s="1" t="str">
        <f>IF(calc!$L180=1,calc!M180,"")</f>
        <v/>
      </c>
      <c r="L180" s="1" t="str">
        <f>IF(calc!$L180=1,calc!N180,"")</f>
        <v/>
      </c>
      <c r="M180" s="1" t="str">
        <f>IF(calc!$L180=1,calc!O180,"")</f>
        <v/>
      </c>
      <c r="N180" s="1" t="str">
        <f>IF(calc!$L180=1,calc!P180,"")</f>
        <v/>
      </c>
      <c r="O180">
        <f>'Entry data'!C$1</f>
        <v>20064</v>
      </c>
      <c r="P180" t="str">
        <f>'Entry data'!C$2</f>
        <v>NSH</v>
      </c>
      <c r="Q180" t="str">
        <f>'Entry data'!C$3</f>
        <v>Home</v>
      </c>
    </row>
    <row r="181" spans="1:17" x14ac:dyDescent="0.25">
      <c r="A181" s="1" t="str">
        <f>IF(calc!$L181=1,calc!B181,"")</f>
        <v/>
      </c>
      <c r="B181" s="5" t="str">
        <f>IF(calc!$L181=1,calc!C181,"")</f>
        <v/>
      </c>
      <c r="C181" s="1" t="str">
        <f>IF(calc!$L181=1,calc!D181,"")</f>
        <v/>
      </c>
      <c r="D181" s="1" t="str">
        <f>IF(calc!$L181=1,calc!E181,"")</f>
        <v/>
      </c>
      <c r="E181" s="1" t="str">
        <f>IF(calc!$L181=1,IF(EXACT(calc!$D181,"FAC"),"",calc!F181),"")</f>
        <v/>
      </c>
      <c r="F181" s="1" t="str">
        <f>IF(calc!$L181=1,IF(EXACT(calc!$D181,"FAC"),"",calc!G181),"")</f>
        <v/>
      </c>
      <c r="G181" s="1" t="str">
        <f>IF(calc!$L181=1,IF(EXACT(calc!$D181,"FAC"),"",calc!H181),"")</f>
        <v/>
      </c>
      <c r="H181" s="1" t="str">
        <f>IF(calc!$L181=1,IF(EXACT(calc!$D181,"FAC"),"",calc!I181),"")</f>
        <v/>
      </c>
      <c r="I181" s="1" t="str">
        <f>IF(calc!$L181=1,calc!J181,"")</f>
        <v/>
      </c>
      <c r="J181" s="1" t="str">
        <f>IF(calc!$L181=1,calc!K181,"")</f>
        <v/>
      </c>
      <c r="K181" s="1" t="str">
        <f>IF(calc!$L181=1,calc!M181,"")</f>
        <v/>
      </c>
      <c r="L181" s="1" t="str">
        <f>IF(calc!$L181=1,calc!N181,"")</f>
        <v/>
      </c>
      <c r="M181" s="1" t="str">
        <f>IF(calc!$L181=1,calc!O181,"")</f>
        <v/>
      </c>
      <c r="N181" s="1" t="str">
        <f>IF(calc!$L181=1,calc!P181,"")</f>
        <v/>
      </c>
      <c r="O181">
        <f>'Entry data'!C$1</f>
        <v>20064</v>
      </c>
      <c r="P181" t="str">
        <f>'Entry data'!C$2</f>
        <v>NSH</v>
      </c>
      <c r="Q181" t="str">
        <f>'Entry data'!C$3</f>
        <v>Home</v>
      </c>
    </row>
    <row r="182" spans="1:17" x14ac:dyDescent="0.25">
      <c r="A182" s="1">
        <f>IF(calc!$L182=1,calc!B182,"")</f>
        <v>2</v>
      </c>
      <c r="B182" s="5">
        <f>IF(calc!$L182=1,calc!C182,"")</f>
        <v>0.68680555555555556</v>
      </c>
      <c r="C182" s="1" t="str">
        <f>IF(calc!$L182=1,calc!D182,"")</f>
        <v>FAC</v>
      </c>
      <c r="D182" s="1" t="str">
        <f>IF(calc!$L182=1,calc!E182,"")</f>
        <v>OZF</v>
      </c>
      <c r="E182" s="1" t="str">
        <f>IF(calc!$L182=1,IF(EXACT(calc!$D182,"FAC"),"",calc!F182),"")</f>
        <v/>
      </c>
      <c r="F182" s="1" t="str">
        <f>IF(calc!$L182=1,IF(EXACT(calc!$D182,"FAC"),"",calc!G182),"")</f>
        <v/>
      </c>
      <c r="G182" s="1" t="str">
        <f>IF(calc!$L182=1,IF(EXACT(calc!$D182,"FAC"),"",calc!H182),"")</f>
        <v/>
      </c>
      <c r="H182" s="1" t="str">
        <f>IF(calc!$L182=1,IF(EXACT(calc!$D182,"FAC"),"",calc!I182),"")</f>
        <v/>
      </c>
      <c r="I182" s="1">
        <f>IF(calc!$L182=1,calc!J182,"")</f>
        <v>5</v>
      </c>
      <c r="J182" s="1">
        <f>IF(calc!$L182=1,calc!K182,"")</f>
        <v>5</v>
      </c>
      <c r="K182" s="1" t="str">
        <f>IF(calc!$L182=1,calc!M182,"")</f>
        <v/>
      </c>
      <c r="L182" s="1">
        <f>IF(calc!$L182=1,calc!N182,"")</f>
        <v>0</v>
      </c>
      <c r="M182" s="1">
        <f>IF(calc!$L182=1,calc!O182,"")</f>
        <v>0</v>
      </c>
      <c r="N182" s="1" t="str">
        <f>IF(calc!$L182=1,calc!P182,"")</f>
        <v/>
      </c>
      <c r="O182">
        <f>'Entry data'!C$1</f>
        <v>20064</v>
      </c>
      <c r="P182" t="str">
        <f>'Entry data'!C$2</f>
        <v>NSH</v>
      </c>
      <c r="Q182" t="str">
        <f>'Entry data'!C$3</f>
        <v>Home</v>
      </c>
    </row>
    <row r="183" spans="1:17" x14ac:dyDescent="0.25">
      <c r="A183" s="1">
        <f>IF(calc!$L183=1,calc!B183,"")</f>
        <v>2</v>
      </c>
      <c r="B183" s="5">
        <f>IF(calc!$L183=1,calc!C183,"")</f>
        <v>0.68333333333333324</v>
      </c>
      <c r="C183" s="1" t="str">
        <f>IF(calc!$L183=1,calc!D183,"")</f>
        <v>D</v>
      </c>
      <c r="D183" s="1" t="str">
        <f>IF(calc!$L183=1,calc!E183,"")</f>
        <v>56NSH</v>
      </c>
      <c r="E183" s="1" t="str">
        <f>IF(calc!$L183=1,IF(EXACT(calc!$D183,"FAC"),"",calc!F183),"")</f>
        <v>N</v>
      </c>
      <c r="F183" s="1" t="str">
        <f>IF(calc!$L183=1,IF(EXACT(calc!$D183,"FAC"),"",calc!G183),"")</f>
        <v/>
      </c>
      <c r="G183" s="1" t="str">
        <f>IF(calc!$L183=1,IF(EXACT(calc!$D183,"FAC"),"",calc!H183),"")</f>
        <v>R</v>
      </c>
      <c r="H183" s="1" t="str">
        <f>IF(calc!$L183=1,IF(EXACT(calc!$D183,"FAC"),"",calc!I183),"")</f>
        <v>19NSH</v>
      </c>
      <c r="I183" s="1">
        <f>IF(calc!$L183=1,calc!J183,"")</f>
        <v>5</v>
      </c>
      <c r="J183" s="1">
        <f>IF(calc!$L183=1,calc!K183,"")</f>
        <v>5</v>
      </c>
      <c r="K183" s="1" t="str">
        <f>IF(calc!$L183=1,calc!M183,"")</f>
        <v/>
      </c>
      <c r="L183" s="1">
        <f>IF(calc!$L183=1,calc!N183,"")</f>
        <v>0</v>
      </c>
      <c r="M183" s="1">
        <f>IF(calc!$L183=1,calc!O183,"")</f>
        <v>0</v>
      </c>
      <c r="N183" s="1" t="str">
        <f>IF(calc!$L183=1,calc!P183,"")</f>
        <v/>
      </c>
      <c r="O183">
        <f>'Entry data'!C$1</f>
        <v>20064</v>
      </c>
      <c r="P183" t="str">
        <f>'Entry data'!C$2</f>
        <v>NSH</v>
      </c>
      <c r="Q183" t="str">
        <f>'Entry data'!C$3</f>
        <v>Home</v>
      </c>
    </row>
    <row r="184" spans="1:17" x14ac:dyDescent="0.25">
      <c r="A184" s="1" t="str">
        <f>IF(calc!$L184=1,calc!B184,"")</f>
        <v/>
      </c>
      <c r="B184" s="5" t="str">
        <f>IF(calc!$L184=1,calc!C184,"")</f>
        <v/>
      </c>
      <c r="C184" s="1" t="str">
        <f>IF(calc!$L184=1,calc!D184,"")</f>
        <v/>
      </c>
      <c r="D184" s="1" t="str">
        <f>IF(calc!$L184=1,calc!E184,"")</f>
        <v/>
      </c>
      <c r="E184" s="1" t="str">
        <f>IF(calc!$L184=1,IF(EXACT(calc!$D184,"FAC"),"",calc!F184),"")</f>
        <v/>
      </c>
      <c r="F184" s="1" t="str">
        <f>IF(calc!$L184=1,IF(EXACT(calc!$D184,"FAC"),"",calc!G184),"")</f>
        <v/>
      </c>
      <c r="G184" s="1" t="str">
        <f>IF(calc!$L184=1,IF(EXACT(calc!$D184,"FAC"),"",calc!H184),"")</f>
        <v/>
      </c>
      <c r="H184" s="1" t="str">
        <f>IF(calc!$L184=1,IF(EXACT(calc!$D184,"FAC"),"",calc!I184),"")</f>
        <v/>
      </c>
      <c r="I184" s="1" t="str">
        <f>IF(calc!$L184=1,calc!J184,"")</f>
        <v/>
      </c>
      <c r="J184" s="1" t="str">
        <f>IF(calc!$L184=1,calc!K184,"")</f>
        <v/>
      </c>
      <c r="K184" s="1" t="str">
        <f>IF(calc!$L184=1,calc!M184,"")</f>
        <v/>
      </c>
      <c r="L184" s="1" t="str">
        <f>IF(calc!$L184=1,calc!N184,"")</f>
        <v/>
      </c>
      <c r="M184" s="1" t="str">
        <f>IF(calc!$L184=1,calc!O184,"")</f>
        <v/>
      </c>
      <c r="N184" s="1" t="str">
        <f>IF(calc!$L184=1,calc!P184,"")</f>
        <v/>
      </c>
      <c r="O184">
        <f>'Entry data'!C$1</f>
        <v>20064</v>
      </c>
      <c r="P184" t="str">
        <f>'Entry data'!C$2</f>
        <v>NSH</v>
      </c>
      <c r="Q184" t="str">
        <f>'Entry data'!C$3</f>
        <v>Home</v>
      </c>
    </row>
    <row r="185" spans="1:17" x14ac:dyDescent="0.25">
      <c r="A185" s="1">
        <f>IF(calc!$L185=1,calc!B185,"")</f>
        <v>2</v>
      </c>
      <c r="B185" s="5">
        <f>IF(calc!$L185=1,calc!C185,"")</f>
        <v>0.67013888888888884</v>
      </c>
      <c r="C185" s="1" t="str">
        <f>IF(calc!$L185=1,calc!D185,"")</f>
        <v>C</v>
      </c>
      <c r="D185" s="1" t="str">
        <f>IF(calc!$L185=1,calc!E185,"")</f>
        <v>71DET</v>
      </c>
      <c r="E185" s="1" t="str">
        <f>IF(calc!$L185=1,IF(EXACT(calc!$D185,"FAC"),"",calc!F185),"")</f>
        <v>76NSH</v>
      </c>
      <c r="F185" s="1" t="str">
        <f>IF(calc!$L185=1,IF(EXACT(calc!$D185,"FAC"),"",calc!G185),"")</f>
        <v>N</v>
      </c>
      <c r="G185" s="1" t="str">
        <f>IF(calc!$L185=1,IF(EXACT(calc!$D185,"FAC"),"",calc!H185),"")</f>
        <v>L</v>
      </c>
      <c r="H185" s="1" t="str">
        <f>IF(calc!$L185=1,IF(EXACT(calc!$D185,"FAC"),"",calc!I185),"")</f>
        <v>N</v>
      </c>
      <c r="I185" s="1">
        <f>IF(calc!$L185=1,calc!J185,"")</f>
        <v>5</v>
      </c>
      <c r="J185" s="1">
        <f>IF(calc!$L185=1,calc!K185,"")</f>
        <v>5</v>
      </c>
      <c r="K185" s="1" t="str">
        <f>IF(calc!$L185=1,calc!M185,"")</f>
        <v>71DET</v>
      </c>
      <c r="L185" s="1">
        <f>IF(calc!$L185=1,calc!N185,"")</f>
        <v>1</v>
      </c>
      <c r="M185" s="1">
        <f>IF(calc!$L185=1,calc!O185,"")</f>
        <v>0</v>
      </c>
      <c r="N185" s="1" t="str">
        <f>IF(calc!$L185=1,calc!P185,"")</f>
        <v/>
      </c>
      <c r="O185">
        <f>'Entry data'!C$1</f>
        <v>20064</v>
      </c>
      <c r="P185" t="str">
        <f>'Entry data'!C$2</f>
        <v>NSH</v>
      </c>
      <c r="Q185" t="str">
        <f>'Entry data'!C$3</f>
        <v>Home</v>
      </c>
    </row>
    <row r="186" spans="1:17" x14ac:dyDescent="0.25">
      <c r="A186" s="1" t="str">
        <f>IF(calc!$L186=1,calc!B186,"")</f>
        <v/>
      </c>
      <c r="B186" s="5" t="str">
        <f>IF(calc!$L186=1,calc!C186,"")</f>
        <v/>
      </c>
      <c r="C186" s="1" t="str">
        <f>IF(calc!$L186=1,calc!D186,"")</f>
        <v/>
      </c>
      <c r="D186" s="1" t="str">
        <f>IF(calc!$L186=1,calc!E186,"")</f>
        <v/>
      </c>
      <c r="E186" s="1" t="str">
        <f>IF(calc!$L186=1,IF(EXACT(calc!$D186,"FAC"),"",calc!F186),"")</f>
        <v/>
      </c>
      <c r="F186" s="1" t="str">
        <f>IF(calc!$L186=1,IF(EXACT(calc!$D186,"FAC"),"",calc!G186),"")</f>
        <v/>
      </c>
      <c r="G186" s="1" t="str">
        <f>IF(calc!$L186=1,IF(EXACT(calc!$D186,"FAC"),"",calc!H186),"")</f>
        <v/>
      </c>
      <c r="H186" s="1" t="str">
        <f>IF(calc!$L186=1,IF(EXACT(calc!$D186,"FAC"),"",calc!I186),"")</f>
        <v/>
      </c>
      <c r="I186" s="1" t="str">
        <f>IF(calc!$L186=1,calc!J186,"")</f>
        <v/>
      </c>
      <c r="J186" s="1" t="str">
        <f>IF(calc!$L186=1,calc!K186,"")</f>
        <v/>
      </c>
      <c r="K186" s="1" t="str">
        <f>IF(calc!$L186=1,calc!M186,"")</f>
        <v/>
      </c>
      <c r="L186" s="1" t="str">
        <f>IF(calc!$L186=1,calc!N186,"")</f>
        <v/>
      </c>
      <c r="M186" s="1" t="str">
        <f>IF(calc!$L186=1,calc!O186,"")</f>
        <v/>
      </c>
      <c r="N186" s="1" t="str">
        <f>IF(calc!$L186=1,calc!P186,"")</f>
        <v/>
      </c>
      <c r="O186">
        <f>'Entry data'!C$1</f>
        <v>20064</v>
      </c>
      <c r="P186" t="str">
        <f>'Entry data'!C$2</f>
        <v>NSH</v>
      </c>
      <c r="Q186" t="str">
        <f>'Entry data'!C$3</f>
        <v>Home</v>
      </c>
    </row>
    <row r="187" spans="1:17" x14ac:dyDescent="0.25">
      <c r="A187" s="1">
        <f>IF(calc!$L187=1,calc!B187,"")</f>
        <v>2</v>
      </c>
      <c r="B187" s="5">
        <f>IF(calc!$L187=1,calc!C187,"")</f>
        <v>0.65138888888888891</v>
      </c>
      <c r="C187" s="1" t="str">
        <f>IF(calc!$L187=1,calc!D187,"")</f>
        <v>C</v>
      </c>
      <c r="D187" s="1" t="str">
        <f>IF(calc!$L187=1,calc!E187,"")</f>
        <v>8DET</v>
      </c>
      <c r="E187" s="1" t="str">
        <f>IF(calc!$L187=1,IF(EXACT(calc!$D187,"FAC"),"",calc!F187),"")</f>
        <v>59NSH</v>
      </c>
      <c r="F187" s="1" t="str">
        <f>IF(calc!$L187=1,IF(EXACT(calc!$D187,"FAC"),"",calc!G187),"")</f>
        <v>Y</v>
      </c>
      <c r="G187" s="1" t="str">
        <f>IF(calc!$L187=1,IF(EXACT(calc!$D187,"FAC"),"",calc!H187),"")</f>
        <v>R</v>
      </c>
      <c r="H187" s="1" t="str">
        <f>IF(calc!$L187=1,IF(EXACT(calc!$D187,"FAC"),"",calc!I187),"")</f>
        <v>N</v>
      </c>
      <c r="I187" s="1">
        <f>IF(calc!$L187=1,calc!J187,"")</f>
        <v>5</v>
      </c>
      <c r="J187" s="1">
        <f>IF(calc!$L187=1,calc!K187,"")</f>
        <v>5</v>
      </c>
      <c r="K187" s="1" t="str">
        <f>IF(calc!$L187=1,calc!M187,"")</f>
        <v>8DET</v>
      </c>
      <c r="L187" s="1">
        <f>IF(calc!$L187=1,calc!N187,"")</f>
        <v>1</v>
      </c>
      <c r="M187" s="1">
        <f>IF(calc!$L187=1,calc!O187,"")</f>
        <v>0</v>
      </c>
      <c r="N187" s="1" t="str">
        <f>IF(calc!$L187=1,calc!P187,"")</f>
        <v/>
      </c>
      <c r="O187">
        <f>'Entry data'!C$1</f>
        <v>20064</v>
      </c>
      <c r="P187" t="str">
        <f>'Entry data'!C$2</f>
        <v>NSH</v>
      </c>
      <c r="Q187" t="str">
        <f>'Entry data'!C$3</f>
        <v>Home</v>
      </c>
    </row>
    <row r="188" spans="1:17" x14ac:dyDescent="0.25">
      <c r="A188" s="1" t="str">
        <f>IF(calc!$L188=1,calc!B188,"")</f>
        <v/>
      </c>
      <c r="B188" s="5" t="str">
        <f>IF(calc!$L188=1,calc!C188,"")</f>
        <v/>
      </c>
      <c r="C188" s="1" t="str">
        <f>IF(calc!$L188=1,calc!D188,"")</f>
        <v/>
      </c>
      <c r="D188" s="1" t="str">
        <f>IF(calc!$L188=1,calc!E188,"")</f>
        <v/>
      </c>
      <c r="E188" s="1" t="str">
        <f>IF(calc!$L188=1,IF(EXACT(calc!$D188,"FAC"),"",calc!F188),"")</f>
        <v/>
      </c>
      <c r="F188" s="1" t="str">
        <f>IF(calc!$L188=1,IF(EXACT(calc!$D188,"FAC"),"",calc!G188),"")</f>
        <v/>
      </c>
      <c r="G188" s="1" t="str">
        <f>IF(calc!$L188=1,IF(EXACT(calc!$D188,"FAC"),"",calc!H188),"")</f>
        <v/>
      </c>
      <c r="H188" s="1" t="str">
        <f>IF(calc!$L188=1,IF(EXACT(calc!$D188,"FAC"),"",calc!I188),"")</f>
        <v/>
      </c>
      <c r="I188" s="1" t="str">
        <f>IF(calc!$L188=1,calc!J188,"")</f>
        <v/>
      </c>
      <c r="J188" s="1" t="str">
        <f>IF(calc!$L188=1,calc!K188,"")</f>
        <v/>
      </c>
      <c r="K188" s="1" t="str">
        <f>IF(calc!$L188=1,calc!M188,"")</f>
        <v/>
      </c>
      <c r="L188" s="1" t="str">
        <f>IF(calc!$L188=1,calc!N188,"")</f>
        <v/>
      </c>
      <c r="M188" s="1" t="str">
        <f>IF(calc!$L188=1,calc!O188,"")</f>
        <v/>
      </c>
      <c r="N188" s="1" t="str">
        <f>IF(calc!$L188=1,calc!P188,"")</f>
        <v/>
      </c>
      <c r="O188">
        <f>'Entry data'!C$1</f>
        <v>20064</v>
      </c>
      <c r="P188" t="str">
        <f>'Entry data'!C$2</f>
        <v>NSH</v>
      </c>
      <c r="Q188" t="str">
        <f>'Entry data'!C$3</f>
        <v>Home</v>
      </c>
    </row>
    <row r="189" spans="1:17" x14ac:dyDescent="0.25">
      <c r="A189" s="1" t="str">
        <f>IF(calc!$L189=1,calc!B189,"")</f>
        <v/>
      </c>
      <c r="B189" s="5" t="str">
        <f>IF(calc!$L189=1,calc!C189,"")</f>
        <v/>
      </c>
      <c r="C189" s="1" t="str">
        <f>IF(calc!$L189=1,calc!D189,"")</f>
        <v/>
      </c>
      <c r="D189" s="1" t="str">
        <f>IF(calc!$L189=1,calc!E189,"")</f>
        <v/>
      </c>
      <c r="E189" s="1" t="str">
        <f>IF(calc!$L189=1,IF(EXACT(calc!$D189,"FAC"),"",calc!F189),"")</f>
        <v/>
      </c>
      <c r="F189" s="1" t="str">
        <f>IF(calc!$L189=1,IF(EXACT(calc!$D189,"FAC"),"",calc!G189),"")</f>
        <v/>
      </c>
      <c r="G189" s="1" t="str">
        <f>IF(calc!$L189=1,IF(EXACT(calc!$D189,"FAC"),"",calc!H189),"")</f>
        <v/>
      </c>
      <c r="H189" s="1" t="str">
        <f>IF(calc!$L189=1,IF(EXACT(calc!$D189,"FAC"),"",calc!I189),"")</f>
        <v/>
      </c>
      <c r="I189" s="1" t="str">
        <f>IF(calc!$L189=1,calc!J189,"")</f>
        <v/>
      </c>
      <c r="J189" s="1" t="str">
        <f>IF(calc!$L189=1,calc!K189,"")</f>
        <v/>
      </c>
      <c r="K189" s="1" t="str">
        <f>IF(calc!$L189=1,calc!M189,"")</f>
        <v/>
      </c>
      <c r="L189" s="1" t="str">
        <f>IF(calc!$L189=1,calc!N189,"")</f>
        <v/>
      </c>
      <c r="M189" s="1" t="str">
        <f>IF(calc!$L189=1,calc!O189,"")</f>
        <v/>
      </c>
      <c r="N189" s="1" t="str">
        <f>IF(calc!$L189=1,calc!P189,"")</f>
        <v/>
      </c>
      <c r="O189">
        <f>'Entry data'!C$1</f>
        <v>20064</v>
      </c>
      <c r="P189" t="str">
        <f>'Entry data'!C$2</f>
        <v>NSH</v>
      </c>
      <c r="Q189" t="str">
        <f>'Entry data'!C$3</f>
        <v>Home</v>
      </c>
    </row>
    <row r="190" spans="1:17" x14ac:dyDescent="0.25">
      <c r="A190" s="1">
        <f>IF(calc!$L190=1,calc!B190,"")</f>
        <v>2</v>
      </c>
      <c r="B190" s="5">
        <f>IF(calc!$L190=1,calc!C190,"")</f>
        <v>0.63124999999999998</v>
      </c>
      <c r="C190" s="1" t="str">
        <f>IF(calc!$L190=1,calc!D190,"")</f>
        <v>C</v>
      </c>
      <c r="D190" s="1" t="str">
        <f>IF(calc!$L190=1,calc!E190,"")</f>
        <v>15DET</v>
      </c>
      <c r="E190" s="1" t="str">
        <f>IF(calc!$L190=1,IF(EXACT(calc!$D190,"FAC"),"",calc!F190),"")</f>
        <v>59NSH</v>
      </c>
      <c r="F190" s="1" t="str">
        <f>IF(calc!$L190=1,IF(EXACT(calc!$D190,"FAC"),"",calc!G190),"")</f>
        <v>N</v>
      </c>
      <c r="G190" s="1" t="str">
        <f>IF(calc!$L190=1,IF(EXACT(calc!$D190,"FAC"),"",calc!H190),"")</f>
        <v>R</v>
      </c>
      <c r="H190" s="1" t="str">
        <f>IF(calc!$L190=1,IF(EXACT(calc!$D190,"FAC"),"",calc!I190),"")</f>
        <v>N</v>
      </c>
      <c r="I190" s="1">
        <f>IF(calc!$L190=1,calc!J190,"")</f>
        <v>5</v>
      </c>
      <c r="J190" s="1">
        <f>IF(calc!$L190=1,calc!K190,"")</f>
        <v>5</v>
      </c>
      <c r="K190" s="1" t="str">
        <f>IF(calc!$L190=1,calc!M190,"")</f>
        <v>15DET</v>
      </c>
      <c r="L190" s="1">
        <f>IF(calc!$L190=1,calc!N190,"")</f>
        <v>1</v>
      </c>
      <c r="M190" s="1">
        <f>IF(calc!$L190=1,calc!O190,"")</f>
        <v>0</v>
      </c>
      <c r="N190" s="1" t="str">
        <f>IF(calc!$L190=1,calc!P190,"")</f>
        <v/>
      </c>
      <c r="O190">
        <f>'Entry data'!C$1</f>
        <v>20064</v>
      </c>
      <c r="P190" t="str">
        <f>'Entry data'!C$2</f>
        <v>NSH</v>
      </c>
      <c r="Q190" t="str">
        <f>'Entry data'!C$3</f>
        <v>Home</v>
      </c>
    </row>
    <row r="191" spans="1:17" x14ac:dyDescent="0.25">
      <c r="A191" s="1" t="str">
        <f>IF(calc!$L191=1,calc!B191,"")</f>
        <v/>
      </c>
      <c r="B191" s="5" t="str">
        <f>IF(calc!$L191=1,calc!C191,"")</f>
        <v/>
      </c>
      <c r="C191" s="1" t="str">
        <f>IF(calc!$L191=1,calc!D191,"")</f>
        <v/>
      </c>
      <c r="D191" s="1" t="str">
        <f>IF(calc!$L191=1,calc!E191,"")</f>
        <v/>
      </c>
      <c r="E191" s="1" t="str">
        <f>IF(calc!$L191=1,IF(EXACT(calc!$D191,"FAC"),"",calc!F191),"")</f>
        <v/>
      </c>
      <c r="F191" s="1" t="str">
        <f>IF(calc!$L191=1,IF(EXACT(calc!$D191,"FAC"),"",calc!G191),"")</f>
        <v/>
      </c>
      <c r="G191" s="1" t="str">
        <f>IF(calc!$L191=1,IF(EXACT(calc!$D191,"FAC"),"",calc!H191),"")</f>
        <v/>
      </c>
      <c r="H191" s="1" t="str">
        <f>IF(calc!$L191=1,IF(EXACT(calc!$D191,"FAC"),"",calc!I191),"")</f>
        <v/>
      </c>
      <c r="I191" s="1" t="str">
        <f>IF(calc!$L191=1,calc!J191,"")</f>
        <v/>
      </c>
      <c r="J191" s="1" t="str">
        <f>IF(calc!$L191=1,calc!K191,"")</f>
        <v/>
      </c>
      <c r="K191" s="1" t="str">
        <f>IF(calc!$L191=1,calc!M191,"")</f>
        <v/>
      </c>
      <c r="L191" s="1" t="str">
        <f>IF(calc!$L191=1,calc!N191,"")</f>
        <v/>
      </c>
      <c r="M191" s="1" t="str">
        <f>IF(calc!$L191=1,calc!O191,"")</f>
        <v/>
      </c>
      <c r="N191" s="1" t="str">
        <f>IF(calc!$L191=1,calc!P191,"")</f>
        <v/>
      </c>
      <c r="O191">
        <f>'Entry data'!C$1</f>
        <v>20064</v>
      </c>
      <c r="P191" t="str">
        <f>'Entry data'!C$2</f>
        <v>NSH</v>
      </c>
      <c r="Q191" t="str">
        <f>'Entry data'!C$3</f>
        <v>Home</v>
      </c>
    </row>
    <row r="192" spans="1:17" x14ac:dyDescent="0.25">
      <c r="A192" s="1" t="str">
        <f>IF(calc!$L192=1,calc!B192,"")</f>
        <v/>
      </c>
      <c r="B192" s="5" t="str">
        <f>IF(calc!$L192=1,calc!C192,"")</f>
        <v/>
      </c>
      <c r="C192" s="1" t="str">
        <f>IF(calc!$L192=1,calc!D192,"")</f>
        <v/>
      </c>
      <c r="D192" s="1" t="str">
        <f>IF(calc!$L192=1,calc!E192,"")</f>
        <v/>
      </c>
      <c r="E192" s="1" t="str">
        <f>IF(calc!$L192=1,IF(EXACT(calc!$D192,"FAC"),"",calc!F192),"")</f>
        <v/>
      </c>
      <c r="F192" s="1" t="str">
        <f>IF(calc!$L192=1,IF(EXACT(calc!$D192,"FAC"),"",calc!G192),"")</f>
        <v/>
      </c>
      <c r="G192" s="1" t="str">
        <f>IF(calc!$L192=1,IF(EXACT(calc!$D192,"FAC"),"",calc!H192),"")</f>
        <v/>
      </c>
      <c r="H192" s="1" t="str">
        <f>IF(calc!$L192=1,IF(EXACT(calc!$D192,"FAC"),"",calc!I192),"")</f>
        <v/>
      </c>
      <c r="I192" s="1" t="str">
        <f>IF(calc!$L192=1,calc!J192,"")</f>
        <v/>
      </c>
      <c r="J192" s="1" t="str">
        <f>IF(calc!$L192=1,calc!K192,"")</f>
        <v/>
      </c>
      <c r="K192" s="1" t="str">
        <f>IF(calc!$L192=1,calc!M192,"")</f>
        <v/>
      </c>
      <c r="L192" s="1" t="str">
        <f>IF(calc!$L192=1,calc!N192,"")</f>
        <v/>
      </c>
      <c r="M192" s="1" t="str">
        <f>IF(calc!$L192=1,calc!O192,"")</f>
        <v/>
      </c>
      <c r="N192" s="1" t="str">
        <f>IF(calc!$L192=1,calc!P192,"")</f>
        <v/>
      </c>
      <c r="O192">
        <f>'Entry data'!C$1</f>
        <v>20064</v>
      </c>
      <c r="P192" t="str">
        <f>'Entry data'!C$2</f>
        <v>NSH</v>
      </c>
      <c r="Q192" t="str">
        <f>'Entry data'!C$3</f>
        <v>Home</v>
      </c>
    </row>
    <row r="193" spans="1:17" x14ac:dyDescent="0.25">
      <c r="A193" s="1">
        <f>IF(calc!$L193=1,calc!B193,"")</f>
        <v>2</v>
      </c>
      <c r="B193" s="5">
        <f>IF(calc!$L193=1,calc!C193,"")</f>
        <v>0.6166666666666667</v>
      </c>
      <c r="C193" s="1" t="str">
        <f>IF(calc!$L193=1,calc!D193,"")</f>
        <v>FAC</v>
      </c>
      <c r="D193" s="1" t="str">
        <f>IF(calc!$L193=1,calc!E193,"")</f>
        <v>OZF</v>
      </c>
      <c r="E193" s="1" t="str">
        <f>IF(calc!$L193=1,IF(EXACT(calc!$D193,"FAC"),"",calc!F193),"")</f>
        <v/>
      </c>
      <c r="F193" s="1" t="str">
        <f>IF(calc!$L193=1,IF(EXACT(calc!$D193,"FAC"),"",calc!G193),"")</f>
        <v/>
      </c>
      <c r="G193" s="1" t="str">
        <f>IF(calc!$L193=1,IF(EXACT(calc!$D193,"FAC"),"",calc!H193),"")</f>
        <v/>
      </c>
      <c r="H193" s="1" t="str">
        <f>IF(calc!$L193=1,IF(EXACT(calc!$D193,"FAC"),"",calc!I193),"")</f>
        <v/>
      </c>
      <c r="I193" s="1">
        <f>IF(calc!$L193=1,calc!J193,"")</f>
        <v>5</v>
      </c>
      <c r="J193" s="1">
        <f>IF(calc!$L193=1,calc!K193,"")</f>
        <v>4</v>
      </c>
      <c r="K193" s="1" t="str">
        <f>IF(calc!$L193=1,calc!M193,"")</f>
        <v/>
      </c>
      <c r="L193" s="1">
        <f>IF(calc!$L193=1,calc!N193,"")</f>
        <v>2</v>
      </c>
      <c r="M193" s="1">
        <f>IF(calc!$L193=1,calc!O193,"")</f>
        <v>1</v>
      </c>
      <c r="N193" s="1" t="str">
        <f>IF(calc!$L193=1,calc!P193,"")</f>
        <v/>
      </c>
      <c r="O193">
        <f>'Entry data'!C$1</f>
        <v>20064</v>
      </c>
      <c r="P193" t="str">
        <f>'Entry data'!C$2</f>
        <v>NSH</v>
      </c>
      <c r="Q193" t="str">
        <f>'Entry data'!C$3</f>
        <v>Home</v>
      </c>
    </row>
    <row r="194" spans="1:17" x14ac:dyDescent="0.25">
      <c r="A194" s="1" t="str">
        <f>IF(calc!$L194=1,calc!B194,"")</f>
        <v/>
      </c>
      <c r="B194" s="5" t="str">
        <f>IF(calc!$L194=1,calc!C194,"")</f>
        <v/>
      </c>
      <c r="C194" s="1" t="str">
        <f>IF(calc!$L194=1,calc!D194,"")</f>
        <v/>
      </c>
      <c r="D194" s="1" t="str">
        <f>IF(calc!$L194=1,calc!E194,"")</f>
        <v/>
      </c>
      <c r="E194" s="1" t="str">
        <f>IF(calc!$L194=1,IF(EXACT(calc!$D194,"FAC"),"",calc!F194),"")</f>
        <v/>
      </c>
      <c r="F194" s="1" t="str">
        <f>IF(calc!$L194=1,IF(EXACT(calc!$D194,"FAC"),"",calc!G194),"")</f>
        <v/>
      </c>
      <c r="G194" s="1" t="str">
        <f>IF(calc!$L194=1,IF(EXACT(calc!$D194,"FAC"),"",calc!H194),"")</f>
        <v/>
      </c>
      <c r="H194" s="1" t="str">
        <f>IF(calc!$L194=1,IF(EXACT(calc!$D194,"FAC"),"",calc!I194),"")</f>
        <v/>
      </c>
      <c r="I194" s="1" t="str">
        <f>IF(calc!$L194=1,calc!J194,"")</f>
        <v/>
      </c>
      <c r="J194" s="1" t="str">
        <f>IF(calc!$L194=1,calc!K194,"")</f>
        <v/>
      </c>
      <c r="K194" s="1" t="str">
        <f>IF(calc!$L194=1,calc!M194,"")</f>
        <v/>
      </c>
      <c r="L194" s="1" t="str">
        <f>IF(calc!$L194=1,calc!N194,"")</f>
        <v/>
      </c>
      <c r="M194" s="1" t="str">
        <f>IF(calc!$L194=1,calc!O194,"")</f>
        <v/>
      </c>
      <c r="N194" s="1" t="str">
        <f>IF(calc!$L194=1,calc!P194,"")</f>
        <v/>
      </c>
      <c r="O194">
        <f>'Entry data'!C$1</f>
        <v>20064</v>
      </c>
      <c r="P194" t="str">
        <f>'Entry data'!C$2</f>
        <v>NSH</v>
      </c>
      <c r="Q194" t="str">
        <f>'Entry data'!C$3</f>
        <v>Home</v>
      </c>
    </row>
    <row r="195" spans="1:17" x14ac:dyDescent="0.25">
      <c r="A195" s="1" t="str">
        <f>IF(calc!$L195=1,calc!B195,"")</f>
        <v/>
      </c>
      <c r="B195" s="5" t="str">
        <f>IF(calc!$L195=1,calc!C195,"")</f>
        <v/>
      </c>
      <c r="C195" s="1" t="str">
        <f>IF(calc!$L195=1,calc!D195,"")</f>
        <v/>
      </c>
      <c r="D195" s="1" t="str">
        <f>IF(calc!$L195=1,calc!E195,"")</f>
        <v/>
      </c>
      <c r="E195" s="1" t="str">
        <f>IF(calc!$L195=1,IF(EXACT(calc!$D195,"FAC"),"",calc!F195),"")</f>
        <v/>
      </c>
      <c r="F195" s="1" t="str">
        <f>IF(calc!$L195=1,IF(EXACT(calc!$D195,"FAC"),"",calc!G195),"")</f>
        <v/>
      </c>
      <c r="G195" s="1" t="str">
        <f>IF(calc!$L195=1,IF(EXACT(calc!$D195,"FAC"),"",calc!H195),"")</f>
        <v/>
      </c>
      <c r="H195" s="1" t="str">
        <f>IF(calc!$L195=1,IF(EXACT(calc!$D195,"FAC"),"",calc!I195),"")</f>
        <v/>
      </c>
      <c r="I195" s="1" t="str">
        <f>IF(calc!$L195=1,calc!J195,"")</f>
        <v/>
      </c>
      <c r="J195" s="1" t="str">
        <f>IF(calc!$L195=1,calc!K195,"")</f>
        <v/>
      </c>
      <c r="K195" s="1" t="str">
        <f>IF(calc!$L195=1,calc!M195,"")</f>
        <v/>
      </c>
      <c r="L195" s="1" t="str">
        <f>IF(calc!$L195=1,calc!N195,"")</f>
        <v/>
      </c>
      <c r="M195" s="1" t="str">
        <f>IF(calc!$L195=1,calc!O195,"")</f>
        <v/>
      </c>
      <c r="N195" s="1" t="str">
        <f>IF(calc!$L195=1,calc!P195,"")</f>
        <v/>
      </c>
      <c r="O195">
        <f>'Entry data'!C$1</f>
        <v>20064</v>
      </c>
      <c r="P195" t="str">
        <f>'Entry data'!C$2</f>
        <v>NSH</v>
      </c>
      <c r="Q195" t="str">
        <f>'Entry data'!C$3</f>
        <v>Home</v>
      </c>
    </row>
    <row r="196" spans="1:17" x14ac:dyDescent="0.25">
      <c r="A196" s="1" t="str">
        <f>IF(calc!$L196=1,calc!B196,"")</f>
        <v/>
      </c>
      <c r="B196" s="5" t="str">
        <f>IF(calc!$L196=1,calc!C196,"")</f>
        <v/>
      </c>
      <c r="C196" s="1" t="str">
        <f>IF(calc!$L196=1,calc!D196,"")</f>
        <v/>
      </c>
      <c r="D196" s="1" t="str">
        <f>IF(calc!$L196=1,calc!E196,"")</f>
        <v/>
      </c>
      <c r="E196" s="1" t="str">
        <f>IF(calc!$L196=1,IF(EXACT(calc!$D196,"FAC"),"",calc!F196),"")</f>
        <v/>
      </c>
      <c r="F196" s="1" t="str">
        <f>IF(calc!$L196=1,IF(EXACT(calc!$D196,"FAC"),"",calc!G196),"")</f>
        <v/>
      </c>
      <c r="G196" s="1" t="str">
        <f>IF(calc!$L196=1,IF(EXACT(calc!$D196,"FAC"),"",calc!H196),"")</f>
        <v/>
      </c>
      <c r="H196" s="1" t="str">
        <f>IF(calc!$L196=1,IF(EXACT(calc!$D196,"FAC"),"",calc!I196),"")</f>
        <v/>
      </c>
      <c r="I196" s="1" t="str">
        <f>IF(calc!$L196=1,calc!J196,"")</f>
        <v/>
      </c>
      <c r="J196" s="1" t="str">
        <f>IF(calc!$L196=1,calc!K196,"")</f>
        <v/>
      </c>
      <c r="K196" s="1" t="str">
        <f>IF(calc!$L196=1,calc!M196,"")</f>
        <v/>
      </c>
      <c r="L196" s="1" t="str">
        <f>IF(calc!$L196=1,calc!N196,"")</f>
        <v/>
      </c>
      <c r="M196" s="1" t="str">
        <f>IF(calc!$L196=1,calc!O196,"")</f>
        <v/>
      </c>
      <c r="N196" s="1" t="str">
        <f>IF(calc!$L196=1,calc!P196,"")</f>
        <v/>
      </c>
      <c r="O196">
        <f>'Entry data'!C$1</f>
        <v>20064</v>
      </c>
      <c r="P196" t="str">
        <f>'Entry data'!C$2</f>
        <v>NSH</v>
      </c>
      <c r="Q196" t="str">
        <f>'Entry data'!C$3</f>
        <v>Home</v>
      </c>
    </row>
    <row r="197" spans="1:17" x14ac:dyDescent="0.25">
      <c r="A197" s="1" t="str">
        <f>IF(calc!$L197=1,calc!B197,"")</f>
        <v/>
      </c>
      <c r="B197" s="5" t="str">
        <f>IF(calc!$L197=1,calc!C197,"")</f>
        <v/>
      </c>
      <c r="C197" s="1" t="str">
        <f>IF(calc!$L197=1,calc!D197,"")</f>
        <v/>
      </c>
      <c r="D197" s="1" t="str">
        <f>IF(calc!$L197=1,calc!E197,"")</f>
        <v/>
      </c>
      <c r="E197" s="1" t="str">
        <f>IF(calc!$L197=1,IF(EXACT(calc!$D197,"FAC"),"",calc!F197),"")</f>
        <v/>
      </c>
      <c r="F197" s="1" t="str">
        <f>IF(calc!$L197=1,IF(EXACT(calc!$D197,"FAC"),"",calc!G197),"")</f>
        <v/>
      </c>
      <c r="G197" s="1" t="str">
        <f>IF(calc!$L197=1,IF(EXACT(calc!$D197,"FAC"),"",calc!H197),"")</f>
        <v/>
      </c>
      <c r="H197" s="1" t="str">
        <f>IF(calc!$L197=1,IF(EXACT(calc!$D197,"FAC"),"",calc!I197),"")</f>
        <v/>
      </c>
      <c r="I197" s="1" t="str">
        <f>IF(calc!$L197=1,calc!J197,"")</f>
        <v/>
      </c>
      <c r="J197" s="1" t="str">
        <f>IF(calc!$L197=1,calc!K197,"")</f>
        <v/>
      </c>
      <c r="K197" s="1" t="str">
        <f>IF(calc!$L197=1,calc!M197,"")</f>
        <v/>
      </c>
      <c r="L197" s="1" t="str">
        <f>IF(calc!$L197=1,calc!N197,"")</f>
        <v/>
      </c>
      <c r="M197" s="1" t="str">
        <f>IF(calc!$L197=1,calc!O197,"")</f>
        <v/>
      </c>
      <c r="N197" s="1" t="str">
        <f>IF(calc!$L197=1,calc!P197,"")</f>
        <v/>
      </c>
      <c r="O197">
        <f>'Entry data'!C$1</f>
        <v>20064</v>
      </c>
      <c r="P197" t="str">
        <f>'Entry data'!C$2</f>
        <v>NSH</v>
      </c>
      <c r="Q197" t="str">
        <f>'Entry data'!C$3</f>
        <v>Home</v>
      </c>
    </row>
    <row r="198" spans="1:17" x14ac:dyDescent="0.25">
      <c r="A198" s="1" t="str">
        <f>IF(calc!$L198=1,calc!B198,"")</f>
        <v/>
      </c>
      <c r="B198" s="5" t="str">
        <f>IF(calc!$L198=1,calc!C198,"")</f>
        <v/>
      </c>
      <c r="C198" s="1" t="str">
        <f>IF(calc!$L198=1,calc!D198,"")</f>
        <v/>
      </c>
      <c r="D198" s="1" t="str">
        <f>IF(calc!$L198=1,calc!E198,"")</f>
        <v/>
      </c>
      <c r="E198" s="1" t="str">
        <f>IF(calc!$L198=1,IF(EXACT(calc!$D198,"FAC"),"",calc!F198),"")</f>
        <v/>
      </c>
      <c r="F198" s="1" t="str">
        <f>IF(calc!$L198=1,IF(EXACT(calc!$D198,"FAC"),"",calc!G198),"")</f>
        <v/>
      </c>
      <c r="G198" s="1" t="str">
        <f>IF(calc!$L198=1,IF(EXACT(calc!$D198,"FAC"),"",calc!H198),"")</f>
        <v/>
      </c>
      <c r="H198" s="1" t="str">
        <f>IF(calc!$L198=1,IF(EXACT(calc!$D198,"FAC"),"",calc!I198),"")</f>
        <v/>
      </c>
      <c r="I198" s="1" t="str">
        <f>IF(calc!$L198=1,calc!J198,"")</f>
        <v/>
      </c>
      <c r="J198" s="1" t="str">
        <f>IF(calc!$L198=1,calc!K198,"")</f>
        <v/>
      </c>
      <c r="K198" s="1" t="str">
        <f>IF(calc!$L198=1,calc!M198,"")</f>
        <v/>
      </c>
      <c r="L198" s="1" t="str">
        <f>IF(calc!$L198=1,calc!N198,"")</f>
        <v/>
      </c>
      <c r="M198" s="1" t="str">
        <f>IF(calc!$L198=1,calc!O198,"")</f>
        <v/>
      </c>
      <c r="N198" s="1" t="str">
        <f>IF(calc!$L198=1,calc!P198,"")</f>
        <v/>
      </c>
      <c r="O198">
        <f>'Entry data'!C$1</f>
        <v>20064</v>
      </c>
      <c r="P198" t="str">
        <f>'Entry data'!C$2</f>
        <v>NSH</v>
      </c>
      <c r="Q198" t="str">
        <f>'Entry data'!C$3</f>
        <v>Home</v>
      </c>
    </row>
    <row r="199" spans="1:17" x14ac:dyDescent="0.25">
      <c r="A199" s="1">
        <f>IF(calc!$L199=1,calc!B199,"")</f>
        <v>2</v>
      </c>
      <c r="B199" s="5">
        <f>IF(calc!$L199=1,calc!C199,"")</f>
        <v>0.61111111111111105</v>
      </c>
      <c r="C199" s="1" t="str">
        <f>IF(calc!$L199=1,calc!D199,"")</f>
        <v>D</v>
      </c>
      <c r="D199" s="1" t="str">
        <f>IF(calc!$L199=1,calc!E199,"")</f>
        <v>14NSH</v>
      </c>
      <c r="E199" s="1" t="str">
        <f>IF(calc!$L199=1,IF(EXACT(calc!$D199,"FAC"),"",calc!F199),"")</f>
        <v>N</v>
      </c>
      <c r="F199" s="1" t="str">
        <f>IF(calc!$L199=1,IF(EXACT(calc!$D199,"FAC"),"",calc!G199),"")</f>
        <v/>
      </c>
      <c r="G199" s="1" t="str">
        <f>IF(calc!$L199=1,IF(EXACT(calc!$D199,"FAC"),"",calc!H199),"")</f>
        <v>L</v>
      </c>
      <c r="H199" s="1" t="str">
        <f>IF(calc!$L199=1,IF(EXACT(calc!$D199,"FAC"),"",calc!I199),"")</f>
        <v>N</v>
      </c>
      <c r="I199" s="1">
        <f>IF(calc!$L199=1,calc!J199,"")</f>
        <v>5</v>
      </c>
      <c r="J199" s="1">
        <f>IF(calc!$L199=1,calc!K199,"")</f>
        <v>5</v>
      </c>
      <c r="K199" s="1" t="str">
        <f>IF(calc!$L199=1,calc!M199,"")</f>
        <v/>
      </c>
      <c r="L199" s="1">
        <f>IF(calc!$L199=1,calc!N199,"")</f>
        <v>0</v>
      </c>
      <c r="M199" s="1">
        <f>IF(calc!$L199=1,calc!O199,"")</f>
        <v>0</v>
      </c>
      <c r="N199" s="1" t="str">
        <f>IF(calc!$L199=1,calc!P199,"")</f>
        <v/>
      </c>
      <c r="O199">
        <f>'Entry data'!C$1</f>
        <v>20064</v>
      </c>
      <c r="P199" t="str">
        <f>'Entry data'!C$2</f>
        <v>NSH</v>
      </c>
      <c r="Q199" t="str">
        <f>'Entry data'!C$3</f>
        <v>Home</v>
      </c>
    </row>
    <row r="200" spans="1:17" x14ac:dyDescent="0.25">
      <c r="A200" s="1">
        <f>IF(calc!$L200=1,calc!B200,"")</f>
        <v>2</v>
      </c>
      <c r="B200" s="5">
        <f>IF(calc!$L200=1,calc!C200,"")</f>
        <v>0.60347222222222219</v>
      </c>
      <c r="C200" s="1" t="str">
        <f>IF(calc!$L200=1,calc!D200,"")</f>
        <v>C</v>
      </c>
      <c r="D200" s="1" t="str">
        <f>IF(calc!$L200=1,calc!E200,"")</f>
        <v>51DET</v>
      </c>
      <c r="E200" s="1" t="str">
        <f>IF(calc!$L200=1,IF(EXACT(calc!$D200,"FAC"),"",calc!F200),"")</f>
        <v>14NSH</v>
      </c>
      <c r="F200" s="1" t="str">
        <f>IF(calc!$L200=1,IF(EXACT(calc!$D200,"FAC"),"",calc!G200),"")</f>
        <v>N</v>
      </c>
      <c r="G200" s="1" t="str">
        <f>IF(calc!$L200=1,IF(EXACT(calc!$D200,"FAC"),"",calc!H200),"")</f>
        <v>C</v>
      </c>
      <c r="H200" s="1" t="str">
        <f>IF(calc!$L200=1,IF(EXACT(calc!$D200,"FAC"),"",calc!I200),"")</f>
        <v>N</v>
      </c>
      <c r="I200" s="1">
        <f>IF(calc!$L200=1,calc!J200,"")</f>
        <v>5</v>
      </c>
      <c r="J200" s="1">
        <f>IF(calc!$L200=1,calc!K200,"")</f>
        <v>5</v>
      </c>
      <c r="K200" s="1" t="str">
        <f>IF(calc!$L200=1,calc!M200,"")</f>
        <v>51DET</v>
      </c>
      <c r="L200" s="1">
        <f>IF(calc!$L200=1,calc!N200,"")</f>
        <v>0</v>
      </c>
      <c r="M200" s="1">
        <f>IF(calc!$L200=1,calc!O200,"")</f>
        <v>0</v>
      </c>
      <c r="N200" s="1" t="str">
        <f>IF(calc!$L200=1,calc!P200,"")</f>
        <v/>
      </c>
      <c r="O200">
        <f>'Entry data'!C$1</f>
        <v>20064</v>
      </c>
      <c r="P200" t="str">
        <f>'Entry data'!C$2</f>
        <v>NSH</v>
      </c>
      <c r="Q200" t="str">
        <f>'Entry data'!C$3</f>
        <v>Home</v>
      </c>
    </row>
    <row r="201" spans="1:17" x14ac:dyDescent="0.25">
      <c r="A201" s="1" t="str">
        <f>IF(calc!$L201=1,calc!B201,"")</f>
        <v/>
      </c>
      <c r="B201" s="5" t="str">
        <f>IF(calc!$L201=1,calc!C201,"")</f>
        <v/>
      </c>
      <c r="C201" s="1" t="str">
        <f>IF(calc!$L201=1,calc!D201,"")</f>
        <v/>
      </c>
      <c r="D201" s="1" t="str">
        <f>IF(calc!$L201=1,calc!E201,"")</f>
        <v/>
      </c>
      <c r="E201" s="1" t="str">
        <f>IF(calc!$L201=1,IF(EXACT(calc!$D201,"FAC"),"",calc!F201),"")</f>
        <v/>
      </c>
      <c r="F201" s="1" t="str">
        <f>IF(calc!$L201=1,IF(EXACT(calc!$D201,"FAC"),"",calc!G201),"")</f>
        <v/>
      </c>
      <c r="G201" s="1" t="str">
        <f>IF(calc!$L201=1,IF(EXACT(calc!$D201,"FAC"),"",calc!H201),"")</f>
        <v/>
      </c>
      <c r="H201" s="1" t="str">
        <f>IF(calc!$L201=1,IF(EXACT(calc!$D201,"FAC"),"",calc!I201),"")</f>
        <v/>
      </c>
      <c r="I201" s="1" t="str">
        <f>IF(calc!$L201=1,calc!J201,"")</f>
        <v/>
      </c>
      <c r="J201" s="1" t="str">
        <f>IF(calc!$L201=1,calc!K201,"")</f>
        <v/>
      </c>
      <c r="K201" s="1" t="str">
        <f>IF(calc!$L201=1,calc!M201,"")</f>
        <v/>
      </c>
      <c r="L201" s="1" t="str">
        <f>IF(calc!$L201=1,calc!N201,"")</f>
        <v/>
      </c>
      <c r="M201" s="1" t="str">
        <f>IF(calc!$L201=1,calc!O201,"")</f>
        <v/>
      </c>
      <c r="N201" s="1" t="str">
        <f>IF(calc!$L201=1,calc!P201,"")</f>
        <v/>
      </c>
      <c r="O201">
        <f>'Entry data'!C$1</f>
        <v>20064</v>
      </c>
      <c r="P201" t="str">
        <f>'Entry data'!C$2</f>
        <v>NSH</v>
      </c>
      <c r="Q201" t="str">
        <f>'Entry data'!C$3</f>
        <v>Home</v>
      </c>
    </row>
    <row r="202" spans="1:17" x14ac:dyDescent="0.25">
      <c r="A202" s="1">
        <f>IF(calc!$L202=1,calc!B202,"")</f>
        <v>2</v>
      </c>
      <c r="B202" s="5">
        <f>IF(calc!$L202=1,calc!C202,"")</f>
        <v>0.58611111111111114</v>
      </c>
      <c r="C202" s="1" t="str">
        <f>IF(calc!$L202=1,calc!D202,"")</f>
        <v>D</v>
      </c>
      <c r="D202" s="1" t="str">
        <f>IF(calc!$L202=1,calc!E202,"")</f>
        <v>38NSH</v>
      </c>
      <c r="E202" s="1" t="str">
        <f>IF(calc!$L202=1,IF(EXACT(calc!$D202,"FAC"),"",calc!F202),"")</f>
        <v>52DET</v>
      </c>
      <c r="F202" s="1" t="str">
        <f>IF(calc!$L202=1,IF(EXACT(calc!$D202,"FAC"),"",calc!G202),"")</f>
        <v/>
      </c>
      <c r="G202" s="1" t="str">
        <f>IF(calc!$L202=1,IF(EXACT(calc!$D202,"FAC"),"",calc!H202),"")</f>
        <v>C</v>
      </c>
      <c r="H202" s="1" t="str">
        <f>IF(calc!$L202=1,IF(EXACT(calc!$D202,"FAC"),"",calc!I202),"")</f>
        <v>N</v>
      </c>
      <c r="I202" s="1">
        <f>IF(calc!$L202=1,calc!J202,"")</f>
        <v>5</v>
      </c>
      <c r="J202" s="1">
        <f>IF(calc!$L202=1,calc!K202,"")</f>
        <v>5</v>
      </c>
      <c r="K202" s="1" t="str">
        <f>IF(calc!$L202=1,calc!M202,"")</f>
        <v/>
      </c>
      <c r="L202" s="1">
        <f>IF(calc!$L202=1,calc!N202,"")</f>
        <v>0</v>
      </c>
      <c r="M202" s="1">
        <f>IF(calc!$L202=1,calc!O202,"")</f>
        <v>0</v>
      </c>
      <c r="N202" s="1" t="str">
        <f>IF(calc!$L202=1,calc!P202,"")</f>
        <v/>
      </c>
      <c r="O202">
        <f>'Entry data'!C$1</f>
        <v>20064</v>
      </c>
      <c r="P202" t="str">
        <f>'Entry data'!C$2</f>
        <v>NSH</v>
      </c>
      <c r="Q202" t="str">
        <f>'Entry data'!C$3</f>
        <v>Home</v>
      </c>
    </row>
    <row r="203" spans="1:17" x14ac:dyDescent="0.25">
      <c r="A203" s="1" t="str">
        <f>IF(calc!$L203=1,calc!B203,"")</f>
        <v/>
      </c>
      <c r="B203" s="5" t="str">
        <f>IF(calc!$L203=1,calc!C203,"")</f>
        <v/>
      </c>
      <c r="C203" s="1" t="str">
        <f>IF(calc!$L203=1,calc!D203,"")</f>
        <v/>
      </c>
      <c r="D203" s="1" t="str">
        <f>IF(calc!$L203=1,calc!E203,"")</f>
        <v/>
      </c>
      <c r="E203" s="1" t="str">
        <f>IF(calc!$L203=1,IF(EXACT(calc!$D203,"FAC"),"",calc!F203),"")</f>
        <v/>
      </c>
      <c r="F203" s="1" t="str">
        <f>IF(calc!$L203=1,IF(EXACT(calc!$D203,"FAC"),"",calc!G203),"")</f>
        <v/>
      </c>
      <c r="G203" s="1" t="str">
        <f>IF(calc!$L203=1,IF(EXACT(calc!$D203,"FAC"),"",calc!H203),"")</f>
        <v/>
      </c>
      <c r="H203" s="1" t="str">
        <f>IF(calc!$L203=1,IF(EXACT(calc!$D203,"FAC"),"",calc!I203),"")</f>
        <v/>
      </c>
      <c r="I203" s="1" t="str">
        <f>IF(calc!$L203=1,calc!J203,"")</f>
        <v/>
      </c>
      <c r="J203" s="1" t="str">
        <f>IF(calc!$L203=1,calc!K203,"")</f>
        <v/>
      </c>
      <c r="K203" s="1" t="str">
        <f>IF(calc!$L203=1,calc!M203,"")</f>
        <v/>
      </c>
      <c r="L203" s="1" t="str">
        <f>IF(calc!$L203=1,calc!N203,"")</f>
        <v/>
      </c>
      <c r="M203" s="1" t="str">
        <f>IF(calc!$L203=1,calc!O203,"")</f>
        <v/>
      </c>
      <c r="N203" s="1" t="str">
        <f>IF(calc!$L203=1,calc!P203,"")</f>
        <v/>
      </c>
      <c r="O203">
        <f>'Entry data'!C$1</f>
        <v>20064</v>
      </c>
      <c r="P203" t="str">
        <f>'Entry data'!C$2</f>
        <v>NSH</v>
      </c>
      <c r="Q203" t="str">
        <f>'Entry data'!C$3</f>
        <v>Home</v>
      </c>
    </row>
    <row r="204" spans="1:17" x14ac:dyDescent="0.25">
      <c r="A204" s="1">
        <f>IF(calc!$L204=1,calc!B204,"")</f>
        <v>2</v>
      </c>
      <c r="B204" s="5">
        <f>IF(calc!$L204=1,calc!C204,"")</f>
        <v>0.56944444444444442</v>
      </c>
      <c r="C204" s="1" t="str">
        <f>IF(calc!$L204=1,calc!D204,"")</f>
        <v>D</v>
      </c>
      <c r="D204" s="1" t="str">
        <f>IF(calc!$L204=1,calc!E204,"")</f>
        <v>43DET</v>
      </c>
      <c r="E204" s="1" t="str">
        <f>IF(calc!$L204=1,IF(EXACT(calc!$D204,"FAC"),"",calc!F204),"")</f>
        <v>59NSH</v>
      </c>
      <c r="F204" s="1" t="str">
        <f>IF(calc!$L204=1,IF(EXACT(calc!$D204,"FAC"),"",calc!G204),"")</f>
        <v/>
      </c>
      <c r="G204" s="1" t="str">
        <f>IF(calc!$L204=1,IF(EXACT(calc!$D204,"FAC"),"",calc!H204),"")</f>
        <v>C</v>
      </c>
      <c r="H204" s="1" t="str">
        <f>IF(calc!$L204=1,IF(EXACT(calc!$D204,"FAC"),"",calc!I204),"")</f>
        <v>N</v>
      </c>
      <c r="I204" s="1">
        <f>IF(calc!$L204=1,calc!J204,"")</f>
        <v>5</v>
      </c>
      <c r="J204" s="1">
        <f>IF(calc!$L204=1,calc!K204,"")</f>
        <v>5</v>
      </c>
      <c r="K204" s="1" t="str">
        <f>IF(calc!$L204=1,calc!M204,"")</f>
        <v/>
      </c>
      <c r="L204" s="1">
        <f>IF(calc!$L204=1,calc!N204,"")</f>
        <v>0</v>
      </c>
      <c r="M204" s="1">
        <f>IF(calc!$L204=1,calc!O204,"")</f>
        <v>0</v>
      </c>
      <c r="N204" s="1" t="str">
        <f>IF(calc!$L204=1,calc!P204,"")</f>
        <v/>
      </c>
      <c r="O204">
        <f>'Entry data'!C$1</f>
        <v>20064</v>
      </c>
      <c r="P204" t="str">
        <f>'Entry data'!C$2</f>
        <v>NSH</v>
      </c>
      <c r="Q204" t="str">
        <f>'Entry data'!C$3</f>
        <v>Home</v>
      </c>
    </row>
    <row r="205" spans="1:17" x14ac:dyDescent="0.25">
      <c r="A205" s="1" t="str">
        <f>IF(calc!$L205=1,calc!B205,"")</f>
        <v/>
      </c>
      <c r="B205" s="5" t="str">
        <f>IF(calc!$L205=1,calc!C205,"")</f>
        <v/>
      </c>
      <c r="C205" s="1" t="str">
        <f>IF(calc!$L205=1,calc!D205,"")</f>
        <v/>
      </c>
      <c r="D205" s="1" t="str">
        <f>IF(calc!$L205=1,calc!E205,"")</f>
        <v/>
      </c>
      <c r="E205" s="1" t="str">
        <f>IF(calc!$L205=1,IF(EXACT(calc!$D205,"FAC"),"",calc!F205),"")</f>
        <v/>
      </c>
      <c r="F205" s="1" t="str">
        <f>IF(calc!$L205=1,IF(EXACT(calc!$D205,"FAC"),"",calc!G205),"")</f>
        <v/>
      </c>
      <c r="G205" s="1" t="str">
        <f>IF(calc!$L205=1,IF(EXACT(calc!$D205,"FAC"),"",calc!H205),"")</f>
        <v/>
      </c>
      <c r="H205" s="1" t="str">
        <f>IF(calc!$L205=1,IF(EXACT(calc!$D205,"FAC"),"",calc!I205),"")</f>
        <v/>
      </c>
      <c r="I205" s="1" t="str">
        <f>IF(calc!$L205=1,calc!J205,"")</f>
        <v/>
      </c>
      <c r="J205" s="1" t="str">
        <f>IF(calc!$L205=1,calc!K205,"")</f>
        <v/>
      </c>
      <c r="K205" s="1" t="str">
        <f>IF(calc!$L205=1,calc!M205,"")</f>
        <v/>
      </c>
      <c r="L205" s="1" t="str">
        <f>IF(calc!$L205=1,calc!N205,"")</f>
        <v/>
      </c>
      <c r="M205" s="1" t="str">
        <f>IF(calc!$L205=1,calc!O205,"")</f>
        <v/>
      </c>
      <c r="N205" s="1" t="str">
        <f>IF(calc!$L205=1,calc!P205,"")</f>
        <v/>
      </c>
      <c r="O205">
        <f>'Entry data'!C$1</f>
        <v>20064</v>
      </c>
      <c r="P205" t="str">
        <f>'Entry data'!C$2</f>
        <v>NSH</v>
      </c>
      <c r="Q205" t="str">
        <f>'Entry data'!C$3</f>
        <v>Home</v>
      </c>
    </row>
    <row r="206" spans="1:17" x14ac:dyDescent="0.25">
      <c r="A206" s="1">
        <f>IF(calc!$L206=1,calc!B206,"")</f>
        <v>2</v>
      </c>
      <c r="B206" s="5">
        <f>IF(calc!$L206=1,calc!C206,"")</f>
        <v>0.5625</v>
      </c>
      <c r="C206" s="1" t="str">
        <f>IF(calc!$L206=1,calc!D206,"")</f>
        <v>D</v>
      </c>
      <c r="D206" s="1" t="str">
        <f>IF(calc!$L206=1,calc!E206,"")</f>
        <v>43DET</v>
      </c>
      <c r="E206" s="1" t="str">
        <f>IF(calc!$L206=1,IF(EXACT(calc!$D206,"FAC"),"",calc!F206),"")</f>
        <v>12NSH</v>
      </c>
      <c r="F206" s="1" t="str">
        <f>IF(calc!$L206=1,IF(EXACT(calc!$D206,"FAC"),"",calc!G206),"")</f>
        <v/>
      </c>
      <c r="G206" s="1" t="str">
        <f>IF(calc!$L206=1,IF(EXACT(calc!$D206,"FAC"),"",calc!H206),"")</f>
        <v>C</v>
      </c>
      <c r="H206" s="1" t="str">
        <f>IF(calc!$L206=1,IF(EXACT(calc!$D206,"FAC"),"",calc!I206),"")</f>
        <v>N</v>
      </c>
      <c r="I206" s="1">
        <f>IF(calc!$L206=1,calc!J206,"")</f>
        <v>5</v>
      </c>
      <c r="J206" s="1">
        <f>IF(calc!$L206=1,calc!K206,"")</f>
        <v>5</v>
      </c>
      <c r="K206" s="1" t="str">
        <f>IF(calc!$L206=1,calc!M206,"")</f>
        <v/>
      </c>
      <c r="L206" s="1">
        <f>IF(calc!$L206=1,calc!N206,"")</f>
        <v>0</v>
      </c>
      <c r="M206" s="1">
        <f>IF(calc!$L206=1,calc!O206,"")</f>
        <v>0</v>
      </c>
      <c r="N206" s="1" t="str">
        <f>IF(calc!$L206=1,calc!P206,"")</f>
        <v/>
      </c>
      <c r="O206">
        <f>'Entry data'!C$1</f>
        <v>20064</v>
      </c>
      <c r="P206" t="str">
        <f>'Entry data'!C$2</f>
        <v>NSH</v>
      </c>
      <c r="Q206" t="str">
        <f>'Entry data'!C$3</f>
        <v>Home</v>
      </c>
    </row>
    <row r="207" spans="1:17" x14ac:dyDescent="0.25">
      <c r="A207" s="1">
        <f>IF(calc!$L207=1,calc!B207,"")</f>
        <v>2</v>
      </c>
      <c r="B207" s="5">
        <f>IF(calc!$L207=1,calc!C207,"")</f>
        <v>0.55347222222222225</v>
      </c>
      <c r="C207" s="1" t="str">
        <f>IF(calc!$L207=1,calc!D207,"")</f>
        <v>D</v>
      </c>
      <c r="D207" s="1" t="str">
        <f>IF(calc!$L207=1,calc!E207,"")</f>
        <v>12NSH</v>
      </c>
      <c r="E207" s="1" t="str">
        <f>IF(calc!$L207=1,IF(EXACT(calc!$D207,"FAC"),"",calc!F207),"")</f>
        <v>48DET</v>
      </c>
      <c r="F207" s="1" t="str">
        <f>IF(calc!$L207=1,IF(EXACT(calc!$D207,"FAC"),"",calc!G207),"")</f>
        <v/>
      </c>
      <c r="G207" s="1" t="str">
        <f>IF(calc!$L207=1,IF(EXACT(calc!$D207,"FAC"),"",calc!H207),"")</f>
        <v>L</v>
      </c>
      <c r="H207" s="1" t="str">
        <f>IF(calc!$L207=1,IF(EXACT(calc!$D207,"FAC"),"",calc!I207),"")</f>
        <v>56NSH</v>
      </c>
      <c r="I207" s="1">
        <f>IF(calc!$L207=1,calc!J207,"")</f>
        <v>5</v>
      </c>
      <c r="J207" s="1">
        <f>IF(calc!$L207=1,calc!K207,"")</f>
        <v>5</v>
      </c>
      <c r="K207" s="1" t="str">
        <f>IF(calc!$L207=1,calc!M207,"")</f>
        <v/>
      </c>
      <c r="L207" s="1">
        <f>IF(calc!$L207=1,calc!N207,"")</f>
        <v>0</v>
      </c>
      <c r="M207" s="1">
        <f>IF(calc!$L207=1,calc!O207,"")</f>
        <v>0</v>
      </c>
      <c r="N207" s="1" t="str">
        <f>IF(calc!$L207=1,calc!P207,"")</f>
        <v/>
      </c>
      <c r="O207">
        <f>'Entry data'!C$1</f>
        <v>20064</v>
      </c>
      <c r="P207" t="str">
        <f>'Entry data'!C$2</f>
        <v>NSH</v>
      </c>
      <c r="Q207" t="str">
        <f>'Entry data'!C$3</f>
        <v>Home</v>
      </c>
    </row>
    <row r="208" spans="1:17" x14ac:dyDescent="0.25">
      <c r="A208" s="1" t="str">
        <f>IF(calc!$L208=1,calc!B208,"")</f>
        <v/>
      </c>
      <c r="B208" s="5" t="str">
        <f>IF(calc!$L208=1,calc!C208,"")</f>
        <v/>
      </c>
      <c r="C208" s="1" t="str">
        <f>IF(calc!$L208=1,calc!D208,"")</f>
        <v/>
      </c>
      <c r="D208" s="1" t="str">
        <f>IF(calc!$L208=1,calc!E208,"")</f>
        <v/>
      </c>
      <c r="E208" s="1" t="str">
        <f>IF(calc!$L208=1,IF(EXACT(calc!$D208,"FAC"),"",calc!F208),"")</f>
        <v/>
      </c>
      <c r="F208" s="1" t="str">
        <f>IF(calc!$L208=1,IF(EXACT(calc!$D208,"FAC"),"",calc!G208),"")</f>
        <v/>
      </c>
      <c r="G208" s="1" t="str">
        <f>IF(calc!$L208=1,IF(EXACT(calc!$D208,"FAC"),"",calc!H208),"")</f>
        <v/>
      </c>
      <c r="H208" s="1" t="str">
        <f>IF(calc!$L208=1,IF(EXACT(calc!$D208,"FAC"),"",calc!I208),"")</f>
        <v/>
      </c>
      <c r="I208" s="1" t="str">
        <f>IF(calc!$L208=1,calc!J208,"")</f>
        <v/>
      </c>
      <c r="J208" s="1" t="str">
        <f>IF(calc!$L208=1,calc!K208,"")</f>
        <v/>
      </c>
      <c r="K208" s="1" t="str">
        <f>IF(calc!$L208=1,calc!M208,"")</f>
        <v/>
      </c>
      <c r="L208" s="1" t="str">
        <f>IF(calc!$L208=1,calc!N208,"")</f>
        <v/>
      </c>
      <c r="M208" s="1" t="str">
        <f>IF(calc!$L208=1,calc!O208,"")</f>
        <v/>
      </c>
      <c r="N208" s="1" t="str">
        <f>IF(calc!$L208=1,calc!P208,"")</f>
        <v/>
      </c>
      <c r="O208">
        <f>'Entry data'!C$1</f>
        <v>20064</v>
      </c>
      <c r="P208" t="str">
        <f>'Entry data'!C$2</f>
        <v>NSH</v>
      </c>
      <c r="Q208" t="str">
        <f>'Entry data'!C$3</f>
        <v>Home</v>
      </c>
    </row>
    <row r="209" spans="1:17" x14ac:dyDescent="0.25">
      <c r="A209" s="1" t="str">
        <f>IF(calc!$L209=1,calc!B209,"")</f>
        <v/>
      </c>
      <c r="B209" s="5" t="str">
        <f>IF(calc!$L209=1,calc!C209,"")</f>
        <v/>
      </c>
      <c r="C209" s="1" t="str">
        <f>IF(calc!$L209=1,calc!D209,"")</f>
        <v/>
      </c>
      <c r="D209" s="1" t="str">
        <f>IF(calc!$L209=1,calc!E209,"")</f>
        <v/>
      </c>
      <c r="E209" s="1" t="str">
        <f>IF(calc!$L209=1,IF(EXACT(calc!$D209,"FAC"),"",calc!F209),"")</f>
        <v/>
      </c>
      <c r="F209" s="1" t="str">
        <f>IF(calc!$L209=1,IF(EXACT(calc!$D209,"FAC"),"",calc!G209),"")</f>
        <v/>
      </c>
      <c r="G209" s="1" t="str">
        <f>IF(calc!$L209=1,IF(EXACT(calc!$D209,"FAC"),"",calc!H209),"")</f>
        <v/>
      </c>
      <c r="H209" s="1" t="str">
        <f>IF(calc!$L209=1,IF(EXACT(calc!$D209,"FAC"),"",calc!I209),"")</f>
        <v/>
      </c>
      <c r="I209" s="1" t="str">
        <f>IF(calc!$L209=1,calc!J209,"")</f>
        <v/>
      </c>
      <c r="J209" s="1" t="str">
        <f>IF(calc!$L209=1,calc!K209,"")</f>
        <v/>
      </c>
      <c r="K209" s="1" t="str">
        <f>IF(calc!$L209=1,calc!M209,"")</f>
        <v/>
      </c>
      <c r="L209" s="1" t="str">
        <f>IF(calc!$L209=1,calc!N209,"")</f>
        <v/>
      </c>
      <c r="M209" s="1" t="str">
        <f>IF(calc!$L209=1,calc!O209,"")</f>
        <v/>
      </c>
      <c r="N209" s="1" t="str">
        <f>IF(calc!$L209=1,calc!P209,"")</f>
        <v/>
      </c>
      <c r="O209">
        <f>'Entry data'!C$1</f>
        <v>20064</v>
      </c>
      <c r="P209" t="str">
        <f>'Entry data'!C$2</f>
        <v>NSH</v>
      </c>
      <c r="Q209" t="str">
        <f>'Entry data'!C$3</f>
        <v>Home</v>
      </c>
    </row>
    <row r="210" spans="1:17" x14ac:dyDescent="0.25">
      <c r="A210" s="1">
        <f>IF(calc!$L210=1,calc!B210,"")</f>
        <v>2</v>
      </c>
      <c r="B210" s="5">
        <f>IF(calc!$L210=1,calc!C210,"")</f>
        <v>0.54791666666666672</v>
      </c>
      <c r="C210" s="1" t="str">
        <f>IF(calc!$L210=1,calc!D210,"")</f>
        <v>FAC</v>
      </c>
      <c r="D210" s="1" t="str">
        <f>IF(calc!$L210=1,calc!E210,"")</f>
        <v>DZF</v>
      </c>
      <c r="E210" s="1" t="str">
        <f>IF(calc!$L210=1,IF(EXACT(calc!$D210,"FAC"),"",calc!F210),"")</f>
        <v/>
      </c>
      <c r="F210" s="1" t="str">
        <f>IF(calc!$L210=1,IF(EXACT(calc!$D210,"FAC"),"",calc!G210),"")</f>
        <v/>
      </c>
      <c r="G210" s="1" t="str">
        <f>IF(calc!$L210=1,IF(EXACT(calc!$D210,"FAC"),"",calc!H210),"")</f>
        <v/>
      </c>
      <c r="H210" s="1" t="str">
        <f>IF(calc!$L210=1,IF(EXACT(calc!$D210,"FAC"),"",calc!I210),"")</f>
        <v/>
      </c>
      <c r="I210" s="1">
        <f>IF(calc!$L210=1,calc!J210,"")</f>
        <v>5</v>
      </c>
      <c r="J210" s="1">
        <f>IF(calc!$L210=1,calc!K210,"")</f>
        <v>5</v>
      </c>
      <c r="K210" s="1" t="str">
        <f>IF(calc!$L210=1,calc!M210,"")</f>
        <v/>
      </c>
      <c r="L210" s="1">
        <f>IF(calc!$L210=1,calc!N210,"")</f>
        <v>0</v>
      </c>
      <c r="M210" s="1">
        <f>IF(calc!$L210=1,calc!O210,"")</f>
        <v>0</v>
      </c>
      <c r="N210" s="1" t="str">
        <f>IF(calc!$L210=1,calc!P210,"")</f>
        <v/>
      </c>
      <c r="O210">
        <f>'Entry data'!C$1</f>
        <v>20064</v>
      </c>
      <c r="P210" t="str">
        <f>'Entry data'!C$2</f>
        <v>NSH</v>
      </c>
      <c r="Q210" t="str">
        <f>'Entry data'!C$3</f>
        <v>Home</v>
      </c>
    </row>
    <row r="211" spans="1:17" x14ac:dyDescent="0.25">
      <c r="A211" s="1" t="str">
        <f>IF(calc!$L211=1,calc!B211,"")</f>
        <v/>
      </c>
      <c r="B211" s="5" t="str">
        <f>IF(calc!$L211=1,calc!C211,"")</f>
        <v/>
      </c>
      <c r="C211" s="1" t="str">
        <f>IF(calc!$L211=1,calc!D211,"")</f>
        <v/>
      </c>
      <c r="D211" s="1" t="str">
        <f>IF(calc!$L211=1,calc!E211,"")</f>
        <v/>
      </c>
      <c r="E211" s="1" t="str">
        <f>IF(calc!$L211=1,IF(EXACT(calc!$D211,"FAC"),"",calc!F211),"")</f>
        <v/>
      </c>
      <c r="F211" s="1" t="str">
        <f>IF(calc!$L211=1,IF(EXACT(calc!$D211,"FAC"),"",calc!G211),"")</f>
        <v/>
      </c>
      <c r="G211" s="1" t="str">
        <f>IF(calc!$L211=1,IF(EXACT(calc!$D211,"FAC"),"",calc!H211),"")</f>
        <v/>
      </c>
      <c r="H211" s="1" t="str">
        <f>IF(calc!$L211=1,IF(EXACT(calc!$D211,"FAC"),"",calc!I211),"")</f>
        <v/>
      </c>
      <c r="I211" s="1" t="str">
        <f>IF(calc!$L211=1,calc!J211,"")</f>
        <v/>
      </c>
      <c r="J211" s="1" t="str">
        <f>IF(calc!$L211=1,calc!K211,"")</f>
        <v/>
      </c>
      <c r="K211" s="1" t="str">
        <f>IF(calc!$L211=1,calc!M211,"")</f>
        <v/>
      </c>
      <c r="L211" s="1" t="str">
        <f>IF(calc!$L211=1,calc!N211,"")</f>
        <v/>
      </c>
      <c r="M211" s="1" t="str">
        <f>IF(calc!$L211=1,calc!O211,"")</f>
        <v/>
      </c>
      <c r="N211" s="1" t="str">
        <f>IF(calc!$L211=1,calc!P211,"")</f>
        <v/>
      </c>
      <c r="O211">
        <f>'Entry data'!C$1</f>
        <v>20064</v>
      </c>
      <c r="P211" t="str">
        <f>'Entry data'!C$2</f>
        <v>NSH</v>
      </c>
      <c r="Q211" t="str">
        <f>'Entry data'!C$3</f>
        <v>Home</v>
      </c>
    </row>
    <row r="212" spans="1:17" x14ac:dyDescent="0.25">
      <c r="A212" s="1" t="str">
        <f>IF(calc!$L212=1,calc!B212,"")</f>
        <v/>
      </c>
      <c r="B212" s="5" t="str">
        <f>IF(calc!$L212=1,calc!C212,"")</f>
        <v/>
      </c>
      <c r="C212" s="1" t="str">
        <f>IF(calc!$L212=1,calc!D212,"")</f>
        <v/>
      </c>
      <c r="D212" s="1" t="str">
        <f>IF(calc!$L212=1,calc!E212,"")</f>
        <v/>
      </c>
      <c r="E212" s="1" t="str">
        <f>IF(calc!$L212=1,IF(EXACT(calc!$D212,"FAC"),"",calc!F212),"")</f>
        <v/>
      </c>
      <c r="F212" s="1" t="str">
        <f>IF(calc!$L212=1,IF(EXACT(calc!$D212,"FAC"),"",calc!G212),"")</f>
        <v/>
      </c>
      <c r="G212" s="1" t="str">
        <f>IF(calc!$L212=1,IF(EXACT(calc!$D212,"FAC"),"",calc!H212),"")</f>
        <v/>
      </c>
      <c r="H212" s="1" t="str">
        <f>IF(calc!$L212=1,IF(EXACT(calc!$D212,"FAC"),"",calc!I212),"")</f>
        <v/>
      </c>
      <c r="I212" s="1" t="str">
        <f>IF(calc!$L212=1,calc!J212,"")</f>
        <v/>
      </c>
      <c r="J212" s="1" t="str">
        <f>IF(calc!$L212=1,calc!K212,"")</f>
        <v/>
      </c>
      <c r="K212" s="1" t="str">
        <f>IF(calc!$L212=1,calc!M212,"")</f>
        <v/>
      </c>
      <c r="L212" s="1" t="str">
        <f>IF(calc!$L212=1,calc!N212,"")</f>
        <v/>
      </c>
      <c r="M212" s="1" t="str">
        <f>IF(calc!$L212=1,calc!O212,"")</f>
        <v/>
      </c>
      <c r="N212" s="1" t="str">
        <f>IF(calc!$L212=1,calc!P212,"")</f>
        <v/>
      </c>
      <c r="O212">
        <f>'Entry data'!C$1</f>
        <v>20064</v>
      </c>
      <c r="P212" t="str">
        <f>'Entry data'!C$2</f>
        <v>NSH</v>
      </c>
      <c r="Q212" t="str">
        <f>'Entry data'!C$3</f>
        <v>Home</v>
      </c>
    </row>
    <row r="213" spans="1:17" x14ac:dyDescent="0.25">
      <c r="A213" s="1">
        <f>IF(calc!$L213=1,calc!B213,"")</f>
        <v>2</v>
      </c>
      <c r="B213" s="5">
        <f>IF(calc!$L213=1,calc!C213,"")</f>
        <v>0.53194444444444444</v>
      </c>
      <c r="C213" s="1" t="str">
        <f>IF(calc!$L213=1,calc!D213,"")</f>
        <v>C</v>
      </c>
      <c r="D213" s="1" t="str">
        <f>IF(calc!$L213=1,calc!E213,"")</f>
        <v>21DET</v>
      </c>
      <c r="E213" s="1" t="str">
        <f>IF(calc!$L213=1,IF(EXACT(calc!$D213,"FAC"),"",calc!F213),"")</f>
        <v>19NSH</v>
      </c>
      <c r="F213" s="1" t="str">
        <f>IF(calc!$L213=1,IF(EXACT(calc!$D213,"FAC"),"",calc!G213),"")</f>
        <v>N</v>
      </c>
      <c r="G213" s="1" t="str">
        <f>IF(calc!$L213=1,IF(EXACT(calc!$D213,"FAC"),"",calc!H213),"")</f>
        <v>C</v>
      </c>
      <c r="H213" s="1" t="str">
        <f>IF(calc!$L213=1,IF(EXACT(calc!$D213,"FAC"),"",calc!I213),"")</f>
        <v>N</v>
      </c>
      <c r="I213" s="1">
        <f>IF(calc!$L213=1,calc!J213,"")</f>
        <v>5</v>
      </c>
      <c r="J213" s="1">
        <f>IF(calc!$L213=1,calc!K213,"")</f>
        <v>5</v>
      </c>
      <c r="K213" s="1" t="str">
        <f>IF(calc!$L213=1,calc!M213,"")</f>
        <v>21DET</v>
      </c>
      <c r="L213" s="1">
        <f>IF(calc!$L213=1,calc!N213,"")</f>
        <v>1</v>
      </c>
      <c r="M213" s="1">
        <f>IF(calc!$L213=1,calc!O213,"")</f>
        <v>0</v>
      </c>
      <c r="N213" s="1" t="str">
        <f>IF(calc!$L213=1,calc!P213,"")</f>
        <v/>
      </c>
      <c r="O213">
        <f>'Entry data'!C$1</f>
        <v>20064</v>
      </c>
      <c r="P213" t="str">
        <f>'Entry data'!C$2</f>
        <v>NSH</v>
      </c>
      <c r="Q213" t="str">
        <f>'Entry data'!C$3</f>
        <v>Home</v>
      </c>
    </row>
    <row r="214" spans="1:17" x14ac:dyDescent="0.25">
      <c r="A214" s="1" t="str">
        <f>IF(calc!$L214=1,calc!B214,"")</f>
        <v/>
      </c>
      <c r="B214" s="5" t="str">
        <f>IF(calc!$L214=1,calc!C214,"")</f>
        <v/>
      </c>
      <c r="C214" s="1" t="str">
        <f>IF(calc!$L214=1,calc!D214,"")</f>
        <v/>
      </c>
      <c r="D214" s="1" t="str">
        <f>IF(calc!$L214=1,calc!E214,"")</f>
        <v/>
      </c>
      <c r="E214" s="1" t="str">
        <f>IF(calc!$L214=1,IF(EXACT(calc!$D214,"FAC"),"",calc!F214),"")</f>
        <v/>
      </c>
      <c r="F214" s="1" t="str">
        <f>IF(calc!$L214=1,IF(EXACT(calc!$D214,"FAC"),"",calc!G214),"")</f>
        <v/>
      </c>
      <c r="G214" s="1" t="str">
        <f>IF(calc!$L214=1,IF(EXACT(calc!$D214,"FAC"),"",calc!H214),"")</f>
        <v/>
      </c>
      <c r="H214" s="1" t="str">
        <f>IF(calc!$L214=1,IF(EXACT(calc!$D214,"FAC"),"",calc!I214),"")</f>
        <v/>
      </c>
      <c r="I214" s="1" t="str">
        <f>IF(calc!$L214=1,calc!J214,"")</f>
        <v/>
      </c>
      <c r="J214" s="1" t="str">
        <f>IF(calc!$L214=1,calc!K214,"")</f>
        <v/>
      </c>
      <c r="K214" s="1" t="str">
        <f>IF(calc!$L214=1,calc!M214,"")</f>
        <v/>
      </c>
      <c r="L214" s="1" t="str">
        <f>IF(calc!$L214=1,calc!N214,"")</f>
        <v/>
      </c>
      <c r="M214" s="1" t="str">
        <f>IF(calc!$L214=1,calc!O214,"")</f>
        <v/>
      </c>
      <c r="N214" s="1" t="str">
        <f>IF(calc!$L214=1,calc!P214,"")</f>
        <v/>
      </c>
      <c r="O214">
        <f>'Entry data'!C$1</f>
        <v>20064</v>
      </c>
      <c r="P214" t="str">
        <f>'Entry data'!C$2</f>
        <v>NSH</v>
      </c>
      <c r="Q214" t="str">
        <f>'Entry data'!C$3</f>
        <v>Home</v>
      </c>
    </row>
    <row r="215" spans="1:17" x14ac:dyDescent="0.25">
      <c r="A215" s="1" t="str">
        <f>IF(calc!$L215=1,calc!B215,"")</f>
        <v/>
      </c>
      <c r="B215" s="5" t="str">
        <f>IF(calc!$L215=1,calc!C215,"")</f>
        <v/>
      </c>
      <c r="C215" s="1" t="str">
        <f>IF(calc!$L215=1,calc!D215,"")</f>
        <v/>
      </c>
      <c r="D215" s="1" t="str">
        <f>IF(calc!$L215=1,calc!E215,"")</f>
        <v/>
      </c>
      <c r="E215" s="1" t="str">
        <f>IF(calc!$L215=1,IF(EXACT(calc!$D215,"FAC"),"",calc!F215),"")</f>
        <v/>
      </c>
      <c r="F215" s="1" t="str">
        <f>IF(calc!$L215=1,IF(EXACT(calc!$D215,"FAC"),"",calc!G215),"")</f>
        <v/>
      </c>
      <c r="G215" s="1" t="str">
        <f>IF(calc!$L215=1,IF(EXACT(calc!$D215,"FAC"),"",calc!H215),"")</f>
        <v/>
      </c>
      <c r="H215" s="1" t="str">
        <f>IF(calc!$L215=1,IF(EXACT(calc!$D215,"FAC"),"",calc!I215),"")</f>
        <v/>
      </c>
      <c r="I215" s="1" t="str">
        <f>IF(calc!$L215=1,calc!J215,"")</f>
        <v/>
      </c>
      <c r="J215" s="1" t="str">
        <f>IF(calc!$L215=1,calc!K215,"")</f>
        <v/>
      </c>
      <c r="K215" s="1" t="str">
        <f>IF(calc!$L215=1,calc!M215,"")</f>
        <v/>
      </c>
      <c r="L215" s="1" t="str">
        <f>IF(calc!$L215=1,calc!N215,"")</f>
        <v/>
      </c>
      <c r="M215" s="1" t="str">
        <f>IF(calc!$L215=1,calc!O215,"")</f>
        <v/>
      </c>
      <c r="N215" s="1" t="str">
        <f>IF(calc!$L215=1,calc!P215,"")</f>
        <v/>
      </c>
      <c r="O215">
        <f>'Entry data'!C$1</f>
        <v>20064</v>
      </c>
      <c r="P215" t="str">
        <f>'Entry data'!C$2</f>
        <v>NSH</v>
      </c>
      <c r="Q215" t="str">
        <f>'Entry data'!C$3</f>
        <v>Home</v>
      </c>
    </row>
    <row r="216" spans="1:17" x14ac:dyDescent="0.25">
      <c r="A216" s="1">
        <f>IF(calc!$L216=1,calc!B216,"")</f>
        <v>2</v>
      </c>
      <c r="B216" s="5">
        <f>IF(calc!$L216=1,calc!C216,"")</f>
        <v>0.52638888888888902</v>
      </c>
      <c r="C216" s="1" t="str">
        <f>IF(calc!$L216=1,calc!D216,"")</f>
        <v>FAC</v>
      </c>
      <c r="D216" s="1" t="str">
        <f>IF(calc!$L216=1,calc!E216,"")</f>
        <v>OZF</v>
      </c>
      <c r="E216" s="1" t="str">
        <f>IF(calc!$L216=1,IF(EXACT(calc!$D216,"FAC"),"",calc!F216),"")</f>
        <v/>
      </c>
      <c r="F216" s="1" t="str">
        <f>IF(calc!$L216=1,IF(EXACT(calc!$D216,"FAC"),"",calc!G216),"")</f>
        <v/>
      </c>
      <c r="G216" s="1" t="str">
        <f>IF(calc!$L216=1,IF(EXACT(calc!$D216,"FAC"),"",calc!H216),"")</f>
        <v/>
      </c>
      <c r="H216" s="1" t="str">
        <f>IF(calc!$L216=1,IF(EXACT(calc!$D216,"FAC"),"",calc!I216),"")</f>
        <v/>
      </c>
      <c r="I216" s="1">
        <f>IF(calc!$L216=1,calc!J216,"")</f>
        <v>5</v>
      </c>
      <c r="J216" s="1">
        <f>IF(calc!$L216=1,calc!K216,"")</f>
        <v>5</v>
      </c>
      <c r="K216" s="1" t="str">
        <f>IF(calc!$L216=1,calc!M216,"")</f>
        <v/>
      </c>
      <c r="L216" s="1">
        <f>IF(calc!$L216=1,calc!N216,"")</f>
        <v>0</v>
      </c>
      <c r="M216" s="1">
        <f>IF(calc!$L216=1,calc!O216,"")</f>
        <v>0</v>
      </c>
      <c r="N216" s="1" t="str">
        <f>IF(calc!$L216=1,calc!P216,"")</f>
        <v/>
      </c>
      <c r="O216">
        <f>'Entry data'!C$1</f>
        <v>20064</v>
      </c>
      <c r="P216" t="str">
        <f>'Entry data'!C$2</f>
        <v>NSH</v>
      </c>
      <c r="Q216" t="str">
        <f>'Entry data'!C$3</f>
        <v>Home</v>
      </c>
    </row>
    <row r="217" spans="1:17" x14ac:dyDescent="0.25">
      <c r="A217" s="1">
        <f>IF(calc!$L217=1,calc!B217,"")</f>
        <v>2</v>
      </c>
      <c r="B217" s="5">
        <f>IF(calc!$L217=1,calc!C217,"")</f>
        <v>0.51666666666666672</v>
      </c>
      <c r="C217" s="1" t="str">
        <f>IF(calc!$L217=1,calc!D217,"")</f>
        <v>D</v>
      </c>
      <c r="D217" s="1" t="str">
        <f>IF(calc!$L217=1,calc!E217,"")</f>
        <v>41DET</v>
      </c>
      <c r="E217" s="1" t="str">
        <f>IF(calc!$L217=1,IF(EXACT(calc!$D217,"FAC"),"",calc!F217),"")</f>
        <v>25NSH</v>
      </c>
      <c r="F217" s="1" t="str">
        <f>IF(calc!$L217=1,IF(EXACT(calc!$D217,"FAC"),"",calc!G217),"")</f>
        <v/>
      </c>
      <c r="G217" s="1" t="str">
        <f>IF(calc!$L217=1,IF(EXACT(calc!$D217,"FAC"),"",calc!H217),"")</f>
        <v>C</v>
      </c>
      <c r="H217" s="1" t="str">
        <f>IF(calc!$L217=1,IF(EXACT(calc!$D217,"FAC"),"",calc!I217),"")</f>
        <v>20DET</v>
      </c>
      <c r="I217" s="1">
        <f>IF(calc!$L217=1,calc!J217,"")</f>
        <v>5</v>
      </c>
      <c r="J217" s="1">
        <f>IF(calc!$L217=1,calc!K217,"")</f>
        <v>5</v>
      </c>
      <c r="K217" s="1" t="str">
        <f>IF(calc!$L217=1,calc!M217,"")</f>
        <v/>
      </c>
      <c r="L217" s="1">
        <f>IF(calc!$L217=1,calc!N217,"")</f>
        <v>1</v>
      </c>
      <c r="M217" s="1">
        <f>IF(calc!$L217=1,calc!O217,"")</f>
        <v>0</v>
      </c>
      <c r="N217" s="1" t="str">
        <f>IF(calc!$L217=1,calc!P217,"")</f>
        <v/>
      </c>
      <c r="O217">
        <f>'Entry data'!C$1</f>
        <v>20064</v>
      </c>
      <c r="P217" t="str">
        <f>'Entry data'!C$2</f>
        <v>NSH</v>
      </c>
      <c r="Q217" t="str">
        <f>'Entry data'!C$3</f>
        <v>Home</v>
      </c>
    </row>
    <row r="218" spans="1:17" x14ac:dyDescent="0.25">
      <c r="A218" s="1" t="str">
        <f>IF(calc!$L218=1,calc!B218,"")</f>
        <v/>
      </c>
      <c r="B218" s="5" t="str">
        <f>IF(calc!$L218=1,calc!C218,"")</f>
        <v/>
      </c>
      <c r="C218" s="1" t="str">
        <f>IF(calc!$L218=1,calc!D218,"")</f>
        <v/>
      </c>
      <c r="D218" s="1" t="str">
        <f>IF(calc!$L218=1,calc!E218,"")</f>
        <v/>
      </c>
      <c r="E218" s="1" t="str">
        <f>IF(calc!$L218=1,IF(EXACT(calc!$D218,"FAC"),"",calc!F218),"")</f>
        <v/>
      </c>
      <c r="F218" s="1" t="str">
        <f>IF(calc!$L218=1,IF(EXACT(calc!$D218,"FAC"),"",calc!G218),"")</f>
        <v/>
      </c>
      <c r="G218" s="1" t="str">
        <f>IF(calc!$L218=1,IF(EXACT(calc!$D218,"FAC"),"",calc!H218),"")</f>
        <v/>
      </c>
      <c r="H218" s="1" t="str">
        <f>IF(calc!$L218=1,IF(EXACT(calc!$D218,"FAC"),"",calc!I218),"")</f>
        <v/>
      </c>
      <c r="I218" s="1" t="str">
        <f>IF(calc!$L218=1,calc!J218,"")</f>
        <v/>
      </c>
      <c r="J218" s="1" t="str">
        <f>IF(calc!$L218=1,calc!K218,"")</f>
        <v/>
      </c>
      <c r="K218" s="1" t="str">
        <f>IF(calc!$L218=1,calc!M218,"")</f>
        <v/>
      </c>
      <c r="L218" s="1" t="str">
        <f>IF(calc!$L218=1,calc!N218,"")</f>
        <v/>
      </c>
      <c r="M218" s="1" t="str">
        <f>IF(calc!$L218=1,calc!O218,"")</f>
        <v/>
      </c>
      <c r="N218" s="1" t="str">
        <f>IF(calc!$L218=1,calc!P218,"")</f>
        <v/>
      </c>
      <c r="O218">
        <f>'Entry data'!C$1</f>
        <v>20064</v>
      </c>
      <c r="P218" t="str">
        <f>'Entry data'!C$2</f>
        <v>NSH</v>
      </c>
      <c r="Q218" t="str">
        <f>'Entry data'!C$3</f>
        <v>Home</v>
      </c>
    </row>
    <row r="219" spans="1:17" x14ac:dyDescent="0.25">
      <c r="A219" s="1" t="str">
        <f>IF(calc!$L219=1,calc!B219,"")</f>
        <v/>
      </c>
      <c r="B219" s="5" t="str">
        <f>IF(calc!$L219=1,calc!C219,"")</f>
        <v/>
      </c>
      <c r="C219" s="1" t="str">
        <f>IF(calc!$L219=1,calc!D219,"")</f>
        <v/>
      </c>
      <c r="D219" s="1" t="str">
        <f>IF(calc!$L219=1,calc!E219,"")</f>
        <v/>
      </c>
      <c r="E219" s="1" t="str">
        <f>IF(calc!$L219=1,IF(EXACT(calc!$D219,"FAC"),"",calc!F219),"")</f>
        <v/>
      </c>
      <c r="F219" s="1" t="str">
        <f>IF(calc!$L219=1,IF(EXACT(calc!$D219,"FAC"),"",calc!G219),"")</f>
        <v/>
      </c>
      <c r="G219" s="1" t="str">
        <f>IF(calc!$L219=1,IF(EXACT(calc!$D219,"FAC"),"",calc!H219),"")</f>
        <v/>
      </c>
      <c r="H219" s="1" t="str">
        <f>IF(calc!$L219=1,IF(EXACT(calc!$D219,"FAC"),"",calc!I219),"")</f>
        <v/>
      </c>
      <c r="I219" s="1" t="str">
        <f>IF(calc!$L219=1,calc!J219,"")</f>
        <v/>
      </c>
      <c r="J219" s="1" t="str">
        <f>IF(calc!$L219=1,calc!K219,"")</f>
        <v/>
      </c>
      <c r="K219" s="1" t="str">
        <f>IF(calc!$L219=1,calc!M219,"")</f>
        <v/>
      </c>
      <c r="L219" s="1" t="str">
        <f>IF(calc!$L219=1,calc!N219,"")</f>
        <v/>
      </c>
      <c r="M219" s="1" t="str">
        <f>IF(calc!$L219=1,calc!O219,"")</f>
        <v/>
      </c>
      <c r="N219" s="1" t="str">
        <f>IF(calc!$L219=1,calc!P219,"")</f>
        <v/>
      </c>
      <c r="O219">
        <f>'Entry data'!C$1</f>
        <v>20064</v>
      </c>
      <c r="P219" t="str">
        <f>'Entry data'!C$2</f>
        <v>NSH</v>
      </c>
      <c r="Q219" t="str">
        <f>'Entry data'!C$3</f>
        <v>Home</v>
      </c>
    </row>
    <row r="220" spans="1:17" x14ac:dyDescent="0.25">
      <c r="A220" s="1" t="str">
        <f>IF(calc!$L220=1,calc!B220,"")</f>
        <v/>
      </c>
      <c r="B220" s="5" t="str">
        <f>IF(calc!$L220=1,calc!C220,"")</f>
        <v/>
      </c>
      <c r="C220" s="1" t="str">
        <f>IF(calc!$L220=1,calc!D220,"")</f>
        <v/>
      </c>
      <c r="D220" s="1" t="str">
        <f>IF(calc!$L220=1,calc!E220,"")</f>
        <v/>
      </c>
      <c r="E220" s="1" t="str">
        <f>IF(calc!$L220=1,IF(EXACT(calc!$D220,"FAC"),"",calc!F220),"")</f>
        <v/>
      </c>
      <c r="F220" s="1" t="str">
        <f>IF(calc!$L220=1,IF(EXACT(calc!$D220,"FAC"),"",calc!G220),"")</f>
        <v/>
      </c>
      <c r="G220" s="1" t="str">
        <f>IF(calc!$L220=1,IF(EXACT(calc!$D220,"FAC"),"",calc!H220),"")</f>
        <v/>
      </c>
      <c r="H220" s="1" t="str">
        <f>IF(calc!$L220=1,IF(EXACT(calc!$D220,"FAC"),"",calc!I220),"")</f>
        <v/>
      </c>
      <c r="I220" s="1" t="str">
        <f>IF(calc!$L220=1,calc!J220,"")</f>
        <v/>
      </c>
      <c r="J220" s="1" t="str">
        <f>IF(calc!$L220=1,calc!K220,"")</f>
        <v/>
      </c>
      <c r="K220" s="1" t="str">
        <f>IF(calc!$L220=1,calc!M220,"")</f>
        <v/>
      </c>
      <c r="L220" s="1" t="str">
        <f>IF(calc!$L220=1,calc!N220,"")</f>
        <v/>
      </c>
      <c r="M220" s="1" t="str">
        <f>IF(calc!$L220=1,calc!O220,"")</f>
        <v/>
      </c>
      <c r="N220" s="1" t="str">
        <f>IF(calc!$L220=1,calc!P220,"")</f>
        <v/>
      </c>
      <c r="O220">
        <f>'Entry data'!C$1</f>
        <v>20064</v>
      </c>
      <c r="P220" t="str">
        <f>'Entry data'!C$2</f>
        <v>NSH</v>
      </c>
      <c r="Q220" t="str">
        <f>'Entry data'!C$3</f>
        <v>Home</v>
      </c>
    </row>
    <row r="221" spans="1:17" x14ac:dyDescent="0.25">
      <c r="A221" s="1">
        <f>IF(calc!$L221=1,calc!B221,"")</f>
        <v>2</v>
      </c>
      <c r="B221" s="5">
        <f>IF(calc!$L221=1,calc!C221,"")</f>
        <v>0.49861111111111112</v>
      </c>
      <c r="C221" s="1" t="str">
        <f>IF(calc!$L221=1,calc!D221,"")</f>
        <v>D</v>
      </c>
      <c r="D221" s="1" t="str">
        <f>IF(calc!$L221=1,calc!E221,"")</f>
        <v>7NSH</v>
      </c>
      <c r="E221" s="1" t="str">
        <f>IF(calc!$L221=1,IF(EXACT(calc!$D221,"FAC"),"",calc!F221),"")</f>
        <v>N</v>
      </c>
      <c r="F221" s="1" t="str">
        <f>IF(calc!$L221=1,IF(EXACT(calc!$D221,"FAC"),"",calc!G221),"")</f>
        <v/>
      </c>
      <c r="G221" s="1" t="str">
        <f>IF(calc!$L221=1,IF(EXACT(calc!$D221,"FAC"),"",calc!H221),"")</f>
        <v>R</v>
      </c>
      <c r="H221" s="1" t="str">
        <f>IF(calc!$L221=1,IF(EXACT(calc!$D221,"FAC"),"",calc!I221),"")</f>
        <v>N</v>
      </c>
      <c r="I221" s="1">
        <f>IF(calc!$L221=1,calc!J221,"")</f>
        <v>5</v>
      </c>
      <c r="J221" s="1">
        <f>IF(calc!$L221=1,calc!K221,"")</f>
        <v>5</v>
      </c>
      <c r="K221" s="1" t="str">
        <f>IF(calc!$L221=1,calc!M221,"")</f>
        <v/>
      </c>
      <c r="L221" s="1">
        <f>IF(calc!$L221=1,calc!N221,"")</f>
        <v>0</v>
      </c>
      <c r="M221" s="1">
        <f>IF(calc!$L221=1,calc!O221,"")</f>
        <v>0</v>
      </c>
      <c r="N221" s="1" t="str">
        <f>IF(calc!$L221=1,calc!P221,"")</f>
        <v/>
      </c>
      <c r="O221">
        <f>'Entry data'!C$1</f>
        <v>20064</v>
      </c>
      <c r="P221" t="str">
        <f>'Entry data'!C$2</f>
        <v>NSH</v>
      </c>
      <c r="Q221" t="str">
        <f>'Entry data'!C$3</f>
        <v>Home</v>
      </c>
    </row>
    <row r="222" spans="1:17" x14ac:dyDescent="0.25">
      <c r="A222" s="1">
        <f>IF(calc!$L222=1,calc!B222,"")</f>
        <v>2</v>
      </c>
      <c r="B222" s="5">
        <f>IF(calc!$L222=1,calc!C222,"")</f>
        <v>0.49236111111111108</v>
      </c>
      <c r="C222" s="1" t="str">
        <f>IF(calc!$L222=1,calc!D222,"")</f>
        <v>C</v>
      </c>
      <c r="D222" s="1" t="str">
        <f>IF(calc!$L222=1,calc!E222,"")</f>
        <v>41DET</v>
      </c>
      <c r="E222" s="1" t="str">
        <f>IF(calc!$L222=1,IF(EXACT(calc!$D222,"FAC"),"",calc!F222),"")</f>
        <v>14NSH</v>
      </c>
      <c r="F222" s="1" t="str">
        <f>IF(calc!$L222=1,IF(EXACT(calc!$D222,"FAC"),"",calc!G222),"")</f>
        <v>N</v>
      </c>
      <c r="G222" s="1" t="str">
        <f>IF(calc!$L222=1,IF(EXACT(calc!$D222,"FAC"),"",calc!H222),"")</f>
        <v>R</v>
      </c>
      <c r="H222" s="1" t="str">
        <f>IF(calc!$L222=1,IF(EXACT(calc!$D222,"FAC"),"",calc!I222),"")</f>
        <v>N</v>
      </c>
      <c r="I222" s="1">
        <f>IF(calc!$L222=1,calc!J222,"")</f>
        <v>5</v>
      </c>
      <c r="J222" s="1">
        <f>IF(calc!$L222=1,calc!K222,"")</f>
        <v>5</v>
      </c>
      <c r="K222" s="1" t="str">
        <f>IF(calc!$L222=1,calc!M222,"")</f>
        <v>41DET</v>
      </c>
      <c r="L222" s="1">
        <f>IF(calc!$L222=1,calc!N222,"")</f>
        <v>1</v>
      </c>
      <c r="M222" s="1">
        <f>IF(calc!$L222=1,calc!O222,"")</f>
        <v>0</v>
      </c>
      <c r="N222" s="1" t="str">
        <f>IF(calc!$L222=1,calc!P222,"")</f>
        <v/>
      </c>
      <c r="O222">
        <f>'Entry data'!C$1</f>
        <v>20064</v>
      </c>
      <c r="P222" t="str">
        <f>'Entry data'!C$2</f>
        <v>NSH</v>
      </c>
      <c r="Q222" t="str">
        <f>'Entry data'!C$3</f>
        <v>Home</v>
      </c>
    </row>
    <row r="223" spans="1:17" x14ac:dyDescent="0.25">
      <c r="A223" s="1" t="str">
        <f>IF(calc!$L223=1,calc!B223,"")</f>
        <v/>
      </c>
      <c r="B223" s="5" t="str">
        <f>IF(calc!$L223=1,calc!C223,"")</f>
        <v/>
      </c>
      <c r="C223" s="1" t="str">
        <f>IF(calc!$L223=1,calc!D223,"")</f>
        <v/>
      </c>
      <c r="D223" s="1" t="str">
        <f>IF(calc!$L223=1,calc!E223,"")</f>
        <v/>
      </c>
      <c r="E223" s="1" t="str">
        <f>IF(calc!$L223=1,IF(EXACT(calc!$D223,"FAC"),"",calc!F223),"")</f>
        <v/>
      </c>
      <c r="F223" s="1" t="str">
        <f>IF(calc!$L223=1,IF(EXACT(calc!$D223,"FAC"),"",calc!G223),"")</f>
        <v/>
      </c>
      <c r="G223" s="1" t="str">
        <f>IF(calc!$L223=1,IF(EXACT(calc!$D223,"FAC"),"",calc!H223),"")</f>
        <v/>
      </c>
      <c r="H223" s="1" t="str">
        <f>IF(calc!$L223=1,IF(EXACT(calc!$D223,"FAC"),"",calc!I223),"")</f>
        <v/>
      </c>
      <c r="I223" s="1" t="str">
        <f>IF(calc!$L223=1,calc!J223,"")</f>
        <v/>
      </c>
      <c r="J223" s="1" t="str">
        <f>IF(calc!$L223=1,calc!K223,"")</f>
        <v/>
      </c>
      <c r="K223" s="1" t="str">
        <f>IF(calc!$L223=1,calc!M223,"")</f>
        <v/>
      </c>
      <c r="L223" s="1" t="str">
        <f>IF(calc!$L223=1,calc!N223,"")</f>
        <v/>
      </c>
      <c r="M223" s="1" t="str">
        <f>IF(calc!$L223=1,calc!O223,"")</f>
        <v/>
      </c>
      <c r="N223" s="1" t="str">
        <f>IF(calc!$L223=1,calc!P223,"")</f>
        <v/>
      </c>
      <c r="O223">
        <f>'Entry data'!C$1</f>
        <v>20064</v>
      </c>
      <c r="P223" t="str">
        <f>'Entry data'!C$2</f>
        <v>NSH</v>
      </c>
      <c r="Q223" t="str">
        <f>'Entry data'!C$3</f>
        <v>Home</v>
      </c>
    </row>
    <row r="224" spans="1:17" x14ac:dyDescent="0.25">
      <c r="A224" s="1" t="str">
        <f>IF(calc!$L224=1,calc!B224,"")</f>
        <v/>
      </c>
      <c r="B224" s="5" t="str">
        <f>IF(calc!$L224=1,calc!C224,"")</f>
        <v/>
      </c>
      <c r="C224" s="1" t="str">
        <f>IF(calc!$L224=1,calc!D224,"")</f>
        <v/>
      </c>
      <c r="D224" s="1" t="str">
        <f>IF(calc!$L224=1,calc!E224,"")</f>
        <v/>
      </c>
      <c r="E224" s="1" t="str">
        <f>IF(calc!$L224=1,IF(EXACT(calc!$D224,"FAC"),"",calc!F224),"")</f>
        <v/>
      </c>
      <c r="F224" s="1" t="str">
        <f>IF(calc!$L224=1,IF(EXACT(calc!$D224,"FAC"),"",calc!G224),"")</f>
        <v/>
      </c>
      <c r="G224" s="1" t="str">
        <f>IF(calc!$L224=1,IF(EXACT(calc!$D224,"FAC"),"",calc!H224),"")</f>
        <v/>
      </c>
      <c r="H224" s="1" t="str">
        <f>IF(calc!$L224=1,IF(EXACT(calc!$D224,"FAC"),"",calc!I224),"")</f>
        <v/>
      </c>
      <c r="I224" s="1" t="str">
        <f>IF(calc!$L224=1,calc!J224,"")</f>
        <v/>
      </c>
      <c r="J224" s="1" t="str">
        <f>IF(calc!$L224=1,calc!K224,"")</f>
        <v/>
      </c>
      <c r="K224" s="1" t="str">
        <f>IF(calc!$L224=1,calc!M224,"")</f>
        <v/>
      </c>
      <c r="L224" s="1" t="str">
        <f>IF(calc!$L224=1,calc!N224,"")</f>
        <v/>
      </c>
      <c r="M224" s="1" t="str">
        <f>IF(calc!$L224=1,calc!O224,"")</f>
        <v/>
      </c>
      <c r="N224" s="1" t="str">
        <f>IF(calc!$L224=1,calc!P224,"")</f>
        <v/>
      </c>
      <c r="O224">
        <f>'Entry data'!C$1</f>
        <v>20064</v>
      </c>
      <c r="P224" t="str">
        <f>'Entry data'!C$2</f>
        <v>NSH</v>
      </c>
      <c r="Q224" t="str">
        <f>'Entry data'!C$3</f>
        <v>Home</v>
      </c>
    </row>
    <row r="225" spans="1:17" x14ac:dyDescent="0.25">
      <c r="A225" s="1" t="str">
        <f>IF(calc!$L225=1,calc!B225,"")</f>
        <v/>
      </c>
      <c r="B225" s="5" t="str">
        <f>IF(calc!$L225=1,calc!C225,"")</f>
        <v/>
      </c>
      <c r="C225" s="1" t="str">
        <f>IF(calc!$L225=1,calc!D225,"")</f>
        <v/>
      </c>
      <c r="D225" s="1" t="str">
        <f>IF(calc!$L225=1,calc!E225,"")</f>
        <v/>
      </c>
      <c r="E225" s="1" t="str">
        <f>IF(calc!$L225=1,IF(EXACT(calc!$D225,"FAC"),"",calc!F225),"")</f>
        <v/>
      </c>
      <c r="F225" s="1" t="str">
        <f>IF(calc!$L225=1,IF(EXACT(calc!$D225,"FAC"),"",calc!G225),"")</f>
        <v/>
      </c>
      <c r="G225" s="1" t="str">
        <f>IF(calc!$L225=1,IF(EXACT(calc!$D225,"FAC"),"",calc!H225),"")</f>
        <v/>
      </c>
      <c r="H225" s="1" t="str">
        <f>IF(calc!$L225=1,IF(EXACT(calc!$D225,"FAC"),"",calc!I225),"")</f>
        <v/>
      </c>
      <c r="I225" s="1" t="str">
        <f>IF(calc!$L225=1,calc!J225,"")</f>
        <v/>
      </c>
      <c r="J225" s="1" t="str">
        <f>IF(calc!$L225=1,calc!K225,"")</f>
        <v/>
      </c>
      <c r="K225" s="1" t="str">
        <f>IF(calc!$L225=1,calc!M225,"")</f>
        <v/>
      </c>
      <c r="L225" s="1" t="str">
        <f>IF(calc!$L225=1,calc!N225,"")</f>
        <v/>
      </c>
      <c r="M225" s="1" t="str">
        <f>IF(calc!$L225=1,calc!O225,"")</f>
        <v/>
      </c>
      <c r="N225" s="1" t="str">
        <f>IF(calc!$L225=1,calc!P225,"")</f>
        <v/>
      </c>
      <c r="O225">
        <f>'Entry data'!C$1</f>
        <v>20064</v>
      </c>
      <c r="P225" t="str">
        <f>'Entry data'!C$2</f>
        <v>NSH</v>
      </c>
      <c r="Q225" t="str">
        <f>'Entry data'!C$3</f>
        <v>Home</v>
      </c>
    </row>
    <row r="226" spans="1:17" x14ac:dyDescent="0.25">
      <c r="A226" s="1">
        <f>IF(calc!$L226=1,calc!B226,"")</f>
        <v>2</v>
      </c>
      <c r="B226" s="5">
        <f>IF(calc!$L226=1,calc!C226,"")</f>
        <v>0.48819444444444449</v>
      </c>
      <c r="C226" s="1" t="str">
        <f>IF(calc!$L226=1,calc!D226,"")</f>
        <v>FAC</v>
      </c>
      <c r="D226" s="1" t="str">
        <f>IF(calc!$L226=1,calc!E226,"")</f>
        <v>OZF</v>
      </c>
      <c r="E226" s="1" t="str">
        <f>IF(calc!$L226=1,IF(EXACT(calc!$D226,"FAC"),"",calc!F226),"")</f>
        <v/>
      </c>
      <c r="F226" s="1" t="str">
        <f>IF(calc!$L226=1,IF(EXACT(calc!$D226,"FAC"),"",calc!G226),"")</f>
        <v/>
      </c>
      <c r="G226" s="1" t="str">
        <f>IF(calc!$L226=1,IF(EXACT(calc!$D226,"FAC"),"",calc!H226),"")</f>
        <v/>
      </c>
      <c r="H226" s="1" t="str">
        <f>IF(calc!$L226=1,IF(EXACT(calc!$D226,"FAC"),"",calc!I226),"")</f>
        <v/>
      </c>
      <c r="I226" s="1">
        <f>IF(calc!$L226=1,calc!J226,"")</f>
        <v>5</v>
      </c>
      <c r="J226" s="1">
        <f>IF(calc!$L226=1,calc!K226,"")</f>
        <v>4</v>
      </c>
      <c r="K226" s="1" t="str">
        <f>IF(calc!$L226=1,calc!M226,"")</f>
        <v/>
      </c>
      <c r="L226" s="1">
        <f>IF(calc!$L226=1,calc!N226,"")</f>
        <v>0</v>
      </c>
      <c r="M226" s="1">
        <f>IF(calc!$L226=1,calc!O226,"")</f>
        <v>0</v>
      </c>
      <c r="N226" s="1" t="str">
        <f>IF(calc!$L226=1,calc!P226,"")</f>
        <v/>
      </c>
      <c r="O226">
        <f>'Entry data'!C$1</f>
        <v>20064</v>
      </c>
      <c r="P226" t="str">
        <f>'Entry data'!C$2</f>
        <v>NSH</v>
      </c>
      <c r="Q226" t="str">
        <f>'Entry data'!C$3</f>
        <v>Home</v>
      </c>
    </row>
    <row r="227" spans="1:17" x14ac:dyDescent="0.25">
      <c r="A227" s="1">
        <f>IF(calc!$L227=1,calc!B227,"")</f>
        <v>2</v>
      </c>
      <c r="B227" s="5">
        <f>IF(calc!$L227=1,calc!C227,"")</f>
        <v>0.47916666666666669</v>
      </c>
      <c r="C227" s="1" t="str">
        <f>IF(calc!$L227=1,calc!D227,"")</f>
        <v>C</v>
      </c>
      <c r="D227" s="1" t="str">
        <f>IF(calc!$L227=1,calc!E227,"")</f>
        <v>48DET</v>
      </c>
      <c r="E227" s="1" t="str">
        <f>IF(calc!$L227=1,IF(EXACT(calc!$D227,"FAC"),"",calc!F227),"")</f>
        <v>59NSH</v>
      </c>
      <c r="F227" s="1" t="str">
        <f>IF(calc!$L227=1,IF(EXACT(calc!$D227,"FAC"),"",calc!G227),"")</f>
        <v>Y</v>
      </c>
      <c r="G227" s="1" t="str">
        <f>IF(calc!$L227=1,IF(EXACT(calc!$D227,"FAC"),"",calc!H227),"")</f>
        <v>C</v>
      </c>
      <c r="H227" s="1" t="str">
        <f>IF(calc!$L227=1,IF(EXACT(calc!$D227,"FAC"),"",calc!I227),"")</f>
        <v>N</v>
      </c>
      <c r="I227" s="1">
        <f>IF(calc!$L227=1,calc!J227,"")</f>
        <v>5</v>
      </c>
      <c r="J227" s="1">
        <f>IF(calc!$L227=1,calc!K227,"")</f>
        <v>4</v>
      </c>
      <c r="K227" s="1" t="str">
        <f>IF(calc!$L227=1,calc!M227,"")</f>
        <v>48DET</v>
      </c>
      <c r="L227" s="1">
        <f>IF(calc!$L227=1,calc!N227,"")</f>
        <v>0</v>
      </c>
      <c r="M227" s="1">
        <f>IF(calc!$L227=1,calc!O227,"")</f>
        <v>0</v>
      </c>
      <c r="N227" s="1" t="str">
        <f>IF(calc!$L227=1,calc!P227,"")</f>
        <v/>
      </c>
      <c r="O227">
        <f>'Entry data'!C$1</f>
        <v>20064</v>
      </c>
      <c r="P227" t="str">
        <f>'Entry data'!C$2</f>
        <v>NSH</v>
      </c>
      <c r="Q227" t="str">
        <f>'Entry data'!C$3</f>
        <v>Home</v>
      </c>
    </row>
    <row r="228" spans="1:17" x14ac:dyDescent="0.25">
      <c r="A228" s="1">
        <f>IF(calc!$L228=1,calc!B228,"")</f>
        <v>2</v>
      </c>
      <c r="B228" s="5">
        <f>IF(calc!$L228=1,calc!C228,"")</f>
        <v>0.46111111111111108</v>
      </c>
      <c r="C228" s="1" t="str">
        <f>IF(calc!$L228=1,calc!D228,"")</f>
        <v>C</v>
      </c>
      <c r="D228" s="1" t="str">
        <f>IF(calc!$L228=1,calc!E228,"")</f>
        <v>14DET</v>
      </c>
      <c r="E228" s="1" t="str">
        <f>IF(calc!$L228=1,IF(EXACT(calc!$D228,"FAC"),"",calc!F228),"")</f>
        <v>14NSH</v>
      </c>
      <c r="F228" s="1" t="str">
        <f>IF(calc!$L228=1,IF(EXACT(calc!$D228,"FAC"),"",calc!G228),"")</f>
        <v>N</v>
      </c>
      <c r="G228" s="1" t="str">
        <f>IF(calc!$L228=1,IF(EXACT(calc!$D228,"FAC"),"",calc!H228),"")</f>
        <v>C</v>
      </c>
      <c r="H228" s="1" t="str">
        <f>IF(calc!$L228=1,IF(EXACT(calc!$D228,"FAC"),"",calc!I228),"")</f>
        <v>N</v>
      </c>
      <c r="I228" s="1">
        <f>IF(calc!$L228=1,calc!J228,"")</f>
        <v>5</v>
      </c>
      <c r="J228" s="1">
        <f>IF(calc!$L228=1,calc!K228,"")</f>
        <v>4</v>
      </c>
      <c r="K228" s="1" t="str">
        <f>IF(calc!$L228=1,calc!M228,"")</f>
        <v>14DET</v>
      </c>
      <c r="L228" s="1">
        <f>IF(calc!$L228=1,calc!N228,"")</f>
        <v>0</v>
      </c>
      <c r="M228" s="1">
        <f>IF(calc!$L228=1,calc!O228,"")</f>
        <v>0</v>
      </c>
      <c r="N228" s="1" t="str">
        <f>IF(calc!$L228=1,calc!P228,"")</f>
        <v/>
      </c>
      <c r="O228">
        <f>'Entry data'!C$1</f>
        <v>20064</v>
      </c>
      <c r="P228" t="str">
        <f>'Entry data'!C$2</f>
        <v>NSH</v>
      </c>
      <c r="Q228" t="str">
        <f>'Entry data'!C$3</f>
        <v>Home</v>
      </c>
    </row>
    <row r="229" spans="1:17" x14ac:dyDescent="0.25">
      <c r="A229" s="1" t="str">
        <f>IF(calc!$L229=1,calc!B229,"")</f>
        <v/>
      </c>
      <c r="B229" s="5" t="str">
        <f>IF(calc!$L229=1,calc!C229,"")</f>
        <v/>
      </c>
      <c r="C229" s="1" t="str">
        <f>IF(calc!$L229=1,calc!D229,"")</f>
        <v/>
      </c>
      <c r="D229" s="1" t="str">
        <f>IF(calc!$L229=1,calc!E229,"")</f>
        <v/>
      </c>
      <c r="E229" s="1" t="str">
        <f>IF(calc!$L229=1,IF(EXACT(calc!$D229,"FAC"),"",calc!F229),"")</f>
        <v/>
      </c>
      <c r="F229" s="1" t="str">
        <f>IF(calc!$L229=1,IF(EXACT(calc!$D229,"FAC"),"",calc!G229),"")</f>
        <v/>
      </c>
      <c r="G229" s="1" t="str">
        <f>IF(calc!$L229=1,IF(EXACT(calc!$D229,"FAC"),"",calc!H229),"")</f>
        <v/>
      </c>
      <c r="H229" s="1" t="str">
        <f>IF(calc!$L229=1,IF(EXACT(calc!$D229,"FAC"),"",calc!I229),"")</f>
        <v/>
      </c>
      <c r="I229" s="1" t="str">
        <f>IF(calc!$L229=1,calc!J229,"")</f>
        <v/>
      </c>
      <c r="J229" s="1" t="str">
        <f>IF(calc!$L229=1,calc!K229,"")</f>
        <v/>
      </c>
      <c r="K229" s="1" t="str">
        <f>IF(calc!$L229=1,calc!M229,"")</f>
        <v/>
      </c>
      <c r="L229" s="1" t="str">
        <f>IF(calc!$L229=1,calc!N229,"")</f>
        <v/>
      </c>
      <c r="M229" s="1" t="str">
        <f>IF(calc!$L229=1,calc!O229,"")</f>
        <v/>
      </c>
      <c r="N229" s="1" t="str">
        <f>IF(calc!$L229=1,calc!P229,"")</f>
        <v/>
      </c>
      <c r="O229">
        <f>'Entry data'!C$1</f>
        <v>20064</v>
      </c>
      <c r="P229" t="str">
        <f>'Entry data'!C$2</f>
        <v>NSH</v>
      </c>
      <c r="Q229" t="str">
        <f>'Entry data'!C$3</f>
        <v>Home</v>
      </c>
    </row>
    <row r="230" spans="1:17" x14ac:dyDescent="0.25">
      <c r="A230" s="1" t="str">
        <f>IF(calc!$L230=1,calc!B230,"")</f>
        <v/>
      </c>
      <c r="B230" s="5" t="str">
        <f>IF(calc!$L230=1,calc!C230,"")</f>
        <v/>
      </c>
      <c r="C230" s="1" t="str">
        <f>IF(calc!$L230=1,calc!D230,"")</f>
        <v/>
      </c>
      <c r="D230" s="1" t="str">
        <f>IF(calc!$L230=1,calc!E230,"")</f>
        <v/>
      </c>
      <c r="E230" s="1" t="str">
        <f>IF(calc!$L230=1,IF(EXACT(calc!$D230,"FAC"),"",calc!F230),"")</f>
        <v/>
      </c>
      <c r="F230" s="1" t="str">
        <f>IF(calc!$L230=1,IF(EXACT(calc!$D230,"FAC"),"",calc!G230),"")</f>
        <v/>
      </c>
      <c r="G230" s="1" t="str">
        <f>IF(calc!$L230=1,IF(EXACT(calc!$D230,"FAC"),"",calc!H230),"")</f>
        <v/>
      </c>
      <c r="H230" s="1" t="str">
        <f>IF(calc!$L230=1,IF(EXACT(calc!$D230,"FAC"),"",calc!I230),"")</f>
        <v/>
      </c>
      <c r="I230" s="1" t="str">
        <f>IF(calc!$L230=1,calc!J230,"")</f>
        <v/>
      </c>
      <c r="J230" s="1" t="str">
        <f>IF(calc!$L230=1,calc!K230,"")</f>
        <v/>
      </c>
      <c r="K230" s="1" t="str">
        <f>IF(calc!$L230=1,calc!M230,"")</f>
        <v/>
      </c>
      <c r="L230" s="1" t="str">
        <f>IF(calc!$L230=1,calc!N230,"")</f>
        <v/>
      </c>
      <c r="M230" s="1" t="str">
        <f>IF(calc!$L230=1,calc!O230,"")</f>
        <v/>
      </c>
      <c r="N230" s="1" t="str">
        <f>IF(calc!$L230=1,calc!P230,"")</f>
        <v/>
      </c>
      <c r="O230">
        <f>'Entry data'!C$1</f>
        <v>20064</v>
      </c>
      <c r="P230" t="str">
        <f>'Entry data'!C$2</f>
        <v>NSH</v>
      </c>
      <c r="Q230" t="str">
        <f>'Entry data'!C$3</f>
        <v>Home</v>
      </c>
    </row>
    <row r="231" spans="1:17" x14ac:dyDescent="0.25">
      <c r="A231" s="1" t="str">
        <f>IF(calc!$L231=1,calc!B231,"")</f>
        <v/>
      </c>
      <c r="B231" s="5" t="str">
        <f>IF(calc!$L231=1,calc!C231,"")</f>
        <v/>
      </c>
      <c r="C231" s="1" t="str">
        <f>IF(calc!$L231=1,calc!D231,"")</f>
        <v/>
      </c>
      <c r="D231" s="1" t="str">
        <f>IF(calc!$L231=1,calc!E231,"")</f>
        <v/>
      </c>
      <c r="E231" s="1" t="str">
        <f>IF(calc!$L231=1,IF(EXACT(calc!$D231,"FAC"),"",calc!F231),"")</f>
        <v/>
      </c>
      <c r="F231" s="1" t="str">
        <f>IF(calc!$L231=1,IF(EXACT(calc!$D231,"FAC"),"",calc!G231),"")</f>
        <v/>
      </c>
      <c r="G231" s="1" t="str">
        <f>IF(calc!$L231=1,IF(EXACT(calc!$D231,"FAC"),"",calc!H231),"")</f>
        <v/>
      </c>
      <c r="H231" s="1" t="str">
        <f>IF(calc!$L231=1,IF(EXACT(calc!$D231,"FAC"),"",calc!I231),"")</f>
        <v/>
      </c>
      <c r="I231" s="1" t="str">
        <f>IF(calc!$L231=1,calc!J231,"")</f>
        <v/>
      </c>
      <c r="J231" s="1" t="str">
        <f>IF(calc!$L231=1,calc!K231,"")</f>
        <v/>
      </c>
      <c r="K231" s="1" t="str">
        <f>IF(calc!$L231=1,calc!M231,"")</f>
        <v/>
      </c>
      <c r="L231" s="1" t="str">
        <f>IF(calc!$L231=1,calc!N231,"")</f>
        <v/>
      </c>
      <c r="M231" s="1" t="str">
        <f>IF(calc!$L231=1,calc!O231,"")</f>
        <v/>
      </c>
      <c r="N231" s="1" t="str">
        <f>IF(calc!$L231=1,calc!P231,"")</f>
        <v/>
      </c>
      <c r="O231">
        <f>'Entry data'!C$1</f>
        <v>20064</v>
      </c>
      <c r="P231" t="str">
        <f>'Entry data'!C$2</f>
        <v>NSH</v>
      </c>
      <c r="Q231" t="str">
        <f>'Entry data'!C$3</f>
        <v>Home</v>
      </c>
    </row>
    <row r="232" spans="1:17" x14ac:dyDescent="0.25">
      <c r="A232" s="1">
        <f>IF(calc!$L232=1,calc!B232,"")</f>
        <v>2</v>
      </c>
      <c r="B232" s="5">
        <f>IF(calc!$L232=1,calc!C232,"")</f>
        <v>0.43541666666666662</v>
      </c>
      <c r="C232" s="1" t="str">
        <f>IF(calc!$L232=1,calc!D232,"")</f>
        <v>C</v>
      </c>
      <c r="D232" s="1" t="str">
        <f>IF(calc!$L232=1,calc!E232,"")</f>
        <v>40DET</v>
      </c>
      <c r="E232" s="1" t="str">
        <f>IF(calc!$L232=1,IF(EXACT(calc!$D232,"FAC"),"",calc!F232),"")</f>
        <v>76NSH</v>
      </c>
      <c r="F232" s="1" t="str">
        <f>IF(calc!$L232=1,IF(EXACT(calc!$D232,"FAC"),"",calc!G232),"")</f>
        <v>Y</v>
      </c>
      <c r="G232" s="1" t="str">
        <f>IF(calc!$L232=1,IF(EXACT(calc!$D232,"FAC"),"",calc!H232),"")</f>
        <v>L</v>
      </c>
      <c r="H232" s="1" t="str">
        <f>IF(calc!$L232=1,IF(EXACT(calc!$D232,"FAC"),"",calc!I232),"")</f>
        <v>N</v>
      </c>
      <c r="I232" s="1">
        <f>IF(calc!$L232=1,calc!J232,"")</f>
        <v>5</v>
      </c>
      <c r="J232" s="1">
        <f>IF(calc!$L232=1,calc!K232,"")</f>
        <v>4</v>
      </c>
      <c r="K232" s="1" t="str">
        <f>IF(calc!$L232=1,calc!M232,"")</f>
        <v>40DET</v>
      </c>
      <c r="L232" s="1">
        <f>IF(calc!$L232=1,calc!N232,"")</f>
        <v>1</v>
      </c>
      <c r="M232" s="1">
        <f>IF(calc!$L232=1,calc!O232,"")</f>
        <v>0</v>
      </c>
      <c r="N232" s="1" t="str">
        <f>IF(calc!$L232=1,calc!P232,"")</f>
        <v/>
      </c>
      <c r="O232">
        <f>'Entry data'!C$1</f>
        <v>20064</v>
      </c>
      <c r="P232" t="str">
        <f>'Entry data'!C$2</f>
        <v>NSH</v>
      </c>
      <c r="Q232" t="str">
        <f>'Entry data'!C$3</f>
        <v>Home</v>
      </c>
    </row>
    <row r="233" spans="1:17" x14ac:dyDescent="0.25">
      <c r="A233" s="1" t="str">
        <f>IF(calc!$L233=1,calc!B233,"")</f>
        <v/>
      </c>
      <c r="B233" s="5" t="str">
        <f>IF(calc!$L233=1,calc!C233,"")</f>
        <v/>
      </c>
      <c r="C233" s="1" t="str">
        <f>IF(calc!$L233=1,calc!D233,"")</f>
        <v/>
      </c>
      <c r="D233" s="1" t="str">
        <f>IF(calc!$L233=1,calc!E233,"")</f>
        <v/>
      </c>
      <c r="E233" s="1" t="str">
        <f>IF(calc!$L233=1,IF(EXACT(calc!$D233,"FAC"),"",calc!F233),"")</f>
        <v/>
      </c>
      <c r="F233" s="1" t="str">
        <f>IF(calc!$L233=1,IF(EXACT(calc!$D233,"FAC"),"",calc!G233),"")</f>
        <v/>
      </c>
      <c r="G233" s="1" t="str">
        <f>IF(calc!$L233=1,IF(EXACT(calc!$D233,"FAC"),"",calc!H233),"")</f>
        <v/>
      </c>
      <c r="H233" s="1" t="str">
        <f>IF(calc!$L233=1,IF(EXACT(calc!$D233,"FAC"),"",calc!I233),"")</f>
        <v/>
      </c>
      <c r="I233" s="1" t="str">
        <f>IF(calc!$L233=1,calc!J233,"")</f>
        <v/>
      </c>
      <c r="J233" s="1" t="str">
        <f>IF(calc!$L233=1,calc!K233,"")</f>
        <v/>
      </c>
      <c r="K233" s="1" t="str">
        <f>IF(calc!$L233=1,calc!M233,"")</f>
        <v/>
      </c>
      <c r="L233" s="1" t="str">
        <f>IF(calc!$L233=1,calc!N233,"")</f>
        <v/>
      </c>
      <c r="M233" s="1" t="str">
        <f>IF(calc!$L233=1,calc!O233,"")</f>
        <v/>
      </c>
      <c r="N233" s="1" t="str">
        <f>IF(calc!$L233=1,calc!P233,"")</f>
        <v/>
      </c>
      <c r="O233">
        <f>'Entry data'!C$1</f>
        <v>20064</v>
      </c>
      <c r="P233" t="str">
        <f>'Entry data'!C$2</f>
        <v>NSH</v>
      </c>
      <c r="Q233" t="str">
        <f>'Entry data'!C$3</f>
        <v>Home</v>
      </c>
    </row>
    <row r="234" spans="1:17" x14ac:dyDescent="0.25">
      <c r="A234" s="1">
        <f>IF(calc!$L234=1,calc!B234,"")</f>
        <v>2</v>
      </c>
      <c r="B234" s="5">
        <f>IF(calc!$L234=1,calc!C234,"")</f>
        <v>0.40902777777777777</v>
      </c>
      <c r="C234" s="1" t="str">
        <f>IF(calc!$L234=1,calc!D234,"")</f>
        <v>C</v>
      </c>
      <c r="D234" s="1" t="str">
        <f>IF(calc!$L234=1,calc!E234,"")</f>
        <v>18NSH</v>
      </c>
      <c r="E234" s="1" t="str">
        <f>IF(calc!$L234=1,IF(EXACT(calc!$D234,"FAC"),"",calc!F234),"")</f>
        <v>25DET</v>
      </c>
      <c r="F234" s="1" t="str">
        <f>IF(calc!$L234=1,IF(EXACT(calc!$D234,"FAC"),"",calc!G234),"")</f>
        <v>Y</v>
      </c>
      <c r="G234" s="1" t="str">
        <f>IF(calc!$L234=1,IF(EXACT(calc!$D234,"FAC"),"",calc!H234),"")</f>
        <v>L</v>
      </c>
      <c r="H234" s="1" t="str">
        <f>IF(calc!$L234=1,IF(EXACT(calc!$D234,"FAC"),"",calc!I234),"")</f>
        <v>N</v>
      </c>
      <c r="I234" s="1">
        <f>IF(calc!$L234=1,calc!J234,"")</f>
        <v>5</v>
      </c>
      <c r="J234" s="1">
        <f>IF(calc!$L234=1,calc!K234,"")</f>
        <v>5</v>
      </c>
      <c r="K234" s="1" t="str">
        <f>IF(calc!$L234=1,calc!M234,"")</f>
        <v>18NSH</v>
      </c>
      <c r="L234" s="1">
        <f>IF(calc!$L234=1,calc!N234,"")</f>
        <v>0</v>
      </c>
      <c r="M234" s="1">
        <f>IF(calc!$L234=1,calc!O234,"")</f>
        <v>0</v>
      </c>
      <c r="N234" s="1" t="str">
        <f>IF(calc!$L234=1,calc!P234,"")</f>
        <v/>
      </c>
      <c r="O234">
        <f>'Entry data'!C$1</f>
        <v>20064</v>
      </c>
      <c r="P234" t="str">
        <f>'Entry data'!C$2</f>
        <v>NSH</v>
      </c>
      <c r="Q234" t="str">
        <f>'Entry data'!C$3</f>
        <v>Home</v>
      </c>
    </row>
    <row r="235" spans="1:17" x14ac:dyDescent="0.25">
      <c r="A235" s="1" t="str">
        <f>IF(calc!$L235=1,calc!B235,"")</f>
        <v/>
      </c>
      <c r="B235" s="5" t="str">
        <f>IF(calc!$L235=1,calc!C235,"")</f>
        <v/>
      </c>
      <c r="C235" s="1" t="str">
        <f>IF(calc!$L235=1,calc!D235,"")</f>
        <v/>
      </c>
      <c r="D235" s="1" t="str">
        <f>IF(calc!$L235=1,calc!E235,"")</f>
        <v/>
      </c>
      <c r="E235" s="1" t="str">
        <f>IF(calc!$L235=1,IF(EXACT(calc!$D235,"FAC"),"",calc!F235),"")</f>
        <v/>
      </c>
      <c r="F235" s="1" t="str">
        <f>IF(calc!$L235=1,IF(EXACT(calc!$D235,"FAC"),"",calc!G235),"")</f>
        <v/>
      </c>
      <c r="G235" s="1" t="str">
        <f>IF(calc!$L235=1,IF(EXACT(calc!$D235,"FAC"),"",calc!H235),"")</f>
        <v/>
      </c>
      <c r="H235" s="1" t="str">
        <f>IF(calc!$L235=1,IF(EXACT(calc!$D235,"FAC"),"",calc!I235),"")</f>
        <v/>
      </c>
      <c r="I235" s="1" t="str">
        <f>IF(calc!$L235=1,calc!J235,"")</f>
        <v/>
      </c>
      <c r="J235" s="1" t="str">
        <f>IF(calc!$L235=1,calc!K235,"")</f>
        <v/>
      </c>
      <c r="K235" s="1" t="str">
        <f>IF(calc!$L235=1,calc!M235,"")</f>
        <v/>
      </c>
      <c r="L235" s="1" t="str">
        <f>IF(calc!$L235=1,calc!N235,"")</f>
        <v/>
      </c>
      <c r="M235" s="1" t="str">
        <f>IF(calc!$L235=1,calc!O235,"")</f>
        <v/>
      </c>
      <c r="N235" s="1" t="str">
        <f>IF(calc!$L235=1,calc!P235,"")</f>
        <v/>
      </c>
      <c r="O235">
        <f>'Entry data'!C$1</f>
        <v>20064</v>
      </c>
      <c r="P235" t="str">
        <f>'Entry data'!C$2</f>
        <v>NSH</v>
      </c>
      <c r="Q235" t="str">
        <f>'Entry data'!C$3</f>
        <v>Home</v>
      </c>
    </row>
    <row r="236" spans="1:17" x14ac:dyDescent="0.25">
      <c r="A236" s="1" t="str">
        <f>IF(calc!$L236=1,calc!B236,"")</f>
        <v/>
      </c>
      <c r="B236" s="5" t="str">
        <f>IF(calc!$L236=1,calc!C236,"")</f>
        <v/>
      </c>
      <c r="C236" s="1" t="str">
        <f>IF(calc!$L236=1,calc!D236,"")</f>
        <v/>
      </c>
      <c r="D236" s="1" t="str">
        <f>IF(calc!$L236=1,calc!E236,"")</f>
        <v/>
      </c>
      <c r="E236" s="1" t="str">
        <f>IF(calc!$L236=1,IF(EXACT(calc!$D236,"FAC"),"",calc!F236),"")</f>
        <v/>
      </c>
      <c r="F236" s="1" t="str">
        <f>IF(calc!$L236=1,IF(EXACT(calc!$D236,"FAC"),"",calc!G236),"")</f>
        <v/>
      </c>
      <c r="G236" s="1" t="str">
        <f>IF(calc!$L236=1,IF(EXACT(calc!$D236,"FAC"),"",calc!H236),"")</f>
        <v/>
      </c>
      <c r="H236" s="1" t="str">
        <f>IF(calc!$L236=1,IF(EXACT(calc!$D236,"FAC"),"",calc!I236),"")</f>
        <v/>
      </c>
      <c r="I236" s="1" t="str">
        <f>IF(calc!$L236=1,calc!J236,"")</f>
        <v/>
      </c>
      <c r="J236" s="1" t="str">
        <f>IF(calc!$L236=1,calc!K236,"")</f>
        <v/>
      </c>
      <c r="K236" s="1" t="str">
        <f>IF(calc!$L236=1,calc!M236,"")</f>
        <v/>
      </c>
      <c r="L236" s="1" t="str">
        <f>IF(calc!$L236=1,calc!N236,"")</f>
        <v/>
      </c>
      <c r="M236" s="1" t="str">
        <f>IF(calc!$L236=1,calc!O236,"")</f>
        <v/>
      </c>
      <c r="N236" s="1" t="str">
        <f>IF(calc!$L236=1,calc!P236,"")</f>
        <v/>
      </c>
      <c r="O236">
        <f>'Entry data'!C$1</f>
        <v>20064</v>
      </c>
      <c r="P236" t="str">
        <f>'Entry data'!C$2</f>
        <v>NSH</v>
      </c>
      <c r="Q236" t="str">
        <f>'Entry data'!C$3</f>
        <v>Home</v>
      </c>
    </row>
    <row r="237" spans="1:17" x14ac:dyDescent="0.25">
      <c r="A237" s="1">
        <f>IF(calc!$L237=1,calc!B237,"")</f>
        <v>2</v>
      </c>
      <c r="B237" s="5">
        <f>IF(calc!$L237=1,calc!C237,"")</f>
        <v>0.38541666666666669</v>
      </c>
      <c r="C237" s="1" t="str">
        <f>IF(calc!$L237=1,calc!D237,"")</f>
        <v>D</v>
      </c>
      <c r="D237" s="1" t="str">
        <f>IF(calc!$L237=1,calc!E237,"")</f>
        <v>18NSH</v>
      </c>
      <c r="E237" s="1" t="str">
        <f>IF(calc!$L237=1,IF(EXACT(calc!$D237,"FAC"),"",calc!F237),"")</f>
        <v>65DET</v>
      </c>
      <c r="F237" s="1" t="str">
        <f>IF(calc!$L237=1,IF(EXACT(calc!$D237,"FAC"),"",calc!G237),"")</f>
        <v/>
      </c>
      <c r="G237" s="1" t="str">
        <f>IF(calc!$L237=1,IF(EXACT(calc!$D237,"FAC"),"",calc!H237),"")</f>
        <v>R</v>
      </c>
      <c r="H237" s="1" t="str">
        <f>IF(calc!$L237=1,IF(EXACT(calc!$D237,"FAC"),"",calc!I237),"")</f>
        <v>18NSH</v>
      </c>
      <c r="I237" s="1">
        <f>IF(calc!$L237=1,calc!J237,"")</f>
        <v>5</v>
      </c>
      <c r="J237" s="1">
        <f>IF(calc!$L237=1,calc!K237,"")</f>
        <v>5</v>
      </c>
      <c r="K237" s="1" t="str">
        <f>IF(calc!$L237=1,calc!M237,"")</f>
        <v/>
      </c>
      <c r="L237" s="1">
        <f>IF(calc!$L237=1,calc!N237,"")</f>
        <v>0</v>
      </c>
      <c r="M237" s="1">
        <f>IF(calc!$L237=1,calc!O237,"")</f>
        <v>0</v>
      </c>
      <c r="N237" s="1" t="str">
        <f>IF(calc!$L237=1,calc!P237,"")</f>
        <v/>
      </c>
      <c r="O237">
        <f>'Entry data'!C$1</f>
        <v>20064</v>
      </c>
      <c r="P237" t="str">
        <f>'Entry data'!C$2</f>
        <v>NSH</v>
      </c>
      <c r="Q237" t="str">
        <f>'Entry data'!C$3</f>
        <v>Home</v>
      </c>
    </row>
    <row r="238" spans="1:17" x14ac:dyDescent="0.25">
      <c r="A238" s="1" t="str">
        <f>IF(calc!$L238=1,calc!B238,"")</f>
        <v/>
      </c>
      <c r="B238" s="5" t="str">
        <f>IF(calc!$L238=1,calc!C238,"")</f>
        <v/>
      </c>
      <c r="C238" s="1" t="str">
        <f>IF(calc!$L238=1,calc!D238,"")</f>
        <v/>
      </c>
      <c r="D238" s="1" t="str">
        <f>IF(calc!$L238=1,calc!E238,"")</f>
        <v/>
      </c>
      <c r="E238" s="1" t="str">
        <f>IF(calc!$L238=1,IF(EXACT(calc!$D238,"FAC"),"",calc!F238),"")</f>
        <v/>
      </c>
      <c r="F238" s="1" t="str">
        <f>IF(calc!$L238=1,IF(EXACT(calc!$D238,"FAC"),"",calc!G238),"")</f>
        <v/>
      </c>
      <c r="G238" s="1" t="str">
        <f>IF(calc!$L238=1,IF(EXACT(calc!$D238,"FAC"),"",calc!H238),"")</f>
        <v/>
      </c>
      <c r="H238" s="1" t="str">
        <f>IF(calc!$L238=1,IF(EXACT(calc!$D238,"FAC"),"",calc!I238),"")</f>
        <v/>
      </c>
      <c r="I238" s="1" t="str">
        <f>IF(calc!$L238=1,calc!J238,"")</f>
        <v/>
      </c>
      <c r="J238" s="1" t="str">
        <f>IF(calc!$L238=1,calc!K238,"")</f>
        <v/>
      </c>
      <c r="K238" s="1" t="str">
        <f>IF(calc!$L238=1,calc!M238,"")</f>
        <v/>
      </c>
      <c r="L238" s="1" t="str">
        <f>IF(calc!$L238=1,calc!N238,"")</f>
        <v/>
      </c>
      <c r="M238" s="1" t="str">
        <f>IF(calc!$L238=1,calc!O238,"")</f>
        <v/>
      </c>
      <c r="N238" s="1" t="str">
        <f>IF(calc!$L238=1,calc!P238,"")</f>
        <v/>
      </c>
      <c r="O238">
        <f>'Entry data'!C$1</f>
        <v>20064</v>
      </c>
      <c r="P238" t="str">
        <f>'Entry data'!C$2</f>
        <v>NSH</v>
      </c>
      <c r="Q238" t="str">
        <f>'Entry data'!C$3</f>
        <v>Home</v>
      </c>
    </row>
    <row r="239" spans="1:17" x14ac:dyDescent="0.25">
      <c r="A239" s="1">
        <f>IF(calc!$L239=1,calc!B239,"")</f>
        <v>2</v>
      </c>
      <c r="B239" s="5">
        <f>IF(calc!$L239=1,calc!C239,"")</f>
        <v>0.37222222222222223</v>
      </c>
      <c r="C239" s="1" t="str">
        <f>IF(calc!$L239=1,calc!D239,"")</f>
        <v>C</v>
      </c>
      <c r="D239" s="1" t="str">
        <f>IF(calc!$L239=1,calc!E239,"")</f>
        <v>41DET</v>
      </c>
      <c r="E239" s="1" t="str">
        <f>IF(calc!$L239=1,IF(EXACT(calc!$D239,"FAC"),"",calc!F239),"")</f>
        <v>7NSH</v>
      </c>
      <c r="F239" s="1" t="str">
        <f>IF(calc!$L239=1,IF(EXACT(calc!$D239,"FAC"),"",calc!G239),"")</f>
        <v>N</v>
      </c>
      <c r="G239" s="1" t="str">
        <f>IF(calc!$L239=1,IF(EXACT(calc!$D239,"FAC"),"",calc!H239),"")</f>
        <v>R</v>
      </c>
      <c r="H239" s="1" t="str">
        <f>IF(calc!$L239=1,IF(EXACT(calc!$D239,"FAC"),"",calc!I239),"")</f>
        <v>N</v>
      </c>
      <c r="I239" s="1">
        <f>IF(calc!$L239=1,calc!J239,"")</f>
        <v>5</v>
      </c>
      <c r="J239" s="1">
        <f>IF(calc!$L239=1,calc!K239,"")</f>
        <v>5</v>
      </c>
      <c r="K239" s="1" t="str">
        <f>IF(calc!$L239=1,calc!M239,"")</f>
        <v>41DET</v>
      </c>
      <c r="L239" s="1">
        <f>IF(calc!$L239=1,calc!N239,"")</f>
        <v>1</v>
      </c>
      <c r="M239" s="1">
        <f>IF(calc!$L239=1,calc!O239,"")</f>
        <v>0</v>
      </c>
      <c r="N239" s="1" t="str">
        <f>IF(calc!$L239=1,calc!P239,"")</f>
        <v/>
      </c>
      <c r="O239">
        <f>'Entry data'!C$1</f>
        <v>20064</v>
      </c>
      <c r="P239" t="str">
        <f>'Entry data'!C$2</f>
        <v>NSH</v>
      </c>
      <c r="Q239" t="str">
        <f>'Entry data'!C$3</f>
        <v>Home</v>
      </c>
    </row>
    <row r="240" spans="1:17" x14ac:dyDescent="0.25">
      <c r="A240" s="1" t="str">
        <f>IF(calc!$L240=1,calc!B240,"")</f>
        <v/>
      </c>
      <c r="B240" s="5" t="str">
        <f>IF(calc!$L240=1,calc!C240,"")</f>
        <v/>
      </c>
      <c r="C240" s="1" t="str">
        <f>IF(calc!$L240=1,calc!D240,"")</f>
        <v/>
      </c>
      <c r="D240" s="1" t="str">
        <f>IF(calc!$L240=1,calc!E240,"")</f>
        <v/>
      </c>
      <c r="E240" s="1" t="str">
        <f>IF(calc!$L240=1,IF(EXACT(calc!$D240,"FAC"),"",calc!F240),"")</f>
        <v/>
      </c>
      <c r="F240" s="1" t="str">
        <f>IF(calc!$L240=1,IF(EXACT(calc!$D240,"FAC"),"",calc!G240),"")</f>
        <v/>
      </c>
      <c r="G240" s="1" t="str">
        <f>IF(calc!$L240=1,IF(EXACT(calc!$D240,"FAC"),"",calc!H240),"")</f>
        <v/>
      </c>
      <c r="H240" s="1" t="str">
        <f>IF(calc!$L240=1,IF(EXACT(calc!$D240,"FAC"),"",calc!I240),"")</f>
        <v/>
      </c>
      <c r="I240" s="1" t="str">
        <f>IF(calc!$L240=1,calc!J240,"")</f>
        <v/>
      </c>
      <c r="J240" s="1" t="str">
        <f>IF(calc!$L240=1,calc!K240,"")</f>
        <v/>
      </c>
      <c r="K240" s="1" t="str">
        <f>IF(calc!$L240=1,calc!M240,"")</f>
        <v/>
      </c>
      <c r="L240" s="1" t="str">
        <f>IF(calc!$L240=1,calc!N240,"")</f>
        <v/>
      </c>
      <c r="M240" s="1" t="str">
        <f>IF(calc!$L240=1,calc!O240,"")</f>
        <v/>
      </c>
      <c r="N240" s="1" t="str">
        <f>IF(calc!$L240=1,calc!P240,"")</f>
        <v/>
      </c>
      <c r="O240">
        <f>'Entry data'!C$1</f>
        <v>20064</v>
      </c>
      <c r="P240" t="str">
        <f>'Entry data'!C$2</f>
        <v>NSH</v>
      </c>
      <c r="Q240" t="str">
        <f>'Entry data'!C$3</f>
        <v>Home</v>
      </c>
    </row>
    <row r="241" spans="1:17" x14ac:dyDescent="0.25">
      <c r="A241" s="1" t="str">
        <f>IF(calc!$L241=1,calc!B241,"")</f>
        <v/>
      </c>
      <c r="B241" s="5" t="str">
        <f>IF(calc!$L241=1,calc!C241,"")</f>
        <v/>
      </c>
      <c r="C241" s="1" t="str">
        <f>IF(calc!$L241=1,calc!D241,"")</f>
        <v/>
      </c>
      <c r="D241" s="1" t="str">
        <f>IF(calc!$L241=1,calc!E241,"")</f>
        <v/>
      </c>
      <c r="E241" s="1" t="str">
        <f>IF(calc!$L241=1,IF(EXACT(calc!$D241,"FAC"),"",calc!F241),"")</f>
        <v/>
      </c>
      <c r="F241" s="1" t="str">
        <f>IF(calc!$L241=1,IF(EXACT(calc!$D241,"FAC"),"",calc!G241),"")</f>
        <v/>
      </c>
      <c r="G241" s="1" t="str">
        <f>IF(calc!$L241=1,IF(EXACT(calc!$D241,"FAC"),"",calc!H241),"")</f>
        <v/>
      </c>
      <c r="H241" s="1" t="str">
        <f>IF(calc!$L241=1,IF(EXACT(calc!$D241,"FAC"),"",calc!I241),"")</f>
        <v/>
      </c>
      <c r="I241" s="1" t="str">
        <f>IF(calc!$L241=1,calc!J241,"")</f>
        <v/>
      </c>
      <c r="J241" s="1" t="str">
        <f>IF(calc!$L241=1,calc!K241,"")</f>
        <v/>
      </c>
      <c r="K241" s="1" t="str">
        <f>IF(calc!$L241=1,calc!M241,"")</f>
        <v/>
      </c>
      <c r="L241" s="1" t="str">
        <f>IF(calc!$L241=1,calc!N241,"")</f>
        <v/>
      </c>
      <c r="M241" s="1" t="str">
        <f>IF(calc!$L241=1,calc!O241,"")</f>
        <v/>
      </c>
      <c r="N241" s="1" t="str">
        <f>IF(calc!$L241=1,calc!P241,"")</f>
        <v/>
      </c>
      <c r="O241">
        <f>'Entry data'!C$1</f>
        <v>20064</v>
      </c>
      <c r="P241" t="str">
        <f>'Entry data'!C$2</f>
        <v>NSH</v>
      </c>
      <c r="Q241" t="str">
        <f>'Entry data'!C$3</f>
        <v>Home</v>
      </c>
    </row>
    <row r="242" spans="1:17" x14ac:dyDescent="0.25">
      <c r="A242" s="1">
        <f>IF(calc!$L242=1,calc!B242,"")</f>
        <v>2</v>
      </c>
      <c r="B242" s="5">
        <f>IF(calc!$L242=1,calc!C242,"")</f>
        <v>0.37013888888888891</v>
      </c>
      <c r="C242" s="1" t="str">
        <f>IF(calc!$L242=1,calc!D242,"")</f>
        <v>FAC</v>
      </c>
      <c r="D242" s="1" t="str">
        <f>IF(calc!$L242=1,calc!E242,"")</f>
        <v>OZF</v>
      </c>
      <c r="E242" s="1" t="str">
        <f>IF(calc!$L242=1,IF(EXACT(calc!$D242,"FAC"),"",calc!F242),"")</f>
        <v/>
      </c>
      <c r="F242" s="1" t="str">
        <f>IF(calc!$L242=1,IF(EXACT(calc!$D242,"FAC"),"",calc!G242),"")</f>
        <v/>
      </c>
      <c r="G242" s="1" t="str">
        <f>IF(calc!$L242=1,IF(EXACT(calc!$D242,"FAC"),"",calc!H242),"")</f>
        <v/>
      </c>
      <c r="H242" s="1" t="str">
        <f>IF(calc!$L242=1,IF(EXACT(calc!$D242,"FAC"),"",calc!I242),"")</f>
        <v/>
      </c>
      <c r="I242" s="1">
        <f>IF(calc!$L242=1,calc!J242,"")</f>
        <v>5</v>
      </c>
      <c r="J242" s="1">
        <f>IF(calc!$L242=1,calc!K242,"")</f>
        <v>5</v>
      </c>
      <c r="K242" s="1" t="str">
        <f>IF(calc!$L242=1,calc!M242,"")</f>
        <v/>
      </c>
      <c r="L242" s="1">
        <f>IF(calc!$L242=1,calc!N242,"")</f>
        <v>0</v>
      </c>
      <c r="M242" s="1">
        <f>IF(calc!$L242=1,calc!O242,"")</f>
        <v>0</v>
      </c>
      <c r="N242" s="1" t="str">
        <f>IF(calc!$L242=1,calc!P242,"")</f>
        <v/>
      </c>
      <c r="O242">
        <f>'Entry data'!C$1</f>
        <v>20064</v>
      </c>
      <c r="P242" t="str">
        <f>'Entry data'!C$2</f>
        <v>NSH</v>
      </c>
      <c r="Q242" t="str">
        <f>'Entry data'!C$3</f>
        <v>Home</v>
      </c>
    </row>
    <row r="243" spans="1:17" x14ac:dyDescent="0.25">
      <c r="A243" s="1">
        <f>IF(calc!$L243=1,calc!B243,"")</f>
        <v>2</v>
      </c>
      <c r="B243" s="5">
        <f>IF(calc!$L243=1,calc!C243,"")</f>
        <v>0.36458333333333331</v>
      </c>
      <c r="C243" s="1" t="str">
        <f>IF(calc!$L243=1,calc!D243,"")</f>
        <v>D</v>
      </c>
      <c r="D243" s="1" t="str">
        <f>IF(calc!$L243=1,calc!E243,"")</f>
        <v>2DET</v>
      </c>
      <c r="E243" s="1" t="str">
        <f>IF(calc!$L243=1,IF(EXACT(calc!$D243,"FAC"),"",calc!F243),"")</f>
        <v>4NSH</v>
      </c>
      <c r="F243" s="1" t="str">
        <f>IF(calc!$L243=1,IF(EXACT(calc!$D243,"FAC"),"",calc!G243),"")</f>
        <v/>
      </c>
      <c r="G243" s="1" t="str">
        <f>IF(calc!$L243=1,IF(EXACT(calc!$D243,"FAC"),"",calc!H243),"")</f>
        <v>L</v>
      </c>
      <c r="H243" s="1" t="str">
        <f>IF(calc!$L243=1,IF(EXACT(calc!$D243,"FAC"),"",calc!I243),"")</f>
        <v>N</v>
      </c>
      <c r="I243" s="1">
        <f>IF(calc!$L243=1,calc!J243,"")</f>
        <v>5</v>
      </c>
      <c r="J243" s="1">
        <f>IF(calc!$L243=1,calc!K243,"")</f>
        <v>5</v>
      </c>
      <c r="K243" s="1" t="str">
        <f>IF(calc!$L243=1,calc!M243,"")</f>
        <v/>
      </c>
      <c r="L243" s="1">
        <f>IF(calc!$L243=1,calc!N243,"")</f>
        <v>0</v>
      </c>
      <c r="M243" s="1">
        <f>IF(calc!$L243=1,calc!O243,"")</f>
        <v>0</v>
      </c>
      <c r="N243" s="1" t="str">
        <f>IF(calc!$L243=1,calc!P243,"")</f>
        <v/>
      </c>
      <c r="O243">
        <f>'Entry data'!C$1</f>
        <v>20064</v>
      </c>
      <c r="P243" t="str">
        <f>'Entry data'!C$2</f>
        <v>NSH</v>
      </c>
      <c r="Q243" t="str">
        <f>'Entry data'!C$3</f>
        <v>Home</v>
      </c>
    </row>
    <row r="244" spans="1:17" x14ac:dyDescent="0.25">
      <c r="A244" s="1">
        <f>IF(calc!$L244=1,calc!B244,"")</f>
        <v>2</v>
      </c>
      <c r="B244" s="5">
        <f>IF(calc!$L244=1,calc!C244,"")</f>
        <v>0.35625000000000001</v>
      </c>
      <c r="C244" s="1" t="str">
        <f>IF(calc!$L244=1,calc!D244,"")</f>
        <v>D</v>
      </c>
      <c r="D244" s="1" t="str">
        <f>IF(calc!$L244=1,calc!E244,"")</f>
        <v>38NSH</v>
      </c>
      <c r="E244" s="1" t="str">
        <f>IF(calc!$L244=1,IF(EXACT(calc!$D244,"FAC"),"",calc!F244),"")</f>
        <v>N</v>
      </c>
      <c r="F244" s="1" t="str">
        <f>IF(calc!$L244=1,IF(EXACT(calc!$D244,"FAC"),"",calc!G244),"")</f>
        <v/>
      </c>
      <c r="G244" s="1" t="str">
        <f>IF(calc!$L244=1,IF(EXACT(calc!$D244,"FAC"),"",calc!H244),"")</f>
        <v>R</v>
      </c>
      <c r="H244" s="1" t="str">
        <f>IF(calc!$L244=1,IF(EXACT(calc!$D244,"FAC"),"",calc!I244),"")</f>
        <v>N</v>
      </c>
      <c r="I244" s="1">
        <f>IF(calc!$L244=1,calc!J244,"")</f>
        <v>5</v>
      </c>
      <c r="J244" s="1">
        <f>IF(calc!$L244=1,calc!K244,"")</f>
        <v>5</v>
      </c>
      <c r="K244" s="1" t="str">
        <f>IF(calc!$L244=1,calc!M244,"")</f>
        <v/>
      </c>
      <c r="L244" s="1">
        <f>IF(calc!$L244=1,calc!N244,"")</f>
        <v>1</v>
      </c>
      <c r="M244" s="1">
        <f>IF(calc!$L244=1,calc!O244,"")</f>
        <v>0</v>
      </c>
      <c r="N244" s="1" t="str">
        <f>IF(calc!$L244=1,calc!P244,"")</f>
        <v/>
      </c>
      <c r="O244">
        <f>'Entry data'!C$1</f>
        <v>20064</v>
      </c>
      <c r="P244" t="str">
        <f>'Entry data'!C$2</f>
        <v>NSH</v>
      </c>
      <c r="Q244" t="str">
        <f>'Entry data'!C$3</f>
        <v>Home</v>
      </c>
    </row>
    <row r="245" spans="1:17" x14ac:dyDescent="0.25">
      <c r="A245" s="1" t="str">
        <f>IF(calc!$L245=1,calc!B245,"")</f>
        <v/>
      </c>
      <c r="B245" s="5" t="str">
        <f>IF(calc!$L245=1,calc!C245,"")</f>
        <v/>
      </c>
      <c r="C245" s="1" t="str">
        <f>IF(calc!$L245=1,calc!D245,"")</f>
        <v/>
      </c>
      <c r="D245" s="1" t="str">
        <f>IF(calc!$L245=1,calc!E245,"")</f>
        <v/>
      </c>
      <c r="E245" s="1" t="str">
        <f>IF(calc!$L245=1,IF(EXACT(calc!$D245,"FAC"),"",calc!F245),"")</f>
        <v/>
      </c>
      <c r="F245" s="1" t="str">
        <f>IF(calc!$L245=1,IF(EXACT(calc!$D245,"FAC"),"",calc!G245),"")</f>
        <v/>
      </c>
      <c r="G245" s="1" t="str">
        <f>IF(calc!$L245=1,IF(EXACT(calc!$D245,"FAC"),"",calc!H245),"")</f>
        <v/>
      </c>
      <c r="H245" s="1" t="str">
        <f>IF(calc!$L245=1,IF(EXACT(calc!$D245,"FAC"),"",calc!I245),"")</f>
        <v/>
      </c>
      <c r="I245" s="1" t="str">
        <f>IF(calc!$L245=1,calc!J245,"")</f>
        <v/>
      </c>
      <c r="J245" s="1" t="str">
        <f>IF(calc!$L245=1,calc!K245,"")</f>
        <v/>
      </c>
      <c r="K245" s="1" t="str">
        <f>IF(calc!$L245=1,calc!M245,"")</f>
        <v/>
      </c>
      <c r="L245" s="1" t="str">
        <f>IF(calc!$L245=1,calc!N245,"")</f>
        <v/>
      </c>
      <c r="M245" s="1" t="str">
        <f>IF(calc!$L245=1,calc!O245,"")</f>
        <v/>
      </c>
      <c r="N245" s="1" t="str">
        <f>IF(calc!$L245=1,calc!P245,"")</f>
        <v/>
      </c>
      <c r="O245">
        <f>'Entry data'!C$1</f>
        <v>20064</v>
      </c>
      <c r="P245" t="str">
        <f>'Entry data'!C$2</f>
        <v>NSH</v>
      </c>
      <c r="Q245" t="str">
        <f>'Entry data'!C$3</f>
        <v>Home</v>
      </c>
    </row>
    <row r="246" spans="1:17" x14ac:dyDescent="0.25">
      <c r="A246" s="1" t="str">
        <f>IF(calc!$L246=1,calc!B246,"")</f>
        <v/>
      </c>
      <c r="B246" s="5" t="str">
        <f>IF(calc!$L246=1,calc!C246,"")</f>
        <v/>
      </c>
      <c r="C246" s="1" t="str">
        <f>IF(calc!$L246=1,calc!D246,"")</f>
        <v/>
      </c>
      <c r="D246" s="1" t="str">
        <f>IF(calc!$L246=1,calc!E246,"")</f>
        <v/>
      </c>
      <c r="E246" s="1" t="str">
        <f>IF(calc!$L246=1,IF(EXACT(calc!$D246,"FAC"),"",calc!F246),"")</f>
        <v/>
      </c>
      <c r="F246" s="1" t="str">
        <f>IF(calc!$L246=1,IF(EXACT(calc!$D246,"FAC"),"",calc!G246),"")</f>
        <v/>
      </c>
      <c r="G246" s="1" t="str">
        <f>IF(calc!$L246=1,IF(EXACT(calc!$D246,"FAC"),"",calc!H246),"")</f>
        <v/>
      </c>
      <c r="H246" s="1" t="str">
        <f>IF(calc!$L246=1,IF(EXACT(calc!$D246,"FAC"),"",calc!I246),"")</f>
        <v/>
      </c>
      <c r="I246" s="1" t="str">
        <f>IF(calc!$L246=1,calc!J246,"")</f>
        <v/>
      </c>
      <c r="J246" s="1" t="str">
        <f>IF(calc!$L246=1,calc!K246,"")</f>
        <v/>
      </c>
      <c r="K246" s="1" t="str">
        <f>IF(calc!$L246=1,calc!M246,"")</f>
        <v/>
      </c>
      <c r="L246" s="1" t="str">
        <f>IF(calc!$L246=1,calc!N246,"")</f>
        <v/>
      </c>
      <c r="M246" s="1" t="str">
        <f>IF(calc!$L246=1,calc!O246,"")</f>
        <v/>
      </c>
      <c r="N246" s="1" t="str">
        <f>IF(calc!$L246=1,calc!P246,"")</f>
        <v/>
      </c>
      <c r="O246">
        <f>'Entry data'!C$1</f>
        <v>20064</v>
      </c>
      <c r="P246" t="str">
        <f>'Entry data'!C$2</f>
        <v>NSH</v>
      </c>
      <c r="Q246" t="str">
        <f>'Entry data'!C$3</f>
        <v>Home</v>
      </c>
    </row>
    <row r="247" spans="1:17" x14ac:dyDescent="0.25">
      <c r="A247" s="1">
        <f>IF(calc!$L247=1,calc!B247,"")</f>
        <v>2</v>
      </c>
      <c r="B247" s="5">
        <f>IF(calc!$L247=1,calc!C247,"")</f>
        <v>0.35347222222222224</v>
      </c>
      <c r="C247" s="1" t="str">
        <f>IF(calc!$L247=1,calc!D247,"")</f>
        <v>FAC</v>
      </c>
      <c r="D247" s="1" t="str">
        <f>IF(calc!$L247=1,calc!E247,"")</f>
        <v>DZF</v>
      </c>
      <c r="E247" s="1" t="str">
        <f>IF(calc!$L247=1,IF(EXACT(calc!$D247,"FAC"),"",calc!F247),"")</f>
        <v/>
      </c>
      <c r="F247" s="1" t="str">
        <f>IF(calc!$L247=1,IF(EXACT(calc!$D247,"FAC"),"",calc!G247),"")</f>
        <v/>
      </c>
      <c r="G247" s="1" t="str">
        <f>IF(calc!$L247=1,IF(EXACT(calc!$D247,"FAC"),"",calc!H247),"")</f>
        <v/>
      </c>
      <c r="H247" s="1" t="str">
        <f>IF(calc!$L247=1,IF(EXACT(calc!$D247,"FAC"),"",calc!I247),"")</f>
        <v/>
      </c>
      <c r="I247" s="1">
        <f>IF(calc!$L247=1,calc!J247,"")</f>
        <v>5</v>
      </c>
      <c r="J247" s="1">
        <f>IF(calc!$L247=1,calc!K247,"")</f>
        <v>5</v>
      </c>
      <c r="K247" s="1" t="str">
        <f>IF(calc!$L247=1,calc!M247,"")</f>
        <v/>
      </c>
      <c r="L247" s="1">
        <f>IF(calc!$L247=1,calc!N247,"")</f>
        <v>0</v>
      </c>
      <c r="M247" s="1">
        <f>IF(calc!$L247=1,calc!O247,"")</f>
        <v>0</v>
      </c>
      <c r="N247" s="1" t="str">
        <f>IF(calc!$L247=1,calc!P247,"")</f>
        <v/>
      </c>
      <c r="O247">
        <f>'Entry data'!C$1</f>
        <v>20064</v>
      </c>
      <c r="P247" t="str">
        <f>'Entry data'!C$2</f>
        <v>NSH</v>
      </c>
      <c r="Q247" t="str">
        <f>'Entry data'!C$3</f>
        <v>Home</v>
      </c>
    </row>
    <row r="248" spans="1:17" x14ac:dyDescent="0.25">
      <c r="A248" s="1">
        <f>IF(calc!$L248=1,calc!B248,"")</f>
        <v>2</v>
      </c>
      <c r="B248" s="5">
        <f>IF(calc!$L248=1,calc!C248,"")</f>
        <v>0.34791666666666665</v>
      </c>
      <c r="C248" s="1" t="str">
        <f>IF(calc!$L248=1,calc!D248,"")</f>
        <v>C</v>
      </c>
      <c r="D248" s="1" t="str">
        <f>IF(calc!$L248=1,calc!E248,"")</f>
        <v>63NSH</v>
      </c>
      <c r="E248" s="1" t="str">
        <f>IF(calc!$L248=1,IF(EXACT(calc!$D248,"FAC"),"",calc!F248),"")</f>
        <v>52DET</v>
      </c>
      <c r="F248" s="1" t="str">
        <f>IF(calc!$L248=1,IF(EXACT(calc!$D248,"FAC"),"",calc!G248),"")</f>
        <v>N</v>
      </c>
      <c r="G248" s="1" t="str">
        <f>IF(calc!$L248=1,IF(EXACT(calc!$D248,"FAC"),"",calc!H248),"")</f>
        <v>C</v>
      </c>
      <c r="H248" s="1" t="str">
        <f>IF(calc!$L248=1,IF(EXACT(calc!$D248,"FAC"),"",calc!I248),"")</f>
        <v>N</v>
      </c>
      <c r="I248" s="1">
        <f>IF(calc!$L248=1,calc!J248,"")</f>
        <v>5</v>
      </c>
      <c r="J248" s="1">
        <f>IF(calc!$L248=1,calc!K248,"")</f>
        <v>5</v>
      </c>
      <c r="K248" s="1" t="str">
        <f>IF(calc!$L248=1,calc!M248,"")</f>
        <v>63NSH</v>
      </c>
      <c r="L248" s="1">
        <f>IF(calc!$L248=1,calc!N248,"")</f>
        <v>0</v>
      </c>
      <c r="M248" s="1">
        <f>IF(calc!$L248=1,calc!O248,"")</f>
        <v>0</v>
      </c>
      <c r="N248" s="1" t="str">
        <f>IF(calc!$L248=1,calc!P248,"")</f>
        <v/>
      </c>
      <c r="O248">
        <f>'Entry data'!C$1</f>
        <v>20064</v>
      </c>
      <c r="P248" t="str">
        <f>'Entry data'!C$2</f>
        <v>NSH</v>
      </c>
      <c r="Q248" t="str">
        <f>'Entry data'!C$3</f>
        <v>Home</v>
      </c>
    </row>
    <row r="249" spans="1:17" x14ac:dyDescent="0.25">
      <c r="A249" s="1">
        <f>IF(calc!$L249=1,calc!B249,"")</f>
        <v>2</v>
      </c>
      <c r="B249" s="5">
        <f>IF(calc!$L249=1,calc!C249,"")</f>
        <v>0.33749999999999997</v>
      </c>
      <c r="C249" s="1" t="str">
        <f>IF(calc!$L249=1,calc!D249,"")</f>
        <v>D</v>
      </c>
      <c r="D249" s="1" t="str">
        <f>IF(calc!$L249=1,calc!E249,"")</f>
        <v>21DET</v>
      </c>
      <c r="E249" s="1" t="str">
        <f>IF(calc!$L249=1,IF(EXACT(calc!$D249,"FAC"),"",calc!F249),"")</f>
        <v>76NSH</v>
      </c>
      <c r="F249" s="1" t="str">
        <f>IF(calc!$L249=1,IF(EXACT(calc!$D249,"FAC"),"",calc!G249),"")</f>
        <v/>
      </c>
      <c r="G249" s="1" t="str">
        <f>IF(calc!$L249=1,IF(EXACT(calc!$D249,"FAC"),"",calc!H249),"")</f>
        <v>R</v>
      </c>
      <c r="H249" s="1" t="str">
        <f>IF(calc!$L249=1,IF(EXACT(calc!$D249,"FAC"),"",calc!I249),"")</f>
        <v>N</v>
      </c>
      <c r="I249" s="1">
        <f>IF(calc!$L249=1,calc!J249,"")</f>
        <v>5</v>
      </c>
      <c r="J249" s="1">
        <f>IF(calc!$L249=1,calc!K249,"")</f>
        <v>5</v>
      </c>
      <c r="K249" s="1" t="str">
        <f>IF(calc!$L249=1,calc!M249,"")</f>
        <v/>
      </c>
      <c r="L249" s="1">
        <f>IF(calc!$L249=1,calc!N249,"")</f>
        <v>0</v>
      </c>
      <c r="M249" s="1">
        <f>IF(calc!$L249=1,calc!O249,"")</f>
        <v>0</v>
      </c>
      <c r="N249" s="1" t="str">
        <f>IF(calc!$L249=1,calc!P249,"")</f>
        <v/>
      </c>
      <c r="O249">
        <f>'Entry data'!C$1</f>
        <v>20064</v>
      </c>
      <c r="P249" t="str">
        <f>'Entry data'!C$2</f>
        <v>NSH</v>
      </c>
      <c r="Q249" t="str">
        <f>'Entry data'!C$3</f>
        <v>Home</v>
      </c>
    </row>
    <row r="250" spans="1:17" x14ac:dyDescent="0.25">
      <c r="A250" s="1">
        <f>IF(calc!$L250=1,calc!B250,"")</f>
        <v>2</v>
      </c>
      <c r="B250" s="5">
        <f>IF(calc!$L250=1,calc!C250,"")</f>
        <v>0.33333333333333331</v>
      </c>
      <c r="C250" s="1" t="str">
        <f>IF(calc!$L250=1,calc!D250,"")</f>
        <v>C</v>
      </c>
      <c r="D250" s="1" t="str">
        <f>IF(calc!$L250=1,calc!E250,"")</f>
        <v>10NSH</v>
      </c>
      <c r="E250" s="1" t="str">
        <f>IF(calc!$L250=1,IF(EXACT(calc!$D250,"FAC"),"",calc!F250),"")</f>
        <v>N</v>
      </c>
      <c r="F250" s="1" t="str">
        <f>IF(calc!$L250=1,IF(EXACT(calc!$D250,"FAC"),"",calc!G250),"")</f>
        <v>N</v>
      </c>
      <c r="G250" s="1" t="str">
        <f>IF(calc!$L250=1,IF(EXACT(calc!$D250,"FAC"),"",calc!H250),"")</f>
        <v>L</v>
      </c>
      <c r="H250" s="1" t="str">
        <f>IF(calc!$L250=1,IF(EXACT(calc!$D250,"FAC"),"",calc!I250),"")</f>
        <v>N</v>
      </c>
      <c r="I250" s="1">
        <f>IF(calc!$L250=1,calc!J250,"")</f>
        <v>5</v>
      </c>
      <c r="J250" s="1">
        <f>IF(calc!$L250=1,calc!K250,"")</f>
        <v>5</v>
      </c>
      <c r="K250" s="1" t="str">
        <f>IF(calc!$L250=1,calc!M250,"")</f>
        <v>10NSH</v>
      </c>
      <c r="L250" s="1">
        <f>IF(calc!$L250=1,calc!N250,"")</f>
        <v>2</v>
      </c>
      <c r="M250" s="1">
        <f>IF(calc!$L250=1,calc!O250,"")</f>
        <v>0</v>
      </c>
      <c r="N250" s="1" t="str">
        <f>IF(calc!$L250=1,calc!P250,"")</f>
        <v/>
      </c>
      <c r="O250">
        <f>'Entry data'!C$1</f>
        <v>20064</v>
      </c>
      <c r="P250" t="str">
        <f>'Entry data'!C$2</f>
        <v>NSH</v>
      </c>
      <c r="Q250" t="str">
        <f>'Entry data'!C$3</f>
        <v>Home</v>
      </c>
    </row>
    <row r="251" spans="1:17" x14ac:dyDescent="0.25">
      <c r="A251" s="1" t="str">
        <f>IF(calc!$L251=1,calc!B251,"")</f>
        <v/>
      </c>
      <c r="B251" s="5" t="str">
        <f>IF(calc!$L251=1,calc!C251,"")</f>
        <v/>
      </c>
      <c r="C251" s="1" t="str">
        <f>IF(calc!$L251=1,calc!D251,"")</f>
        <v/>
      </c>
      <c r="D251" s="1" t="str">
        <f>IF(calc!$L251=1,calc!E251,"")</f>
        <v/>
      </c>
      <c r="E251" s="1" t="str">
        <f>IF(calc!$L251=1,IF(EXACT(calc!$D251,"FAC"),"",calc!F251),"")</f>
        <v/>
      </c>
      <c r="F251" s="1" t="str">
        <f>IF(calc!$L251=1,IF(EXACT(calc!$D251,"FAC"),"",calc!G251),"")</f>
        <v/>
      </c>
      <c r="G251" s="1" t="str">
        <f>IF(calc!$L251=1,IF(EXACT(calc!$D251,"FAC"),"",calc!H251),"")</f>
        <v/>
      </c>
      <c r="H251" s="1" t="str">
        <f>IF(calc!$L251=1,IF(EXACT(calc!$D251,"FAC"),"",calc!I251),"")</f>
        <v/>
      </c>
      <c r="I251" s="1" t="str">
        <f>IF(calc!$L251=1,calc!J251,"")</f>
        <v/>
      </c>
      <c r="J251" s="1" t="str">
        <f>IF(calc!$L251=1,calc!K251,"")</f>
        <v/>
      </c>
      <c r="K251" s="1" t="str">
        <f>IF(calc!$L251=1,calc!M251,"")</f>
        <v/>
      </c>
      <c r="L251" s="1" t="str">
        <f>IF(calc!$L251=1,calc!N251,"")</f>
        <v/>
      </c>
      <c r="M251" s="1" t="str">
        <f>IF(calc!$L251=1,calc!O251,"")</f>
        <v/>
      </c>
      <c r="N251" s="1" t="str">
        <f>IF(calc!$L251=1,calc!P251,"")</f>
        <v/>
      </c>
      <c r="O251">
        <f>'Entry data'!C$1</f>
        <v>20064</v>
      </c>
      <c r="P251" t="str">
        <f>'Entry data'!C$2</f>
        <v>NSH</v>
      </c>
      <c r="Q251" t="str">
        <f>'Entry data'!C$3</f>
        <v>Home</v>
      </c>
    </row>
    <row r="252" spans="1:17" x14ac:dyDescent="0.25">
      <c r="A252" s="1" t="str">
        <f>IF(calc!$L252=1,calc!B252,"")</f>
        <v/>
      </c>
      <c r="B252" s="5" t="str">
        <f>IF(calc!$L252=1,calc!C252,"")</f>
        <v/>
      </c>
      <c r="C252" s="1" t="str">
        <f>IF(calc!$L252=1,calc!D252,"")</f>
        <v/>
      </c>
      <c r="D252" s="1" t="str">
        <f>IF(calc!$L252=1,calc!E252,"")</f>
        <v/>
      </c>
      <c r="E252" s="1" t="str">
        <f>IF(calc!$L252=1,IF(EXACT(calc!$D252,"FAC"),"",calc!F252),"")</f>
        <v/>
      </c>
      <c r="F252" s="1" t="str">
        <f>IF(calc!$L252=1,IF(EXACT(calc!$D252,"FAC"),"",calc!G252),"")</f>
        <v/>
      </c>
      <c r="G252" s="1" t="str">
        <f>IF(calc!$L252=1,IF(EXACT(calc!$D252,"FAC"),"",calc!H252),"")</f>
        <v/>
      </c>
      <c r="H252" s="1" t="str">
        <f>IF(calc!$L252=1,IF(EXACT(calc!$D252,"FAC"),"",calc!I252),"")</f>
        <v/>
      </c>
      <c r="I252" s="1" t="str">
        <f>IF(calc!$L252=1,calc!J252,"")</f>
        <v/>
      </c>
      <c r="J252" s="1" t="str">
        <f>IF(calc!$L252=1,calc!K252,"")</f>
        <v/>
      </c>
      <c r="K252" s="1" t="str">
        <f>IF(calc!$L252=1,calc!M252,"")</f>
        <v/>
      </c>
      <c r="L252" s="1" t="str">
        <f>IF(calc!$L252=1,calc!N252,"")</f>
        <v/>
      </c>
      <c r="M252" s="1" t="str">
        <f>IF(calc!$L252=1,calc!O252,"")</f>
        <v/>
      </c>
      <c r="N252" s="1" t="str">
        <f>IF(calc!$L252=1,calc!P252,"")</f>
        <v/>
      </c>
      <c r="O252">
        <f>'Entry data'!C$1</f>
        <v>20064</v>
      </c>
      <c r="P252" t="str">
        <f>'Entry data'!C$2</f>
        <v>NSH</v>
      </c>
      <c r="Q252" t="str">
        <f>'Entry data'!C$3</f>
        <v>Home</v>
      </c>
    </row>
    <row r="253" spans="1:17" x14ac:dyDescent="0.25">
      <c r="A253" s="1" t="str">
        <f>IF(calc!$L253=1,calc!B253,"")</f>
        <v/>
      </c>
      <c r="B253" s="5" t="str">
        <f>IF(calc!$L253=1,calc!C253,"")</f>
        <v/>
      </c>
      <c r="C253" s="1" t="str">
        <f>IF(calc!$L253=1,calc!D253,"")</f>
        <v/>
      </c>
      <c r="D253" s="1" t="str">
        <f>IF(calc!$L253=1,calc!E253,"")</f>
        <v/>
      </c>
      <c r="E253" s="1" t="str">
        <f>IF(calc!$L253=1,IF(EXACT(calc!$D253,"FAC"),"",calc!F253),"")</f>
        <v/>
      </c>
      <c r="F253" s="1" t="str">
        <f>IF(calc!$L253=1,IF(EXACT(calc!$D253,"FAC"),"",calc!G253),"")</f>
        <v/>
      </c>
      <c r="G253" s="1" t="str">
        <f>IF(calc!$L253=1,IF(EXACT(calc!$D253,"FAC"),"",calc!H253),"")</f>
        <v/>
      </c>
      <c r="H253" s="1" t="str">
        <f>IF(calc!$L253=1,IF(EXACT(calc!$D253,"FAC"),"",calc!I253),"")</f>
        <v/>
      </c>
      <c r="I253" s="1" t="str">
        <f>IF(calc!$L253=1,calc!J253,"")</f>
        <v/>
      </c>
      <c r="J253" s="1" t="str">
        <f>IF(calc!$L253=1,calc!K253,"")</f>
        <v/>
      </c>
      <c r="K253" s="1" t="str">
        <f>IF(calc!$L253=1,calc!M253,"")</f>
        <v/>
      </c>
      <c r="L253" s="1" t="str">
        <f>IF(calc!$L253=1,calc!N253,"")</f>
        <v/>
      </c>
      <c r="M253" s="1" t="str">
        <f>IF(calc!$L253=1,calc!O253,"")</f>
        <v/>
      </c>
      <c r="N253" s="1" t="str">
        <f>IF(calc!$L253=1,calc!P253,"")</f>
        <v/>
      </c>
      <c r="O253">
        <f>'Entry data'!C$1</f>
        <v>20064</v>
      </c>
      <c r="P253" t="str">
        <f>'Entry data'!C$2</f>
        <v>NSH</v>
      </c>
      <c r="Q253" t="str">
        <f>'Entry data'!C$3</f>
        <v>Home</v>
      </c>
    </row>
    <row r="254" spans="1:17" x14ac:dyDescent="0.25">
      <c r="A254" s="1" t="str">
        <f>IF(calc!$L254=1,calc!B254,"")</f>
        <v/>
      </c>
      <c r="B254" s="5" t="str">
        <f>IF(calc!$L254=1,calc!C254,"")</f>
        <v/>
      </c>
      <c r="C254" s="1" t="str">
        <f>IF(calc!$L254=1,calc!D254,"")</f>
        <v/>
      </c>
      <c r="D254" s="1" t="str">
        <f>IF(calc!$L254=1,calc!E254,"")</f>
        <v/>
      </c>
      <c r="E254" s="1" t="str">
        <f>IF(calc!$L254=1,IF(EXACT(calc!$D254,"FAC"),"",calc!F254),"")</f>
        <v/>
      </c>
      <c r="F254" s="1" t="str">
        <f>IF(calc!$L254=1,IF(EXACT(calc!$D254,"FAC"),"",calc!G254),"")</f>
        <v/>
      </c>
      <c r="G254" s="1" t="str">
        <f>IF(calc!$L254=1,IF(EXACT(calc!$D254,"FAC"),"",calc!H254),"")</f>
        <v/>
      </c>
      <c r="H254" s="1" t="str">
        <f>IF(calc!$L254=1,IF(EXACT(calc!$D254,"FAC"),"",calc!I254),"")</f>
        <v/>
      </c>
      <c r="I254" s="1" t="str">
        <f>IF(calc!$L254=1,calc!J254,"")</f>
        <v/>
      </c>
      <c r="J254" s="1" t="str">
        <f>IF(calc!$L254=1,calc!K254,"")</f>
        <v/>
      </c>
      <c r="K254" s="1" t="str">
        <f>IF(calc!$L254=1,calc!M254,"")</f>
        <v/>
      </c>
      <c r="L254" s="1" t="str">
        <f>IF(calc!$L254=1,calc!N254,"")</f>
        <v/>
      </c>
      <c r="M254" s="1" t="str">
        <f>IF(calc!$L254=1,calc!O254,"")</f>
        <v/>
      </c>
      <c r="N254" s="1" t="str">
        <f>IF(calc!$L254=1,calc!P254,"")</f>
        <v/>
      </c>
      <c r="O254">
        <f>'Entry data'!C$1</f>
        <v>20064</v>
      </c>
      <c r="P254" t="str">
        <f>'Entry data'!C$2</f>
        <v>NSH</v>
      </c>
      <c r="Q254" t="str">
        <f>'Entry data'!C$3</f>
        <v>Home</v>
      </c>
    </row>
    <row r="255" spans="1:17" x14ac:dyDescent="0.25">
      <c r="A255" s="1">
        <f>IF(calc!$L255=1,calc!B255,"")</f>
        <v>2</v>
      </c>
      <c r="B255" s="5">
        <f>IF(calc!$L255=1,calc!C255,"")</f>
        <v>0.31041666666666667</v>
      </c>
      <c r="C255" s="1" t="str">
        <f>IF(calc!$L255=1,calc!D255,"")</f>
        <v>FAC</v>
      </c>
      <c r="D255" s="1" t="str">
        <f>IF(calc!$L255=1,calc!E255,"")</f>
        <v>DZF</v>
      </c>
      <c r="E255" s="1" t="str">
        <f>IF(calc!$L255=1,IF(EXACT(calc!$D255,"FAC"),"",calc!F255),"")</f>
        <v/>
      </c>
      <c r="F255" s="1" t="str">
        <f>IF(calc!$L255=1,IF(EXACT(calc!$D255,"FAC"),"",calc!G255),"")</f>
        <v/>
      </c>
      <c r="G255" s="1" t="str">
        <f>IF(calc!$L255=1,IF(EXACT(calc!$D255,"FAC"),"",calc!H255),"")</f>
        <v/>
      </c>
      <c r="H255" s="1" t="str">
        <f>IF(calc!$L255=1,IF(EXACT(calc!$D255,"FAC"),"",calc!I255),"")</f>
        <v/>
      </c>
      <c r="I255" s="1">
        <f>IF(calc!$L255=1,calc!J255,"")</f>
        <v>4</v>
      </c>
      <c r="J255" s="1">
        <f>IF(calc!$L255=1,calc!K255,"")</f>
        <v>5</v>
      </c>
      <c r="K255" s="1" t="str">
        <f>IF(calc!$L255=1,calc!M255,"")</f>
        <v/>
      </c>
      <c r="L255" s="1">
        <f>IF(calc!$L255=1,calc!N255,"")</f>
        <v>0</v>
      </c>
      <c r="M255" s="1">
        <f>IF(calc!$L255=1,calc!O255,"")</f>
        <v>0</v>
      </c>
      <c r="N255" s="1" t="str">
        <f>IF(calc!$L255=1,calc!P255,"")</f>
        <v/>
      </c>
      <c r="O255">
        <f>'Entry data'!C$1</f>
        <v>20064</v>
      </c>
      <c r="P255" t="str">
        <f>'Entry data'!C$2</f>
        <v>NSH</v>
      </c>
      <c r="Q255" t="str">
        <f>'Entry data'!C$3</f>
        <v>Home</v>
      </c>
    </row>
    <row r="256" spans="1:17" x14ac:dyDescent="0.25">
      <c r="A256" s="1">
        <f>IF(calc!$L256=1,calc!B256,"")</f>
        <v>2</v>
      </c>
      <c r="B256" s="5">
        <f>IF(calc!$L256=1,calc!C256,"")</f>
        <v>0.30555555555555552</v>
      </c>
      <c r="C256" s="1" t="str">
        <f>IF(calc!$L256=1,calc!D256,"")</f>
        <v>C</v>
      </c>
      <c r="D256" s="1" t="str">
        <f>IF(calc!$L256=1,calc!E256,"")</f>
        <v>41DET</v>
      </c>
      <c r="E256" s="1" t="str">
        <f>IF(calc!$L256=1,IF(EXACT(calc!$D256,"FAC"),"",calc!F256),"")</f>
        <v>N</v>
      </c>
      <c r="F256" s="1" t="str">
        <f>IF(calc!$L256=1,IF(EXACT(calc!$D256,"FAC"),"",calc!G256),"")</f>
        <v>N</v>
      </c>
      <c r="G256" s="1" t="str">
        <f>IF(calc!$L256=1,IF(EXACT(calc!$D256,"FAC"),"",calc!H256),"")</f>
        <v>C</v>
      </c>
      <c r="H256" s="1" t="str">
        <f>IF(calc!$L256=1,IF(EXACT(calc!$D256,"FAC"),"",calc!I256),"")</f>
        <v>N</v>
      </c>
      <c r="I256" s="1">
        <f>IF(calc!$L256=1,calc!J256,"")</f>
        <v>4</v>
      </c>
      <c r="J256" s="1">
        <f>IF(calc!$L256=1,calc!K256,"")</f>
        <v>5</v>
      </c>
      <c r="K256" s="1" t="str">
        <f>IF(calc!$L256=1,calc!M256,"")</f>
        <v>41DET</v>
      </c>
      <c r="L256" s="1">
        <f>IF(calc!$L256=1,calc!N256,"")</f>
        <v>1</v>
      </c>
      <c r="M256" s="1">
        <f>IF(calc!$L256=1,calc!O256,"")</f>
        <v>0</v>
      </c>
      <c r="N256" s="1" t="str">
        <f>IF(calc!$L256=1,calc!P256,"")</f>
        <v/>
      </c>
      <c r="O256">
        <f>'Entry data'!C$1</f>
        <v>20064</v>
      </c>
      <c r="P256" t="str">
        <f>'Entry data'!C$2</f>
        <v>NSH</v>
      </c>
      <c r="Q256" t="str">
        <f>'Entry data'!C$3</f>
        <v>Home</v>
      </c>
    </row>
    <row r="257" spans="1:17" x14ac:dyDescent="0.25">
      <c r="A257" s="1" t="str">
        <f>IF(calc!$L257=1,calc!B257,"")</f>
        <v/>
      </c>
      <c r="B257" s="5" t="str">
        <f>IF(calc!$L257=1,calc!C257,"")</f>
        <v/>
      </c>
      <c r="C257" s="1" t="str">
        <f>IF(calc!$L257=1,calc!D257,"")</f>
        <v/>
      </c>
      <c r="D257" s="1" t="str">
        <f>IF(calc!$L257=1,calc!E257,"")</f>
        <v/>
      </c>
      <c r="E257" s="1" t="str">
        <f>IF(calc!$L257=1,IF(EXACT(calc!$D257,"FAC"),"",calc!F257),"")</f>
        <v/>
      </c>
      <c r="F257" s="1" t="str">
        <f>IF(calc!$L257=1,IF(EXACT(calc!$D257,"FAC"),"",calc!G257),"")</f>
        <v/>
      </c>
      <c r="G257" s="1" t="str">
        <f>IF(calc!$L257=1,IF(EXACT(calc!$D257,"FAC"),"",calc!H257),"")</f>
        <v/>
      </c>
      <c r="H257" s="1" t="str">
        <f>IF(calc!$L257=1,IF(EXACT(calc!$D257,"FAC"),"",calc!I257),"")</f>
        <v/>
      </c>
      <c r="I257" s="1" t="str">
        <f>IF(calc!$L257=1,calc!J257,"")</f>
        <v/>
      </c>
      <c r="J257" s="1" t="str">
        <f>IF(calc!$L257=1,calc!K257,"")</f>
        <v/>
      </c>
      <c r="K257" s="1" t="str">
        <f>IF(calc!$L257=1,calc!M257,"")</f>
        <v/>
      </c>
      <c r="L257" s="1" t="str">
        <f>IF(calc!$L257=1,calc!N257,"")</f>
        <v/>
      </c>
      <c r="M257" s="1" t="str">
        <f>IF(calc!$L257=1,calc!O257,"")</f>
        <v/>
      </c>
      <c r="N257" s="1" t="str">
        <f>IF(calc!$L257=1,calc!P257,"")</f>
        <v/>
      </c>
      <c r="O257">
        <f>'Entry data'!C$1</f>
        <v>20064</v>
      </c>
      <c r="P257" t="str">
        <f>'Entry data'!C$2</f>
        <v>NSH</v>
      </c>
      <c r="Q257" t="str">
        <f>'Entry data'!C$3</f>
        <v>Home</v>
      </c>
    </row>
    <row r="258" spans="1:17" x14ac:dyDescent="0.25">
      <c r="A258" s="1">
        <f>IF(calc!$L258=1,calc!B258,"")</f>
        <v>2</v>
      </c>
      <c r="B258" s="5">
        <f>IF(calc!$L258=1,calc!C258,"")</f>
        <v>0.29305555555555557</v>
      </c>
      <c r="C258" s="1" t="str">
        <f>IF(calc!$L258=1,calc!D258,"")</f>
        <v>F</v>
      </c>
      <c r="D258" s="1" t="str">
        <f>IF(calc!$L258=1,calc!E258,"")</f>
        <v>18NSH</v>
      </c>
      <c r="E258" s="1" t="str">
        <f>IF(calc!$L258=1,IF(EXACT(calc!$D258,"FAC"),"",calc!F258),"")</f>
        <v>53DET</v>
      </c>
      <c r="F258" s="1" t="str">
        <f>IF(calc!$L258=1,IF(EXACT(calc!$D258,"FAC"),"",calc!G258),"")</f>
        <v/>
      </c>
      <c r="G258" s="1" t="str">
        <f>IF(calc!$L258=1,IF(EXACT(calc!$D258,"FAC"),"",calc!H258),"")</f>
        <v>C</v>
      </c>
      <c r="H258" s="1" t="str">
        <f>IF(calc!$L258=1,IF(EXACT(calc!$D258,"FAC"),"",calc!I258),"")</f>
        <v>N</v>
      </c>
      <c r="I258" s="1">
        <f>IF(calc!$L258=1,calc!J258,"")</f>
        <v>4</v>
      </c>
      <c r="J258" s="1">
        <f>IF(calc!$L258=1,calc!K258,"")</f>
        <v>5</v>
      </c>
      <c r="K258" s="1" t="str">
        <f>IF(calc!$L258=1,calc!M258,"")</f>
        <v/>
      </c>
      <c r="L258" s="1">
        <f>IF(calc!$L258=1,calc!N258,"")</f>
        <v>0</v>
      </c>
      <c r="M258" s="1">
        <f>IF(calc!$L258=1,calc!O258,"")</f>
        <v>0</v>
      </c>
      <c r="N258" s="1" t="str">
        <f>IF(calc!$L258=1,calc!P258,"")</f>
        <v>18NSH</v>
      </c>
      <c r="O258">
        <f>'Entry data'!C$1</f>
        <v>20064</v>
      </c>
      <c r="P258" t="str">
        <f>'Entry data'!C$2</f>
        <v>NSH</v>
      </c>
      <c r="Q258" t="str">
        <f>'Entry data'!C$3</f>
        <v>Home</v>
      </c>
    </row>
    <row r="259" spans="1:17" x14ac:dyDescent="0.25">
      <c r="A259" s="1">
        <f>IF(calc!$L259=1,calc!B259,"")</f>
        <v>2</v>
      </c>
      <c r="B259" s="5">
        <f>IF(calc!$L259=1,calc!C259,"")</f>
        <v>0.28055555555555556</v>
      </c>
      <c r="C259" s="1" t="str">
        <f>IF(calc!$L259=1,calc!D259,"")</f>
        <v>D</v>
      </c>
      <c r="D259" s="1" t="str">
        <f>IF(calc!$L259=1,calc!E259,"")</f>
        <v>56NSH</v>
      </c>
      <c r="E259" s="1" t="str">
        <f>IF(calc!$L259=1,IF(EXACT(calc!$D259,"FAC"),"",calc!F259),"")</f>
        <v>65DET</v>
      </c>
      <c r="F259" s="1" t="str">
        <f>IF(calc!$L259=1,IF(EXACT(calc!$D259,"FAC"),"",calc!G259),"")</f>
        <v/>
      </c>
      <c r="G259" s="1" t="str">
        <f>IF(calc!$L259=1,IF(EXACT(calc!$D259,"FAC"),"",calc!H259),"")</f>
        <v>R</v>
      </c>
      <c r="H259" s="1" t="str">
        <f>IF(calc!$L259=1,IF(EXACT(calc!$D259,"FAC"),"",calc!I259),"")</f>
        <v>N</v>
      </c>
      <c r="I259" s="1">
        <f>IF(calc!$L259=1,calc!J259,"")</f>
        <v>4</v>
      </c>
      <c r="J259" s="1">
        <f>IF(calc!$L259=1,calc!K259,"")</f>
        <v>5</v>
      </c>
      <c r="K259" s="1" t="str">
        <f>IF(calc!$L259=1,calc!M259,"")</f>
        <v/>
      </c>
      <c r="L259" s="1">
        <f>IF(calc!$L259=1,calc!N259,"")</f>
        <v>0</v>
      </c>
      <c r="M259" s="1">
        <f>IF(calc!$L259=1,calc!O259,"")</f>
        <v>0</v>
      </c>
      <c r="N259" s="1" t="str">
        <f>IF(calc!$L259=1,calc!P259,"")</f>
        <v/>
      </c>
      <c r="O259">
        <f>'Entry data'!C$1</f>
        <v>20064</v>
      </c>
      <c r="P259" t="str">
        <f>'Entry data'!C$2</f>
        <v>NSH</v>
      </c>
      <c r="Q259" t="str">
        <f>'Entry data'!C$3</f>
        <v>Home</v>
      </c>
    </row>
    <row r="260" spans="1:17" x14ac:dyDescent="0.25">
      <c r="A260" s="1">
        <f>IF(calc!$L260=1,calc!B260,"")</f>
        <v>2</v>
      </c>
      <c r="B260" s="5">
        <f>IF(calc!$L260=1,calc!C260,"")</f>
        <v>0.27569444444444446</v>
      </c>
      <c r="C260" s="1" t="str">
        <f>IF(calc!$L260=1,calc!D260,"")</f>
        <v>FAC</v>
      </c>
      <c r="D260" s="1" t="str">
        <f>IF(calc!$L260=1,calc!E260,"")</f>
        <v>DZF</v>
      </c>
      <c r="E260" s="1" t="str">
        <f>IF(calc!$L260=1,IF(EXACT(calc!$D260,"FAC"),"",calc!F260),"")</f>
        <v/>
      </c>
      <c r="F260" s="1" t="str">
        <f>IF(calc!$L260=1,IF(EXACT(calc!$D260,"FAC"),"",calc!G260),"")</f>
        <v/>
      </c>
      <c r="G260" s="1" t="str">
        <f>IF(calc!$L260=1,IF(EXACT(calc!$D260,"FAC"),"",calc!H260),"")</f>
        <v/>
      </c>
      <c r="H260" s="1" t="str">
        <f>IF(calc!$L260=1,IF(EXACT(calc!$D260,"FAC"),"",calc!I260),"")</f>
        <v/>
      </c>
      <c r="I260" s="1">
        <f>IF(calc!$L260=1,calc!J260,"")</f>
        <v>4</v>
      </c>
      <c r="J260" s="1">
        <f>IF(calc!$L260=1,calc!K260,"")</f>
        <v>5</v>
      </c>
      <c r="K260" s="1" t="str">
        <f>IF(calc!$L260=1,calc!M260,"")</f>
        <v/>
      </c>
      <c r="L260" s="1">
        <f>IF(calc!$L260=1,calc!N260,"")</f>
        <v>3</v>
      </c>
      <c r="M260" s="1">
        <f>IF(calc!$L260=1,calc!O260,"")</f>
        <v>1</v>
      </c>
      <c r="N260" s="1" t="str">
        <f>IF(calc!$L260=1,calc!P260,"")</f>
        <v/>
      </c>
      <c r="O260">
        <f>'Entry data'!C$1</f>
        <v>20064</v>
      </c>
      <c r="P260" t="str">
        <f>'Entry data'!C$2</f>
        <v>NSH</v>
      </c>
      <c r="Q260" t="str">
        <f>'Entry data'!C$3</f>
        <v>Home</v>
      </c>
    </row>
    <row r="261" spans="1:17" x14ac:dyDescent="0.25">
      <c r="A261" s="1" t="str">
        <f>IF(calc!$L261=1,calc!B261,"")</f>
        <v/>
      </c>
      <c r="B261" s="5" t="str">
        <f>IF(calc!$L261=1,calc!C261,"")</f>
        <v/>
      </c>
      <c r="C261" s="1" t="str">
        <f>IF(calc!$L261=1,calc!D261,"")</f>
        <v/>
      </c>
      <c r="D261" s="1" t="str">
        <f>IF(calc!$L261=1,calc!E261,"")</f>
        <v/>
      </c>
      <c r="E261" s="1" t="str">
        <f>IF(calc!$L261=1,IF(EXACT(calc!$D261,"FAC"),"",calc!F261),"")</f>
        <v/>
      </c>
      <c r="F261" s="1" t="str">
        <f>IF(calc!$L261=1,IF(EXACT(calc!$D261,"FAC"),"",calc!G261),"")</f>
        <v/>
      </c>
      <c r="G261" s="1" t="str">
        <f>IF(calc!$L261=1,IF(EXACT(calc!$D261,"FAC"),"",calc!H261),"")</f>
        <v/>
      </c>
      <c r="H261" s="1" t="str">
        <f>IF(calc!$L261=1,IF(EXACT(calc!$D261,"FAC"),"",calc!I261),"")</f>
        <v/>
      </c>
      <c r="I261" s="1" t="str">
        <f>IF(calc!$L261=1,calc!J261,"")</f>
        <v/>
      </c>
      <c r="J261" s="1" t="str">
        <f>IF(calc!$L261=1,calc!K261,"")</f>
        <v/>
      </c>
      <c r="K261" s="1" t="str">
        <f>IF(calc!$L261=1,calc!M261,"")</f>
        <v/>
      </c>
      <c r="L261" s="1" t="str">
        <f>IF(calc!$L261=1,calc!N261,"")</f>
        <v/>
      </c>
      <c r="M261" s="1" t="str">
        <f>IF(calc!$L261=1,calc!O261,"")</f>
        <v/>
      </c>
      <c r="N261" s="1" t="str">
        <f>IF(calc!$L261=1,calc!P261,"")</f>
        <v/>
      </c>
      <c r="O261">
        <f>'Entry data'!C$1</f>
        <v>20064</v>
      </c>
      <c r="P261" t="str">
        <f>'Entry data'!C$2</f>
        <v>NSH</v>
      </c>
      <c r="Q261" t="str">
        <f>'Entry data'!C$3</f>
        <v>Home</v>
      </c>
    </row>
    <row r="262" spans="1:17" x14ac:dyDescent="0.25">
      <c r="A262" s="1" t="str">
        <f>IF(calc!$L262=1,calc!B262,"")</f>
        <v/>
      </c>
      <c r="B262" s="5" t="str">
        <f>IF(calc!$L262=1,calc!C262,"")</f>
        <v/>
      </c>
      <c r="C262" s="1" t="str">
        <f>IF(calc!$L262=1,calc!D262,"")</f>
        <v/>
      </c>
      <c r="D262" s="1" t="str">
        <f>IF(calc!$L262=1,calc!E262,"")</f>
        <v/>
      </c>
      <c r="E262" s="1" t="str">
        <f>IF(calc!$L262=1,IF(EXACT(calc!$D262,"FAC"),"",calc!F262),"")</f>
        <v/>
      </c>
      <c r="F262" s="1" t="str">
        <f>IF(calc!$L262=1,IF(EXACT(calc!$D262,"FAC"),"",calc!G262),"")</f>
        <v/>
      </c>
      <c r="G262" s="1" t="str">
        <f>IF(calc!$L262=1,IF(EXACT(calc!$D262,"FAC"),"",calc!H262),"")</f>
        <v/>
      </c>
      <c r="H262" s="1" t="str">
        <f>IF(calc!$L262=1,IF(EXACT(calc!$D262,"FAC"),"",calc!I262),"")</f>
        <v/>
      </c>
      <c r="I262" s="1" t="str">
        <f>IF(calc!$L262=1,calc!J262,"")</f>
        <v/>
      </c>
      <c r="J262" s="1" t="str">
        <f>IF(calc!$L262=1,calc!K262,"")</f>
        <v/>
      </c>
      <c r="K262" s="1" t="str">
        <f>IF(calc!$L262=1,calc!M262,"")</f>
        <v/>
      </c>
      <c r="L262" s="1" t="str">
        <f>IF(calc!$L262=1,calc!N262,"")</f>
        <v/>
      </c>
      <c r="M262" s="1" t="str">
        <f>IF(calc!$L262=1,calc!O262,"")</f>
        <v/>
      </c>
      <c r="N262" s="1" t="str">
        <f>IF(calc!$L262=1,calc!P262,"")</f>
        <v/>
      </c>
      <c r="O262">
        <f>'Entry data'!C$1</f>
        <v>20064</v>
      </c>
      <c r="P262" t="str">
        <f>'Entry data'!C$2</f>
        <v>NSH</v>
      </c>
      <c r="Q262" t="str">
        <f>'Entry data'!C$3</f>
        <v>Home</v>
      </c>
    </row>
    <row r="263" spans="1:17" x14ac:dyDescent="0.25">
      <c r="A263" s="1" t="str">
        <f>IF(calc!$L263=1,calc!B263,"")</f>
        <v/>
      </c>
      <c r="B263" s="5" t="str">
        <f>IF(calc!$L263=1,calc!C263,"")</f>
        <v/>
      </c>
      <c r="C263" s="1" t="str">
        <f>IF(calc!$L263=1,calc!D263,"")</f>
        <v/>
      </c>
      <c r="D263" s="1" t="str">
        <f>IF(calc!$L263=1,calc!E263,"")</f>
        <v/>
      </c>
      <c r="E263" s="1" t="str">
        <f>IF(calc!$L263=1,IF(EXACT(calc!$D263,"FAC"),"",calc!F263),"")</f>
        <v/>
      </c>
      <c r="F263" s="1" t="str">
        <f>IF(calc!$L263=1,IF(EXACT(calc!$D263,"FAC"),"",calc!G263),"")</f>
        <v/>
      </c>
      <c r="G263" s="1" t="str">
        <f>IF(calc!$L263=1,IF(EXACT(calc!$D263,"FAC"),"",calc!H263),"")</f>
        <v/>
      </c>
      <c r="H263" s="1" t="str">
        <f>IF(calc!$L263=1,IF(EXACT(calc!$D263,"FAC"),"",calc!I263),"")</f>
        <v/>
      </c>
      <c r="I263" s="1" t="str">
        <f>IF(calc!$L263=1,calc!J263,"")</f>
        <v/>
      </c>
      <c r="J263" s="1" t="str">
        <f>IF(calc!$L263=1,calc!K263,"")</f>
        <v/>
      </c>
      <c r="K263" s="1" t="str">
        <f>IF(calc!$L263=1,calc!M263,"")</f>
        <v/>
      </c>
      <c r="L263" s="1" t="str">
        <f>IF(calc!$L263=1,calc!N263,"")</f>
        <v/>
      </c>
      <c r="M263" s="1" t="str">
        <f>IF(calc!$L263=1,calc!O263,"")</f>
        <v/>
      </c>
      <c r="N263" s="1" t="str">
        <f>IF(calc!$L263=1,calc!P263,"")</f>
        <v/>
      </c>
      <c r="O263">
        <f>'Entry data'!C$1</f>
        <v>20064</v>
      </c>
      <c r="P263" t="str">
        <f>'Entry data'!C$2</f>
        <v>NSH</v>
      </c>
      <c r="Q263" t="str">
        <f>'Entry data'!C$3</f>
        <v>Home</v>
      </c>
    </row>
    <row r="264" spans="1:17" x14ac:dyDescent="0.25">
      <c r="A264" s="1" t="str">
        <f>IF(calc!$L264=1,calc!B264,"")</f>
        <v/>
      </c>
      <c r="B264" s="5" t="str">
        <f>IF(calc!$L264=1,calc!C264,"")</f>
        <v/>
      </c>
      <c r="C264" s="1" t="str">
        <f>IF(calc!$L264=1,calc!D264,"")</f>
        <v/>
      </c>
      <c r="D264" s="1" t="str">
        <f>IF(calc!$L264=1,calc!E264,"")</f>
        <v/>
      </c>
      <c r="E264" s="1" t="str">
        <f>IF(calc!$L264=1,IF(EXACT(calc!$D264,"FAC"),"",calc!F264),"")</f>
        <v/>
      </c>
      <c r="F264" s="1" t="str">
        <f>IF(calc!$L264=1,IF(EXACT(calc!$D264,"FAC"),"",calc!G264),"")</f>
        <v/>
      </c>
      <c r="G264" s="1" t="str">
        <f>IF(calc!$L264=1,IF(EXACT(calc!$D264,"FAC"),"",calc!H264),"")</f>
        <v/>
      </c>
      <c r="H264" s="1" t="str">
        <f>IF(calc!$L264=1,IF(EXACT(calc!$D264,"FAC"),"",calc!I264),"")</f>
        <v/>
      </c>
      <c r="I264" s="1" t="str">
        <f>IF(calc!$L264=1,calc!J264,"")</f>
        <v/>
      </c>
      <c r="J264" s="1" t="str">
        <f>IF(calc!$L264=1,calc!K264,"")</f>
        <v/>
      </c>
      <c r="K264" s="1" t="str">
        <f>IF(calc!$L264=1,calc!M264,"")</f>
        <v/>
      </c>
      <c r="L264" s="1" t="str">
        <f>IF(calc!$L264=1,calc!N264,"")</f>
        <v/>
      </c>
      <c r="M264" s="1" t="str">
        <f>IF(calc!$L264=1,calc!O264,"")</f>
        <v/>
      </c>
      <c r="N264" s="1" t="str">
        <f>IF(calc!$L264=1,calc!P264,"")</f>
        <v/>
      </c>
      <c r="O264">
        <f>'Entry data'!C$1</f>
        <v>20064</v>
      </c>
      <c r="P264" t="str">
        <f>'Entry data'!C$2</f>
        <v>NSH</v>
      </c>
      <c r="Q264" t="str">
        <f>'Entry data'!C$3</f>
        <v>Home</v>
      </c>
    </row>
    <row r="265" spans="1:17" x14ac:dyDescent="0.25">
      <c r="A265" s="1" t="str">
        <f>IF(calc!$L265=1,calc!B265,"")</f>
        <v/>
      </c>
      <c r="B265" s="5" t="str">
        <f>IF(calc!$L265=1,calc!C265,"")</f>
        <v/>
      </c>
      <c r="C265" s="1" t="str">
        <f>IF(calc!$L265=1,calc!D265,"")</f>
        <v/>
      </c>
      <c r="D265" s="1" t="str">
        <f>IF(calc!$L265=1,calc!E265,"")</f>
        <v/>
      </c>
      <c r="E265" s="1" t="str">
        <f>IF(calc!$L265=1,IF(EXACT(calc!$D265,"FAC"),"",calc!F265),"")</f>
        <v/>
      </c>
      <c r="F265" s="1" t="str">
        <f>IF(calc!$L265=1,IF(EXACT(calc!$D265,"FAC"),"",calc!G265),"")</f>
        <v/>
      </c>
      <c r="G265" s="1" t="str">
        <f>IF(calc!$L265=1,IF(EXACT(calc!$D265,"FAC"),"",calc!H265),"")</f>
        <v/>
      </c>
      <c r="H265" s="1" t="str">
        <f>IF(calc!$L265=1,IF(EXACT(calc!$D265,"FAC"),"",calc!I265),"")</f>
        <v/>
      </c>
      <c r="I265" s="1" t="str">
        <f>IF(calc!$L265=1,calc!J265,"")</f>
        <v/>
      </c>
      <c r="J265" s="1" t="str">
        <f>IF(calc!$L265=1,calc!K265,"")</f>
        <v/>
      </c>
      <c r="K265" s="1" t="str">
        <f>IF(calc!$L265=1,calc!M265,"")</f>
        <v/>
      </c>
      <c r="L265" s="1" t="str">
        <f>IF(calc!$L265=1,calc!N265,"")</f>
        <v/>
      </c>
      <c r="M265" s="1" t="str">
        <f>IF(calc!$L265=1,calc!O265,"")</f>
        <v/>
      </c>
      <c r="N265" s="1" t="str">
        <f>IF(calc!$L265=1,calc!P265,"")</f>
        <v/>
      </c>
      <c r="O265">
        <f>'Entry data'!C$1</f>
        <v>20064</v>
      </c>
      <c r="P265" t="str">
        <f>'Entry data'!C$2</f>
        <v>NSH</v>
      </c>
      <c r="Q265" t="str">
        <f>'Entry data'!C$3</f>
        <v>Home</v>
      </c>
    </row>
    <row r="266" spans="1:17" x14ac:dyDescent="0.25">
      <c r="A266" s="1" t="str">
        <f>IF(calc!$L266=1,calc!B266,"")</f>
        <v/>
      </c>
      <c r="B266" s="5" t="str">
        <f>IF(calc!$L266=1,calc!C266,"")</f>
        <v/>
      </c>
      <c r="C266" s="1" t="str">
        <f>IF(calc!$L266=1,calc!D266,"")</f>
        <v/>
      </c>
      <c r="D266" s="1" t="str">
        <f>IF(calc!$L266=1,calc!E266,"")</f>
        <v/>
      </c>
      <c r="E266" s="1" t="str">
        <f>IF(calc!$L266=1,IF(EXACT(calc!$D266,"FAC"),"",calc!F266),"")</f>
        <v/>
      </c>
      <c r="F266" s="1" t="str">
        <f>IF(calc!$L266=1,IF(EXACT(calc!$D266,"FAC"),"",calc!G266),"")</f>
        <v/>
      </c>
      <c r="G266" s="1" t="str">
        <f>IF(calc!$L266=1,IF(EXACT(calc!$D266,"FAC"),"",calc!H266),"")</f>
        <v/>
      </c>
      <c r="H266" s="1" t="str">
        <f>IF(calc!$L266=1,IF(EXACT(calc!$D266,"FAC"),"",calc!I266),"")</f>
        <v/>
      </c>
      <c r="I266" s="1" t="str">
        <f>IF(calc!$L266=1,calc!J266,"")</f>
        <v/>
      </c>
      <c r="J266" s="1" t="str">
        <f>IF(calc!$L266=1,calc!K266,"")</f>
        <v/>
      </c>
      <c r="K266" s="1" t="str">
        <f>IF(calc!$L266=1,calc!M266,"")</f>
        <v/>
      </c>
      <c r="L266" s="1" t="str">
        <f>IF(calc!$L266=1,calc!N266,"")</f>
        <v/>
      </c>
      <c r="M266" s="1" t="str">
        <f>IF(calc!$L266=1,calc!O266,"")</f>
        <v/>
      </c>
      <c r="N266" s="1" t="str">
        <f>IF(calc!$L266=1,calc!P266,"")</f>
        <v/>
      </c>
      <c r="O266">
        <f>'Entry data'!C$1</f>
        <v>20064</v>
      </c>
      <c r="P266" t="str">
        <f>'Entry data'!C$2</f>
        <v>NSH</v>
      </c>
      <c r="Q266" t="str">
        <f>'Entry data'!C$3</f>
        <v>Home</v>
      </c>
    </row>
    <row r="267" spans="1:17" x14ac:dyDescent="0.25">
      <c r="A267" s="1">
        <f>IF(calc!$L267=1,calc!B267,"")</f>
        <v>2</v>
      </c>
      <c r="B267" s="5">
        <f>IF(calc!$L267=1,calc!C267,"")</f>
        <v>0.23263888888888887</v>
      </c>
      <c r="C267" s="1" t="str">
        <f>IF(calc!$L267=1,calc!D267,"")</f>
        <v>C</v>
      </c>
      <c r="D267" s="1" t="str">
        <f>IF(calc!$L267=1,calc!E267,"")</f>
        <v>38NSH</v>
      </c>
      <c r="E267" s="1" t="str">
        <f>IF(calc!$L267=1,IF(EXACT(calc!$D267,"FAC"),"",calc!F267),"")</f>
        <v>2DET</v>
      </c>
      <c r="F267" s="1" t="str">
        <f>IF(calc!$L267=1,IF(EXACT(calc!$D267,"FAC"),"",calc!G267),"")</f>
        <v>Y</v>
      </c>
      <c r="G267" s="1" t="str">
        <f>IF(calc!$L267=1,IF(EXACT(calc!$D267,"FAC"),"",calc!H267),"")</f>
        <v>R</v>
      </c>
      <c r="H267" s="1" t="str">
        <f>IF(calc!$L267=1,IF(EXACT(calc!$D267,"FAC"),"",calc!I267),"")</f>
        <v>N</v>
      </c>
      <c r="I267" s="1">
        <f>IF(calc!$L267=1,calc!J267,"")</f>
        <v>4</v>
      </c>
      <c r="J267" s="1">
        <f>IF(calc!$L267=1,calc!K267,"")</f>
        <v>5</v>
      </c>
      <c r="K267" s="1" t="str">
        <f>IF(calc!$L267=1,calc!M267,"")</f>
        <v>38NSH</v>
      </c>
      <c r="L267" s="1">
        <f>IF(calc!$L267=1,calc!N267,"")</f>
        <v>2</v>
      </c>
      <c r="M267" s="1">
        <f>IF(calc!$L267=1,calc!O267,"")</f>
        <v>1</v>
      </c>
      <c r="N267" s="1" t="str">
        <f>IF(calc!$L267=1,calc!P267,"")</f>
        <v/>
      </c>
      <c r="O267">
        <f>'Entry data'!C$1</f>
        <v>20064</v>
      </c>
      <c r="P267" t="str">
        <f>'Entry data'!C$2</f>
        <v>NSH</v>
      </c>
      <c r="Q267" t="str">
        <f>'Entry data'!C$3</f>
        <v>Home</v>
      </c>
    </row>
    <row r="268" spans="1:17" x14ac:dyDescent="0.25">
      <c r="A268" s="1" t="str">
        <f>IF(calc!$L268=1,calc!B268,"")</f>
        <v/>
      </c>
      <c r="B268" s="5" t="str">
        <f>IF(calc!$L268=1,calc!C268,"")</f>
        <v/>
      </c>
      <c r="C268" s="1" t="str">
        <f>IF(calc!$L268=1,calc!D268,"")</f>
        <v/>
      </c>
      <c r="D268" s="1" t="str">
        <f>IF(calc!$L268=1,calc!E268,"")</f>
        <v/>
      </c>
      <c r="E268" s="1" t="str">
        <f>IF(calc!$L268=1,IF(EXACT(calc!$D268,"FAC"),"",calc!F268),"")</f>
        <v/>
      </c>
      <c r="F268" s="1" t="str">
        <f>IF(calc!$L268=1,IF(EXACT(calc!$D268,"FAC"),"",calc!G268),"")</f>
        <v/>
      </c>
      <c r="G268" s="1" t="str">
        <f>IF(calc!$L268=1,IF(EXACT(calc!$D268,"FAC"),"",calc!H268),"")</f>
        <v/>
      </c>
      <c r="H268" s="1" t="str">
        <f>IF(calc!$L268=1,IF(EXACT(calc!$D268,"FAC"),"",calc!I268),"")</f>
        <v/>
      </c>
      <c r="I268" s="1" t="str">
        <f>IF(calc!$L268=1,calc!J268,"")</f>
        <v/>
      </c>
      <c r="J268" s="1" t="str">
        <f>IF(calc!$L268=1,calc!K268,"")</f>
        <v/>
      </c>
      <c r="K268" s="1" t="str">
        <f>IF(calc!$L268=1,calc!M268,"")</f>
        <v/>
      </c>
      <c r="L268" s="1" t="str">
        <f>IF(calc!$L268=1,calc!N268,"")</f>
        <v/>
      </c>
      <c r="M268" s="1" t="str">
        <f>IF(calc!$L268=1,calc!O268,"")</f>
        <v/>
      </c>
      <c r="N268" s="1" t="str">
        <f>IF(calc!$L268=1,calc!P268,"")</f>
        <v/>
      </c>
      <c r="O268">
        <f>'Entry data'!C$1</f>
        <v>20064</v>
      </c>
      <c r="P268" t="str">
        <f>'Entry data'!C$2</f>
        <v>NSH</v>
      </c>
      <c r="Q268" t="str">
        <f>'Entry data'!C$3</f>
        <v>Home</v>
      </c>
    </row>
    <row r="269" spans="1:17" x14ac:dyDescent="0.25">
      <c r="A269" s="1" t="str">
        <f>IF(calc!$L269=1,calc!B269,"")</f>
        <v/>
      </c>
      <c r="B269" s="5" t="str">
        <f>IF(calc!$L269=1,calc!C269,"")</f>
        <v/>
      </c>
      <c r="C269" s="1" t="str">
        <f>IF(calc!$L269=1,calc!D269,"")</f>
        <v/>
      </c>
      <c r="D269" s="1" t="str">
        <f>IF(calc!$L269=1,calc!E269,"")</f>
        <v/>
      </c>
      <c r="E269" s="1" t="str">
        <f>IF(calc!$L269=1,IF(EXACT(calc!$D269,"FAC"),"",calc!F269),"")</f>
        <v/>
      </c>
      <c r="F269" s="1" t="str">
        <f>IF(calc!$L269=1,IF(EXACT(calc!$D269,"FAC"),"",calc!G269),"")</f>
        <v/>
      </c>
      <c r="G269" s="1" t="str">
        <f>IF(calc!$L269=1,IF(EXACT(calc!$D269,"FAC"),"",calc!H269),"")</f>
        <v/>
      </c>
      <c r="H269" s="1" t="str">
        <f>IF(calc!$L269=1,IF(EXACT(calc!$D269,"FAC"),"",calc!I269),"")</f>
        <v/>
      </c>
      <c r="I269" s="1" t="str">
        <f>IF(calc!$L269=1,calc!J269,"")</f>
        <v/>
      </c>
      <c r="J269" s="1" t="str">
        <f>IF(calc!$L269=1,calc!K269,"")</f>
        <v/>
      </c>
      <c r="K269" s="1" t="str">
        <f>IF(calc!$L269=1,calc!M269,"")</f>
        <v/>
      </c>
      <c r="L269" s="1" t="str">
        <f>IF(calc!$L269=1,calc!N269,"")</f>
        <v/>
      </c>
      <c r="M269" s="1" t="str">
        <f>IF(calc!$L269=1,calc!O269,"")</f>
        <v/>
      </c>
      <c r="N269" s="1" t="str">
        <f>IF(calc!$L269=1,calc!P269,"")</f>
        <v/>
      </c>
      <c r="O269">
        <f>'Entry data'!C$1</f>
        <v>20064</v>
      </c>
      <c r="P269" t="str">
        <f>'Entry data'!C$2</f>
        <v>NSH</v>
      </c>
      <c r="Q269" t="str">
        <f>'Entry data'!C$3</f>
        <v>Home</v>
      </c>
    </row>
    <row r="270" spans="1:17" x14ac:dyDescent="0.25">
      <c r="A270" s="1" t="str">
        <f>IF(calc!$L270=1,calc!B270,"")</f>
        <v/>
      </c>
      <c r="B270" s="5" t="str">
        <f>IF(calc!$L270=1,calc!C270,"")</f>
        <v/>
      </c>
      <c r="C270" s="1" t="str">
        <f>IF(calc!$L270=1,calc!D270,"")</f>
        <v/>
      </c>
      <c r="D270" s="1" t="str">
        <f>IF(calc!$L270=1,calc!E270,"")</f>
        <v/>
      </c>
      <c r="E270" s="1" t="str">
        <f>IF(calc!$L270=1,IF(EXACT(calc!$D270,"FAC"),"",calc!F270),"")</f>
        <v/>
      </c>
      <c r="F270" s="1" t="str">
        <f>IF(calc!$L270=1,IF(EXACT(calc!$D270,"FAC"),"",calc!G270),"")</f>
        <v/>
      </c>
      <c r="G270" s="1" t="str">
        <f>IF(calc!$L270=1,IF(EXACT(calc!$D270,"FAC"),"",calc!H270),"")</f>
        <v/>
      </c>
      <c r="H270" s="1" t="str">
        <f>IF(calc!$L270=1,IF(EXACT(calc!$D270,"FAC"),"",calc!I270),"")</f>
        <v/>
      </c>
      <c r="I270" s="1" t="str">
        <f>IF(calc!$L270=1,calc!J270,"")</f>
        <v/>
      </c>
      <c r="J270" s="1" t="str">
        <f>IF(calc!$L270=1,calc!K270,"")</f>
        <v/>
      </c>
      <c r="K270" s="1" t="str">
        <f>IF(calc!$L270=1,calc!M270,"")</f>
        <v/>
      </c>
      <c r="L270" s="1" t="str">
        <f>IF(calc!$L270=1,calc!N270,"")</f>
        <v/>
      </c>
      <c r="M270" s="1" t="str">
        <f>IF(calc!$L270=1,calc!O270,"")</f>
        <v/>
      </c>
      <c r="N270" s="1" t="str">
        <f>IF(calc!$L270=1,calc!P270,"")</f>
        <v/>
      </c>
      <c r="O270">
        <f>'Entry data'!C$1</f>
        <v>20064</v>
      </c>
      <c r="P270" t="str">
        <f>'Entry data'!C$2</f>
        <v>NSH</v>
      </c>
      <c r="Q270" t="str">
        <f>'Entry data'!C$3</f>
        <v>Home</v>
      </c>
    </row>
    <row r="271" spans="1:17" x14ac:dyDescent="0.25">
      <c r="A271" s="1">
        <f>IF(calc!$L271=1,calc!B271,"")</f>
        <v>2</v>
      </c>
      <c r="B271" s="5">
        <f>IF(calc!$L271=1,calc!C271,"")</f>
        <v>0.22500000000000001</v>
      </c>
      <c r="C271" s="1" t="str">
        <f>IF(calc!$L271=1,calc!D271,"")</f>
        <v>D</v>
      </c>
      <c r="D271" s="1" t="str">
        <f>IF(calc!$L271=1,calc!E271,"")</f>
        <v>14DET</v>
      </c>
      <c r="E271" s="1" t="str">
        <f>IF(calc!$L271=1,IF(EXACT(calc!$D271,"FAC"),"",calc!F271),"")</f>
        <v>4NSH</v>
      </c>
      <c r="F271" s="1" t="str">
        <f>IF(calc!$L271=1,IF(EXACT(calc!$D271,"FAC"),"",calc!G271),"")</f>
        <v/>
      </c>
      <c r="G271" s="1" t="str">
        <f>IF(calc!$L271=1,IF(EXACT(calc!$D271,"FAC"),"",calc!H271),"")</f>
        <v>R</v>
      </c>
      <c r="H271" s="1" t="str">
        <f>IF(calc!$L271=1,IF(EXACT(calc!$D271,"FAC"),"",calc!I271),"")</f>
        <v>N</v>
      </c>
      <c r="I271" s="1">
        <f>IF(calc!$L271=1,calc!J271,"")</f>
        <v>5</v>
      </c>
      <c r="J271" s="1">
        <f>IF(calc!$L271=1,calc!K271,"")</f>
        <v>5</v>
      </c>
      <c r="K271" s="1" t="str">
        <f>IF(calc!$L271=1,calc!M271,"")</f>
        <v/>
      </c>
      <c r="L271" s="1">
        <f>IF(calc!$L271=1,calc!N271,"")</f>
        <v>0</v>
      </c>
      <c r="M271" s="1">
        <f>IF(calc!$L271=1,calc!O271,"")</f>
        <v>0</v>
      </c>
      <c r="N271" s="1" t="str">
        <f>IF(calc!$L271=1,calc!P271,"")</f>
        <v/>
      </c>
      <c r="O271">
        <f>'Entry data'!C$1</f>
        <v>20064</v>
      </c>
      <c r="P271" t="str">
        <f>'Entry data'!C$2</f>
        <v>NSH</v>
      </c>
      <c r="Q271" t="str">
        <f>'Entry data'!C$3</f>
        <v>Home</v>
      </c>
    </row>
    <row r="272" spans="1:17" x14ac:dyDescent="0.25">
      <c r="A272" s="1">
        <f>IF(calc!$L272=1,calc!B272,"")</f>
        <v>2</v>
      </c>
      <c r="B272" s="5">
        <f>IF(calc!$L272=1,calc!C272,"")</f>
        <v>0.22013888888888888</v>
      </c>
      <c r="C272" s="1" t="str">
        <f>IF(calc!$L272=1,calc!D272,"")</f>
        <v>C</v>
      </c>
      <c r="D272" s="1" t="str">
        <f>IF(calc!$L272=1,calc!E272,"")</f>
        <v>14NSH</v>
      </c>
      <c r="E272" s="1" t="str">
        <f>IF(calc!$L272=1,IF(EXACT(calc!$D272,"FAC"),"",calc!F272),"")</f>
        <v>48DET</v>
      </c>
      <c r="F272" s="1" t="str">
        <f>IF(calc!$L272=1,IF(EXACT(calc!$D272,"FAC"),"",calc!G272),"")</f>
        <v>N</v>
      </c>
      <c r="G272" s="1" t="str">
        <f>IF(calc!$L272=1,IF(EXACT(calc!$D272,"FAC"),"",calc!H272),"")</f>
        <v>C</v>
      </c>
      <c r="H272" s="1" t="str">
        <f>IF(calc!$L272=1,IF(EXACT(calc!$D272,"FAC"),"",calc!I272),"")</f>
        <v>N</v>
      </c>
      <c r="I272" s="1">
        <f>IF(calc!$L272=1,calc!J272,"")</f>
        <v>5</v>
      </c>
      <c r="J272" s="1">
        <f>IF(calc!$L272=1,calc!K272,"")</f>
        <v>5</v>
      </c>
      <c r="K272" s="1" t="str">
        <f>IF(calc!$L272=1,calc!M272,"")</f>
        <v>14NSH</v>
      </c>
      <c r="L272" s="1">
        <f>IF(calc!$L272=1,calc!N272,"")</f>
        <v>1</v>
      </c>
      <c r="M272" s="1">
        <f>IF(calc!$L272=1,calc!O272,"")</f>
        <v>0</v>
      </c>
      <c r="N272" s="1" t="str">
        <f>IF(calc!$L272=1,calc!P272,"")</f>
        <v/>
      </c>
      <c r="O272">
        <f>'Entry data'!C$1</f>
        <v>20064</v>
      </c>
      <c r="P272" t="str">
        <f>'Entry data'!C$2</f>
        <v>NSH</v>
      </c>
      <c r="Q272" t="str">
        <f>'Entry data'!C$3</f>
        <v>Home</v>
      </c>
    </row>
    <row r="273" spans="1:17" x14ac:dyDescent="0.25">
      <c r="A273" s="1" t="str">
        <f>IF(calc!$L273=1,calc!B273,"")</f>
        <v/>
      </c>
      <c r="B273" s="5" t="str">
        <f>IF(calc!$L273=1,calc!C273,"")</f>
        <v/>
      </c>
      <c r="C273" s="1" t="str">
        <f>IF(calc!$L273=1,calc!D273,"")</f>
        <v/>
      </c>
      <c r="D273" s="1" t="str">
        <f>IF(calc!$L273=1,calc!E273,"")</f>
        <v/>
      </c>
      <c r="E273" s="1" t="str">
        <f>IF(calc!$L273=1,IF(EXACT(calc!$D273,"FAC"),"",calc!F273),"")</f>
        <v/>
      </c>
      <c r="F273" s="1" t="str">
        <f>IF(calc!$L273=1,IF(EXACT(calc!$D273,"FAC"),"",calc!G273),"")</f>
        <v/>
      </c>
      <c r="G273" s="1" t="str">
        <f>IF(calc!$L273=1,IF(EXACT(calc!$D273,"FAC"),"",calc!H273),"")</f>
        <v/>
      </c>
      <c r="H273" s="1" t="str">
        <f>IF(calc!$L273=1,IF(EXACT(calc!$D273,"FAC"),"",calc!I273),"")</f>
        <v/>
      </c>
      <c r="I273" s="1" t="str">
        <f>IF(calc!$L273=1,calc!J273,"")</f>
        <v/>
      </c>
      <c r="J273" s="1" t="str">
        <f>IF(calc!$L273=1,calc!K273,"")</f>
        <v/>
      </c>
      <c r="K273" s="1" t="str">
        <f>IF(calc!$L273=1,calc!M273,"")</f>
        <v/>
      </c>
      <c r="L273" s="1" t="str">
        <f>IF(calc!$L273=1,calc!N273,"")</f>
        <v/>
      </c>
      <c r="M273" s="1" t="str">
        <f>IF(calc!$L273=1,calc!O273,"")</f>
        <v/>
      </c>
      <c r="N273" s="1" t="str">
        <f>IF(calc!$L273=1,calc!P273,"")</f>
        <v/>
      </c>
      <c r="O273">
        <f>'Entry data'!C$1</f>
        <v>20064</v>
      </c>
      <c r="P273" t="str">
        <f>'Entry data'!C$2</f>
        <v>NSH</v>
      </c>
      <c r="Q273" t="str">
        <f>'Entry data'!C$3</f>
        <v>Home</v>
      </c>
    </row>
    <row r="274" spans="1:17" x14ac:dyDescent="0.25">
      <c r="A274" s="1" t="str">
        <f>IF(calc!$L274=1,calc!B274,"")</f>
        <v/>
      </c>
      <c r="B274" s="5" t="str">
        <f>IF(calc!$L274=1,calc!C274,"")</f>
        <v/>
      </c>
      <c r="C274" s="1" t="str">
        <f>IF(calc!$L274=1,calc!D274,"")</f>
        <v/>
      </c>
      <c r="D274" s="1" t="str">
        <f>IF(calc!$L274=1,calc!E274,"")</f>
        <v/>
      </c>
      <c r="E274" s="1" t="str">
        <f>IF(calc!$L274=1,IF(EXACT(calc!$D274,"FAC"),"",calc!F274),"")</f>
        <v/>
      </c>
      <c r="F274" s="1" t="str">
        <f>IF(calc!$L274=1,IF(EXACT(calc!$D274,"FAC"),"",calc!G274),"")</f>
        <v/>
      </c>
      <c r="G274" s="1" t="str">
        <f>IF(calc!$L274=1,IF(EXACT(calc!$D274,"FAC"),"",calc!H274),"")</f>
        <v/>
      </c>
      <c r="H274" s="1" t="str">
        <f>IF(calc!$L274=1,IF(EXACT(calc!$D274,"FAC"),"",calc!I274),"")</f>
        <v/>
      </c>
      <c r="I274" s="1" t="str">
        <f>IF(calc!$L274=1,calc!J274,"")</f>
        <v/>
      </c>
      <c r="J274" s="1" t="str">
        <f>IF(calc!$L274=1,calc!K274,"")</f>
        <v/>
      </c>
      <c r="K274" s="1" t="str">
        <f>IF(calc!$L274=1,calc!M274,"")</f>
        <v/>
      </c>
      <c r="L274" s="1" t="str">
        <f>IF(calc!$L274=1,calc!N274,"")</f>
        <v/>
      </c>
      <c r="M274" s="1" t="str">
        <f>IF(calc!$L274=1,calc!O274,"")</f>
        <v/>
      </c>
      <c r="N274" s="1" t="str">
        <f>IF(calc!$L274=1,calc!P274,"")</f>
        <v/>
      </c>
      <c r="O274">
        <f>'Entry data'!C$1</f>
        <v>20064</v>
      </c>
      <c r="P274" t="str">
        <f>'Entry data'!C$2</f>
        <v>NSH</v>
      </c>
      <c r="Q274" t="str">
        <f>'Entry data'!C$3</f>
        <v>Home</v>
      </c>
    </row>
    <row r="275" spans="1:17" x14ac:dyDescent="0.25">
      <c r="A275" s="1">
        <f>IF(calc!$L275=1,calc!B275,"")</f>
        <v>2</v>
      </c>
      <c r="B275" s="5">
        <f>IF(calc!$L275=1,calc!C275,"")</f>
        <v>0.20902777777777778</v>
      </c>
      <c r="C275" s="1" t="str">
        <f>IF(calc!$L275=1,calc!D275,"")</f>
        <v>C</v>
      </c>
      <c r="D275" s="1" t="str">
        <f>IF(calc!$L275=1,calc!E275,"")</f>
        <v>43DET</v>
      </c>
      <c r="E275" s="1" t="str">
        <f>IF(calc!$L275=1,IF(EXACT(calc!$D275,"FAC"),"",calc!F275),"")</f>
        <v>14NSH</v>
      </c>
      <c r="F275" s="1" t="str">
        <f>IF(calc!$L275=1,IF(EXACT(calc!$D275,"FAC"),"",calc!G275),"")</f>
        <v>N</v>
      </c>
      <c r="G275" s="1" t="str">
        <f>IF(calc!$L275=1,IF(EXACT(calc!$D275,"FAC"),"",calc!H275),"")</f>
        <v>R</v>
      </c>
      <c r="H275" s="1" t="str">
        <f>IF(calc!$L275=1,IF(EXACT(calc!$D275,"FAC"),"",calc!I275),"")</f>
        <v>N</v>
      </c>
      <c r="I275" s="1">
        <f>IF(calc!$L275=1,calc!J275,"")</f>
        <v>5</v>
      </c>
      <c r="J275" s="1">
        <f>IF(calc!$L275=1,calc!K275,"")</f>
        <v>5</v>
      </c>
      <c r="K275" s="1" t="str">
        <f>IF(calc!$L275=1,calc!M275,"")</f>
        <v>43DET</v>
      </c>
      <c r="L275" s="1">
        <f>IF(calc!$L275=1,calc!N275,"")</f>
        <v>0</v>
      </c>
      <c r="M275" s="1">
        <f>IF(calc!$L275=1,calc!O275,"")</f>
        <v>0</v>
      </c>
      <c r="N275" s="1" t="str">
        <f>IF(calc!$L275=1,calc!P275,"")</f>
        <v/>
      </c>
      <c r="O275">
        <f>'Entry data'!C$1</f>
        <v>20064</v>
      </c>
      <c r="P275" t="str">
        <f>'Entry data'!C$2</f>
        <v>NSH</v>
      </c>
      <c r="Q275" t="str">
        <f>'Entry data'!C$3</f>
        <v>Home</v>
      </c>
    </row>
    <row r="276" spans="1:17" x14ac:dyDescent="0.25">
      <c r="A276" s="1">
        <f>IF(calc!$L276=1,calc!B276,"")</f>
        <v>2</v>
      </c>
      <c r="B276" s="5">
        <f>IF(calc!$L276=1,calc!C276,"")</f>
        <v>0.19027777777777777</v>
      </c>
      <c r="C276" s="1" t="str">
        <f>IF(calc!$L276=1,calc!D276,"")</f>
        <v>D</v>
      </c>
      <c r="D276" s="1" t="str">
        <f>IF(calc!$L276=1,calc!E276,"")</f>
        <v>56NSH</v>
      </c>
      <c r="E276" s="1" t="str">
        <f>IF(calc!$L276=1,IF(EXACT(calc!$D276,"FAC"),"",calc!F276),"")</f>
        <v>25DET</v>
      </c>
      <c r="F276" s="1" t="str">
        <f>IF(calc!$L276=1,IF(EXACT(calc!$D276,"FAC"),"",calc!G276),"")</f>
        <v/>
      </c>
      <c r="G276" s="1" t="str">
        <f>IF(calc!$L276=1,IF(EXACT(calc!$D276,"FAC"),"",calc!H276),"")</f>
        <v>R</v>
      </c>
      <c r="H276" s="1" t="str">
        <f>IF(calc!$L276=1,IF(EXACT(calc!$D276,"FAC"),"",calc!I276),"")</f>
        <v>19NSH</v>
      </c>
      <c r="I276" s="1">
        <f>IF(calc!$L276=1,calc!J276,"")</f>
        <v>5</v>
      </c>
      <c r="J276" s="1">
        <f>IF(calc!$L276=1,calc!K276,"")</f>
        <v>5</v>
      </c>
      <c r="K276" s="1" t="str">
        <f>IF(calc!$L276=1,calc!M276,"")</f>
        <v/>
      </c>
      <c r="L276" s="1">
        <f>IF(calc!$L276=1,calc!N276,"")</f>
        <v>0</v>
      </c>
      <c r="M276" s="1">
        <f>IF(calc!$L276=1,calc!O276,"")</f>
        <v>0</v>
      </c>
      <c r="N276" s="1" t="str">
        <f>IF(calc!$L276=1,calc!P276,"")</f>
        <v/>
      </c>
      <c r="O276">
        <f>'Entry data'!C$1</f>
        <v>20064</v>
      </c>
      <c r="P276" t="str">
        <f>'Entry data'!C$2</f>
        <v>NSH</v>
      </c>
      <c r="Q276" t="str">
        <f>'Entry data'!C$3</f>
        <v>Home</v>
      </c>
    </row>
    <row r="277" spans="1:17" x14ac:dyDescent="0.25">
      <c r="A277" s="1">
        <f>IF(calc!$L277=1,calc!B277,"")</f>
        <v>2</v>
      </c>
      <c r="B277" s="5">
        <f>IF(calc!$L277=1,calc!C277,"")</f>
        <v>0.18263888888888891</v>
      </c>
      <c r="C277" s="1" t="str">
        <f>IF(calc!$L277=1,calc!D277,"")</f>
        <v>C</v>
      </c>
      <c r="D277" s="1" t="str">
        <f>IF(calc!$L277=1,calc!E277,"")</f>
        <v>25DET</v>
      </c>
      <c r="E277" s="1" t="str">
        <f>IF(calc!$L277=1,IF(EXACT(calc!$D277,"FAC"),"",calc!F277),"")</f>
        <v>14NSH</v>
      </c>
      <c r="F277" s="1" t="str">
        <f>IF(calc!$L277=1,IF(EXACT(calc!$D277,"FAC"),"",calc!G277),"")</f>
        <v>Y</v>
      </c>
      <c r="G277" s="1" t="str">
        <f>IF(calc!$L277=1,IF(EXACT(calc!$D277,"FAC"),"",calc!H277),"")</f>
        <v>R</v>
      </c>
      <c r="H277" s="1" t="str">
        <f>IF(calc!$L277=1,IF(EXACT(calc!$D277,"FAC"),"",calc!I277),"")</f>
        <v>N</v>
      </c>
      <c r="I277" s="1">
        <f>IF(calc!$L277=1,calc!J277,"")</f>
        <v>5</v>
      </c>
      <c r="J277" s="1">
        <f>IF(calc!$L277=1,calc!K277,"")</f>
        <v>5</v>
      </c>
      <c r="K277" s="1" t="str">
        <f>IF(calc!$L277=1,calc!M277,"")</f>
        <v>25DET</v>
      </c>
      <c r="L277" s="1">
        <f>IF(calc!$L277=1,calc!N277,"")</f>
        <v>0</v>
      </c>
      <c r="M277" s="1">
        <f>IF(calc!$L277=1,calc!O277,"")</f>
        <v>0</v>
      </c>
      <c r="N277" s="1" t="str">
        <f>IF(calc!$L277=1,calc!P277,"")</f>
        <v/>
      </c>
      <c r="O277">
        <f>'Entry data'!C$1</f>
        <v>20064</v>
      </c>
      <c r="P277" t="str">
        <f>'Entry data'!C$2</f>
        <v>NSH</v>
      </c>
      <c r="Q277" t="str">
        <f>'Entry data'!C$3</f>
        <v>Home</v>
      </c>
    </row>
    <row r="278" spans="1:17" x14ac:dyDescent="0.25">
      <c r="A278" s="1" t="str">
        <f>IF(calc!$L278=1,calc!B278,"")</f>
        <v/>
      </c>
      <c r="B278" s="5" t="str">
        <f>IF(calc!$L278=1,calc!C278,"")</f>
        <v/>
      </c>
      <c r="C278" s="1" t="str">
        <f>IF(calc!$L278=1,calc!D278,"")</f>
        <v/>
      </c>
      <c r="D278" s="1" t="str">
        <f>IF(calc!$L278=1,calc!E278,"")</f>
        <v/>
      </c>
      <c r="E278" s="1" t="str">
        <f>IF(calc!$L278=1,IF(EXACT(calc!$D278,"FAC"),"",calc!F278),"")</f>
        <v/>
      </c>
      <c r="F278" s="1" t="str">
        <f>IF(calc!$L278=1,IF(EXACT(calc!$D278,"FAC"),"",calc!G278),"")</f>
        <v/>
      </c>
      <c r="G278" s="1" t="str">
        <f>IF(calc!$L278=1,IF(EXACT(calc!$D278,"FAC"),"",calc!H278),"")</f>
        <v/>
      </c>
      <c r="H278" s="1" t="str">
        <f>IF(calc!$L278=1,IF(EXACT(calc!$D278,"FAC"),"",calc!I278),"")</f>
        <v/>
      </c>
      <c r="I278" s="1" t="str">
        <f>IF(calc!$L278=1,calc!J278,"")</f>
        <v/>
      </c>
      <c r="J278" s="1" t="str">
        <f>IF(calc!$L278=1,calc!K278,"")</f>
        <v/>
      </c>
      <c r="K278" s="1" t="str">
        <f>IF(calc!$L278=1,calc!M278,"")</f>
        <v/>
      </c>
      <c r="L278" s="1" t="str">
        <f>IF(calc!$L278=1,calc!N278,"")</f>
        <v/>
      </c>
      <c r="M278" s="1" t="str">
        <f>IF(calc!$L278=1,calc!O278,"")</f>
        <v/>
      </c>
      <c r="N278" s="1" t="str">
        <f>IF(calc!$L278=1,calc!P278,"")</f>
        <v/>
      </c>
      <c r="O278">
        <f>'Entry data'!C$1</f>
        <v>20064</v>
      </c>
      <c r="P278" t="str">
        <f>'Entry data'!C$2</f>
        <v>NSH</v>
      </c>
      <c r="Q278" t="str">
        <f>'Entry data'!C$3</f>
        <v>Home</v>
      </c>
    </row>
    <row r="279" spans="1:17" x14ac:dyDescent="0.25">
      <c r="A279" s="1">
        <f>IF(calc!$L279=1,calc!B279,"")</f>
        <v>2</v>
      </c>
      <c r="B279" s="5">
        <f>IF(calc!$L279=1,calc!C279,"")</f>
        <v>0.17777777777777781</v>
      </c>
      <c r="C279" s="1" t="str">
        <f>IF(calc!$L279=1,calc!D279,"")</f>
        <v>FAC</v>
      </c>
      <c r="D279" s="1" t="str">
        <f>IF(calc!$L279=1,calc!E279,"")</f>
        <v>OZF</v>
      </c>
      <c r="E279" s="1" t="str">
        <f>IF(calc!$L279=1,IF(EXACT(calc!$D279,"FAC"),"",calc!F279),"")</f>
        <v/>
      </c>
      <c r="F279" s="1" t="str">
        <f>IF(calc!$L279=1,IF(EXACT(calc!$D279,"FAC"),"",calc!G279),"")</f>
        <v/>
      </c>
      <c r="G279" s="1" t="str">
        <f>IF(calc!$L279=1,IF(EXACT(calc!$D279,"FAC"),"",calc!H279),"")</f>
        <v/>
      </c>
      <c r="H279" s="1" t="str">
        <f>IF(calc!$L279=1,IF(EXACT(calc!$D279,"FAC"),"",calc!I279),"")</f>
        <v/>
      </c>
      <c r="I279" s="1">
        <f>IF(calc!$L279=1,calc!J279,"")</f>
        <v>5</v>
      </c>
      <c r="J279" s="1">
        <f>IF(calc!$L279=1,calc!K279,"")</f>
        <v>5</v>
      </c>
      <c r="K279" s="1" t="str">
        <f>IF(calc!$L279=1,calc!M279,"")</f>
        <v/>
      </c>
      <c r="L279" s="1">
        <f>IF(calc!$L279=1,calc!N279,"")</f>
        <v>0</v>
      </c>
      <c r="M279" s="1">
        <f>IF(calc!$L279=1,calc!O279,"")</f>
        <v>0</v>
      </c>
      <c r="N279" s="1" t="str">
        <f>IF(calc!$L279=1,calc!P279,"")</f>
        <v/>
      </c>
      <c r="O279">
        <f>'Entry data'!C$1</f>
        <v>20064</v>
      </c>
      <c r="P279" t="str">
        <f>'Entry data'!C$2</f>
        <v>NSH</v>
      </c>
      <c r="Q279" t="str">
        <f>'Entry data'!C$3</f>
        <v>Home</v>
      </c>
    </row>
    <row r="280" spans="1:17" x14ac:dyDescent="0.25">
      <c r="A280" s="1" t="str">
        <f>IF(calc!$L280=1,calc!B280,"")</f>
        <v/>
      </c>
      <c r="B280" s="5" t="str">
        <f>IF(calc!$L280=1,calc!C280,"")</f>
        <v/>
      </c>
      <c r="C280" s="1" t="str">
        <f>IF(calc!$L280=1,calc!D280,"")</f>
        <v/>
      </c>
      <c r="D280" s="1" t="str">
        <f>IF(calc!$L280=1,calc!E280,"")</f>
        <v/>
      </c>
      <c r="E280" s="1" t="str">
        <f>IF(calc!$L280=1,IF(EXACT(calc!$D280,"FAC"),"",calc!F280),"")</f>
        <v/>
      </c>
      <c r="F280" s="1" t="str">
        <f>IF(calc!$L280=1,IF(EXACT(calc!$D280,"FAC"),"",calc!G280),"")</f>
        <v/>
      </c>
      <c r="G280" s="1" t="str">
        <f>IF(calc!$L280=1,IF(EXACT(calc!$D280,"FAC"),"",calc!H280),"")</f>
        <v/>
      </c>
      <c r="H280" s="1" t="str">
        <f>IF(calc!$L280=1,IF(EXACT(calc!$D280,"FAC"),"",calc!I280),"")</f>
        <v/>
      </c>
      <c r="I280" s="1" t="str">
        <f>IF(calc!$L280=1,calc!J280,"")</f>
        <v/>
      </c>
      <c r="J280" s="1" t="str">
        <f>IF(calc!$L280=1,calc!K280,"")</f>
        <v/>
      </c>
      <c r="K280" s="1" t="str">
        <f>IF(calc!$L280=1,calc!M280,"")</f>
        <v/>
      </c>
      <c r="L280" s="1" t="str">
        <f>IF(calc!$L280=1,calc!N280,"")</f>
        <v/>
      </c>
      <c r="M280" s="1" t="str">
        <f>IF(calc!$L280=1,calc!O280,"")</f>
        <v/>
      </c>
      <c r="N280" s="1" t="str">
        <f>IF(calc!$L280=1,calc!P280,"")</f>
        <v/>
      </c>
      <c r="O280">
        <f>'Entry data'!C$1</f>
        <v>20064</v>
      </c>
      <c r="P280" t="str">
        <f>'Entry data'!C$2</f>
        <v>NSH</v>
      </c>
      <c r="Q280" t="str">
        <f>'Entry data'!C$3</f>
        <v>Home</v>
      </c>
    </row>
    <row r="281" spans="1:17" x14ac:dyDescent="0.25">
      <c r="A281" s="1">
        <f>IF(calc!$L281=1,calc!B281,"")</f>
        <v>2</v>
      </c>
      <c r="B281" s="5">
        <f>IF(calc!$L281=1,calc!C281,"")</f>
        <v>0.16319444444444445</v>
      </c>
      <c r="C281" s="1" t="str">
        <f>IF(calc!$L281=1,calc!D281,"")</f>
        <v>C</v>
      </c>
      <c r="D281" s="1" t="str">
        <f>IF(calc!$L281=1,calc!E281,"")</f>
        <v>21DET</v>
      </c>
      <c r="E281" s="1" t="str">
        <f>IF(calc!$L281=1,IF(EXACT(calc!$D281,"FAC"),"",calc!F281),"")</f>
        <v>59NSH</v>
      </c>
      <c r="F281" s="1" t="str">
        <f>IF(calc!$L281=1,IF(EXACT(calc!$D281,"FAC"),"",calc!G281),"")</f>
        <v>Y</v>
      </c>
      <c r="G281" s="1" t="str">
        <f>IF(calc!$L281=1,IF(EXACT(calc!$D281,"FAC"),"",calc!H281),"")</f>
        <v>C</v>
      </c>
      <c r="H281" s="1" t="str">
        <f>IF(calc!$L281=1,IF(EXACT(calc!$D281,"FAC"),"",calc!I281),"")</f>
        <v>N</v>
      </c>
      <c r="I281" s="1">
        <f>IF(calc!$L281=1,calc!J281,"")</f>
        <v>6</v>
      </c>
      <c r="J281" s="1">
        <f>IF(calc!$L281=1,calc!K281,"")</f>
        <v>5</v>
      </c>
      <c r="K281" s="1" t="str">
        <f>IF(calc!$L281=1,calc!M281,"")</f>
        <v>21DET</v>
      </c>
      <c r="L281" s="1">
        <f>IF(calc!$L281=1,calc!N281,"")</f>
        <v>0</v>
      </c>
      <c r="M281" s="1">
        <f>IF(calc!$L281=1,calc!O281,"")</f>
        <v>0</v>
      </c>
      <c r="N281" s="1" t="str">
        <f>IF(calc!$L281=1,calc!P281,"")</f>
        <v/>
      </c>
      <c r="O281">
        <f>'Entry data'!C$1</f>
        <v>20064</v>
      </c>
      <c r="P281" t="str">
        <f>'Entry data'!C$2</f>
        <v>NSH</v>
      </c>
      <c r="Q281" t="str">
        <f>'Entry data'!C$3</f>
        <v>Home</v>
      </c>
    </row>
    <row r="282" spans="1:17" x14ac:dyDescent="0.25">
      <c r="A282" s="1" t="str">
        <f>IF(calc!$L282=1,calc!B282,"")</f>
        <v/>
      </c>
      <c r="B282" s="5" t="str">
        <f>IF(calc!$L282=1,calc!C282,"")</f>
        <v/>
      </c>
      <c r="C282" s="1" t="str">
        <f>IF(calc!$L282=1,calc!D282,"")</f>
        <v/>
      </c>
      <c r="D282" s="1" t="str">
        <f>IF(calc!$L282=1,calc!E282,"")</f>
        <v/>
      </c>
      <c r="E282" s="1" t="str">
        <f>IF(calc!$L282=1,IF(EXACT(calc!$D282,"FAC"),"",calc!F282),"")</f>
        <v/>
      </c>
      <c r="F282" s="1" t="str">
        <f>IF(calc!$L282=1,IF(EXACT(calc!$D282,"FAC"),"",calc!G282),"")</f>
        <v/>
      </c>
      <c r="G282" s="1" t="str">
        <f>IF(calc!$L282=1,IF(EXACT(calc!$D282,"FAC"),"",calc!H282),"")</f>
        <v/>
      </c>
      <c r="H282" s="1" t="str">
        <f>IF(calc!$L282=1,IF(EXACT(calc!$D282,"FAC"),"",calc!I282),"")</f>
        <v/>
      </c>
      <c r="I282" s="1" t="str">
        <f>IF(calc!$L282=1,calc!J282,"")</f>
        <v/>
      </c>
      <c r="J282" s="1" t="str">
        <f>IF(calc!$L282=1,calc!K282,"")</f>
        <v/>
      </c>
      <c r="K282" s="1" t="str">
        <f>IF(calc!$L282=1,calc!M282,"")</f>
        <v/>
      </c>
      <c r="L282" s="1" t="str">
        <f>IF(calc!$L282=1,calc!N282,"")</f>
        <v/>
      </c>
      <c r="M282" s="1" t="str">
        <f>IF(calc!$L282=1,calc!O282,"")</f>
        <v/>
      </c>
      <c r="N282" s="1" t="str">
        <f>IF(calc!$L282=1,calc!P282,"")</f>
        <v/>
      </c>
      <c r="O282">
        <f>'Entry data'!C$1</f>
        <v>20064</v>
      </c>
      <c r="P282" t="str">
        <f>'Entry data'!C$2</f>
        <v>NSH</v>
      </c>
      <c r="Q282" t="str">
        <f>'Entry data'!C$3</f>
        <v>Home</v>
      </c>
    </row>
    <row r="283" spans="1:17" x14ac:dyDescent="0.25">
      <c r="A283" s="1">
        <f>IF(calc!$L283=1,calc!B283,"")</f>
        <v>2</v>
      </c>
      <c r="B283" s="5">
        <f>IF(calc!$L283=1,calc!C283,"")</f>
        <v>0.15972222222222221</v>
      </c>
      <c r="C283" s="1" t="str">
        <f>IF(calc!$L283=1,calc!D283,"")</f>
        <v>FAC</v>
      </c>
      <c r="D283" s="1" t="str">
        <f>IF(calc!$L283=1,calc!E283,"")</f>
        <v>OZF</v>
      </c>
      <c r="E283" s="1" t="str">
        <f>IF(calc!$L283=1,IF(EXACT(calc!$D283,"FAC"),"",calc!F283),"")</f>
        <v/>
      </c>
      <c r="F283" s="1" t="str">
        <f>IF(calc!$L283=1,IF(EXACT(calc!$D283,"FAC"),"",calc!G283),"")</f>
        <v/>
      </c>
      <c r="G283" s="1" t="str">
        <f>IF(calc!$L283=1,IF(EXACT(calc!$D283,"FAC"),"",calc!H283),"")</f>
        <v/>
      </c>
      <c r="H283" s="1" t="str">
        <f>IF(calc!$L283=1,IF(EXACT(calc!$D283,"FAC"),"",calc!I283),"")</f>
        <v/>
      </c>
      <c r="I283" s="1">
        <f>IF(calc!$L283=1,calc!J283,"")</f>
        <v>5</v>
      </c>
      <c r="J283" s="1">
        <f>IF(calc!$L283=1,calc!K283,"")</f>
        <v>4</v>
      </c>
      <c r="K283" s="1" t="str">
        <f>IF(calc!$L283=1,calc!M283,"")</f>
        <v/>
      </c>
      <c r="L283" s="1">
        <f>IF(calc!$L283=1,calc!N283,"")</f>
        <v>0</v>
      </c>
      <c r="M283" s="1">
        <f>IF(calc!$L283=1,calc!O283,"")</f>
        <v>0</v>
      </c>
      <c r="N283" s="1" t="str">
        <f>IF(calc!$L283=1,calc!P283,"")</f>
        <v/>
      </c>
      <c r="O283">
        <f>'Entry data'!C$1</f>
        <v>20064</v>
      </c>
      <c r="P283" t="str">
        <f>'Entry data'!C$2</f>
        <v>NSH</v>
      </c>
      <c r="Q283" t="str">
        <f>'Entry data'!C$3</f>
        <v>Home</v>
      </c>
    </row>
    <row r="284" spans="1:17" x14ac:dyDescent="0.25">
      <c r="A284" s="1">
        <f>IF(calc!$L284=1,calc!B284,"")</f>
        <v>2</v>
      </c>
      <c r="B284" s="5">
        <f>IF(calc!$L284=1,calc!C284,"")</f>
        <v>0.13749999999999998</v>
      </c>
      <c r="C284" s="1" t="str">
        <f>IF(calc!$L284=1,calc!D284,"")</f>
        <v>C</v>
      </c>
      <c r="D284" s="1" t="str">
        <f>IF(calc!$L284=1,calc!E284,"")</f>
        <v>51DET</v>
      </c>
      <c r="E284" s="1" t="str">
        <f>IF(calc!$L284=1,IF(EXACT(calc!$D284,"FAC"),"",calc!F284),"")</f>
        <v>12NSH</v>
      </c>
      <c r="F284" s="1" t="str">
        <f>IF(calc!$L284=1,IF(EXACT(calc!$D284,"FAC"),"",calc!G284),"")</f>
        <v>Y</v>
      </c>
      <c r="G284" s="1" t="str">
        <f>IF(calc!$L284=1,IF(EXACT(calc!$D284,"FAC"),"",calc!H284),"")</f>
        <v>L</v>
      </c>
      <c r="H284" s="1" t="str">
        <f>IF(calc!$L284=1,IF(EXACT(calc!$D284,"FAC"),"",calc!I284),"")</f>
        <v>N</v>
      </c>
      <c r="I284" s="1">
        <f>IF(calc!$L284=1,calc!J284,"")</f>
        <v>5</v>
      </c>
      <c r="J284" s="1">
        <f>IF(calc!$L284=1,calc!K284,"")</f>
        <v>4</v>
      </c>
      <c r="K284" s="1" t="str">
        <f>IF(calc!$L284=1,calc!M284,"")</f>
        <v>51DET</v>
      </c>
      <c r="L284" s="1">
        <f>IF(calc!$L284=1,calc!N284,"")</f>
        <v>1</v>
      </c>
      <c r="M284" s="1">
        <f>IF(calc!$L284=1,calc!O284,"")</f>
        <v>0</v>
      </c>
      <c r="N284" s="1" t="str">
        <f>IF(calc!$L284=1,calc!P284,"")</f>
        <v/>
      </c>
      <c r="O284">
        <f>'Entry data'!C$1</f>
        <v>20064</v>
      </c>
      <c r="P284" t="str">
        <f>'Entry data'!C$2</f>
        <v>NSH</v>
      </c>
      <c r="Q284" t="str">
        <f>'Entry data'!C$3</f>
        <v>Home</v>
      </c>
    </row>
    <row r="285" spans="1:17" x14ac:dyDescent="0.25">
      <c r="A285" s="1" t="str">
        <f>IF(calc!$L285=1,calc!B285,"")</f>
        <v/>
      </c>
      <c r="B285" s="5" t="str">
        <f>IF(calc!$L285=1,calc!C285,"")</f>
        <v/>
      </c>
      <c r="C285" s="1" t="str">
        <f>IF(calc!$L285=1,calc!D285,"")</f>
        <v/>
      </c>
      <c r="D285" s="1" t="str">
        <f>IF(calc!$L285=1,calc!E285,"")</f>
        <v/>
      </c>
      <c r="E285" s="1" t="str">
        <f>IF(calc!$L285=1,IF(EXACT(calc!$D285,"FAC"),"",calc!F285),"")</f>
        <v/>
      </c>
      <c r="F285" s="1" t="str">
        <f>IF(calc!$L285=1,IF(EXACT(calc!$D285,"FAC"),"",calc!G285),"")</f>
        <v/>
      </c>
      <c r="G285" s="1" t="str">
        <f>IF(calc!$L285=1,IF(EXACT(calc!$D285,"FAC"),"",calc!H285),"")</f>
        <v/>
      </c>
      <c r="H285" s="1" t="str">
        <f>IF(calc!$L285=1,IF(EXACT(calc!$D285,"FAC"),"",calc!I285),"")</f>
        <v/>
      </c>
      <c r="I285" s="1" t="str">
        <f>IF(calc!$L285=1,calc!J285,"")</f>
        <v/>
      </c>
      <c r="J285" s="1" t="str">
        <f>IF(calc!$L285=1,calc!K285,"")</f>
        <v/>
      </c>
      <c r="K285" s="1" t="str">
        <f>IF(calc!$L285=1,calc!M285,"")</f>
        <v/>
      </c>
      <c r="L285" s="1" t="str">
        <f>IF(calc!$L285=1,calc!N285,"")</f>
        <v/>
      </c>
      <c r="M285" s="1" t="str">
        <f>IF(calc!$L285=1,calc!O285,"")</f>
        <v/>
      </c>
      <c r="N285" s="1" t="str">
        <f>IF(calc!$L285=1,calc!P285,"")</f>
        <v/>
      </c>
      <c r="O285">
        <f>'Entry data'!C$1</f>
        <v>20064</v>
      </c>
      <c r="P285" t="str">
        <f>'Entry data'!C$2</f>
        <v>NSH</v>
      </c>
      <c r="Q285" t="str">
        <f>'Entry data'!C$3</f>
        <v>Home</v>
      </c>
    </row>
    <row r="286" spans="1:17" x14ac:dyDescent="0.25">
      <c r="A286" s="1" t="str">
        <f>IF(calc!$L286=1,calc!B286,"")</f>
        <v/>
      </c>
      <c r="B286" s="5" t="str">
        <f>IF(calc!$L286=1,calc!C286,"")</f>
        <v/>
      </c>
      <c r="C286" s="1" t="str">
        <f>IF(calc!$L286=1,calc!D286,"")</f>
        <v/>
      </c>
      <c r="D286" s="1" t="str">
        <f>IF(calc!$L286=1,calc!E286,"")</f>
        <v/>
      </c>
      <c r="E286" s="1" t="str">
        <f>IF(calc!$L286=1,IF(EXACT(calc!$D286,"FAC"),"",calc!F286),"")</f>
        <v/>
      </c>
      <c r="F286" s="1" t="str">
        <f>IF(calc!$L286=1,IF(EXACT(calc!$D286,"FAC"),"",calc!G286),"")</f>
        <v/>
      </c>
      <c r="G286" s="1" t="str">
        <f>IF(calc!$L286=1,IF(EXACT(calc!$D286,"FAC"),"",calc!H286),"")</f>
        <v/>
      </c>
      <c r="H286" s="1" t="str">
        <f>IF(calc!$L286=1,IF(EXACT(calc!$D286,"FAC"),"",calc!I286),"")</f>
        <v/>
      </c>
      <c r="I286" s="1" t="str">
        <f>IF(calc!$L286=1,calc!J286,"")</f>
        <v/>
      </c>
      <c r="J286" s="1" t="str">
        <f>IF(calc!$L286=1,calc!K286,"")</f>
        <v/>
      </c>
      <c r="K286" s="1" t="str">
        <f>IF(calc!$L286=1,calc!M286,"")</f>
        <v/>
      </c>
      <c r="L286" s="1" t="str">
        <f>IF(calc!$L286=1,calc!N286,"")</f>
        <v/>
      </c>
      <c r="M286" s="1" t="str">
        <f>IF(calc!$L286=1,calc!O286,"")</f>
        <v/>
      </c>
      <c r="N286" s="1" t="str">
        <f>IF(calc!$L286=1,calc!P286,"")</f>
        <v/>
      </c>
      <c r="O286">
        <f>'Entry data'!C$1</f>
        <v>20064</v>
      </c>
      <c r="P286" t="str">
        <f>'Entry data'!C$2</f>
        <v>NSH</v>
      </c>
      <c r="Q286" t="str">
        <f>'Entry data'!C$3</f>
        <v>Home</v>
      </c>
    </row>
    <row r="287" spans="1:17" x14ac:dyDescent="0.25">
      <c r="A287" s="1">
        <f>IF(calc!$L287=1,calc!B287,"")</f>
        <v>2</v>
      </c>
      <c r="B287" s="5">
        <f>IF(calc!$L287=1,calc!C287,"")</f>
        <v>0.13194444444444453</v>
      </c>
      <c r="C287" s="1" t="str">
        <f>IF(calc!$L287=1,calc!D287,"")</f>
        <v>FAC</v>
      </c>
      <c r="D287" s="1" t="str">
        <f>IF(calc!$L287=1,calc!E287,"")</f>
        <v>OZF</v>
      </c>
      <c r="E287" s="1" t="str">
        <f>IF(calc!$L287=1,IF(EXACT(calc!$D287,"FAC"),"",calc!F287),"")</f>
        <v/>
      </c>
      <c r="F287" s="1" t="str">
        <f>IF(calc!$L287=1,IF(EXACT(calc!$D287,"FAC"),"",calc!G287),"")</f>
        <v/>
      </c>
      <c r="G287" s="1" t="str">
        <f>IF(calc!$L287=1,IF(EXACT(calc!$D287,"FAC"),"",calc!H287),"")</f>
        <v/>
      </c>
      <c r="H287" s="1" t="str">
        <f>IF(calc!$L287=1,IF(EXACT(calc!$D287,"FAC"),"",calc!I287),"")</f>
        <v/>
      </c>
      <c r="I287" s="1">
        <f>IF(calc!$L287=1,calc!J287,"")</f>
        <v>5</v>
      </c>
      <c r="J287" s="1">
        <f>IF(calc!$L287=1,calc!K287,"")</f>
        <v>4</v>
      </c>
      <c r="K287" s="1" t="str">
        <f>IF(calc!$L287=1,calc!M287,"")</f>
        <v/>
      </c>
      <c r="L287" s="1">
        <f>IF(calc!$L287=1,calc!N287,"")</f>
        <v>0</v>
      </c>
      <c r="M287" s="1">
        <f>IF(calc!$L287=1,calc!O287,"")</f>
        <v>0</v>
      </c>
      <c r="N287" s="1" t="str">
        <f>IF(calc!$L287=1,calc!P287,"")</f>
        <v/>
      </c>
      <c r="O287">
        <f>'Entry data'!C$1</f>
        <v>20064</v>
      </c>
      <c r="P287" t="str">
        <f>'Entry data'!C$2</f>
        <v>NSH</v>
      </c>
      <c r="Q287" t="str">
        <f>'Entry data'!C$3</f>
        <v>Home</v>
      </c>
    </row>
    <row r="288" spans="1:17" x14ac:dyDescent="0.25">
      <c r="A288" s="1" t="str">
        <f>IF(calc!$L288=1,calc!B288,"")</f>
        <v/>
      </c>
      <c r="B288" s="5" t="str">
        <f>IF(calc!$L288=1,calc!C288,"")</f>
        <v/>
      </c>
      <c r="C288" s="1" t="str">
        <f>IF(calc!$L288=1,calc!D288,"")</f>
        <v/>
      </c>
      <c r="D288" s="1" t="str">
        <f>IF(calc!$L288=1,calc!E288,"")</f>
        <v/>
      </c>
      <c r="E288" s="1" t="str">
        <f>IF(calc!$L288=1,IF(EXACT(calc!$D288,"FAC"),"",calc!F288),"")</f>
        <v/>
      </c>
      <c r="F288" s="1" t="str">
        <f>IF(calc!$L288=1,IF(EXACT(calc!$D288,"FAC"),"",calc!G288),"")</f>
        <v/>
      </c>
      <c r="G288" s="1" t="str">
        <f>IF(calc!$L288=1,IF(EXACT(calc!$D288,"FAC"),"",calc!H288),"")</f>
        <v/>
      </c>
      <c r="H288" s="1" t="str">
        <f>IF(calc!$L288=1,IF(EXACT(calc!$D288,"FAC"),"",calc!I288),"")</f>
        <v/>
      </c>
      <c r="I288" s="1" t="str">
        <f>IF(calc!$L288=1,calc!J288,"")</f>
        <v/>
      </c>
      <c r="J288" s="1" t="str">
        <f>IF(calc!$L288=1,calc!K288,"")</f>
        <v/>
      </c>
      <c r="K288" s="1" t="str">
        <f>IF(calc!$L288=1,calc!M288,"")</f>
        <v/>
      </c>
      <c r="L288" s="1" t="str">
        <f>IF(calc!$L288=1,calc!N288,"")</f>
        <v/>
      </c>
      <c r="M288" s="1" t="str">
        <f>IF(calc!$L288=1,calc!O288,"")</f>
        <v/>
      </c>
      <c r="N288" s="1" t="str">
        <f>IF(calc!$L288=1,calc!P288,"")</f>
        <v/>
      </c>
      <c r="O288">
        <f>'Entry data'!C$1</f>
        <v>20064</v>
      </c>
      <c r="P288" t="str">
        <f>'Entry data'!C$2</f>
        <v>NSH</v>
      </c>
      <c r="Q288" t="str">
        <f>'Entry data'!C$3</f>
        <v>Home</v>
      </c>
    </row>
    <row r="289" spans="1:17" x14ac:dyDescent="0.25">
      <c r="A289" s="1">
        <f>IF(calc!$L289=1,calc!B289,"")</f>
        <v>2</v>
      </c>
      <c r="B289" s="5">
        <f>IF(calc!$L289=1,calc!C289,"")</f>
        <v>0.1076388888888889</v>
      </c>
      <c r="C289" s="1" t="str">
        <f>IF(calc!$L289=1,calc!D289,"")</f>
        <v>C</v>
      </c>
      <c r="D289" s="1" t="str">
        <f>IF(calc!$L289=1,calc!E289,"")</f>
        <v>71DET</v>
      </c>
      <c r="E289" s="1" t="str">
        <f>IF(calc!$L289=1,IF(EXACT(calc!$D289,"FAC"),"",calc!F289),"")</f>
        <v>38NSH</v>
      </c>
      <c r="F289" s="1" t="str">
        <f>IF(calc!$L289=1,IF(EXACT(calc!$D289,"FAC"),"",calc!G289),"")</f>
        <v>N</v>
      </c>
      <c r="G289" s="1" t="str">
        <f>IF(calc!$L289=1,IF(EXACT(calc!$D289,"FAC"),"",calc!H289),"")</f>
        <v>R</v>
      </c>
      <c r="H289" s="1" t="str">
        <f>IF(calc!$L289=1,IF(EXACT(calc!$D289,"FAC"),"",calc!I289),"")</f>
        <v>N</v>
      </c>
      <c r="I289" s="1">
        <f>IF(calc!$L289=1,calc!J289,"")</f>
        <v>5</v>
      </c>
      <c r="J289" s="1">
        <f>IF(calc!$L289=1,calc!K289,"")</f>
        <v>4</v>
      </c>
      <c r="K289" s="1" t="str">
        <f>IF(calc!$L289=1,calc!M289,"")</f>
        <v>71DET</v>
      </c>
      <c r="L289" s="1">
        <f>IF(calc!$L289=1,calc!N289,"")</f>
        <v>0</v>
      </c>
      <c r="M289" s="1">
        <f>IF(calc!$L289=1,calc!O289,"")</f>
        <v>0</v>
      </c>
      <c r="N289" s="1" t="str">
        <f>IF(calc!$L289=1,calc!P289,"")</f>
        <v/>
      </c>
      <c r="O289">
        <f>'Entry data'!C$1</f>
        <v>20064</v>
      </c>
      <c r="P289" t="str">
        <f>'Entry data'!C$2</f>
        <v>NSH</v>
      </c>
      <c r="Q289" t="str">
        <f>'Entry data'!C$3</f>
        <v>Home</v>
      </c>
    </row>
    <row r="290" spans="1:17" x14ac:dyDescent="0.25">
      <c r="A290" s="1" t="str">
        <f>IF(calc!$L290=1,calc!B290,"")</f>
        <v/>
      </c>
      <c r="B290" s="5" t="str">
        <f>IF(calc!$L290=1,calc!C290,"")</f>
        <v/>
      </c>
      <c r="C290" s="1" t="str">
        <f>IF(calc!$L290=1,calc!D290,"")</f>
        <v/>
      </c>
      <c r="D290" s="1" t="str">
        <f>IF(calc!$L290=1,calc!E290,"")</f>
        <v/>
      </c>
      <c r="E290" s="1" t="str">
        <f>IF(calc!$L290=1,IF(EXACT(calc!$D290,"FAC"),"",calc!F290),"")</f>
        <v/>
      </c>
      <c r="F290" s="1" t="str">
        <f>IF(calc!$L290=1,IF(EXACT(calc!$D290,"FAC"),"",calc!G290),"")</f>
        <v/>
      </c>
      <c r="G290" s="1" t="str">
        <f>IF(calc!$L290=1,IF(EXACT(calc!$D290,"FAC"),"",calc!H290),"")</f>
        <v/>
      </c>
      <c r="H290" s="1" t="str">
        <f>IF(calc!$L290=1,IF(EXACT(calc!$D290,"FAC"),"",calc!I290),"")</f>
        <v/>
      </c>
      <c r="I290" s="1" t="str">
        <f>IF(calc!$L290=1,calc!J290,"")</f>
        <v/>
      </c>
      <c r="J290" s="1" t="str">
        <f>IF(calc!$L290=1,calc!K290,"")</f>
        <v/>
      </c>
      <c r="K290" s="1" t="str">
        <f>IF(calc!$L290=1,calc!M290,"")</f>
        <v/>
      </c>
      <c r="L290" s="1" t="str">
        <f>IF(calc!$L290=1,calc!N290,"")</f>
        <v/>
      </c>
      <c r="M290" s="1" t="str">
        <f>IF(calc!$L290=1,calc!O290,"")</f>
        <v/>
      </c>
      <c r="N290" s="1" t="str">
        <f>IF(calc!$L290=1,calc!P290,"")</f>
        <v/>
      </c>
      <c r="O290">
        <f>'Entry data'!C$1</f>
        <v>20064</v>
      </c>
      <c r="P290" t="str">
        <f>'Entry data'!C$2</f>
        <v>NSH</v>
      </c>
      <c r="Q290" t="str">
        <f>'Entry data'!C$3</f>
        <v>Home</v>
      </c>
    </row>
    <row r="291" spans="1:17" x14ac:dyDescent="0.25">
      <c r="A291" s="1">
        <f>IF(calc!$L291=1,calc!B291,"")</f>
        <v>2</v>
      </c>
      <c r="B291" s="5">
        <f>IF(calc!$L291=1,calc!C291,"")</f>
        <v>9.4444444444444442E-2</v>
      </c>
      <c r="C291" s="1" t="str">
        <f>IF(calc!$L291=1,calc!D291,"")</f>
        <v>C</v>
      </c>
      <c r="D291" s="1" t="str">
        <f>IF(calc!$L291=1,calc!E291,"")</f>
        <v>25DET</v>
      </c>
      <c r="E291" s="1" t="str">
        <f>IF(calc!$L291=1,IF(EXACT(calc!$D291,"FAC"),"",calc!F291),"")</f>
        <v>56NSH</v>
      </c>
      <c r="F291" s="1" t="str">
        <f>IF(calc!$L291=1,IF(EXACT(calc!$D291,"FAC"),"",calc!G291),"")</f>
        <v>Y</v>
      </c>
      <c r="G291" s="1" t="str">
        <f>IF(calc!$L291=1,IF(EXACT(calc!$D291,"FAC"),"",calc!H291),"")</f>
        <v>R</v>
      </c>
      <c r="H291" s="1" t="str">
        <f>IF(calc!$L291=1,IF(EXACT(calc!$D291,"FAC"),"",calc!I291),"")</f>
        <v>N</v>
      </c>
      <c r="I291" s="1">
        <f>IF(calc!$L291=1,calc!J291,"")</f>
        <v>5</v>
      </c>
      <c r="J291" s="1">
        <f>IF(calc!$L291=1,calc!K291,"")</f>
        <v>4</v>
      </c>
      <c r="K291" s="1" t="str">
        <f>IF(calc!$L291=1,calc!M291,"")</f>
        <v>25DET</v>
      </c>
      <c r="L291" s="1">
        <f>IF(calc!$L291=1,calc!N291,"")</f>
        <v>1</v>
      </c>
      <c r="M291" s="1">
        <f>IF(calc!$L291=1,calc!O291,"")</f>
        <v>0</v>
      </c>
      <c r="N291" s="1" t="str">
        <f>IF(calc!$L291=1,calc!P291,"")</f>
        <v/>
      </c>
      <c r="O291">
        <f>'Entry data'!C$1</f>
        <v>20064</v>
      </c>
      <c r="P291" t="str">
        <f>'Entry data'!C$2</f>
        <v>NSH</v>
      </c>
      <c r="Q291" t="str">
        <f>'Entry data'!C$3</f>
        <v>Home</v>
      </c>
    </row>
    <row r="292" spans="1:17" x14ac:dyDescent="0.25">
      <c r="A292" s="1" t="str">
        <f>IF(calc!$L292=1,calc!B292,"")</f>
        <v/>
      </c>
      <c r="B292" s="5" t="str">
        <f>IF(calc!$L292=1,calc!C292,"")</f>
        <v/>
      </c>
      <c r="C292" s="1" t="str">
        <f>IF(calc!$L292=1,calc!D292,"")</f>
        <v/>
      </c>
      <c r="D292" s="1" t="str">
        <f>IF(calc!$L292=1,calc!E292,"")</f>
        <v/>
      </c>
      <c r="E292" s="1" t="str">
        <f>IF(calc!$L292=1,IF(EXACT(calc!$D292,"FAC"),"",calc!F292),"")</f>
        <v/>
      </c>
      <c r="F292" s="1" t="str">
        <f>IF(calc!$L292=1,IF(EXACT(calc!$D292,"FAC"),"",calc!G292),"")</f>
        <v/>
      </c>
      <c r="G292" s="1" t="str">
        <f>IF(calc!$L292=1,IF(EXACT(calc!$D292,"FAC"),"",calc!H292),"")</f>
        <v/>
      </c>
      <c r="H292" s="1" t="str">
        <f>IF(calc!$L292=1,IF(EXACT(calc!$D292,"FAC"),"",calc!I292),"")</f>
        <v/>
      </c>
      <c r="I292" s="1" t="str">
        <f>IF(calc!$L292=1,calc!J292,"")</f>
        <v/>
      </c>
      <c r="J292" s="1" t="str">
        <f>IF(calc!$L292=1,calc!K292,"")</f>
        <v/>
      </c>
      <c r="K292" s="1" t="str">
        <f>IF(calc!$L292=1,calc!M292,"")</f>
        <v/>
      </c>
      <c r="L292" s="1" t="str">
        <f>IF(calc!$L292=1,calc!N292,"")</f>
        <v/>
      </c>
      <c r="M292" s="1" t="str">
        <f>IF(calc!$L292=1,calc!O292,"")</f>
        <v/>
      </c>
      <c r="N292" s="1" t="str">
        <f>IF(calc!$L292=1,calc!P292,"")</f>
        <v/>
      </c>
      <c r="O292">
        <f>'Entry data'!C$1</f>
        <v>20064</v>
      </c>
      <c r="P292" t="str">
        <f>'Entry data'!C$2</f>
        <v>NSH</v>
      </c>
      <c r="Q292" t="str">
        <f>'Entry data'!C$3</f>
        <v>Home</v>
      </c>
    </row>
    <row r="293" spans="1:17" x14ac:dyDescent="0.25">
      <c r="A293" s="1" t="str">
        <f>IF(calc!$L293=1,calc!B293,"")</f>
        <v/>
      </c>
      <c r="B293" s="5" t="str">
        <f>IF(calc!$L293=1,calc!C293,"")</f>
        <v/>
      </c>
      <c r="C293" s="1" t="str">
        <f>IF(calc!$L293=1,calc!D293,"")</f>
        <v/>
      </c>
      <c r="D293" s="1" t="str">
        <f>IF(calc!$L293=1,calc!E293,"")</f>
        <v/>
      </c>
      <c r="E293" s="1" t="str">
        <f>IF(calc!$L293=1,IF(EXACT(calc!$D293,"FAC"),"",calc!F293),"")</f>
        <v/>
      </c>
      <c r="F293" s="1" t="str">
        <f>IF(calc!$L293=1,IF(EXACT(calc!$D293,"FAC"),"",calc!G293),"")</f>
        <v/>
      </c>
      <c r="G293" s="1" t="str">
        <f>IF(calc!$L293=1,IF(EXACT(calc!$D293,"FAC"),"",calc!H293),"")</f>
        <v/>
      </c>
      <c r="H293" s="1" t="str">
        <f>IF(calc!$L293=1,IF(EXACT(calc!$D293,"FAC"),"",calc!I293),"")</f>
        <v/>
      </c>
      <c r="I293" s="1" t="str">
        <f>IF(calc!$L293=1,calc!J293,"")</f>
        <v/>
      </c>
      <c r="J293" s="1" t="str">
        <f>IF(calc!$L293=1,calc!K293,"")</f>
        <v/>
      </c>
      <c r="K293" s="1" t="str">
        <f>IF(calc!$L293=1,calc!M293,"")</f>
        <v/>
      </c>
      <c r="L293" s="1" t="str">
        <f>IF(calc!$L293=1,calc!N293,"")</f>
        <v/>
      </c>
      <c r="M293" s="1" t="str">
        <f>IF(calc!$L293=1,calc!O293,"")</f>
        <v/>
      </c>
      <c r="N293" s="1" t="str">
        <f>IF(calc!$L293=1,calc!P293,"")</f>
        <v/>
      </c>
      <c r="O293">
        <f>'Entry data'!C$1</f>
        <v>20064</v>
      </c>
      <c r="P293" t="str">
        <f>'Entry data'!C$2</f>
        <v>NSH</v>
      </c>
      <c r="Q293" t="str">
        <f>'Entry data'!C$3</f>
        <v>Home</v>
      </c>
    </row>
    <row r="294" spans="1:17" x14ac:dyDescent="0.25">
      <c r="A294" s="1">
        <f>IF(calc!$L294=1,calc!B294,"")</f>
        <v>2</v>
      </c>
      <c r="B294" s="5">
        <f>IF(calc!$L294=1,calc!C294,"")</f>
        <v>9.0972222222222232E-2</v>
      </c>
      <c r="C294" s="1" t="str">
        <f>IF(calc!$L294=1,calc!D294,"")</f>
        <v>FAC</v>
      </c>
      <c r="D294" s="1" t="str">
        <f>IF(calc!$L294=1,calc!E294,"")</f>
        <v>OZF</v>
      </c>
      <c r="E294" s="1" t="str">
        <f>IF(calc!$L294=1,IF(EXACT(calc!$D294,"FAC"),"",calc!F294),"")</f>
        <v/>
      </c>
      <c r="F294" s="1" t="str">
        <f>IF(calc!$L294=1,IF(EXACT(calc!$D294,"FAC"),"",calc!G294),"")</f>
        <v/>
      </c>
      <c r="G294" s="1" t="str">
        <f>IF(calc!$L294=1,IF(EXACT(calc!$D294,"FAC"),"",calc!H294),"")</f>
        <v/>
      </c>
      <c r="H294" s="1" t="str">
        <f>IF(calc!$L294=1,IF(EXACT(calc!$D294,"FAC"),"",calc!I294),"")</f>
        <v/>
      </c>
      <c r="I294" s="1">
        <f>IF(calc!$L294=1,calc!J294,"")</f>
        <v>5</v>
      </c>
      <c r="J294" s="1">
        <f>IF(calc!$L294=1,calc!K294,"")</f>
        <v>4</v>
      </c>
      <c r="K294" s="1" t="str">
        <f>IF(calc!$L294=1,calc!M294,"")</f>
        <v/>
      </c>
      <c r="L294" s="1">
        <f>IF(calc!$L294=1,calc!N294,"")</f>
        <v>0</v>
      </c>
      <c r="M294" s="1">
        <f>IF(calc!$L294=1,calc!O294,"")</f>
        <v>0</v>
      </c>
      <c r="N294" s="1" t="str">
        <f>IF(calc!$L294=1,calc!P294,"")</f>
        <v/>
      </c>
      <c r="O294">
        <f>'Entry data'!C$1</f>
        <v>20064</v>
      </c>
      <c r="P294" t="str">
        <f>'Entry data'!C$2</f>
        <v>NSH</v>
      </c>
      <c r="Q294" t="str">
        <f>'Entry data'!C$3</f>
        <v>Home</v>
      </c>
    </row>
    <row r="295" spans="1:17" x14ac:dyDescent="0.25">
      <c r="A295" s="1">
        <f>IF(calc!$L295=1,calc!B295,"")</f>
        <v>2</v>
      </c>
      <c r="B295" s="5">
        <f>IF(calc!$L295=1,calc!C295,"")</f>
        <v>7.9861111111111105E-2</v>
      </c>
      <c r="C295" s="1" t="str">
        <f>IF(calc!$L295=1,calc!D295,"")</f>
        <v>D</v>
      </c>
      <c r="D295" s="1" t="str">
        <f>IF(calc!$L295=1,calc!E295,"")</f>
        <v>40DET</v>
      </c>
      <c r="E295" s="1" t="str">
        <f>IF(calc!$L295=1,IF(EXACT(calc!$D295,"FAC"),"",calc!F295),"")</f>
        <v>12NSH</v>
      </c>
      <c r="F295" s="1" t="str">
        <f>IF(calc!$L295=1,IF(EXACT(calc!$D295,"FAC"),"",calc!G295),"")</f>
        <v/>
      </c>
      <c r="G295" s="1" t="str">
        <f>IF(calc!$L295=1,IF(EXACT(calc!$D295,"FAC"),"",calc!H295),"")</f>
        <v>C</v>
      </c>
      <c r="H295" s="1" t="str">
        <f>IF(calc!$L295=1,IF(EXACT(calc!$D295,"FAC"),"",calc!I295),"")</f>
        <v>N</v>
      </c>
      <c r="I295" s="1">
        <f>IF(calc!$L295=1,calc!J295,"")</f>
        <v>5</v>
      </c>
      <c r="J295" s="1">
        <f>IF(calc!$L295=1,calc!K295,"")</f>
        <v>4</v>
      </c>
      <c r="K295" s="1" t="str">
        <f>IF(calc!$L295=1,calc!M295,"")</f>
        <v/>
      </c>
      <c r="L295" s="1">
        <f>IF(calc!$L295=1,calc!N295,"")</f>
        <v>0</v>
      </c>
      <c r="M295" s="1">
        <f>IF(calc!$L295=1,calc!O295,"")</f>
        <v>0</v>
      </c>
      <c r="N295" s="1" t="str">
        <f>IF(calc!$L295=1,calc!P295,"")</f>
        <v/>
      </c>
      <c r="O295">
        <f>'Entry data'!C$1</f>
        <v>20064</v>
      </c>
      <c r="P295" t="str">
        <f>'Entry data'!C$2</f>
        <v>NSH</v>
      </c>
      <c r="Q295" t="str">
        <f>'Entry data'!C$3</f>
        <v>Home</v>
      </c>
    </row>
    <row r="296" spans="1:17" x14ac:dyDescent="0.25">
      <c r="A296" s="1">
        <f>IF(calc!$L296=1,calc!B296,"")</f>
        <v>2</v>
      </c>
      <c r="B296" s="5">
        <f>IF(calc!$L296=1,calc!C296,"")</f>
        <v>7.2222222222222229E-2</v>
      </c>
      <c r="C296" s="1" t="str">
        <f>IF(calc!$L296=1,calc!D296,"")</f>
        <v>D</v>
      </c>
      <c r="D296" s="1" t="str">
        <f>IF(calc!$L296=1,calc!E296,"")</f>
        <v>51DET</v>
      </c>
      <c r="E296" s="1" t="str">
        <f>IF(calc!$L296=1,IF(EXACT(calc!$D296,"FAC"),"",calc!F296),"")</f>
        <v>4NSH</v>
      </c>
      <c r="F296" s="1" t="str">
        <f>IF(calc!$L296=1,IF(EXACT(calc!$D296,"FAC"),"",calc!G296),"")</f>
        <v/>
      </c>
      <c r="G296" s="1" t="str">
        <f>IF(calc!$L296=1,IF(EXACT(calc!$D296,"FAC"),"",calc!H296),"")</f>
        <v>L</v>
      </c>
      <c r="H296" s="1" t="str">
        <f>IF(calc!$L296=1,IF(EXACT(calc!$D296,"FAC"),"",calc!I296),"")</f>
        <v>N</v>
      </c>
      <c r="I296" s="1">
        <f>IF(calc!$L296=1,calc!J296,"")</f>
        <v>5</v>
      </c>
      <c r="J296" s="1">
        <f>IF(calc!$L296=1,calc!K296,"")</f>
        <v>5</v>
      </c>
      <c r="K296" s="1" t="str">
        <f>IF(calc!$L296=1,calc!M296,"")</f>
        <v/>
      </c>
      <c r="L296" s="1">
        <f>IF(calc!$L296=1,calc!N296,"")</f>
        <v>0</v>
      </c>
      <c r="M296" s="1">
        <f>IF(calc!$L296=1,calc!O296,"")</f>
        <v>0</v>
      </c>
      <c r="N296" s="1" t="str">
        <f>IF(calc!$L296=1,calc!P296,"")</f>
        <v/>
      </c>
      <c r="O296">
        <f>'Entry data'!C$1</f>
        <v>20064</v>
      </c>
      <c r="P296" t="str">
        <f>'Entry data'!C$2</f>
        <v>NSH</v>
      </c>
      <c r="Q296" t="str">
        <f>'Entry data'!C$3</f>
        <v>Home</v>
      </c>
    </row>
    <row r="297" spans="1:17" x14ac:dyDescent="0.25">
      <c r="A297" s="1" t="str">
        <f>IF(calc!$L297=1,calc!B297,"")</f>
        <v/>
      </c>
      <c r="B297" s="5" t="str">
        <f>IF(calc!$L297=1,calc!C297,"")</f>
        <v/>
      </c>
      <c r="C297" s="1" t="str">
        <f>IF(calc!$L297=1,calc!D297,"")</f>
        <v/>
      </c>
      <c r="D297" s="1" t="str">
        <f>IF(calc!$L297=1,calc!E297,"")</f>
        <v/>
      </c>
      <c r="E297" s="1" t="str">
        <f>IF(calc!$L297=1,IF(EXACT(calc!$D297,"FAC"),"",calc!F297),"")</f>
        <v/>
      </c>
      <c r="F297" s="1" t="str">
        <f>IF(calc!$L297=1,IF(EXACT(calc!$D297,"FAC"),"",calc!G297),"")</f>
        <v/>
      </c>
      <c r="G297" s="1" t="str">
        <f>IF(calc!$L297=1,IF(EXACT(calc!$D297,"FAC"),"",calc!H297),"")</f>
        <v/>
      </c>
      <c r="H297" s="1" t="str">
        <f>IF(calc!$L297=1,IF(EXACT(calc!$D297,"FAC"),"",calc!I297),"")</f>
        <v/>
      </c>
      <c r="I297" s="1" t="str">
        <f>IF(calc!$L297=1,calc!J297,"")</f>
        <v/>
      </c>
      <c r="J297" s="1" t="str">
        <f>IF(calc!$L297=1,calc!K297,"")</f>
        <v/>
      </c>
      <c r="K297" s="1" t="str">
        <f>IF(calc!$L297=1,calc!M297,"")</f>
        <v/>
      </c>
      <c r="L297" s="1" t="str">
        <f>IF(calc!$L297=1,calc!N297,"")</f>
        <v/>
      </c>
      <c r="M297" s="1" t="str">
        <f>IF(calc!$L297=1,calc!O297,"")</f>
        <v/>
      </c>
      <c r="N297" s="1" t="str">
        <f>IF(calc!$L297=1,calc!P297,"")</f>
        <v/>
      </c>
      <c r="O297">
        <f>'Entry data'!C$1</f>
        <v>20064</v>
      </c>
      <c r="P297" t="str">
        <f>'Entry data'!C$2</f>
        <v>NSH</v>
      </c>
      <c r="Q297" t="str">
        <f>'Entry data'!C$3</f>
        <v>Home</v>
      </c>
    </row>
    <row r="298" spans="1:17" x14ac:dyDescent="0.25">
      <c r="A298" s="1" t="str">
        <f>IF(calc!$L298=1,calc!B298,"")</f>
        <v/>
      </c>
      <c r="B298" s="5" t="str">
        <f>IF(calc!$L298=1,calc!C298,"")</f>
        <v/>
      </c>
      <c r="C298" s="1" t="str">
        <f>IF(calc!$L298=1,calc!D298,"")</f>
        <v/>
      </c>
      <c r="D298" s="1" t="str">
        <f>IF(calc!$L298=1,calc!E298,"")</f>
        <v/>
      </c>
      <c r="E298" s="1" t="str">
        <f>IF(calc!$L298=1,IF(EXACT(calc!$D298,"FAC"),"",calc!F298),"")</f>
        <v/>
      </c>
      <c r="F298" s="1" t="str">
        <f>IF(calc!$L298=1,IF(EXACT(calc!$D298,"FAC"),"",calc!G298),"")</f>
        <v/>
      </c>
      <c r="G298" s="1" t="str">
        <f>IF(calc!$L298=1,IF(EXACT(calc!$D298,"FAC"),"",calc!H298),"")</f>
        <v/>
      </c>
      <c r="H298" s="1" t="str">
        <f>IF(calc!$L298=1,IF(EXACT(calc!$D298,"FAC"),"",calc!I298),"")</f>
        <v/>
      </c>
      <c r="I298" s="1" t="str">
        <f>IF(calc!$L298=1,calc!J298,"")</f>
        <v/>
      </c>
      <c r="J298" s="1" t="str">
        <f>IF(calc!$L298=1,calc!K298,"")</f>
        <v/>
      </c>
      <c r="K298" s="1" t="str">
        <f>IF(calc!$L298=1,calc!M298,"")</f>
        <v/>
      </c>
      <c r="L298" s="1" t="str">
        <f>IF(calc!$L298=1,calc!N298,"")</f>
        <v/>
      </c>
      <c r="M298" s="1" t="str">
        <f>IF(calc!$L298=1,calc!O298,"")</f>
        <v/>
      </c>
      <c r="N298" s="1" t="str">
        <f>IF(calc!$L298=1,calc!P298,"")</f>
        <v/>
      </c>
      <c r="O298">
        <f>'Entry data'!C$1</f>
        <v>20064</v>
      </c>
      <c r="P298" t="str">
        <f>'Entry data'!C$2</f>
        <v>NSH</v>
      </c>
      <c r="Q298" t="str">
        <f>'Entry data'!C$3</f>
        <v>Home</v>
      </c>
    </row>
    <row r="299" spans="1:17" x14ac:dyDescent="0.25">
      <c r="A299" s="1">
        <f>IF(calc!$L299=1,calc!B299,"")</f>
        <v>2</v>
      </c>
      <c r="B299" s="5">
        <f>IF(calc!$L299=1,calc!C299,"")</f>
        <v>5.6944444444444443E-2</v>
      </c>
      <c r="C299" s="1" t="str">
        <f>IF(calc!$L299=1,calc!D299,"")</f>
        <v>D</v>
      </c>
      <c r="D299" s="1" t="str">
        <f>IF(calc!$L299=1,calc!E299,"")</f>
        <v>43DET</v>
      </c>
      <c r="E299" s="1" t="str">
        <f>IF(calc!$L299=1,IF(EXACT(calc!$D299,"FAC"),"",calc!F299),"")</f>
        <v>76NSH</v>
      </c>
      <c r="F299" s="1" t="str">
        <f>IF(calc!$L299=1,IF(EXACT(calc!$D299,"FAC"),"",calc!G299),"")</f>
        <v/>
      </c>
      <c r="G299" s="1" t="str">
        <f>IF(calc!$L299=1,IF(EXACT(calc!$D299,"FAC"),"",calc!H299),"")</f>
        <v>L</v>
      </c>
      <c r="H299" s="1" t="str">
        <f>IF(calc!$L299=1,IF(EXACT(calc!$D299,"FAC"),"",calc!I299),"")</f>
        <v>N</v>
      </c>
      <c r="I299" s="1">
        <f>IF(calc!$L299=1,calc!J299,"")</f>
        <v>5</v>
      </c>
      <c r="J299" s="1">
        <f>IF(calc!$L299=1,calc!K299,"")</f>
        <v>5</v>
      </c>
      <c r="K299" s="1" t="str">
        <f>IF(calc!$L299=1,calc!M299,"")</f>
        <v/>
      </c>
      <c r="L299" s="1">
        <f>IF(calc!$L299=1,calc!N299,"")</f>
        <v>0</v>
      </c>
      <c r="M299" s="1">
        <f>IF(calc!$L299=1,calc!O299,"")</f>
        <v>0</v>
      </c>
      <c r="N299" s="1" t="str">
        <f>IF(calc!$L299=1,calc!P299,"")</f>
        <v/>
      </c>
      <c r="O299">
        <f>'Entry data'!C$1</f>
        <v>20064</v>
      </c>
      <c r="P299" t="str">
        <f>'Entry data'!C$2</f>
        <v>NSH</v>
      </c>
      <c r="Q299" t="str">
        <f>'Entry data'!C$3</f>
        <v>Home</v>
      </c>
    </row>
    <row r="300" spans="1:17" x14ac:dyDescent="0.25">
      <c r="A300" s="1">
        <f>IF(calc!$L300=1,calc!B300,"")</f>
        <v>2</v>
      </c>
      <c r="B300" s="5">
        <f>IF(calc!$L300=1,calc!C300,"")</f>
        <v>4.2361111111111106E-2</v>
      </c>
      <c r="C300" s="1" t="str">
        <f>IF(calc!$L300=1,calc!D300,"")</f>
        <v>D</v>
      </c>
      <c r="D300" s="1" t="str">
        <f>IF(calc!$L300=1,calc!E300,"")</f>
        <v>9NSH</v>
      </c>
      <c r="E300" s="1" t="str">
        <f>IF(calc!$L300=1,IF(EXACT(calc!$D300,"FAC"),"",calc!F300),"")</f>
        <v>N</v>
      </c>
      <c r="F300" s="1" t="str">
        <f>IF(calc!$L300=1,IF(EXACT(calc!$D300,"FAC"),"",calc!G300),"")</f>
        <v/>
      </c>
      <c r="G300" s="1" t="str">
        <f>IF(calc!$L300=1,IF(EXACT(calc!$D300,"FAC"),"",calc!H300),"")</f>
        <v>C</v>
      </c>
      <c r="H300" s="1" t="str">
        <f>IF(calc!$L300=1,IF(EXACT(calc!$D300,"FAC"),"",calc!I300),"")</f>
        <v>N</v>
      </c>
      <c r="I300" s="1">
        <f>IF(calc!$L300=1,calc!J300,"")</f>
        <v>5</v>
      </c>
      <c r="J300" s="1">
        <f>IF(calc!$L300=1,calc!K300,"")</f>
        <v>5</v>
      </c>
      <c r="K300" s="1" t="str">
        <f>IF(calc!$L300=1,calc!M300,"")</f>
        <v/>
      </c>
      <c r="L300" s="1">
        <f>IF(calc!$L300=1,calc!N300,"")</f>
        <v>0</v>
      </c>
      <c r="M300" s="1">
        <f>IF(calc!$L300=1,calc!O300,"")</f>
        <v>0</v>
      </c>
      <c r="N300" s="1" t="str">
        <f>IF(calc!$L300=1,calc!P300,"")</f>
        <v/>
      </c>
      <c r="O300">
        <f>'Entry data'!C$1</f>
        <v>20064</v>
      </c>
      <c r="P300" t="str">
        <f>'Entry data'!C$2</f>
        <v>NSH</v>
      </c>
      <c r="Q300" t="str">
        <f>'Entry data'!C$3</f>
        <v>Home</v>
      </c>
    </row>
    <row r="301" spans="1:17" x14ac:dyDescent="0.25">
      <c r="A301" s="1">
        <f>IF(calc!$L301=1,calc!B301,"")</f>
        <v>2</v>
      </c>
      <c r="B301" s="5">
        <f>IF(calc!$L301=1,calc!C301,"")</f>
        <v>3.4722222222222224E-2</v>
      </c>
      <c r="C301" s="1" t="str">
        <f>IF(calc!$L301=1,calc!D301,"")</f>
        <v>C</v>
      </c>
      <c r="D301" s="1" t="str">
        <f>IF(calc!$L301=1,calc!E301,"")</f>
        <v>41DET</v>
      </c>
      <c r="E301" s="1" t="str">
        <f>IF(calc!$L301=1,IF(EXACT(calc!$D301,"FAC"),"",calc!F301),"")</f>
        <v>59NSH</v>
      </c>
      <c r="F301" s="1" t="str">
        <f>IF(calc!$L301=1,IF(EXACT(calc!$D301,"FAC"),"",calc!G301),"")</f>
        <v>N</v>
      </c>
      <c r="G301" s="1" t="str">
        <f>IF(calc!$L301=1,IF(EXACT(calc!$D301,"FAC"),"",calc!H301),"")</f>
        <v>C</v>
      </c>
      <c r="H301" s="1" t="str">
        <f>IF(calc!$L301=1,IF(EXACT(calc!$D301,"FAC"),"",calc!I301),"")</f>
        <v>N</v>
      </c>
      <c r="I301" s="1">
        <f>IF(calc!$L301=1,calc!J301,"")</f>
        <v>5</v>
      </c>
      <c r="J301" s="1">
        <f>IF(calc!$L301=1,calc!K301,"")</f>
        <v>5</v>
      </c>
      <c r="K301" s="1" t="str">
        <f>IF(calc!$L301=1,calc!M301,"")</f>
        <v>41DET</v>
      </c>
      <c r="L301" s="1">
        <f>IF(calc!$L301=1,calc!N301,"")</f>
        <v>2</v>
      </c>
      <c r="M301" s="1">
        <f>IF(calc!$L301=1,calc!O301,"")</f>
        <v>1</v>
      </c>
      <c r="N301" s="1" t="str">
        <f>IF(calc!$L301=1,calc!P301,"")</f>
        <v/>
      </c>
      <c r="O301">
        <f>'Entry data'!C$1</f>
        <v>20064</v>
      </c>
      <c r="P301" t="str">
        <f>'Entry data'!C$2</f>
        <v>NSH</v>
      </c>
      <c r="Q301" t="str">
        <f>'Entry data'!C$3</f>
        <v>Home</v>
      </c>
    </row>
    <row r="302" spans="1:17" x14ac:dyDescent="0.25">
      <c r="A302" s="1" t="str">
        <f>IF(calc!$L302=1,calc!B302,"")</f>
        <v/>
      </c>
      <c r="B302" s="5" t="str">
        <f>IF(calc!$L302=1,calc!C302,"")</f>
        <v/>
      </c>
      <c r="C302" s="1" t="str">
        <f>IF(calc!$L302=1,calc!D302,"")</f>
        <v/>
      </c>
      <c r="D302" s="1" t="str">
        <f>IF(calc!$L302=1,calc!E302,"")</f>
        <v/>
      </c>
      <c r="E302" s="1" t="str">
        <f>IF(calc!$L302=1,IF(EXACT(calc!$D302,"FAC"),"",calc!F302),"")</f>
        <v/>
      </c>
      <c r="F302" s="1" t="str">
        <f>IF(calc!$L302=1,IF(EXACT(calc!$D302,"FAC"),"",calc!G302),"")</f>
        <v/>
      </c>
      <c r="G302" s="1" t="str">
        <f>IF(calc!$L302=1,IF(EXACT(calc!$D302,"FAC"),"",calc!H302),"")</f>
        <v/>
      </c>
      <c r="H302" s="1" t="str">
        <f>IF(calc!$L302=1,IF(EXACT(calc!$D302,"FAC"),"",calc!I302),"")</f>
        <v/>
      </c>
      <c r="I302" s="1" t="str">
        <f>IF(calc!$L302=1,calc!J302,"")</f>
        <v/>
      </c>
      <c r="J302" s="1" t="str">
        <f>IF(calc!$L302=1,calc!K302,"")</f>
        <v/>
      </c>
      <c r="K302" s="1" t="str">
        <f>IF(calc!$L302=1,calc!M302,"")</f>
        <v/>
      </c>
      <c r="L302" s="1" t="str">
        <f>IF(calc!$L302=1,calc!N302,"")</f>
        <v/>
      </c>
      <c r="M302" s="1" t="str">
        <f>IF(calc!$L302=1,calc!O302,"")</f>
        <v/>
      </c>
      <c r="N302" s="1" t="str">
        <f>IF(calc!$L302=1,calc!P302,"")</f>
        <v/>
      </c>
      <c r="O302">
        <f>'Entry data'!C$1</f>
        <v>20064</v>
      </c>
      <c r="P302" t="str">
        <f>'Entry data'!C$2</f>
        <v>NSH</v>
      </c>
      <c r="Q302" t="str">
        <f>'Entry data'!C$3</f>
        <v>Home</v>
      </c>
    </row>
    <row r="303" spans="1:17" x14ac:dyDescent="0.25">
      <c r="A303" s="1" t="str">
        <f>IF(calc!$L303=1,calc!B303,"")</f>
        <v/>
      </c>
      <c r="B303" s="5" t="str">
        <f>IF(calc!$L303=1,calc!C303,"")</f>
        <v/>
      </c>
      <c r="C303" s="1" t="str">
        <f>IF(calc!$L303=1,calc!D303,"")</f>
        <v/>
      </c>
      <c r="D303" s="1" t="str">
        <f>IF(calc!$L303=1,calc!E303,"")</f>
        <v/>
      </c>
      <c r="E303" s="1" t="str">
        <f>IF(calc!$L303=1,IF(EXACT(calc!$D303,"FAC"),"",calc!F303),"")</f>
        <v/>
      </c>
      <c r="F303" s="1" t="str">
        <f>IF(calc!$L303=1,IF(EXACT(calc!$D303,"FAC"),"",calc!G303),"")</f>
        <v/>
      </c>
      <c r="G303" s="1" t="str">
        <f>IF(calc!$L303=1,IF(EXACT(calc!$D303,"FAC"),"",calc!H303),"")</f>
        <v/>
      </c>
      <c r="H303" s="1" t="str">
        <f>IF(calc!$L303=1,IF(EXACT(calc!$D303,"FAC"),"",calc!I303),"")</f>
        <v/>
      </c>
      <c r="I303" s="1" t="str">
        <f>IF(calc!$L303=1,calc!J303,"")</f>
        <v/>
      </c>
      <c r="J303" s="1" t="str">
        <f>IF(calc!$L303=1,calc!K303,"")</f>
        <v/>
      </c>
      <c r="K303" s="1" t="str">
        <f>IF(calc!$L303=1,calc!M303,"")</f>
        <v/>
      </c>
      <c r="L303" s="1" t="str">
        <f>IF(calc!$L303=1,calc!N303,"")</f>
        <v/>
      </c>
      <c r="M303" s="1" t="str">
        <f>IF(calc!$L303=1,calc!O303,"")</f>
        <v/>
      </c>
      <c r="N303" s="1" t="str">
        <f>IF(calc!$L303=1,calc!P303,"")</f>
        <v/>
      </c>
      <c r="O303">
        <f>'Entry data'!C$1</f>
        <v>20064</v>
      </c>
      <c r="P303" t="str">
        <f>'Entry data'!C$2</f>
        <v>NSH</v>
      </c>
      <c r="Q303" t="str">
        <f>'Entry data'!C$3</f>
        <v>Home</v>
      </c>
    </row>
    <row r="304" spans="1:17" x14ac:dyDescent="0.25">
      <c r="A304" s="1" t="str">
        <f>IF(calc!$L304=1,calc!B304,"")</f>
        <v/>
      </c>
      <c r="B304" s="5" t="str">
        <f>IF(calc!$L304=1,calc!C304,"")</f>
        <v/>
      </c>
      <c r="C304" s="1" t="str">
        <f>IF(calc!$L304=1,calc!D304,"")</f>
        <v/>
      </c>
      <c r="D304" s="1" t="str">
        <f>IF(calc!$L304=1,calc!E304,"")</f>
        <v/>
      </c>
      <c r="E304" s="1" t="str">
        <f>IF(calc!$L304=1,IF(EXACT(calc!$D304,"FAC"),"",calc!F304),"")</f>
        <v/>
      </c>
      <c r="F304" s="1" t="str">
        <f>IF(calc!$L304=1,IF(EXACT(calc!$D304,"FAC"),"",calc!G304),"")</f>
        <v/>
      </c>
      <c r="G304" s="1" t="str">
        <f>IF(calc!$L304=1,IF(EXACT(calc!$D304,"FAC"),"",calc!H304),"")</f>
        <v/>
      </c>
      <c r="H304" s="1" t="str">
        <f>IF(calc!$L304=1,IF(EXACT(calc!$D304,"FAC"),"",calc!I304),"")</f>
        <v/>
      </c>
      <c r="I304" s="1" t="str">
        <f>IF(calc!$L304=1,calc!J304,"")</f>
        <v/>
      </c>
      <c r="J304" s="1" t="str">
        <f>IF(calc!$L304=1,calc!K304,"")</f>
        <v/>
      </c>
      <c r="K304" s="1" t="str">
        <f>IF(calc!$L304=1,calc!M304,"")</f>
        <v/>
      </c>
      <c r="L304" s="1" t="str">
        <f>IF(calc!$L304=1,calc!N304,"")</f>
        <v/>
      </c>
      <c r="M304" s="1" t="str">
        <f>IF(calc!$L304=1,calc!O304,"")</f>
        <v/>
      </c>
      <c r="N304" s="1" t="str">
        <f>IF(calc!$L304=1,calc!P304,"")</f>
        <v/>
      </c>
      <c r="O304">
        <f>'Entry data'!C$1</f>
        <v>20064</v>
      </c>
      <c r="P304" t="str">
        <f>'Entry data'!C$2</f>
        <v>NSH</v>
      </c>
      <c r="Q304" t="str">
        <f>'Entry data'!C$3</f>
        <v>Home</v>
      </c>
    </row>
    <row r="305" spans="1:17" x14ac:dyDescent="0.25">
      <c r="A305" s="1">
        <f>IF(calc!$L305=1,calc!B305,"")</f>
        <v>2</v>
      </c>
      <c r="B305" s="5">
        <f>IF(calc!$L305=1,calc!C305,"")</f>
        <v>1.9444444444444445E-2</v>
      </c>
      <c r="C305" s="1" t="str">
        <f>IF(calc!$L305=1,calc!D305,"")</f>
        <v>X</v>
      </c>
      <c r="D305" s="1" t="str">
        <f>IF(calc!$L305=1,calc!E305,"")</f>
        <v>DET</v>
      </c>
      <c r="E305" s="1" t="str">
        <f>IF(calc!$L305=1,IF(EXACT(calc!$D305,"FAC"),"",calc!F305),"")</f>
        <v/>
      </c>
      <c r="F305" s="1" t="str">
        <f>IF(calc!$L305=1,IF(EXACT(calc!$D305,"FAC"),"",calc!G305),"")</f>
        <v/>
      </c>
      <c r="G305" s="1" t="str">
        <f>IF(calc!$L305=1,IF(EXACT(calc!$D305,"FAC"),"",calc!H305),"")</f>
        <v/>
      </c>
      <c r="H305" s="1" t="str">
        <f>IF(calc!$L305=1,IF(EXACT(calc!$D305,"FAC"),"",calc!I305),"")</f>
        <v>N</v>
      </c>
      <c r="I305" s="1">
        <f>IF(calc!$L305=1,calc!J305,"")</f>
        <v>5</v>
      </c>
      <c r="J305" s="1">
        <f>IF(calc!$L305=1,calc!K305,"")</f>
        <v>5</v>
      </c>
      <c r="K305" s="1" t="str">
        <f>IF(calc!$L305=1,calc!M305,"")</f>
        <v/>
      </c>
      <c r="L305" s="1">
        <f>IF(calc!$L305=1,calc!N305,"")</f>
        <v>1</v>
      </c>
      <c r="M305" s="1">
        <f>IF(calc!$L305=1,calc!O305,"")</f>
        <v>0</v>
      </c>
      <c r="N305" s="1" t="str">
        <f>IF(calc!$L305=1,calc!P305,"")</f>
        <v/>
      </c>
      <c r="O305">
        <f>'Entry data'!C$1</f>
        <v>20064</v>
      </c>
      <c r="P305" t="str">
        <f>'Entry data'!C$2</f>
        <v>NSH</v>
      </c>
      <c r="Q305" t="str">
        <f>'Entry data'!C$3</f>
        <v>Home</v>
      </c>
    </row>
    <row r="306" spans="1:17" x14ac:dyDescent="0.25">
      <c r="A306" s="1" t="str">
        <f>IF(calc!$L306=1,calc!B306,"")</f>
        <v/>
      </c>
      <c r="B306" s="5" t="str">
        <f>IF(calc!$L306=1,calc!C306,"")</f>
        <v/>
      </c>
      <c r="C306" s="1" t="str">
        <f>IF(calc!$L306=1,calc!D306,"")</f>
        <v/>
      </c>
      <c r="D306" s="1" t="str">
        <f>IF(calc!$L306=1,calc!E306,"")</f>
        <v/>
      </c>
      <c r="E306" s="1" t="str">
        <f>IF(calc!$L306=1,IF(EXACT(calc!$D306,"FAC"),"",calc!F306),"")</f>
        <v/>
      </c>
      <c r="F306" s="1" t="str">
        <f>IF(calc!$L306=1,IF(EXACT(calc!$D306,"FAC"),"",calc!G306),"")</f>
        <v/>
      </c>
      <c r="G306" s="1" t="str">
        <f>IF(calc!$L306=1,IF(EXACT(calc!$D306,"FAC"),"",calc!H306),"")</f>
        <v/>
      </c>
      <c r="H306" s="1" t="str">
        <f>IF(calc!$L306=1,IF(EXACT(calc!$D306,"FAC"),"",calc!I306),"")</f>
        <v/>
      </c>
      <c r="I306" s="1" t="str">
        <f>IF(calc!$L306=1,calc!J306,"")</f>
        <v/>
      </c>
      <c r="J306" s="1" t="str">
        <f>IF(calc!$L306=1,calc!K306,"")</f>
        <v/>
      </c>
      <c r="K306" s="1" t="str">
        <f>IF(calc!$L306=1,calc!M306,"")</f>
        <v/>
      </c>
      <c r="L306" s="1" t="str">
        <f>IF(calc!$L306=1,calc!N306,"")</f>
        <v/>
      </c>
      <c r="M306" s="1" t="str">
        <f>IF(calc!$L306=1,calc!O306,"")</f>
        <v/>
      </c>
      <c r="N306" s="1" t="str">
        <f>IF(calc!$L306=1,calc!P306,"")</f>
        <v/>
      </c>
      <c r="O306">
        <f>'Entry data'!C$1</f>
        <v>20064</v>
      </c>
      <c r="P306" t="str">
        <f>'Entry data'!C$2</f>
        <v>NSH</v>
      </c>
      <c r="Q306" t="str">
        <f>'Entry data'!C$3</f>
        <v>Home</v>
      </c>
    </row>
    <row r="307" spans="1:17" x14ac:dyDescent="0.25">
      <c r="A307" s="1" t="str">
        <f>IF(calc!$L307=1,calc!B307,"")</f>
        <v/>
      </c>
      <c r="B307" s="5" t="str">
        <f>IF(calc!$L307=1,calc!C307,"")</f>
        <v/>
      </c>
      <c r="C307" s="1" t="str">
        <f>IF(calc!$L307=1,calc!D307,"")</f>
        <v/>
      </c>
      <c r="D307" s="1" t="str">
        <f>IF(calc!$L307=1,calc!E307,"")</f>
        <v/>
      </c>
      <c r="E307" s="1" t="str">
        <f>IF(calc!$L307=1,IF(EXACT(calc!$D307,"FAC"),"",calc!F307),"")</f>
        <v/>
      </c>
      <c r="F307" s="1" t="str">
        <f>IF(calc!$L307=1,IF(EXACT(calc!$D307,"FAC"),"",calc!G307),"")</f>
        <v/>
      </c>
      <c r="G307" s="1" t="str">
        <f>IF(calc!$L307=1,IF(EXACT(calc!$D307,"FAC"),"",calc!H307),"")</f>
        <v/>
      </c>
      <c r="H307" s="1" t="str">
        <f>IF(calc!$L307=1,IF(EXACT(calc!$D307,"FAC"),"",calc!I307),"")</f>
        <v/>
      </c>
      <c r="I307" s="1" t="str">
        <f>IF(calc!$L307=1,calc!J307,"")</f>
        <v/>
      </c>
      <c r="J307" s="1" t="str">
        <f>IF(calc!$L307=1,calc!K307,"")</f>
        <v/>
      </c>
      <c r="K307" s="1" t="str">
        <f>IF(calc!$L307=1,calc!M307,"")</f>
        <v/>
      </c>
      <c r="L307" s="1" t="str">
        <f>IF(calc!$L307=1,calc!N307,"")</f>
        <v/>
      </c>
      <c r="M307" s="1" t="str">
        <f>IF(calc!$L307=1,calc!O307,"")</f>
        <v/>
      </c>
      <c r="N307" s="1" t="str">
        <f>IF(calc!$L307=1,calc!P307,"")</f>
        <v/>
      </c>
      <c r="O307">
        <f>'Entry data'!C$1</f>
        <v>20064</v>
      </c>
      <c r="P307" t="str">
        <f>'Entry data'!C$2</f>
        <v>NSH</v>
      </c>
      <c r="Q307" t="str">
        <f>'Entry data'!C$3</f>
        <v>Home</v>
      </c>
    </row>
    <row r="308" spans="1:17" x14ac:dyDescent="0.25">
      <c r="A308" s="1" t="str">
        <f>IF(calc!$L308=1,calc!B308,"")</f>
        <v/>
      </c>
      <c r="B308" s="5" t="str">
        <f>IF(calc!$L308=1,calc!C308,"")</f>
        <v/>
      </c>
      <c r="C308" s="1" t="str">
        <f>IF(calc!$L308=1,calc!D308,"")</f>
        <v/>
      </c>
      <c r="D308" s="1" t="str">
        <f>IF(calc!$L308=1,calc!E308,"")</f>
        <v/>
      </c>
      <c r="E308" s="1" t="str">
        <f>IF(calc!$L308=1,IF(EXACT(calc!$D308,"FAC"),"",calc!F308),"")</f>
        <v/>
      </c>
      <c r="F308" s="1" t="str">
        <f>IF(calc!$L308=1,IF(EXACT(calc!$D308,"FAC"),"",calc!G308),"")</f>
        <v/>
      </c>
      <c r="G308" s="1" t="str">
        <f>IF(calc!$L308=1,IF(EXACT(calc!$D308,"FAC"),"",calc!H308),"")</f>
        <v/>
      </c>
      <c r="H308" s="1" t="str">
        <f>IF(calc!$L308=1,IF(EXACT(calc!$D308,"FAC"),"",calc!I308),"")</f>
        <v/>
      </c>
      <c r="I308" s="1" t="str">
        <f>IF(calc!$L308=1,calc!J308,"")</f>
        <v/>
      </c>
      <c r="J308" s="1" t="str">
        <f>IF(calc!$L308=1,calc!K308,"")</f>
        <v/>
      </c>
      <c r="K308" s="1" t="str">
        <f>IF(calc!$L308=1,calc!M308,"")</f>
        <v/>
      </c>
      <c r="L308" s="1" t="str">
        <f>IF(calc!$L308=1,calc!N308,"")</f>
        <v/>
      </c>
      <c r="M308" s="1" t="str">
        <f>IF(calc!$L308=1,calc!O308,"")</f>
        <v/>
      </c>
      <c r="N308" s="1" t="str">
        <f>IF(calc!$L308=1,calc!P308,"")</f>
        <v/>
      </c>
      <c r="O308">
        <f>'Entry data'!C$1</f>
        <v>20064</v>
      </c>
      <c r="P308" t="str">
        <f>'Entry data'!C$2</f>
        <v>NSH</v>
      </c>
      <c r="Q308" t="str">
        <f>'Entry data'!C$3</f>
        <v>Home</v>
      </c>
    </row>
    <row r="309" spans="1:17" x14ac:dyDescent="0.25">
      <c r="A309" s="1" t="str">
        <f>IF(calc!$L309=1,calc!B309,"")</f>
        <v/>
      </c>
      <c r="B309" s="5" t="str">
        <f>IF(calc!$L309=1,calc!C309,"")</f>
        <v/>
      </c>
      <c r="C309" s="1" t="str">
        <f>IF(calc!$L309=1,calc!D309,"")</f>
        <v/>
      </c>
      <c r="D309" s="1" t="str">
        <f>IF(calc!$L309=1,calc!E309,"")</f>
        <v/>
      </c>
      <c r="E309" s="1" t="str">
        <f>IF(calc!$L309=1,IF(EXACT(calc!$D309,"FAC"),"",calc!F309),"")</f>
        <v/>
      </c>
      <c r="F309" s="1" t="str">
        <f>IF(calc!$L309=1,IF(EXACT(calc!$D309,"FAC"),"",calc!G309),"")</f>
        <v/>
      </c>
      <c r="G309" s="1" t="str">
        <f>IF(calc!$L309=1,IF(EXACT(calc!$D309,"FAC"),"",calc!H309),"")</f>
        <v/>
      </c>
      <c r="H309" s="1" t="str">
        <f>IF(calc!$L309=1,IF(EXACT(calc!$D309,"FAC"),"",calc!I309),"")</f>
        <v/>
      </c>
      <c r="I309" s="1" t="str">
        <f>IF(calc!$L309=1,calc!J309,"")</f>
        <v/>
      </c>
      <c r="J309" s="1" t="str">
        <f>IF(calc!$L309=1,calc!K309,"")</f>
        <v/>
      </c>
      <c r="K309" s="1" t="str">
        <f>IF(calc!$L309=1,calc!M309,"")</f>
        <v/>
      </c>
      <c r="L309" s="1" t="str">
        <f>IF(calc!$L309=1,calc!N309,"")</f>
        <v/>
      </c>
      <c r="M309" s="1" t="str">
        <f>IF(calc!$L309=1,calc!O309,"")</f>
        <v/>
      </c>
      <c r="N309" s="1" t="str">
        <f>IF(calc!$L309=1,calc!P309,"")</f>
        <v/>
      </c>
      <c r="O309">
        <f>'Entry data'!C$1</f>
        <v>20064</v>
      </c>
      <c r="P309" t="str">
        <f>'Entry data'!C$2</f>
        <v>NSH</v>
      </c>
      <c r="Q309" t="str">
        <f>'Entry data'!C$3</f>
        <v>Home</v>
      </c>
    </row>
    <row r="310" spans="1:17" x14ac:dyDescent="0.25">
      <c r="A310" s="1">
        <f>IF(calc!$L310=1,calc!B310,"")</f>
        <v>3</v>
      </c>
      <c r="B310" s="5">
        <f>IF(calc!$L310=1,calc!C310,"")</f>
        <v>0.82430555555555562</v>
      </c>
      <c r="C310" s="1" t="str">
        <f>IF(calc!$L310=1,calc!D310,"")</f>
        <v>D</v>
      </c>
      <c r="D310" s="1" t="str">
        <f>IF(calc!$L310=1,calc!E310,"")</f>
        <v>71DET</v>
      </c>
      <c r="E310" s="1" t="str">
        <f>IF(calc!$L310=1,IF(EXACT(calc!$D310,"FAC"),"",calc!F310),"")</f>
        <v>14NSH</v>
      </c>
      <c r="F310" s="1" t="str">
        <f>IF(calc!$L310=1,IF(EXACT(calc!$D310,"FAC"),"",calc!G310),"")</f>
        <v/>
      </c>
      <c r="G310" s="1" t="str">
        <f>IF(calc!$L310=1,IF(EXACT(calc!$D310,"FAC"),"",calc!H310),"")</f>
        <v>R</v>
      </c>
      <c r="H310" s="1" t="str">
        <f>IF(calc!$L310=1,IF(EXACT(calc!$D310,"FAC"),"",calc!I310),"")</f>
        <v>71DET</v>
      </c>
      <c r="I310" s="1">
        <f>IF(calc!$L310=1,calc!J310,"")</f>
        <v>5</v>
      </c>
      <c r="J310" s="1">
        <f>IF(calc!$L310=1,calc!K310,"")</f>
        <v>5</v>
      </c>
      <c r="K310" s="1" t="str">
        <f>IF(calc!$L310=1,calc!M310,"")</f>
        <v/>
      </c>
      <c r="L310" s="1">
        <f>IF(calc!$L310=1,calc!N310,"")</f>
        <v>1</v>
      </c>
      <c r="M310" s="1">
        <f>IF(calc!$L310=1,calc!O310,"")</f>
        <v>0</v>
      </c>
      <c r="N310" s="1" t="str">
        <f>IF(calc!$L310=1,calc!P310,"")</f>
        <v/>
      </c>
      <c r="O310">
        <f>'Entry data'!C$1</f>
        <v>20064</v>
      </c>
      <c r="P310" t="str">
        <f>'Entry data'!C$2</f>
        <v>NSH</v>
      </c>
      <c r="Q310" t="str">
        <f>'Entry data'!C$3</f>
        <v>Home</v>
      </c>
    </row>
    <row r="311" spans="1:17" x14ac:dyDescent="0.25">
      <c r="A311" s="1" t="str">
        <f>IF(calc!$L311=1,calc!B311,"")</f>
        <v/>
      </c>
      <c r="B311" s="5" t="str">
        <f>IF(calc!$L311=1,calc!C311,"")</f>
        <v/>
      </c>
      <c r="C311" s="1" t="str">
        <f>IF(calc!$L311=1,calc!D311,"")</f>
        <v/>
      </c>
      <c r="D311" s="1" t="str">
        <f>IF(calc!$L311=1,calc!E311,"")</f>
        <v/>
      </c>
      <c r="E311" s="1" t="str">
        <f>IF(calc!$L311=1,IF(EXACT(calc!$D311,"FAC"),"",calc!F311),"")</f>
        <v/>
      </c>
      <c r="F311" s="1" t="str">
        <f>IF(calc!$L311=1,IF(EXACT(calc!$D311,"FAC"),"",calc!G311),"")</f>
        <v/>
      </c>
      <c r="G311" s="1" t="str">
        <f>IF(calc!$L311=1,IF(EXACT(calc!$D311,"FAC"),"",calc!H311),"")</f>
        <v/>
      </c>
      <c r="H311" s="1" t="str">
        <f>IF(calc!$L311=1,IF(EXACT(calc!$D311,"FAC"),"",calc!I311),"")</f>
        <v/>
      </c>
      <c r="I311" s="1" t="str">
        <f>IF(calc!$L311=1,calc!J311,"")</f>
        <v/>
      </c>
      <c r="J311" s="1" t="str">
        <f>IF(calc!$L311=1,calc!K311,"")</f>
        <v/>
      </c>
      <c r="K311" s="1" t="str">
        <f>IF(calc!$L311=1,calc!M311,"")</f>
        <v/>
      </c>
      <c r="L311" s="1" t="str">
        <f>IF(calc!$L311=1,calc!N311,"")</f>
        <v/>
      </c>
      <c r="M311" s="1" t="str">
        <f>IF(calc!$L311=1,calc!O311,"")</f>
        <v/>
      </c>
      <c r="N311" s="1" t="str">
        <f>IF(calc!$L311=1,calc!P311,"")</f>
        <v/>
      </c>
      <c r="O311">
        <f>'Entry data'!C$1</f>
        <v>20064</v>
      </c>
      <c r="P311" t="str">
        <f>'Entry data'!C$2</f>
        <v>NSH</v>
      </c>
      <c r="Q311" t="str">
        <f>'Entry data'!C$3</f>
        <v>Home</v>
      </c>
    </row>
    <row r="312" spans="1:17" x14ac:dyDescent="0.25">
      <c r="A312" s="1">
        <f>IF(calc!$L312=1,calc!B312,"")</f>
        <v>3</v>
      </c>
      <c r="B312" s="5">
        <f>IF(calc!$L312=1,calc!C312,"")</f>
        <v>0.79513888888888884</v>
      </c>
      <c r="C312" s="1" t="str">
        <f>IF(calc!$L312=1,calc!D312,"")</f>
        <v>C</v>
      </c>
      <c r="D312" s="1" t="str">
        <f>IF(calc!$L312=1,calc!E312,"")</f>
        <v>40DET</v>
      </c>
      <c r="E312" s="1" t="str">
        <f>IF(calc!$L312=1,IF(EXACT(calc!$D312,"FAC"),"",calc!F312),"")</f>
        <v>2ON1</v>
      </c>
      <c r="F312" s="1" t="str">
        <f>IF(calc!$L312=1,IF(EXACT(calc!$D312,"FAC"),"",calc!G312),"")</f>
        <v>Y</v>
      </c>
      <c r="G312" s="1" t="str">
        <f>IF(calc!$L312=1,IF(EXACT(calc!$D312,"FAC"),"",calc!H312),"")</f>
        <v>R</v>
      </c>
      <c r="H312" s="1" t="str">
        <f>IF(calc!$L312=1,IF(EXACT(calc!$D312,"FAC"),"",calc!I312),"")</f>
        <v>N</v>
      </c>
      <c r="I312" s="1">
        <f>IF(calc!$L312=1,calc!J312,"")</f>
        <v>5</v>
      </c>
      <c r="J312" s="1">
        <f>IF(calc!$L312=1,calc!K312,"")</f>
        <v>5</v>
      </c>
      <c r="K312" s="1" t="str">
        <f>IF(calc!$L312=1,calc!M312,"")</f>
        <v>40DET</v>
      </c>
      <c r="L312" s="1">
        <f>IF(calc!$L312=1,calc!N312,"")</f>
        <v>3</v>
      </c>
      <c r="M312" s="1">
        <f>IF(calc!$L312=1,calc!O312,"")</f>
        <v>1</v>
      </c>
      <c r="N312" s="1" t="str">
        <f>IF(calc!$L312=1,calc!P312,"")</f>
        <v/>
      </c>
      <c r="O312">
        <f>'Entry data'!C$1</f>
        <v>20064</v>
      </c>
      <c r="P312" t="str">
        <f>'Entry data'!C$2</f>
        <v>NSH</v>
      </c>
      <c r="Q312" t="str">
        <f>'Entry data'!C$3</f>
        <v>Home</v>
      </c>
    </row>
    <row r="313" spans="1:17" x14ac:dyDescent="0.25">
      <c r="A313" s="1" t="str">
        <f>IF(calc!$L313=1,calc!B313,"")</f>
        <v/>
      </c>
      <c r="B313" s="5" t="str">
        <f>IF(calc!$L313=1,calc!C313,"")</f>
        <v/>
      </c>
      <c r="C313" s="1" t="str">
        <f>IF(calc!$L313=1,calc!D313,"")</f>
        <v/>
      </c>
      <c r="D313" s="1" t="str">
        <f>IF(calc!$L313=1,calc!E313,"")</f>
        <v/>
      </c>
      <c r="E313" s="1" t="str">
        <f>IF(calc!$L313=1,IF(EXACT(calc!$D313,"FAC"),"",calc!F313),"")</f>
        <v/>
      </c>
      <c r="F313" s="1" t="str">
        <f>IF(calc!$L313=1,IF(EXACT(calc!$D313,"FAC"),"",calc!G313),"")</f>
        <v/>
      </c>
      <c r="G313" s="1" t="str">
        <f>IF(calc!$L313=1,IF(EXACT(calc!$D313,"FAC"),"",calc!H313),"")</f>
        <v/>
      </c>
      <c r="H313" s="1" t="str">
        <f>IF(calc!$L313=1,IF(EXACT(calc!$D313,"FAC"),"",calc!I313),"")</f>
        <v/>
      </c>
      <c r="I313" s="1" t="str">
        <f>IF(calc!$L313=1,calc!J313,"")</f>
        <v/>
      </c>
      <c r="J313" s="1" t="str">
        <f>IF(calc!$L313=1,calc!K313,"")</f>
        <v/>
      </c>
      <c r="K313" s="1" t="str">
        <f>IF(calc!$L313=1,calc!M313,"")</f>
        <v/>
      </c>
      <c r="L313" s="1" t="str">
        <f>IF(calc!$L313=1,calc!N313,"")</f>
        <v/>
      </c>
      <c r="M313" s="1" t="str">
        <f>IF(calc!$L313=1,calc!O313,"")</f>
        <v/>
      </c>
      <c r="N313" s="1" t="str">
        <f>IF(calc!$L313=1,calc!P313,"")</f>
        <v/>
      </c>
      <c r="O313">
        <f>'Entry data'!C$1</f>
        <v>20064</v>
      </c>
      <c r="P313" t="str">
        <f>'Entry data'!C$2</f>
        <v>NSH</v>
      </c>
      <c r="Q313" t="str">
        <f>'Entry data'!C$3</f>
        <v>Home</v>
      </c>
    </row>
    <row r="314" spans="1:17" x14ac:dyDescent="0.25">
      <c r="A314" s="1" t="str">
        <f>IF(calc!$L314=1,calc!B314,"")</f>
        <v/>
      </c>
      <c r="B314" s="5" t="str">
        <f>IF(calc!$L314=1,calc!C314,"")</f>
        <v/>
      </c>
      <c r="C314" s="1" t="str">
        <f>IF(calc!$L314=1,calc!D314,"")</f>
        <v/>
      </c>
      <c r="D314" s="1" t="str">
        <f>IF(calc!$L314=1,calc!E314,"")</f>
        <v/>
      </c>
      <c r="E314" s="1" t="str">
        <f>IF(calc!$L314=1,IF(EXACT(calc!$D314,"FAC"),"",calc!F314),"")</f>
        <v/>
      </c>
      <c r="F314" s="1" t="str">
        <f>IF(calc!$L314=1,IF(EXACT(calc!$D314,"FAC"),"",calc!G314),"")</f>
        <v/>
      </c>
      <c r="G314" s="1" t="str">
        <f>IF(calc!$L314=1,IF(EXACT(calc!$D314,"FAC"),"",calc!H314),"")</f>
        <v/>
      </c>
      <c r="H314" s="1" t="str">
        <f>IF(calc!$L314=1,IF(EXACT(calc!$D314,"FAC"),"",calc!I314),"")</f>
        <v/>
      </c>
      <c r="I314" s="1" t="str">
        <f>IF(calc!$L314=1,calc!J314,"")</f>
        <v/>
      </c>
      <c r="J314" s="1" t="str">
        <f>IF(calc!$L314=1,calc!K314,"")</f>
        <v/>
      </c>
      <c r="K314" s="1" t="str">
        <f>IF(calc!$L314=1,calc!M314,"")</f>
        <v/>
      </c>
      <c r="L314" s="1" t="str">
        <f>IF(calc!$L314=1,calc!N314,"")</f>
        <v/>
      </c>
      <c r="M314" s="1" t="str">
        <f>IF(calc!$L314=1,calc!O314,"")</f>
        <v/>
      </c>
      <c r="N314" s="1" t="str">
        <f>IF(calc!$L314=1,calc!P314,"")</f>
        <v/>
      </c>
      <c r="O314">
        <f>'Entry data'!C$1</f>
        <v>20064</v>
      </c>
      <c r="P314" t="str">
        <f>'Entry data'!C$2</f>
        <v>NSH</v>
      </c>
      <c r="Q314" t="str">
        <f>'Entry data'!C$3</f>
        <v>Home</v>
      </c>
    </row>
    <row r="315" spans="1:17" x14ac:dyDescent="0.25">
      <c r="A315" s="1" t="str">
        <f>IF(calc!$L315=1,calc!B315,"")</f>
        <v/>
      </c>
      <c r="B315" s="5" t="str">
        <f>IF(calc!$L315=1,calc!C315,"")</f>
        <v/>
      </c>
      <c r="C315" s="1" t="str">
        <f>IF(calc!$L315=1,calc!D315,"")</f>
        <v/>
      </c>
      <c r="D315" s="1" t="str">
        <f>IF(calc!$L315=1,calc!E315,"")</f>
        <v/>
      </c>
      <c r="E315" s="1" t="str">
        <f>IF(calc!$L315=1,IF(EXACT(calc!$D315,"FAC"),"",calc!F315),"")</f>
        <v/>
      </c>
      <c r="F315" s="1" t="str">
        <f>IF(calc!$L315=1,IF(EXACT(calc!$D315,"FAC"),"",calc!G315),"")</f>
        <v/>
      </c>
      <c r="G315" s="1" t="str">
        <f>IF(calc!$L315=1,IF(EXACT(calc!$D315,"FAC"),"",calc!H315),"")</f>
        <v/>
      </c>
      <c r="H315" s="1" t="str">
        <f>IF(calc!$L315=1,IF(EXACT(calc!$D315,"FAC"),"",calc!I315),"")</f>
        <v/>
      </c>
      <c r="I315" s="1" t="str">
        <f>IF(calc!$L315=1,calc!J315,"")</f>
        <v/>
      </c>
      <c r="J315" s="1" t="str">
        <f>IF(calc!$L315=1,calc!K315,"")</f>
        <v/>
      </c>
      <c r="K315" s="1" t="str">
        <f>IF(calc!$L315=1,calc!M315,"")</f>
        <v/>
      </c>
      <c r="L315" s="1" t="str">
        <f>IF(calc!$L315=1,calc!N315,"")</f>
        <v/>
      </c>
      <c r="M315" s="1" t="str">
        <f>IF(calc!$L315=1,calc!O315,"")</f>
        <v/>
      </c>
      <c r="N315" s="1" t="str">
        <f>IF(calc!$L315=1,calc!P315,"")</f>
        <v/>
      </c>
      <c r="O315">
        <f>'Entry data'!C$1</f>
        <v>20064</v>
      </c>
      <c r="P315" t="str">
        <f>'Entry data'!C$2</f>
        <v>NSH</v>
      </c>
      <c r="Q315" t="str">
        <f>'Entry data'!C$3</f>
        <v>Home</v>
      </c>
    </row>
    <row r="316" spans="1:17" x14ac:dyDescent="0.25">
      <c r="A316" s="1" t="str">
        <f>IF(calc!$L316=1,calc!B316,"")</f>
        <v/>
      </c>
      <c r="B316" s="5" t="str">
        <f>IF(calc!$L316=1,calc!C316,"")</f>
        <v/>
      </c>
      <c r="C316" s="1" t="str">
        <f>IF(calc!$L316=1,calc!D316,"")</f>
        <v/>
      </c>
      <c r="D316" s="1" t="str">
        <f>IF(calc!$L316=1,calc!E316,"")</f>
        <v/>
      </c>
      <c r="E316" s="1" t="str">
        <f>IF(calc!$L316=1,IF(EXACT(calc!$D316,"FAC"),"",calc!F316),"")</f>
        <v/>
      </c>
      <c r="F316" s="1" t="str">
        <f>IF(calc!$L316=1,IF(EXACT(calc!$D316,"FAC"),"",calc!G316),"")</f>
        <v/>
      </c>
      <c r="G316" s="1" t="str">
        <f>IF(calc!$L316=1,IF(EXACT(calc!$D316,"FAC"),"",calc!H316),"")</f>
        <v/>
      </c>
      <c r="H316" s="1" t="str">
        <f>IF(calc!$L316=1,IF(EXACT(calc!$D316,"FAC"),"",calc!I316),"")</f>
        <v/>
      </c>
      <c r="I316" s="1" t="str">
        <f>IF(calc!$L316=1,calc!J316,"")</f>
        <v/>
      </c>
      <c r="J316" s="1" t="str">
        <f>IF(calc!$L316=1,calc!K316,"")</f>
        <v/>
      </c>
      <c r="K316" s="1" t="str">
        <f>IF(calc!$L316=1,calc!M316,"")</f>
        <v/>
      </c>
      <c r="L316" s="1" t="str">
        <f>IF(calc!$L316=1,calc!N316,"")</f>
        <v/>
      </c>
      <c r="M316" s="1" t="str">
        <f>IF(calc!$L316=1,calc!O316,"")</f>
        <v/>
      </c>
      <c r="N316" s="1" t="str">
        <f>IF(calc!$L316=1,calc!P316,"")</f>
        <v/>
      </c>
      <c r="O316">
        <f>'Entry data'!C$1</f>
        <v>20064</v>
      </c>
      <c r="P316" t="str">
        <f>'Entry data'!C$2</f>
        <v>NSH</v>
      </c>
      <c r="Q316" t="str">
        <f>'Entry data'!C$3</f>
        <v>Home</v>
      </c>
    </row>
    <row r="317" spans="1:17" x14ac:dyDescent="0.25">
      <c r="A317" s="1">
        <f>IF(calc!$L317=1,calc!B317,"")</f>
        <v>3</v>
      </c>
      <c r="B317" s="5">
        <f>IF(calc!$L317=1,calc!C317,"")</f>
        <v>0.78125</v>
      </c>
      <c r="C317" s="1" t="str">
        <f>IF(calc!$L317=1,calc!D317,"")</f>
        <v>D</v>
      </c>
      <c r="D317" s="1" t="str">
        <f>IF(calc!$L317=1,calc!E317,"")</f>
        <v>63NSH</v>
      </c>
      <c r="E317" s="1" t="str">
        <f>IF(calc!$L317=1,IF(EXACT(calc!$D317,"FAC"),"",calc!F317),"")</f>
        <v>52DET</v>
      </c>
      <c r="F317" s="1" t="str">
        <f>IF(calc!$L317=1,IF(EXACT(calc!$D317,"FAC"),"",calc!G317),"")</f>
        <v/>
      </c>
      <c r="G317" s="1" t="str">
        <f>IF(calc!$L317=1,IF(EXACT(calc!$D317,"FAC"),"",calc!H317),"")</f>
        <v>R</v>
      </c>
      <c r="H317" s="1" t="str">
        <f>IF(calc!$L317=1,IF(EXACT(calc!$D317,"FAC"),"",calc!I317),"")</f>
        <v>N</v>
      </c>
      <c r="I317" s="1">
        <f>IF(calc!$L317=1,calc!J317,"")</f>
        <v>5</v>
      </c>
      <c r="J317" s="1">
        <f>IF(calc!$L317=1,calc!K317,"")</f>
        <v>5</v>
      </c>
      <c r="K317" s="1" t="str">
        <f>IF(calc!$L317=1,calc!M317,"")</f>
        <v/>
      </c>
      <c r="L317" s="1">
        <f>IF(calc!$L317=1,calc!N317,"")</f>
        <v>0</v>
      </c>
      <c r="M317" s="1">
        <f>IF(calc!$L317=1,calc!O317,"")</f>
        <v>0</v>
      </c>
      <c r="N317" s="1" t="str">
        <f>IF(calc!$L317=1,calc!P317,"")</f>
        <v/>
      </c>
      <c r="O317">
        <f>'Entry data'!C$1</f>
        <v>20064</v>
      </c>
      <c r="P317" t="str">
        <f>'Entry data'!C$2</f>
        <v>NSH</v>
      </c>
      <c r="Q317" t="str">
        <f>'Entry data'!C$3</f>
        <v>Home</v>
      </c>
    </row>
    <row r="318" spans="1:17" x14ac:dyDescent="0.25">
      <c r="A318" s="1">
        <f>IF(calc!$L318=1,calc!B318,"")</f>
        <v>3</v>
      </c>
      <c r="B318" s="5">
        <f>IF(calc!$L318=1,calc!C318,"")</f>
        <v>0.77569444444444446</v>
      </c>
      <c r="C318" s="1" t="str">
        <f>IF(calc!$L318=1,calc!D318,"")</f>
        <v>C</v>
      </c>
      <c r="D318" s="1" t="str">
        <f>IF(calc!$L318=1,calc!E318,"")</f>
        <v>62DET</v>
      </c>
      <c r="E318" s="1" t="str">
        <f>IF(calc!$L318=1,IF(EXACT(calc!$D318,"FAC"),"",calc!F318),"")</f>
        <v>2ON1</v>
      </c>
      <c r="F318" s="1" t="str">
        <f>IF(calc!$L318=1,IF(EXACT(calc!$D318,"FAC"),"",calc!G318),"")</f>
        <v>N</v>
      </c>
      <c r="G318" s="1" t="str">
        <f>IF(calc!$L318=1,IF(EXACT(calc!$D318,"FAC"),"",calc!H318),"")</f>
        <v>R</v>
      </c>
      <c r="H318" s="1" t="str">
        <f>IF(calc!$L318=1,IF(EXACT(calc!$D318,"FAC"),"",calc!I318),"")</f>
        <v>N</v>
      </c>
      <c r="I318" s="1">
        <f>IF(calc!$L318=1,calc!J318,"")</f>
        <v>5</v>
      </c>
      <c r="J318" s="1">
        <f>IF(calc!$L318=1,calc!K318,"")</f>
        <v>5</v>
      </c>
      <c r="K318" s="1" t="str">
        <f>IF(calc!$L318=1,calc!M318,"")</f>
        <v>62DET</v>
      </c>
      <c r="L318" s="1">
        <f>IF(calc!$L318=1,calc!N318,"")</f>
        <v>0</v>
      </c>
      <c r="M318" s="1">
        <f>IF(calc!$L318=1,calc!O318,"")</f>
        <v>0</v>
      </c>
      <c r="N318" s="1" t="str">
        <f>IF(calc!$L318=1,calc!P318,"")</f>
        <v/>
      </c>
      <c r="O318">
        <f>'Entry data'!C$1</f>
        <v>20064</v>
      </c>
      <c r="P318" t="str">
        <f>'Entry data'!C$2</f>
        <v>NSH</v>
      </c>
      <c r="Q318" t="str">
        <f>'Entry data'!C$3</f>
        <v>Home</v>
      </c>
    </row>
    <row r="319" spans="1:17" x14ac:dyDescent="0.25">
      <c r="A319" s="1">
        <f>IF(calc!$L319=1,calc!B319,"")</f>
        <v>3</v>
      </c>
      <c r="B319" s="5">
        <f>IF(calc!$L319=1,calc!C319,"")</f>
        <v>0.77013888888888893</v>
      </c>
      <c r="C319" s="1" t="str">
        <f>IF(calc!$L319=1,calc!D319,"")</f>
        <v>C</v>
      </c>
      <c r="D319" s="1" t="str">
        <f>IF(calc!$L319=1,calc!E319,"")</f>
        <v>9NSH</v>
      </c>
      <c r="E319" s="1" t="str">
        <f>IF(calc!$L319=1,IF(EXACT(calc!$D319,"FAC"),"",calc!F319),"")</f>
        <v>52DET</v>
      </c>
      <c r="F319" s="1" t="str">
        <f>IF(calc!$L319=1,IF(EXACT(calc!$D319,"FAC"),"",calc!G319),"")</f>
        <v>N</v>
      </c>
      <c r="G319" s="1" t="str">
        <f>IF(calc!$L319=1,IF(EXACT(calc!$D319,"FAC"),"",calc!H319),"")</f>
        <v>L</v>
      </c>
      <c r="H319" s="1" t="str">
        <f>IF(calc!$L319=1,IF(EXACT(calc!$D319,"FAC"),"",calc!I319),"")</f>
        <v>N</v>
      </c>
      <c r="I319" s="1">
        <f>IF(calc!$L319=1,calc!J319,"")</f>
        <v>5</v>
      </c>
      <c r="J319" s="1">
        <f>IF(calc!$L319=1,calc!K319,"")</f>
        <v>5</v>
      </c>
      <c r="K319" s="1" t="str">
        <f>IF(calc!$L319=1,calc!M319,"")</f>
        <v>9NSH</v>
      </c>
      <c r="L319" s="1">
        <f>IF(calc!$L319=1,calc!N319,"")</f>
        <v>1</v>
      </c>
      <c r="M319" s="1">
        <f>IF(calc!$L319=1,calc!O319,"")</f>
        <v>0</v>
      </c>
      <c r="N319" s="1" t="str">
        <f>IF(calc!$L319=1,calc!P319,"")</f>
        <v/>
      </c>
      <c r="O319">
        <f>'Entry data'!C$1</f>
        <v>20064</v>
      </c>
      <c r="P319" t="str">
        <f>'Entry data'!C$2</f>
        <v>NSH</v>
      </c>
      <c r="Q319" t="str">
        <f>'Entry data'!C$3</f>
        <v>Home</v>
      </c>
    </row>
    <row r="320" spans="1:17" x14ac:dyDescent="0.25">
      <c r="A320" s="1" t="str">
        <f>IF(calc!$L320=1,calc!B320,"")</f>
        <v/>
      </c>
      <c r="B320" s="5" t="str">
        <f>IF(calc!$L320=1,calc!C320,"")</f>
        <v/>
      </c>
      <c r="C320" s="1" t="str">
        <f>IF(calc!$L320=1,calc!D320,"")</f>
        <v/>
      </c>
      <c r="D320" s="1" t="str">
        <f>IF(calc!$L320=1,calc!E320,"")</f>
        <v/>
      </c>
      <c r="E320" s="1" t="str">
        <f>IF(calc!$L320=1,IF(EXACT(calc!$D320,"FAC"),"",calc!F320),"")</f>
        <v/>
      </c>
      <c r="F320" s="1" t="str">
        <f>IF(calc!$L320=1,IF(EXACT(calc!$D320,"FAC"),"",calc!G320),"")</f>
        <v/>
      </c>
      <c r="G320" s="1" t="str">
        <f>IF(calc!$L320=1,IF(EXACT(calc!$D320,"FAC"),"",calc!H320),"")</f>
        <v/>
      </c>
      <c r="H320" s="1" t="str">
        <f>IF(calc!$L320=1,IF(EXACT(calc!$D320,"FAC"),"",calc!I320),"")</f>
        <v/>
      </c>
      <c r="I320" s="1" t="str">
        <f>IF(calc!$L320=1,calc!J320,"")</f>
        <v/>
      </c>
      <c r="J320" s="1" t="str">
        <f>IF(calc!$L320=1,calc!K320,"")</f>
        <v/>
      </c>
      <c r="K320" s="1" t="str">
        <f>IF(calc!$L320=1,calc!M320,"")</f>
        <v/>
      </c>
      <c r="L320" s="1" t="str">
        <f>IF(calc!$L320=1,calc!N320,"")</f>
        <v/>
      </c>
      <c r="M320" s="1" t="str">
        <f>IF(calc!$L320=1,calc!O320,"")</f>
        <v/>
      </c>
      <c r="N320" s="1" t="str">
        <f>IF(calc!$L320=1,calc!P320,"")</f>
        <v/>
      </c>
      <c r="O320">
        <f>'Entry data'!C$1</f>
        <v>20064</v>
      </c>
      <c r="P320" t="str">
        <f>'Entry data'!C$2</f>
        <v>NSH</v>
      </c>
      <c r="Q320" t="str">
        <f>'Entry data'!C$3</f>
        <v>Home</v>
      </c>
    </row>
    <row r="321" spans="1:17" x14ac:dyDescent="0.25">
      <c r="A321" s="1" t="str">
        <f>IF(calc!$L321=1,calc!B321,"")</f>
        <v/>
      </c>
      <c r="B321" s="5" t="str">
        <f>IF(calc!$L321=1,calc!C321,"")</f>
        <v/>
      </c>
      <c r="C321" s="1" t="str">
        <f>IF(calc!$L321=1,calc!D321,"")</f>
        <v/>
      </c>
      <c r="D321" s="1" t="str">
        <f>IF(calc!$L321=1,calc!E321,"")</f>
        <v/>
      </c>
      <c r="E321" s="1" t="str">
        <f>IF(calc!$L321=1,IF(EXACT(calc!$D321,"FAC"),"",calc!F321),"")</f>
        <v/>
      </c>
      <c r="F321" s="1" t="str">
        <f>IF(calc!$L321=1,IF(EXACT(calc!$D321,"FAC"),"",calc!G321),"")</f>
        <v/>
      </c>
      <c r="G321" s="1" t="str">
        <f>IF(calc!$L321=1,IF(EXACT(calc!$D321,"FAC"),"",calc!H321),"")</f>
        <v/>
      </c>
      <c r="H321" s="1" t="str">
        <f>IF(calc!$L321=1,IF(EXACT(calc!$D321,"FAC"),"",calc!I321),"")</f>
        <v/>
      </c>
      <c r="I321" s="1" t="str">
        <f>IF(calc!$L321=1,calc!J321,"")</f>
        <v/>
      </c>
      <c r="J321" s="1" t="str">
        <f>IF(calc!$L321=1,calc!K321,"")</f>
        <v/>
      </c>
      <c r="K321" s="1" t="str">
        <f>IF(calc!$L321=1,calc!M321,"")</f>
        <v/>
      </c>
      <c r="L321" s="1" t="str">
        <f>IF(calc!$L321=1,calc!N321,"")</f>
        <v/>
      </c>
      <c r="M321" s="1" t="str">
        <f>IF(calc!$L321=1,calc!O321,"")</f>
        <v/>
      </c>
      <c r="N321" s="1" t="str">
        <f>IF(calc!$L321=1,calc!P321,"")</f>
        <v/>
      </c>
      <c r="O321">
        <f>'Entry data'!C$1</f>
        <v>20064</v>
      </c>
      <c r="P321" t="str">
        <f>'Entry data'!C$2</f>
        <v>NSH</v>
      </c>
      <c r="Q321" t="str">
        <f>'Entry data'!C$3</f>
        <v>Home</v>
      </c>
    </row>
    <row r="322" spans="1:17" x14ac:dyDescent="0.25">
      <c r="A322" s="1">
        <f>IF(calc!$L322=1,calc!B322,"")</f>
        <v>3</v>
      </c>
      <c r="B322" s="5">
        <f>IF(calc!$L322=1,calc!C322,"")</f>
        <v>0.76597222222222228</v>
      </c>
      <c r="C322" s="1" t="str">
        <f>IF(calc!$L322=1,calc!D322,"")</f>
        <v>FAC</v>
      </c>
      <c r="D322" s="1" t="str">
        <f>IF(calc!$L322=1,calc!E322,"")</f>
        <v>DZF</v>
      </c>
      <c r="E322" s="1" t="str">
        <f>IF(calc!$L322=1,IF(EXACT(calc!$D322,"FAC"),"",calc!F322),"")</f>
        <v/>
      </c>
      <c r="F322" s="1" t="str">
        <f>IF(calc!$L322=1,IF(EXACT(calc!$D322,"FAC"),"",calc!G322),"")</f>
        <v/>
      </c>
      <c r="G322" s="1" t="str">
        <f>IF(calc!$L322=1,IF(EXACT(calc!$D322,"FAC"),"",calc!H322),"")</f>
        <v/>
      </c>
      <c r="H322" s="1" t="str">
        <f>IF(calc!$L322=1,IF(EXACT(calc!$D322,"FAC"),"",calc!I322),"")</f>
        <v/>
      </c>
      <c r="I322" s="1">
        <f>IF(calc!$L322=1,calc!J322,"")</f>
        <v>5</v>
      </c>
      <c r="J322" s="1">
        <f>IF(calc!$L322=1,calc!K322,"")</f>
        <v>5</v>
      </c>
      <c r="K322" s="1" t="str">
        <f>IF(calc!$L322=1,calc!M322,"")</f>
        <v/>
      </c>
      <c r="L322" s="1">
        <f>IF(calc!$L322=1,calc!N322,"")</f>
        <v>0</v>
      </c>
      <c r="M322" s="1">
        <f>IF(calc!$L322=1,calc!O322,"")</f>
        <v>0</v>
      </c>
      <c r="N322" s="1" t="str">
        <f>IF(calc!$L322=1,calc!P322,"")</f>
        <v/>
      </c>
      <c r="O322">
        <f>'Entry data'!C$1</f>
        <v>20064</v>
      </c>
      <c r="P322" t="str">
        <f>'Entry data'!C$2</f>
        <v>NSH</v>
      </c>
      <c r="Q322" t="str">
        <f>'Entry data'!C$3</f>
        <v>Home</v>
      </c>
    </row>
    <row r="323" spans="1:17" x14ac:dyDescent="0.25">
      <c r="A323" s="1">
        <f>IF(calc!$L323=1,calc!B323,"")</f>
        <v>3</v>
      </c>
      <c r="B323" s="5">
        <f>IF(calc!$L323=1,calc!C323,"")</f>
        <v>0.75624999999999998</v>
      </c>
      <c r="C323" s="1" t="str">
        <f>IF(calc!$L323=1,calc!D323,"")</f>
        <v>C</v>
      </c>
      <c r="D323" s="1" t="str">
        <f>IF(calc!$L323=1,calc!E323,"")</f>
        <v>29DET</v>
      </c>
      <c r="E323" s="1" t="str">
        <f>IF(calc!$L323=1,IF(EXACT(calc!$D323,"FAC"),"",calc!F323),"")</f>
        <v>7NSH</v>
      </c>
      <c r="F323" s="1" t="str">
        <f>IF(calc!$L323=1,IF(EXACT(calc!$D323,"FAC"),"",calc!G323),"")</f>
        <v>N</v>
      </c>
      <c r="G323" s="1" t="str">
        <f>IF(calc!$L323=1,IF(EXACT(calc!$D323,"FAC"),"",calc!H323),"")</f>
        <v>C</v>
      </c>
      <c r="H323" s="1" t="str">
        <f>IF(calc!$L323=1,IF(EXACT(calc!$D323,"FAC"),"",calc!I323),"")</f>
        <v>N</v>
      </c>
      <c r="I323" s="1">
        <f>IF(calc!$L323=1,calc!J323,"")</f>
        <v>5</v>
      </c>
      <c r="J323" s="1">
        <f>IF(calc!$L323=1,calc!K323,"")</f>
        <v>5</v>
      </c>
      <c r="K323" s="1" t="str">
        <f>IF(calc!$L323=1,calc!M323,"")</f>
        <v>29DET</v>
      </c>
      <c r="L323" s="1">
        <f>IF(calc!$L323=1,calc!N323,"")</f>
        <v>0</v>
      </c>
      <c r="M323" s="1">
        <f>IF(calc!$L323=1,calc!O323,"")</f>
        <v>0</v>
      </c>
      <c r="N323" s="1" t="str">
        <f>IF(calc!$L323=1,calc!P323,"")</f>
        <v/>
      </c>
      <c r="O323">
        <f>'Entry data'!C$1</f>
        <v>20064</v>
      </c>
      <c r="P323" t="str">
        <f>'Entry data'!C$2</f>
        <v>NSH</v>
      </c>
      <c r="Q323" t="str">
        <f>'Entry data'!C$3</f>
        <v>Home</v>
      </c>
    </row>
    <row r="324" spans="1:17" x14ac:dyDescent="0.25">
      <c r="A324" s="1" t="str">
        <f>IF(calc!$L324=1,calc!B324,"")</f>
        <v/>
      </c>
      <c r="B324" s="5" t="str">
        <f>IF(calc!$L324=1,calc!C324,"")</f>
        <v/>
      </c>
      <c r="C324" s="1" t="str">
        <f>IF(calc!$L324=1,calc!D324,"")</f>
        <v/>
      </c>
      <c r="D324" s="1" t="str">
        <f>IF(calc!$L324=1,calc!E324,"")</f>
        <v/>
      </c>
      <c r="E324" s="1" t="str">
        <f>IF(calc!$L324=1,IF(EXACT(calc!$D324,"FAC"),"",calc!F324),"")</f>
        <v/>
      </c>
      <c r="F324" s="1" t="str">
        <f>IF(calc!$L324=1,IF(EXACT(calc!$D324,"FAC"),"",calc!G324),"")</f>
        <v/>
      </c>
      <c r="G324" s="1" t="str">
        <f>IF(calc!$L324=1,IF(EXACT(calc!$D324,"FAC"),"",calc!H324),"")</f>
        <v/>
      </c>
      <c r="H324" s="1" t="str">
        <f>IF(calc!$L324=1,IF(EXACT(calc!$D324,"FAC"),"",calc!I324),"")</f>
        <v/>
      </c>
      <c r="I324" s="1" t="str">
        <f>IF(calc!$L324=1,calc!J324,"")</f>
        <v/>
      </c>
      <c r="J324" s="1" t="str">
        <f>IF(calc!$L324=1,calc!K324,"")</f>
        <v/>
      </c>
      <c r="K324" s="1" t="str">
        <f>IF(calc!$L324=1,calc!M324,"")</f>
        <v/>
      </c>
      <c r="L324" s="1" t="str">
        <f>IF(calc!$L324=1,calc!N324,"")</f>
        <v/>
      </c>
      <c r="M324" s="1" t="str">
        <f>IF(calc!$L324=1,calc!O324,"")</f>
        <v/>
      </c>
      <c r="N324" s="1" t="str">
        <f>IF(calc!$L324=1,calc!P324,"")</f>
        <v/>
      </c>
      <c r="O324">
        <f>'Entry data'!C$1</f>
        <v>20064</v>
      </c>
      <c r="P324" t="str">
        <f>'Entry data'!C$2</f>
        <v>NSH</v>
      </c>
      <c r="Q324" t="str">
        <f>'Entry data'!C$3</f>
        <v>Home</v>
      </c>
    </row>
    <row r="325" spans="1:17" x14ac:dyDescent="0.25">
      <c r="A325" s="1">
        <f>IF(calc!$L325=1,calc!B325,"")</f>
        <v>3</v>
      </c>
      <c r="B325" s="5">
        <f>IF(calc!$L325=1,calc!C325,"")</f>
        <v>0.74305555555555558</v>
      </c>
      <c r="C325" s="1" t="str">
        <f>IF(calc!$L325=1,calc!D325,"")</f>
        <v>FAC</v>
      </c>
      <c r="D325" s="1" t="str">
        <f>IF(calc!$L325=1,calc!E325,"")</f>
        <v>OZF</v>
      </c>
      <c r="E325" s="1" t="str">
        <f>IF(calc!$L325=1,IF(EXACT(calc!$D325,"FAC"),"",calc!F325),"")</f>
        <v/>
      </c>
      <c r="F325" s="1" t="str">
        <f>IF(calc!$L325=1,IF(EXACT(calc!$D325,"FAC"),"",calc!G325),"")</f>
        <v/>
      </c>
      <c r="G325" s="1" t="str">
        <f>IF(calc!$L325=1,IF(EXACT(calc!$D325,"FAC"),"",calc!H325),"")</f>
        <v/>
      </c>
      <c r="H325" s="1" t="str">
        <f>IF(calc!$L325=1,IF(EXACT(calc!$D325,"FAC"),"",calc!I325),"")</f>
        <v/>
      </c>
      <c r="I325" s="1">
        <f>IF(calc!$L325=1,calc!J325,"")</f>
        <v>5</v>
      </c>
      <c r="J325" s="1">
        <f>IF(calc!$L325=1,calc!K325,"")</f>
        <v>5</v>
      </c>
      <c r="K325" s="1" t="str">
        <f>IF(calc!$L325=1,calc!M325,"")</f>
        <v/>
      </c>
      <c r="L325" s="1">
        <f>IF(calc!$L325=1,calc!N325,"")</f>
        <v>0</v>
      </c>
      <c r="M325" s="1">
        <f>IF(calc!$L325=1,calc!O325,"")</f>
        <v>0</v>
      </c>
      <c r="N325" s="1" t="str">
        <f>IF(calc!$L325=1,calc!P325,"")</f>
        <v/>
      </c>
      <c r="O325">
        <f>'Entry data'!C$1</f>
        <v>20064</v>
      </c>
      <c r="P325" t="str">
        <f>'Entry data'!C$2</f>
        <v>NSH</v>
      </c>
      <c r="Q325" t="str">
        <f>'Entry data'!C$3</f>
        <v>Home</v>
      </c>
    </row>
    <row r="326" spans="1:17" x14ac:dyDescent="0.25">
      <c r="A326" s="1" t="str">
        <f>IF(calc!$L326=1,calc!B326,"")</f>
        <v/>
      </c>
      <c r="B326" s="5" t="str">
        <f>IF(calc!$L326=1,calc!C326,"")</f>
        <v/>
      </c>
      <c r="C326" s="1" t="str">
        <f>IF(calc!$L326=1,calc!D326,"")</f>
        <v/>
      </c>
      <c r="D326" s="1" t="str">
        <f>IF(calc!$L326=1,calc!E326,"")</f>
        <v/>
      </c>
      <c r="E326" s="1" t="str">
        <f>IF(calc!$L326=1,IF(EXACT(calc!$D326,"FAC"),"",calc!F326),"")</f>
        <v/>
      </c>
      <c r="F326" s="1" t="str">
        <f>IF(calc!$L326=1,IF(EXACT(calc!$D326,"FAC"),"",calc!G326),"")</f>
        <v/>
      </c>
      <c r="G326" s="1" t="str">
        <f>IF(calc!$L326=1,IF(EXACT(calc!$D326,"FAC"),"",calc!H326),"")</f>
        <v/>
      </c>
      <c r="H326" s="1" t="str">
        <f>IF(calc!$L326=1,IF(EXACT(calc!$D326,"FAC"),"",calc!I326),"")</f>
        <v/>
      </c>
      <c r="I326" s="1" t="str">
        <f>IF(calc!$L326=1,calc!J326,"")</f>
        <v/>
      </c>
      <c r="J326" s="1" t="str">
        <f>IF(calc!$L326=1,calc!K326,"")</f>
        <v/>
      </c>
      <c r="K326" s="1" t="str">
        <f>IF(calc!$L326=1,calc!M326,"")</f>
        <v/>
      </c>
      <c r="L326" s="1" t="str">
        <f>IF(calc!$L326=1,calc!N326,"")</f>
        <v/>
      </c>
      <c r="M326" s="1" t="str">
        <f>IF(calc!$L326=1,calc!O326,"")</f>
        <v/>
      </c>
      <c r="N326" s="1" t="str">
        <f>IF(calc!$L326=1,calc!P326,"")</f>
        <v/>
      </c>
      <c r="O326">
        <f>'Entry data'!C$1</f>
        <v>20064</v>
      </c>
      <c r="P326" t="str">
        <f>'Entry data'!C$2</f>
        <v>NSH</v>
      </c>
      <c r="Q326" t="str">
        <f>'Entry data'!C$3</f>
        <v>Home</v>
      </c>
    </row>
    <row r="327" spans="1:17" x14ac:dyDescent="0.25">
      <c r="A327" s="1" t="str">
        <f>IF(calc!$L327=1,calc!B327,"")</f>
        <v/>
      </c>
      <c r="B327" s="5" t="str">
        <f>IF(calc!$L327=1,calc!C327,"")</f>
        <v/>
      </c>
      <c r="C327" s="1" t="str">
        <f>IF(calc!$L327=1,calc!D327,"")</f>
        <v/>
      </c>
      <c r="D327" s="1" t="str">
        <f>IF(calc!$L327=1,calc!E327,"")</f>
        <v/>
      </c>
      <c r="E327" s="1" t="str">
        <f>IF(calc!$L327=1,IF(EXACT(calc!$D327,"FAC"),"",calc!F327),"")</f>
        <v/>
      </c>
      <c r="F327" s="1" t="str">
        <f>IF(calc!$L327=1,IF(EXACT(calc!$D327,"FAC"),"",calc!G327),"")</f>
        <v/>
      </c>
      <c r="G327" s="1" t="str">
        <f>IF(calc!$L327=1,IF(EXACT(calc!$D327,"FAC"),"",calc!H327),"")</f>
        <v/>
      </c>
      <c r="H327" s="1" t="str">
        <f>IF(calc!$L327=1,IF(EXACT(calc!$D327,"FAC"),"",calc!I327),"")</f>
        <v/>
      </c>
      <c r="I327" s="1" t="str">
        <f>IF(calc!$L327=1,calc!J327,"")</f>
        <v/>
      </c>
      <c r="J327" s="1" t="str">
        <f>IF(calc!$L327=1,calc!K327,"")</f>
        <v/>
      </c>
      <c r="K327" s="1" t="str">
        <f>IF(calc!$L327=1,calc!M327,"")</f>
        <v/>
      </c>
      <c r="L327" s="1" t="str">
        <f>IF(calc!$L327=1,calc!N327,"")</f>
        <v/>
      </c>
      <c r="M327" s="1" t="str">
        <f>IF(calc!$L327=1,calc!O327,"")</f>
        <v/>
      </c>
      <c r="N327" s="1" t="str">
        <f>IF(calc!$L327=1,calc!P327,"")</f>
        <v/>
      </c>
      <c r="O327">
        <f>'Entry data'!C$1</f>
        <v>20064</v>
      </c>
      <c r="P327" t="str">
        <f>'Entry data'!C$2</f>
        <v>NSH</v>
      </c>
      <c r="Q327" t="str">
        <f>'Entry data'!C$3</f>
        <v>Home</v>
      </c>
    </row>
    <row r="328" spans="1:17" x14ac:dyDescent="0.25">
      <c r="A328" s="1">
        <f>IF(calc!$L328=1,calc!B328,"")</f>
        <v>3</v>
      </c>
      <c r="B328" s="5">
        <f>IF(calc!$L328=1,calc!C328,"")</f>
        <v>0.7284722222222223</v>
      </c>
      <c r="C328" s="1" t="str">
        <f>IF(calc!$L328=1,calc!D328,"")</f>
        <v>FAC</v>
      </c>
      <c r="D328" s="1" t="str">
        <f>IF(calc!$L328=1,calc!E328,"")</f>
        <v>OZF</v>
      </c>
      <c r="E328" s="1" t="str">
        <f>IF(calc!$L328=1,IF(EXACT(calc!$D328,"FAC"),"",calc!F328),"")</f>
        <v/>
      </c>
      <c r="F328" s="1" t="str">
        <f>IF(calc!$L328=1,IF(EXACT(calc!$D328,"FAC"),"",calc!G328),"")</f>
        <v/>
      </c>
      <c r="G328" s="1" t="str">
        <f>IF(calc!$L328=1,IF(EXACT(calc!$D328,"FAC"),"",calc!H328),"")</f>
        <v/>
      </c>
      <c r="H328" s="1" t="str">
        <f>IF(calc!$L328=1,IF(EXACT(calc!$D328,"FAC"),"",calc!I328),"")</f>
        <v/>
      </c>
      <c r="I328" s="1">
        <f>IF(calc!$L328=1,calc!J328,"")</f>
        <v>5</v>
      </c>
      <c r="J328" s="1">
        <f>IF(calc!$L328=1,calc!K328,"")</f>
        <v>5</v>
      </c>
      <c r="K328" s="1" t="str">
        <f>IF(calc!$L328=1,calc!M328,"")</f>
        <v/>
      </c>
      <c r="L328" s="1">
        <f>IF(calc!$L328=1,calc!N328,"")</f>
        <v>0</v>
      </c>
      <c r="M328" s="1">
        <f>IF(calc!$L328=1,calc!O328,"")</f>
        <v>0</v>
      </c>
      <c r="N328" s="1" t="str">
        <f>IF(calc!$L328=1,calc!P328,"")</f>
        <v/>
      </c>
      <c r="O328">
        <f>'Entry data'!C$1</f>
        <v>20064</v>
      </c>
      <c r="P328" t="str">
        <f>'Entry data'!C$2</f>
        <v>NSH</v>
      </c>
      <c r="Q328" t="str">
        <f>'Entry data'!C$3</f>
        <v>Home</v>
      </c>
    </row>
    <row r="329" spans="1:17" x14ac:dyDescent="0.25">
      <c r="A329" s="1">
        <f>IF(calc!$L329=1,calc!B329,"")</f>
        <v>3</v>
      </c>
      <c r="B329" s="5">
        <f>IF(calc!$L329=1,calc!C329,"")</f>
        <v>0.72222222222222221</v>
      </c>
      <c r="C329" s="1" t="str">
        <f>IF(calc!$L329=1,calc!D329,"")</f>
        <v>F</v>
      </c>
      <c r="D329" s="1" t="str">
        <f>IF(calc!$L329=1,calc!E329,"")</f>
        <v>38NSH</v>
      </c>
      <c r="E329" s="1" t="str">
        <f>IF(calc!$L329=1,IF(EXACT(calc!$D329,"FAC"),"",calc!F329),"")</f>
        <v>53DET</v>
      </c>
      <c r="F329" s="1" t="str">
        <f>IF(calc!$L329=1,IF(EXACT(calc!$D329,"FAC"),"",calc!G329),"")</f>
        <v/>
      </c>
      <c r="G329" s="1" t="str">
        <f>IF(calc!$L329=1,IF(EXACT(calc!$D329,"FAC"),"",calc!H329),"")</f>
        <v>L</v>
      </c>
      <c r="H329" s="1" t="str">
        <f>IF(calc!$L329=1,IF(EXACT(calc!$D329,"FAC"),"",calc!I329),"")</f>
        <v>N</v>
      </c>
      <c r="I329" s="1">
        <f>IF(calc!$L329=1,calc!J329,"")</f>
        <v>5</v>
      </c>
      <c r="J329" s="1">
        <f>IF(calc!$L329=1,calc!K329,"")</f>
        <v>5</v>
      </c>
      <c r="K329" s="1" t="str">
        <f>IF(calc!$L329=1,calc!M329,"")</f>
        <v/>
      </c>
      <c r="L329" s="1">
        <f>IF(calc!$L329=1,calc!N329,"")</f>
        <v>0</v>
      </c>
      <c r="M329" s="1">
        <f>IF(calc!$L329=1,calc!O329,"")</f>
        <v>0</v>
      </c>
      <c r="N329" s="1" t="str">
        <f>IF(calc!$L329=1,calc!P329,"")</f>
        <v>38NSH</v>
      </c>
      <c r="O329">
        <f>'Entry data'!C$1</f>
        <v>20064</v>
      </c>
      <c r="P329" t="str">
        <f>'Entry data'!C$2</f>
        <v>NSH</v>
      </c>
      <c r="Q329" t="str">
        <f>'Entry data'!C$3</f>
        <v>Home</v>
      </c>
    </row>
    <row r="330" spans="1:17" x14ac:dyDescent="0.25">
      <c r="A330" s="1" t="str">
        <f>IF(calc!$L330=1,calc!B330,"")</f>
        <v/>
      </c>
      <c r="B330" s="5" t="str">
        <f>IF(calc!$L330=1,calc!C330,"")</f>
        <v/>
      </c>
      <c r="C330" s="1" t="str">
        <f>IF(calc!$L330=1,calc!D330,"")</f>
        <v/>
      </c>
      <c r="D330" s="1" t="str">
        <f>IF(calc!$L330=1,calc!E330,"")</f>
        <v/>
      </c>
      <c r="E330" s="1" t="str">
        <f>IF(calc!$L330=1,IF(EXACT(calc!$D330,"FAC"),"",calc!F330),"")</f>
        <v/>
      </c>
      <c r="F330" s="1" t="str">
        <f>IF(calc!$L330=1,IF(EXACT(calc!$D330,"FAC"),"",calc!G330),"")</f>
        <v/>
      </c>
      <c r="G330" s="1" t="str">
        <f>IF(calc!$L330=1,IF(EXACT(calc!$D330,"FAC"),"",calc!H330),"")</f>
        <v/>
      </c>
      <c r="H330" s="1" t="str">
        <f>IF(calc!$L330=1,IF(EXACT(calc!$D330,"FAC"),"",calc!I330),"")</f>
        <v/>
      </c>
      <c r="I330" s="1" t="str">
        <f>IF(calc!$L330=1,calc!J330,"")</f>
        <v/>
      </c>
      <c r="J330" s="1" t="str">
        <f>IF(calc!$L330=1,calc!K330,"")</f>
        <v/>
      </c>
      <c r="K330" s="1" t="str">
        <f>IF(calc!$L330=1,calc!M330,"")</f>
        <v/>
      </c>
      <c r="L330" s="1" t="str">
        <f>IF(calc!$L330=1,calc!N330,"")</f>
        <v/>
      </c>
      <c r="M330" s="1" t="str">
        <f>IF(calc!$L330=1,calc!O330,"")</f>
        <v/>
      </c>
      <c r="N330" s="1" t="str">
        <f>IF(calc!$L330=1,calc!P330,"")</f>
        <v/>
      </c>
      <c r="O330">
        <f>'Entry data'!C$1</f>
        <v>20064</v>
      </c>
      <c r="P330" t="str">
        <f>'Entry data'!C$2</f>
        <v>NSH</v>
      </c>
      <c r="Q330" t="str">
        <f>'Entry data'!C$3</f>
        <v>Home</v>
      </c>
    </row>
    <row r="331" spans="1:17" x14ac:dyDescent="0.25">
      <c r="A331" s="1" t="str">
        <f>IF(calc!$L331=1,calc!B331,"")</f>
        <v/>
      </c>
      <c r="B331" s="5" t="str">
        <f>IF(calc!$L331=1,calc!C331,"")</f>
        <v/>
      </c>
      <c r="C331" s="1" t="str">
        <f>IF(calc!$L331=1,calc!D331,"")</f>
        <v/>
      </c>
      <c r="D331" s="1" t="str">
        <f>IF(calc!$L331=1,calc!E331,"")</f>
        <v/>
      </c>
      <c r="E331" s="1" t="str">
        <f>IF(calc!$L331=1,IF(EXACT(calc!$D331,"FAC"),"",calc!F331),"")</f>
        <v/>
      </c>
      <c r="F331" s="1" t="str">
        <f>IF(calc!$L331=1,IF(EXACT(calc!$D331,"FAC"),"",calc!G331),"")</f>
        <v/>
      </c>
      <c r="G331" s="1" t="str">
        <f>IF(calc!$L331=1,IF(EXACT(calc!$D331,"FAC"),"",calc!H331),"")</f>
        <v/>
      </c>
      <c r="H331" s="1" t="str">
        <f>IF(calc!$L331=1,IF(EXACT(calc!$D331,"FAC"),"",calc!I331),"")</f>
        <v/>
      </c>
      <c r="I331" s="1" t="str">
        <f>IF(calc!$L331=1,calc!J331,"")</f>
        <v/>
      </c>
      <c r="J331" s="1" t="str">
        <f>IF(calc!$L331=1,calc!K331,"")</f>
        <v/>
      </c>
      <c r="K331" s="1" t="str">
        <f>IF(calc!$L331=1,calc!M331,"")</f>
        <v/>
      </c>
      <c r="L331" s="1" t="str">
        <f>IF(calc!$L331=1,calc!N331,"")</f>
        <v/>
      </c>
      <c r="M331" s="1" t="str">
        <f>IF(calc!$L331=1,calc!O331,"")</f>
        <v/>
      </c>
      <c r="N331" s="1" t="str">
        <f>IF(calc!$L331=1,calc!P331,"")</f>
        <v/>
      </c>
      <c r="O331">
        <f>'Entry data'!C$1</f>
        <v>20064</v>
      </c>
      <c r="P331" t="str">
        <f>'Entry data'!C$2</f>
        <v>NSH</v>
      </c>
      <c r="Q331" t="str">
        <f>'Entry data'!C$3</f>
        <v>Home</v>
      </c>
    </row>
    <row r="332" spans="1:17" x14ac:dyDescent="0.25">
      <c r="A332" s="1">
        <f>IF(calc!$L332=1,calc!B332,"")</f>
        <v>3</v>
      </c>
      <c r="B332" s="5">
        <f>IF(calc!$L332=1,calc!C332,"")</f>
        <v>0.71736111111111112</v>
      </c>
      <c r="C332" s="1" t="str">
        <f>IF(calc!$L332=1,calc!D332,"")</f>
        <v>FAC</v>
      </c>
      <c r="D332" s="1" t="str">
        <f>IF(calc!$L332=1,calc!E332,"")</f>
        <v>DZF</v>
      </c>
      <c r="E332" s="1" t="str">
        <f>IF(calc!$L332=1,IF(EXACT(calc!$D332,"FAC"),"",calc!F332),"")</f>
        <v/>
      </c>
      <c r="F332" s="1" t="str">
        <f>IF(calc!$L332=1,IF(EXACT(calc!$D332,"FAC"),"",calc!G332),"")</f>
        <v/>
      </c>
      <c r="G332" s="1" t="str">
        <f>IF(calc!$L332=1,IF(EXACT(calc!$D332,"FAC"),"",calc!H332),"")</f>
        <v/>
      </c>
      <c r="H332" s="1" t="str">
        <f>IF(calc!$L332=1,IF(EXACT(calc!$D332,"FAC"),"",calc!I332),"")</f>
        <v/>
      </c>
      <c r="I332" s="1">
        <f>IF(calc!$L332=1,calc!J332,"")</f>
        <v>4</v>
      </c>
      <c r="J332" s="1">
        <f>IF(calc!$L332=1,calc!K332,"")</f>
        <v>5</v>
      </c>
      <c r="K332" s="1" t="str">
        <f>IF(calc!$L332=1,calc!M332,"")</f>
        <v/>
      </c>
      <c r="L332" s="1">
        <f>IF(calc!$L332=1,calc!N332,"")</f>
        <v>0</v>
      </c>
      <c r="M332" s="1">
        <f>IF(calc!$L332=1,calc!O332,"")</f>
        <v>0</v>
      </c>
      <c r="N332" s="1" t="str">
        <f>IF(calc!$L332=1,calc!P332,"")</f>
        <v/>
      </c>
      <c r="O332">
        <f>'Entry data'!C$1</f>
        <v>20064</v>
      </c>
      <c r="P332" t="str">
        <f>'Entry data'!C$2</f>
        <v>NSH</v>
      </c>
      <c r="Q332" t="str">
        <f>'Entry data'!C$3</f>
        <v>Home</v>
      </c>
    </row>
    <row r="333" spans="1:17" x14ac:dyDescent="0.25">
      <c r="A333" s="1">
        <f>IF(calc!$L333=1,calc!B333,"")</f>
        <v>3</v>
      </c>
      <c r="B333" s="5">
        <f>IF(calc!$L333=1,calc!C333,"")</f>
        <v>0.70416666666666661</v>
      </c>
      <c r="C333" s="1" t="str">
        <f>IF(calc!$L333=1,calc!D333,"")</f>
        <v>C</v>
      </c>
      <c r="D333" s="1" t="str">
        <f>IF(calc!$L333=1,calc!E333,"")</f>
        <v>4NSH</v>
      </c>
      <c r="E333" s="1" t="str">
        <f>IF(calc!$L333=1,IF(EXACT(calc!$D333,"FAC"),"",calc!F333),"")</f>
        <v>51DET</v>
      </c>
      <c r="F333" s="1" t="str">
        <f>IF(calc!$L333=1,IF(EXACT(calc!$D333,"FAC"),"",calc!G333),"")</f>
        <v>N</v>
      </c>
      <c r="G333" s="1" t="str">
        <f>IF(calc!$L333=1,IF(EXACT(calc!$D333,"FAC"),"",calc!H333),"")</f>
        <v>L</v>
      </c>
      <c r="H333" s="1" t="str">
        <f>IF(calc!$L333=1,IF(EXACT(calc!$D333,"FAC"),"",calc!I333),"")</f>
        <v>N</v>
      </c>
      <c r="I333" s="1">
        <f>IF(calc!$L333=1,calc!J333,"")</f>
        <v>5</v>
      </c>
      <c r="J333" s="1">
        <f>IF(calc!$L333=1,calc!K333,"")</f>
        <v>4</v>
      </c>
      <c r="K333" s="1" t="str">
        <f>IF(calc!$L333=1,calc!M333,"")</f>
        <v>4NSH</v>
      </c>
      <c r="L333" s="1">
        <f>IF(calc!$L333=1,calc!N333,"")</f>
        <v>0</v>
      </c>
      <c r="M333" s="1">
        <f>IF(calc!$L333=1,calc!O333,"")</f>
        <v>0</v>
      </c>
      <c r="N333" s="1" t="str">
        <f>IF(calc!$L333=1,calc!P333,"")</f>
        <v/>
      </c>
      <c r="O333">
        <f>'Entry data'!C$1</f>
        <v>20064</v>
      </c>
      <c r="P333" t="str">
        <f>'Entry data'!C$2</f>
        <v>NSH</v>
      </c>
      <c r="Q333" t="str">
        <f>'Entry data'!C$3</f>
        <v>Home</v>
      </c>
    </row>
    <row r="334" spans="1:17" x14ac:dyDescent="0.25">
      <c r="A334" s="1">
        <f>IF(calc!$L334=1,calc!B334,"")</f>
        <v>3</v>
      </c>
      <c r="B334" s="5">
        <f>IF(calc!$L334=1,calc!C334,"")</f>
        <v>0.68611111111111101</v>
      </c>
      <c r="C334" s="1" t="str">
        <f>IF(calc!$L334=1,calc!D334,"")</f>
        <v>C</v>
      </c>
      <c r="D334" s="1" t="str">
        <f>IF(calc!$L334=1,calc!E334,"")</f>
        <v>4NSH</v>
      </c>
      <c r="E334" s="1" t="str">
        <f>IF(calc!$L334=1,IF(EXACT(calc!$D334,"FAC"),"",calc!F334),"")</f>
        <v>41DET</v>
      </c>
      <c r="F334" s="1" t="str">
        <f>IF(calc!$L334=1,IF(EXACT(calc!$D334,"FAC"),"",calc!G334),"")</f>
        <v>Y</v>
      </c>
      <c r="G334" s="1" t="str">
        <f>IF(calc!$L334=1,IF(EXACT(calc!$D334,"FAC"),"",calc!H334),"")</f>
        <v>L</v>
      </c>
      <c r="H334" s="1" t="str">
        <f>IF(calc!$L334=1,IF(EXACT(calc!$D334,"FAC"),"",calc!I334),"")</f>
        <v>N</v>
      </c>
      <c r="I334" s="1">
        <f>IF(calc!$L334=1,calc!J334,"")</f>
        <v>5</v>
      </c>
      <c r="J334" s="1">
        <f>IF(calc!$L334=1,calc!K334,"")</f>
        <v>4</v>
      </c>
      <c r="K334" s="1" t="str">
        <f>IF(calc!$L334=1,calc!M334,"")</f>
        <v>4NSH</v>
      </c>
      <c r="L334" s="1">
        <f>IF(calc!$L334=1,calc!N334,"")</f>
        <v>0</v>
      </c>
      <c r="M334" s="1">
        <f>IF(calc!$L334=1,calc!O334,"")</f>
        <v>0</v>
      </c>
      <c r="N334" s="1" t="str">
        <f>IF(calc!$L334=1,calc!P334,"")</f>
        <v/>
      </c>
      <c r="O334">
        <f>'Entry data'!C$1</f>
        <v>20064</v>
      </c>
      <c r="P334" t="str">
        <f>'Entry data'!C$2</f>
        <v>NSH</v>
      </c>
      <c r="Q334" t="str">
        <f>'Entry data'!C$3</f>
        <v>Home</v>
      </c>
    </row>
    <row r="335" spans="1:17" x14ac:dyDescent="0.25">
      <c r="A335" s="1">
        <f>IF(calc!$L335=1,calc!B335,"")</f>
        <v>3</v>
      </c>
      <c r="B335" s="5">
        <f>IF(calc!$L335=1,calc!C335,"")</f>
        <v>0.67569444444444438</v>
      </c>
      <c r="C335" s="1" t="str">
        <f>IF(calc!$L335=1,calc!D335,"")</f>
        <v>C</v>
      </c>
      <c r="D335" s="1" t="str">
        <f>IF(calc!$L335=1,calc!E335,"")</f>
        <v>41DET</v>
      </c>
      <c r="E335" s="1" t="str">
        <f>IF(calc!$L335=1,IF(EXACT(calc!$D335,"FAC"),"",calc!F335),"")</f>
        <v>59NSH</v>
      </c>
      <c r="F335" s="1" t="str">
        <f>IF(calc!$L335=1,IF(EXACT(calc!$D335,"FAC"),"",calc!G335),"")</f>
        <v>N</v>
      </c>
      <c r="G335" s="1" t="str">
        <f>IF(calc!$L335=1,IF(EXACT(calc!$D335,"FAC"),"",calc!H335),"")</f>
        <v>L</v>
      </c>
      <c r="H335" s="1" t="str">
        <f>IF(calc!$L335=1,IF(EXACT(calc!$D335,"FAC"),"",calc!I335),"")</f>
        <v>N</v>
      </c>
      <c r="I335" s="1">
        <f>IF(calc!$L335=1,calc!J335,"")</f>
        <v>5</v>
      </c>
      <c r="J335" s="1">
        <f>IF(calc!$L335=1,calc!K335,"")</f>
        <v>4</v>
      </c>
      <c r="K335" s="1" t="str">
        <f>IF(calc!$L335=1,calc!M335,"")</f>
        <v>41DET</v>
      </c>
      <c r="L335" s="1">
        <f>IF(calc!$L335=1,calc!N335,"")</f>
        <v>1</v>
      </c>
      <c r="M335" s="1">
        <f>IF(calc!$L335=1,calc!O335,"")</f>
        <v>0</v>
      </c>
      <c r="N335" s="1" t="str">
        <f>IF(calc!$L335=1,calc!P335,"")</f>
        <v/>
      </c>
      <c r="O335">
        <f>'Entry data'!C$1</f>
        <v>20064</v>
      </c>
      <c r="P335" t="str">
        <f>'Entry data'!C$2</f>
        <v>NSH</v>
      </c>
      <c r="Q335" t="str">
        <f>'Entry data'!C$3</f>
        <v>Home</v>
      </c>
    </row>
    <row r="336" spans="1:17" x14ac:dyDescent="0.25">
      <c r="A336" s="1" t="str">
        <f>IF(calc!$L336=1,calc!B336,"")</f>
        <v/>
      </c>
      <c r="B336" s="5" t="str">
        <f>IF(calc!$L336=1,calc!C336,"")</f>
        <v/>
      </c>
      <c r="C336" s="1" t="str">
        <f>IF(calc!$L336=1,calc!D336,"")</f>
        <v/>
      </c>
      <c r="D336" s="1" t="str">
        <f>IF(calc!$L336=1,calc!E336,"")</f>
        <v/>
      </c>
      <c r="E336" s="1" t="str">
        <f>IF(calc!$L336=1,IF(EXACT(calc!$D336,"FAC"),"",calc!F336),"")</f>
        <v/>
      </c>
      <c r="F336" s="1" t="str">
        <f>IF(calc!$L336=1,IF(EXACT(calc!$D336,"FAC"),"",calc!G336),"")</f>
        <v/>
      </c>
      <c r="G336" s="1" t="str">
        <f>IF(calc!$L336=1,IF(EXACT(calc!$D336,"FAC"),"",calc!H336),"")</f>
        <v/>
      </c>
      <c r="H336" s="1" t="str">
        <f>IF(calc!$L336=1,IF(EXACT(calc!$D336,"FAC"),"",calc!I336),"")</f>
        <v/>
      </c>
      <c r="I336" s="1" t="str">
        <f>IF(calc!$L336=1,calc!J336,"")</f>
        <v/>
      </c>
      <c r="J336" s="1" t="str">
        <f>IF(calc!$L336=1,calc!K336,"")</f>
        <v/>
      </c>
      <c r="K336" s="1" t="str">
        <f>IF(calc!$L336=1,calc!M336,"")</f>
        <v/>
      </c>
      <c r="L336" s="1" t="str">
        <f>IF(calc!$L336=1,calc!N336,"")</f>
        <v/>
      </c>
      <c r="M336" s="1" t="str">
        <f>IF(calc!$L336=1,calc!O336,"")</f>
        <v/>
      </c>
      <c r="N336" s="1" t="str">
        <f>IF(calc!$L336=1,calc!P336,"")</f>
        <v/>
      </c>
      <c r="O336">
        <f>'Entry data'!C$1</f>
        <v>20064</v>
      </c>
      <c r="P336" t="str">
        <f>'Entry data'!C$2</f>
        <v>NSH</v>
      </c>
      <c r="Q336" t="str">
        <f>'Entry data'!C$3</f>
        <v>Home</v>
      </c>
    </row>
    <row r="337" spans="1:17" x14ac:dyDescent="0.25">
      <c r="A337" s="1">
        <f>IF(calc!$L337=1,calc!B337,"")</f>
        <v>3</v>
      </c>
      <c r="B337" s="5">
        <f>IF(calc!$L337=1,calc!C337,"")</f>
        <v>0.66041666666666665</v>
      </c>
      <c r="C337" s="1" t="str">
        <f>IF(calc!$L337=1,calc!D337,"")</f>
        <v>C</v>
      </c>
      <c r="D337" s="1" t="str">
        <f>IF(calc!$L337=1,calc!E337,"")</f>
        <v>33NSH</v>
      </c>
      <c r="E337" s="1" t="str">
        <f>IF(calc!$L337=1,IF(EXACT(calc!$D337,"FAC"),"",calc!F337),"")</f>
        <v>65DET</v>
      </c>
      <c r="F337" s="1" t="str">
        <f>IF(calc!$L337=1,IF(EXACT(calc!$D337,"FAC"),"",calc!G337),"")</f>
        <v>Y</v>
      </c>
      <c r="G337" s="1" t="str">
        <f>IF(calc!$L337=1,IF(EXACT(calc!$D337,"FAC"),"",calc!H337),"")</f>
        <v>R</v>
      </c>
      <c r="H337" s="1" t="str">
        <f>IF(calc!$L337=1,IF(EXACT(calc!$D337,"FAC"),"",calc!I337),"")</f>
        <v>N</v>
      </c>
      <c r="I337" s="1">
        <f>IF(calc!$L337=1,calc!J337,"")</f>
        <v>5</v>
      </c>
      <c r="J337" s="1">
        <f>IF(calc!$L337=1,calc!K337,"")</f>
        <v>4</v>
      </c>
      <c r="K337" s="1" t="str">
        <f>IF(calc!$L337=1,calc!M337,"")</f>
        <v>33NSH</v>
      </c>
      <c r="L337" s="1">
        <f>IF(calc!$L337=1,calc!N337,"")</f>
        <v>0</v>
      </c>
      <c r="M337" s="1">
        <f>IF(calc!$L337=1,calc!O337,"")</f>
        <v>0</v>
      </c>
      <c r="N337" s="1" t="str">
        <f>IF(calc!$L337=1,calc!P337,"")</f>
        <v/>
      </c>
      <c r="O337">
        <f>'Entry data'!C$1</f>
        <v>20064</v>
      </c>
      <c r="P337" t="str">
        <f>'Entry data'!C$2</f>
        <v>NSH</v>
      </c>
      <c r="Q337" t="str">
        <f>'Entry data'!C$3</f>
        <v>Home</v>
      </c>
    </row>
    <row r="338" spans="1:17" x14ac:dyDescent="0.25">
      <c r="A338" s="1" t="str">
        <f>IF(calc!$L338=1,calc!B338,"")</f>
        <v/>
      </c>
      <c r="B338" s="5" t="str">
        <f>IF(calc!$L338=1,calc!C338,"")</f>
        <v/>
      </c>
      <c r="C338" s="1" t="str">
        <f>IF(calc!$L338=1,calc!D338,"")</f>
        <v/>
      </c>
      <c r="D338" s="1" t="str">
        <f>IF(calc!$L338=1,calc!E338,"")</f>
        <v/>
      </c>
      <c r="E338" s="1" t="str">
        <f>IF(calc!$L338=1,IF(EXACT(calc!$D338,"FAC"),"",calc!F338),"")</f>
        <v/>
      </c>
      <c r="F338" s="1" t="str">
        <f>IF(calc!$L338=1,IF(EXACT(calc!$D338,"FAC"),"",calc!G338),"")</f>
        <v/>
      </c>
      <c r="G338" s="1" t="str">
        <f>IF(calc!$L338=1,IF(EXACT(calc!$D338,"FAC"),"",calc!H338),"")</f>
        <v/>
      </c>
      <c r="H338" s="1" t="str">
        <f>IF(calc!$L338=1,IF(EXACT(calc!$D338,"FAC"),"",calc!I338),"")</f>
        <v/>
      </c>
      <c r="I338" s="1" t="str">
        <f>IF(calc!$L338=1,calc!J338,"")</f>
        <v/>
      </c>
      <c r="J338" s="1" t="str">
        <f>IF(calc!$L338=1,calc!K338,"")</f>
        <v/>
      </c>
      <c r="K338" s="1" t="str">
        <f>IF(calc!$L338=1,calc!M338,"")</f>
        <v/>
      </c>
      <c r="L338" s="1" t="str">
        <f>IF(calc!$L338=1,calc!N338,"")</f>
        <v/>
      </c>
      <c r="M338" s="1" t="str">
        <f>IF(calc!$L338=1,calc!O338,"")</f>
        <v/>
      </c>
      <c r="N338" s="1" t="str">
        <f>IF(calc!$L338=1,calc!P338,"")</f>
        <v/>
      </c>
      <c r="O338">
        <f>'Entry data'!C$1</f>
        <v>20064</v>
      </c>
      <c r="P338" t="str">
        <f>'Entry data'!C$2</f>
        <v>NSH</v>
      </c>
      <c r="Q338" t="str">
        <f>'Entry data'!C$3</f>
        <v>Home</v>
      </c>
    </row>
    <row r="339" spans="1:17" x14ac:dyDescent="0.25">
      <c r="A339" s="1" t="str">
        <f>IF(calc!$L339=1,calc!B339,"")</f>
        <v/>
      </c>
      <c r="B339" s="5" t="str">
        <f>IF(calc!$L339=1,calc!C339,"")</f>
        <v/>
      </c>
      <c r="C339" s="1" t="str">
        <f>IF(calc!$L339=1,calc!D339,"")</f>
        <v/>
      </c>
      <c r="D339" s="1" t="str">
        <f>IF(calc!$L339=1,calc!E339,"")</f>
        <v/>
      </c>
      <c r="E339" s="1" t="str">
        <f>IF(calc!$L339=1,IF(EXACT(calc!$D339,"FAC"),"",calc!F339),"")</f>
        <v/>
      </c>
      <c r="F339" s="1" t="str">
        <f>IF(calc!$L339=1,IF(EXACT(calc!$D339,"FAC"),"",calc!G339),"")</f>
        <v/>
      </c>
      <c r="G339" s="1" t="str">
        <f>IF(calc!$L339=1,IF(EXACT(calc!$D339,"FAC"),"",calc!H339),"")</f>
        <v/>
      </c>
      <c r="H339" s="1" t="str">
        <f>IF(calc!$L339=1,IF(EXACT(calc!$D339,"FAC"),"",calc!I339),"")</f>
        <v/>
      </c>
      <c r="I339" s="1" t="str">
        <f>IF(calc!$L339=1,calc!J339,"")</f>
        <v/>
      </c>
      <c r="J339" s="1" t="str">
        <f>IF(calc!$L339=1,calc!K339,"")</f>
        <v/>
      </c>
      <c r="K339" s="1" t="str">
        <f>IF(calc!$L339=1,calc!M339,"")</f>
        <v/>
      </c>
      <c r="L339" s="1" t="str">
        <f>IF(calc!$L339=1,calc!N339,"")</f>
        <v/>
      </c>
      <c r="M339" s="1" t="str">
        <f>IF(calc!$L339=1,calc!O339,"")</f>
        <v/>
      </c>
      <c r="N339" s="1" t="str">
        <f>IF(calc!$L339=1,calc!P339,"")</f>
        <v/>
      </c>
      <c r="O339">
        <f>'Entry data'!C$1</f>
        <v>20064</v>
      </c>
      <c r="P339" t="str">
        <f>'Entry data'!C$2</f>
        <v>NSH</v>
      </c>
      <c r="Q339" t="str">
        <f>'Entry data'!C$3</f>
        <v>Home</v>
      </c>
    </row>
    <row r="340" spans="1:17" x14ac:dyDescent="0.25">
      <c r="A340" s="1" t="str">
        <f>IF(calc!$L340=1,calc!B340,"")</f>
        <v/>
      </c>
      <c r="B340" s="5" t="str">
        <f>IF(calc!$L340=1,calc!C340,"")</f>
        <v/>
      </c>
      <c r="C340" s="1" t="str">
        <f>IF(calc!$L340=1,calc!D340,"")</f>
        <v/>
      </c>
      <c r="D340" s="1" t="str">
        <f>IF(calc!$L340=1,calc!E340,"")</f>
        <v/>
      </c>
      <c r="E340" s="1" t="str">
        <f>IF(calc!$L340=1,IF(EXACT(calc!$D340,"FAC"),"",calc!F340),"")</f>
        <v/>
      </c>
      <c r="F340" s="1" t="str">
        <f>IF(calc!$L340=1,IF(EXACT(calc!$D340,"FAC"),"",calc!G340),"")</f>
        <v/>
      </c>
      <c r="G340" s="1" t="str">
        <f>IF(calc!$L340=1,IF(EXACT(calc!$D340,"FAC"),"",calc!H340),"")</f>
        <v/>
      </c>
      <c r="H340" s="1" t="str">
        <f>IF(calc!$L340=1,IF(EXACT(calc!$D340,"FAC"),"",calc!I340),"")</f>
        <v/>
      </c>
      <c r="I340" s="1" t="str">
        <f>IF(calc!$L340=1,calc!J340,"")</f>
        <v/>
      </c>
      <c r="J340" s="1" t="str">
        <f>IF(calc!$L340=1,calc!K340,"")</f>
        <v/>
      </c>
      <c r="K340" s="1" t="str">
        <f>IF(calc!$L340=1,calc!M340,"")</f>
        <v/>
      </c>
      <c r="L340" s="1" t="str">
        <f>IF(calc!$L340=1,calc!N340,"")</f>
        <v/>
      </c>
      <c r="M340" s="1" t="str">
        <f>IF(calc!$L340=1,calc!O340,"")</f>
        <v/>
      </c>
      <c r="N340" s="1" t="str">
        <f>IF(calc!$L340=1,calc!P340,"")</f>
        <v/>
      </c>
      <c r="O340">
        <f>'Entry data'!C$1</f>
        <v>20064</v>
      </c>
      <c r="P340" t="str">
        <f>'Entry data'!C$2</f>
        <v>NSH</v>
      </c>
      <c r="Q340" t="str">
        <f>'Entry data'!C$3</f>
        <v>Home</v>
      </c>
    </row>
    <row r="341" spans="1:17" x14ac:dyDescent="0.25">
      <c r="A341" s="1">
        <f>IF(calc!$L341=1,calc!B341,"")</f>
        <v>3</v>
      </c>
      <c r="B341" s="5">
        <f>IF(calc!$L341=1,calc!C341,"")</f>
        <v>0.62638888888888888</v>
      </c>
      <c r="C341" s="1" t="str">
        <f>IF(calc!$L341=1,calc!D341,"")</f>
        <v>F</v>
      </c>
      <c r="D341" s="1" t="str">
        <f>IF(calc!$L341=1,calc!E341,"")</f>
        <v>14DET</v>
      </c>
      <c r="E341" s="1" t="str">
        <f>IF(calc!$L341=1,IF(EXACT(calc!$D341,"FAC"),"",calc!F341),"")</f>
        <v>76NSH</v>
      </c>
      <c r="F341" s="1" t="str">
        <f>IF(calc!$L341=1,IF(EXACT(calc!$D341,"FAC"),"",calc!G341),"")</f>
        <v/>
      </c>
      <c r="G341" s="1" t="str">
        <f>IF(calc!$L341=1,IF(EXACT(calc!$D341,"FAC"),"",calc!H341),"")</f>
        <v>C</v>
      </c>
      <c r="H341" s="1" t="str">
        <f>IF(calc!$L341=1,IF(EXACT(calc!$D341,"FAC"),"",calc!I341),"")</f>
        <v>N</v>
      </c>
      <c r="I341" s="1">
        <f>IF(calc!$L341=1,calc!J341,"")</f>
        <v>5</v>
      </c>
      <c r="J341" s="1">
        <f>IF(calc!$L341=1,calc!K341,"")</f>
        <v>5</v>
      </c>
      <c r="K341" s="1" t="str">
        <f>IF(calc!$L341=1,calc!M341,"")</f>
        <v/>
      </c>
      <c r="L341" s="1">
        <f>IF(calc!$L341=1,calc!N341,"")</f>
        <v>0</v>
      </c>
      <c r="M341" s="1">
        <f>IF(calc!$L341=1,calc!O341,"")</f>
        <v>0</v>
      </c>
      <c r="N341" s="1" t="str">
        <f>IF(calc!$L341=1,calc!P341,"")</f>
        <v>14DET</v>
      </c>
      <c r="O341">
        <f>'Entry data'!C$1</f>
        <v>20064</v>
      </c>
      <c r="P341" t="str">
        <f>'Entry data'!C$2</f>
        <v>NSH</v>
      </c>
      <c r="Q341" t="str">
        <f>'Entry data'!C$3</f>
        <v>Home</v>
      </c>
    </row>
    <row r="342" spans="1:17" x14ac:dyDescent="0.25">
      <c r="A342" s="1">
        <f>IF(calc!$L342=1,calc!B342,"")</f>
        <v>3</v>
      </c>
      <c r="B342" s="5">
        <f>IF(calc!$L342=1,calc!C342,"")</f>
        <v>0.62361111111111112</v>
      </c>
      <c r="C342" s="1" t="str">
        <f>IF(calc!$L342=1,calc!D342,"")</f>
        <v>C</v>
      </c>
      <c r="D342" s="1" t="str">
        <f>IF(calc!$L342=1,calc!E342,"")</f>
        <v>63NSH</v>
      </c>
      <c r="E342" s="1" t="str">
        <f>IF(calc!$L342=1,IF(EXACT(calc!$D342,"FAC"),"",calc!F342),"")</f>
        <v>25DET</v>
      </c>
      <c r="F342" s="1" t="str">
        <f>IF(calc!$L342=1,IF(EXACT(calc!$D342,"FAC"),"",calc!G342),"")</f>
        <v>N</v>
      </c>
      <c r="G342" s="1" t="str">
        <f>IF(calc!$L342=1,IF(EXACT(calc!$D342,"FAC"),"",calc!H342),"")</f>
        <v>L</v>
      </c>
      <c r="H342" s="1" t="str">
        <f>IF(calc!$L342=1,IF(EXACT(calc!$D342,"FAC"),"",calc!I342),"")</f>
        <v>N</v>
      </c>
      <c r="I342" s="1">
        <f>IF(calc!$L342=1,calc!J342,"")</f>
        <v>5</v>
      </c>
      <c r="J342" s="1">
        <f>IF(calc!$L342=1,calc!K342,"")</f>
        <v>5</v>
      </c>
      <c r="K342" s="1" t="str">
        <f>IF(calc!$L342=1,calc!M342,"")</f>
        <v>63NSH</v>
      </c>
      <c r="L342" s="1">
        <f>IF(calc!$L342=1,calc!N342,"")</f>
        <v>0</v>
      </c>
      <c r="M342" s="1">
        <f>IF(calc!$L342=1,calc!O342,"")</f>
        <v>0</v>
      </c>
      <c r="N342" s="1" t="str">
        <f>IF(calc!$L342=1,calc!P342,"")</f>
        <v/>
      </c>
      <c r="O342">
        <f>'Entry data'!C$1</f>
        <v>20064</v>
      </c>
      <c r="P342" t="str">
        <f>'Entry data'!C$2</f>
        <v>NSH</v>
      </c>
      <c r="Q342" t="str">
        <f>'Entry data'!C$3</f>
        <v>Home</v>
      </c>
    </row>
    <row r="343" spans="1:17" x14ac:dyDescent="0.25">
      <c r="A343" s="1" t="str">
        <f>IF(calc!$L343=1,calc!B343,"")</f>
        <v/>
      </c>
      <c r="B343" s="5" t="str">
        <f>IF(calc!$L343=1,calc!C343,"")</f>
        <v/>
      </c>
      <c r="C343" s="1" t="str">
        <f>IF(calc!$L343=1,calc!D343,"")</f>
        <v/>
      </c>
      <c r="D343" s="1" t="str">
        <f>IF(calc!$L343=1,calc!E343,"")</f>
        <v/>
      </c>
      <c r="E343" s="1" t="str">
        <f>IF(calc!$L343=1,IF(EXACT(calc!$D343,"FAC"),"",calc!F343),"")</f>
        <v/>
      </c>
      <c r="F343" s="1" t="str">
        <f>IF(calc!$L343=1,IF(EXACT(calc!$D343,"FAC"),"",calc!G343),"")</f>
        <v/>
      </c>
      <c r="G343" s="1" t="str">
        <f>IF(calc!$L343=1,IF(EXACT(calc!$D343,"FAC"),"",calc!H343),"")</f>
        <v/>
      </c>
      <c r="H343" s="1" t="str">
        <f>IF(calc!$L343=1,IF(EXACT(calc!$D343,"FAC"),"",calc!I343),"")</f>
        <v/>
      </c>
      <c r="I343" s="1" t="str">
        <f>IF(calc!$L343=1,calc!J343,"")</f>
        <v/>
      </c>
      <c r="J343" s="1" t="str">
        <f>IF(calc!$L343=1,calc!K343,"")</f>
        <v/>
      </c>
      <c r="K343" s="1" t="str">
        <f>IF(calc!$L343=1,calc!M343,"")</f>
        <v/>
      </c>
      <c r="L343" s="1" t="str">
        <f>IF(calc!$L343=1,calc!N343,"")</f>
        <v/>
      </c>
      <c r="M343" s="1" t="str">
        <f>IF(calc!$L343=1,calc!O343,"")</f>
        <v/>
      </c>
      <c r="N343" s="1" t="str">
        <f>IF(calc!$L343=1,calc!P343,"")</f>
        <v/>
      </c>
      <c r="O343">
        <f>'Entry data'!C$1</f>
        <v>20064</v>
      </c>
      <c r="P343" t="str">
        <f>'Entry data'!C$2</f>
        <v>NSH</v>
      </c>
      <c r="Q343" t="str">
        <f>'Entry data'!C$3</f>
        <v>Home</v>
      </c>
    </row>
    <row r="344" spans="1:17" x14ac:dyDescent="0.25">
      <c r="A344" s="1">
        <f>IF(calc!$L344=1,calc!B344,"")</f>
        <v>3</v>
      </c>
      <c r="B344" s="5">
        <f>IF(calc!$L344=1,calc!C344,"")</f>
        <v>0.61527777777777781</v>
      </c>
      <c r="C344" s="1" t="str">
        <f>IF(calc!$L344=1,calc!D344,"")</f>
        <v>D</v>
      </c>
      <c r="D344" s="1" t="str">
        <f>IF(calc!$L344=1,calc!E344,"")</f>
        <v>56NSH</v>
      </c>
      <c r="E344" s="1" t="str">
        <f>IF(calc!$L344=1,IF(EXACT(calc!$D344,"FAC"),"",calc!F344),"")</f>
        <v>40DET</v>
      </c>
      <c r="F344" s="1" t="str">
        <f>IF(calc!$L344=1,IF(EXACT(calc!$D344,"FAC"),"",calc!G344),"")</f>
        <v/>
      </c>
      <c r="G344" s="1" t="str">
        <f>IF(calc!$L344=1,IF(EXACT(calc!$D344,"FAC"),"",calc!H344),"")</f>
        <v>L</v>
      </c>
      <c r="H344" s="1" t="str">
        <f>IF(calc!$L344=1,IF(EXACT(calc!$D344,"FAC"),"",calc!I344),"")</f>
        <v>N</v>
      </c>
      <c r="I344" s="1">
        <f>IF(calc!$L344=1,calc!J344,"")</f>
        <v>5</v>
      </c>
      <c r="J344" s="1">
        <f>IF(calc!$L344=1,calc!K344,"")</f>
        <v>5</v>
      </c>
      <c r="K344" s="1" t="str">
        <f>IF(calc!$L344=1,calc!M344,"")</f>
        <v/>
      </c>
      <c r="L344" s="1">
        <f>IF(calc!$L344=1,calc!N344,"")</f>
        <v>0</v>
      </c>
      <c r="M344" s="1">
        <f>IF(calc!$L344=1,calc!O344,"")</f>
        <v>0</v>
      </c>
      <c r="N344" s="1" t="str">
        <f>IF(calc!$L344=1,calc!P344,"")</f>
        <v/>
      </c>
      <c r="O344">
        <f>'Entry data'!C$1</f>
        <v>20064</v>
      </c>
      <c r="P344" t="str">
        <f>'Entry data'!C$2</f>
        <v>NSH</v>
      </c>
      <c r="Q344" t="str">
        <f>'Entry data'!C$3</f>
        <v>Home</v>
      </c>
    </row>
    <row r="345" spans="1:17" x14ac:dyDescent="0.25">
      <c r="A345" s="1">
        <f>IF(calc!$L345=1,calc!B345,"")</f>
        <v>3</v>
      </c>
      <c r="B345" s="5">
        <f>IF(calc!$L345=1,calc!C345,"")</f>
        <v>0.59305555555555556</v>
      </c>
      <c r="C345" s="1" t="str">
        <f>IF(calc!$L345=1,calc!D345,"")</f>
        <v>D</v>
      </c>
      <c r="D345" s="1" t="str">
        <f>IF(calc!$L345=1,calc!E345,"")</f>
        <v>9NSH</v>
      </c>
      <c r="E345" s="1" t="str">
        <f>IF(calc!$L345=1,IF(EXACT(calc!$D345,"FAC"),"",calc!F345),"")</f>
        <v>N</v>
      </c>
      <c r="F345" s="1" t="str">
        <f>IF(calc!$L345=1,IF(EXACT(calc!$D345,"FAC"),"",calc!G345),"")</f>
        <v/>
      </c>
      <c r="G345" s="1" t="str">
        <f>IF(calc!$L345=1,IF(EXACT(calc!$D345,"FAC"),"",calc!H345),"")</f>
        <v>L</v>
      </c>
      <c r="H345" s="1" t="str">
        <f>IF(calc!$L345=1,IF(EXACT(calc!$D345,"FAC"),"",calc!I345),"")</f>
        <v>N</v>
      </c>
      <c r="I345" s="1">
        <f>IF(calc!$L345=1,calc!J345,"")</f>
        <v>5</v>
      </c>
      <c r="J345" s="1">
        <f>IF(calc!$L345=1,calc!K345,"")</f>
        <v>5</v>
      </c>
      <c r="K345" s="1" t="str">
        <f>IF(calc!$L345=1,calc!M345,"")</f>
        <v/>
      </c>
      <c r="L345" s="1">
        <f>IF(calc!$L345=1,calc!N345,"")</f>
        <v>0</v>
      </c>
      <c r="M345" s="1">
        <f>IF(calc!$L345=1,calc!O345,"")</f>
        <v>0</v>
      </c>
      <c r="N345" s="1" t="str">
        <f>IF(calc!$L345=1,calc!P345,"")</f>
        <v/>
      </c>
      <c r="O345">
        <f>'Entry data'!C$1</f>
        <v>20064</v>
      </c>
      <c r="P345" t="str">
        <f>'Entry data'!C$2</f>
        <v>NSH</v>
      </c>
      <c r="Q345" t="str">
        <f>'Entry data'!C$3</f>
        <v>Home</v>
      </c>
    </row>
    <row r="346" spans="1:17" x14ac:dyDescent="0.25">
      <c r="A346" s="1">
        <f>IF(calc!$L346=1,calc!B346,"")</f>
        <v>3</v>
      </c>
      <c r="B346" s="5">
        <f>IF(calc!$L346=1,calc!C346,"")</f>
        <v>0.58333333333333337</v>
      </c>
      <c r="C346" s="1" t="str">
        <f>IF(calc!$L346=1,calc!D346,"")</f>
        <v>C</v>
      </c>
      <c r="D346" s="1" t="str">
        <f>IF(calc!$L346=1,calc!E346,"")</f>
        <v>56NSH</v>
      </c>
      <c r="E346" s="1" t="str">
        <f>IF(calc!$L346=1,IF(EXACT(calc!$D346,"FAC"),"",calc!F346),"")</f>
        <v>48DET</v>
      </c>
      <c r="F346" s="1" t="str">
        <f>IF(calc!$L346=1,IF(EXACT(calc!$D346,"FAC"),"",calc!G346),"")</f>
        <v>Y</v>
      </c>
      <c r="G346" s="1" t="str">
        <f>IF(calc!$L346=1,IF(EXACT(calc!$D346,"FAC"),"",calc!H346),"")</f>
        <v>L</v>
      </c>
      <c r="H346" s="1" t="str">
        <f>IF(calc!$L346=1,IF(EXACT(calc!$D346,"FAC"),"",calc!I346),"")</f>
        <v>N</v>
      </c>
      <c r="I346" s="1">
        <f>IF(calc!$L346=1,calc!J346,"")</f>
        <v>5</v>
      </c>
      <c r="J346" s="1">
        <f>IF(calc!$L346=1,calc!K346,"")</f>
        <v>5</v>
      </c>
      <c r="K346" s="1" t="str">
        <f>IF(calc!$L346=1,calc!M346,"")</f>
        <v>56NSH</v>
      </c>
      <c r="L346" s="1">
        <f>IF(calc!$L346=1,calc!N346,"")</f>
        <v>1</v>
      </c>
      <c r="M346" s="1">
        <f>IF(calc!$L346=1,calc!O346,"")</f>
        <v>0</v>
      </c>
      <c r="N346" s="1" t="str">
        <f>IF(calc!$L346=1,calc!P346,"")</f>
        <v/>
      </c>
      <c r="O346">
        <f>'Entry data'!C$1</f>
        <v>20064</v>
      </c>
      <c r="P346" t="str">
        <f>'Entry data'!C$2</f>
        <v>NSH</v>
      </c>
      <c r="Q346" t="str">
        <f>'Entry data'!C$3</f>
        <v>Home</v>
      </c>
    </row>
    <row r="347" spans="1:17" x14ac:dyDescent="0.25">
      <c r="A347" s="1" t="str">
        <f>IF(calc!$L347=1,calc!B347,"")</f>
        <v/>
      </c>
      <c r="B347" s="5" t="str">
        <f>IF(calc!$L347=1,calc!C347,"")</f>
        <v/>
      </c>
      <c r="C347" s="1" t="str">
        <f>IF(calc!$L347=1,calc!D347,"")</f>
        <v/>
      </c>
      <c r="D347" s="1" t="str">
        <f>IF(calc!$L347=1,calc!E347,"")</f>
        <v/>
      </c>
      <c r="E347" s="1" t="str">
        <f>IF(calc!$L347=1,IF(EXACT(calc!$D347,"FAC"),"",calc!F347),"")</f>
        <v/>
      </c>
      <c r="F347" s="1" t="str">
        <f>IF(calc!$L347=1,IF(EXACT(calc!$D347,"FAC"),"",calc!G347),"")</f>
        <v/>
      </c>
      <c r="G347" s="1" t="str">
        <f>IF(calc!$L347=1,IF(EXACT(calc!$D347,"FAC"),"",calc!H347),"")</f>
        <v/>
      </c>
      <c r="H347" s="1" t="str">
        <f>IF(calc!$L347=1,IF(EXACT(calc!$D347,"FAC"),"",calc!I347),"")</f>
        <v/>
      </c>
      <c r="I347" s="1" t="str">
        <f>IF(calc!$L347=1,calc!J347,"")</f>
        <v/>
      </c>
      <c r="J347" s="1" t="str">
        <f>IF(calc!$L347=1,calc!K347,"")</f>
        <v/>
      </c>
      <c r="K347" s="1" t="str">
        <f>IF(calc!$L347=1,calc!M347,"")</f>
        <v/>
      </c>
      <c r="L347" s="1" t="str">
        <f>IF(calc!$L347=1,calc!N347,"")</f>
        <v/>
      </c>
      <c r="M347" s="1" t="str">
        <f>IF(calc!$L347=1,calc!O347,"")</f>
        <v/>
      </c>
      <c r="N347" s="1" t="str">
        <f>IF(calc!$L347=1,calc!P347,"")</f>
        <v/>
      </c>
      <c r="O347">
        <f>'Entry data'!C$1</f>
        <v>20064</v>
      </c>
      <c r="P347" t="str">
        <f>'Entry data'!C$2</f>
        <v>NSH</v>
      </c>
      <c r="Q347" t="str">
        <f>'Entry data'!C$3</f>
        <v>Home</v>
      </c>
    </row>
    <row r="348" spans="1:17" x14ac:dyDescent="0.25">
      <c r="A348" s="1" t="str">
        <f>IF(calc!$L348=1,calc!B348,"")</f>
        <v/>
      </c>
      <c r="B348" s="5" t="str">
        <f>IF(calc!$L348=1,calc!C348,"")</f>
        <v/>
      </c>
      <c r="C348" s="1" t="str">
        <f>IF(calc!$L348=1,calc!D348,"")</f>
        <v/>
      </c>
      <c r="D348" s="1" t="str">
        <f>IF(calc!$L348=1,calc!E348,"")</f>
        <v/>
      </c>
      <c r="E348" s="1" t="str">
        <f>IF(calc!$L348=1,IF(EXACT(calc!$D348,"FAC"),"",calc!F348),"")</f>
        <v/>
      </c>
      <c r="F348" s="1" t="str">
        <f>IF(calc!$L348=1,IF(EXACT(calc!$D348,"FAC"),"",calc!G348),"")</f>
        <v/>
      </c>
      <c r="G348" s="1" t="str">
        <f>IF(calc!$L348=1,IF(EXACT(calc!$D348,"FAC"),"",calc!H348),"")</f>
        <v/>
      </c>
      <c r="H348" s="1" t="str">
        <f>IF(calc!$L348=1,IF(EXACT(calc!$D348,"FAC"),"",calc!I348),"")</f>
        <v/>
      </c>
      <c r="I348" s="1" t="str">
        <f>IF(calc!$L348=1,calc!J348,"")</f>
        <v/>
      </c>
      <c r="J348" s="1" t="str">
        <f>IF(calc!$L348=1,calc!K348,"")</f>
        <v/>
      </c>
      <c r="K348" s="1" t="str">
        <f>IF(calc!$L348=1,calc!M348,"")</f>
        <v/>
      </c>
      <c r="L348" s="1" t="str">
        <f>IF(calc!$L348=1,calc!N348,"")</f>
        <v/>
      </c>
      <c r="M348" s="1" t="str">
        <f>IF(calc!$L348=1,calc!O348,"")</f>
        <v/>
      </c>
      <c r="N348" s="1" t="str">
        <f>IF(calc!$L348=1,calc!P348,"")</f>
        <v/>
      </c>
      <c r="O348">
        <f>'Entry data'!C$1</f>
        <v>20064</v>
      </c>
      <c r="P348" t="str">
        <f>'Entry data'!C$2</f>
        <v>NSH</v>
      </c>
      <c r="Q348" t="str">
        <f>'Entry data'!C$3</f>
        <v>Home</v>
      </c>
    </row>
    <row r="349" spans="1:17" x14ac:dyDescent="0.25">
      <c r="A349" s="1">
        <f>IF(calc!$L349=1,calc!B349,"")</f>
        <v>3</v>
      </c>
      <c r="B349" s="5">
        <f>IF(calc!$L349=1,calc!C349,"")</f>
        <v>0.55902777777777779</v>
      </c>
      <c r="C349" s="1" t="str">
        <f>IF(calc!$L349=1,calc!D349,"")</f>
        <v>F</v>
      </c>
      <c r="D349" s="1" t="str">
        <f>IF(calc!$L349=1,calc!E349,"")</f>
        <v>62DET</v>
      </c>
      <c r="E349" s="1" t="str">
        <f>IF(calc!$L349=1,IF(EXACT(calc!$D349,"FAC"),"",calc!F349),"")</f>
        <v>76NSH</v>
      </c>
      <c r="F349" s="1" t="str">
        <f>IF(calc!$L349=1,IF(EXACT(calc!$D349,"FAC"),"",calc!G349),"")</f>
        <v/>
      </c>
      <c r="G349" s="1" t="str">
        <f>IF(calc!$L349=1,IF(EXACT(calc!$D349,"FAC"),"",calc!H349),"")</f>
        <v>C</v>
      </c>
      <c r="H349" s="1" t="str">
        <f>IF(calc!$L349=1,IF(EXACT(calc!$D349,"FAC"),"",calc!I349),"")</f>
        <v>N</v>
      </c>
      <c r="I349" s="1">
        <f>IF(calc!$L349=1,calc!J349,"")</f>
        <v>5</v>
      </c>
      <c r="J349" s="1">
        <f>IF(calc!$L349=1,calc!K349,"")</f>
        <v>5</v>
      </c>
      <c r="K349" s="1" t="str">
        <f>IF(calc!$L349=1,calc!M349,"")</f>
        <v/>
      </c>
      <c r="L349" s="1">
        <f>IF(calc!$L349=1,calc!N349,"")</f>
        <v>0</v>
      </c>
      <c r="M349" s="1">
        <f>IF(calc!$L349=1,calc!O349,"")</f>
        <v>0</v>
      </c>
      <c r="N349" s="1" t="str">
        <f>IF(calc!$L349=1,calc!P349,"")</f>
        <v>62DET</v>
      </c>
      <c r="O349">
        <f>'Entry data'!C$1</f>
        <v>20064</v>
      </c>
      <c r="P349" t="str">
        <f>'Entry data'!C$2</f>
        <v>NSH</v>
      </c>
      <c r="Q349" t="str">
        <f>'Entry data'!C$3</f>
        <v>Home</v>
      </c>
    </row>
    <row r="350" spans="1:17" x14ac:dyDescent="0.25">
      <c r="A350" s="1" t="str">
        <f>IF(calc!$L350=1,calc!B350,"")</f>
        <v/>
      </c>
      <c r="B350" s="5" t="str">
        <f>IF(calc!$L350=1,calc!C350,"")</f>
        <v/>
      </c>
      <c r="C350" s="1" t="str">
        <f>IF(calc!$L350=1,calc!D350,"")</f>
        <v/>
      </c>
      <c r="D350" s="1" t="str">
        <f>IF(calc!$L350=1,calc!E350,"")</f>
        <v/>
      </c>
      <c r="E350" s="1" t="str">
        <f>IF(calc!$L350=1,IF(EXACT(calc!$D350,"FAC"),"",calc!F350),"")</f>
        <v/>
      </c>
      <c r="F350" s="1" t="str">
        <f>IF(calc!$L350=1,IF(EXACT(calc!$D350,"FAC"),"",calc!G350),"")</f>
        <v/>
      </c>
      <c r="G350" s="1" t="str">
        <f>IF(calc!$L350=1,IF(EXACT(calc!$D350,"FAC"),"",calc!H350),"")</f>
        <v/>
      </c>
      <c r="H350" s="1" t="str">
        <f>IF(calc!$L350=1,IF(EXACT(calc!$D350,"FAC"),"",calc!I350),"")</f>
        <v/>
      </c>
      <c r="I350" s="1" t="str">
        <f>IF(calc!$L350=1,calc!J350,"")</f>
        <v/>
      </c>
      <c r="J350" s="1" t="str">
        <f>IF(calc!$L350=1,calc!K350,"")</f>
        <v/>
      </c>
      <c r="K350" s="1" t="str">
        <f>IF(calc!$L350=1,calc!M350,"")</f>
        <v/>
      </c>
      <c r="L350" s="1" t="str">
        <f>IF(calc!$L350=1,calc!N350,"")</f>
        <v/>
      </c>
      <c r="M350" s="1" t="str">
        <f>IF(calc!$L350=1,calc!O350,"")</f>
        <v/>
      </c>
      <c r="N350" s="1" t="str">
        <f>IF(calc!$L350=1,calc!P350,"")</f>
        <v/>
      </c>
      <c r="O350">
        <f>'Entry data'!C$1</f>
        <v>20064</v>
      </c>
      <c r="P350" t="str">
        <f>'Entry data'!C$2</f>
        <v>NSH</v>
      </c>
      <c r="Q350" t="str">
        <f>'Entry data'!C$3</f>
        <v>Home</v>
      </c>
    </row>
    <row r="351" spans="1:17" x14ac:dyDescent="0.25">
      <c r="A351" s="1">
        <f>IF(calc!$L351=1,calc!B351,"")</f>
        <v>3</v>
      </c>
      <c r="B351" s="5">
        <f>IF(calc!$L351=1,calc!C351,"")</f>
        <v>0.55694444444444446</v>
      </c>
      <c r="C351" s="1" t="str">
        <f>IF(calc!$L351=1,calc!D351,"")</f>
        <v>D</v>
      </c>
      <c r="D351" s="1" t="str">
        <f>IF(calc!$L351=1,calc!E351,"")</f>
        <v>18NSH</v>
      </c>
      <c r="E351" s="1" t="str">
        <f>IF(calc!$L351=1,IF(EXACT(calc!$D351,"FAC"),"",calc!F351),"")</f>
        <v>N</v>
      </c>
      <c r="F351" s="1" t="str">
        <f>IF(calc!$L351=1,IF(EXACT(calc!$D351,"FAC"),"",calc!G351),"")</f>
        <v/>
      </c>
      <c r="G351" s="1" t="str">
        <f>IF(calc!$L351=1,IF(EXACT(calc!$D351,"FAC"),"",calc!H351),"")</f>
        <v>R</v>
      </c>
      <c r="H351" s="1" t="str">
        <f>IF(calc!$L351=1,IF(EXACT(calc!$D351,"FAC"),"",calc!I351),"")</f>
        <v>N</v>
      </c>
      <c r="I351" s="1">
        <f>IF(calc!$L351=1,calc!J351,"")</f>
        <v>5</v>
      </c>
      <c r="J351" s="1">
        <f>IF(calc!$L351=1,calc!K351,"")</f>
        <v>5</v>
      </c>
      <c r="K351" s="1" t="str">
        <f>IF(calc!$L351=1,calc!M351,"")</f>
        <v/>
      </c>
      <c r="L351" s="1">
        <f>IF(calc!$L351=1,calc!N351,"")</f>
        <v>1</v>
      </c>
      <c r="M351" s="1">
        <f>IF(calc!$L351=1,calc!O351,"")</f>
        <v>0</v>
      </c>
      <c r="N351" s="1" t="str">
        <f>IF(calc!$L351=1,calc!P351,"")</f>
        <v/>
      </c>
      <c r="O351">
        <f>'Entry data'!C$1</f>
        <v>20064</v>
      </c>
      <c r="P351" t="str">
        <f>'Entry data'!C$2</f>
        <v>NSH</v>
      </c>
      <c r="Q351" t="str">
        <f>'Entry data'!C$3</f>
        <v>Home</v>
      </c>
    </row>
    <row r="352" spans="1:17" x14ac:dyDescent="0.25">
      <c r="A352" s="1" t="str">
        <f>IF(calc!$L352=1,calc!B352,"")</f>
        <v/>
      </c>
      <c r="B352" s="5" t="str">
        <f>IF(calc!$L352=1,calc!C352,"")</f>
        <v/>
      </c>
      <c r="C352" s="1" t="str">
        <f>IF(calc!$L352=1,calc!D352,"")</f>
        <v/>
      </c>
      <c r="D352" s="1" t="str">
        <f>IF(calc!$L352=1,calc!E352,"")</f>
        <v/>
      </c>
      <c r="E352" s="1" t="str">
        <f>IF(calc!$L352=1,IF(EXACT(calc!$D352,"FAC"),"",calc!F352),"")</f>
        <v/>
      </c>
      <c r="F352" s="1" t="str">
        <f>IF(calc!$L352=1,IF(EXACT(calc!$D352,"FAC"),"",calc!G352),"")</f>
        <v/>
      </c>
      <c r="G352" s="1" t="str">
        <f>IF(calc!$L352=1,IF(EXACT(calc!$D352,"FAC"),"",calc!H352),"")</f>
        <v/>
      </c>
      <c r="H352" s="1" t="str">
        <f>IF(calc!$L352=1,IF(EXACT(calc!$D352,"FAC"),"",calc!I352),"")</f>
        <v/>
      </c>
      <c r="I352" s="1" t="str">
        <f>IF(calc!$L352=1,calc!J352,"")</f>
        <v/>
      </c>
      <c r="J352" s="1" t="str">
        <f>IF(calc!$L352=1,calc!K352,"")</f>
        <v/>
      </c>
      <c r="K352" s="1" t="str">
        <f>IF(calc!$L352=1,calc!M352,"")</f>
        <v/>
      </c>
      <c r="L352" s="1" t="str">
        <f>IF(calc!$L352=1,calc!N352,"")</f>
        <v/>
      </c>
      <c r="M352" s="1" t="str">
        <f>IF(calc!$L352=1,calc!O352,"")</f>
        <v/>
      </c>
      <c r="N352" s="1" t="str">
        <f>IF(calc!$L352=1,calc!P352,"")</f>
        <v/>
      </c>
      <c r="O352">
        <f>'Entry data'!C$1</f>
        <v>20064</v>
      </c>
      <c r="P352" t="str">
        <f>'Entry data'!C$2</f>
        <v>NSH</v>
      </c>
      <c r="Q352" t="str">
        <f>'Entry data'!C$3</f>
        <v>Home</v>
      </c>
    </row>
    <row r="353" spans="1:17" x14ac:dyDescent="0.25">
      <c r="A353" s="1" t="str">
        <f>IF(calc!$L353=1,calc!B353,"")</f>
        <v/>
      </c>
      <c r="B353" s="5" t="str">
        <f>IF(calc!$L353=1,calc!C353,"")</f>
        <v/>
      </c>
      <c r="C353" s="1" t="str">
        <f>IF(calc!$L353=1,calc!D353,"")</f>
        <v/>
      </c>
      <c r="D353" s="1" t="str">
        <f>IF(calc!$L353=1,calc!E353,"")</f>
        <v/>
      </c>
      <c r="E353" s="1" t="str">
        <f>IF(calc!$L353=1,IF(EXACT(calc!$D353,"FAC"),"",calc!F353),"")</f>
        <v/>
      </c>
      <c r="F353" s="1" t="str">
        <f>IF(calc!$L353=1,IF(EXACT(calc!$D353,"FAC"),"",calc!G353),"")</f>
        <v/>
      </c>
      <c r="G353" s="1" t="str">
        <f>IF(calc!$L353=1,IF(EXACT(calc!$D353,"FAC"),"",calc!H353),"")</f>
        <v/>
      </c>
      <c r="H353" s="1" t="str">
        <f>IF(calc!$L353=1,IF(EXACT(calc!$D353,"FAC"),"",calc!I353),"")</f>
        <v/>
      </c>
      <c r="I353" s="1" t="str">
        <f>IF(calc!$L353=1,calc!J353,"")</f>
        <v/>
      </c>
      <c r="J353" s="1" t="str">
        <f>IF(calc!$L353=1,calc!K353,"")</f>
        <v/>
      </c>
      <c r="K353" s="1" t="str">
        <f>IF(calc!$L353=1,calc!M353,"")</f>
        <v/>
      </c>
      <c r="L353" s="1" t="str">
        <f>IF(calc!$L353=1,calc!N353,"")</f>
        <v/>
      </c>
      <c r="M353" s="1" t="str">
        <f>IF(calc!$L353=1,calc!O353,"")</f>
        <v/>
      </c>
      <c r="N353" s="1" t="str">
        <f>IF(calc!$L353=1,calc!P353,"")</f>
        <v/>
      </c>
      <c r="O353">
        <f>'Entry data'!C$1</f>
        <v>20064</v>
      </c>
      <c r="P353" t="str">
        <f>'Entry data'!C$2</f>
        <v>NSH</v>
      </c>
      <c r="Q353" t="str">
        <f>'Entry data'!C$3</f>
        <v>Home</v>
      </c>
    </row>
    <row r="354" spans="1:17" x14ac:dyDescent="0.25">
      <c r="A354" s="1">
        <f>IF(calc!$L354=1,calc!B354,"")</f>
        <v>3</v>
      </c>
      <c r="B354" s="5">
        <f>IF(calc!$L354=1,calc!C354,"")</f>
        <v>0.54236111111111118</v>
      </c>
      <c r="C354" s="1" t="str">
        <f>IF(calc!$L354=1,calc!D354,"")</f>
        <v>C</v>
      </c>
      <c r="D354" s="1" t="str">
        <f>IF(calc!$L354=1,calc!E354,"")</f>
        <v>41DET</v>
      </c>
      <c r="E354" s="1" t="str">
        <f>IF(calc!$L354=1,IF(EXACT(calc!$D354,"FAC"),"",calc!F354),"")</f>
        <v>4NSH</v>
      </c>
      <c r="F354" s="1" t="str">
        <f>IF(calc!$L354=1,IF(EXACT(calc!$D354,"FAC"),"",calc!G354),"")</f>
        <v>Y</v>
      </c>
      <c r="G354" s="1" t="str">
        <f>IF(calc!$L354=1,IF(EXACT(calc!$D354,"FAC"),"",calc!H354),"")</f>
        <v>L</v>
      </c>
      <c r="H354" s="1" t="str">
        <f>IF(calc!$L354=1,IF(EXACT(calc!$D354,"FAC"),"",calc!I354),"")</f>
        <v>N</v>
      </c>
      <c r="I354" s="1">
        <f>IF(calc!$L354=1,calc!J354,"")</f>
        <v>5</v>
      </c>
      <c r="J354" s="1">
        <f>IF(calc!$L354=1,calc!K354,"")</f>
        <v>5</v>
      </c>
      <c r="K354" s="1" t="str">
        <f>IF(calc!$L354=1,calc!M354,"")</f>
        <v>41DET</v>
      </c>
      <c r="L354" s="1">
        <f>IF(calc!$L354=1,calc!N354,"")</f>
        <v>1</v>
      </c>
      <c r="M354" s="1">
        <f>IF(calc!$L354=1,calc!O354,"")</f>
        <v>0</v>
      </c>
      <c r="N354" s="1" t="str">
        <f>IF(calc!$L354=1,calc!P354,"")</f>
        <v/>
      </c>
      <c r="O354">
        <f>'Entry data'!C$1</f>
        <v>20064</v>
      </c>
      <c r="P354" t="str">
        <f>'Entry data'!C$2</f>
        <v>NSH</v>
      </c>
      <c r="Q354" t="str">
        <f>'Entry data'!C$3</f>
        <v>Home</v>
      </c>
    </row>
    <row r="355" spans="1:17" x14ac:dyDescent="0.25">
      <c r="A355" s="1" t="str">
        <f>IF(calc!$L355=1,calc!B355,"")</f>
        <v/>
      </c>
      <c r="B355" s="5" t="str">
        <f>IF(calc!$L355=1,calc!C355,"")</f>
        <v/>
      </c>
      <c r="C355" s="1" t="str">
        <f>IF(calc!$L355=1,calc!D355,"")</f>
        <v/>
      </c>
      <c r="D355" s="1" t="str">
        <f>IF(calc!$L355=1,calc!E355,"")</f>
        <v/>
      </c>
      <c r="E355" s="1" t="str">
        <f>IF(calc!$L355=1,IF(EXACT(calc!$D355,"FAC"),"",calc!F355),"")</f>
        <v/>
      </c>
      <c r="F355" s="1" t="str">
        <f>IF(calc!$L355=1,IF(EXACT(calc!$D355,"FAC"),"",calc!G355),"")</f>
        <v/>
      </c>
      <c r="G355" s="1" t="str">
        <f>IF(calc!$L355=1,IF(EXACT(calc!$D355,"FAC"),"",calc!H355),"")</f>
        <v/>
      </c>
      <c r="H355" s="1" t="str">
        <f>IF(calc!$L355=1,IF(EXACT(calc!$D355,"FAC"),"",calc!I355),"")</f>
        <v/>
      </c>
      <c r="I355" s="1" t="str">
        <f>IF(calc!$L355=1,calc!J355,"")</f>
        <v/>
      </c>
      <c r="J355" s="1" t="str">
        <f>IF(calc!$L355=1,calc!K355,"")</f>
        <v/>
      </c>
      <c r="K355" s="1" t="str">
        <f>IF(calc!$L355=1,calc!M355,"")</f>
        <v/>
      </c>
      <c r="L355" s="1" t="str">
        <f>IF(calc!$L355=1,calc!N355,"")</f>
        <v/>
      </c>
      <c r="M355" s="1" t="str">
        <f>IF(calc!$L355=1,calc!O355,"")</f>
        <v/>
      </c>
      <c r="N355" s="1" t="str">
        <f>IF(calc!$L355=1,calc!P355,"")</f>
        <v/>
      </c>
      <c r="O355">
        <f>'Entry data'!C$1</f>
        <v>20064</v>
      </c>
      <c r="P355" t="str">
        <f>'Entry data'!C$2</f>
        <v>NSH</v>
      </c>
      <c r="Q355" t="str">
        <f>'Entry data'!C$3</f>
        <v>Home</v>
      </c>
    </row>
    <row r="356" spans="1:17" x14ac:dyDescent="0.25">
      <c r="A356" s="1" t="str">
        <f>IF(calc!$L356=1,calc!B356,"")</f>
        <v/>
      </c>
      <c r="B356" s="5" t="str">
        <f>IF(calc!$L356=1,calc!C356,"")</f>
        <v/>
      </c>
      <c r="C356" s="1" t="str">
        <f>IF(calc!$L356=1,calc!D356,"")</f>
        <v/>
      </c>
      <c r="D356" s="1" t="str">
        <f>IF(calc!$L356=1,calc!E356,"")</f>
        <v/>
      </c>
      <c r="E356" s="1" t="str">
        <f>IF(calc!$L356=1,IF(EXACT(calc!$D356,"FAC"),"",calc!F356),"")</f>
        <v/>
      </c>
      <c r="F356" s="1" t="str">
        <f>IF(calc!$L356=1,IF(EXACT(calc!$D356,"FAC"),"",calc!G356),"")</f>
        <v/>
      </c>
      <c r="G356" s="1" t="str">
        <f>IF(calc!$L356=1,IF(EXACT(calc!$D356,"FAC"),"",calc!H356),"")</f>
        <v/>
      </c>
      <c r="H356" s="1" t="str">
        <f>IF(calc!$L356=1,IF(EXACT(calc!$D356,"FAC"),"",calc!I356),"")</f>
        <v/>
      </c>
      <c r="I356" s="1" t="str">
        <f>IF(calc!$L356=1,calc!J356,"")</f>
        <v/>
      </c>
      <c r="J356" s="1" t="str">
        <f>IF(calc!$L356=1,calc!K356,"")</f>
        <v/>
      </c>
      <c r="K356" s="1" t="str">
        <f>IF(calc!$L356=1,calc!M356,"")</f>
        <v/>
      </c>
      <c r="L356" s="1" t="str">
        <f>IF(calc!$L356=1,calc!N356,"")</f>
        <v/>
      </c>
      <c r="M356" s="1" t="str">
        <f>IF(calc!$L356=1,calc!O356,"")</f>
        <v/>
      </c>
      <c r="N356" s="1" t="str">
        <f>IF(calc!$L356=1,calc!P356,"")</f>
        <v/>
      </c>
      <c r="O356">
        <f>'Entry data'!C$1</f>
        <v>20064</v>
      </c>
      <c r="P356" t="str">
        <f>'Entry data'!C$2</f>
        <v>NSH</v>
      </c>
      <c r="Q356" t="str">
        <f>'Entry data'!C$3</f>
        <v>Home</v>
      </c>
    </row>
    <row r="357" spans="1:17" x14ac:dyDescent="0.25">
      <c r="A357" s="1">
        <f>IF(calc!$L357=1,calc!B357,"")</f>
        <v>3</v>
      </c>
      <c r="B357" s="5">
        <f>IF(calc!$L357=1,calc!C357,"")</f>
        <v>0.52847222222222223</v>
      </c>
      <c r="C357" s="1" t="str">
        <f>IF(calc!$L357=1,calc!D357,"")</f>
        <v>D</v>
      </c>
      <c r="D357" s="1" t="str">
        <f>IF(calc!$L357=1,calc!E357,"")</f>
        <v>29DET</v>
      </c>
      <c r="E357" s="1" t="str">
        <f>IF(calc!$L357=1,IF(EXACT(calc!$D357,"FAC"),"",calc!F357),"")</f>
        <v>N</v>
      </c>
      <c r="F357" s="1" t="str">
        <f>IF(calc!$L357=1,IF(EXACT(calc!$D357,"FAC"),"",calc!G357),"")</f>
        <v/>
      </c>
      <c r="G357" s="1" t="str">
        <f>IF(calc!$L357=1,IF(EXACT(calc!$D357,"FAC"),"",calc!H357),"")</f>
        <v>L</v>
      </c>
      <c r="H357" s="1" t="str">
        <f>IF(calc!$L357=1,IF(EXACT(calc!$D357,"FAC"),"",calc!I357),"")</f>
        <v>N</v>
      </c>
      <c r="I357" s="1">
        <f>IF(calc!$L357=1,calc!J357,"")</f>
        <v>5</v>
      </c>
      <c r="J357" s="1">
        <f>IF(calc!$L357=1,calc!K357,"")</f>
        <v>5</v>
      </c>
      <c r="K357" s="1" t="str">
        <f>IF(calc!$L357=1,calc!M357,"")</f>
        <v/>
      </c>
      <c r="L357" s="1">
        <f>IF(calc!$L357=1,calc!N357,"")</f>
        <v>0</v>
      </c>
      <c r="M357" s="1">
        <f>IF(calc!$L357=1,calc!O357,"")</f>
        <v>0</v>
      </c>
      <c r="N357" s="1" t="str">
        <f>IF(calc!$L357=1,calc!P357,"")</f>
        <v/>
      </c>
      <c r="O357">
        <f>'Entry data'!C$1</f>
        <v>20064</v>
      </c>
      <c r="P357" t="str">
        <f>'Entry data'!C$2</f>
        <v>NSH</v>
      </c>
      <c r="Q357" t="str">
        <f>'Entry data'!C$3</f>
        <v>Home</v>
      </c>
    </row>
    <row r="358" spans="1:17" x14ac:dyDescent="0.25">
      <c r="A358" s="1">
        <f>IF(calc!$L358=1,calc!B358,"")</f>
        <v>3</v>
      </c>
      <c r="B358" s="5">
        <f>IF(calc!$L358=1,calc!C358,"")</f>
        <v>0.51666666666666672</v>
      </c>
      <c r="C358" s="1" t="str">
        <f>IF(calc!$L358=1,calc!D358,"")</f>
        <v>C</v>
      </c>
      <c r="D358" s="1" t="str">
        <f>IF(calc!$L358=1,calc!E358,"")</f>
        <v>40DET</v>
      </c>
      <c r="E358" s="1" t="str">
        <f>IF(calc!$L358=1,IF(EXACT(calc!$D358,"FAC"),"",calc!F358),"")</f>
        <v>10NSH</v>
      </c>
      <c r="F358" s="1" t="str">
        <f>IF(calc!$L358=1,IF(EXACT(calc!$D358,"FAC"),"",calc!G358),"")</f>
        <v>N</v>
      </c>
      <c r="G358" s="1" t="str">
        <f>IF(calc!$L358=1,IF(EXACT(calc!$D358,"FAC"),"",calc!H358),"")</f>
        <v>L</v>
      </c>
      <c r="H358" s="1" t="str">
        <f>IF(calc!$L358=1,IF(EXACT(calc!$D358,"FAC"),"",calc!I358),"")</f>
        <v>N</v>
      </c>
      <c r="I358" s="1">
        <f>IF(calc!$L358=1,calc!J358,"")</f>
        <v>5</v>
      </c>
      <c r="J358" s="1">
        <f>IF(calc!$L358=1,calc!K358,"")</f>
        <v>5</v>
      </c>
      <c r="K358" s="1" t="str">
        <f>IF(calc!$L358=1,calc!M358,"")</f>
        <v>40DET</v>
      </c>
      <c r="L358" s="1">
        <f>IF(calc!$L358=1,calc!N358,"")</f>
        <v>0</v>
      </c>
      <c r="M358" s="1">
        <f>IF(calc!$L358=1,calc!O358,"")</f>
        <v>0</v>
      </c>
      <c r="N358" s="1" t="str">
        <f>IF(calc!$L358=1,calc!P358,"")</f>
        <v/>
      </c>
      <c r="O358">
        <f>'Entry data'!C$1</f>
        <v>20064</v>
      </c>
      <c r="P358" t="str">
        <f>'Entry data'!C$2</f>
        <v>NSH</v>
      </c>
      <c r="Q358" t="str">
        <f>'Entry data'!C$3</f>
        <v>Home</v>
      </c>
    </row>
    <row r="359" spans="1:17" x14ac:dyDescent="0.25">
      <c r="A359" s="1" t="str">
        <f>IF(calc!$L359=1,calc!B359,"")</f>
        <v/>
      </c>
      <c r="B359" s="5" t="str">
        <f>IF(calc!$L359=1,calc!C359,"")</f>
        <v/>
      </c>
      <c r="C359" s="1" t="str">
        <f>IF(calc!$L359=1,calc!D359,"")</f>
        <v/>
      </c>
      <c r="D359" s="1" t="str">
        <f>IF(calc!$L359=1,calc!E359,"")</f>
        <v/>
      </c>
      <c r="E359" s="1" t="str">
        <f>IF(calc!$L359=1,IF(EXACT(calc!$D359,"FAC"),"",calc!F359),"")</f>
        <v/>
      </c>
      <c r="F359" s="1" t="str">
        <f>IF(calc!$L359=1,IF(EXACT(calc!$D359,"FAC"),"",calc!G359),"")</f>
        <v/>
      </c>
      <c r="G359" s="1" t="str">
        <f>IF(calc!$L359=1,IF(EXACT(calc!$D359,"FAC"),"",calc!H359),"")</f>
        <v/>
      </c>
      <c r="H359" s="1" t="str">
        <f>IF(calc!$L359=1,IF(EXACT(calc!$D359,"FAC"),"",calc!I359),"")</f>
        <v/>
      </c>
      <c r="I359" s="1" t="str">
        <f>IF(calc!$L359=1,calc!J359,"")</f>
        <v/>
      </c>
      <c r="J359" s="1" t="str">
        <f>IF(calc!$L359=1,calc!K359,"")</f>
        <v/>
      </c>
      <c r="K359" s="1" t="str">
        <f>IF(calc!$L359=1,calc!M359,"")</f>
        <v/>
      </c>
      <c r="L359" s="1" t="str">
        <f>IF(calc!$L359=1,calc!N359,"")</f>
        <v/>
      </c>
      <c r="M359" s="1" t="str">
        <f>IF(calc!$L359=1,calc!O359,"")</f>
        <v/>
      </c>
      <c r="N359" s="1" t="str">
        <f>IF(calc!$L359=1,calc!P359,"")</f>
        <v/>
      </c>
      <c r="O359">
        <f>'Entry data'!C$1</f>
        <v>20064</v>
      </c>
      <c r="P359" t="str">
        <f>'Entry data'!C$2</f>
        <v>NSH</v>
      </c>
      <c r="Q359" t="str">
        <f>'Entry data'!C$3</f>
        <v>Home</v>
      </c>
    </row>
    <row r="360" spans="1:17" x14ac:dyDescent="0.25">
      <c r="A360" s="1">
        <f>IF(calc!$L360=1,calc!B360,"")</f>
        <v>3</v>
      </c>
      <c r="B360" s="5">
        <f>IF(calc!$L360=1,calc!C360,"")</f>
        <v>0.4909722222222222</v>
      </c>
      <c r="C360" s="1" t="str">
        <f>IF(calc!$L360=1,calc!D360,"")</f>
        <v>D</v>
      </c>
      <c r="D360" s="1" t="str">
        <f>IF(calc!$L360=1,calc!E360,"")</f>
        <v>18NSH</v>
      </c>
      <c r="E360" s="1" t="str">
        <f>IF(calc!$L360=1,IF(EXACT(calc!$D360,"FAC"),"",calc!F360),"")</f>
        <v>N</v>
      </c>
      <c r="F360" s="1" t="str">
        <f>IF(calc!$L360=1,IF(EXACT(calc!$D360,"FAC"),"",calc!G360),"")</f>
        <v/>
      </c>
      <c r="G360" s="1" t="str">
        <f>IF(calc!$L360=1,IF(EXACT(calc!$D360,"FAC"),"",calc!H360),"")</f>
        <v>R</v>
      </c>
      <c r="H360" s="1" t="str">
        <f>IF(calc!$L360=1,IF(EXACT(calc!$D360,"FAC"),"",calc!I360),"")</f>
        <v>N</v>
      </c>
      <c r="I360" s="1">
        <f>IF(calc!$L360=1,calc!J360,"")</f>
        <v>5</v>
      </c>
      <c r="J360" s="1">
        <f>IF(calc!$L360=1,calc!K360,"")</f>
        <v>5</v>
      </c>
      <c r="K360" s="1" t="str">
        <f>IF(calc!$L360=1,calc!M360,"")</f>
        <v/>
      </c>
      <c r="L360" s="1">
        <f>IF(calc!$L360=1,calc!N360,"")</f>
        <v>0</v>
      </c>
      <c r="M360" s="1">
        <f>IF(calc!$L360=1,calc!O360,"")</f>
        <v>0</v>
      </c>
      <c r="N360" s="1" t="str">
        <f>IF(calc!$L360=1,calc!P360,"")</f>
        <v/>
      </c>
      <c r="O360">
        <f>'Entry data'!C$1</f>
        <v>20064</v>
      </c>
      <c r="P360" t="str">
        <f>'Entry data'!C$2</f>
        <v>NSH</v>
      </c>
      <c r="Q360" t="str">
        <f>'Entry data'!C$3</f>
        <v>Home</v>
      </c>
    </row>
    <row r="361" spans="1:17" x14ac:dyDescent="0.25">
      <c r="A361" s="1">
        <f>IF(calc!$L361=1,calc!B361,"")</f>
        <v>3</v>
      </c>
      <c r="B361" s="5">
        <f>IF(calc!$L361=1,calc!C361,"")</f>
        <v>0.48194444444444445</v>
      </c>
      <c r="C361" s="1" t="str">
        <f>IF(calc!$L361=1,calc!D361,"")</f>
        <v>C</v>
      </c>
      <c r="D361" s="1" t="str">
        <f>IF(calc!$L361=1,calc!E361,"")</f>
        <v>51DET</v>
      </c>
      <c r="E361" s="1" t="str">
        <f>IF(calc!$L361=1,IF(EXACT(calc!$D361,"FAC"),"",calc!F361),"")</f>
        <v>76NSH</v>
      </c>
      <c r="F361" s="1" t="str">
        <f>IF(calc!$L361=1,IF(EXACT(calc!$D361,"FAC"),"",calc!G361),"")</f>
        <v>Y</v>
      </c>
      <c r="G361" s="1" t="str">
        <f>IF(calc!$L361=1,IF(EXACT(calc!$D361,"FAC"),"",calc!H361),"")</f>
        <v>L</v>
      </c>
      <c r="H361" s="1" t="str">
        <f>IF(calc!$L361=1,IF(EXACT(calc!$D361,"FAC"),"",calc!I361),"")</f>
        <v>N</v>
      </c>
      <c r="I361" s="1">
        <f>IF(calc!$L361=1,calc!J361,"")</f>
        <v>5</v>
      </c>
      <c r="J361" s="1">
        <f>IF(calc!$L361=1,calc!K361,"")</f>
        <v>5</v>
      </c>
      <c r="K361" s="1" t="str">
        <f>IF(calc!$L361=1,calc!M361,"")</f>
        <v>51DET</v>
      </c>
      <c r="L361" s="1">
        <f>IF(calc!$L361=1,calc!N361,"")</f>
        <v>1</v>
      </c>
      <c r="M361" s="1">
        <f>IF(calc!$L361=1,calc!O361,"")</f>
        <v>0</v>
      </c>
      <c r="N361" s="1" t="str">
        <f>IF(calc!$L361=1,calc!P361,"")</f>
        <v/>
      </c>
      <c r="O361">
        <f>'Entry data'!C$1</f>
        <v>20064</v>
      </c>
      <c r="P361" t="str">
        <f>'Entry data'!C$2</f>
        <v>NSH</v>
      </c>
      <c r="Q361" t="str">
        <f>'Entry data'!C$3</f>
        <v>Home</v>
      </c>
    </row>
    <row r="362" spans="1:17" x14ac:dyDescent="0.25">
      <c r="A362" s="1" t="str">
        <f>IF(calc!$L362=1,calc!B362,"")</f>
        <v/>
      </c>
      <c r="B362" s="5" t="str">
        <f>IF(calc!$L362=1,calc!C362,"")</f>
        <v/>
      </c>
      <c r="C362" s="1" t="str">
        <f>IF(calc!$L362=1,calc!D362,"")</f>
        <v/>
      </c>
      <c r="D362" s="1" t="str">
        <f>IF(calc!$L362=1,calc!E362,"")</f>
        <v/>
      </c>
      <c r="E362" s="1" t="str">
        <f>IF(calc!$L362=1,IF(EXACT(calc!$D362,"FAC"),"",calc!F362),"")</f>
        <v/>
      </c>
      <c r="F362" s="1" t="str">
        <f>IF(calc!$L362=1,IF(EXACT(calc!$D362,"FAC"),"",calc!G362),"")</f>
        <v/>
      </c>
      <c r="G362" s="1" t="str">
        <f>IF(calc!$L362=1,IF(EXACT(calc!$D362,"FAC"),"",calc!H362),"")</f>
        <v/>
      </c>
      <c r="H362" s="1" t="str">
        <f>IF(calc!$L362=1,IF(EXACT(calc!$D362,"FAC"),"",calc!I362),"")</f>
        <v/>
      </c>
      <c r="I362" s="1" t="str">
        <f>IF(calc!$L362=1,calc!J362,"")</f>
        <v/>
      </c>
      <c r="J362" s="1" t="str">
        <f>IF(calc!$L362=1,calc!K362,"")</f>
        <v/>
      </c>
      <c r="K362" s="1" t="str">
        <f>IF(calc!$L362=1,calc!M362,"")</f>
        <v/>
      </c>
      <c r="L362" s="1" t="str">
        <f>IF(calc!$L362=1,calc!N362,"")</f>
        <v/>
      </c>
      <c r="M362" s="1" t="str">
        <f>IF(calc!$L362=1,calc!O362,"")</f>
        <v/>
      </c>
      <c r="N362" s="1" t="str">
        <f>IF(calc!$L362=1,calc!P362,"")</f>
        <v/>
      </c>
      <c r="O362">
        <f>'Entry data'!C$1</f>
        <v>20064</v>
      </c>
      <c r="P362" t="str">
        <f>'Entry data'!C$2</f>
        <v>NSH</v>
      </c>
      <c r="Q362" t="str">
        <f>'Entry data'!C$3</f>
        <v>Home</v>
      </c>
    </row>
    <row r="363" spans="1:17" x14ac:dyDescent="0.25">
      <c r="A363" s="1">
        <f>IF(calc!$L363=1,calc!B363,"")</f>
        <v>3</v>
      </c>
      <c r="B363" s="5">
        <f>IF(calc!$L363=1,calc!C363,"")</f>
        <v>0.47222222222222227</v>
      </c>
      <c r="C363" s="1" t="str">
        <f>IF(calc!$L363=1,calc!D363,"")</f>
        <v>C</v>
      </c>
      <c r="D363" s="1" t="str">
        <f>IF(calc!$L363=1,calc!E363,"")</f>
        <v>14DET</v>
      </c>
      <c r="E363" s="1" t="str">
        <f>IF(calc!$L363=1,IF(EXACT(calc!$D363,"FAC"),"",calc!F363),"")</f>
        <v>25NSH</v>
      </c>
      <c r="F363" s="1" t="str">
        <f>IF(calc!$L363=1,IF(EXACT(calc!$D363,"FAC"),"",calc!G363),"")</f>
        <v>N</v>
      </c>
      <c r="G363" s="1" t="str">
        <f>IF(calc!$L363=1,IF(EXACT(calc!$D363,"FAC"),"",calc!H363),"")</f>
        <v>C</v>
      </c>
      <c r="H363" s="1" t="str">
        <f>IF(calc!$L363=1,IF(EXACT(calc!$D363,"FAC"),"",calc!I363),"")</f>
        <v>N</v>
      </c>
      <c r="I363" s="1">
        <f>IF(calc!$L363=1,calc!J363,"")</f>
        <v>5</v>
      </c>
      <c r="J363" s="1">
        <f>IF(calc!$L363=1,calc!K363,"")</f>
        <v>5</v>
      </c>
      <c r="K363" s="1" t="str">
        <f>IF(calc!$L363=1,calc!M363,"")</f>
        <v>14DET</v>
      </c>
      <c r="L363" s="1">
        <f>IF(calc!$L363=1,calc!N363,"")</f>
        <v>1</v>
      </c>
      <c r="M363" s="1">
        <f>IF(calc!$L363=1,calc!O363,"")</f>
        <v>0</v>
      </c>
      <c r="N363" s="1" t="str">
        <f>IF(calc!$L363=1,calc!P363,"")</f>
        <v/>
      </c>
      <c r="O363">
        <f>'Entry data'!C$1</f>
        <v>20064</v>
      </c>
      <c r="P363" t="str">
        <f>'Entry data'!C$2</f>
        <v>NSH</v>
      </c>
      <c r="Q363" t="str">
        <f>'Entry data'!C$3</f>
        <v>Home</v>
      </c>
    </row>
    <row r="364" spans="1:17" x14ac:dyDescent="0.25">
      <c r="A364" s="1" t="str">
        <f>IF(calc!$L364=1,calc!B364,"")</f>
        <v/>
      </c>
      <c r="B364" s="5" t="str">
        <f>IF(calc!$L364=1,calc!C364,"")</f>
        <v/>
      </c>
      <c r="C364" s="1" t="str">
        <f>IF(calc!$L364=1,calc!D364,"")</f>
        <v/>
      </c>
      <c r="D364" s="1" t="str">
        <f>IF(calc!$L364=1,calc!E364,"")</f>
        <v/>
      </c>
      <c r="E364" s="1" t="str">
        <f>IF(calc!$L364=1,IF(EXACT(calc!$D364,"FAC"),"",calc!F364),"")</f>
        <v/>
      </c>
      <c r="F364" s="1" t="str">
        <f>IF(calc!$L364=1,IF(EXACT(calc!$D364,"FAC"),"",calc!G364),"")</f>
        <v/>
      </c>
      <c r="G364" s="1" t="str">
        <f>IF(calc!$L364=1,IF(EXACT(calc!$D364,"FAC"),"",calc!H364),"")</f>
        <v/>
      </c>
      <c r="H364" s="1" t="str">
        <f>IF(calc!$L364=1,IF(EXACT(calc!$D364,"FAC"),"",calc!I364),"")</f>
        <v/>
      </c>
      <c r="I364" s="1" t="str">
        <f>IF(calc!$L364=1,calc!J364,"")</f>
        <v/>
      </c>
      <c r="J364" s="1" t="str">
        <f>IF(calc!$L364=1,calc!K364,"")</f>
        <v/>
      </c>
      <c r="K364" s="1" t="str">
        <f>IF(calc!$L364=1,calc!M364,"")</f>
        <v/>
      </c>
      <c r="L364" s="1" t="str">
        <f>IF(calc!$L364=1,calc!N364,"")</f>
        <v/>
      </c>
      <c r="M364" s="1" t="str">
        <f>IF(calc!$L364=1,calc!O364,"")</f>
        <v/>
      </c>
      <c r="N364" s="1" t="str">
        <f>IF(calc!$L364=1,calc!P364,"")</f>
        <v/>
      </c>
      <c r="O364">
        <f>'Entry data'!C$1</f>
        <v>20064</v>
      </c>
      <c r="P364" t="str">
        <f>'Entry data'!C$2</f>
        <v>NSH</v>
      </c>
      <c r="Q364" t="str">
        <f>'Entry data'!C$3</f>
        <v>Home</v>
      </c>
    </row>
    <row r="365" spans="1:17" x14ac:dyDescent="0.25">
      <c r="A365" s="1">
        <f>IF(calc!$L365=1,calc!B365,"")</f>
        <v>3</v>
      </c>
      <c r="B365" s="5">
        <f>IF(calc!$L365=1,calc!C365,"")</f>
        <v>0.46666666666666662</v>
      </c>
      <c r="C365" s="1" t="str">
        <f>IF(calc!$L365=1,calc!D365,"")</f>
        <v>C</v>
      </c>
      <c r="D365" s="1" t="str">
        <f>IF(calc!$L365=1,calc!E365,"")</f>
        <v>2DET</v>
      </c>
      <c r="E365" s="1" t="str">
        <f>IF(calc!$L365=1,IF(EXACT(calc!$D365,"FAC"),"",calc!F365),"")</f>
        <v>76NSH</v>
      </c>
      <c r="F365" s="1" t="str">
        <f>IF(calc!$L365=1,IF(EXACT(calc!$D365,"FAC"),"",calc!G365),"")</f>
        <v>N</v>
      </c>
      <c r="G365" s="1" t="str">
        <f>IF(calc!$L365=1,IF(EXACT(calc!$D365,"FAC"),"",calc!H365),"")</f>
        <v>L</v>
      </c>
      <c r="H365" s="1" t="str">
        <f>IF(calc!$L365=1,IF(EXACT(calc!$D365,"FAC"),"",calc!I365),"")</f>
        <v>N</v>
      </c>
      <c r="I365" s="1">
        <f>IF(calc!$L365=1,calc!J365,"")</f>
        <v>5</v>
      </c>
      <c r="J365" s="1">
        <f>IF(calc!$L365=1,calc!K365,"")</f>
        <v>5</v>
      </c>
      <c r="K365" s="1" t="str">
        <f>IF(calc!$L365=1,calc!M365,"")</f>
        <v>2DET</v>
      </c>
      <c r="L365" s="1">
        <f>IF(calc!$L365=1,calc!N365,"")</f>
        <v>1</v>
      </c>
      <c r="M365" s="1">
        <f>IF(calc!$L365=1,calc!O365,"")</f>
        <v>0</v>
      </c>
      <c r="N365" s="1" t="str">
        <f>IF(calc!$L365=1,calc!P365,"")</f>
        <v/>
      </c>
      <c r="O365">
        <f>'Entry data'!C$1</f>
        <v>20064</v>
      </c>
      <c r="P365" t="str">
        <f>'Entry data'!C$2</f>
        <v>NSH</v>
      </c>
      <c r="Q365" t="str">
        <f>'Entry data'!C$3</f>
        <v>Home</v>
      </c>
    </row>
    <row r="366" spans="1:17" x14ac:dyDescent="0.25">
      <c r="A366" s="1" t="str">
        <f>IF(calc!$L366=1,calc!B366,"")</f>
        <v/>
      </c>
      <c r="B366" s="5" t="str">
        <f>IF(calc!$L366=1,calc!C366,"")</f>
        <v/>
      </c>
      <c r="C366" s="1" t="str">
        <f>IF(calc!$L366=1,calc!D366,"")</f>
        <v/>
      </c>
      <c r="D366" s="1" t="str">
        <f>IF(calc!$L366=1,calc!E366,"")</f>
        <v/>
      </c>
      <c r="E366" s="1" t="str">
        <f>IF(calc!$L366=1,IF(EXACT(calc!$D366,"FAC"),"",calc!F366),"")</f>
        <v/>
      </c>
      <c r="F366" s="1" t="str">
        <f>IF(calc!$L366=1,IF(EXACT(calc!$D366,"FAC"),"",calc!G366),"")</f>
        <v/>
      </c>
      <c r="G366" s="1" t="str">
        <f>IF(calc!$L366=1,IF(EXACT(calc!$D366,"FAC"),"",calc!H366),"")</f>
        <v/>
      </c>
      <c r="H366" s="1" t="str">
        <f>IF(calc!$L366=1,IF(EXACT(calc!$D366,"FAC"),"",calc!I366),"")</f>
        <v/>
      </c>
      <c r="I366" s="1" t="str">
        <f>IF(calc!$L366=1,calc!J366,"")</f>
        <v/>
      </c>
      <c r="J366" s="1" t="str">
        <f>IF(calc!$L366=1,calc!K366,"")</f>
        <v/>
      </c>
      <c r="K366" s="1" t="str">
        <f>IF(calc!$L366=1,calc!M366,"")</f>
        <v/>
      </c>
      <c r="L366" s="1" t="str">
        <f>IF(calc!$L366=1,calc!N366,"")</f>
        <v/>
      </c>
      <c r="M366" s="1" t="str">
        <f>IF(calc!$L366=1,calc!O366,"")</f>
        <v/>
      </c>
      <c r="N366" s="1" t="str">
        <f>IF(calc!$L366=1,calc!P366,"")</f>
        <v/>
      </c>
      <c r="O366">
        <f>'Entry data'!C$1</f>
        <v>20064</v>
      </c>
      <c r="P366" t="str">
        <f>'Entry data'!C$2</f>
        <v>NSH</v>
      </c>
      <c r="Q366" t="str">
        <f>'Entry data'!C$3</f>
        <v>Home</v>
      </c>
    </row>
    <row r="367" spans="1:17" x14ac:dyDescent="0.25">
      <c r="A367" s="1">
        <f>IF(calc!$L367=1,calc!B367,"")</f>
        <v>3</v>
      </c>
      <c r="B367" s="5">
        <f>IF(calc!$L367=1,calc!C367,"")</f>
        <v>0.45833333333333331</v>
      </c>
      <c r="C367" s="1" t="str">
        <f>IF(calc!$L367=1,calc!D367,"")</f>
        <v>C</v>
      </c>
      <c r="D367" s="1" t="str">
        <f>IF(calc!$L367=1,calc!E367,"")</f>
        <v>10NSH</v>
      </c>
      <c r="E367" s="1" t="str">
        <f>IF(calc!$L367=1,IF(EXACT(calc!$D367,"FAC"),"",calc!F367),"")</f>
        <v>2DET</v>
      </c>
      <c r="F367" s="1" t="str">
        <f>IF(calc!$L367=1,IF(EXACT(calc!$D367,"FAC"),"",calc!G367),"")</f>
        <v>N</v>
      </c>
      <c r="G367" s="1" t="str">
        <f>IF(calc!$L367=1,IF(EXACT(calc!$D367,"FAC"),"",calc!H367),"")</f>
        <v>R</v>
      </c>
      <c r="H367" s="1" t="str">
        <f>IF(calc!$L367=1,IF(EXACT(calc!$D367,"FAC"),"",calc!I367),"")</f>
        <v>N</v>
      </c>
      <c r="I367" s="1">
        <f>IF(calc!$L367=1,calc!J367,"")</f>
        <v>5</v>
      </c>
      <c r="J367" s="1">
        <f>IF(calc!$L367=1,calc!K367,"")</f>
        <v>5</v>
      </c>
      <c r="K367" s="1" t="str">
        <f>IF(calc!$L367=1,calc!M367,"")</f>
        <v>10NSH</v>
      </c>
      <c r="L367" s="1">
        <f>IF(calc!$L367=1,calc!N367,"")</f>
        <v>0</v>
      </c>
      <c r="M367" s="1">
        <f>IF(calc!$L367=1,calc!O367,"")</f>
        <v>0</v>
      </c>
      <c r="N367" s="1" t="str">
        <f>IF(calc!$L367=1,calc!P367,"")</f>
        <v/>
      </c>
      <c r="O367">
        <f>'Entry data'!C$1</f>
        <v>20064</v>
      </c>
      <c r="P367" t="str">
        <f>'Entry data'!C$2</f>
        <v>NSH</v>
      </c>
      <c r="Q367" t="str">
        <f>'Entry data'!C$3</f>
        <v>Home</v>
      </c>
    </row>
    <row r="368" spans="1:17" x14ac:dyDescent="0.25">
      <c r="A368" s="1" t="str">
        <f>IF(calc!$L368=1,calc!B368,"")</f>
        <v/>
      </c>
      <c r="B368" s="5" t="str">
        <f>IF(calc!$L368=1,calc!C368,"")</f>
        <v/>
      </c>
      <c r="C368" s="1" t="str">
        <f>IF(calc!$L368=1,calc!D368,"")</f>
        <v/>
      </c>
      <c r="D368" s="1" t="str">
        <f>IF(calc!$L368=1,calc!E368,"")</f>
        <v/>
      </c>
      <c r="E368" s="1" t="str">
        <f>IF(calc!$L368=1,IF(EXACT(calc!$D368,"FAC"),"",calc!F368),"")</f>
        <v/>
      </c>
      <c r="F368" s="1" t="str">
        <f>IF(calc!$L368=1,IF(EXACT(calc!$D368,"FAC"),"",calc!G368),"")</f>
        <v/>
      </c>
      <c r="G368" s="1" t="str">
        <f>IF(calc!$L368=1,IF(EXACT(calc!$D368,"FAC"),"",calc!H368),"")</f>
        <v/>
      </c>
      <c r="H368" s="1" t="str">
        <f>IF(calc!$L368=1,IF(EXACT(calc!$D368,"FAC"),"",calc!I368),"")</f>
        <v/>
      </c>
      <c r="I368" s="1" t="str">
        <f>IF(calc!$L368=1,calc!J368,"")</f>
        <v/>
      </c>
      <c r="J368" s="1" t="str">
        <f>IF(calc!$L368=1,calc!K368,"")</f>
        <v/>
      </c>
      <c r="K368" s="1" t="str">
        <f>IF(calc!$L368=1,calc!M368,"")</f>
        <v/>
      </c>
      <c r="L368" s="1" t="str">
        <f>IF(calc!$L368=1,calc!N368,"")</f>
        <v/>
      </c>
      <c r="M368" s="1" t="str">
        <f>IF(calc!$L368=1,calc!O368,"")</f>
        <v/>
      </c>
      <c r="N368" s="1" t="str">
        <f>IF(calc!$L368=1,calc!P368,"")</f>
        <v/>
      </c>
      <c r="O368">
        <f>'Entry data'!C$1</f>
        <v>20064</v>
      </c>
      <c r="P368" t="str">
        <f>'Entry data'!C$2</f>
        <v>NSH</v>
      </c>
      <c r="Q368" t="str">
        <f>'Entry data'!C$3</f>
        <v>Home</v>
      </c>
    </row>
    <row r="369" spans="1:17" x14ac:dyDescent="0.25">
      <c r="A369" s="1">
        <f>IF(calc!$L369=1,calc!B369,"")</f>
        <v>3</v>
      </c>
      <c r="B369" s="5">
        <f>IF(calc!$L369=1,calc!C369,"")</f>
        <v>0.45624999999999999</v>
      </c>
      <c r="C369" s="1" t="str">
        <f>IF(calc!$L369=1,calc!D369,"")</f>
        <v>FAC</v>
      </c>
      <c r="D369" s="1" t="str">
        <f>IF(calc!$L369=1,calc!E369,"")</f>
        <v>DZF</v>
      </c>
      <c r="E369" s="1" t="str">
        <f>IF(calc!$L369=1,IF(EXACT(calc!$D369,"FAC"),"",calc!F369),"")</f>
        <v/>
      </c>
      <c r="F369" s="1" t="str">
        <f>IF(calc!$L369=1,IF(EXACT(calc!$D369,"FAC"),"",calc!G369),"")</f>
        <v/>
      </c>
      <c r="G369" s="1" t="str">
        <f>IF(calc!$L369=1,IF(EXACT(calc!$D369,"FAC"),"",calc!H369),"")</f>
        <v/>
      </c>
      <c r="H369" s="1" t="str">
        <f>IF(calc!$L369=1,IF(EXACT(calc!$D369,"FAC"),"",calc!I369),"")</f>
        <v/>
      </c>
      <c r="I369" s="1">
        <f>IF(calc!$L369=1,calc!J369,"")</f>
        <v>5</v>
      </c>
      <c r="J369" s="1">
        <f>IF(calc!$L369=1,calc!K369,"")</f>
        <v>5</v>
      </c>
      <c r="K369" s="1" t="str">
        <f>IF(calc!$L369=1,calc!M369,"")</f>
        <v/>
      </c>
      <c r="L369" s="1">
        <f>IF(calc!$L369=1,calc!N369,"")</f>
        <v>0</v>
      </c>
      <c r="M369" s="1">
        <f>IF(calc!$L369=1,calc!O369,"")</f>
        <v>0</v>
      </c>
      <c r="N369" s="1" t="str">
        <f>IF(calc!$L369=1,calc!P369,"")</f>
        <v/>
      </c>
      <c r="O369">
        <f>'Entry data'!C$1</f>
        <v>20064</v>
      </c>
      <c r="P369" t="str">
        <f>'Entry data'!C$2</f>
        <v>NSH</v>
      </c>
      <c r="Q369" t="str">
        <f>'Entry data'!C$3</f>
        <v>Home</v>
      </c>
    </row>
    <row r="370" spans="1:17" x14ac:dyDescent="0.25">
      <c r="A370" s="1" t="str">
        <f>IF(calc!$L370=1,calc!B370,"")</f>
        <v/>
      </c>
      <c r="B370" s="5" t="str">
        <f>IF(calc!$L370=1,calc!C370,"")</f>
        <v/>
      </c>
      <c r="C370" s="1" t="str">
        <f>IF(calc!$L370=1,calc!D370,"")</f>
        <v/>
      </c>
      <c r="D370" s="1" t="str">
        <f>IF(calc!$L370=1,calc!E370,"")</f>
        <v/>
      </c>
      <c r="E370" s="1" t="str">
        <f>IF(calc!$L370=1,IF(EXACT(calc!$D370,"FAC"),"",calc!F370),"")</f>
        <v/>
      </c>
      <c r="F370" s="1" t="str">
        <f>IF(calc!$L370=1,IF(EXACT(calc!$D370,"FAC"),"",calc!G370),"")</f>
        <v/>
      </c>
      <c r="G370" s="1" t="str">
        <f>IF(calc!$L370=1,IF(EXACT(calc!$D370,"FAC"),"",calc!H370),"")</f>
        <v/>
      </c>
      <c r="H370" s="1" t="str">
        <f>IF(calc!$L370=1,IF(EXACT(calc!$D370,"FAC"),"",calc!I370),"")</f>
        <v/>
      </c>
      <c r="I370" s="1" t="str">
        <f>IF(calc!$L370=1,calc!J370,"")</f>
        <v/>
      </c>
      <c r="J370" s="1" t="str">
        <f>IF(calc!$L370=1,calc!K370,"")</f>
        <v/>
      </c>
      <c r="K370" s="1" t="str">
        <f>IF(calc!$L370=1,calc!M370,"")</f>
        <v/>
      </c>
      <c r="L370" s="1" t="str">
        <f>IF(calc!$L370=1,calc!N370,"")</f>
        <v/>
      </c>
      <c r="M370" s="1" t="str">
        <f>IF(calc!$L370=1,calc!O370,"")</f>
        <v/>
      </c>
      <c r="N370" s="1" t="str">
        <f>IF(calc!$L370=1,calc!P370,"")</f>
        <v/>
      </c>
      <c r="O370">
        <f>'Entry data'!C$1</f>
        <v>20064</v>
      </c>
      <c r="P370" t="str">
        <f>'Entry data'!C$2</f>
        <v>NSH</v>
      </c>
      <c r="Q370" t="str">
        <f>'Entry data'!C$3</f>
        <v>Home</v>
      </c>
    </row>
    <row r="371" spans="1:17" x14ac:dyDescent="0.25">
      <c r="A371" s="1" t="str">
        <f>IF(calc!$L371=1,calc!B371,"")</f>
        <v/>
      </c>
      <c r="B371" s="5" t="str">
        <f>IF(calc!$L371=1,calc!C371,"")</f>
        <v/>
      </c>
      <c r="C371" s="1" t="str">
        <f>IF(calc!$L371=1,calc!D371,"")</f>
        <v/>
      </c>
      <c r="D371" s="1" t="str">
        <f>IF(calc!$L371=1,calc!E371,"")</f>
        <v/>
      </c>
      <c r="E371" s="1" t="str">
        <f>IF(calc!$L371=1,IF(EXACT(calc!$D371,"FAC"),"",calc!F371),"")</f>
        <v/>
      </c>
      <c r="F371" s="1" t="str">
        <f>IF(calc!$L371=1,IF(EXACT(calc!$D371,"FAC"),"",calc!G371),"")</f>
        <v/>
      </c>
      <c r="G371" s="1" t="str">
        <f>IF(calc!$L371=1,IF(EXACT(calc!$D371,"FAC"),"",calc!H371),"")</f>
        <v/>
      </c>
      <c r="H371" s="1" t="str">
        <f>IF(calc!$L371=1,IF(EXACT(calc!$D371,"FAC"),"",calc!I371),"")</f>
        <v/>
      </c>
      <c r="I371" s="1" t="str">
        <f>IF(calc!$L371=1,calc!J371,"")</f>
        <v/>
      </c>
      <c r="J371" s="1" t="str">
        <f>IF(calc!$L371=1,calc!K371,"")</f>
        <v/>
      </c>
      <c r="K371" s="1" t="str">
        <f>IF(calc!$L371=1,calc!M371,"")</f>
        <v/>
      </c>
      <c r="L371" s="1" t="str">
        <f>IF(calc!$L371=1,calc!N371,"")</f>
        <v/>
      </c>
      <c r="M371" s="1" t="str">
        <f>IF(calc!$L371=1,calc!O371,"")</f>
        <v/>
      </c>
      <c r="N371" s="1" t="str">
        <f>IF(calc!$L371=1,calc!P371,"")</f>
        <v/>
      </c>
      <c r="O371">
        <f>'Entry data'!C$1</f>
        <v>20064</v>
      </c>
      <c r="P371" t="str">
        <f>'Entry data'!C$2</f>
        <v>NSH</v>
      </c>
      <c r="Q371" t="str">
        <f>'Entry data'!C$3</f>
        <v>Home</v>
      </c>
    </row>
    <row r="372" spans="1:17" x14ac:dyDescent="0.25">
      <c r="A372" s="1" t="str">
        <f>IF(calc!$L372=1,calc!B372,"")</f>
        <v/>
      </c>
      <c r="B372" s="5" t="str">
        <f>IF(calc!$L372=1,calc!C372,"")</f>
        <v/>
      </c>
      <c r="C372" s="1" t="str">
        <f>IF(calc!$L372=1,calc!D372,"")</f>
        <v/>
      </c>
      <c r="D372" s="1" t="str">
        <f>IF(calc!$L372=1,calc!E372,"")</f>
        <v/>
      </c>
      <c r="E372" s="1" t="str">
        <f>IF(calc!$L372=1,IF(EXACT(calc!$D372,"FAC"),"",calc!F372),"")</f>
        <v/>
      </c>
      <c r="F372" s="1" t="str">
        <f>IF(calc!$L372=1,IF(EXACT(calc!$D372,"FAC"),"",calc!G372),"")</f>
        <v/>
      </c>
      <c r="G372" s="1" t="str">
        <f>IF(calc!$L372=1,IF(EXACT(calc!$D372,"FAC"),"",calc!H372),"")</f>
        <v/>
      </c>
      <c r="H372" s="1" t="str">
        <f>IF(calc!$L372=1,IF(EXACT(calc!$D372,"FAC"),"",calc!I372),"")</f>
        <v/>
      </c>
      <c r="I372" s="1" t="str">
        <f>IF(calc!$L372=1,calc!J372,"")</f>
        <v/>
      </c>
      <c r="J372" s="1" t="str">
        <f>IF(calc!$L372=1,calc!K372,"")</f>
        <v/>
      </c>
      <c r="K372" s="1" t="str">
        <f>IF(calc!$L372=1,calc!M372,"")</f>
        <v/>
      </c>
      <c r="L372" s="1" t="str">
        <f>IF(calc!$L372=1,calc!N372,"")</f>
        <v/>
      </c>
      <c r="M372" s="1" t="str">
        <f>IF(calc!$L372=1,calc!O372,"")</f>
        <v/>
      </c>
      <c r="N372" s="1" t="str">
        <f>IF(calc!$L372=1,calc!P372,"")</f>
        <v/>
      </c>
      <c r="O372">
        <f>'Entry data'!C$1</f>
        <v>20064</v>
      </c>
      <c r="P372" t="str">
        <f>'Entry data'!C$2</f>
        <v>NSH</v>
      </c>
      <c r="Q372" t="str">
        <f>'Entry data'!C$3</f>
        <v>Home</v>
      </c>
    </row>
    <row r="373" spans="1:17" x14ac:dyDescent="0.25">
      <c r="A373" s="1">
        <f>IF(calc!$L373=1,calc!B373,"")</f>
        <v>3</v>
      </c>
      <c r="B373" s="5">
        <f>IF(calc!$L373=1,calc!C373,"")</f>
        <v>0.44791666666666669</v>
      </c>
      <c r="C373" s="1" t="str">
        <f>IF(calc!$L373=1,calc!D373,"")</f>
        <v>D</v>
      </c>
      <c r="D373" s="1" t="str">
        <f>IF(calc!$L373=1,calc!E373,"")</f>
        <v>76NSH</v>
      </c>
      <c r="E373" s="1" t="str">
        <f>IF(calc!$L373=1,IF(EXACT(calc!$D373,"FAC"),"",calc!F373),"")</f>
        <v>N</v>
      </c>
      <c r="F373" s="1" t="str">
        <f>IF(calc!$L373=1,IF(EXACT(calc!$D373,"FAC"),"",calc!G373),"")</f>
        <v/>
      </c>
      <c r="G373" s="1" t="str">
        <f>IF(calc!$L373=1,IF(EXACT(calc!$D373,"FAC"),"",calc!H373),"")</f>
        <v>R</v>
      </c>
      <c r="H373" s="1" t="str">
        <f>IF(calc!$L373=1,IF(EXACT(calc!$D373,"FAC"),"",calc!I373),"")</f>
        <v>18NSH</v>
      </c>
      <c r="I373" s="1">
        <f>IF(calc!$L373=1,calc!J373,"")</f>
        <v>5</v>
      </c>
      <c r="J373" s="1">
        <f>IF(calc!$L373=1,calc!K373,"")</f>
        <v>5</v>
      </c>
      <c r="K373" s="1" t="str">
        <f>IF(calc!$L373=1,calc!M373,"")</f>
        <v/>
      </c>
      <c r="L373" s="1">
        <f>IF(calc!$L373=1,calc!N373,"")</f>
        <v>1</v>
      </c>
      <c r="M373" s="1">
        <f>IF(calc!$L373=1,calc!O373,"")</f>
        <v>0</v>
      </c>
      <c r="N373" s="1" t="str">
        <f>IF(calc!$L373=1,calc!P373,"")</f>
        <v/>
      </c>
      <c r="O373">
        <f>'Entry data'!C$1</f>
        <v>20064</v>
      </c>
      <c r="P373" t="str">
        <f>'Entry data'!C$2</f>
        <v>NSH</v>
      </c>
      <c r="Q373" t="str">
        <f>'Entry data'!C$3</f>
        <v>Home</v>
      </c>
    </row>
    <row r="374" spans="1:17" x14ac:dyDescent="0.25">
      <c r="A374" s="1" t="str">
        <f>IF(calc!$L374=1,calc!B374,"")</f>
        <v/>
      </c>
      <c r="B374" s="5" t="str">
        <f>IF(calc!$L374=1,calc!C374,"")</f>
        <v/>
      </c>
      <c r="C374" s="1" t="str">
        <f>IF(calc!$L374=1,calc!D374,"")</f>
        <v/>
      </c>
      <c r="D374" s="1" t="str">
        <f>IF(calc!$L374=1,calc!E374,"")</f>
        <v/>
      </c>
      <c r="E374" s="1" t="str">
        <f>IF(calc!$L374=1,IF(EXACT(calc!$D374,"FAC"),"",calc!F374),"")</f>
        <v/>
      </c>
      <c r="F374" s="1" t="str">
        <f>IF(calc!$L374=1,IF(EXACT(calc!$D374,"FAC"),"",calc!G374),"")</f>
        <v/>
      </c>
      <c r="G374" s="1" t="str">
        <f>IF(calc!$L374=1,IF(EXACT(calc!$D374,"FAC"),"",calc!H374),"")</f>
        <v/>
      </c>
      <c r="H374" s="1" t="str">
        <f>IF(calc!$L374=1,IF(EXACT(calc!$D374,"FAC"),"",calc!I374),"")</f>
        <v/>
      </c>
      <c r="I374" s="1" t="str">
        <f>IF(calc!$L374=1,calc!J374,"")</f>
        <v/>
      </c>
      <c r="J374" s="1" t="str">
        <f>IF(calc!$L374=1,calc!K374,"")</f>
        <v/>
      </c>
      <c r="K374" s="1" t="str">
        <f>IF(calc!$L374=1,calc!M374,"")</f>
        <v/>
      </c>
      <c r="L374" s="1" t="str">
        <f>IF(calc!$L374=1,calc!N374,"")</f>
        <v/>
      </c>
      <c r="M374" s="1" t="str">
        <f>IF(calc!$L374=1,calc!O374,"")</f>
        <v/>
      </c>
      <c r="N374" s="1" t="str">
        <f>IF(calc!$L374=1,calc!P374,"")</f>
        <v/>
      </c>
      <c r="O374">
        <f>'Entry data'!C$1</f>
        <v>20064</v>
      </c>
      <c r="P374" t="str">
        <f>'Entry data'!C$2</f>
        <v>NSH</v>
      </c>
      <c r="Q374" t="str">
        <f>'Entry data'!C$3</f>
        <v>Home</v>
      </c>
    </row>
    <row r="375" spans="1:17" x14ac:dyDescent="0.25">
      <c r="A375" s="1" t="str">
        <f>IF(calc!$L375=1,calc!B375,"")</f>
        <v/>
      </c>
      <c r="B375" s="5" t="str">
        <f>IF(calc!$L375=1,calc!C375,"")</f>
        <v/>
      </c>
      <c r="C375" s="1" t="str">
        <f>IF(calc!$L375=1,calc!D375,"")</f>
        <v/>
      </c>
      <c r="D375" s="1" t="str">
        <f>IF(calc!$L375=1,calc!E375,"")</f>
        <v/>
      </c>
      <c r="E375" s="1" t="str">
        <f>IF(calc!$L375=1,IF(EXACT(calc!$D375,"FAC"),"",calc!F375),"")</f>
        <v/>
      </c>
      <c r="F375" s="1" t="str">
        <f>IF(calc!$L375=1,IF(EXACT(calc!$D375,"FAC"),"",calc!G375),"")</f>
        <v/>
      </c>
      <c r="G375" s="1" t="str">
        <f>IF(calc!$L375=1,IF(EXACT(calc!$D375,"FAC"),"",calc!H375),"")</f>
        <v/>
      </c>
      <c r="H375" s="1" t="str">
        <f>IF(calc!$L375=1,IF(EXACT(calc!$D375,"FAC"),"",calc!I375),"")</f>
        <v/>
      </c>
      <c r="I375" s="1" t="str">
        <f>IF(calc!$L375=1,calc!J375,"")</f>
        <v/>
      </c>
      <c r="J375" s="1" t="str">
        <f>IF(calc!$L375=1,calc!K375,"")</f>
        <v/>
      </c>
      <c r="K375" s="1" t="str">
        <f>IF(calc!$L375=1,calc!M375,"")</f>
        <v/>
      </c>
      <c r="L375" s="1" t="str">
        <f>IF(calc!$L375=1,calc!N375,"")</f>
        <v/>
      </c>
      <c r="M375" s="1" t="str">
        <f>IF(calc!$L375=1,calc!O375,"")</f>
        <v/>
      </c>
      <c r="N375" s="1" t="str">
        <f>IF(calc!$L375=1,calc!P375,"")</f>
        <v/>
      </c>
      <c r="O375">
        <f>'Entry data'!C$1</f>
        <v>20064</v>
      </c>
      <c r="P375" t="str">
        <f>'Entry data'!C$2</f>
        <v>NSH</v>
      </c>
      <c r="Q375" t="str">
        <f>'Entry data'!C$3</f>
        <v>Home</v>
      </c>
    </row>
    <row r="376" spans="1:17" x14ac:dyDescent="0.25">
      <c r="A376" s="1">
        <f>IF(calc!$L376=1,calc!B376,"")</f>
        <v>3</v>
      </c>
      <c r="B376" s="5">
        <f>IF(calc!$L376=1,calc!C376,"")</f>
        <v>0.42291666666666666</v>
      </c>
      <c r="C376" s="1" t="str">
        <f>IF(calc!$L376=1,calc!D376,"")</f>
        <v>C</v>
      </c>
      <c r="D376" s="1" t="str">
        <f>IF(calc!$L376=1,calc!E376,"")</f>
        <v>38NSH</v>
      </c>
      <c r="E376" s="1" t="str">
        <f>IF(calc!$L376=1,IF(EXACT(calc!$D376,"FAC"),"",calc!F376),"")</f>
        <v>65DET</v>
      </c>
      <c r="F376" s="1" t="str">
        <f>IF(calc!$L376=1,IF(EXACT(calc!$D376,"FAC"),"",calc!G376),"")</f>
        <v>N</v>
      </c>
      <c r="G376" s="1" t="str">
        <f>IF(calc!$L376=1,IF(EXACT(calc!$D376,"FAC"),"",calc!H376),"")</f>
        <v>R</v>
      </c>
      <c r="H376" s="1" t="str">
        <f>IF(calc!$L376=1,IF(EXACT(calc!$D376,"FAC"),"",calc!I376),"")</f>
        <v>N</v>
      </c>
      <c r="I376" s="1">
        <f>IF(calc!$L376=1,calc!J376,"")</f>
        <v>5</v>
      </c>
      <c r="J376" s="1">
        <f>IF(calc!$L376=1,calc!K376,"")</f>
        <v>5</v>
      </c>
      <c r="K376" s="1" t="str">
        <f>IF(calc!$L376=1,calc!M376,"")</f>
        <v>38NSH</v>
      </c>
      <c r="L376" s="1">
        <f>IF(calc!$L376=1,calc!N376,"")</f>
        <v>0</v>
      </c>
      <c r="M376" s="1">
        <f>IF(calc!$L376=1,calc!O376,"")</f>
        <v>0</v>
      </c>
      <c r="N376" s="1" t="str">
        <f>IF(calc!$L376=1,calc!P376,"")</f>
        <v/>
      </c>
      <c r="O376">
        <f>'Entry data'!C$1</f>
        <v>20064</v>
      </c>
      <c r="P376" t="str">
        <f>'Entry data'!C$2</f>
        <v>NSH</v>
      </c>
      <c r="Q376" t="str">
        <f>'Entry data'!C$3</f>
        <v>Home</v>
      </c>
    </row>
    <row r="377" spans="1:17" x14ac:dyDescent="0.25">
      <c r="A377" s="1">
        <f>IF(calc!$L377=1,calc!B377,"")</f>
        <v>3</v>
      </c>
      <c r="B377" s="5">
        <f>IF(calc!$L377=1,calc!C377,"")</f>
        <v>0.40902777777777777</v>
      </c>
      <c r="C377" s="1" t="str">
        <f>IF(calc!$L377=1,calc!D377,"")</f>
        <v>D</v>
      </c>
      <c r="D377" s="1" t="str">
        <f>IF(calc!$L377=1,calc!E377,"")</f>
        <v>71DET</v>
      </c>
      <c r="E377" s="1" t="str">
        <f>IF(calc!$L377=1,IF(EXACT(calc!$D377,"FAC"),"",calc!F377),"")</f>
        <v>38NSH</v>
      </c>
      <c r="F377" s="1" t="str">
        <f>IF(calc!$L377=1,IF(EXACT(calc!$D377,"FAC"),"",calc!G377),"")</f>
        <v/>
      </c>
      <c r="G377" s="1" t="str">
        <f>IF(calc!$L377=1,IF(EXACT(calc!$D377,"FAC"),"",calc!H377),"")</f>
        <v>L</v>
      </c>
      <c r="H377" s="1" t="str">
        <f>IF(calc!$L377=1,IF(EXACT(calc!$D377,"FAC"),"",calc!I377),"")</f>
        <v>N</v>
      </c>
      <c r="I377" s="1">
        <f>IF(calc!$L377=1,calc!J377,"")</f>
        <v>5</v>
      </c>
      <c r="J377" s="1">
        <f>IF(calc!$L377=1,calc!K377,"")</f>
        <v>5</v>
      </c>
      <c r="K377" s="1" t="str">
        <f>IF(calc!$L377=1,calc!M377,"")</f>
        <v/>
      </c>
      <c r="L377" s="1">
        <f>IF(calc!$L377=1,calc!N377,"")</f>
        <v>0</v>
      </c>
      <c r="M377" s="1">
        <f>IF(calc!$L377=1,calc!O377,"")</f>
        <v>0</v>
      </c>
      <c r="N377" s="1" t="str">
        <f>IF(calc!$L377=1,calc!P377,"")</f>
        <v/>
      </c>
      <c r="O377">
        <f>'Entry data'!C$1</f>
        <v>20064</v>
      </c>
      <c r="P377" t="str">
        <f>'Entry data'!C$2</f>
        <v>NSH</v>
      </c>
      <c r="Q377" t="str">
        <f>'Entry data'!C$3</f>
        <v>Home</v>
      </c>
    </row>
    <row r="378" spans="1:17" x14ac:dyDescent="0.25">
      <c r="A378" s="1">
        <f>IF(calc!$L378=1,calc!B378,"")</f>
        <v>3</v>
      </c>
      <c r="B378" s="5">
        <f>IF(calc!$L378=1,calc!C378,"")</f>
        <v>0.39583333333333331</v>
      </c>
      <c r="C378" s="1" t="str">
        <f>IF(calc!$L378=1,calc!D378,"")</f>
        <v>D</v>
      </c>
      <c r="D378" s="1" t="str">
        <f>IF(calc!$L378=1,calc!E378,"")</f>
        <v>8DET</v>
      </c>
      <c r="E378" s="1" t="str">
        <f>IF(calc!$L378=1,IF(EXACT(calc!$D378,"FAC"),"",calc!F378),"")</f>
        <v>56NSH</v>
      </c>
      <c r="F378" s="1" t="str">
        <f>IF(calc!$L378=1,IF(EXACT(calc!$D378,"FAC"),"",calc!G378),"")</f>
        <v/>
      </c>
      <c r="G378" s="1" t="str">
        <f>IF(calc!$L378=1,IF(EXACT(calc!$D378,"FAC"),"",calc!H378),"")</f>
        <v>R</v>
      </c>
      <c r="H378" s="1" t="str">
        <f>IF(calc!$L378=1,IF(EXACT(calc!$D378,"FAC"),"",calc!I378),"")</f>
        <v>N</v>
      </c>
      <c r="I378" s="1">
        <f>IF(calc!$L378=1,calc!J378,"")</f>
        <v>5</v>
      </c>
      <c r="J378" s="1">
        <f>IF(calc!$L378=1,calc!K378,"")</f>
        <v>5</v>
      </c>
      <c r="K378" s="1" t="str">
        <f>IF(calc!$L378=1,calc!M378,"")</f>
        <v/>
      </c>
      <c r="L378" s="1">
        <f>IF(calc!$L378=1,calc!N378,"")</f>
        <v>0</v>
      </c>
      <c r="M378" s="1">
        <f>IF(calc!$L378=1,calc!O378,"")</f>
        <v>0</v>
      </c>
      <c r="N378" s="1" t="str">
        <f>IF(calc!$L378=1,calc!P378,"")</f>
        <v/>
      </c>
      <c r="O378">
        <f>'Entry data'!C$1</f>
        <v>20064</v>
      </c>
      <c r="P378" t="str">
        <f>'Entry data'!C$2</f>
        <v>NSH</v>
      </c>
      <c r="Q378" t="str">
        <f>'Entry data'!C$3</f>
        <v>Home</v>
      </c>
    </row>
    <row r="379" spans="1:17" x14ac:dyDescent="0.25">
      <c r="A379" s="1">
        <f>IF(calc!$L379=1,calc!B379,"")</f>
        <v>3</v>
      </c>
      <c r="B379" s="5">
        <f>IF(calc!$L379=1,calc!C379,"")</f>
        <v>0.37222222222222223</v>
      </c>
      <c r="C379" s="1" t="str">
        <f>IF(calc!$L379=1,calc!D379,"")</f>
        <v>C</v>
      </c>
      <c r="D379" s="1" t="str">
        <f>IF(calc!$L379=1,calc!E379,"")</f>
        <v>19NSH</v>
      </c>
      <c r="E379" s="1" t="str">
        <f>IF(calc!$L379=1,IF(EXACT(calc!$D379,"FAC"),"",calc!F379),"")</f>
        <v>N</v>
      </c>
      <c r="F379" s="1" t="str">
        <f>IF(calc!$L379=1,IF(EXACT(calc!$D379,"FAC"),"",calc!G379),"")</f>
        <v>N</v>
      </c>
      <c r="G379" s="1" t="str">
        <f>IF(calc!$L379=1,IF(EXACT(calc!$D379,"FAC"),"",calc!H379),"")</f>
        <v>L</v>
      </c>
      <c r="H379" s="1" t="str">
        <f>IF(calc!$L379=1,IF(EXACT(calc!$D379,"FAC"),"",calc!I379),"")</f>
        <v>N</v>
      </c>
      <c r="I379" s="1">
        <f>IF(calc!$L379=1,calc!J379,"")</f>
        <v>5</v>
      </c>
      <c r="J379" s="1">
        <f>IF(calc!$L379=1,calc!K379,"")</f>
        <v>5</v>
      </c>
      <c r="K379" s="1" t="str">
        <f>IF(calc!$L379=1,calc!M379,"")</f>
        <v>19NSH</v>
      </c>
      <c r="L379" s="1">
        <f>IF(calc!$L379=1,calc!N379,"")</f>
        <v>0</v>
      </c>
      <c r="M379" s="1">
        <f>IF(calc!$L379=1,calc!O379,"")</f>
        <v>0</v>
      </c>
      <c r="N379" s="1" t="str">
        <f>IF(calc!$L379=1,calc!P379,"")</f>
        <v/>
      </c>
      <c r="O379">
        <f>'Entry data'!C$1</f>
        <v>20064</v>
      </c>
      <c r="P379" t="str">
        <f>'Entry data'!C$2</f>
        <v>NSH</v>
      </c>
      <c r="Q379" t="str">
        <f>'Entry data'!C$3</f>
        <v>Home</v>
      </c>
    </row>
    <row r="380" spans="1:17" x14ac:dyDescent="0.25">
      <c r="A380" s="1" t="str">
        <f>IF(calc!$L380=1,calc!B380,"")</f>
        <v/>
      </c>
      <c r="B380" s="5" t="str">
        <f>IF(calc!$L380=1,calc!C380,"")</f>
        <v/>
      </c>
      <c r="C380" s="1" t="str">
        <f>IF(calc!$L380=1,calc!D380,"")</f>
        <v/>
      </c>
      <c r="D380" s="1" t="str">
        <f>IF(calc!$L380=1,calc!E380,"")</f>
        <v/>
      </c>
      <c r="E380" s="1" t="str">
        <f>IF(calc!$L380=1,IF(EXACT(calc!$D380,"FAC"),"",calc!F380),"")</f>
        <v/>
      </c>
      <c r="F380" s="1" t="str">
        <f>IF(calc!$L380=1,IF(EXACT(calc!$D380,"FAC"),"",calc!G380),"")</f>
        <v/>
      </c>
      <c r="G380" s="1" t="str">
        <f>IF(calc!$L380=1,IF(EXACT(calc!$D380,"FAC"),"",calc!H380),"")</f>
        <v/>
      </c>
      <c r="H380" s="1" t="str">
        <f>IF(calc!$L380=1,IF(EXACT(calc!$D380,"FAC"),"",calc!I380),"")</f>
        <v/>
      </c>
      <c r="I380" s="1" t="str">
        <f>IF(calc!$L380=1,calc!J380,"")</f>
        <v/>
      </c>
      <c r="J380" s="1" t="str">
        <f>IF(calc!$L380=1,calc!K380,"")</f>
        <v/>
      </c>
      <c r="K380" s="1" t="str">
        <f>IF(calc!$L380=1,calc!M380,"")</f>
        <v/>
      </c>
      <c r="L380" s="1" t="str">
        <f>IF(calc!$L380=1,calc!N380,"")</f>
        <v/>
      </c>
      <c r="M380" s="1" t="str">
        <f>IF(calc!$L380=1,calc!O380,"")</f>
        <v/>
      </c>
      <c r="N380" s="1" t="str">
        <f>IF(calc!$L380=1,calc!P380,"")</f>
        <v/>
      </c>
      <c r="O380">
        <f>'Entry data'!C$1</f>
        <v>20064</v>
      </c>
      <c r="P380" t="str">
        <f>'Entry data'!C$2</f>
        <v>NSH</v>
      </c>
      <c r="Q380" t="str">
        <f>'Entry data'!C$3</f>
        <v>Home</v>
      </c>
    </row>
    <row r="381" spans="1:17" x14ac:dyDescent="0.25">
      <c r="A381" s="1">
        <f>IF(calc!$L381=1,calc!B381,"")</f>
        <v>3</v>
      </c>
      <c r="B381" s="5">
        <f>IF(calc!$L381=1,calc!C381,"")</f>
        <v>0.36736111111111108</v>
      </c>
      <c r="C381" s="1" t="str">
        <f>IF(calc!$L381=1,calc!D381,"")</f>
        <v>C</v>
      </c>
      <c r="D381" s="1" t="str">
        <f>IF(calc!$L381=1,calc!E381,"")</f>
        <v>43DET</v>
      </c>
      <c r="E381" s="1" t="str">
        <f>IF(calc!$L381=1,IF(EXACT(calc!$D381,"FAC"),"",calc!F381),"")</f>
        <v>25NSH</v>
      </c>
      <c r="F381" s="1" t="str">
        <f>IF(calc!$L381=1,IF(EXACT(calc!$D381,"FAC"),"",calc!G381),"")</f>
        <v>N</v>
      </c>
      <c r="G381" s="1" t="str">
        <f>IF(calc!$L381=1,IF(EXACT(calc!$D381,"FAC"),"",calc!H381),"")</f>
        <v>C</v>
      </c>
      <c r="H381" s="1" t="str">
        <f>IF(calc!$L381=1,IF(EXACT(calc!$D381,"FAC"),"",calc!I381),"")</f>
        <v>N</v>
      </c>
      <c r="I381" s="1">
        <f>IF(calc!$L381=1,calc!J381,"")</f>
        <v>5</v>
      </c>
      <c r="J381" s="1">
        <f>IF(calc!$L381=1,calc!K381,"")</f>
        <v>5</v>
      </c>
      <c r="K381" s="1" t="str">
        <f>IF(calc!$L381=1,calc!M381,"")</f>
        <v>43DET</v>
      </c>
      <c r="L381" s="1">
        <f>IF(calc!$L381=1,calc!N381,"")</f>
        <v>1</v>
      </c>
      <c r="M381" s="1">
        <f>IF(calc!$L381=1,calc!O381,"")</f>
        <v>1</v>
      </c>
      <c r="N381" s="1" t="str">
        <f>IF(calc!$L381=1,calc!P381,"")</f>
        <v/>
      </c>
      <c r="O381">
        <f>'Entry data'!C$1</f>
        <v>20064</v>
      </c>
      <c r="P381" t="str">
        <f>'Entry data'!C$2</f>
        <v>NSH</v>
      </c>
      <c r="Q381" t="str">
        <f>'Entry data'!C$3</f>
        <v>Home</v>
      </c>
    </row>
    <row r="382" spans="1:17" x14ac:dyDescent="0.25">
      <c r="A382" s="1" t="str">
        <f>IF(calc!$L382=1,calc!B382,"")</f>
        <v/>
      </c>
      <c r="B382" s="5" t="str">
        <f>IF(calc!$L382=1,calc!C382,"")</f>
        <v/>
      </c>
      <c r="C382" s="1" t="str">
        <f>IF(calc!$L382=1,calc!D382,"")</f>
        <v/>
      </c>
      <c r="D382" s="1" t="str">
        <f>IF(calc!$L382=1,calc!E382,"")</f>
        <v/>
      </c>
      <c r="E382" s="1" t="str">
        <f>IF(calc!$L382=1,IF(EXACT(calc!$D382,"FAC"),"",calc!F382),"")</f>
        <v/>
      </c>
      <c r="F382" s="1" t="str">
        <f>IF(calc!$L382=1,IF(EXACT(calc!$D382,"FAC"),"",calc!G382),"")</f>
        <v/>
      </c>
      <c r="G382" s="1" t="str">
        <f>IF(calc!$L382=1,IF(EXACT(calc!$D382,"FAC"),"",calc!H382),"")</f>
        <v/>
      </c>
      <c r="H382" s="1" t="str">
        <f>IF(calc!$L382=1,IF(EXACT(calc!$D382,"FAC"),"",calc!I382),"")</f>
        <v/>
      </c>
      <c r="I382" s="1" t="str">
        <f>IF(calc!$L382=1,calc!J382,"")</f>
        <v/>
      </c>
      <c r="J382" s="1" t="str">
        <f>IF(calc!$L382=1,calc!K382,"")</f>
        <v/>
      </c>
      <c r="K382" s="1" t="str">
        <f>IF(calc!$L382=1,calc!M382,"")</f>
        <v/>
      </c>
      <c r="L382" s="1" t="str">
        <f>IF(calc!$L382=1,calc!N382,"")</f>
        <v/>
      </c>
      <c r="M382" s="1" t="str">
        <f>IF(calc!$L382=1,calc!O382,"")</f>
        <v/>
      </c>
      <c r="N382" s="1" t="str">
        <f>IF(calc!$L382=1,calc!P382,"")</f>
        <v/>
      </c>
      <c r="O382">
        <f>'Entry data'!C$1</f>
        <v>20064</v>
      </c>
      <c r="P382" t="str">
        <f>'Entry data'!C$2</f>
        <v>NSH</v>
      </c>
      <c r="Q382" t="str">
        <f>'Entry data'!C$3</f>
        <v>Home</v>
      </c>
    </row>
    <row r="383" spans="1:17" x14ac:dyDescent="0.25">
      <c r="A383" s="1" t="str">
        <f>IF(calc!$L383=1,calc!B383,"")</f>
        <v/>
      </c>
      <c r="B383" s="5" t="str">
        <f>IF(calc!$L383=1,calc!C383,"")</f>
        <v/>
      </c>
      <c r="C383" s="1" t="str">
        <f>IF(calc!$L383=1,calc!D383,"")</f>
        <v/>
      </c>
      <c r="D383" s="1" t="str">
        <f>IF(calc!$L383=1,calc!E383,"")</f>
        <v/>
      </c>
      <c r="E383" s="1" t="str">
        <f>IF(calc!$L383=1,IF(EXACT(calc!$D383,"FAC"),"",calc!F383),"")</f>
        <v/>
      </c>
      <c r="F383" s="1" t="str">
        <f>IF(calc!$L383=1,IF(EXACT(calc!$D383,"FAC"),"",calc!G383),"")</f>
        <v/>
      </c>
      <c r="G383" s="1" t="str">
        <f>IF(calc!$L383=1,IF(EXACT(calc!$D383,"FAC"),"",calc!H383),"")</f>
        <v/>
      </c>
      <c r="H383" s="1" t="str">
        <f>IF(calc!$L383=1,IF(EXACT(calc!$D383,"FAC"),"",calc!I383),"")</f>
        <v/>
      </c>
      <c r="I383" s="1" t="str">
        <f>IF(calc!$L383=1,calc!J383,"")</f>
        <v/>
      </c>
      <c r="J383" s="1" t="str">
        <f>IF(calc!$L383=1,calc!K383,"")</f>
        <v/>
      </c>
      <c r="K383" s="1" t="str">
        <f>IF(calc!$L383=1,calc!M383,"")</f>
        <v/>
      </c>
      <c r="L383" s="1" t="str">
        <f>IF(calc!$L383=1,calc!N383,"")</f>
        <v/>
      </c>
      <c r="M383" s="1" t="str">
        <f>IF(calc!$L383=1,calc!O383,"")</f>
        <v/>
      </c>
      <c r="N383" s="1" t="str">
        <f>IF(calc!$L383=1,calc!P383,"")</f>
        <v/>
      </c>
      <c r="O383">
        <f>'Entry data'!C$1</f>
        <v>20064</v>
      </c>
      <c r="P383" t="str">
        <f>'Entry data'!C$2</f>
        <v>NSH</v>
      </c>
      <c r="Q383" t="str">
        <f>'Entry data'!C$3</f>
        <v>Home</v>
      </c>
    </row>
    <row r="384" spans="1:17" x14ac:dyDescent="0.25">
      <c r="A384" s="1">
        <f>IF(calc!$L384=1,calc!B384,"")</f>
        <v>3</v>
      </c>
      <c r="B384" s="5">
        <f>IF(calc!$L384=1,calc!C384,"")</f>
        <v>0.35347222222222219</v>
      </c>
      <c r="C384" s="1" t="str">
        <f>IF(calc!$L384=1,calc!D384,"")</f>
        <v>D</v>
      </c>
      <c r="D384" s="1" t="str">
        <f>IF(calc!$L384=1,calc!E384,"")</f>
        <v>38NSH</v>
      </c>
      <c r="E384" s="1" t="str">
        <f>IF(calc!$L384=1,IF(EXACT(calc!$D384,"FAC"),"",calc!F384),"")</f>
        <v>65DET</v>
      </c>
      <c r="F384" s="1" t="str">
        <f>IF(calc!$L384=1,IF(EXACT(calc!$D384,"FAC"),"",calc!G384),"")</f>
        <v/>
      </c>
      <c r="G384" s="1" t="str">
        <f>IF(calc!$L384=1,IF(EXACT(calc!$D384,"FAC"),"",calc!H384),"")</f>
        <v>R</v>
      </c>
      <c r="H384" s="1" t="str">
        <f>IF(calc!$L384=1,IF(EXACT(calc!$D384,"FAC"),"",calc!I384),"")</f>
        <v>N</v>
      </c>
      <c r="I384" s="1">
        <f>IF(calc!$L384=1,calc!J384,"")</f>
        <v>5</v>
      </c>
      <c r="J384" s="1">
        <f>IF(calc!$L384=1,calc!K384,"")</f>
        <v>5</v>
      </c>
      <c r="K384" s="1" t="str">
        <f>IF(calc!$L384=1,calc!M384,"")</f>
        <v/>
      </c>
      <c r="L384" s="1">
        <f>IF(calc!$L384=1,calc!N384,"")</f>
        <v>0</v>
      </c>
      <c r="M384" s="1">
        <f>IF(calc!$L384=1,calc!O384,"")</f>
        <v>0</v>
      </c>
      <c r="N384" s="1" t="str">
        <f>IF(calc!$L384=1,calc!P384,"")</f>
        <v/>
      </c>
      <c r="O384">
        <f>'Entry data'!C$1</f>
        <v>20064</v>
      </c>
      <c r="P384" t="str">
        <f>'Entry data'!C$2</f>
        <v>NSH</v>
      </c>
      <c r="Q384" t="str">
        <f>'Entry data'!C$3</f>
        <v>Home</v>
      </c>
    </row>
    <row r="385" spans="1:17" x14ac:dyDescent="0.25">
      <c r="A385" s="1" t="str">
        <f>IF(calc!$L385=1,calc!B385,"")</f>
        <v/>
      </c>
      <c r="B385" s="5" t="str">
        <f>IF(calc!$L385=1,calc!C385,"")</f>
        <v/>
      </c>
      <c r="C385" s="1" t="str">
        <f>IF(calc!$L385=1,calc!D385,"")</f>
        <v/>
      </c>
      <c r="D385" s="1" t="str">
        <f>IF(calc!$L385=1,calc!E385,"")</f>
        <v/>
      </c>
      <c r="E385" s="1" t="str">
        <f>IF(calc!$L385=1,IF(EXACT(calc!$D385,"FAC"),"",calc!F385),"")</f>
        <v/>
      </c>
      <c r="F385" s="1" t="str">
        <f>IF(calc!$L385=1,IF(EXACT(calc!$D385,"FAC"),"",calc!G385),"")</f>
        <v/>
      </c>
      <c r="G385" s="1" t="str">
        <f>IF(calc!$L385=1,IF(EXACT(calc!$D385,"FAC"),"",calc!H385),"")</f>
        <v/>
      </c>
      <c r="H385" s="1" t="str">
        <f>IF(calc!$L385=1,IF(EXACT(calc!$D385,"FAC"),"",calc!I385),"")</f>
        <v/>
      </c>
      <c r="I385" s="1" t="str">
        <f>IF(calc!$L385=1,calc!J385,"")</f>
        <v/>
      </c>
      <c r="J385" s="1" t="str">
        <f>IF(calc!$L385=1,calc!K385,"")</f>
        <v/>
      </c>
      <c r="K385" s="1" t="str">
        <f>IF(calc!$L385=1,calc!M385,"")</f>
        <v/>
      </c>
      <c r="L385" s="1" t="str">
        <f>IF(calc!$L385=1,calc!N385,"")</f>
        <v/>
      </c>
      <c r="M385" s="1" t="str">
        <f>IF(calc!$L385=1,calc!O385,"")</f>
        <v/>
      </c>
      <c r="N385" s="1" t="str">
        <f>IF(calc!$L385=1,calc!P385,"")</f>
        <v/>
      </c>
      <c r="O385">
        <f>'Entry data'!C$1</f>
        <v>20064</v>
      </c>
      <c r="P385" t="str">
        <f>'Entry data'!C$2</f>
        <v>NSH</v>
      </c>
      <c r="Q385" t="str">
        <f>'Entry data'!C$3</f>
        <v>Home</v>
      </c>
    </row>
    <row r="386" spans="1:17" x14ac:dyDescent="0.25">
      <c r="A386" s="1" t="str">
        <f>IF(calc!$L386=1,calc!B386,"")</f>
        <v/>
      </c>
      <c r="B386" s="5" t="str">
        <f>IF(calc!$L386=1,calc!C386,"")</f>
        <v/>
      </c>
      <c r="C386" s="1" t="str">
        <f>IF(calc!$L386=1,calc!D386,"")</f>
        <v/>
      </c>
      <c r="D386" s="1" t="str">
        <f>IF(calc!$L386=1,calc!E386,"")</f>
        <v/>
      </c>
      <c r="E386" s="1" t="str">
        <f>IF(calc!$L386=1,IF(EXACT(calc!$D386,"FAC"),"",calc!F386),"")</f>
        <v/>
      </c>
      <c r="F386" s="1" t="str">
        <f>IF(calc!$L386=1,IF(EXACT(calc!$D386,"FAC"),"",calc!G386),"")</f>
        <v/>
      </c>
      <c r="G386" s="1" t="str">
        <f>IF(calc!$L386=1,IF(EXACT(calc!$D386,"FAC"),"",calc!H386),"")</f>
        <v/>
      </c>
      <c r="H386" s="1" t="str">
        <f>IF(calc!$L386=1,IF(EXACT(calc!$D386,"FAC"),"",calc!I386),"")</f>
        <v/>
      </c>
      <c r="I386" s="1" t="str">
        <f>IF(calc!$L386=1,calc!J386,"")</f>
        <v/>
      </c>
      <c r="J386" s="1" t="str">
        <f>IF(calc!$L386=1,calc!K386,"")</f>
        <v/>
      </c>
      <c r="K386" s="1" t="str">
        <f>IF(calc!$L386=1,calc!M386,"")</f>
        <v/>
      </c>
      <c r="L386" s="1" t="str">
        <f>IF(calc!$L386=1,calc!N386,"")</f>
        <v/>
      </c>
      <c r="M386" s="1" t="str">
        <f>IF(calc!$L386=1,calc!O386,"")</f>
        <v/>
      </c>
      <c r="N386" s="1" t="str">
        <f>IF(calc!$L386=1,calc!P386,"")</f>
        <v/>
      </c>
      <c r="O386">
        <f>'Entry data'!C$1</f>
        <v>20064</v>
      </c>
      <c r="P386" t="str">
        <f>'Entry data'!C$2</f>
        <v>NSH</v>
      </c>
      <c r="Q386" t="str">
        <f>'Entry data'!C$3</f>
        <v>Home</v>
      </c>
    </row>
    <row r="387" spans="1:17" x14ac:dyDescent="0.25">
      <c r="A387" s="1">
        <f>IF(calc!$L387=1,calc!B387,"")</f>
        <v>3</v>
      </c>
      <c r="B387" s="5">
        <f>IF(calc!$L387=1,calc!C387,"")</f>
        <v>0.33819444444444446</v>
      </c>
      <c r="C387" s="1" t="str">
        <f>IF(calc!$L387=1,calc!D387,"")</f>
        <v>F</v>
      </c>
      <c r="D387" s="1" t="str">
        <f>IF(calc!$L387=1,calc!E387,"")</f>
        <v>76NSH</v>
      </c>
      <c r="E387" s="1" t="str">
        <f>IF(calc!$L387=1,IF(EXACT(calc!$D387,"FAC"),"",calc!F387),"")</f>
        <v>40DET</v>
      </c>
      <c r="F387" s="1" t="str">
        <f>IF(calc!$L387=1,IF(EXACT(calc!$D387,"FAC"),"",calc!G387),"")</f>
        <v/>
      </c>
      <c r="G387" s="1" t="str">
        <f>IF(calc!$L387=1,IF(EXACT(calc!$D387,"FAC"),"",calc!H387),"")</f>
        <v>C</v>
      </c>
      <c r="H387" s="1" t="str">
        <f>IF(calc!$L387=1,IF(EXACT(calc!$D387,"FAC"),"",calc!I387),"")</f>
        <v>N</v>
      </c>
      <c r="I387" s="1">
        <f>IF(calc!$L387=1,calc!J387,"")</f>
        <v>5</v>
      </c>
      <c r="J387" s="1">
        <f>IF(calc!$L387=1,calc!K387,"")</f>
        <v>5</v>
      </c>
      <c r="K387" s="1" t="str">
        <f>IF(calc!$L387=1,calc!M387,"")</f>
        <v/>
      </c>
      <c r="L387" s="1">
        <f>IF(calc!$L387=1,calc!N387,"")</f>
        <v>0</v>
      </c>
      <c r="M387" s="1">
        <f>IF(calc!$L387=1,calc!O387,"")</f>
        <v>0</v>
      </c>
      <c r="N387" s="1" t="str">
        <f>IF(calc!$L387=1,calc!P387,"")</f>
        <v>76NSH</v>
      </c>
      <c r="O387">
        <f>'Entry data'!C$1</f>
        <v>20064</v>
      </c>
      <c r="P387" t="str">
        <f>'Entry data'!C$2</f>
        <v>NSH</v>
      </c>
      <c r="Q387" t="str">
        <f>'Entry data'!C$3</f>
        <v>Home</v>
      </c>
    </row>
    <row r="388" spans="1:17" x14ac:dyDescent="0.25">
      <c r="A388" s="1">
        <f>IF(calc!$L388=1,calc!B388,"")</f>
        <v>3</v>
      </c>
      <c r="B388" s="5">
        <f>IF(calc!$L388=1,calc!C388,"")</f>
        <v>0.33055555555555555</v>
      </c>
      <c r="C388" s="1" t="str">
        <f>IF(calc!$L388=1,calc!D388,"")</f>
        <v>C</v>
      </c>
      <c r="D388" s="1" t="str">
        <f>IF(calc!$L388=1,calc!E388,"")</f>
        <v>38NSH</v>
      </c>
      <c r="E388" s="1" t="str">
        <f>IF(calc!$L388=1,IF(EXACT(calc!$D388,"FAC"),"",calc!F388),"")</f>
        <v>N</v>
      </c>
      <c r="F388" s="1" t="str">
        <f>IF(calc!$L388=1,IF(EXACT(calc!$D388,"FAC"),"",calc!G388),"")</f>
        <v>N</v>
      </c>
      <c r="G388" s="1" t="str">
        <f>IF(calc!$L388=1,IF(EXACT(calc!$D388,"FAC"),"",calc!H388),"")</f>
        <v>R</v>
      </c>
      <c r="H388" s="1" t="str">
        <f>IF(calc!$L388=1,IF(EXACT(calc!$D388,"FAC"),"",calc!I388),"")</f>
        <v>N</v>
      </c>
      <c r="I388" s="1">
        <f>IF(calc!$L388=1,calc!J388,"")</f>
        <v>5</v>
      </c>
      <c r="J388" s="1">
        <f>IF(calc!$L388=1,calc!K388,"")</f>
        <v>5</v>
      </c>
      <c r="K388" s="1" t="str">
        <f>IF(calc!$L388=1,calc!M388,"")</f>
        <v>38NSH</v>
      </c>
      <c r="L388" s="1">
        <f>IF(calc!$L388=1,calc!N388,"")</f>
        <v>1</v>
      </c>
      <c r="M388" s="1">
        <f>IF(calc!$L388=1,calc!O388,"")</f>
        <v>0</v>
      </c>
      <c r="N388" s="1" t="str">
        <f>IF(calc!$L388=1,calc!P388,"")</f>
        <v/>
      </c>
      <c r="O388">
        <f>'Entry data'!C$1</f>
        <v>20064</v>
      </c>
      <c r="P388" t="str">
        <f>'Entry data'!C$2</f>
        <v>NSH</v>
      </c>
      <c r="Q388" t="str">
        <f>'Entry data'!C$3</f>
        <v>Home</v>
      </c>
    </row>
    <row r="389" spans="1:17" x14ac:dyDescent="0.25">
      <c r="A389" s="1" t="str">
        <f>IF(calc!$L389=1,calc!B389,"")</f>
        <v/>
      </c>
      <c r="B389" s="5" t="str">
        <f>IF(calc!$L389=1,calc!C389,"")</f>
        <v/>
      </c>
      <c r="C389" s="1" t="str">
        <f>IF(calc!$L389=1,calc!D389,"")</f>
        <v/>
      </c>
      <c r="D389" s="1" t="str">
        <f>IF(calc!$L389=1,calc!E389,"")</f>
        <v/>
      </c>
      <c r="E389" s="1" t="str">
        <f>IF(calc!$L389=1,IF(EXACT(calc!$D389,"FAC"),"",calc!F389),"")</f>
        <v/>
      </c>
      <c r="F389" s="1" t="str">
        <f>IF(calc!$L389=1,IF(EXACT(calc!$D389,"FAC"),"",calc!G389),"")</f>
        <v/>
      </c>
      <c r="G389" s="1" t="str">
        <f>IF(calc!$L389=1,IF(EXACT(calc!$D389,"FAC"),"",calc!H389),"")</f>
        <v/>
      </c>
      <c r="H389" s="1" t="str">
        <f>IF(calc!$L389=1,IF(EXACT(calc!$D389,"FAC"),"",calc!I389),"")</f>
        <v/>
      </c>
      <c r="I389" s="1" t="str">
        <f>IF(calc!$L389=1,calc!J389,"")</f>
        <v/>
      </c>
      <c r="J389" s="1" t="str">
        <f>IF(calc!$L389=1,calc!K389,"")</f>
        <v/>
      </c>
      <c r="K389" s="1" t="str">
        <f>IF(calc!$L389=1,calc!M389,"")</f>
        <v/>
      </c>
      <c r="L389" s="1" t="str">
        <f>IF(calc!$L389=1,calc!N389,"")</f>
        <v/>
      </c>
      <c r="M389" s="1" t="str">
        <f>IF(calc!$L389=1,calc!O389,"")</f>
        <v/>
      </c>
      <c r="N389" s="1" t="str">
        <f>IF(calc!$L389=1,calc!P389,"")</f>
        <v/>
      </c>
      <c r="O389">
        <f>'Entry data'!C$1</f>
        <v>20064</v>
      </c>
      <c r="P389" t="str">
        <f>'Entry data'!C$2</f>
        <v>NSH</v>
      </c>
      <c r="Q389" t="str">
        <f>'Entry data'!C$3</f>
        <v>Home</v>
      </c>
    </row>
    <row r="390" spans="1:17" x14ac:dyDescent="0.25">
      <c r="A390" s="1" t="str">
        <f>IF(calc!$L390=1,calc!B390,"")</f>
        <v/>
      </c>
      <c r="B390" s="5" t="str">
        <f>IF(calc!$L390=1,calc!C390,"")</f>
        <v/>
      </c>
      <c r="C390" s="1" t="str">
        <f>IF(calc!$L390=1,calc!D390,"")</f>
        <v/>
      </c>
      <c r="D390" s="1" t="str">
        <f>IF(calc!$L390=1,calc!E390,"")</f>
        <v/>
      </c>
      <c r="E390" s="1" t="str">
        <f>IF(calc!$L390=1,IF(EXACT(calc!$D390,"FAC"),"",calc!F390),"")</f>
        <v/>
      </c>
      <c r="F390" s="1" t="str">
        <f>IF(calc!$L390=1,IF(EXACT(calc!$D390,"FAC"),"",calc!G390),"")</f>
        <v/>
      </c>
      <c r="G390" s="1" t="str">
        <f>IF(calc!$L390=1,IF(EXACT(calc!$D390,"FAC"),"",calc!H390),"")</f>
        <v/>
      </c>
      <c r="H390" s="1" t="str">
        <f>IF(calc!$L390=1,IF(EXACT(calc!$D390,"FAC"),"",calc!I390),"")</f>
        <v/>
      </c>
      <c r="I390" s="1" t="str">
        <f>IF(calc!$L390=1,calc!J390,"")</f>
        <v/>
      </c>
      <c r="J390" s="1" t="str">
        <f>IF(calc!$L390=1,calc!K390,"")</f>
        <v/>
      </c>
      <c r="K390" s="1" t="str">
        <f>IF(calc!$L390=1,calc!M390,"")</f>
        <v/>
      </c>
      <c r="L390" s="1" t="str">
        <f>IF(calc!$L390=1,calc!N390,"")</f>
        <v/>
      </c>
      <c r="M390" s="1" t="str">
        <f>IF(calc!$L390=1,calc!O390,"")</f>
        <v/>
      </c>
      <c r="N390" s="1" t="str">
        <f>IF(calc!$L390=1,calc!P390,"")</f>
        <v/>
      </c>
      <c r="O390">
        <f>'Entry data'!C$1</f>
        <v>20064</v>
      </c>
      <c r="P390" t="str">
        <f>'Entry data'!C$2</f>
        <v>NSH</v>
      </c>
      <c r="Q390" t="str">
        <f>'Entry data'!C$3</f>
        <v>Home</v>
      </c>
    </row>
    <row r="391" spans="1:17" x14ac:dyDescent="0.25">
      <c r="A391" s="1" t="str">
        <f>IF(calc!$L391=1,calc!B391,"")</f>
        <v/>
      </c>
      <c r="B391" s="5" t="str">
        <f>IF(calc!$L391=1,calc!C391,"")</f>
        <v/>
      </c>
      <c r="C391" s="1" t="str">
        <f>IF(calc!$L391=1,calc!D391,"")</f>
        <v/>
      </c>
      <c r="D391" s="1" t="str">
        <f>IF(calc!$L391=1,calc!E391,"")</f>
        <v/>
      </c>
      <c r="E391" s="1" t="str">
        <f>IF(calc!$L391=1,IF(EXACT(calc!$D391,"FAC"),"",calc!F391),"")</f>
        <v/>
      </c>
      <c r="F391" s="1" t="str">
        <f>IF(calc!$L391=1,IF(EXACT(calc!$D391,"FAC"),"",calc!G391),"")</f>
        <v/>
      </c>
      <c r="G391" s="1" t="str">
        <f>IF(calc!$L391=1,IF(EXACT(calc!$D391,"FAC"),"",calc!H391),"")</f>
        <v/>
      </c>
      <c r="H391" s="1" t="str">
        <f>IF(calc!$L391=1,IF(EXACT(calc!$D391,"FAC"),"",calc!I391),"")</f>
        <v/>
      </c>
      <c r="I391" s="1" t="str">
        <f>IF(calc!$L391=1,calc!J391,"")</f>
        <v/>
      </c>
      <c r="J391" s="1" t="str">
        <f>IF(calc!$L391=1,calc!K391,"")</f>
        <v/>
      </c>
      <c r="K391" s="1" t="str">
        <f>IF(calc!$L391=1,calc!M391,"")</f>
        <v/>
      </c>
      <c r="L391" s="1" t="str">
        <f>IF(calc!$L391=1,calc!N391,"")</f>
        <v/>
      </c>
      <c r="M391" s="1" t="str">
        <f>IF(calc!$L391=1,calc!O391,"")</f>
        <v/>
      </c>
      <c r="N391" s="1" t="str">
        <f>IF(calc!$L391=1,calc!P391,"")</f>
        <v/>
      </c>
      <c r="O391">
        <f>'Entry data'!C$1</f>
        <v>20064</v>
      </c>
      <c r="P391" t="str">
        <f>'Entry data'!C$2</f>
        <v>NSH</v>
      </c>
      <c r="Q391" t="str">
        <f>'Entry data'!C$3</f>
        <v>Home</v>
      </c>
    </row>
    <row r="392" spans="1:17" x14ac:dyDescent="0.25">
      <c r="A392" s="1">
        <f>IF(calc!$L392=1,calc!B392,"")</f>
        <v>3</v>
      </c>
      <c r="B392" s="5">
        <f>IF(calc!$L392=1,calc!C392,"")</f>
        <v>0.32083333333333336</v>
      </c>
      <c r="C392" s="1" t="str">
        <f>IF(calc!$L392=1,calc!D392,"")</f>
        <v>D</v>
      </c>
      <c r="D392" s="1" t="str">
        <f>IF(calc!$L392=1,calc!E392,"")</f>
        <v>19NSH</v>
      </c>
      <c r="E392" s="1" t="str">
        <f>IF(calc!$L392=1,IF(EXACT(calc!$D392,"FAC"),"",calc!F392),"")</f>
        <v>15DET</v>
      </c>
      <c r="F392" s="1" t="str">
        <f>IF(calc!$L392=1,IF(EXACT(calc!$D392,"FAC"),"",calc!G392),"")</f>
        <v/>
      </c>
      <c r="G392" s="1" t="str">
        <f>IF(calc!$L392=1,IF(EXACT(calc!$D392,"FAC"),"",calc!H392),"")</f>
        <v>L</v>
      </c>
      <c r="H392" s="1" t="str">
        <f>IF(calc!$L392=1,IF(EXACT(calc!$D392,"FAC"),"",calc!I392),"")</f>
        <v>N</v>
      </c>
      <c r="I392" s="1">
        <f>IF(calc!$L392=1,calc!J392,"")</f>
        <v>5</v>
      </c>
      <c r="J392" s="1">
        <f>IF(calc!$L392=1,calc!K392,"")</f>
        <v>5</v>
      </c>
      <c r="K392" s="1" t="str">
        <f>IF(calc!$L392=1,calc!M392,"")</f>
        <v/>
      </c>
      <c r="L392" s="1">
        <f>IF(calc!$L392=1,calc!N392,"")</f>
        <v>1</v>
      </c>
      <c r="M392" s="1">
        <f>IF(calc!$L392=1,calc!O392,"")</f>
        <v>0</v>
      </c>
      <c r="N392" s="1" t="str">
        <f>IF(calc!$L392=1,calc!P392,"")</f>
        <v/>
      </c>
      <c r="O392">
        <f>'Entry data'!C$1</f>
        <v>20064</v>
      </c>
      <c r="P392" t="str">
        <f>'Entry data'!C$2</f>
        <v>NSH</v>
      </c>
      <c r="Q392" t="str">
        <f>'Entry data'!C$3</f>
        <v>Home</v>
      </c>
    </row>
    <row r="393" spans="1:17" x14ac:dyDescent="0.25">
      <c r="A393" s="1" t="str">
        <f>IF(calc!$L393=1,calc!B393,"")</f>
        <v/>
      </c>
      <c r="B393" s="5" t="str">
        <f>IF(calc!$L393=1,calc!C393,"")</f>
        <v/>
      </c>
      <c r="C393" s="1" t="str">
        <f>IF(calc!$L393=1,calc!D393,"")</f>
        <v/>
      </c>
      <c r="D393" s="1" t="str">
        <f>IF(calc!$L393=1,calc!E393,"")</f>
        <v/>
      </c>
      <c r="E393" s="1" t="str">
        <f>IF(calc!$L393=1,IF(EXACT(calc!$D393,"FAC"),"",calc!F393),"")</f>
        <v/>
      </c>
      <c r="F393" s="1" t="str">
        <f>IF(calc!$L393=1,IF(EXACT(calc!$D393,"FAC"),"",calc!G393),"")</f>
        <v/>
      </c>
      <c r="G393" s="1" t="str">
        <f>IF(calc!$L393=1,IF(EXACT(calc!$D393,"FAC"),"",calc!H393),"")</f>
        <v/>
      </c>
      <c r="H393" s="1" t="str">
        <f>IF(calc!$L393=1,IF(EXACT(calc!$D393,"FAC"),"",calc!I393),"")</f>
        <v/>
      </c>
      <c r="I393" s="1" t="str">
        <f>IF(calc!$L393=1,calc!J393,"")</f>
        <v/>
      </c>
      <c r="J393" s="1" t="str">
        <f>IF(calc!$L393=1,calc!K393,"")</f>
        <v/>
      </c>
      <c r="K393" s="1" t="str">
        <f>IF(calc!$L393=1,calc!M393,"")</f>
        <v/>
      </c>
      <c r="L393" s="1" t="str">
        <f>IF(calc!$L393=1,calc!N393,"")</f>
        <v/>
      </c>
      <c r="M393" s="1" t="str">
        <f>IF(calc!$L393=1,calc!O393,"")</f>
        <v/>
      </c>
      <c r="N393" s="1" t="str">
        <f>IF(calc!$L393=1,calc!P393,"")</f>
        <v/>
      </c>
      <c r="O393">
        <f>'Entry data'!C$1</f>
        <v>20064</v>
      </c>
      <c r="P393" t="str">
        <f>'Entry data'!C$2</f>
        <v>NSH</v>
      </c>
      <c r="Q393" t="str">
        <f>'Entry data'!C$3</f>
        <v>Home</v>
      </c>
    </row>
    <row r="394" spans="1:17" x14ac:dyDescent="0.25">
      <c r="A394" s="1" t="str">
        <f>IF(calc!$L394=1,calc!B394,"")</f>
        <v/>
      </c>
      <c r="B394" s="5" t="str">
        <f>IF(calc!$L394=1,calc!C394,"")</f>
        <v/>
      </c>
      <c r="C394" s="1" t="str">
        <f>IF(calc!$L394=1,calc!D394,"")</f>
        <v/>
      </c>
      <c r="D394" s="1" t="str">
        <f>IF(calc!$L394=1,calc!E394,"")</f>
        <v/>
      </c>
      <c r="E394" s="1" t="str">
        <f>IF(calc!$L394=1,IF(EXACT(calc!$D394,"FAC"),"",calc!F394),"")</f>
        <v/>
      </c>
      <c r="F394" s="1" t="str">
        <f>IF(calc!$L394=1,IF(EXACT(calc!$D394,"FAC"),"",calc!G394),"")</f>
        <v/>
      </c>
      <c r="G394" s="1" t="str">
        <f>IF(calc!$L394=1,IF(EXACT(calc!$D394,"FAC"),"",calc!H394),"")</f>
        <v/>
      </c>
      <c r="H394" s="1" t="str">
        <f>IF(calc!$L394=1,IF(EXACT(calc!$D394,"FAC"),"",calc!I394),"")</f>
        <v/>
      </c>
      <c r="I394" s="1" t="str">
        <f>IF(calc!$L394=1,calc!J394,"")</f>
        <v/>
      </c>
      <c r="J394" s="1" t="str">
        <f>IF(calc!$L394=1,calc!K394,"")</f>
        <v/>
      </c>
      <c r="K394" s="1" t="str">
        <f>IF(calc!$L394=1,calc!M394,"")</f>
        <v/>
      </c>
      <c r="L394" s="1" t="str">
        <f>IF(calc!$L394=1,calc!N394,"")</f>
        <v/>
      </c>
      <c r="M394" s="1" t="str">
        <f>IF(calc!$L394=1,calc!O394,"")</f>
        <v/>
      </c>
      <c r="N394" s="1" t="str">
        <f>IF(calc!$L394=1,calc!P394,"")</f>
        <v/>
      </c>
      <c r="O394">
        <f>'Entry data'!C$1</f>
        <v>20064</v>
      </c>
      <c r="P394" t="str">
        <f>'Entry data'!C$2</f>
        <v>NSH</v>
      </c>
      <c r="Q394" t="str">
        <f>'Entry data'!C$3</f>
        <v>Home</v>
      </c>
    </row>
    <row r="395" spans="1:17" x14ac:dyDescent="0.25">
      <c r="A395" s="1" t="str">
        <f>IF(calc!$L395=1,calc!B395,"")</f>
        <v/>
      </c>
      <c r="B395" s="5" t="str">
        <f>IF(calc!$L395=1,calc!C395,"")</f>
        <v/>
      </c>
      <c r="C395" s="1" t="str">
        <f>IF(calc!$L395=1,calc!D395,"")</f>
        <v/>
      </c>
      <c r="D395" s="1" t="str">
        <f>IF(calc!$L395=1,calc!E395,"")</f>
        <v/>
      </c>
      <c r="E395" s="1" t="str">
        <f>IF(calc!$L395=1,IF(EXACT(calc!$D395,"FAC"),"",calc!F395),"")</f>
        <v/>
      </c>
      <c r="F395" s="1" t="str">
        <f>IF(calc!$L395=1,IF(EXACT(calc!$D395,"FAC"),"",calc!G395),"")</f>
        <v/>
      </c>
      <c r="G395" s="1" t="str">
        <f>IF(calc!$L395=1,IF(EXACT(calc!$D395,"FAC"),"",calc!H395),"")</f>
        <v/>
      </c>
      <c r="H395" s="1" t="str">
        <f>IF(calc!$L395=1,IF(EXACT(calc!$D395,"FAC"),"",calc!I395),"")</f>
        <v/>
      </c>
      <c r="I395" s="1" t="str">
        <f>IF(calc!$L395=1,calc!J395,"")</f>
        <v/>
      </c>
      <c r="J395" s="1" t="str">
        <f>IF(calc!$L395=1,calc!K395,"")</f>
        <v/>
      </c>
      <c r="K395" s="1" t="str">
        <f>IF(calc!$L395=1,calc!M395,"")</f>
        <v/>
      </c>
      <c r="L395" s="1" t="str">
        <f>IF(calc!$L395=1,calc!N395,"")</f>
        <v/>
      </c>
      <c r="M395" s="1" t="str">
        <f>IF(calc!$L395=1,calc!O395,"")</f>
        <v/>
      </c>
      <c r="N395" s="1" t="str">
        <f>IF(calc!$L395=1,calc!P395,"")</f>
        <v/>
      </c>
      <c r="O395">
        <f>'Entry data'!C$1</f>
        <v>20064</v>
      </c>
      <c r="P395" t="str">
        <f>'Entry data'!C$2</f>
        <v>NSH</v>
      </c>
      <c r="Q395" t="str">
        <f>'Entry data'!C$3</f>
        <v>Home</v>
      </c>
    </row>
    <row r="396" spans="1:17" x14ac:dyDescent="0.25">
      <c r="A396" s="1">
        <f>IF(calc!$L396=1,calc!B396,"")</f>
        <v>3</v>
      </c>
      <c r="B396" s="5">
        <f>IF(calc!$L396=1,calc!C396,"")</f>
        <v>0.29583333333333334</v>
      </c>
      <c r="C396" s="1" t="str">
        <f>IF(calc!$L396=1,calc!D396,"")</f>
        <v>D</v>
      </c>
      <c r="D396" s="1" t="str">
        <f>IF(calc!$L396=1,calc!E396,"")</f>
        <v>56NSH</v>
      </c>
      <c r="E396" s="1" t="str">
        <f>IF(calc!$L396=1,IF(EXACT(calc!$D396,"FAC"),"",calc!F396),"")</f>
        <v>N</v>
      </c>
      <c r="F396" s="1" t="str">
        <f>IF(calc!$L396=1,IF(EXACT(calc!$D396,"FAC"),"",calc!G396),"")</f>
        <v/>
      </c>
      <c r="G396" s="1" t="str">
        <f>IF(calc!$L396=1,IF(EXACT(calc!$D396,"FAC"),"",calc!H396),"")</f>
        <v>R</v>
      </c>
      <c r="H396" s="1" t="str">
        <f>IF(calc!$L396=1,IF(EXACT(calc!$D396,"FAC"),"",calc!I396),"")</f>
        <v>N</v>
      </c>
      <c r="I396" s="1">
        <f>IF(calc!$L396=1,calc!J396,"")</f>
        <v>5</v>
      </c>
      <c r="J396" s="1">
        <f>IF(calc!$L396=1,calc!K396,"")</f>
        <v>5</v>
      </c>
      <c r="K396" s="1" t="str">
        <f>IF(calc!$L396=1,calc!M396,"")</f>
        <v/>
      </c>
      <c r="L396" s="1">
        <f>IF(calc!$L396=1,calc!N396,"")</f>
        <v>0</v>
      </c>
      <c r="M396" s="1">
        <f>IF(calc!$L396=1,calc!O396,"")</f>
        <v>0</v>
      </c>
      <c r="N396" s="1" t="str">
        <f>IF(calc!$L396=1,calc!P396,"")</f>
        <v/>
      </c>
      <c r="O396">
        <f>'Entry data'!C$1</f>
        <v>20064</v>
      </c>
      <c r="P396" t="str">
        <f>'Entry data'!C$2</f>
        <v>NSH</v>
      </c>
      <c r="Q396" t="str">
        <f>'Entry data'!C$3</f>
        <v>Home</v>
      </c>
    </row>
    <row r="397" spans="1:17" x14ac:dyDescent="0.25">
      <c r="A397" s="1">
        <f>IF(calc!$L397=1,calc!B397,"")</f>
        <v>3</v>
      </c>
      <c r="B397" s="5">
        <f>IF(calc!$L397=1,calc!C397,"")</f>
        <v>0.29097222222222224</v>
      </c>
      <c r="C397" s="1" t="str">
        <f>IF(calc!$L397=1,calc!D397,"")</f>
        <v>C</v>
      </c>
      <c r="D397" s="1" t="str">
        <f>IF(calc!$L397=1,calc!E397,"")</f>
        <v>71DET</v>
      </c>
      <c r="E397" s="1" t="str">
        <f>IF(calc!$L397=1,IF(EXACT(calc!$D397,"FAC"),"",calc!F397),"")</f>
        <v>59NSH</v>
      </c>
      <c r="F397" s="1" t="str">
        <f>IF(calc!$L397=1,IF(EXACT(calc!$D397,"FAC"),"",calc!G397),"")</f>
        <v>Y</v>
      </c>
      <c r="G397" s="1" t="str">
        <f>IF(calc!$L397=1,IF(EXACT(calc!$D397,"FAC"),"",calc!H397),"")</f>
        <v>R</v>
      </c>
      <c r="H397" s="1" t="str">
        <f>IF(calc!$L397=1,IF(EXACT(calc!$D397,"FAC"),"",calc!I397),"")</f>
        <v>N</v>
      </c>
      <c r="I397" s="1">
        <f>IF(calc!$L397=1,calc!J397,"")</f>
        <v>5</v>
      </c>
      <c r="J397" s="1">
        <f>IF(calc!$L397=1,calc!K397,"")</f>
        <v>5</v>
      </c>
      <c r="K397" s="1" t="str">
        <f>IF(calc!$L397=1,calc!M397,"")</f>
        <v>71DET</v>
      </c>
      <c r="L397" s="1">
        <f>IF(calc!$L397=1,calc!N397,"")</f>
        <v>2</v>
      </c>
      <c r="M397" s="1">
        <f>IF(calc!$L397=1,calc!O397,"")</f>
        <v>0</v>
      </c>
      <c r="N397" s="1" t="str">
        <f>IF(calc!$L397=1,calc!P397,"")</f>
        <v/>
      </c>
      <c r="O397">
        <f>'Entry data'!C$1</f>
        <v>20064</v>
      </c>
      <c r="P397" t="str">
        <f>'Entry data'!C$2</f>
        <v>NSH</v>
      </c>
      <c r="Q397" t="str">
        <f>'Entry data'!C$3</f>
        <v>Home</v>
      </c>
    </row>
    <row r="398" spans="1:17" x14ac:dyDescent="0.25">
      <c r="A398" s="1" t="str">
        <f>IF(calc!$L398=1,calc!B398,"")</f>
        <v/>
      </c>
      <c r="B398" s="5" t="str">
        <f>IF(calc!$L398=1,calc!C398,"")</f>
        <v/>
      </c>
      <c r="C398" s="1" t="str">
        <f>IF(calc!$L398=1,calc!D398,"")</f>
        <v/>
      </c>
      <c r="D398" s="1" t="str">
        <f>IF(calc!$L398=1,calc!E398,"")</f>
        <v/>
      </c>
      <c r="E398" s="1" t="str">
        <f>IF(calc!$L398=1,IF(EXACT(calc!$D398,"FAC"),"",calc!F398),"")</f>
        <v/>
      </c>
      <c r="F398" s="1" t="str">
        <f>IF(calc!$L398=1,IF(EXACT(calc!$D398,"FAC"),"",calc!G398),"")</f>
        <v/>
      </c>
      <c r="G398" s="1" t="str">
        <f>IF(calc!$L398=1,IF(EXACT(calc!$D398,"FAC"),"",calc!H398),"")</f>
        <v/>
      </c>
      <c r="H398" s="1" t="str">
        <f>IF(calc!$L398=1,IF(EXACT(calc!$D398,"FAC"),"",calc!I398),"")</f>
        <v/>
      </c>
      <c r="I398" s="1" t="str">
        <f>IF(calc!$L398=1,calc!J398,"")</f>
        <v/>
      </c>
      <c r="J398" s="1" t="str">
        <f>IF(calc!$L398=1,calc!K398,"")</f>
        <v/>
      </c>
      <c r="K398" s="1" t="str">
        <f>IF(calc!$L398=1,calc!M398,"")</f>
        <v/>
      </c>
      <c r="L398" s="1" t="str">
        <f>IF(calc!$L398=1,calc!N398,"")</f>
        <v/>
      </c>
      <c r="M398" s="1" t="str">
        <f>IF(calc!$L398=1,calc!O398,"")</f>
        <v/>
      </c>
      <c r="N398" s="1" t="str">
        <f>IF(calc!$L398=1,calc!P398,"")</f>
        <v/>
      </c>
      <c r="O398">
        <f>'Entry data'!C$1</f>
        <v>20064</v>
      </c>
      <c r="P398" t="str">
        <f>'Entry data'!C$2</f>
        <v>NSH</v>
      </c>
      <c r="Q398" t="str">
        <f>'Entry data'!C$3</f>
        <v>Home</v>
      </c>
    </row>
    <row r="399" spans="1:17" x14ac:dyDescent="0.25">
      <c r="A399" s="1" t="str">
        <f>IF(calc!$L399=1,calc!B399,"")</f>
        <v/>
      </c>
      <c r="B399" s="5" t="str">
        <f>IF(calc!$L399=1,calc!C399,"")</f>
        <v/>
      </c>
      <c r="C399" s="1" t="str">
        <f>IF(calc!$L399=1,calc!D399,"")</f>
        <v/>
      </c>
      <c r="D399" s="1" t="str">
        <f>IF(calc!$L399=1,calc!E399,"")</f>
        <v/>
      </c>
      <c r="E399" s="1" t="str">
        <f>IF(calc!$L399=1,IF(EXACT(calc!$D399,"FAC"),"",calc!F399),"")</f>
        <v/>
      </c>
      <c r="F399" s="1" t="str">
        <f>IF(calc!$L399=1,IF(EXACT(calc!$D399,"FAC"),"",calc!G399),"")</f>
        <v/>
      </c>
      <c r="G399" s="1" t="str">
        <f>IF(calc!$L399=1,IF(EXACT(calc!$D399,"FAC"),"",calc!H399),"")</f>
        <v/>
      </c>
      <c r="H399" s="1" t="str">
        <f>IF(calc!$L399=1,IF(EXACT(calc!$D399,"FAC"),"",calc!I399),"")</f>
        <v/>
      </c>
      <c r="I399" s="1" t="str">
        <f>IF(calc!$L399=1,calc!J399,"")</f>
        <v/>
      </c>
      <c r="J399" s="1" t="str">
        <f>IF(calc!$L399=1,calc!K399,"")</f>
        <v/>
      </c>
      <c r="K399" s="1" t="str">
        <f>IF(calc!$L399=1,calc!M399,"")</f>
        <v/>
      </c>
      <c r="L399" s="1" t="str">
        <f>IF(calc!$L399=1,calc!N399,"")</f>
        <v/>
      </c>
      <c r="M399" s="1" t="str">
        <f>IF(calc!$L399=1,calc!O399,"")</f>
        <v/>
      </c>
      <c r="N399" s="1" t="str">
        <f>IF(calc!$L399=1,calc!P399,"")</f>
        <v/>
      </c>
      <c r="O399">
        <f>'Entry data'!C$1</f>
        <v>20064</v>
      </c>
      <c r="P399" t="str">
        <f>'Entry data'!C$2</f>
        <v>NSH</v>
      </c>
      <c r="Q399" t="str">
        <f>'Entry data'!C$3</f>
        <v>Home</v>
      </c>
    </row>
    <row r="400" spans="1:17" x14ac:dyDescent="0.25">
      <c r="A400" s="1" t="str">
        <f>IF(calc!$L400=1,calc!B400,"")</f>
        <v/>
      </c>
      <c r="B400" s="5" t="str">
        <f>IF(calc!$L400=1,calc!C400,"")</f>
        <v/>
      </c>
      <c r="C400" s="1" t="str">
        <f>IF(calc!$L400=1,calc!D400,"")</f>
        <v/>
      </c>
      <c r="D400" s="1" t="str">
        <f>IF(calc!$L400=1,calc!E400,"")</f>
        <v/>
      </c>
      <c r="E400" s="1" t="str">
        <f>IF(calc!$L400=1,IF(EXACT(calc!$D400,"FAC"),"",calc!F400),"")</f>
        <v/>
      </c>
      <c r="F400" s="1" t="str">
        <f>IF(calc!$L400=1,IF(EXACT(calc!$D400,"FAC"),"",calc!G400),"")</f>
        <v/>
      </c>
      <c r="G400" s="1" t="str">
        <f>IF(calc!$L400=1,IF(EXACT(calc!$D400,"FAC"),"",calc!H400),"")</f>
        <v/>
      </c>
      <c r="H400" s="1" t="str">
        <f>IF(calc!$L400=1,IF(EXACT(calc!$D400,"FAC"),"",calc!I400),"")</f>
        <v/>
      </c>
      <c r="I400" s="1" t="str">
        <f>IF(calc!$L400=1,calc!J400,"")</f>
        <v/>
      </c>
      <c r="J400" s="1" t="str">
        <f>IF(calc!$L400=1,calc!K400,"")</f>
        <v/>
      </c>
      <c r="K400" s="1" t="str">
        <f>IF(calc!$L400=1,calc!M400,"")</f>
        <v/>
      </c>
      <c r="L400" s="1" t="str">
        <f>IF(calc!$L400=1,calc!N400,"")</f>
        <v/>
      </c>
      <c r="M400" s="1" t="str">
        <f>IF(calc!$L400=1,calc!O400,"")</f>
        <v/>
      </c>
      <c r="N400" s="1" t="str">
        <f>IF(calc!$L400=1,calc!P400,"")</f>
        <v/>
      </c>
      <c r="O400">
        <f>'Entry data'!C$1</f>
        <v>20064</v>
      </c>
      <c r="P400" t="str">
        <f>'Entry data'!C$2</f>
        <v>NSH</v>
      </c>
      <c r="Q400" t="str">
        <f>'Entry data'!C$3</f>
        <v>Home</v>
      </c>
    </row>
    <row r="401" spans="1:17" x14ac:dyDescent="0.25">
      <c r="A401" s="1" t="str">
        <f>IF(calc!$L401=1,calc!B401,"")</f>
        <v/>
      </c>
      <c r="B401" s="5" t="str">
        <f>IF(calc!$L401=1,calc!C401,"")</f>
        <v/>
      </c>
      <c r="C401" s="1" t="str">
        <f>IF(calc!$L401=1,calc!D401,"")</f>
        <v/>
      </c>
      <c r="D401" s="1" t="str">
        <f>IF(calc!$L401=1,calc!E401,"")</f>
        <v/>
      </c>
      <c r="E401" s="1" t="str">
        <f>IF(calc!$L401=1,IF(EXACT(calc!$D401,"FAC"),"",calc!F401),"")</f>
        <v/>
      </c>
      <c r="F401" s="1" t="str">
        <f>IF(calc!$L401=1,IF(EXACT(calc!$D401,"FAC"),"",calc!G401),"")</f>
        <v/>
      </c>
      <c r="G401" s="1" t="str">
        <f>IF(calc!$L401=1,IF(EXACT(calc!$D401,"FAC"),"",calc!H401),"")</f>
        <v/>
      </c>
      <c r="H401" s="1" t="str">
        <f>IF(calc!$L401=1,IF(EXACT(calc!$D401,"FAC"),"",calc!I401),"")</f>
        <v/>
      </c>
      <c r="I401" s="1" t="str">
        <f>IF(calc!$L401=1,calc!J401,"")</f>
        <v/>
      </c>
      <c r="J401" s="1" t="str">
        <f>IF(calc!$L401=1,calc!K401,"")</f>
        <v/>
      </c>
      <c r="K401" s="1" t="str">
        <f>IF(calc!$L401=1,calc!M401,"")</f>
        <v/>
      </c>
      <c r="L401" s="1" t="str">
        <f>IF(calc!$L401=1,calc!N401,"")</f>
        <v/>
      </c>
      <c r="M401" s="1" t="str">
        <f>IF(calc!$L401=1,calc!O401,"")</f>
        <v/>
      </c>
      <c r="N401" s="1" t="str">
        <f>IF(calc!$L401=1,calc!P401,"")</f>
        <v/>
      </c>
      <c r="O401">
        <f>'Entry data'!C$1</f>
        <v>20064</v>
      </c>
      <c r="P401" t="str">
        <f>'Entry data'!C$2</f>
        <v>NSH</v>
      </c>
      <c r="Q401" t="str">
        <f>'Entry data'!C$3</f>
        <v>Home</v>
      </c>
    </row>
    <row r="402" spans="1:17" x14ac:dyDescent="0.25">
      <c r="A402" s="1">
        <f>IF(calc!$L402=1,calc!B402,"")</f>
        <v>3</v>
      </c>
      <c r="B402" s="5">
        <f>IF(calc!$L402=1,calc!C402,"")</f>
        <v>0.26875000000000004</v>
      </c>
      <c r="C402" s="1" t="str">
        <f>IF(calc!$L402=1,calc!D402,"")</f>
        <v>FAC</v>
      </c>
      <c r="D402" s="1" t="str">
        <f>IF(calc!$L402=1,calc!E402,"")</f>
        <v>DZF</v>
      </c>
      <c r="E402" s="1" t="str">
        <f>IF(calc!$L402=1,IF(EXACT(calc!$D402,"FAC"),"",calc!F402),"")</f>
        <v/>
      </c>
      <c r="F402" s="1" t="str">
        <f>IF(calc!$L402=1,IF(EXACT(calc!$D402,"FAC"),"",calc!G402),"")</f>
        <v/>
      </c>
      <c r="G402" s="1" t="str">
        <f>IF(calc!$L402=1,IF(EXACT(calc!$D402,"FAC"),"",calc!H402),"")</f>
        <v/>
      </c>
      <c r="H402" s="1" t="str">
        <f>IF(calc!$L402=1,IF(EXACT(calc!$D402,"FAC"),"",calc!I402),"")</f>
        <v/>
      </c>
      <c r="I402" s="1">
        <f>IF(calc!$L402=1,calc!J402,"")</f>
        <v>4</v>
      </c>
      <c r="J402" s="1">
        <f>IF(calc!$L402=1,calc!K402,"")</f>
        <v>4</v>
      </c>
      <c r="K402" s="1" t="str">
        <f>IF(calc!$L402=1,calc!M402,"")</f>
        <v/>
      </c>
      <c r="L402" s="1">
        <f>IF(calc!$L402=1,calc!N402,"")</f>
        <v>0</v>
      </c>
      <c r="M402" s="1">
        <f>IF(calc!$L402=1,calc!O402,"")</f>
        <v>0</v>
      </c>
      <c r="N402" s="1" t="str">
        <f>IF(calc!$L402=1,calc!P402,"")</f>
        <v/>
      </c>
      <c r="O402">
        <f>'Entry data'!C$1</f>
        <v>20064</v>
      </c>
      <c r="P402" t="str">
        <f>'Entry data'!C$2</f>
        <v>NSH</v>
      </c>
      <c r="Q402" t="str">
        <f>'Entry data'!C$3</f>
        <v>Home</v>
      </c>
    </row>
    <row r="403" spans="1:17" x14ac:dyDescent="0.25">
      <c r="A403" s="1" t="str">
        <f>IF(calc!$L403=1,calc!B403,"")</f>
        <v/>
      </c>
      <c r="B403" s="5" t="str">
        <f>IF(calc!$L403=1,calc!C403,"")</f>
        <v/>
      </c>
      <c r="C403" s="1" t="str">
        <f>IF(calc!$L403=1,calc!D403,"")</f>
        <v/>
      </c>
      <c r="D403" s="1" t="str">
        <f>IF(calc!$L403=1,calc!E403,"")</f>
        <v/>
      </c>
      <c r="E403" s="1" t="str">
        <f>IF(calc!$L403=1,IF(EXACT(calc!$D403,"FAC"),"",calc!F403),"")</f>
        <v/>
      </c>
      <c r="F403" s="1" t="str">
        <f>IF(calc!$L403=1,IF(EXACT(calc!$D403,"FAC"),"",calc!G403),"")</f>
        <v/>
      </c>
      <c r="G403" s="1" t="str">
        <f>IF(calc!$L403=1,IF(EXACT(calc!$D403,"FAC"),"",calc!H403),"")</f>
        <v/>
      </c>
      <c r="H403" s="1" t="str">
        <f>IF(calc!$L403=1,IF(EXACT(calc!$D403,"FAC"),"",calc!I403),"")</f>
        <v/>
      </c>
      <c r="I403" s="1" t="str">
        <f>IF(calc!$L403=1,calc!J403,"")</f>
        <v/>
      </c>
      <c r="J403" s="1" t="str">
        <f>IF(calc!$L403=1,calc!K403,"")</f>
        <v/>
      </c>
      <c r="K403" s="1" t="str">
        <f>IF(calc!$L403=1,calc!M403,"")</f>
        <v/>
      </c>
      <c r="L403" s="1" t="str">
        <f>IF(calc!$L403=1,calc!N403,"")</f>
        <v/>
      </c>
      <c r="M403" s="1" t="str">
        <f>IF(calc!$L403=1,calc!O403,"")</f>
        <v/>
      </c>
      <c r="N403" s="1" t="str">
        <f>IF(calc!$L403=1,calc!P403,"")</f>
        <v/>
      </c>
      <c r="O403">
        <f>'Entry data'!C$1</f>
        <v>20064</v>
      </c>
      <c r="P403" t="str">
        <f>'Entry data'!C$2</f>
        <v>NSH</v>
      </c>
      <c r="Q403" t="str">
        <f>'Entry data'!C$3</f>
        <v>Home</v>
      </c>
    </row>
    <row r="404" spans="1:17" x14ac:dyDescent="0.25">
      <c r="A404" s="1">
        <f>IF(calc!$L404=1,calc!B404,"")</f>
        <v>3</v>
      </c>
      <c r="B404" s="5">
        <f>IF(calc!$L404=1,calc!C404,"")</f>
        <v>0.2638888888888889</v>
      </c>
      <c r="C404" s="1" t="str">
        <f>IF(calc!$L404=1,calc!D404,"")</f>
        <v>D</v>
      </c>
      <c r="D404" s="1" t="str">
        <f>IF(calc!$L404=1,calc!E404,"")</f>
        <v>41DET</v>
      </c>
      <c r="E404" s="1" t="str">
        <f>IF(calc!$L404=1,IF(EXACT(calc!$D404,"FAC"),"",calc!F404),"")</f>
        <v>4NSH</v>
      </c>
      <c r="F404" s="1" t="str">
        <f>IF(calc!$L404=1,IF(EXACT(calc!$D404,"FAC"),"",calc!G404),"")</f>
        <v/>
      </c>
      <c r="G404" s="1" t="str">
        <f>IF(calc!$L404=1,IF(EXACT(calc!$D404,"FAC"),"",calc!H404),"")</f>
        <v>R</v>
      </c>
      <c r="H404" s="1" t="str">
        <f>IF(calc!$L404=1,IF(EXACT(calc!$D404,"FAC"),"",calc!I404),"")</f>
        <v>N</v>
      </c>
      <c r="I404" s="1">
        <f>IF(calc!$L404=1,calc!J404,"")</f>
        <v>4</v>
      </c>
      <c r="J404" s="1">
        <f>IF(calc!$L404=1,calc!K404,"")</f>
        <v>4</v>
      </c>
      <c r="K404" s="1" t="str">
        <f>IF(calc!$L404=1,calc!M404,"")</f>
        <v/>
      </c>
      <c r="L404" s="1">
        <f>IF(calc!$L404=1,calc!N404,"")</f>
        <v>0</v>
      </c>
      <c r="M404" s="1">
        <f>IF(calc!$L404=1,calc!O404,"")</f>
        <v>0</v>
      </c>
      <c r="N404" s="1" t="str">
        <f>IF(calc!$L404=1,calc!P404,"")</f>
        <v/>
      </c>
      <c r="O404">
        <f>'Entry data'!C$1</f>
        <v>20064</v>
      </c>
      <c r="P404" t="str">
        <f>'Entry data'!C$2</f>
        <v>NSH</v>
      </c>
      <c r="Q404" t="str">
        <f>'Entry data'!C$3</f>
        <v>Home</v>
      </c>
    </row>
    <row r="405" spans="1:17" x14ac:dyDescent="0.25">
      <c r="A405" s="1">
        <f>IF(calc!$L405=1,calc!B405,"")</f>
        <v>3</v>
      </c>
      <c r="B405" s="5">
        <f>IF(calc!$L405=1,calc!C405,"")</f>
        <v>0.25347222222222221</v>
      </c>
      <c r="C405" s="1" t="str">
        <f>IF(calc!$L405=1,calc!D405,"")</f>
        <v>C</v>
      </c>
      <c r="D405" s="1" t="str">
        <f>IF(calc!$L405=1,calc!E405,"")</f>
        <v>4NSH</v>
      </c>
      <c r="E405" s="1" t="str">
        <f>IF(calc!$L405=1,IF(EXACT(calc!$D405,"FAC"),"",calc!F405),"")</f>
        <v>20DET</v>
      </c>
      <c r="F405" s="1" t="str">
        <f>IF(calc!$L405=1,IF(EXACT(calc!$D405,"FAC"),"",calc!G405),"")</f>
        <v>N</v>
      </c>
      <c r="G405" s="1" t="str">
        <f>IF(calc!$L405=1,IF(EXACT(calc!$D405,"FAC"),"",calc!H405),"")</f>
        <v>R</v>
      </c>
      <c r="H405" s="1" t="str">
        <f>IF(calc!$L405=1,IF(EXACT(calc!$D405,"FAC"),"",calc!I405),"")</f>
        <v>N</v>
      </c>
      <c r="I405" s="1">
        <f>IF(calc!$L405=1,calc!J405,"")</f>
        <v>4</v>
      </c>
      <c r="J405" s="1">
        <f>IF(calc!$L405=1,calc!K405,"")</f>
        <v>4</v>
      </c>
      <c r="K405" s="1" t="str">
        <f>IF(calc!$L405=1,calc!M405,"")</f>
        <v>4NSH</v>
      </c>
      <c r="L405" s="1">
        <f>IF(calc!$L405=1,calc!N405,"")</f>
        <v>1</v>
      </c>
      <c r="M405" s="1">
        <f>IF(calc!$L405=1,calc!O405,"")</f>
        <v>0</v>
      </c>
      <c r="N405" s="1" t="str">
        <f>IF(calc!$L405=1,calc!P405,"")</f>
        <v/>
      </c>
      <c r="O405">
        <f>'Entry data'!C$1</f>
        <v>20064</v>
      </c>
      <c r="P405" t="str">
        <f>'Entry data'!C$2</f>
        <v>NSH</v>
      </c>
      <c r="Q405" t="str">
        <f>'Entry data'!C$3</f>
        <v>Home</v>
      </c>
    </row>
    <row r="406" spans="1:17" x14ac:dyDescent="0.25">
      <c r="A406" s="1" t="str">
        <f>IF(calc!$L406=1,calc!B406,"")</f>
        <v/>
      </c>
      <c r="B406" s="5" t="str">
        <f>IF(calc!$L406=1,calc!C406,"")</f>
        <v/>
      </c>
      <c r="C406" s="1" t="str">
        <f>IF(calc!$L406=1,calc!D406,"")</f>
        <v/>
      </c>
      <c r="D406" s="1" t="str">
        <f>IF(calc!$L406=1,calc!E406,"")</f>
        <v/>
      </c>
      <c r="E406" s="1" t="str">
        <f>IF(calc!$L406=1,IF(EXACT(calc!$D406,"FAC"),"",calc!F406),"")</f>
        <v/>
      </c>
      <c r="F406" s="1" t="str">
        <f>IF(calc!$L406=1,IF(EXACT(calc!$D406,"FAC"),"",calc!G406),"")</f>
        <v/>
      </c>
      <c r="G406" s="1" t="str">
        <f>IF(calc!$L406=1,IF(EXACT(calc!$D406,"FAC"),"",calc!H406),"")</f>
        <v/>
      </c>
      <c r="H406" s="1" t="str">
        <f>IF(calc!$L406=1,IF(EXACT(calc!$D406,"FAC"),"",calc!I406),"")</f>
        <v/>
      </c>
      <c r="I406" s="1" t="str">
        <f>IF(calc!$L406=1,calc!J406,"")</f>
        <v/>
      </c>
      <c r="J406" s="1" t="str">
        <f>IF(calc!$L406=1,calc!K406,"")</f>
        <v/>
      </c>
      <c r="K406" s="1" t="str">
        <f>IF(calc!$L406=1,calc!M406,"")</f>
        <v/>
      </c>
      <c r="L406" s="1" t="str">
        <f>IF(calc!$L406=1,calc!N406,"")</f>
        <v/>
      </c>
      <c r="M406" s="1" t="str">
        <f>IF(calc!$L406=1,calc!O406,"")</f>
        <v/>
      </c>
      <c r="N406" s="1" t="str">
        <f>IF(calc!$L406=1,calc!P406,"")</f>
        <v/>
      </c>
      <c r="O406">
        <f>'Entry data'!C$1</f>
        <v>20064</v>
      </c>
      <c r="P406" t="str">
        <f>'Entry data'!C$2</f>
        <v>NSH</v>
      </c>
      <c r="Q406" t="str">
        <f>'Entry data'!C$3</f>
        <v>Home</v>
      </c>
    </row>
    <row r="407" spans="1:17" x14ac:dyDescent="0.25">
      <c r="A407" s="1" t="str">
        <f>IF(calc!$L407=1,calc!B407,"")</f>
        <v/>
      </c>
      <c r="B407" s="5" t="str">
        <f>IF(calc!$L407=1,calc!C407,"")</f>
        <v/>
      </c>
      <c r="C407" s="1" t="str">
        <f>IF(calc!$L407=1,calc!D407,"")</f>
        <v/>
      </c>
      <c r="D407" s="1" t="str">
        <f>IF(calc!$L407=1,calc!E407,"")</f>
        <v/>
      </c>
      <c r="E407" s="1" t="str">
        <f>IF(calc!$L407=1,IF(EXACT(calc!$D407,"FAC"),"",calc!F407),"")</f>
        <v/>
      </c>
      <c r="F407" s="1" t="str">
        <f>IF(calc!$L407=1,IF(EXACT(calc!$D407,"FAC"),"",calc!G407),"")</f>
        <v/>
      </c>
      <c r="G407" s="1" t="str">
        <f>IF(calc!$L407=1,IF(EXACT(calc!$D407,"FAC"),"",calc!H407),"")</f>
        <v/>
      </c>
      <c r="H407" s="1" t="str">
        <f>IF(calc!$L407=1,IF(EXACT(calc!$D407,"FAC"),"",calc!I407),"")</f>
        <v/>
      </c>
      <c r="I407" s="1" t="str">
        <f>IF(calc!$L407=1,calc!J407,"")</f>
        <v/>
      </c>
      <c r="J407" s="1" t="str">
        <f>IF(calc!$L407=1,calc!K407,"")</f>
        <v/>
      </c>
      <c r="K407" s="1" t="str">
        <f>IF(calc!$L407=1,calc!M407,"")</f>
        <v/>
      </c>
      <c r="L407" s="1" t="str">
        <f>IF(calc!$L407=1,calc!N407,"")</f>
        <v/>
      </c>
      <c r="M407" s="1" t="str">
        <f>IF(calc!$L407=1,calc!O407,"")</f>
        <v/>
      </c>
      <c r="N407" s="1" t="str">
        <f>IF(calc!$L407=1,calc!P407,"")</f>
        <v/>
      </c>
      <c r="O407">
        <f>'Entry data'!C$1</f>
        <v>20064</v>
      </c>
      <c r="P407" t="str">
        <f>'Entry data'!C$2</f>
        <v>NSH</v>
      </c>
      <c r="Q407" t="str">
        <f>'Entry data'!C$3</f>
        <v>Home</v>
      </c>
    </row>
    <row r="408" spans="1:17" x14ac:dyDescent="0.25">
      <c r="A408" s="1" t="str">
        <f>IF(calc!$L408=1,calc!B408,"")</f>
        <v/>
      </c>
      <c r="B408" s="5" t="str">
        <f>IF(calc!$L408=1,calc!C408,"")</f>
        <v/>
      </c>
      <c r="C408" s="1" t="str">
        <f>IF(calc!$L408=1,calc!D408,"")</f>
        <v/>
      </c>
      <c r="D408" s="1" t="str">
        <f>IF(calc!$L408=1,calc!E408,"")</f>
        <v/>
      </c>
      <c r="E408" s="1" t="str">
        <f>IF(calc!$L408=1,IF(EXACT(calc!$D408,"FAC"),"",calc!F408),"")</f>
        <v/>
      </c>
      <c r="F408" s="1" t="str">
        <f>IF(calc!$L408=1,IF(EXACT(calc!$D408,"FAC"),"",calc!G408),"")</f>
        <v/>
      </c>
      <c r="G408" s="1" t="str">
        <f>IF(calc!$L408=1,IF(EXACT(calc!$D408,"FAC"),"",calc!H408),"")</f>
        <v/>
      </c>
      <c r="H408" s="1" t="str">
        <f>IF(calc!$L408=1,IF(EXACT(calc!$D408,"FAC"),"",calc!I408),"")</f>
        <v/>
      </c>
      <c r="I408" s="1" t="str">
        <f>IF(calc!$L408=1,calc!J408,"")</f>
        <v/>
      </c>
      <c r="J408" s="1" t="str">
        <f>IF(calc!$L408=1,calc!K408,"")</f>
        <v/>
      </c>
      <c r="K408" s="1" t="str">
        <f>IF(calc!$L408=1,calc!M408,"")</f>
        <v/>
      </c>
      <c r="L408" s="1" t="str">
        <f>IF(calc!$L408=1,calc!N408,"")</f>
        <v/>
      </c>
      <c r="M408" s="1" t="str">
        <f>IF(calc!$L408=1,calc!O408,"")</f>
        <v/>
      </c>
      <c r="N408" s="1" t="str">
        <f>IF(calc!$L408=1,calc!P408,"")</f>
        <v/>
      </c>
      <c r="O408">
        <f>'Entry data'!C$1</f>
        <v>20064</v>
      </c>
      <c r="P408" t="str">
        <f>'Entry data'!C$2</f>
        <v>NSH</v>
      </c>
      <c r="Q408" t="str">
        <f>'Entry data'!C$3</f>
        <v>Home</v>
      </c>
    </row>
    <row r="409" spans="1:17" x14ac:dyDescent="0.25">
      <c r="A409" s="1" t="str">
        <f>IF(calc!$L409=1,calc!B409,"")</f>
        <v/>
      </c>
      <c r="B409" s="5" t="str">
        <f>IF(calc!$L409=1,calc!C409,"")</f>
        <v/>
      </c>
      <c r="C409" s="1" t="str">
        <f>IF(calc!$L409=1,calc!D409,"")</f>
        <v/>
      </c>
      <c r="D409" s="1" t="str">
        <f>IF(calc!$L409=1,calc!E409,"")</f>
        <v/>
      </c>
      <c r="E409" s="1" t="str">
        <f>IF(calc!$L409=1,IF(EXACT(calc!$D409,"FAC"),"",calc!F409),"")</f>
        <v/>
      </c>
      <c r="F409" s="1" t="str">
        <f>IF(calc!$L409=1,IF(EXACT(calc!$D409,"FAC"),"",calc!G409),"")</f>
        <v/>
      </c>
      <c r="G409" s="1" t="str">
        <f>IF(calc!$L409=1,IF(EXACT(calc!$D409,"FAC"),"",calc!H409),"")</f>
        <v/>
      </c>
      <c r="H409" s="1" t="str">
        <f>IF(calc!$L409=1,IF(EXACT(calc!$D409,"FAC"),"",calc!I409),"")</f>
        <v/>
      </c>
      <c r="I409" s="1" t="str">
        <f>IF(calc!$L409=1,calc!J409,"")</f>
        <v/>
      </c>
      <c r="J409" s="1" t="str">
        <f>IF(calc!$L409=1,calc!K409,"")</f>
        <v/>
      </c>
      <c r="K409" s="1" t="str">
        <f>IF(calc!$L409=1,calc!M409,"")</f>
        <v/>
      </c>
      <c r="L409" s="1" t="str">
        <f>IF(calc!$L409=1,calc!N409,"")</f>
        <v/>
      </c>
      <c r="M409" s="1" t="str">
        <f>IF(calc!$L409=1,calc!O409,"")</f>
        <v/>
      </c>
      <c r="N409" s="1" t="str">
        <f>IF(calc!$L409=1,calc!P409,"")</f>
        <v/>
      </c>
      <c r="O409">
        <f>'Entry data'!C$1</f>
        <v>20064</v>
      </c>
      <c r="P409" t="str">
        <f>'Entry data'!C$2</f>
        <v>NSH</v>
      </c>
      <c r="Q409" t="str">
        <f>'Entry data'!C$3</f>
        <v>Home</v>
      </c>
    </row>
    <row r="410" spans="1:17" x14ac:dyDescent="0.25">
      <c r="A410" s="1">
        <f>IF(calc!$L410=1,calc!B410,"")</f>
        <v>3</v>
      </c>
      <c r="B410" s="5">
        <f>IF(calc!$L410=1,calc!C410,"")</f>
        <v>0.21944444444444455</v>
      </c>
      <c r="C410" s="1" t="str">
        <f>IF(calc!$L410=1,calc!D410,"")</f>
        <v>FAC</v>
      </c>
      <c r="D410" s="1" t="str">
        <f>IF(calc!$L410=1,calc!E410,"")</f>
        <v>DZF</v>
      </c>
      <c r="E410" s="1" t="str">
        <f>IF(calc!$L410=1,IF(EXACT(calc!$D410,"FAC"),"",calc!F410),"")</f>
        <v/>
      </c>
      <c r="F410" s="1" t="str">
        <f>IF(calc!$L410=1,IF(EXACT(calc!$D410,"FAC"),"",calc!G410),"")</f>
        <v/>
      </c>
      <c r="G410" s="1" t="str">
        <f>IF(calc!$L410=1,IF(EXACT(calc!$D410,"FAC"),"",calc!H410),"")</f>
        <v/>
      </c>
      <c r="H410" s="1" t="str">
        <f>IF(calc!$L410=1,IF(EXACT(calc!$D410,"FAC"),"",calc!I410),"")</f>
        <v/>
      </c>
      <c r="I410" s="1">
        <f>IF(calc!$L410=1,calc!J410,"")</f>
        <v>3</v>
      </c>
      <c r="J410" s="1">
        <f>IF(calc!$L410=1,calc!K410,"")</f>
        <v>4</v>
      </c>
      <c r="K410" s="1" t="str">
        <f>IF(calc!$L410=1,calc!M410,"")</f>
        <v/>
      </c>
      <c r="L410" s="1">
        <f>IF(calc!$L410=1,calc!N410,"")</f>
        <v>2</v>
      </c>
      <c r="M410" s="1">
        <f>IF(calc!$L410=1,calc!O410,"")</f>
        <v>1</v>
      </c>
      <c r="N410" s="1" t="str">
        <f>IF(calc!$L410=1,calc!P410,"")</f>
        <v/>
      </c>
      <c r="O410">
        <f>'Entry data'!C$1</f>
        <v>20064</v>
      </c>
      <c r="P410" t="str">
        <f>'Entry data'!C$2</f>
        <v>NSH</v>
      </c>
      <c r="Q410" t="str">
        <f>'Entry data'!C$3</f>
        <v>Home</v>
      </c>
    </row>
    <row r="411" spans="1:17" x14ac:dyDescent="0.25">
      <c r="A411" s="1" t="str">
        <f>IF(calc!$L411=1,calc!B411,"")</f>
        <v/>
      </c>
      <c r="B411" s="5" t="str">
        <f>IF(calc!$L411=1,calc!C411,"")</f>
        <v/>
      </c>
      <c r="C411" s="1" t="str">
        <f>IF(calc!$L411=1,calc!D411,"")</f>
        <v/>
      </c>
      <c r="D411" s="1" t="str">
        <f>IF(calc!$L411=1,calc!E411,"")</f>
        <v/>
      </c>
      <c r="E411" s="1" t="str">
        <f>IF(calc!$L411=1,IF(EXACT(calc!$D411,"FAC"),"",calc!F411),"")</f>
        <v/>
      </c>
      <c r="F411" s="1" t="str">
        <f>IF(calc!$L411=1,IF(EXACT(calc!$D411,"FAC"),"",calc!G411),"")</f>
        <v/>
      </c>
      <c r="G411" s="1" t="str">
        <f>IF(calc!$L411=1,IF(EXACT(calc!$D411,"FAC"),"",calc!H411),"")</f>
        <v/>
      </c>
      <c r="H411" s="1" t="str">
        <f>IF(calc!$L411=1,IF(EXACT(calc!$D411,"FAC"),"",calc!I411),"")</f>
        <v/>
      </c>
      <c r="I411" s="1" t="str">
        <f>IF(calc!$L411=1,calc!J411,"")</f>
        <v/>
      </c>
      <c r="J411" s="1" t="str">
        <f>IF(calc!$L411=1,calc!K411,"")</f>
        <v/>
      </c>
      <c r="K411" s="1" t="str">
        <f>IF(calc!$L411=1,calc!M411,"")</f>
        <v/>
      </c>
      <c r="L411" s="1" t="str">
        <f>IF(calc!$L411=1,calc!N411,"")</f>
        <v/>
      </c>
      <c r="M411" s="1" t="str">
        <f>IF(calc!$L411=1,calc!O411,"")</f>
        <v/>
      </c>
      <c r="N411" s="1" t="str">
        <f>IF(calc!$L411=1,calc!P411,"")</f>
        <v/>
      </c>
      <c r="O411">
        <f>'Entry data'!C$1</f>
        <v>20064</v>
      </c>
      <c r="P411" t="str">
        <f>'Entry data'!C$2</f>
        <v>NSH</v>
      </c>
      <c r="Q411" t="str">
        <f>'Entry data'!C$3</f>
        <v>Home</v>
      </c>
    </row>
    <row r="412" spans="1:17" x14ac:dyDescent="0.25">
      <c r="A412" s="1" t="str">
        <f>IF(calc!$L412=1,calc!B412,"")</f>
        <v/>
      </c>
      <c r="B412" s="5" t="str">
        <f>IF(calc!$L412=1,calc!C412,"")</f>
        <v/>
      </c>
      <c r="C412" s="1" t="str">
        <f>IF(calc!$L412=1,calc!D412,"")</f>
        <v/>
      </c>
      <c r="D412" s="1" t="str">
        <f>IF(calc!$L412=1,calc!E412,"")</f>
        <v/>
      </c>
      <c r="E412" s="1" t="str">
        <f>IF(calc!$L412=1,IF(EXACT(calc!$D412,"FAC"),"",calc!F412),"")</f>
        <v/>
      </c>
      <c r="F412" s="1" t="str">
        <f>IF(calc!$L412=1,IF(EXACT(calc!$D412,"FAC"),"",calc!G412),"")</f>
        <v/>
      </c>
      <c r="G412" s="1" t="str">
        <f>IF(calc!$L412=1,IF(EXACT(calc!$D412,"FAC"),"",calc!H412),"")</f>
        <v/>
      </c>
      <c r="H412" s="1" t="str">
        <f>IF(calc!$L412=1,IF(EXACT(calc!$D412,"FAC"),"",calc!I412),"")</f>
        <v/>
      </c>
      <c r="I412" s="1" t="str">
        <f>IF(calc!$L412=1,calc!J412,"")</f>
        <v/>
      </c>
      <c r="J412" s="1" t="str">
        <f>IF(calc!$L412=1,calc!K412,"")</f>
        <v/>
      </c>
      <c r="K412" s="1" t="str">
        <f>IF(calc!$L412=1,calc!M412,"")</f>
        <v/>
      </c>
      <c r="L412" s="1" t="str">
        <f>IF(calc!$L412=1,calc!N412,"")</f>
        <v/>
      </c>
      <c r="M412" s="1" t="str">
        <f>IF(calc!$L412=1,calc!O412,"")</f>
        <v/>
      </c>
      <c r="N412" s="1" t="str">
        <f>IF(calc!$L412=1,calc!P412,"")</f>
        <v/>
      </c>
      <c r="O412">
        <f>'Entry data'!C$1</f>
        <v>20064</v>
      </c>
      <c r="P412" t="str">
        <f>'Entry data'!C$2</f>
        <v>NSH</v>
      </c>
      <c r="Q412" t="str">
        <f>'Entry data'!C$3</f>
        <v>Home</v>
      </c>
    </row>
    <row r="413" spans="1:17" x14ac:dyDescent="0.25">
      <c r="A413" s="1" t="str">
        <f>IF(calc!$L413=1,calc!B413,"")</f>
        <v/>
      </c>
      <c r="B413" s="5" t="str">
        <f>IF(calc!$L413=1,calc!C413,"")</f>
        <v/>
      </c>
      <c r="C413" s="1" t="str">
        <f>IF(calc!$L413=1,calc!D413,"")</f>
        <v/>
      </c>
      <c r="D413" s="1" t="str">
        <f>IF(calc!$L413=1,calc!E413,"")</f>
        <v/>
      </c>
      <c r="E413" s="1" t="str">
        <f>IF(calc!$L413=1,IF(EXACT(calc!$D413,"FAC"),"",calc!F413),"")</f>
        <v/>
      </c>
      <c r="F413" s="1" t="str">
        <f>IF(calc!$L413=1,IF(EXACT(calc!$D413,"FAC"),"",calc!G413),"")</f>
        <v/>
      </c>
      <c r="G413" s="1" t="str">
        <f>IF(calc!$L413=1,IF(EXACT(calc!$D413,"FAC"),"",calc!H413),"")</f>
        <v/>
      </c>
      <c r="H413" s="1" t="str">
        <f>IF(calc!$L413=1,IF(EXACT(calc!$D413,"FAC"),"",calc!I413),"")</f>
        <v/>
      </c>
      <c r="I413" s="1" t="str">
        <f>IF(calc!$L413=1,calc!J413,"")</f>
        <v/>
      </c>
      <c r="J413" s="1" t="str">
        <f>IF(calc!$L413=1,calc!K413,"")</f>
        <v/>
      </c>
      <c r="K413" s="1" t="str">
        <f>IF(calc!$L413=1,calc!M413,"")</f>
        <v/>
      </c>
      <c r="L413" s="1" t="str">
        <f>IF(calc!$L413=1,calc!N413,"")</f>
        <v/>
      </c>
      <c r="M413" s="1" t="str">
        <f>IF(calc!$L413=1,calc!O413,"")</f>
        <v/>
      </c>
      <c r="N413" s="1" t="str">
        <f>IF(calc!$L413=1,calc!P413,"")</f>
        <v/>
      </c>
      <c r="O413">
        <f>'Entry data'!C$1</f>
        <v>20064</v>
      </c>
      <c r="P413" t="str">
        <f>'Entry data'!C$2</f>
        <v>NSH</v>
      </c>
      <c r="Q413" t="str">
        <f>'Entry data'!C$3</f>
        <v>Home</v>
      </c>
    </row>
    <row r="414" spans="1:17" x14ac:dyDescent="0.25">
      <c r="A414" s="1" t="str">
        <f>IF(calc!$L414=1,calc!B414,"")</f>
        <v/>
      </c>
      <c r="B414" s="5" t="str">
        <f>IF(calc!$L414=1,calc!C414,"")</f>
        <v/>
      </c>
      <c r="C414" s="1" t="str">
        <f>IF(calc!$L414=1,calc!D414,"")</f>
        <v/>
      </c>
      <c r="D414" s="1" t="str">
        <f>IF(calc!$L414=1,calc!E414,"")</f>
        <v/>
      </c>
      <c r="E414" s="1" t="str">
        <f>IF(calc!$L414=1,IF(EXACT(calc!$D414,"FAC"),"",calc!F414),"")</f>
        <v/>
      </c>
      <c r="F414" s="1" t="str">
        <f>IF(calc!$L414=1,IF(EXACT(calc!$D414,"FAC"),"",calc!G414),"")</f>
        <v/>
      </c>
      <c r="G414" s="1" t="str">
        <f>IF(calc!$L414=1,IF(EXACT(calc!$D414,"FAC"),"",calc!H414),"")</f>
        <v/>
      </c>
      <c r="H414" s="1" t="str">
        <f>IF(calc!$L414=1,IF(EXACT(calc!$D414,"FAC"),"",calc!I414),"")</f>
        <v/>
      </c>
      <c r="I414" s="1" t="str">
        <f>IF(calc!$L414=1,calc!J414,"")</f>
        <v/>
      </c>
      <c r="J414" s="1" t="str">
        <f>IF(calc!$L414=1,calc!K414,"")</f>
        <v/>
      </c>
      <c r="K414" s="1" t="str">
        <f>IF(calc!$L414=1,calc!M414,"")</f>
        <v/>
      </c>
      <c r="L414" s="1" t="str">
        <f>IF(calc!$L414=1,calc!N414,"")</f>
        <v/>
      </c>
      <c r="M414" s="1" t="str">
        <f>IF(calc!$L414=1,calc!O414,"")</f>
        <v/>
      </c>
      <c r="N414" s="1" t="str">
        <f>IF(calc!$L414=1,calc!P414,"")</f>
        <v/>
      </c>
      <c r="O414">
        <f>'Entry data'!C$1</f>
        <v>20064</v>
      </c>
      <c r="P414" t="str">
        <f>'Entry data'!C$2</f>
        <v>NSH</v>
      </c>
      <c r="Q414" t="str">
        <f>'Entry data'!C$3</f>
        <v>Home</v>
      </c>
    </row>
    <row r="415" spans="1:17" x14ac:dyDescent="0.25">
      <c r="A415" s="1">
        <f>IF(calc!$L415=1,calc!B415,"")</f>
        <v>3</v>
      </c>
      <c r="B415" s="5">
        <f>IF(calc!$L415=1,calc!C415,"")</f>
        <v>0.1875</v>
      </c>
      <c r="C415" s="1" t="str">
        <f>IF(calc!$L415=1,calc!D415,"")</f>
        <v>D</v>
      </c>
      <c r="D415" s="1" t="str">
        <f>IF(calc!$L415=1,calc!E415,"")</f>
        <v>33NSH</v>
      </c>
      <c r="E415" s="1" t="str">
        <f>IF(calc!$L415=1,IF(EXACT(calc!$D415,"FAC"),"",calc!F415),"")</f>
        <v>25DET</v>
      </c>
      <c r="F415" s="1" t="str">
        <f>IF(calc!$L415=1,IF(EXACT(calc!$D415,"FAC"),"",calc!G415),"")</f>
        <v/>
      </c>
      <c r="G415" s="1" t="str">
        <f>IF(calc!$L415=1,IF(EXACT(calc!$D415,"FAC"),"",calc!H415),"")</f>
        <v>L</v>
      </c>
      <c r="H415" s="1" t="str">
        <f>IF(calc!$L415=1,IF(EXACT(calc!$D415,"FAC"),"",calc!I415),"")</f>
        <v>N</v>
      </c>
      <c r="I415" s="1">
        <f>IF(calc!$L415=1,calc!J415,"")</f>
        <v>4</v>
      </c>
      <c r="J415" s="1">
        <f>IF(calc!$L415=1,calc!K415,"")</f>
        <v>4</v>
      </c>
      <c r="K415" s="1" t="str">
        <f>IF(calc!$L415=1,calc!M415,"")</f>
        <v/>
      </c>
      <c r="L415" s="1">
        <f>IF(calc!$L415=1,calc!N415,"")</f>
        <v>0</v>
      </c>
      <c r="M415" s="1">
        <f>IF(calc!$L415=1,calc!O415,"")</f>
        <v>0</v>
      </c>
      <c r="N415" s="1" t="str">
        <f>IF(calc!$L415=1,calc!P415,"")</f>
        <v/>
      </c>
      <c r="O415">
        <f>'Entry data'!C$1</f>
        <v>20064</v>
      </c>
      <c r="P415" t="str">
        <f>'Entry data'!C$2</f>
        <v>NSH</v>
      </c>
      <c r="Q415" t="str">
        <f>'Entry data'!C$3</f>
        <v>Home</v>
      </c>
    </row>
    <row r="416" spans="1:17" x14ac:dyDescent="0.25">
      <c r="A416" s="1">
        <f>IF(calc!$L416=1,calc!B416,"")</f>
        <v>3</v>
      </c>
      <c r="B416" s="5">
        <f>IF(calc!$L416=1,calc!C416,"")</f>
        <v>0.18124999999999999</v>
      </c>
      <c r="C416" s="1" t="str">
        <f>IF(calc!$L416=1,calc!D416,"")</f>
        <v>C</v>
      </c>
      <c r="D416" s="1" t="str">
        <f>IF(calc!$L416=1,calc!E416,"")</f>
        <v>25DET</v>
      </c>
      <c r="E416" s="1" t="str">
        <f>IF(calc!$L416=1,IF(EXACT(calc!$D416,"FAC"),"",calc!F416),"")</f>
        <v>14NSH</v>
      </c>
      <c r="F416" s="1" t="str">
        <f>IF(calc!$L416=1,IF(EXACT(calc!$D416,"FAC"),"",calc!G416),"")</f>
        <v>N</v>
      </c>
      <c r="G416" s="1" t="str">
        <f>IF(calc!$L416=1,IF(EXACT(calc!$D416,"FAC"),"",calc!H416),"")</f>
        <v>R</v>
      </c>
      <c r="H416" s="1" t="str">
        <f>IF(calc!$L416=1,IF(EXACT(calc!$D416,"FAC"),"",calc!I416),"")</f>
        <v>N</v>
      </c>
      <c r="I416" s="1">
        <f>IF(calc!$L416=1,calc!J416,"")</f>
        <v>5</v>
      </c>
      <c r="J416" s="1">
        <f>IF(calc!$L416=1,calc!K416,"")</f>
        <v>5</v>
      </c>
      <c r="K416" s="1" t="str">
        <f>IF(calc!$L416=1,calc!M416,"")</f>
        <v>25DET</v>
      </c>
      <c r="L416" s="1">
        <f>IF(calc!$L416=1,calc!N416,"")</f>
        <v>0</v>
      </c>
      <c r="M416" s="1">
        <f>IF(calc!$L416=1,calc!O416,"")</f>
        <v>0</v>
      </c>
      <c r="N416" s="1" t="str">
        <f>IF(calc!$L416=1,calc!P416,"")</f>
        <v/>
      </c>
      <c r="O416">
        <f>'Entry data'!C$1</f>
        <v>20064</v>
      </c>
      <c r="P416" t="str">
        <f>'Entry data'!C$2</f>
        <v>NSH</v>
      </c>
      <c r="Q416" t="str">
        <f>'Entry data'!C$3</f>
        <v>Home</v>
      </c>
    </row>
    <row r="417" spans="1:17" x14ac:dyDescent="0.25">
      <c r="A417" s="1" t="str">
        <f>IF(calc!$L417=1,calc!B417,"")</f>
        <v/>
      </c>
      <c r="B417" s="5" t="str">
        <f>IF(calc!$L417=1,calc!C417,"")</f>
        <v/>
      </c>
      <c r="C417" s="1" t="str">
        <f>IF(calc!$L417=1,calc!D417,"")</f>
        <v/>
      </c>
      <c r="D417" s="1" t="str">
        <f>IF(calc!$L417=1,calc!E417,"")</f>
        <v/>
      </c>
      <c r="E417" s="1" t="str">
        <f>IF(calc!$L417=1,IF(EXACT(calc!$D417,"FAC"),"",calc!F417),"")</f>
        <v/>
      </c>
      <c r="F417" s="1" t="str">
        <f>IF(calc!$L417=1,IF(EXACT(calc!$D417,"FAC"),"",calc!G417),"")</f>
        <v/>
      </c>
      <c r="G417" s="1" t="str">
        <f>IF(calc!$L417=1,IF(EXACT(calc!$D417,"FAC"),"",calc!H417),"")</f>
        <v/>
      </c>
      <c r="H417" s="1" t="str">
        <f>IF(calc!$L417=1,IF(EXACT(calc!$D417,"FAC"),"",calc!I417),"")</f>
        <v/>
      </c>
      <c r="I417" s="1" t="str">
        <f>IF(calc!$L417=1,calc!J417,"")</f>
        <v/>
      </c>
      <c r="J417" s="1" t="str">
        <f>IF(calc!$L417=1,calc!K417,"")</f>
        <v/>
      </c>
      <c r="K417" s="1" t="str">
        <f>IF(calc!$L417=1,calc!M417,"")</f>
        <v/>
      </c>
      <c r="L417" s="1" t="str">
        <f>IF(calc!$L417=1,calc!N417,"")</f>
        <v/>
      </c>
      <c r="M417" s="1" t="str">
        <f>IF(calc!$L417=1,calc!O417,"")</f>
        <v/>
      </c>
      <c r="N417" s="1" t="str">
        <f>IF(calc!$L417=1,calc!P417,"")</f>
        <v/>
      </c>
      <c r="O417">
        <f>'Entry data'!C$1</f>
        <v>20064</v>
      </c>
      <c r="P417" t="str">
        <f>'Entry data'!C$2</f>
        <v>NSH</v>
      </c>
      <c r="Q417" t="str">
        <f>'Entry data'!C$3</f>
        <v>Home</v>
      </c>
    </row>
    <row r="418" spans="1:17" x14ac:dyDescent="0.25">
      <c r="A418" s="1">
        <f>IF(calc!$L418=1,calc!B418,"")</f>
        <v>3</v>
      </c>
      <c r="B418" s="5">
        <f>IF(calc!$L418=1,calc!C418,"")</f>
        <v>0.16597222222222222</v>
      </c>
      <c r="C418" s="1" t="str">
        <f>IF(calc!$L418=1,calc!D418,"")</f>
        <v>C</v>
      </c>
      <c r="D418" s="1" t="str">
        <f>IF(calc!$L418=1,calc!E418,"")</f>
        <v>40DET</v>
      </c>
      <c r="E418" s="1" t="str">
        <f>IF(calc!$L418=1,IF(EXACT(calc!$D418,"FAC"),"",calc!F418),"")</f>
        <v>4NSH</v>
      </c>
      <c r="F418" s="1" t="str">
        <f>IF(calc!$L418=1,IF(EXACT(calc!$D418,"FAC"),"",calc!G418),"")</f>
        <v>N</v>
      </c>
      <c r="G418" s="1" t="str">
        <f>IF(calc!$L418=1,IF(EXACT(calc!$D418,"FAC"),"",calc!H418),"")</f>
        <v>L</v>
      </c>
      <c r="H418" s="1" t="str">
        <f>IF(calc!$L418=1,IF(EXACT(calc!$D418,"FAC"),"",calc!I418),"")</f>
        <v>N</v>
      </c>
      <c r="I418" s="1">
        <f>IF(calc!$L418=1,calc!J418,"")</f>
        <v>5</v>
      </c>
      <c r="J418" s="1">
        <f>IF(calc!$L418=1,calc!K418,"")</f>
        <v>5</v>
      </c>
      <c r="K418" s="1" t="str">
        <f>IF(calc!$L418=1,calc!M418,"")</f>
        <v>40DET</v>
      </c>
      <c r="L418" s="1">
        <f>IF(calc!$L418=1,calc!N418,"")</f>
        <v>0</v>
      </c>
      <c r="M418" s="1">
        <f>IF(calc!$L418=1,calc!O418,"")</f>
        <v>0</v>
      </c>
      <c r="N418" s="1" t="str">
        <f>IF(calc!$L418=1,calc!P418,"")</f>
        <v/>
      </c>
      <c r="O418">
        <f>'Entry data'!C$1</f>
        <v>20064</v>
      </c>
      <c r="P418" t="str">
        <f>'Entry data'!C$2</f>
        <v>NSH</v>
      </c>
      <c r="Q418" t="str">
        <f>'Entry data'!C$3</f>
        <v>Home</v>
      </c>
    </row>
    <row r="419" spans="1:17" x14ac:dyDescent="0.25">
      <c r="A419" s="1">
        <f>IF(calc!$L419=1,calc!B419,"")</f>
        <v>3</v>
      </c>
      <c r="B419" s="5">
        <f>IF(calc!$L419=1,calc!C419,"")</f>
        <v>0.15972222222222224</v>
      </c>
      <c r="C419" s="1" t="str">
        <f>IF(calc!$L419=1,calc!D419,"")</f>
        <v>C</v>
      </c>
      <c r="D419" s="1" t="str">
        <f>IF(calc!$L419=1,calc!E419,"")</f>
        <v>38NSH</v>
      </c>
      <c r="E419" s="1" t="str">
        <f>IF(calc!$L419=1,IF(EXACT(calc!$D419,"FAC"),"",calc!F419),"")</f>
        <v>65DET</v>
      </c>
      <c r="F419" s="1" t="str">
        <f>IF(calc!$L419=1,IF(EXACT(calc!$D419,"FAC"),"",calc!G419),"")</f>
        <v>N</v>
      </c>
      <c r="G419" s="1" t="str">
        <f>IF(calc!$L419=1,IF(EXACT(calc!$D419,"FAC"),"",calc!H419),"")</f>
        <v>R</v>
      </c>
      <c r="H419" s="1" t="str">
        <f>IF(calc!$L419=1,IF(EXACT(calc!$D419,"FAC"),"",calc!I419),"")</f>
        <v>N</v>
      </c>
      <c r="I419" s="1">
        <f>IF(calc!$L419=1,calc!J419,"")</f>
        <v>5</v>
      </c>
      <c r="J419" s="1">
        <f>IF(calc!$L419=1,calc!K419,"")</f>
        <v>5</v>
      </c>
      <c r="K419" s="1" t="str">
        <f>IF(calc!$L419=1,calc!M419,"")</f>
        <v>38NSH</v>
      </c>
      <c r="L419" s="1">
        <f>IF(calc!$L419=1,calc!N419,"")</f>
        <v>0</v>
      </c>
      <c r="M419" s="1">
        <f>IF(calc!$L419=1,calc!O419,"")</f>
        <v>0</v>
      </c>
      <c r="N419" s="1" t="str">
        <f>IF(calc!$L419=1,calc!P419,"")</f>
        <v/>
      </c>
      <c r="O419">
        <f>'Entry data'!C$1</f>
        <v>20064</v>
      </c>
      <c r="P419" t="str">
        <f>'Entry data'!C$2</f>
        <v>NSH</v>
      </c>
      <c r="Q419" t="str">
        <f>'Entry data'!C$3</f>
        <v>Home</v>
      </c>
    </row>
    <row r="420" spans="1:17" x14ac:dyDescent="0.25">
      <c r="A420" s="1" t="str">
        <f>IF(calc!$L420=1,calc!B420,"")</f>
        <v/>
      </c>
      <c r="B420" s="5" t="str">
        <f>IF(calc!$L420=1,calc!C420,"")</f>
        <v/>
      </c>
      <c r="C420" s="1" t="str">
        <f>IF(calc!$L420=1,calc!D420,"")</f>
        <v/>
      </c>
      <c r="D420" s="1" t="str">
        <f>IF(calc!$L420=1,calc!E420,"")</f>
        <v/>
      </c>
      <c r="E420" s="1" t="str">
        <f>IF(calc!$L420=1,IF(EXACT(calc!$D420,"FAC"),"",calc!F420),"")</f>
        <v/>
      </c>
      <c r="F420" s="1" t="str">
        <f>IF(calc!$L420=1,IF(EXACT(calc!$D420,"FAC"),"",calc!G420),"")</f>
        <v/>
      </c>
      <c r="G420" s="1" t="str">
        <f>IF(calc!$L420=1,IF(EXACT(calc!$D420,"FAC"),"",calc!H420),"")</f>
        <v/>
      </c>
      <c r="H420" s="1" t="str">
        <f>IF(calc!$L420=1,IF(EXACT(calc!$D420,"FAC"),"",calc!I420),"")</f>
        <v/>
      </c>
      <c r="I420" s="1" t="str">
        <f>IF(calc!$L420=1,calc!J420,"")</f>
        <v/>
      </c>
      <c r="J420" s="1" t="str">
        <f>IF(calc!$L420=1,calc!K420,"")</f>
        <v/>
      </c>
      <c r="K420" s="1" t="str">
        <f>IF(calc!$L420=1,calc!M420,"")</f>
        <v/>
      </c>
      <c r="L420" s="1" t="str">
        <f>IF(calc!$L420=1,calc!N420,"")</f>
        <v/>
      </c>
      <c r="M420" s="1" t="str">
        <f>IF(calc!$L420=1,calc!O420,"")</f>
        <v/>
      </c>
      <c r="N420" s="1" t="str">
        <f>IF(calc!$L420=1,calc!P420,"")</f>
        <v/>
      </c>
      <c r="O420">
        <f>'Entry data'!C$1</f>
        <v>20064</v>
      </c>
      <c r="P420" t="str">
        <f>'Entry data'!C$2</f>
        <v>NSH</v>
      </c>
      <c r="Q420" t="str">
        <f>'Entry data'!C$3</f>
        <v>Home</v>
      </c>
    </row>
    <row r="421" spans="1:17" x14ac:dyDescent="0.25">
      <c r="A421" s="1">
        <f>IF(calc!$L421=1,calc!B421,"")</f>
        <v>3</v>
      </c>
      <c r="B421" s="5">
        <f>IF(calc!$L421=1,calc!C421,"")</f>
        <v>0.14652777777777778</v>
      </c>
      <c r="C421" s="1" t="str">
        <f>IF(calc!$L421=1,calc!D421,"")</f>
        <v>C</v>
      </c>
      <c r="D421" s="1" t="str">
        <f>IF(calc!$L421=1,calc!E421,"")</f>
        <v>15DET</v>
      </c>
      <c r="E421" s="1" t="str">
        <f>IF(calc!$L421=1,IF(EXACT(calc!$D421,"FAC"),"",calc!F421),"")</f>
        <v>76NSH</v>
      </c>
      <c r="F421" s="1" t="str">
        <f>IF(calc!$L421=1,IF(EXACT(calc!$D421,"FAC"),"",calc!G421),"")</f>
        <v>Y</v>
      </c>
      <c r="G421" s="1" t="str">
        <f>IF(calc!$L421=1,IF(EXACT(calc!$D421,"FAC"),"",calc!H421),"")</f>
        <v>L</v>
      </c>
      <c r="H421" s="1" t="str">
        <f>IF(calc!$L421=1,IF(EXACT(calc!$D421,"FAC"),"",calc!I421),"")</f>
        <v>N</v>
      </c>
      <c r="I421" s="1">
        <f>IF(calc!$L421=1,calc!J421,"")</f>
        <v>5</v>
      </c>
      <c r="J421" s="1">
        <f>IF(calc!$L421=1,calc!K421,"")</f>
        <v>5</v>
      </c>
      <c r="K421" s="1" t="str">
        <f>IF(calc!$L421=1,calc!M421,"")</f>
        <v>15DET</v>
      </c>
      <c r="L421" s="1">
        <f>IF(calc!$L421=1,calc!N421,"")</f>
        <v>0</v>
      </c>
      <c r="M421" s="1">
        <f>IF(calc!$L421=1,calc!O421,"")</f>
        <v>0</v>
      </c>
      <c r="N421" s="1" t="str">
        <f>IF(calc!$L421=1,calc!P421,"")</f>
        <v/>
      </c>
      <c r="O421">
        <f>'Entry data'!C$1</f>
        <v>20064</v>
      </c>
      <c r="P421" t="str">
        <f>'Entry data'!C$2</f>
        <v>NSH</v>
      </c>
      <c r="Q421" t="str">
        <f>'Entry data'!C$3</f>
        <v>Home</v>
      </c>
    </row>
    <row r="422" spans="1:17" x14ac:dyDescent="0.25">
      <c r="A422" s="1" t="str">
        <f>IF(calc!$L422=1,calc!B422,"")</f>
        <v/>
      </c>
      <c r="B422" s="5" t="str">
        <f>IF(calc!$L422=1,calc!C422,"")</f>
        <v/>
      </c>
      <c r="C422" s="1" t="str">
        <f>IF(calc!$L422=1,calc!D422,"")</f>
        <v/>
      </c>
      <c r="D422" s="1" t="str">
        <f>IF(calc!$L422=1,calc!E422,"")</f>
        <v/>
      </c>
      <c r="E422" s="1" t="str">
        <f>IF(calc!$L422=1,IF(EXACT(calc!$D422,"FAC"),"",calc!F422),"")</f>
        <v/>
      </c>
      <c r="F422" s="1" t="str">
        <f>IF(calc!$L422=1,IF(EXACT(calc!$D422,"FAC"),"",calc!G422),"")</f>
        <v/>
      </c>
      <c r="G422" s="1" t="str">
        <f>IF(calc!$L422=1,IF(EXACT(calc!$D422,"FAC"),"",calc!H422),"")</f>
        <v/>
      </c>
      <c r="H422" s="1" t="str">
        <f>IF(calc!$L422=1,IF(EXACT(calc!$D422,"FAC"),"",calc!I422),"")</f>
        <v/>
      </c>
      <c r="I422" s="1" t="str">
        <f>IF(calc!$L422=1,calc!J422,"")</f>
        <v/>
      </c>
      <c r="J422" s="1" t="str">
        <f>IF(calc!$L422=1,calc!K422,"")</f>
        <v/>
      </c>
      <c r="K422" s="1" t="str">
        <f>IF(calc!$L422=1,calc!M422,"")</f>
        <v/>
      </c>
      <c r="L422" s="1" t="str">
        <f>IF(calc!$L422=1,calc!N422,"")</f>
        <v/>
      </c>
      <c r="M422" s="1" t="str">
        <f>IF(calc!$L422=1,calc!O422,"")</f>
        <v/>
      </c>
      <c r="N422" s="1" t="str">
        <f>IF(calc!$L422=1,calc!P422,"")</f>
        <v/>
      </c>
      <c r="O422">
        <f>'Entry data'!C$1</f>
        <v>20064</v>
      </c>
      <c r="P422" t="str">
        <f>'Entry data'!C$2</f>
        <v>NSH</v>
      </c>
      <c r="Q422" t="str">
        <f>'Entry data'!C$3</f>
        <v>Home</v>
      </c>
    </row>
    <row r="423" spans="1:17" x14ac:dyDescent="0.25">
      <c r="A423" s="1">
        <f>IF(calc!$L423=1,calc!B423,"")</f>
        <v>3</v>
      </c>
      <c r="B423" s="5">
        <f>IF(calc!$L423=1,calc!C423,"")</f>
        <v>0.13680555555555554</v>
      </c>
      <c r="C423" s="1" t="str">
        <f>IF(calc!$L423=1,calc!D423,"")</f>
        <v>C</v>
      </c>
      <c r="D423" s="1" t="str">
        <f>IF(calc!$L423=1,calc!E423,"")</f>
        <v>59NSH</v>
      </c>
      <c r="E423" s="1" t="str">
        <f>IF(calc!$L423=1,IF(EXACT(calc!$D423,"FAC"),"",calc!F423),"")</f>
        <v>25DET</v>
      </c>
      <c r="F423" s="1" t="str">
        <f>IF(calc!$L423=1,IF(EXACT(calc!$D423,"FAC"),"",calc!G423),"")</f>
        <v>Y</v>
      </c>
      <c r="G423" s="1" t="str">
        <f>IF(calc!$L423=1,IF(EXACT(calc!$D423,"FAC"),"",calc!H423),"")</f>
        <v>L</v>
      </c>
      <c r="H423" s="1" t="str">
        <f>IF(calc!$L423=1,IF(EXACT(calc!$D423,"FAC"),"",calc!I423),"")</f>
        <v>N</v>
      </c>
      <c r="I423" s="1">
        <f>IF(calc!$L423=1,calc!J423,"")</f>
        <v>5</v>
      </c>
      <c r="J423" s="1">
        <f>IF(calc!$L423=1,calc!K423,"")</f>
        <v>5</v>
      </c>
      <c r="K423" s="1" t="str">
        <f>IF(calc!$L423=1,calc!M423,"")</f>
        <v>59NSH</v>
      </c>
      <c r="L423" s="1">
        <f>IF(calc!$L423=1,calc!N423,"")</f>
        <v>0</v>
      </c>
      <c r="M423" s="1">
        <f>IF(calc!$L423=1,calc!O423,"")</f>
        <v>0</v>
      </c>
      <c r="N423" s="1" t="str">
        <f>IF(calc!$L423=1,calc!P423,"")</f>
        <v/>
      </c>
      <c r="O423">
        <f>'Entry data'!C$1</f>
        <v>20064</v>
      </c>
      <c r="P423" t="str">
        <f>'Entry data'!C$2</f>
        <v>NSH</v>
      </c>
      <c r="Q423" t="str">
        <f>'Entry data'!C$3</f>
        <v>Home</v>
      </c>
    </row>
    <row r="424" spans="1:17" x14ac:dyDescent="0.25">
      <c r="A424" s="1">
        <f>IF(calc!$L424=1,calc!B424,"")</f>
        <v>3</v>
      </c>
      <c r="B424" s="5">
        <f>IF(calc!$L424=1,calc!C424,"")</f>
        <v>0.12847222222222224</v>
      </c>
      <c r="C424" s="1" t="str">
        <f>IF(calc!$L424=1,calc!D424,"")</f>
        <v>C</v>
      </c>
      <c r="D424" s="1" t="str">
        <f>IF(calc!$L424=1,calc!E424,"")</f>
        <v>41DET</v>
      </c>
      <c r="E424" s="1" t="str">
        <f>IF(calc!$L424=1,IF(EXACT(calc!$D424,"FAC"),"",calc!F424),"")</f>
        <v>59NSH</v>
      </c>
      <c r="F424" s="1" t="str">
        <f>IF(calc!$L424=1,IF(EXACT(calc!$D424,"FAC"),"",calc!G424),"")</f>
        <v>N</v>
      </c>
      <c r="G424" s="1" t="str">
        <f>IF(calc!$L424=1,IF(EXACT(calc!$D424,"FAC"),"",calc!H424),"")</f>
        <v>R</v>
      </c>
      <c r="H424" s="1" t="str">
        <f>IF(calc!$L424=1,IF(EXACT(calc!$D424,"FAC"),"",calc!I424),"")</f>
        <v>N</v>
      </c>
      <c r="I424" s="1">
        <f>IF(calc!$L424=1,calc!J424,"")</f>
        <v>5</v>
      </c>
      <c r="J424" s="1">
        <f>IF(calc!$L424=1,calc!K424,"")</f>
        <v>5</v>
      </c>
      <c r="K424" s="1" t="str">
        <f>IF(calc!$L424=1,calc!M424,"")</f>
        <v>41DET</v>
      </c>
      <c r="L424" s="1">
        <f>IF(calc!$L424=1,calc!N424,"")</f>
        <v>1</v>
      </c>
      <c r="M424" s="1">
        <f>IF(calc!$L424=1,calc!O424,"")</f>
        <v>0</v>
      </c>
      <c r="N424" s="1" t="str">
        <f>IF(calc!$L424=1,calc!P424,"")</f>
        <v/>
      </c>
      <c r="O424">
        <f>'Entry data'!C$1</f>
        <v>20064</v>
      </c>
      <c r="P424" t="str">
        <f>'Entry data'!C$2</f>
        <v>NSH</v>
      </c>
      <c r="Q424" t="str">
        <f>'Entry data'!C$3</f>
        <v>Home</v>
      </c>
    </row>
    <row r="425" spans="1:17" x14ac:dyDescent="0.25">
      <c r="A425" s="1" t="str">
        <f>IF(calc!$L425=1,calc!B425,"")</f>
        <v/>
      </c>
      <c r="B425" s="5" t="str">
        <f>IF(calc!$L425=1,calc!C425,"")</f>
        <v/>
      </c>
      <c r="C425" s="1" t="str">
        <f>IF(calc!$L425=1,calc!D425,"")</f>
        <v/>
      </c>
      <c r="D425" s="1" t="str">
        <f>IF(calc!$L425=1,calc!E425,"")</f>
        <v/>
      </c>
      <c r="E425" s="1" t="str">
        <f>IF(calc!$L425=1,IF(EXACT(calc!$D425,"FAC"),"",calc!F425),"")</f>
        <v/>
      </c>
      <c r="F425" s="1" t="str">
        <f>IF(calc!$L425=1,IF(EXACT(calc!$D425,"FAC"),"",calc!G425),"")</f>
        <v/>
      </c>
      <c r="G425" s="1" t="str">
        <f>IF(calc!$L425=1,IF(EXACT(calc!$D425,"FAC"),"",calc!H425),"")</f>
        <v/>
      </c>
      <c r="H425" s="1" t="str">
        <f>IF(calc!$L425=1,IF(EXACT(calc!$D425,"FAC"),"",calc!I425),"")</f>
        <v/>
      </c>
      <c r="I425" s="1" t="str">
        <f>IF(calc!$L425=1,calc!J425,"")</f>
        <v/>
      </c>
      <c r="J425" s="1" t="str">
        <f>IF(calc!$L425=1,calc!K425,"")</f>
        <v/>
      </c>
      <c r="K425" s="1" t="str">
        <f>IF(calc!$L425=1,calc!M425,"")</f>
        <v/>
      </c>
      <c r="L425" s="1" t="str">
        <f>IF(calc!$L425=1,calc!N425,"")</f>
        <v/>
      </c>
      <c r="M425" s="1" t="str">
        <f>IF(calc!$L425=1,calc!O425,"")</f>
        <v/>
      </c>
      <c r="N425" s="1" t="str">
        <f>IF(calc!$L425=1,calc!P425,"")</f>
        <v/>
      </c>
      <c r="O425">
        <f>'Entry data'!C$1</f>
        <v>20064</v>
      </c>
      <c r="P425" t="str">
        <f>'Entry data'!C$2</f>
        <v>NSH</v>
      </c>
      <c r="Q425" t="str">
        <f>'Entry data'!C$3</f>
        <v>Home</v>
      </c>
    </row>
    <row r="426" spans="1:17" x14ac:dyDescent="0.25">
      <c r="A426" s="1">
        <f>IF(calc!$L426=1,calc!B426,"")</f>
        <v>3</v>
      </c>
      <c r="B426" s="5">
        <f>IF(calc!$L426=1,calc!C426,"")</f>
        <v>0.12152777777777778</v>
      </c>
      <c r="C426" s="1" t="str">
        <f>IF(calc!$L426=1,calc!D426,"")</f>
        <v>D</v>
      </c>
      <c r="D426" s="1" t="str">
        <f>IF(calc!$L426=1,calc!E426,"")</f>
        <v>63NSH</v>
      </c>
      <c r="E426" s="1" t="str">
        <f>IF(calc!$L426=1,IF(EXACT(calc!$D426,"FAC"),"",calc!F426),"")</f>
        <v>N</v>
      </c>
      <c r="F426" s="1" t="str">
        <f>IF(calc!$L426=1,IF(EXACT(calc!$D426,"FAC"),"",calc!G426),"")</f>
        <v/>
      </c>
      <c r="G426" s="1" t="str">
        <f>IF(calc!$L426=1,IF(EXACT(calc!$D426,"FAC"),"",calc!H426),"")</f>
        <v>R</v>
      </c>
      <c r="H426" s="1" t="str">
        <f>IF(calc!$L426=1,IF(EXACT(calc!$D426,"FAC"),"",calc!I426),"")</f>
        <v>N</v>
      </c>
      <c r="I426" s="1">
        <f>IF(calc!$L426=1,calc!J426,"")</f>
        <v>5</v>
      </c>
      <c r="J426" s="1">
        <f>IF(calc!$L426=1,calc!K426,"")</f>
        <v>5</v>
      </c>
      <c r="K426" s="1" t="str">
        <f>IF(calc!$L426=1,calc!M426,"")</f>
        <v/>
      </c>
      <c r="L426" s="1">
        <f>IF(calc!$L426=1,calc!N426,"")</f>
        <v>0</v>
      </c>
      <c r="M426" s="1">
        <f>IF(calc!$L426=1,calc!O426,"")</f>
        <v>0</v>
      </c>
      <c r="N426" s="1" t="str">
        <f>IF(calc!$L426=1,calc!P426,"")</f>
        <v/>
      </c>
      <c r="O426">
        <f>'Entry data'!C$1</f>
        <v>20064</v>
      </c>
      <c r="P426" t="str">
        <f>'Entry data'!C$2</f>
        <v>NSH</v>
      </c>
      <c r="Q426" t="str">
        <f>'Entry data'!C$3</f>
        <v>Home</v>
      </c>
    </row>
    <row r="427" spans="1:17" x14ac:dyDescent="0.25">
      <c r="A427" s="1">
        <f>IF(calc!$L427=1,calc!B427,"")</f>
        <v>3</v>
      </c>
      <c r="B427" s="5">
        <f>IF(calc!$L427=1,calc!C427,"")</f>
        <v>0.11319444444444444</v>
      </c>
      <c r="C427" s="1" t="str">
        <f>IF(calc!$L427=1,calc!D427,"")</f>
        <v>D</v>
      </c>
      <c r="D427" s="1" t="str">
        <f>IF(calc!$L427=1,calc!E427,"")</f>
        <v>4NSH</v>
      </c>
      <c r="E427" s="1" t="str">
        <f>IF(calc!$L427=1,IF(EXACT(calc!$D427,"FAC"),"",calc!F427),"")</f>
        <v>N</v>
      </c>
      <c r="F427" s="1" t="str">
        <f>IF(calc!$L427=1,IF(EXACT(calc!$D427,"FAC"),"",calc!G427),"")</f>
        <v/>
      </c>
      <c r="G427" s="1" t="str">
        <f>IF(calc!$L427=1,IF(EXACT(calc!$D427,"FAC"),"",calc!H427),"")</f>
        <v>R</v>
      </c>
      <c r="H427" s="1" t="str">
        <f>IF(calc!$L427=1,IF(EXACT(calc!$D427,"FAC"),"",calc!I427),"")</f>
        <v>N</v>
      </c>
      <c r="I427" s="1">
        <f>IF(calc!$L427=1,calc!J427,"")</f>
        <v>5</v>
      </c>
      <c r="J427" s="1">
        <f>IF(calc!$L427=1,calc!K427,"")</f>
        <v>5</v>
      </c>
      <c r="K427" s="1" t="str">
        <f>IF(calc!$L427=1,calc!M427,"")</f>
        <v/>
      </c>
      <c r="L427" s="1">
        <f>IF(calc!$L427=1,calc!N427,"")</f>
        <v>0</v>
      </c>
      <c r="M427" s="1">
        <f>IF(calc!$L427=1,calc!O427,"")</f>
        <v>0</v>
      </c>
      <c r="N427" s="1" t="str">
        <f>IF(calc!$L427=1,calc!P427,"")</f>
        <v/>
      </c>
      <c r="O427">
        <f>'Entry data'!C$1</f>
        <v>20064</v>
      </c>
      <c r="P427" t="str">
        <f>'Entry data'!C$2</f>
        <v>NSH</v>
      </c>
      <c r="Q427" t="str">
        <f>'Entry data'!C$3</f>
        <v>Home</v>
      </c>
    </row>
    <row r="428" spans="1:17" x14ac:dyDescent="0.25">
      <c r="A428" s="1" t="str">
        <f>IF(calc!$L428=1,calc!B428,"")</f>
        <v/>
      </c>
      <c r="B428" s="5" t="str">
        <f>IF(calc!$L428=1,calc!C428,"")</f>
        <v/>
      </c>
      <c r="C428" s="1" t="str">
        <f>IF(calc!$L428=1,calc!D428,"")</f>
        <v/>
      </c>
      <c r="D428" s="1" t="str">
        <f>IF(calc!$L428=1,calc!E428,"")</f>
        <v/>
      </c>
      <c r="E428" s="1" t="str">
        <f>IF(calc!$L428=1,IF(EXACT(calc!$D428,"FAC"),"",calc!F428),"")</f>
        <v/>
      </c>
      <c r="F428" s="1" t="str">
        <f>IF(calc!$L428=1,IF(EXACT(calc!$D428,"FAC"),"",calc!G428),"")</f>
        <v/>
      </c>
      <c r="G428" s="1" t="str">
        <f>IF(calc!$L428=1,IF(EXACT(calc!$D428,"FAC"),"",calc!H428),"")</f>
        <v/>
      </c>
      <c r="H428" s="1" t="str">
        <f>IF(calc!$L428=1,IF(EXACT(calc!$D428,"FAC"),"",calc!I428),"")</f>
        <v/>
      </c>
      <c r="I428" s="1" t="str">
        <f>IF(calc!$L428=1,calc!J428,"")</f>
        <v/>
      </c>
      <c r="J428" s="1" t="str">
        <f>IF(calc!$L428=1,calc!K428,"")</f>
        <v/>
      </c>
      <c r="K428" s="1" t="str">
        <f>IF(calc!$L428=1,calc!M428,"")</f>
        <v/>
      </c>
      <c r="L428" s="1" t="str">
        <f>IF(calc!$L428=1,calc!N428,"")</f>
        <v/>
      </c>
      <c r="M428" s="1" t="str">
        <f>IF(calc!$L428=1,calc!O428,"")</f>
        <v/>
      </c>
      <c r="N428" s="1" t="str">
        <f>IF(calc!$L428=1,calc!P428,"")</f>
        <v/>
      </c>
      <c r="O428">
        <f>'Entry data'!C$1</f>
        <v>20064</v>
      </c>
      <c r="P428" t="str">
        <f>'Entry data'!C$2</f>
        <v>NSH</v>
      </c>
      <c r="Q428" t="str">
        <f>'Entry data'!C$3</f>
        <v>Home</v>
      </c>
    </row>
    <row r="429" spans="1:17" x14ac:dyDescent="0.25">
      <c r="A429" s="1" t="str">
        <f>IF(calc!$L429=1,calc!B429,"")</f>
        <v/>
      </c>
      <c r="B429" s="5" t="str">
        <f>IF(calc!$L429=1,calc!C429,"")</f>
        <v/>
      </c>
      <c r="C429" s="1" t="str">
        <f>IF(calc!$L429=1,calc!D429,"")</f>
        <v/>
      </c>
      <c r="D429" s="1" t="str">
        <f>IF(calc!$L429=1,calc!E429,"")</f>
        <v/>
      </c>
      <c r="E429" s="1" t="str">
        <f>IF(calc!$L429=1,IF(EXACT(calc!$D429,"FAC"),"",calc!F429),"")</f>
        <v/>
      </c>
      <c r="F429" s="1" t="str">
        <f>IF(calc!$L429=1,IF(EXACT(calc!$D429,"FAC"),"",calc!G429),"")</f>
        <v/>
      </c>
      <c r="G429" s="1" t="str">
        <f>IF(calc!$L429=1,IF(EXACT(calc!$D429,"FAC"),"",calc!H429),"")</f>
        <v/>
      </c>
      <c r="H429" s="1" t="str">
        <f>IF(calc!$L429=1,IF(EXACT(calc!$D429,"FAC"),"",calc!I429),"")</f>
        <v/>
      </c>
      <c r="I429" s="1" t="str">
        <f>IF(calc!$L429=1,calc!J429,"")</f>
        <v/>
      </c>
      <c r="J429" s="1" t="str">
        <f>IF(calc!$L429=1,calc!K429,"")</f>
        <v/>
      </c>
      <c r="K429" s="1" t="str">
        <f>IF(calc!$L429=1,calc!M429,"")</f>
        <v/>
      </c>
      <c r="L429" s="1" t="str">
        <f>IF(calc!$L429=1,calc!N429,"")</f>
        <v/>
      </c>
      <c r="M429" s="1" t="str">
        <f>IF(calc!$L429=1,calc!O429,"")</f>
        <v/>
      </c>
      <c r="N429" s="1" t="str">
        <f>IF(calc!$L429=1,calc!P429,"")</f>
        <v/>
      </c>
      <c r="O429">
        <f>'Entry data'!C$1</f>
        <v>20064</v>
      </c>
      <c r="P429" t="str">
        <f>'Entry data'!C$2</f>
        <v>NSH</v>
      </c>
      <c r="Q429" t="str">
        <f>'Entry data'!C$3</f>
        <v>Home</v>
      </c>
    </row>
    <row r="430" spans="1:17" x14ac:dyDescent="0.25">
      <c r="A430" s="1">
        <f>IF(calc!$L430=1,calc!B430,"")</f>
        <v>3</v>
      </c>
      <c r="B430" s="5">
        <f>IF(calc!$L430=1,calc!C430,"")</f>
        <v>8.4722222222222365E-2</v>
      </c>
      <c r="C430" s="1" t="str">
        <f>IF(calc!$L430=1,calc!D430,"")</f>
        <v>FAC</v>
      </c>
      <c r="D430" s="1" t="str">
        <f>IF(calc!$L430=1,calc!E430,"")</f>
        <v>OZF</v>
      </c>
      <c r="E430" s="1" t="str">
        <f>IF(calc!$L430=1,IF(EXACT(calc!$D430,"FAC"),"",calc!F430),"")</f>
        <v/>
      </c>
      <c r="F430" s="1" t="str">
        <f>IF(calc!$L430=1,IF(EXACT(calc!$D430,"FAC"),"",calc!G430),"")</f>
        <v/>
      </c>
      <c r="G430" s="1" t="str">
        <f>IF(calc!$L430=1,IF(EXACT(calc!$D430,"FAC"),"",calc!H430),"")</f>
        <v/>
      </c>
      <c r="H430" s="1" t="str">
        <f>IF(calc!$L430=1,IF(EXACT(calc!$D430,"FAC"),"",calc!I430),"")</f>
        <v/>
      </c>
      <c r="I430" s="1">
        <f>IF(calc!$L430=1,calc!J430,"")</f>
        <v>5</v>
      </c>
      <c r="J430" s="1">
        <f>IF(calc!$L430=1,calc!K430,"")</f>
        <v>3</v>
      </c>
      <c r="K430" s="1" t="str">
        <f>IF(calc!$L430=1,calc!M430,"")</f>
        <v/>
      </c>
      <c r="L430" s="1">
        <f>IF(calc!$L430=1,calc!N430,"")</f>
        <v>0</v>
      </c>
      <c r="M430" s="1">
        <f>IF(calc!$L430=1,calc!O430,"")</f>
        <v>0</v>
      </c>
      <c r="N430" s="1" t="str">
        <f>IF(calc!$L430=1,calc!P430,"")</f>
        <v/>
      </c>
      <c r="O430">
        <f>'Entry data'!C$1</f>
        <v>20064</v>
      </c>
      <c r="P430" t="str">
        <f>'Entry data'!C$2</f>
        <v>NSH</v>
      </c>
      <c r="Q430" t="str">
        <f>'Entry data'!C$3</f>
        <v>Home</v>
      </c>
    </row>
    <row r="431" spans="1:17" x14ac:dyDescent="0.25">
      <c r="A431" s="1">
        <f>IF(calc!$L431=1,calc!B431,"")</f>
        <v>3</v>
      </c>
      <c r="B431" s="5">
        <f>IF(calc!$L431=1,calc!C431,"")</f>
        <v>7.1527777777777787E-2</v>
      </c>
      <c r="C431" s="1" t="str">
        <f>IF(calc!$L431=1,calc!D431,"")</f>
        <v>C</v>
      </c>
      <c r="D431" s="1" t="str">
        <f>IF(calc!$L431=1,calc!E431,"")</f>
        <v>4NSH</v>
      </c>
      <c r="E431" s="1" t="str">
        <f>IF(calc!$L431=1,IF(EXACT(calc!$D431,"FAC"),"",calc!F431),"")</f>
        <v>51DET</v>
      </c>
      <c r="F431" s="1" t="str">
        <f>IF(calc!$L431=1,IF(EXACT(calc!$D431,"FAC"),"",calc!G431),"")</f>
        <v>N</v>
      </c>
      <c r="G431" s="1" t="str">
        <f>IF(calc!$L431=1,IF(EXACT(calc!$D431,"FAC"),"",calc!H431),"")</f>
        <v>R</v>
      </c>
      <c r="H431" s="1" t="str">
        <f>IF(calc!$L431=1,IF(EXACT(calc!$D431,"FAC"),"",calc!I431),"")</f>
        <v>N</v>
      </c>
      <c r="I431" s="1">
        <f>IF(calc!$L431=1,calc!J431,"")</f>
        <v>5</v>
      </c>
      <c r="J431" s="1">
        <f>IF(calc!$L431=1,calc!K431,"")</f>
        <v>3</v>
      </c>
      <c r="K431" s="1" t="str">
        <f>IF(calc!$L431=1,calc!M431,"")</f>
        <v>4NSH</v>
      </c>
      <c r="L431" s="1">
        <f>IF(calc!$L431=1,calc!N431,"")</f>
        <v>0</v>
      </c>
      <c r="M431" s="1">
        <f>IF(calc!$L431=1,calc!O431,"")</f>
        <v>0</v>
      </c>
      <c r="N431" s="1" t="str">
        <f>IF(calc!$L431=1,calc!P431,"")</f>
        <v/>
      </c>
      <c r="O431">
        <f>'Entry data'!C$1</f>
        <v>20064</v>
      </c>
      <c r="P431" t="str">
        <f>'Entry data'!C$2</f>
        <v>NSH</v>
      </c>
      <c r="Q431" t="str">
        <f>'Entry data'!C$3</f>
        <v>Home</v>
      </c>
    </row>
    <row r="432" spans="1:17" x14ac:dyDescent="0.25">
      <c r="A432" s="1" t="str">
        <f>IF(calc!$L432=1,calc!B432,"")</f>
        <v/>
      </c>
      <c r="B432" s="5" t="str">
        <f>IF(calc!$L432=1,calc!C432,"")</f>
        <v/>
      </c>
      <c r="C432" s="1" t="str">
        <f>IF(calc!$L432=1,calc!D432,"")</f>
        <v/>
      </c>
      <c r="D432" s="1" t="str">
        <f>IF(calc!$L432=1,calc!E432,"")</f>
        <v/>
      </c>
      <c r="E432" s="1" t="str">
        <f>IF(calc!$L432=1,IF(EXACT(calc!$D432,"FAC"),"",calc!F432),"")</f>
        <v/>
      </c>
      <c r="F432" s="1" t="str">
        <f>IF(calc!$L432=1,IF(EXACT(calc!$D432,"FAC"),"",calc!G432),"")</f>
        <v/>
      </c>
      <c r="G432" s="1" t="str">
        <f>IF(calc!$L432=1,IF(EXACT(calc!$D432,"FAC"),"",calc!H432),"")</f>
        <v/>
      </c>
      <c r="H432" s="1" t="str">
        <f>IF(calc!$L432=1,IF(EXACT(calc!$D432,"FAC"),"",calc!I432),"")</f>
        <v/>
      </c>
      <c r="I432" s="1" t="str">
        <f>IF(calc!$L432=1,calc!J432,"")</f>
        <v/>
      </c>
      <c r="J432" s="1" t="str">
        <f>IF(calc!$L432=1,calc!K432,"")</f>
        <v/>
      </c>
      <c r="K432" s="1" t="str">
        <f>IF(calc!$L432=1,calc!M432,"")</f>
        <v/>
      </c>
      <c r="L432" s="1" t="str">
        <f>IF(calc!$L432=1,calc!N432,"")</f>
        <v/>
      </c>
      <c r="M432" s="1" t="str">
        <f>IF(calc!$L432=1,calc!O432,"")</f>
        <v/>
      </c>
      <c r="N432" s="1" t="str">
        <f>IF(calc!$L432=1,calc!P432,"")</f>
        <v/>
      </c>
      <c r="O432">
        <f>'Entry data'!C$1</f>
        <v>20064</v>
      </c>
      <c r="P432" t="str">
        <f>'Entry data'!C$2</f>
        <v>NSH</v>
      </c>
      <c r="Q432" t="str">
        <f>'Entry data'!C$3</f>
        <v>Home</v>
      </c>
    </row>
    <row r="433" spans="1:17" x14ac:dyDescent="0.25">
      <c r="A433" s="1">
        <f>IF(calc!$L433=1,calc!B433,"")</f>
        <v>3</v>
      </c>
      <c r="B433" s="5">
        <f>IF(calc!$L433=1,calc!C433,"")</f>
        <v>5.9027777777777783E-2</v>
      </c>
      <c r="C433" s="1" t="str">
        <f>IF(calc!$L433=1,calc!D433,"")</f>
        <v>C</v>
      </c>
      <c r="D433" s="1" t="str">
        <f>IF(calc!$L433=1,calc!E433,"")</f>
        <v>8DET</v>
      </c>
      <c r="E433" s="1" t="str">
        <f>IF(calc!$L433=1,IF(EXACT(calc!$D433,"FAC"),"",calc!F433),"")</f>
        <v>14NSH</v>
      </c>
      <c r="F433" s="1" t="str">
        <f>IF(calc!$L433=1,IF(EXACT(calc!$D433,"FAC"),"",calc!G433),"")</f>
        <v>Y</v>
      </c>
      <c r="G433" s="1" t="str">
        <f>IF(calc!$L433=1,IF(EXACT(calc!$D433,"FAC"),"",calc!H433),"")</f>
        <v>C</v>
      </c>
      <c r="H433" s="1" t="str">
        <f>IF(calc!$L433=1,IF(EXACT(calc!$D433,"FAC"),"",calc!I433),"")</f>
        <v>N</v>
      </c>
      <c r="I433" s="1">
        <f>IF(calc!$L433=1,calc!J433,"")</f>
        <v>5</v>
      </c>
      <c r="J433" s="1">
        <f>IF(calc!$L433=1,calc!K433,"")</f>
        <v>3</v>
      </c>
      <c r="K433" s="1" t="str">
        <f>IF(calc!$L433=1,calc!M433,"")</f>
        <v>8DET</v>
      </c>
      <c r="L433" s="1">
        <f>IF(calc!$L433=1,calc!N433,"")</f>
        <v>0</v>
      </c>
      <c r="M433" s="1">
        <f>IF(calc!$L433=1,calc!O433,"")</f>
        <v>0</v>
      </c>
      <c r="N433" s="1" t="str">
        <f>IF(calc!$L433=1,calc!P433,"")</f>
        <v/>
      </c>
      <c r="O433">
        <f>'Entry data'!C$1</f>
        <v>20064</v>
      </c>
      <c r="P433" t="str">
        <f>'Entry data'!C$2</f>
        <v>NSH</v>
      </c>
      <c r="Q433" t="str">
        <f>'Entry data'!C$3</f>
        <v>Home</v>
      </c>
    </row>
    <row r="434" spans="1:17" x14ac:dyDescent="0.25">
      <c r="A434" s="1">
        <f>IF(calc!$L434=1,calc!B434,"")</f>
        <v>3</v>
      </c>
      <c r="B434" s="5">
        <f>IF(calc!$L434=1,calc!C434,"")</f>
        <v>4.7916666666666663E-2</v>
      </c>
      <c r="C434" s="1" t="str">
        <f>IF(calc!$L434=1,calc!D434,"")</f>
        <v>D</v>
      </c>
      <c r="D434" s="1" t="str">
        <f>IF(calc!$L434=1,calc!E434,"")</f>
        <v>9NSH</v>
      </c>
      <c r="E434" s="1" t="str">
        <f>IF(calc!$L434=1,IF(EXACT(calc!$D434,"FAC"),"",calc!F434),"")</f>
        <v>25DET</v>
      </c>
      <c r="F434" s="1" t="str">
        <f>IF(calc!$L434=1,IF(EXACT(calc!$D434,"FAC"),"",calc!G434),"")</f>
        <v/>
      </c>
      <c r="G434" s="1" t="str">
        <f>IF(calc!$L434=1,IF(EXACT(calc!$D434,"FAC"),"",calc!H434),"")</f>
        <v>R</v>
      </c>
      <c r="H434" s="1" t="str">
        <f>IF(calc!$L434=1,IF(EXACT(calc!$D434,"FAC"),"",calc!I434),"")</f>
        <v>N</v>
      </c>
      <c r="I434" s="1">
        <f>IF(calc!$L434=1,calc!J434,"")</f>
        <v>5</v>
      </c>
      <c r="J434" s="1">
        <f>IF(calc!$L434=1,calc!K434,"")</f>
        <v>3</v>
      </c>
      <c r="K434" s="1" t="str">
        <f>IF(calc!$L434=1,calc!M434,"")</f>
        <v/>
      </c>
      <c r="L434" s="1">
        <f>IF(calc!$L434=1,calc!N434,"")</f>
        <v>0</v>
      </c>
      <c r="M434" s="1">
        <f>IF(calc!$L434=1,calc!O434,"")</f>
        <v>0</v>
      </c>
      <c r="N434" s="1" t="str">
        <f>IF(calc!$L434=1,calc!P434,"")</f>
        <v/>
      </c>
      <c r="O434">
        <f>'Entry data'!C$1</f>
        <v>20064</v>
      </c>
      <c r="P434" t="str">
        <f>'Entry data'!C$2</f>
        <v>NSH</v>
      </c>
      <c r="Q434" t="str">
        <f>'Entry data'!C$3</f>
        <v>Home</v>
      </c>
    </row>
    <row r="435" spans="1:17" x14ac:dyDescent="0.25">
      <c r="A435" s="1">
        <f>IF(calc!$L435=1,calc!B435,"")</f>
        <v>3</v>
      </c>
      <c r="B435" s="5">
        <f>IF(calc!$L435=1,calc!C435,"")</f>
        <v>3.4722222222222224E-2</v>
      </c>
      <c r="C435" s="1" t="str">
        <f>IF(calc!$L435=1,calc!D435,"")</f>
        <v>D</v>
      </c>
      <c r="D435" s="1" t="str">
        <f>IF(calc!$L435=1,calc!E435,"")</f>
        <v>43DET</v>
      </c>
      <c r="E435" s="1" t="str">
        <f>IF(calc!$L435=1,IF(EXACT(calc!$D435,"FAC"),"",calc!F435),"")</f>
        <v>N</v>
      </c>
      <c r="F435" s="1" t="str">
        <f>IF(calc!$L435=1,IF(EXACT(calc!$D435,"FAC"),"",calc!G435),"")</f>
        <v/>
      </c>
      <c r="G435" s="1" t="str">
        <f>IF(calc!$L435=1,IF(EXACT(calc!$D435,"FAC"),"",calc!H435),"")</f>
        <v>C</v>
      </c>
      <c r="H435" s="1" t="str">
        <f>IF(calc!$L435=1,IF(EXACT(calc!$D435,"FAC"),"",calc!I435),"")</f>
        <v>N</v>
      </c>
      <c r="I435" s="1">
        <f>IF(calc!$L435=1,calc!J435,"")</f>
        <v>5</v>
      </c>
      <c r="J435" s="1">
        <f>IF(calc!$L435=1,calc!K435,"")</f>
        <v>3</v>
      </c>
      <c r="K435" s="1" t="str">
        <f>IF(calc!$L435=1,calc!M435,"")</f>
        <v/>
      </c>
      <c r="L435" s="1">
        <f>IF(calc!$L435=1,calc!N435,"")</f>
        <v>1</v>
      </c>
      <c r="M435" s="1">
        <f>IF(calc!$L435=1,calc!O435,"")</f>
        <v>1</v>
      </c>
      <c r="N435" s="1" t="str">
        <f>IF(calc!$L435=1,calc!P435,"")</f>
        <v/>
      </c>
      <c r="O435">
        <f>'Entry data'!C$1</f>
        <v>20064</v>
      </c>
      <c r="P435" t="str">
        <f>'Entry data'!C$2</f>
        <v>NSH</v>
      </c>
      <c r="Q435" t="str">
        <f>'Entry data'!C$3</f>
        <v>Home</v>
      </c>
    </row>
    <row r="436" spans="1:17" x14ac:dyDescent="0.25">
      <c r="A436" s="1" t="str">
        <f>IF(calc!$L436=1,calc!B436,"")</f>
        <v/>
      </c>
      <c r="B436" s="5" t="str">
        <f>IF(calc!$L436=1,calc!C436,"")</f>
        <v/>
      </c>
      <c r="C436" s="1" t="str">
        <f>IF(calc!$L436=1,calc!D436,"")</f>
        <v/>
      </c>
      <c r="D436" s="1" t="str">
        <f>IF(calc!$L436=1,calc!E436,"")</f>
        <v/>
      </c>
      <c r="E436" s="1" t="str">
        <f>IF(calc!$L436=1,IF(EXACT(calc!$D436,"FAC"),"",calc!F436),"")</f>
        <v/>
      </c>
      <c r="F436" s="1" t="str">
        <f>IF(calc!$L436=1,IF(EXACT(calc!$D436,"FAC"),"",calc!G436),"")</f>
        <v/>
      </c>
      <c r="G436" s="1" t="str">
        <f>IF(calc!$L436=1,IF(EXACT(calc!$D436,"FAC"),"",calc!H436),"")</f>
        <v/>
      </c>
      <c r="H436" s="1" t="str">
        <f>IF(calc!$L436=1,IF(EXACT(calc!$D436,"FAC"),"",calc!I436),"")</f>
        <v/>
      </c>
      <c r="I436" s="1" t="str">
        <f>IF(calc!$L436=1,calc!J436,"")</f>
        <v/>
      </c>
      <c r="J436" s="1" t="str">
        <f>IF(calc!$L436=1,calc!K436,"")</f>
        <v/>
      </c>
      <c r="K436" s="1" t="str">
        <f>IF(calc!$L436=1,calc!M436,"")</f>
        <v/>
      </c>
      <c r="L436" s="1" t="str">
        <f>IF(calc!$L436=1,calc!N436,"")</f>
        <v/>
      </c>
      <c r="M436" s="1" t="str">
        <f>IF(calc!$L436=1,calc!O436,"")</f>
        <v/>
      </c>
      <c r="N436" s="1" t="str">
        <f>IF(calc!$L436=1,calc!P436,"")</f>
        <v/>
      </c>
      <c r="O436">
        <f>'Entry data'!C$1</f>
        <v>20064</v>
      </c>
      <c r="P436" t="str">
        <f>'Entry data'!C$2</f>
        <v>NSH</v>
      </c>
      <c r="Q436" t="str">
        <f>'Entry data'!C$3</f>
        <v>Home</v>
      </c>
    </row>
    <row r="437" spans="1:17" x14ac:dyDescent="0.25">
      <c r="A437" s="1" t="str">
        <f>IF(calc!$L437=1,calc!B437,"")</f>
        <v/>
      </c>
      <c r="B437" s="5" t="str">
        <f>IF(calc!$L437=1,calc!C437,"")</f>
        <v/>
      </c>
      <c r="C437" s="1" t="str">
        <f>IF(calc!$L437=1,calc!D437,"")</f>
        <v/>
      </c>
      <c r="D437" s="1" t="str">
        <f>IF(calc!$L437=1,calc!E437,"")</f>
        <v/>
      </c>
      <c r="E437" s="1" t="str">
        <f>IF(calc!$L437=1,IF(EXACT(calc!$D437,"FAC"),"",calc!F437),"")</f>
        <v/>
      </c>
      <c r="F437" s="1" t="str">
        <f>IF(calc!$L437=1,IF(EXACT(calc!$D437,"FAC"),"",calc!G437),"")</f>
        <v/>
      </c>
      <c r="G437" s="1" t="str">
        <f>IF(calc!$L437=1,IF(EXACT(calc!$D437,"FAC"),"",calc!H437),"")</f>
        <v/>
      </c>
      <c r="H437" s="1" t="str">
        <f>IF(calc!$L437=1,IF(EXACT(calc!$D437,"FAC"),"",calc!I437),"")</f>
        <v/>
      </c>
      <c r="I437" s="1" t="str">
        <f>IF(calc!$L437=1,calc!J437,"")</f>
        <v/>
      </c>
      <c r="J437" s="1" t="str">
        <f>IF(calc!$L437=1,calc!K437,"")</f>
        <v/>
      </c>
      <c r="K437" s="1" t="str">
        <f>IF(calc!$L437=1,calc!M437,"")</f>
        <v/>
      </c>
      <c r="L437" s="1" t="str">
        <f>IF(calc!$L437=1,calc!N437,"")</f>
        <v/>
      </c>
      <c r="M437" s="1" t="str">
        <f>IF(calc!$L437=1,calc!O437,"")</f>
        <v/>
      </c>
      <c r="N437" s="1" t="str">
        <f>IF(calc!$L437=1,calc!P437,"")</f>
        <v/>
      </c>
      <c r="O437">
        <f>'Entry data'!C$1</f>
        <v>20064</v>
      </c>
      <c r="P437" t="str">
        <f>'Entry data'!C$2</f>
        <v>NSH</v>
      </c>
      <c r="Q437" t="str">
        <f>'Entry data'!C$3</f>
        <v>Home</v>
      </c>
    </row>
    <row r="438" spans="1:17" x14ac:dyDescent="0.25">
      <c r="A438" s="1" t="str">
        <f>IF(calc!$L438=1,calc!B438,"")</f>
        <v/>
      </c>
      <c r="B438" s="5" t="str">
        <f>IF(calc!$L438=1,calc!C438,"")</f>
        <v/>
      </c>
      <c r="C438" s="1" t="str">
        <f>IF(calc!$L438=1,calc!D438,"")</f>
        <v/>
      </c>
      <c r="D438" s="1" t="str">
        <f>IF(calc!$L438=1,calc!E438,"")</f>
        <v/>
      </c>
      <c r="E438" s="1" t="str">
        <f>IF(calc!$L438=1,IF(EXACT(calc!$D438,"FAC"),"",calc!F438),"")</f>
        <v/>
      </c>
      <c r="F438" s="1" t="str">
        <f>IF(calc!$L438=1,IF(EXACT(calc!$D438,"FAC"),"",calc!G438),"")</f>
        <v/>
      </c>
      <c r="G438" s="1" t="str">
        <f>IF(calc!$L438=1,IF(EXACT(calc!$D438,"FAC"),"",calc!H438),"")</f>
        <v/>
      </c>
      <c r="H438" s="1" t="str">
        <f>IF(calc!$L438=1,IF(EXACT(calc!$D438,"FAC"),"",calc!I438),"")</f>
        <v/>
      </c>
      <c r="I438" s="1" t="str">
        <f>IF(calc!$L438=1,calc!J438,"")</f>
        <v/>
      </c>
      <c r="J438" s="1" t="str">
        <f>IF(calc!$L438=1,calc!K438,"")</f>
        <v/>
      </c>
      <c r="K438" s="1" t="str">
        <f>IF(calc!$L438=1,calc!M438,"")</f>
        <v/>
      </c>
      <c r="L438" s="1" t="str">
        <f>IF(calc!$L438=1,calc!N438,"")</f>
        <v/>
      </c>
      <c r="M438" s="1" t="str">
        <f>IF(calc!$L438=1,calc!O438,"")</f>
        <v/>
      </c>
      <c r="N438" s="1" t="str">
        <f>IF(calc!$L438=1,calc!P438,"")</f>
        <v/>
      </c>
      <c r="O438">
        <f>'Entry data'!C$1</f>
        <v>20064</v>
      </c>
      <c r="P438" t="str">
        <f>'Entry data'!C$2</f>
        <v>NSH</v>
      </c>
      <c r="Q438" t="str">
        <f>'Entry data'!C$3</f>
        <v>Home</v>
      </c>
    </row>
    <row r="439" spans="1:17" x14ac:dyDescent="0.25">
      <c r="A439" s="1" t="str">
        <f>IF(calc!$L439=1,calc!B439,"")</f>
        <v/>
      </c>
      <c r="B439" s="5" t="str">
        <f>IF(calc!$L439=1,calc!C439,"")</f>
        <v/>
      </c>
      <c r="C439" s="1" t="str">
        <f>IF(calc!$L439=1,calc!D439,"")</f>
        <v/>
      </c>
      <c r="D439" s="1" t="str">
        <f>IF(calc!$L439=1,calc!E439,"")</f>
        <v/>
      </c>
      <c r="E439" s="1" t="str">
        <f>IF(calc!$L439=1,IF(EXACT(calc!$D439,"FAC"),"",calc!F439),"")</f>
        <v/>
      </c>
      <c r="F439" s="1" t="str">
        <f>IF(calc!$L439=1,IF(EXACT(calc!$D439,"FAC"),"",calc!G439),"")</f>
        <v/>
      </c>
      <c r="G439" s="1" t="str">
        <f>IF(calc!$L439=1,IF(EXACT(calc!$D439,"FAC"),"",calc!H439),"")</f>
        <v/>
      </c>
      <c r="H439" s="1" t="str">
        <f>IF(calc!$L439=1,IF(EXACT(calc!$D439,"FAC"),"",calc!I439),"")</f>
        <v/>
      </c>
      <c r="I439" s="1" t="str">
        <f>IF(calc!$L439=1,calc!J439,"")</f>
        <v/>
      </c>
      <c r="J439" s="1" t="str">
        <f>IF(calc!$L439=1,calc!K439,"")</f>
        <v/>
      </c>
      <c r="K439" s="1" t="str">
        <f>IF(calc!$L439=1,calc!M439,"")</f>
        <v/>
      </c>
      <c r="L439" s="1" t="str">
        <f>IF(calc!$L439=1,calc!N439,"")</f>
        <v/>
      </c>
      <c r="M439" s="1" t="str">
        <f>IF(calc!$L439=1,calc!O439,"")</f>
        <v/>
      </c>
      <c r="N439" s="1" t="str">
        <f>IF(calc!$L439=1,calc!P439,"")</f>
        <v/>
      </c>
      <c r="O439">
        <f>'Entry data'!C$1</f>
        <v>20064</v>
      </c>
      <c r="P439" t="str">
        <f>'Entry data'!C$2</f>
        <v>NSH</v>
      </c>
      <c r="Q439" t="str">
        <f>'Entry data'!C$3</f>
        <v>Home</v>
      </c>
    </row>
    <row r="440" spans="1:17" x14ac:dyDescent="0.25">
      <c r="A440" s="1" t="str">
        <f>IF(calc!$L440=1,calc!B440,"")</f>
        <v/>
      </c>
      <c r="B440" s="5" t="str">
        <f>IF(calc!$L440=1,calc!C440,"")</f>
        <v/>
      </c>
      <c r="C440" s="1" t="str">
        <f>IF(calc!$L440=1,calc!D440,"")</f>
        <v/>
      </c>
      <c r="D440" s="1" t="str">
        <f>IF(calc!$L440=1,calc!E440,"")</f>
        <v/>
      </c>
      <c r="E440" s="1" t="str">
        <f>IF(calc!$L440=1,IF(EXACT(calc!$D440,"FAC"),"",calc!F440),"")</f>
        <v/>
      </c>
      <c r="F440" s="1" t="str">
        <f>IF(calc!$L440=1,IF(EXACT(calc!$D440,"FAC"),"",calc!G440),"")</f>
        <v/>
      </c>
      <c r="G440" s="1" t="str">
        <f>IF(calc!$L440=1,IF(EXACT(calc!$D440,"FAC"),"",calc!H440),"")</f>
        <v/>
      </c>
      <c r="H440" s="1" t="str">
        <f>IF(calc!$L440=1,IF(EXACT(calc!$D440,"FAC"),"",calc!I440),"")</f>
        <v/>
      </c>
      <c r="I440" s="1" t="str">
        <f>IF(calc!$L440=1,calc!J440,"")</f>
        <v/>
      </c>
      <c r="J440" s="1" t="str">
        <f>IF(calc!$L440=1,calc!K440,"")</f>
        <v/>
      </c>
      <c r="K440" s="1" t="str">
        <f>IF(calc!$L440=1,calc!M440,"")</f>
        <v/>
      </c>
      <c r="L440" s="1" t="str">
        <f>IF(calc!$L440=1,calc!N440,"")</f>
        <v/>
      </c>
      <c r="M440" s="1" t="str">
        <f>IF(calc!$L440=1,calc!O440,"")</f>
        <v/>
      </c>
      <c r="N440" s="1" t="str">
        <f>IF(calc!$L440=1,calc!P440,"")</f>
        <v/>
      </c>
      <c r="O440">
        <f>'Entry data'!C$1</f>
        <v>20064</v>
      </c>
      <c r="P440" t="str">
        <f>'Entry data'!C$2</f>
        <v>NSH</v>
      </c>
      <c r="Q440" t="str">
        <f>'Entry data'!C$3</f>
        <v>Home</v>
      </c>
    </row>
    <row r="441" spans="1:17" x14ac:dyDescent="0.25">
      <c r="A441" s="1" t="str">
        <f>IF(calc!$L441=1,calc!B441,"")</f>
        <v/>
      </c>
      <c r="B441" s="5" t="str">
        <f>IF(calc!$L441=1,calc!C441,"")</f>
        <v/>
      </c>
      <c r="C441" s="1" t="str">
        <f>IF(calc!$L441=1,calc!D441,"")</f>
        <v/>
      </c>
      <c r="D441" s="1" t="str">
        <f>IF(calc!$L441=1,calc!E441,"")</f>
        <v/>
      </c>
      <c r="E441" s="1" t="str">
        <f>IF(calc!$L441=1,IF(EXACT(calc!$D441,"FAC"),"",calc!F441),"")</f>
        <v/>
      </c>
      <c r="F441" s="1" t="str">
        <f>IF(calc!$L441=1,IF(EXACT(calc!$D441,"FAC"),"",calc!G441),"")</f>
        <v/>
      </c>
      <c r="G441" s="1" t="str">
        <f>IF(calc!$L441=1,IF(EXACT(calc!$D441,"FAC"),"",calc!H441),"")</f>
        <v/>
      </c>
      <c r="H441" s="1" t="str">
        <f>IF(calc!$L441=1,IF(EXACT(calc!$D441,"FAC"),"",calc!I441),"")</f>
        <v/>
      </c>
      <c r="I441" s="1" t="str">
        <f>IF(calc!$L441=1,calc!J441,"")</f>
        <v/>
      </c>
      <c r="J441" s="1" t="str">
        <f>IF(calc!$L441=1,calc!K441,"")</f>
        <v/>
      </c>
      <c r="K441" s="1" t="str">
        <f>IF(calc!$L441=1,calc!M441,"")</f>
        <v/>
      </c>
      <c r="L441" s="1" t="str">
        <f>IF(calc!$L441=1,calc!N441,"")</f>
        <v/>
      </c>
      <c r="M441" s="1" t="str">
        <f>IF(calc!$L441=1,calc!O441,"")</f>
        <v/>
      </c>
      <c r="N441" s="1" t="str">
        <f>IF(calc!$L441=1,calc!P441,"")</f>
        <v/>
      </c>
      <c r="O441">
        <f>'Entry data'!C$1</f>
        <v>20064</v>
      </c>
      <c r="P441" t="str">
        <f>'Entry data'!C$2</f>
        <v>NSH</v>
      </c>
      <c r="Q441" t="str">
        <f>'Entry data'!C$3</f>
        <v>Home</v>
      </c>
    </row>
    <row r="442" spans="1:17" x14ac:dyDescent="0.25">
      <c r="A442" s="1" t="str">
        <f>IF(calc!$L442=1,calc!B442,"")</f>
        <v/>
      </c>
      <c r="B442" s="5" t="str">
        <f>IF(calc!$L442=1,calc!C442,"")</f>
        <v/>
      </c>
      <c r="C442" s="1" t="str">
        <f>IF(calc!$L442=1,calc!D442,"")</f>
        <v/>
      </c>
      <c r="D442" s="1" t="str">
        <f>IF(calc!$L442=1,calc!E442,"")</f>
        <v/>
      </c>
      <c r="E442" s="1" t="str">
        <f>IF(calc!$L442=1,IF(EXACT(calc!$D442,"FAC"),"",calc!F442),"")</f>
        <v/>
      </c>
      <c r="F442" s="1" t="str">
        <f>IF(calc!$L442=1,IF(EXACT(calc!$D442,"FAC"),"",calc!G442),"")</f>
        <v/>
      </c>
      <c r="G442" s="1" t="str">
        <f>IF(calc!$L442=1,IF(EXACT(calc!$D442,"FAC"),"",calc!H442),"")</f>
        <v/>
      </c>
      <c r="H442" s="1" t="str">
        <f>IF(calc!$L442=1,IF(EXACT(calc!$D442,"FAC"),"",calc!I442),"")</f>
        <v/>
      </c>
      <c r="I442" s="1" t="str">
        <f>IF(calc!$L442=1,calc!J442,"")</f>
        <v/>
      </c>
      <c r="J442" s="1" t="str">
        <f>IF(calc!$L442=1,calc!K442,"")</f>
        <v/>
      </c>
      <c r="K442" s="1" t="str">
        <f>IF(calc!$L442=1,calc!M442,"")</f>
        <v/>
      </c>
      <c r="L442" s="1" t="str">
        <f>IF(calc!$L442=1,calc!N442,"")</f>
        <v/>
      </c>
      <c r="M442" s="1" t="str">
        <f>IF(calc!$L442=1,calc!O442,"")</f>
        <v/>
      </c>
      <c r="N442" s="1" t="str">
        <f>IF(calc!$L442=1,calc!P442,"")</f>
        <v/>
      </c>
      <c r="O442">
        <f>'Entry data'!C$1</f>
        <v>20064</v>
      </c>
      <c r="P442" t="str">
        <f>'Entry data'!C$2</f>
        <v>NSH</v>
      </c>
      <c r="Q442" t="str">
        <f>'Entry data'!C$3</f>
        <v>Home</v>
      </c>
    </row>
    <row r="443" spans="1:17" x14ac:dyDescent="0.25">
      <c r="A443" s="1" t="str">
        <f>IF(calc!$L443=1,calc!B443,"")</f>
        <v/>
      </c>
      <c r="B443" s="5" t="str">
        <f>IF(calc!$L443=1,calc!C443,"")</f>
        <v/>
      </c>
      <c r="C443" s="1" t="str">
        <f>IF(calc!$L443=1,calc!D443,"")</f>
        <v/>
      </c>
      <c r="D443" s="1" t="str">
        <f>IF(calc!$L443=1,calc!E443,"")</f>
        <v/>
      </c>
      <c r="E443" s="1" t="str">
        <f>IF(calc!$L443=1,IF(EXACT(calc!$D443,"FAC"),"",calc!F443),"")</f>
        <v/>
      </c>
      <c r="F443" s="1" t="str">
        <f>IF(calc!$L443=1,IF(EXACT(calc!$D443,"FAC"),"",calc!G443),"")</f>
        <v/>
      </c>
      <c r="G443" s="1" t="str">
        <f>IF(calc!$L443=1,IF(EXACT(calc!$D443,"FAC"),"",calc!H443),"")</f>
        <v/>
      </c>
      <c r="H443" s="1" t="str">
        <f>IF(calc!$L443=1,IF(EXACT(calc!$D443,"FAC"),"",calc!I443),"")</f>
        <v/>
      </c>
      <c r="I443" s="1" t="str">
        <f>IF(calc!$L443=1,calc!J443,"")</f>
        <v/>
      </c>
      <c r="J443" s="1" t="str">
        <f>IF(calc!$L443=1,calc!K443,"")</f>
        <v/>
      </c>
      <c r="K443" s="1" t="str">
        <f>IF(calc!$L443=1,calc!M443,"")</f>
        <v/>
      </c>
      <c r="L443" s="1" t="str">
        <f>IF(calc!$L443=1,calc!N443,"")</f>
        <v/>
      </c>
      <c r="M443" s="1" t="str">
        <f>IF(calc!$L443=1,calc!O443,"")</f>
        <v/>
      </c>
      <c r="N443" s="1" t="str">
        <f>IF(calc!$L443=1,calc!P443,"")</f>
        <v/>
      </c>
      <c r="O443">
        <f>'Entry data'!C$1</f>
        <v>20064</v>
      </c>
      <c r="P443" t="str">
        <f>'Entry data'!C$2</f>
        <v>NSH</v>
      </c>
      <c r="Q443" t="str">
        <f>'Entry data'!C$3</f>
        <v>Home</v>
      </c>
    </row>
    <row r="444" spans="1:17" x14ac:dyDescent="0.25">
      <c r="A444" s="1" t="str">
        <f>IF(calc!$L444=1,calc!B444,"")</f>
        <v/>
      </c>
      <c r="B444" s="5" t="str">
        <f>IF(calc!$L444=1,calc!C444,"")</f>
        <v/>
      </c>
      <c r="C444" s="1" t="str">
        <f>IF(calc!$L444=1,calc!D444,"")</f>
        <v/>
      </c>
      <c r="D444" s="1" t="str">
        <f>IF(calc!$L444=1,calc!E444,"")</f>
        <v/>
      </c>
      <c r="E444" s="1" t="str">
        <f>IF(calc!$L444=1,IF(EXACT(calc!$D444,"FAC"),"",calc!F444),"")</f>
        <v/>
      </c>
      <c r="F444" s="1" t="str">
        <f>IF(calc!$L444=1,IF(EXACT(calc!$D444,"FAC"),"",calc!G444),"")</f>
        <v/>
      </c>
      <c r="G444" s="1" t="str">
        <f>IF(calc!$L444=1,IF(EXACT(calc!$D444,"FAC"),"",calc!H444),"")</f>
        <v/>
      </c>
      <c r="H444" s="1" t="str">
        <f>IF(calc!$L444=1,IF(EXACT(calc!$D444,"FAC"),"",calc!I444),"")</f>
        <v/>
      </c>
      <c r="I444" s="1" t="str">
        <f>IF(calc!$L444=1,calc!J444,"")</f>
        <v/>
      </c>
      <c r="J444" s="1" t="str">
        <f>IF(calc!$L444=1,calc!K444,"")</f>
        <v/>
      </c>
      <c r="K444" s="1" t="str">
        <f>IF(calc!$L444=1,calc!M444,"")</f>
        <v/>
      </c>
      <c r="L444" s="1" t="str">
        <f>IF(calc!$L444=1,calc!N444,"")</f>
        <v/>
      </c>
      <c r="M444" s="1" t="str">
        <f>IF(calc!$L444=1,calc!O444,"")</f>
        <v/>
      </c>
      <c r="N444" s="1" t="str">
        <f>IF(calc!$L444=1,calc!P444,"")</f>
        <v/>
      </c>
      <c r="O444">
        <f>'Entry data'!C$1</f>
        <v>20064</v>
      </c>
      <c r="P444" t="str">
        <f>'Entry data'!C$2</f>
        <v>NSH</v>
      </c>
      <c r="Q444" t="str">
        <f>'Entry data'!C$3</f>
        <v>Home</v>
      </c>
    </row>
    <row r="445" spans="1:17" x14ac:dyDescent="0.25">
      <c r="A445" s="1" t="str">
        <f>IF(calc!$L445=1,calc!B445,"")</f>
        <v/>
      </c>
      <c r="B445" s="5" t="str">
        <f>IF(calc!$L445=1,calc!C445,"")</f>
        <v/>
      </c>
      <c r="C445" s="1" t="str">
        <f>IF(calc!$L445=1,calc!D445,"")</f>
        <v/>
      </c>
      <c r="D445" s="1" t="str">
        <f>IF(calc!$L445=1,calc!E445,"")</f>
        <v/>
      </c>
      <c r="E445" s="1" t="str">
        <f>IF(calc!$L445=1,IF(EXACT(calc!$D445,"FAC"),"",calc!F445),"")</f>
        <v/>
      </c>
      <c r="F445" s="1" t="str">
        <f>IF(calc!$L445=1,IF(EXACT(calc!$D445,"FAC"),"",calc!G445),"")</f>
        <v/>
      </c>
      <c r="G445" s="1" t="str">
        <f>IF(calc!$L445=1,IF(EXACT(calc!$D445,"FAC"),"",calc!H445),"")</f>
        <v/>
      </c>
      <c r="H445" s="1" t="str">
        <f>IF(calc!$L445=1,IF(EXACT(calc!$D445,"FAC"),"",calc!I445),"")</f>
        <v/>
      </c>
      <c r="I445" s="1" t="str">
        <f>IF(calc!$L445=1,calc!J445,"")</f>
        <v/>
      </c>
      <c r="J445" s="1" t="str">
        <f>IF(calc!$L445=1,calc!K445,"")</f>
        <v/>
      </c>
      <c r="K445" s="1" t="str">
        <f>IF(calc!$L445=1,calc!M445,"")</f>
        <v/>
      </c>
      <c r="L445" s="1" t="str">
        <f>IF(calc!$L445=1,calc!N445,"")</f>
        <v/>
      </c>
      <c r="M445" s="1" t="str">
        <f>IF(calc!$L445=1,calc!O445,"")</f>
        <v/>
      </c>
      <c r="N445" s="1" t="str">
        <f>IF(calc!$L445=1,calc!P445,"")</f>
        <v/>
      </c>
      <c r="O445">
        <f>'Entry data'!C$1</f>
        <v>20064</v>
      </c>
      <c r="P445" t="str">
        <f>'Entry data'!C$2</f>
        <v>NSH</v>
      </c>
      <c r="Q445" t="str">
        <f>'Entry data'!C$3</f>
        <v>Home</v>
      </c>
    </row>
    <row r="446" spans="1:17" x14ac:dyDescent="0.25">
      <c r="A446" s="1" t="str">
        <f>IF(calc!$L446=1,calc!B446,"")</f>
        <v/>
      </c>
      <c r="B446" s="5" t="str">
        <f>IF(calc!$L446=1,calc!C446,"")</f>
        <v/>
      </c>
      <c r="C446" s="1" t="str">
        <f>IF(calc!$L446=1,calc!D446,"")</f>
        <v/>
      </c>
      <c r="D446" s="1" t="str">
        <f>IF(calc!$L446=1,calc!E446,"")</f>
        <v/>
      </c>
      <c r="E446" s="1" t="str">
        <f>IF(calc!$L446=1,IF(EXACT(calc!$D446,"FAC"),"",calc!F446),"")</f>
        <v/>
      </c>
      <c r="F446" s="1" t="str">
        <f>IF(calc!$L446=1,IF(EXACT(calc!$D446,"FAC"),"",calc!G446),"")</f>
        <v/>
      </c>
      <c r="G446" s="1" t="str">
        <f>IF(calc!$L446=1,IF(EXACT(calc!$D446,"FAC"),"",calc!H446),"")</f>
        <v/>
      </c>
      <c r="H446" s="1" t="str">
        <f>IF(calc!$L446=1,IF(EXACT(calc!$D446,"FAC"),"",calc!I446),"")</f>
        <v/>
      </c>
      <c r="I446" s="1" t="str">
        <f>IF(calc!$L446=1,calc!J446,"")</f>
        <v/>
      </c>
      <c r="J446" s="1" t="str">
        <f>IF(calc!$L446=1,calc!K446,"")</f>
        <v/>
      </c>
      <c r="K446" s="1" t="str">
        <f>IF(calc!$L446=1,calc!M446,"")</f>
        <v/>
      </c>
      <c r="L446" s="1" t="str">
        <f>IF(calc!$L446=1,calc!N446,"")</f>
        <v/>
      </c>
      <c r="M446" s="1" t="str">
        <f>IF(calc!$L446=1,calc!O446,"")</f>
        <v/>
      </c>
      <c r="N446" s="1" t="str">
        <f>IF(calc!$L446=1,calc!P446,"")</f>
        <v/>
      </c>
      <c r="O446">
        <f>'Entry data'!C$1</f>
        <v>20064</v>
      </c>
      <c r="P446" t="str">
        <f>'Entry data'!C$2</f>
        <v>NSH</v>
      </c>
      <c r="Q446" t="str">
        <f>'Entry data'!C$3</f>
        <v>Home</v>
      </c>
    </row>
    <row r="447" spans="1:17" x14ac:dyDescent="0.25">
      <c r="A447" s="1" t="str">
        <f>IF(calc!$L447=1,calc!B447,"")</f>
        <v/>
      </c>
      <c r="B447" s="5" t="str">
        <f>IF(calc!$L447=1,calc!C447,"")</f>
        <v/>
      </c>
      <c r="C447" s="1" t="str">
        <f>IF(calc!$L447=1,calc!D447,"")</f>
        <v/>
      </c>
      <c r="D447" s="1" t="str">
        <f>IF(calc!$L447=1,calc!E447,"")</f>
        <v/>
      </c>
      <c r="E447" s="1" t="str">
        <f>IF(calc!$L447=1,IF(EXACT(calc!$D447,"FAC"),"",calc!F447),"")</f>
        <v/>
      </c>
      <c r="F447" s="1" t="str">
        <f>IF(calc!$L447=1,IF(EXACT(calc!$D447,"FAC"),"",calc!G447),"")</f>
        <v/>
      </c>
      <c r="G447" s="1" t="str">
        <f>IF(calc!$L447=1,IF(EXACT(calc!$D447,"FAC"),"",calc!H447),"")</f>
        <v/>
      </c>
      <c r="H447" s="1" t="str">
        <f>IF(calc!$L447=1,IF(EXACT(calc!$D447,"FAC"),"",calc!I447),"")</f>
        <v/>
      </c>
      <c r="I447" s="1" t="str">
        <f>IF(calc!$L447=1,calc!J447,"")</f>
        <v/>
      </c>
      <c r="J447" s="1" t="str">
        <f>IF(calc!$L447=1,calc!K447,"")</f>
        <v/>
      </c>
      <c r="K447" s="1" t="str">
        <f>IF(calc!$L447=1,calc!M447,"")</f>
        <v/>
      </c>
      <c r="L447" s="1" t="str">
        <f>IF(calc!$L447=1,calc!N447,"")</f>
        <v/>
      </c>
      <c r="M447" s="1" t="str">
        <f>IF(calc!$L447=1,calc!O447,"")</f>
        <v/>
      </c>
      <c r="N447" s="1" t="str">
        <f>IF(calc!$L447=1,calc!P447,"")</f>
        <v/>
      </c>
      <c r="O447">
        <f>'Entry data'!C$1</f>
        <v>20064</v>
      </c>
      <c r="P447" t="str">
        <f>'Entry data'!C$2</f>
        <v>NSH</v>
      </c>
      <c r="Q447" t="str">
        <f>'Entry data'!C$3</f>
        <v>Home</v>
      </c>
    </row>
    <row r="448" spans="1:17" x14ac:dyDescent="0.25">
      <c r="A448" s="1" t="str">
        <f>IF(calc!$L448=1,calc!B448,"")</f>
        <v/>
      </c>
      <c r="B448" s="5" t="str">
        <f>IF(calc!$L448=1,calc!C448,"")</f>
        <v/>
      </c>
      <c r="C448" s="1" t="str">
        <f>IF(calc!$L448=1,calc!D448,"")</f>
        <v/>
      </c>
      <c r="D448" s="1" t="str">
        <f>IF(calc!$L448=1,calc!E448,"")</f>
        <v/>
      </c>
      <c r="E448" s="1" t="str">
        <f>IF(calc!$L448=1,IF(EXACT(calc!$D448,"FAC"),"",calc!F448),"")</f>
        <v/>
      </c>
      <c r="F448" s="1" t="str">
        <f>IF(calc!$L448=1,IF(EXACT(calc!$D448,"FAC"),"",calc!G448),"")</f>
        <v/>
      </c>
      <c r="G448" s="1" t="str">
        <f>IF(calc!$L448=1,IF(EXACT(calc!$D448,"FAC"),"",calc!H448),"")</f>
        <v/>
      </c>
      <c r="H448" s="1" t="str">
        <f>IF(calc!$L448=1,IF(EXACT(calc!$D448,"FAC"),"",calc!I448),"")</f>
        <v/>
      </c>
      <c r="I448" s="1" t="str">
        <f>IF(calc!$L448=1,calc!J448,"")</f>
        <v/>
      </c>
      <c r="J448" s="1" t="str">
        <f>IF(calc!$L448=1,calc!K448,"")</f>
        <v/>
      </c>
      <c r="K448" s="1" t="str">
        <f>IF(calc!$L448=1,calc!M448,"")</f>
        <v/>
      </c>
      <c r="L448" s="1" t="str">
        <f>IF(calc!$L448=1,calc!N448,"")</f>
        <v/>
      </c>
      <c r="M448" s="1" t="str">
        <f>IF(calc!$L448=1,calc!O448,"")</f>
        <v/>
      </c>
      <c r="N448" s="1" t="str">
        <f>IF(calc!$L448=1,calc!P448,"")</f>
        <v/>
      </c>
      <c r="O448">
        <f>'Entry data'!C$1</f>
        <v>20064</v>
      </c>
      <c r="P448" t="str">
        <f>'Entry data'!C$2</f>
        <v>NSH</v>
      </c>
      <c r="Q448" t="str">
        <f>'Entry data'!C$3</f>
        <v>Home</v>
      </c>
    </row>
    <row r="449" spans="1:17" x14ac:dyDescent="0.25">
      <c r="A449" s="1" t="str">
        <f>IF(calc!$L449=1,calc!B449,"")</f>
        <v/>
      </c>
      <c r="B449" s="5" t="str">
        <f>IF(calc!$L449=1,calc!C449,"")</f>
        <v/>
      </c>
      <c r="C449" s="1" t="str">
        <f>IF(calc!$L449=1,calc!D449,"")</f>
        <v/>
      </c>
      <c r="D449" s="1" t="str">
        <f>IF(calc!$L449=1,calc!E449,"")</f>
        <v/>
      </c>
      <c r="E449" s="1" t="str">
        <f>IF(calc!$L449=1,IF(EXACT(calc!$D449,"FAC"),"",calc!F449),"")</f>
        <v/>
      </c>
      <c r="F449" s="1" t="str">
        <f>IF(calc!$L449=1,IF(EXACT(calc!$D449,"FAC"),"",calc!G449),"")</f>
        <v/>
      </c>
      <c r="G449" s="1" t="str">
        <f>IF(calc!$L449=1,IF(EXACT(calc!$D449,"FAC"),"",calc!H449),"")</f>
        <v/>
      </c>
      <c r="H449" s="1" t="str">
        <f>IF(calc!$L449=1,IF(EXACT(calc!$D449,"FAC"),"",calc!I449),"")</f>
        <v/>
      </c>
      <c r="I449" s="1" t="str">
        <f>IF(calc!$L449=1,calc!J449,"")</f>
        <v/>
      </c>
      <c r="J449" s="1" t="str">
        <f>IF(calc!$L449=1,calc!K449,"")</f>
        <v/>
      </c>
      <c r="K449" s="1" t="str">
        <f>IF(calc!$L449=1,calc!M449,"")</f>
        <v/>
      </c>
      <c r="L449" s="1" t="str">
        <f>IF(calc!$L449=1,calc!N449,"")</f>
        <v/>
      </c>
      <c r="M449" s="1" t="str">
        <f>IF(calc!$L449=1,calc!O449,"")</f>
        <v/>
      </c>
      <c r="N449" s="1" t="str">
        <f>IF(calc!$L449=1,calc!P449,"")</f>
        <v/>
      </c>
      <c r="O449">
        <f>'Entry data'!C$1</f>
        <v>20064</v>
      </c>
      <c r="P449" t="str">
        <f>'Entry data'!C$2</f>
        <v>NSH</v>
      </c>
      <c r="Q449" t="str">
        <f>'Entry data'!C$3</f>
        <v>Home</v>
      </c>
    </row>
    <row r="450" spans="1:17" x14ac:dyDescent="0.25">
      <c r="A450" s="1" t="str">
        <f>IF(calc!$L450=1,calc!B450,"")</f>
        <v/>
      </c>
      <c r="B450" s="5" t="str">
        <f>IF(calc!$L450=1,calc!C450,"")</f>
        <v/>
      </c>
      <c r="C450" s="1" t="str">
        <f>IF(calc!$L450=1,calc!D450,"")</f>
        <v/>
      </c>
      <c r="D450" s="1" t="str">
        <f>IF(calc!$L450=1,calc!E450,"")</f>
        <v/>
      </c>
      <c r="E450" s="1" t="str">
        <f>IF(calc!$L450=1,IF(EXACT(calc!$D450,"FAC"),"",calc!F450),"")</f>
        <v/>
      </c>
      <c r="F450" s="1" t="str">
        <f>IF(calc!$L450=1,IF(EXACT(calc!$D450,"FAC"),"",calc!G450),"")</f>
        <v/>
      </c>
      <c r="G450" s="1" t="str">
        <f>IF(calc!$L450=1,IF(EXACT(calc!$D450,"FAC"),"",calc!H450),"")</f>
        <v/>
      </c>
      <c r="H450" s="1" t="str">
        <f>IF(calc!$L450=1,IF(EXACT(calc!$D450,"FAC"),"",calc!I450),"")</f>
        <v/>
      </c>
      <c r="I450" s="1" t="str">
        <f>IF(calc!$L450=1,calc!J450,"")</f>
        <v/>
      </c>
      <c r="J450" s="1" t="str">
        <f>IF(calc!$L450=1,calc!K450,"")</f>
        <v/>
      </c>
      <c r="K450" s="1" t="str">
        <f>IF(calc!$L450=1,calc!M450,"")</f>
        <v/>
      </c>
      <c r="L450" s="1" t="str">
        <f>IF(calc!$L450=1,calc!N450,"")</f>
        <v/>
      </c>
      <c r="M450" s="1" t="str">
        <f>IF(calc!$L450=1,calc!O450,"")</f>
        <v/>
      </c>
      <c r="N450" s="1" t="str">
        <f>IF(calc!$L450=1,calc!P450,"")</f>
        <v/>
      </c>
      <c r="O450">
        <f>'Entry data'!C$1</f>
        <v>20064</v>
      </c>
      <c r="P450" t="str">
        <f>'Entry data'!C$2</f>
        <v>NSH</v>
      </c>
      <c r="Q450" t="str">
        <f>'Entry data'!C$3</f>
        <v>Home</v>
      </c>
    </row>
    <row r="451" spans="1:17" x14ac:dyDescent="0.25">
      <c r="A451" s="1" t="str">
        <f>IF(calc!$L451=1,calc!B451,"")</f>
        <v/>
      </c>
      <c r="B451" s="5" t="str">
        <f>IF(calc!$L451=1,calc!C451,"")</f>
        <v/>
      </c>
      <c r="C451" s="1" t="str">
        <f>IF(calc!$L451=1,calc!D451,"")</f>
        <v/>
      </c>
      <c r="D451" s="1" t="str">
        <f>IF(calc!$L451=1,calc!E451,"")</f>
        <v/>
      </c>
      <c r="E451" s="1" t="str">
        <f>IF(calc!$L451=1,IF(EXACT(calc!$D451,"FAC"),"",calc!F451),"")</f>
        <v/>
      </c>
      <c r="F451" s="1" t="str">
        <f>IF(calc!$L451=1,IF(EXACT(calc!$D451,"FAC"),"",calc!G451),"")</f>
        <v/>
      </c>
      <c r="G451" s="1" t="str">
        <f>IF(calc!$L451=1,IF(EXACT(calc!$D451,"FAC"),"",calc!H451),"")</f>
        <v/>
      </c>
      <c r="H451" s="1" t="str">
        <f>IF(calc!$L451=1,IF(EXACT(calc!$D451,"FAC"),"",calc!I451),"")</f>
        <v/>
      </c>
      <c r="I451" s="1" t="str">
        <f>IF(calc!$L451=1,calc!J451,"")</f>
        <v/>
      </c>
      <c r="J451" s="1" t="str">
        <f>IF(calc!$L451=1,calc!K451,"")</f>
        <v/>
      </c>
      <c r="K451" s="1" t="str">
        <f>IF(calc!$L451=1,calc!M451,"")</f>
        <v/>
      </c>
      <c r="L451" s="1" t="str">
        <f>IF(calc!$L451=1,calc!N451,"")</f>
        <v/>
      </c>
      <c r="M451" s="1" t="str">
        <f>IF(calc!$L451=1,calc!O451,"")</f>
        <v/>
      </c>
      <c r="N451" s="1" t="str">
        <f>IF(calc!$L451=1,calc!P451,"")</f>
        <v/>
      </c>
      <c r="O451">
        <f>'Entry data'!C$1</f>
        <v>20064</v>
      </c>
      <c r="P451" t="str">
        <f>'Entry data'!C$2</f>
        <v>NSH</v>
      </c>
      <c r="Q451" t="str">
        <f>'Entry data'!C$3</f>
        <v>Home</v>
      </c>
    </row>
    <row r="452" spans="1:17" x14ac:dyDescent="0.25">
      <c r="A452" s="1" t="str">
        <f>IF(calc!$L452=1,calc!B452,"")</f>
        <v/>
      </c>
      <c r="B452" s="5" t="str">
        <f>IF(calc!$L452=1,calc!C452,"")</f>
        <v/>
      </c>
      <c r="C452" s="1" t="str">
        <f>IF(calc!$L452=1,calc!D452,"")</f>
        <v/>
      </c>
      <c r="D452" s="1" t="str">
        <f>IF(calc!$L452=1,calc!E452,"")</f>
        <v/>
      </c>
      <c r="E452" s="1" t="str">
        <f>IF(calc!$L452=1,IF(EXACT(calc!$D452,"FAC"),"",calc!F452),"")</f>
        <v/>
      </c>
      <c r="F452" s="1" t="str">
        <f>IF(calc!$L452=1,IF(EXACT(calc!$D452,"FAC"),"",calc!G452),"")</f>
        <v/>
      </c>
      <c r="G452" s="1" t="str">
        <f>IF(calc!$L452=1,IF(EXACT(calc!$D452,"FAC"),"",calc!H452),"")</f>
        <v/>
      </c>
      <c r="H452" s="1" t="str">
        <f>IF(calc!$L452=1,IF(EXACT(calc!$D452,"FAC"),"",calc!I452),"")</f>
        <v/>
      </c>
      <c r="I452" s="1" t="str">
        <f>IF(calc!$L452=1,calc!J452,"")</f>
        <v/>
      </c>
      <c r="J452" s="1" t="str">
        <f>IF(calc!$L452=1,calc!K452,"")</f>
        <v/>
      </c>
      <c r="K452" s="1" t="str">
        <f>IF(calc!$L452=1,calc!M452,"")</f>
        <v/>
      </c>
      <c r="L452" s="1" t="str">
        <f>IF(calc!$L452=1,calc!N452,"")</f>
        <v/>
      </c>
      <c r="M452" s="1" t="str">
        <f>IF(calc!$L452=1,calc!O452,"")</f>
        <v/>
      </c>
      <c r="N452" s="1" t="str">
        <f>IF(calc!$L452=1,calc!P452,"")</f>
        <v/>
      </c>
      <c r="O452">
        <f>'Entry data'!C$1</f>
        <v>20064</v>
      </c>
      <c r="P452" t="str">
        <f>'Entry data'!C$2</f>
        <v>NSH</v>
      </c>
      <c r="Q452" t="str">
        <f>'Entry data'!C$3</f>
        <v>Home</v>
      </c>
    </row>
    <row r="453" spans="1:17" x14ac:dyDescent="0.25">
      <c r="A453" s="1" t="str">
        <f>IF(calc!$L453=1,calc!B453,"")</f>
        <v/>
      </c>
      <c r="B453" s="5" t="str">
        <f>IF(calc!$L453=1,calc!C453,"")</f>
        <v/>
      </c>
      <c r="C453" s="1" t="str">
        <f>IF(calc!$L453=1,calc!D453,"")</f>
        <v/>
      </c>
      <c r="D453" s="1" t="str">
        <f>IF(calc!$L453=1,calc!E453,"")</f>
        <v/>
      </c>
      <c r="E453" s="1" t="str">
        <f>IF(calc!$L453=1,IF(EXACT(calc!$D453,"FAC"),"",calc!F453),"")</f>
        <v/>
      </c>
      <c r="F453" s="1" t="str">
        <f>IF(calc!$L453=1,IF(EXACT(calc!$D453,"FAC"),"",calc!G453),"")</f>
        <v/>
      </c>
      <c r="G453" s="1" t="str">
        <f>IF(calc!$L453=1,IF(EXACT(calc!$D453,"FAC"),"",calc!H453),"")</f>
        <v/>
      </c>
      <c r="H453" s="1" t="str">
        <f>IF(calc!$L453=1,IF(EXACT(calc!$D453,"FAC"),"",calc!I453),"")</f>
        <v/>
      </c>
      <c r="I453" s="1" t="str">
        <f>IF(calc!$L453=1,calc!J453,"")</f>
        <v/>
      </c>
      <c r="J453" s="1" t="str">
        <f>IF(calc!$L453=1,calc!K453,"")</f>
        <v/>
      </c>
      <c r="K453" s="1" t="str">
        <f>IF(calc!$L453=1,calc!M453,"")</f>
        <v/>
      </c>
      <c r="L453" s="1" t="str">
        <f>IF(calc!$L453=1,calc!N453,"")</f>
        <v/>
      </c>
      <c r="M453" s="1" t="str">
        <f>IF(calc!$L453=1,calc!O453,"")</f>
        <v/>
      </c>
      <c r="N453" s="1" t="str">
        <f>IF(calc!$L453=1,calc!P453,"")</f>
        <v/>
      </c>
      <c r="O453">
        <f>'Entry data'!C$1</f>
        <v>20064</v>
      </c>
      <c r="P453" t="str">
        <f>'Entry data'!C$2</f>
        <v>NSH</v>
      </c>
      <c r="Q453" t="str">
        <f>'Entry data'!C$3</f>
        <v>Home</v>
      </c>
    </row>
    <row r="454" spans="1:17" x14ac:dyDescent="0.25">
      <c r="A454" s="1" t="str">
        <f>IF(calc!$L454=1,calc!B454,"")</f>
        <v/>
      </c>
      <c r="B454" s="5" t="str">
        <f>IF(calc!$L454=1,calc!C454,"")</f>
        <v/>
      </c>
      <c r="C454" s="1" t="str">
        <f>IF(calc!$L454=1,calc!D454,"")</f>
        <v/>
      </c>
      <c r="D454" s="1" t="str">
        <f>IF(calc!$L454=1,calc!E454,"")</f>
        <v/>
      </c>
      <c r="E454" s="1" t="str">
        <f>IF(calc!$L454=1,IF(EXACT(calc!$D454,"FAC"),"",calc!F454),"")</f>
        <v/>
      </c>
      <c r="F454" s="1" t="str">
        <f>IF(calc!$L454=1,IF(EXACT(calc!$D454,"FAC"),"",calc!G454),"")</f>
        <v/>
      </c>
      <c r="G454" s="1" t="str">
        <f>IF(calc!$L454=1,IF(EXACT(calc!$D454,"FAC"),"",calc!H454),"")</f>
        <v/>
      </c>
      <c r="H454" s="1" t="str">
        <f>IF(calc!$L454=1,IF(EXACT(calc!$D454,"FAC"),"",calc!I454),"")</f>
        <v/>
      </c>
      <c r="I454" s="1" t="str">
        <f>IF(calc!$L454=1,calc!J454,"")</f>
        <v/>
      </c>
      <c r="J454" s="1" t="str">
        <f>IF(calc!$L454=1,calc!K454,"")</f>
        <v/>
      </c>
      <c r="K454" s="1" t="str">
        <f>IF(calc!$L454=1,calc!M454,"")</f>
        <v/>
      </c>
      <c r="L454" s="1" t="str">
        <f>IF(calc!$L454=1,calc!N454,"")</f>
        <v/>
      </c>
      <c r="M454" s="1" t="str">
        <f>IF(calc!$L454=1,calc!O454,"")</f>
        <v/>
      </c>
      <c r="N454" s="1" t="str">
        <f>IF(calc!$L454=1,calc!P454,"")</f>
        <v/>
      </c>
      <c r="O454">
        <f>'Entry data'!C$1</f>
        <v>20064</v>
      </c>
      <c r="P454" t="str">
        <f>'Entry data'!C$2</f>
        <v>NSH</v>
      </c>
      <c r="Q454" t="str">
        <f>'Entry data'!C$3</f>
        <v>Home</v>
      </c>
    </row>
    <row r="455" spans="1:17" x14ac:dyDescent="0.25">
      <c r="A455" s="1" t="str">
        <f>IF(calc!$L455=1,calc!B455,"")</f>
        <v/>
      </c>
      <c r="B455" s="5" t="str">
        <f>IF(calc!$L455=1,calc!C455,"")</f>
        <v/>
      </c>
      <c r="C455" s="1" t="str">
        <f>IF(calc!$L455=1,calc!D455,"")</f>
        <v/>
      </c>
      <c r="D455" s="1" t="str">
        <f>IF(calc!$L455=1,calc!E455,"")</f>
        <v/>
      </c>
      <c r="E455" s="1" t="str">
        <f>IF(calc!$L455=1,IF(EXACT(calc!$D455,"FAC"),"",calc!F455),"")</f>
        <v/>
      </c>
      <c r="F455" s="1" t="str">
        <f>IF(calc!$L455=1,IF(EXACT(calc!$D455,"FAC"),"",calc!G455),"")</f>
        <v/>
      </c>
      <c r="G455" s="1" t="str">
        <f>IF(calc!$L455=1,IF(EXACT(calc!$D455,"FAC"),"",calc!H455),"")</f>
        <v/>
      </c>
      <c r="H455" s="1" t="str">
        <f>IF(calc!$L455=1,IF(EXACT(calc!$D455,"FAC"),"",calc!I455),"")</f>
        <v/>
      </c>
      <c r="I455" s="1" t="str">
        <f>IF(calc!$L455=1,calc!J455,"")</f>
        <v/>
      </c>
      <c r="J455" s="1" t="str">
        <f>IF(calc!$L455=1,calc!K455,"")</f>
        <v/>
      </c>
      <c r="K455" s="1" t="str">
        <f>IF(calc!$L455=1,calc!M455,"")</f>
        <v/>
      </c>
      <c r="L455" s="1" t="str">
        <f>IF(calc!$L455=1,calc!N455,"")</f>
        <v/>
      </c>
      <c r="M455" s="1" t="str">
        <f>IF(calc!$L455=1,calc!O455,"")</f>
        <v/>
      </c>
      <c r="N455" s="1" t="str">
        <f>IF(calc!$L455=1,calc!P455,"")</f>
        <v/>
      </c>
      <c r="O455">
        <f>'Entry data'!C$1</f>
        <v>20064</v>
      </c>
      <c r="P455" t="str">
        <f>'Entry data'!C$2</f>
        <v>NSH</v>
      </c>
      <c r="Q455" t="str">
        <f>'Entry data'!C$3</f>
        <v>Home</v>
      </c>
    </row>
    <row r="456" spans="1:17" x14ac:dyDescent="0.25">
      <c r="A456" s="1" t="str">
        <f>IF(calc!$L456=1,calc!B456,"")</f>
        <v/>
      </c>
      <c r="B456" s="5" t="str">
        <f>IF(calc!$L456=1,calc!C456,"")</f>
        <v/>
      </c>
      <c r="C456" s="1" t="str">
        <f>IF(calc!$L456=1,calc!D456,"")</f>
        <v/>
      </c>
      <c r="D456" s="1" t="str">
        <f>IF(calc!$L456=1,calc!E456,"")</f>
        <v/>
      </c>
      <c r="E456" s="1" t="str">
        <f>IF(calc!$L456=1,IF(EXACT(calc!$D456,"FAC"),"",calc!F456),"")</f>
        <v/>
      </c>
      <c r="F456" s="1" t="str">
        <f>IF(calc!$L456=1,IF(EXACT(calc!$D456,"FAC"),"",calc!G456),"")</f>
        <v/>
      </c>
      <c r="G456" s="1" t="str">
        <f>IF(calc!$L456=1,IF(EXACT(calc!$D456,"FAC"),"",calc!H456),"")</f>
        <v/>
      </c>
      <c r="H456" s="1" t="str">
        <f>IF(calc!$L456=1,IF(EXACT(calc!$D456,"FAC"),"",calc!I456),"")</f>
        <v/>
      </c>
      <c r="I456" s="1" t="str">
        <f>IF(calc!$L456=1,calc!J456,"")</f>
        <v/>
      </c>
      <c r="J456" s="1" t="str">
        <f>IF(calc!$L456=1,calc!K456,"")</f>
        <v/>
      </c>
      <c r="K456" s="1" t="str">
        <f>IF(calc!$L456=1,calc!M456,"")</f>
        <v/>
      </c>
      <c r="L456" s="1" t="str">
        <f>IF(calc!$L456=1,calc!N456,"")</f>
        <v/>
      </c>
      <c r="M456" s="1" t="str">
        <f>IF(calc!$L456=1,calc!O456,"")</f>
        <v/>
      </c>
      <c r="N456" s="1" t="str">
        <f>IF(calc!$L456=1,calc!P456,"")</f>
        <v/>
      </c>
      <c r="O456">
        <f>'Entry data'!C$1</f>
        <v>20064</v>
      </c>
      <c r="P456" t="str">
        <f>'Entry data'!C$2</f>
        <v>NSH</v>
      </c>
      <c r="Q456" t="str">
        <f>'Entry data'!C$3</f>
        <v>Home</v>
      </c>
    </row>
    <row r="457" spans="1:17" x14ac:dyDescent="0.25">
      <c r="A457" s="1" t="str">
        <f>IF(calc!$L457=1,calc!B457,"")</f>
        <v/>
      </c>
      <c r="B457" s="5" t="str">
        <f>IF(calc!$L457=1,calc!C457,"")</f>
        <v/>
      </c>
      <c r="C457" s="1" t="str">
        <f>IF(calc!$L457=1,calc!D457,"")</f>
        <v/>
      </c>
      <c r="D457" s="1" t="str">
        <f>IF(calc!$L457=1,calc!E457,"")</f>
        <v/>
      </c>
      <c r="E457" s="1" t="str">
        <f>IF(calc!$L457=1,IF(EXACT(calc!$D457,"FAC"),"",calc!F457),"")</f>
        <v/>
      </c>
      <c r="F457" s="1" t="str">
        <f>IF(calc!$L457=1,IF(EXACT(calc!$D457,"FAC"),"",calc!G457),"")</f>
        <v/>
      </c>
      <c r="G457" s="1" t="str">
        <f>IF(calc!$L457=1,IF(EXACT(calc!$D457,"FAC"),"",calc!H457),"")</f>
        <v/>
      </c>
      <c r="H457" s="1" t="str">
        <f>IF(calc!$L457=1,IF(EXACT(calc!$D457,"FAC"),"",calc!I457),"")</f>
        <v/>
      </c>
      <c r="I457" s="1" t="str">
        <f>IF(calc!$L457=1,calc!J457,"")</f>
        <v/>
      </c>
      <c r="J457" s="1" t="str">
        <f>IF(calc!$L457=1,calc!K457,"")</f>
        <v/>
      </c>
      <c r="K457" s="1" t="str">
        <f>IF(calc!$L457=1,calc!M457,"")</f>
        <v/>
      </c>
      <c r="L457" s="1" t="str">
        <f>IF(calc!$L457=1,calc!N457,"")</f>
        <v/>
      </c>
      <c r="M457" s="1" t="str">
        <f>IF(calc!$L457=1,calc!O457,"")</f>
        <v/>
      </c>
      <c r="N457" s="1" t="str">
        <f>IF(calc!$L457=1,calc!P457,"")</f>
        <v/>
      </c>
      <c r="O457">
        <f>'Entry data'!C$1</f>
        <v>20064</v>
      </c>
      <c r="P457" t="str">
        <f>'Entry data'!C$2</f>
        <v>NSH</v>
      </c>
      <c r="Q457" t="str">
        <f>'Entry data'!C$3</f>
        <v>Home</v>
      </c>
    </row>
    <row r="458" spans="1:17" x14ac:dyDescent="0.25">
      <c r="A458" s="1" t="str">
        <f>IF(calc!$L458=1,calc!B458,"")</f>
        <v/>
      </c>
      <c r="B458" s="5" t="str">
        <f>IF(calc!$L458=1,calc!C458,"")</f>
        <v/>
      </c>
      <c r="C458" s="1" t="str">
        <f>IF(calc!$L458=1,calc!D458,"")</f>
        <v/>
      </c>
      <c r="D458" s="1" t="str">
        <f>IF(calc!$L458=1,calc!E458,"")</f>
        <v/>
      </c>
      <c r="E458" s="1" t="str">
        <f>IF(calc!$L458=1,IF(EXACT(calc!$D458,"FAC"),"",calc!F458),"")</f>
        <v/>
      </c>
      <c r="F458" s="1" t="str">
        <f>IF(calc!$L458=1,IF(EXACT(calc!$D458,"FAC"),"",calc!G458),"")</f>
        <v/>
      </c>
      <c r="G458" s="1" t="str">
        <f>IF(calc!$L458=1,IF(EXACT(calc!$D458,"FAC"),"",calc!H458),"")</f>
        <v/>
      </c>
      <c r="H458" s="1" t="str">
        <f>IF(calc!$L458=1,IF(EXACT(calc!$D458,"FAC"),"",calc!I458),"")</f>
        <v/>
      </c>
      <c r="I458" s="1" t="str">
        <f>IF(calc!$L458=1,calc!J458,"")</f>
        <v/>
      </c>
      <c r="J458" s="1" t="str">
        <f>IF(calc!$L458=1,calc!K458,"")</f>
        <v/>
      </c>
      <c r="K458" s="1" t="str">
        <f>IF(calc!$L458=1,calc!M458,"")</f>
        <v/>
      </c>
      <c r="L458" s="1" t="str">
        <f>IF(calc!$L458=1,calc!N458,"")</f>
        <v/>
      </c>
      <c r="M458" s="1" t="str">
        <f>IF(calc!$L458=1,calc!O458,"")</f>
        <v/>
      </c>
      <c r="N458" s="1" t="str">
        <f>IF(calc!$L458=1,calc!P458,"")</f>
        <v/>
      </c>
      <c r="O458">
        <f>'Entry data'!C$1</f>
        <v>20064</v>
      </c>
      <c r="P458" t="str">
        <f>'Entry data'!C$2</f>
        <v>NSH</v>
      </c>
      <c r="Q458" t="str">
        <f>'Entry data'!C$3</f>
        <v>Home</v>
      </c>
    </row>
    <row r="459" spans="1:17" x14ac:dyDescent="0.25">
      <c r="A459" s="1" t="str">
        <f>IF(calc!$L459=1,calc!B459,"")</f>
        <v/>
      </c>
      <c r="B459" s="5" t="str">
        <f>IF(calc!$L459=1,calc!C459,"")</f>
        <v/>
      </c>
      <c r="C459" s="1" t="str">
        <f>IF(calc!$L459=1,calc!D459,"")</f>
        <v/>
      </c>
      <c r="D459" s="1" t="str">
        <f>IF(calc!$L459=1,calc!E459,"")</f>
        <v/>
      </c>
      <c r="E459" s="1" t="str">
        <f>IF(calc!$L459=1,IF(EXACT(calc!$D459,"FAC"),"",calc!F459),"")</f>
        <v/>
      </c>
      <c r="F459" s="1" t="str">
        <f>IF(calc!$L459=1,IF(EXACT(calc!$D459,"FAC"),"",calc!G459),"")</f>
        <v/>
      </c>
      <c r="G459" s="1" t="str">
        <f>IF(calc!$L459=1,IF(EXACT(calc!$D459,"FAC"),"",calc!H459),"")</f>
        <v/>
      </c>
      <c r="H459" s="1" t="str">
        <f>IF(calc!$L459=1,IF(EXACT(calc!$D459,"FAC"),"",calc!I459),"")</f>
        <v/>
      </c>
      <c r="I459" s="1" t="str">
        <f>IF(calc!$L459=1,calc!J459,"")</f>
        <v/>
      </c>
      <c r="J459" s="1" t="str">
        <f>IF(calc!$L459=1,calc!K459,"")</f>
        <v/>
      </c>
      <c r="K459" s="1" t="str">
        <f>IF(calc!$L459=1,calc!M459,"")</f>
        <v/>
      </c>
      <c r="L459" s="1" t="str">
        <f>IF(calc!$L459=1,calc!N459,"")</f>
        <v/>
      </c>
      <c r="M459" s="1" t="str">
        <f>IF(calc!$L459=1,calc!O459,"")</f>
        <v/>
      </c>
      <c r="N459" s="1" t="str">
        <f>IF(calc!$L459=1,calc!P459,"")</f>
        <v/>
      </c>
      <c r="O459">
        <f>'Entry data'!C$1</f>
        <v>20064</v>
      </c>
      <c r="P459" t="str">
        <f>'Entry data'!C$2</f>
        <v>NSH</v>
      </c>
      <c r="Q459" t="str">
        <f>'Entry data'!C$3</f>
        <v>Home</v>
      </c>
    </row>
    <row r="460" spans="1:17" x14ac:dyDescent="0.25">
      <c r="A460" s="1" t="str">
        <f>IF(calc!$L460=1,calc!B460,"")</f>
        <v/>
      </c>
      <c r="B460" s="5" t="str">
        <f>IF(calc!$L460=1,calc!C460,"")</f>
        <v/>
      </c>
      <c r="C460" s="1" t="str">
        <f>IF(calc!$L460=1,calc!D460,"")</f>
        <v/>
      </c>
      <c r="D460" s="1" t="str">
        <f>IF(calc!$L460=1,calc!E460,"")</f>
        <v/>
      </c>
      <c r="E460" s="1" t="str">
        <f>IF(calc!$L460=1,IF(EXACT(calc!$D460,"FAC"),"",calc!F460),"")</f>
        <v/>
      </c>
      <c r="F460" s="1" t="str">
        <f>IF(calc!$L460=1,IF(EXACT(calc!$D460,"FAC"),"",calc!G460),"")</f>
        <v/>
      </c>
      <c r="G460" s="1" t="str">
        <f>IF(calc!$L460=1,IF(EXACT(calc!$D460,"FAC"),"",calc!H460),"")</f>
        <v/>
      </c>
      <c r="H460" s="1" t="str">
        <f>IF(calc!$L460=1,IF(EXACT(calc!$D460,"FAC"),"",calc!I460),"")</f>
        <v/>
      </c>
      <c r="I460" s="1" t="str">
        <f>IF(calc!$L460=1,calc!J460,"")</f>
        <v/>
      </c>
      <c r="J460" s="1" t="str">
        <f>IF(calc!$L460=1,calc!K460,"")</f>
        <v/>
      </c>
      <c r="K460" s="1" t="str">
        <f>IF(calc!$L460=1,calc!M460,"")</f>
        <v/>
      </c>
      <c r="L460" s="1" t="str">
        <f>IF(calc!$L460=1,calc!N460,"")</f>
        <v/>
      </c>
      <c r="M460" s="1" t="str">
        <f>IF(calc!$L460=1,calc!O460,"")</f>
        <v/>
      </c>
      <c r="N460" s="1" t="str">
        <f>IF(calc!$L460=1,calc!P460,"")</f>
        <v/>
      </c>
      <c r="O460">
        <f>'Entry data'!C$1</f>
        <v>20064</v>
      </c>
      <c r="P460" t="str">
        <f>'Entry data'!C$2</f>
        <v>NSH</v>
      </c>
      <c r="Q460" t="str">
        <f>'Entry data'!C$3</f>
        <v>Home</v>
      </c>
    </row>
    <row r="461" spans="1:17" x14ac:dyDescent="0.25">
      <c r="A461" s="1" t="str">
        <f>IF(calc!$L461=1,calc!B461,"")</f>
        <v/>
      </c>
      <c r="B461" s="5" t="str">
        <f>IF(calc!$L461=1,calc!C461,"")</f>
        <v/>
      </c>
      <c r="C461" s="1" t="str">
        <f>IF(calc!$L461=1,calc!D461,"")</f>
        <v/>
      </c>
      <c r="D461" s="1" t="str">
        <f>IF(calc!$L461=1,calc!E461,"")</f>
        <v/>
      </c>
      <c r="E461" s="1" t="str">
        <f>IF(calc!$L461=1,IF(EXACT(calc!$D461,"FAC"),"",calc!F461),"")</f>
        <v/>
      </c>
      <c r="F461" s="1" t="str">
        <f>IF(calc!$L461=1,IF(EXACT(calc!$D461,"FAC"),"",calc!G461),"")</f>
        <v/>
      </c>
      <c r="G461" s="1" t="str">
        <f>IF(calc!$L461=1,IF(EXACT(calc!$D461,"FAC"),"",calc!H461),"")</f>
        <v/>
      </c>
      <c r="H461" s="1" t="str">
        <f>IF(calc!$L461=1,IF(EXACT(calc!$D461,"FAC"),"",calc!I461),"")</f>
        <v/>
      </c>
      <c r="I461" s="1" t="str">
        <f>IF(calc!$L461=1,calc!J461,"")</f>
        <v/>
      </c>
      <c r="J461" s="1" t="str">
        <f>IF(calc!$L461=1,calc!K461,"")</f>
        <v/>
      </c>
      <c r="K461" s="1" t="str">
        <f>IF(calc!$L461=1,calc!M461,"")</f>
        <v/>
      </c>
      <c r="L461" s="1" t="str">
        <f>IF(calc!$L461=1,calc!N461,"")</f>
        <v/>
      </c>
      <c r="M461" s="1" t="str">
        <f>IF(calc!$L461=1,calc!O461,"")</f>
        <v/>
      </c>
      <c r="N461" s="1" t="str">
        <f>IF(calc!$L461=1,calc!P461,"")</f>
        <v/>
      </c>
      <c r="O461">
        <f>'Entry data'!C$1</f>
        <v>20064</v>
      </c>
      <c r="P461" t="str">
        <f>'Entry data'!C$2</f>
        <v>NSH</v>
      </c>
      <c r="Q461" t="str">
        <f>'Entry data'!C$3</f>
        <v>Home</v>
      </c>
    </row>
    <row r="462" spans="1:17" x14ac:dyDescent="0.25">
      <c r="A462" s="1" t="str">
        <f>IF(calc!$L462=1,calc!B462,"")</f>
        <v/>
      </c>
      <c r="B462" s="5" t="str">
        <f>IF(calc!$L462=1,calc!C462,"")</f>
        <v/>
      </c>
      <c r="C462" s="1" t="str">
        <f>IF(calc!$L462=1,calc!D462,"")</f>
        <v/>
      </c>
      <c r="D462" s="1" t="str">
        <f>IF(calc!$L462=1,calc!E462,"")</f>
        <v/>
      </c>
      <c r="E462" s="1" t="str">
        <f>IF(calc!$L462=1,IF(EXACT(calc!$D462,"FAC"),"",calc!F462),"")</f>
        <v/>
      </c>
      <c r="F462" s="1" t="str">
        <f>IF(calc!$L462=1,IF(EXACT(calc!$D462,"FAC"),"",calc!G462),"")</f>
        <v/>
      </c>
      <c r="G462" s="1" t="str">
        <f>IF(calc!$L462=1,IF(EXACT(calc!$D462,"FAC"),"",calc!H462),"")</f>
        <v/>
      </c>
      <c r="H462" s="1" t="str">
        <f>IF(calc!$L462=1,IF(EXACT(calc!$D462,"FAC"),"",calc!I462),"")</f>
        <v/>
      </c>
      <c r="I462" s="1" t="str">
        <f>IF(calc!$L462=1,calc!J462,"")</f>
        <v/>
      </c>
      <c r="J462" s="1" t="str">
        <f>IF(calc!$L462=1,calc!K462,"")</f>
        <v/>
      </c>
      <c r="K462" s="1" t="str">
        <f>IF(calc!$L462=1,calc!M462,"")</f>
        <v/>
      </c>
      <c r="L462" s="1" t="str">
        <f>IF(calc!$L462=1,calc!N462,"")</f>
        <v/>
      </c>
      <c r="M462" s="1" t="str">
        <f>IF(calc!$L462=1,calc!O462,"")</f>
        <v/>
      </c>
      <c r="N462" s="1" t="str">
        <f>IF(calc!$L462=1,calc!P462,"")</f>
        <v/>
      </c>
      <c r="O462">
        <f>'Entry data'!C$1</f>
        <v>20064</v>
      </c>
      <c r="P462" t="str">
        <f>'Entry data'!C$2</f>
        <v>NSH</v>
      </c>
      <c r="Q462" t="str">
        <f>'Entry data'!C$3</f>
        <v>Home</v>
      </c>
    </row>
    <row r="463" spans="1:17" x14ac:dyDescent="0.25">
      <c r="A463" s="1" t="str">
        <f>IF(calc!$L463=1,calc!B463,"")</f>
        <v/>
      </c>
      <c r="B463" s="5" t="str">
        <f>IF(calc!$L463=1,calc!C463,"")</f>
        <v/>
      </c>
      <c r="C463" s="1" t="str">
        <f>IF(calc!$L463=1,calc!D463,"")</f>
        <v/>
      </c>
      <c r="D463" s="1" t="str">
        <f>IF(calc!$L463=1,calc!E463,"")</f>
        <v/>
      </c>
      <c r="E463" s="1" t="str">
        <f>IF(calc!$L463=1,IF(EXACT(calc!$D463,"FAC"),"",calc!F463),"")</f>
        <v/>
      </c>
      <c r="F463" s="1" t="str">
        <f>IF(calc!$L463=1,IF(EXACT(calc!$D463,"FAC"),"",calc!G463),"")</f>
        <v/>
      </c>
      <c r="G463" s="1" t="str">
        <f>IF(calc!$L463=1,IF(EXACT(calc!$D463,"FAC"),"",calc!H463),"")</f>
        <v/>
      </c>
      <c r="H463" s="1" t="str">
        <f>IF(calc!$L463=1,IF(EXACT(calc!$D463,"FAC"),"",calc!I463),"")</f>
        <v/>
      </c>
      <c r="I463" s="1" t="str">
        <f>IF(calc!$L463=1,calc!J463,"")</f>
        <v/>
      </c>
      <c r="J463" s="1" t="str">
        <f>IF(calc!$L463=1,calc!K463,"")</f>
        <v/>
      </c>
      <c r="K463" s="1" t="str">
        <f>IF(calc!$L463=1,calc!M463,"")</f>
        <v/>
      </c>
      <c r="L463" s="1" t="str">
        <f>IF(calc!$L463=1,calc!N463,"")</f>
        <v/>
      </c>
      <c r="M463" s="1" t="str">
        <f>IF(calc!$L463=1,calc!O463,"")</f>
        <v/>
      </c>
      <c r="N463" s="1" t="str">
        <f>IF(calc!$L463=1,calc!P463,"")</f>
        <v/>
      </c>
      <c r="O463">
        <f>'Entry data'!C$1</f>
        <v>20064</v>
      </c>
      <c r="P463" t="str">
        <f>'Entry data'!C$2</f>
        <v>NSH</v>
      </c>
      <c r="Q463" t="str">
        <f>'Entry data'!C$3</f>
        <v>Home</v>
      </c>
    </row>
    <row r="464" spans="1:17" x14ac:dyDescent="0.25">
      <c r="A464" s="1" t="str">
        <f>IF(calc!$L464=1,calc!B464,"")</f>
        <v/>
      </c>
      <c r="B464" s="5" t="str">
        <f>IF(calc!$L464=1,calc!C464,"")</f>
        <v/>
      </c>
      <c r="C464" s="1" t="str">
        <f>IF(calc!$L464=1,calc!D464,"")</f>
        <v/>
      </c>
      <c r="D464" s="1" t="str">
        <f>IF(calc!$L464=1,calc!E464,"")</f>
        <v/>
      </c>
      <c r="E464" s="1" t="str">
        <f>IF(calc!$L464=1,IF(EXACT(calc!$D464,"FAC"),"",calc!F464),"")</f>
        <v/>
      </c>
      <c r="F464" s="1" t="str">
        <f>IF(calc!$L464=1,IF(EXACT(calc!$D464,"FAC"),"",calc!G464),"")</f>
        <v/>
      </c>
      <c r="G464" s="1" t="str">
        <f>IF(calc!$L464=1,IF(EXACT(calc!$D464,"FAC"),"",calc!H464),"")</f>
        <v/>
      </c>
      <c r="H464" s="1" t="str">
        <f>IF(calc!$L464=1,IF(EXACT(calc!$D464,"FAC"),"",calc!I464),"")</f>
        <v/>
      </c>
      <c r="I464" s="1" t="str">
        <f>IF(calc!$L464=1,calc!J464,"")</f>
        <v/>
      </c>
      <c r="J464" s="1" t="str">
        <f>IF(calc!$L464=1,calc!K464,"")</f>
        <v/>
      </c>
      <c r="K464" s="1" t="str">
        <f>IF(calc!$L464=1,calc!M464,"")</f>
        <v/>
      </c>
      <c r="L464" s="1" t="str">
        <f>IF(calc!$L464=1,calc!N464,"")</f>
        <v/>
      </c>
      <c r="M464" s="1" t="str">
        <f>IF(calc!$L464=1,calc!O464,"")</f>
        <v/>
      </c>
      <c r="N464" s="1" t="str">
        <f>IF(calc!$L464=1,calc!P464,"")</f>
        <v/>
      </c>
      <c r="O464">
        <f>'Entry data'!C$1</f>
        <v>20064</v>
      </c>
      <c r="P464" t="str">
        <f>'Entry data'!C$2</f>
        <v>NSH</v>
      </c>
      <c r="Q464" t="str">
        <f>'Entry data'!C$3</f>
        <v>Home</v>
      </c>
    </row>
    <row r="465" spans="1:17" x14ac:dyDescent="0.25">
      <c r="A465" s="1" t="str">
        <f>IF(calc!$L465=1,calc!B465,"")</f>
        <v/>
      </c>
      <c r="B465" s="5" t="str">
        <f>IF(calc!$L465=1,calc!C465,"")</f>
        <v/>
      </c>
      <c r="C465" s="1" t="str">
        <f>IF(calc!$L465=1,calc!D465,"")</f>
        <v/>
      </c>
      <c r="D465" s="1" t="str">
        <f>IF(calc!$L465=1,calc!E465,"")</f>
        <v/>
      </c>
      <c r="E465" s="1" t="str">
        <f>IF(calc!$L465=1,IF(EXACT(calc!$D465,"FAC"),"",calc!F465),"")</f>
        <v/>
      </c>
      <c r="F465" s="1" t="str">
        <f>IF(calc!$L465=1,IF(EXACT(calc!$D465,"FAC"),"",calc!G465),"")</f>
        <v/>
      </c>
      <c r="G465" s="1" t="str">
        <f>IF(calc!$L465=1,IF(EXACT(calc!$D465,"FAC"),"",calc!H465),"")</f>
        <v/>
      </c>
      <c r="H465" s="1" t="str">
        <f>IF(calc!$L465=1,IF(EXACT(calc!$D465,"FAC"),"",calc!I465),"")</f>
        <v/>
      </c>
      <c r="I465" s="1" t="str">
        <f>IF(calc!$L465=1,calc!J465,"")</f>
        <v/>
      </c>
      <c r="J465" s="1" t="str">
        <f>IF(calc!$L465=1,calc!K465,"")</f>
        <v/>
      </c>
      <c r="K465" s="1" t="str">
        <f>IF(calc!$L465=1,calc!M465,"")</f>
        <v/>
      </c>
      <c r="L465" s="1" t="str">
        <f>IF(calc!$L465=1,calc!N465,"")</f>
        <v/>
      </c>
      <c r="M465" s="1" t="str">
        <f>IF(calc!$L465=1,calc!O465,"")</f>
        <v/>
      </c>
      <c r="N465" s="1" t="str">
        <f>IF(calc!$L465=1,calc!P465,"")</f>
        <v/>
      </c>
      <c r="O465">
        <f>'Entry data'!C$1</f>
        <v>20064</v>
      </c>
      <c r="P465" t="str">
        <f>'Entry data'!C$2</f>
        <v>NSH</v>
      </c>
      <c r="Q465" t="str">
        <f>'Entry data'!C$3</f>
        <v>Home</v>
      </c>
    </row>
    <row r="466" spans="1:17" x14ac:dyDescent="0.25">
      <c r="A466" s="1" t="str">
        <f>IF(calc!$L466=1,calc!B466,"")</f>
        <v/>
      </c>
      <c r="B466" s="5" t="str">
        <f>IF(calc!$L466=1,calc!C466,"")</f>
        <v/>
      </c>
      <c r="C466" s="1" t="str">
        <f>IF(calc!$L466=1,calc!D466,"")</f>
        <v/>
      </c>
      <c r="D466" s="1" t="str">
        <f>IF(calc!$L466=1,calc!E466,"")</f>
        <v/>
      </c>
      <c r="E466" s="1" t="str">
        <f>IF(calc!$L466=1,IF(EXACT(calc!$D466,"FAC"),"",calc!F466),"")</f>
        <v/>
      </c>
      <c r="F466" s="1" t="str">
        <f>IF(calc!$L466=1,IF(EXACT(calc!$D466,"FAC"),"",calc!G466),"")</f>
        <v/>
      </c>
      <c r="G466" s="1" t="str">
        <f>IF(calc!$L466=1,IF(EXACT(calc!$D466,"FAC"),"",calc!H466),"")</f>
        <v/>
      </c>
      <c r="H466" s="1" t="str">
        <f>IF(calc!$L466=1,IF(EXACT(calc!$D466,"FAC"),"",calc!I466),"")</f>
        <v/>
      </c>
      <c r="I466" s="1" t="str">
        <f>IF(calc!$L466=1,calc!J466,"")</f>
        <v/>
      </c>
      <c r="J466" s="1" t="str">
        <f>IF(calc!$L466=1,calc!K466,"")</f>
        <v/>
      </c>
      <c r="K466" s="1" t="str">
        <f>IF(calc!$L466=1,calc!M466,"")</f>
        <v/>
      </c>
      <c r="L466" s="1" t="str">
        <f>IF(calc!$L466=1,calc!N466,"")</f>
        <v/>
      </c>
      <c r="M466" s="1" t="str">
        <f>IF(calc!$L466=1,calc!O466,"")</f>
        <v/>
      </c>
      <c r="N466" s="1" t="str">
        <f>IF(calc!$L466=1,calc!P466,"")</f>
        <v/>
      </c>
      <c r="O466">
        <f>'Entry data'!C$1</f>
        <v>20064</v>
      </c>
      <c r="P466" t="str">
        <f>'Entry data'!C$2</f>
        <v>NSH</v>
      </c>
      <c r="Q466" t="str">
        <f>'Entry data'!C$3</f>
        <v>Home</v>
      </c>
    </row>
    <row r="467" spans="1:17" x14ac:dyDescent="0.25">
      <c r="A467" s="1" t="str">
        <f>IF(calc!$L467=1,calc!B467,"")</f>
        <v/>
      </c>
      <c r="B467" s="5" t="str">
        <f>IF(calc!$L467=1,calc!C467,"")</f>
        <v/>
      </c>
      <c r="C467" s="1" t="str">
        <f>IF(calc!$L467=1,calc!D467,"")</f>
        <v/>
      </c>
      <c r="D467" s="1" t="str">
        <f>IF(calc!$L467=1,calc!E467,"")</f>
        <v/>
      </c>
      <c r="E467" s="1" t="str">
        <f>IF(calc!$L467=1,IF(EXACT(calc!$D467,"FAC"),"",calc!F467),"")</f>
        <v/>
      </c>
      <c r="F467" s="1" t="str">
        <f>IF(calc!$L467=1,IF(EXACT(calc!$D467,"FAC"),"",calc!G467),"")</f>
        <v/>
      </c>
      <c r="G467" s="1" t="str">
        <f>IF(calc!$L467=1,IF(EXACT(calc!$D467,"FAC"),"",calc!H467),"")</f>
        <v/>
      </c>
      <c r="H467" s="1" t="str">
        <f>IF(calc!$L467=1,IF(EXACT(calc!$D467,"FAC"),"",calc!I467),"")</f>
        <v/>
      </c>
      <c r="I467" s="1" t="str">
        <f>IF(calc!$L467=1,calc!J467,"")</f>
        <v/>
      </c>
      <c r="J467" s="1" t="str">
        <f>IF(calc!$L467=1,calc!K467,"")</f>
        <v/>
      </c>
      <c r="K467" s="1" t="str">
        <f>IF(calc!$L467=1,calc!M467,"")</f>
        <v/>
      </c>
      <c r="L467" s="1" t="str">
        <f>IF(calc!$L467=1,calc!N467,"")</f>
        <v/>
      </c>
      <c r="M467" s="1" t="str">
        <f>IF(calc!$L467=1,calc!O467,"")</f>
        <v/>
      </c>
      <c r="N467" s="1" t="str">
        <f>IF(calc!$L467=1,calc!P467,"")</f>
        <v/>
      </c>
      <c r="O467">
        <f>'Entry data'!C$1</f>
        <v>20064</v>
      </c>
      <c r="P467" t="str">
        <f>'Entry data'!C$2</f>
        <v>NSH</v>
      </c>
      <c r="Q467" t="str">
        <f>'Entry data'!C$3</f>
        <v>Home</v>
      </c>
    </row>
    <row r="468" spans="1:17" x14ac:dyDescent="0.25">
      <c r="A468" s="1" t="str">
        <f>IF(calc!$L468=1,calc!B468,"")</f>
        <v/>
      </c>
      <c r="B468" s="5" t="str">
        <f>IF(calc!$L468=1,calc!C468,"")</f>
        <v/>
      </c>
      <c r="C468" s="1" t="str">
        <f>IF(calc!$L468=1,calc!D468,"")</f>
        <v/>
      </c>
      <c r="D468" s="1" t="str">
        <f>IF(calc!$L468=1,calc!E468,"")</f>
        <v/>
      </c>
      <c r="E468" s="1" t="str">
        <f>IF(calc!$L468=1,IF(EXACT(calc!$D468,"FAC"),"",calc!F468),"")</f>
        <v/>
      </c>
      <c r="F468" s="1" t="str">
        <f>IF(calc!$L468=1,IF(EXACT(calc!$D468,"FAC"),"",calc!G468),"")</f>
        <v/>
      </c>
      <c r="G468" s="1" t="str">
        <f>IF(calc!$L468=1,IF(EXACT(calc!$D468,"FAC"),"",calc!H468),"")</f>
        <v/>
      </c>
      <c r="H468" s="1" t="str">
        <f>IF(calc!$L468=1,IF(EXACT(calc!$D468,"FAC"),"",calc!I468),"")</f>
        <v/>
      </c>
      <c r="I468" s="1" t="str">
        <f>IF(calc!$L468=1,calc!J468,"")</f>
        <v/>
      </c>
      <c r="J468" s="1" t="str">
        <f>IF(calc!$L468=1,calc!K468,"")</f>
        <v/>
      </c>
      <c r="K468" s="1" t="str">
        <f>IF(calc!$L468=1,calc!M468,"")</f>
        <v/>
      </c>
      <c r="L468" s="1" t="str">
        <f>IF(calc!$L468=1,calc!N468,"")</f>
        <v/>
      </c>
      <c r="M468" s="1" t="str">
        <f>IF(calc!$L468=1,calc!O468,"")</f>
        <v/>
      </c>
      <c r="N468" s="1" t="str">
        <f>IF(calc!$L468=1,calc!P468,"")</f>
        <v/>
      </c>
      <c r="O468">
        <f>'Entry data'!C$1</f>
        <v>20064</v>
      </c>
      <c r="P468" t="str">
        <f>'Entry data'!C$2</f>
        <v>NSH</v>
      </c>
      <c r="Q468" t="str">
        <f>'Entry data'!C$3</f>
        <v>Home</v>
      </c>
    </row>
    <row r="469" spans="1:17" x14ac:dyDescent="0.25">
      <c r="A469" s="1" t="str">
        <f>IF(calc!$L469=1,calc!B469,"")</f>
        <v/>
      </c>
      <c r="B469" s="5" t="str">
        <f>IF(calc!$L469=1,calc!C469,"")</f>
        <v/>
      </c>
      <c r="C469" s="1" t="str">
        <f>IF(calc!$L469=1,calc!D469,"")</f>
        <v/>
      </c>
      <c r="D469" s="1" t="str">
        <f>IF(calc!$L469=1,calc!E469,"")</f>
        <v/>
      </c>
      <c r="E469" s="1" t="str">
        <f>IF(calc!$L469=1,IF(EXACT(calc!$D469,"FAC"),"",calc!F469),"")</f>
        <v/>
      </c>
      <c r="F469" s="1" t="str">
        <f>IF(calc!$L469=1,IF(EXACT(calc!$D469,"FAC"),"",calc!G469),"")</f>
        <v/>
      </c>
      <c r="G469" s="1" t="str">
        <f>IF(calc!$L469=1,IF(EXACT(calc!$D469,"FAC"),"",calc!H469),"")</f>
        <v/>
      </c>
      <c r="H469" s="1" t="str">
        <f>IF(calc!$L469=1,IF(EXACT(calc!$D469,"FAC"),"",calc!I469),"")</f>
        <v/>
      </c>
      <c r="I469" s="1" t="str">
        <f>IF(calc!$L469=1,calc!J469,"")</f>
        <v/>
      </c>
      <c r="J469" s="1" t="str">
        <f>IF(calc!$L469=1,calc!K469,"")</f>
        <v/>
      </c>
      <c r="K469" s="1" t="str">
        <f>IF(calc!$L469=1,calc!M469,"")</f>
        <v/>
      </c>
      <c r="L469" s="1" t="str">
        <f>IF(calc!$L469=1,calc!N469,"")</f>
        <v/>
      </c>
      <c r="M469" s="1" t="str">
        <f>IF(calc!$L469=1,calc!O469,"")</f>
        <v/>
      </c>
      <c r="N469" s="1" t="str">
        <f>IF(calc!$L469=1,calc!P469,"")</f>
        <v/>
      </c>
      <c r="O469">
        <f>'Entry data'!C$1</f>
        <v>20064</v>
      </c>
      <c r="P469" t="str">
        <f>'Entry data'!C$2</f>
        <v>NSH</v>
      </c>
      <c r="Q469" t="str">
        <f>'Entry data'!C$3</f>
        <v>Home</v>
      </c>
    </row>
    <row r="470" spans="1:17" x14ac:dyDescent="0.25">
      <c r="A470" s="1" t="str">
        <f>IF(calc!$L470=1,calc!B470,"")</f>
        <v/>
      </c>
      <c r="B470" s="5" t="str">
        <f>IF(calc!$L470=1,calc!C470,"")</f>
        <v/>
      </c>
      <c r="C470" s="1" t="str">
        <f>IF(calc!$L470=1,calc!D470,"")</f>
        <v/>
      </c>
      <c r="D470" s="1" t="str">
        <f>IF(calc!$L470=1,calc!E470,"")</f>
        <v/>
      </c>
      <c r="E470" s="1" t="str">
        <f>IF(calc!$L470=1,IF(EXACT(calc!$D470,"FAC"),"",calc!F470),"")</f>
        <v/>
      </c>
      <c r="F470" s="1" t="str">
        <f>IF(calc!$L470=1,IF(EXACT(calc!$D470,"FAC"),"",calc!G470),"")</f>
        <v/>
      </c>
      <c r="G470" s="1" t="str">
        <f>IF(calc!$L470=1,IF(EXACT(calc!$D470,"FAC"),"",calc!H470),"")</f>
        <v/>
      </c>
      <c r="H470" s="1" t="str">
        <f>IF(calc!$L470=1,IF(EXACT(calc!$D470,"FAC"),"",calc!I470),"")</f>
        <v/>
      </c>
      <c r="I470" s="1" t="str">
        <f>IF(calc!$L470=1,calc!J470,"")</f>
        <v/>
      </c>
      <c r="J470" s="1" t="str">
        <f>IF(calc!$L470=1,calc!K470,"")</f>
        <v/>
      </c>
      <c r="K470" s="1" t="str">
        <f>IF(calc!$L470=1,calc!M470,"")</f>
        <v/>
      </c>
      <c r="L470" s="1" t="str">
        <f>IF(calc!$L470=1,calc!N470,"")</f>
        <v/>
      </c>
      <c r="M470" s="1" t="str">
        <f>IF(calc!$L470=1,calc!O470,"")</f>
        <v/>
      </c>
      <c r="N470" s="1" t="str">
        <f>IF(calc!$L470=1,calc!P470,"")</f>
        <v/>
      </c>
      <c r="O470">
        <f>'Entry data'!C$1</f>
        <v>20064</v>
      </c>
      <c r="P470" t="str">
        <f>'Entry data'!C$2</f>
        <v>NSH</v>
      </c>
      <c r="Q470" t="str">
        <f>'Entry data'!C$3</f>
        <v>Home</v>
      </c>
    </row>
    <row r="471" spans="1:17" x14ac:dyDescent="0.25">
      <c r="A471" s="1" t="str">
        <f>IF(calc!$L471=1,calc!B471,"")</f>
        <v/>
      </c>
      <c r="B471" s="5" t="str">
        <f>IF(calc!$L471=1,calc!C471,"")</f>
        <v/>
      </c>
      <c r="C471" s="1" t="str">
        <f>IF(calc!$L471=1,calc!D471,"")</f>
        <v/>
      </c>
      <c r="D471" s="1" t="str">
        <f>IF(calc!$L471=1,calc!E471,"")</f>
        <v/>
      </c>
      <c r="E471" s="1" t="str">
        <f>IF(calc!$L471=1,IF(EXACT(calc!$D471,"FAC"),"",calc!F471),"")</f>
        <v/>
      </c>
      <c r="F471" s="1" t="str">
        <f>IF(calc!$L471=1,IF(EXACT(calc!$D471,"FAC"),"",calc!G471),"")</f>
        <v/>
      </c>
      <c r="G471" s="1" t="str">
        <f>IF(calc!$L471=1,IF(EXACT(calc!$D471,"FAC"),"",calc!H471),"")</f>
        <v/>
      </c>
      <c r="H471" s="1" t="str">
        <f>IF(calc!$L471=1,IF(EXACT(calc!$D471,"FAC"),"",calc!I471),"")</f>
        <v/>
      </c>
      <c r="I471" s="1" t="str">
        <f>IF(calc!$L471=1,calc!J471,"")</f>
        <v/>
      </c>
      <c r="J471" s="1" t="str">
        <f>IF(calc!$L471=1,calc!K471,"")</f>
        <v/>
      </c>
      <c r="K471" s="1" t="str">
        <f>IF(calc!$L471=1,calc!M471,"")</f>
        <v/>
      </c>
      <c r="L471" s="1" t="str">
        <f>IF(calc!$L471=1,calc!N471,"")</f>
        <v/>
      </c>
      <c r="M471" s="1" t="str">
        <f>IF(calc!$L471=1,calc!O471,"")</f>
        <v/>
      </c>
      <c r="N471" s="1" t="str">
        <f>IF(calc!$L471=1,calc!P471,"")</f>
        <v/>
      </c>
      <c r="O471">
        <f>'Entry data'!C$1</f>
        <v>20064</v>
      </c>
      <c r="P471" t="str">
        <f>'Entry data'!C$2</f>
        <v>NSH</v>
      </c>
      <c r="Q471" t="str">
        <f>'Entry data'!C$3</f>
        <v>Home</v>
      </c>
    </row>
    <row r="472" spans="1:17" x14ac:dyDescent="0.25">
      <c r="A472" s="1" t="str">
        <f>IF(calc!$L472=1,calc!B472,"")</f>
        <v/>
      </c>
      <c r="B472" s="5" t="str">
        <f>IF(calc!$L472=1,calc!C472,"")</f>
        <v/>
      </c>
      <c r="C472" s="1" t="str">
        <f>IF(calc!$L472=1,calc!D472,"")</f>
        <v/>
      </c>
      <c r="D472" s="1" t="str">
        <f>IF(calc!$L472=1,calc!E472,"")</f>
        <v/>
      </c>
      <c r="E472" s="1" t="str">
        <f>IF(calc!$L472=1,IF(EXACT(calc!$D472,"FAC"),"",calc!F472),"")</f>
        <v/>
      </c>
      <c r="F472" s="1" t="str">
        <f>IF(calc!$L472=1,IF(EXACT(calc!$D472,"FAC"),"",calc!G472),"")</f>
        <v/>
      </c>
      <c r="G472" s="1" t="str">
        <f>IF(calc!$L472=1,IF(EXACT(calc!$D472,"FAC"),"",calc!H472),"")</f>
        <v/>
      </c>
      <c r="H472" s="1" t="str">
        <f>IF(calc!$L472=1,IF(EXACT(calc!$D472,"FAC"),"",calc!I472),"")</f>
        <v/>
      </c>
      <c r="I472" s="1" t="str">
        <f>IF(calc!$L472=1,calc!J472,"")</f>
        <v/>
      </c>
      <c r="J472" s="1" t="str">
        <f>IF(calc!$L472=1,calc!K472,"")</f>
        <v/>
      </c>
      <c r="K472" s="1" t="str">
        <f>IF(calc!$L472=1,calc!M472,"")</f>
        <v/>
      </c>
      <c r="L472" s="1" t="str">
        <f>IF(calc!$L472=1,calc!N472,"")</f>
        <v/>
      </c>
      <c r="M472" s="1" t="str">
        <f>IF(calc!$L472=1,calc!O472,"")</f>
        <v/>
      </c>
      <c r="N472" s="1" t="str">
        <f>IF(calc!$L472=1,calc!P472,"")</f>
        <v/>
      </c>
      <c r="O472">
        <f>'Entry data'!C$1</f>
        <v>20064</v>
      </c>
      <c r="P472" t="str">
        <f>'Entry data'!C$2</f>
        <v>NSH</v>
      </c>
      <c r="Q472" t="str">
        <f>'Entry data'!C$3</f>
        <v>Home</v>
      </c>
    </row>
    <row r="473" spans="1:17" x14ac:dyDescent="0.25">
      <c r="A473" s="1" t="str">
        <f>IF(calc!$L473=1,calc!B473,"")</f>
        <v/>
      </c>
      <c r="B473" s="5" t="str">
        <f>IF(calc!$L473=1,calc!C473,"")</f>
        <v/>
      </c>
      <c r="C473" s="1" t="str">
        <f>IF(calc!$L473=1,calc!D473,"")</f>
        <v/>
      </c>
      <c r="D473" s="1" t="str">
        <f>IF(calc!$L473=1,calc!E473,"")</f>
        <v/>
      </c>
      <c r="E473" s="1" t="str">
        <f>IF(calc!$L473=1,IF(EXACT(calc!$D473,"FAC"),"",calc!F473),"")</f>
        <v/>
      </c>
      <c r="F473" s="1" t="str">
        <f>IF(calc!$L473=1,IF(EXACT(calc!$D473,"FAC"),"",calc!G473),"")</f>
        <v/>
      </c>
      <c r="G473" s="1" t="str">
        <f>IF(calc!$L473=1,IF(EXACT(calc!$D473,"FAC"),"",calc!H473),"")</f>
        <v/>
      </c>
      <c r="H473" s="1" t="str">
        <f>IF(calc!$L473=1,IF(EXACT(calc!$D473,"FAC"),"",calc!I473),"")</f>
        <v/>
      </c>
      <c r="I473" s="1" t="str">
        <f>IF(calc!$L473=1,calc!J473,"")</f>
        <v/>
      </c>
      <c r="J473" s="1" t="str">
        <f>IF(calc!$L473=1,calc!K473,"")</f>
        <v/>
      </c>
      <c r="K473" s="1" t="str">
        <f>IF(calc!$L473=1,calc!M473,"")</f>
        <v/>
      </c>
      <c r="L473" s="1" t="str">
        <f>IF(calc!$L473=1,calc!N473,"")</f>
        <v/>
      </c>
      <c r="M473" s="1" t="str">
        <f>IF(calc!$L473=1,calc!O473,"")</f>
        <v/>
      </c>
      <c r="N473" s="1" t="str">
        <f>IF(calc!$L473=1,calc!P473,"")</f>
        <v/>
      </c>
      <c r="O473">
        <f>'Entry data'!C$1</f>
        <v>20064</v>
      </c>
      <c r="P473" t="str">
        <f>'Entry data'!C$2</f>
        <v>NSH</v>
      </c>
      <c r="Q473" t="str">
        <f>'Entry data'!C$3</f>
        <v>Home</v>
      </c>
    </row>
    <row r="474" spans="1:17" x14ac:dyDescent="0.25">
      <c r="A474" s="1" t="str">
        <f>IF(calc!$L474=1,calc!B474,"")</f>
        <v/>
      </c>
      <c r="B474" s="5" t="str">
        <f>IF(calc!$L474=1,calc!C474,"")</f>
        <v/>
      </c>
      <c r="C474" s="1" t="str">
        <f>IF(calc!$L474=1,calc!D474,"")</f>
        <v/>
      </c>
      <c r="D474" s="1" t="str">
        <f>IF(calc!$L474=1,calc!E474,"")</f>
        <v/>
      </c>
      <c r="E474" s="1" t="str">
        <f>IF(calc!$L474=1,IF(EXACT(calc!$D474,"FAC"),"",calc!F474),"")</f>
        <v/>
      </c>
      <c r="F474" s="1" t="str">
        <f>IF(calc!$L474=1,IF(EXACT(calc!$D474,"FAC"),"",calc!G474),"")</f>
        <v/>
      </c>
      <c r="G474" s="1" t="str">
        <f>IF(calc!$L474=1,IF(EXACT(calc!$D474,"FAC"),"",calc!H474),"")</f>
        <v/>
      </c>
      <c r="H474" s="1" t="str">
        <f>IF(calc!$L474=1,IF(EXACT(calc!$D474,"FAC"),"",calc!I474),"")</f>
        <v/>
      </c>
      <c r="I474" s="1" t="str">
        <f>IF(calc!$L474=1,calc!J474,"")</f>
        <v/>
      </c>
      <c r="J474" s="1" t="str">
        <f>IF(calc!$L474=1,calc!K474,"")</f>
        <v/>
      </c>
      <c r="K474" s="1" t="str">
        <f>IF(calc!$L474=1,calc!M474,"")</f>
        <v/>
      </c>
      <c r="L474" s="1" t="str">
        <f>IF(calc!$L474=1,calc!N474,"")</f>
        <v/>
      </c>
      <c r="M474" s="1" t="str">
        <f>IF(calc!$L474=1,calc!O474,"")</f>
        <v/>
      </c>
      <c r="N474" s="1" t="str">
        <f>IF(calc!$L474=1,calc!P474,"")</f>
        <v/>
      </c>
      <c r="O474">
        <f>'Entry data'!C$1</f>
        <v>20064</v>
      </c>
      <c r="P474" t="str">
        <f>'Entry data'!C$2</f>
        <v>NSH</v>
      </c>
      <c r="Q474" t="str">
        <f>'Entry data'!C$3</f>
        <v>Home</v>
      </c>
    </row>
    <row r="475" spans="1:17" x14ac:dyDescent="0.25">
      <c r="A475" s="1" t="str">
        <f>IF(calc!$L475=1,calc!B475,"")</f>
        <v/>
      </c>
      <c r="B475" s="5" t="str">
        <f>IF(calc!$L475=1,calc!C475,"")</f>
        <v/>
      </c>
      <c r="C475" s="1" t="str">
        <f>IF(calc!$L475=1,calc!D475,"")</f>
        <v/>
      </c>
      <c r="D475" s="1" t="str">
        <f>IF(calc!$L475=1,calc!E475,"")</f>
        <v/>
      </c>
      <c r="E475" s="1" t="str">
        <f>IF(calc!$L475=1,IF(EXACT(calc!$D475,"FAC"),"",calc!F475),"")</f>
        <v/>
      </c>
      <c r="F475" s="1" t="str">
        <f>IF(calc!$L475=1,IF(EXACT(calc!$D475,"FAC"),"",calc!G475),"")</f>
        <v/>
      </c>
      <c r="G475" s="1" t="str">
        <f>IF(calc!$L475=1,IF(EXACT(calc!$D475,"FAC"),"",calc!H475),"")</f>
        <v/>
      </c>
      <c r="H475" s="1" t="str">
        <f>IF(calc!$L475=1,IF(EXACT(calc!$D475,"FAC"),"",calc!I475),"")</f>
        <v/>
      </c>
      <c r="I475" s="1" t="str">
        <f>IF(calc!$L475=1,calc!J475,"")</f>
        <v/>
      </c>
      <c r="J475" s="1" t="str">
        <f>IF(calc!$L475=1,calc!K475,"")</f>
        <v/>
      </c>
      <c r="K475" s="1" t="str">
        <f>IF(calc!$L475=1,calc!M475,"")</f>
        <v/>
      </c>
      <c r="L475" s="1" t="str">
        <f>IF(calc!$L475=1,calc!N475,"")</f>
        <v/>
      </c>
      <c r="M475" s="1" t="str">
        <f>IF(calc!$L475=1,calc!O475,"")</f>
        <v/>
      </c>
      <c r="N475" s="1" t="str">
        <f>IF(calc!$L475=1,calc!P475,"")</f>
        <v/>
      </c>
      <c r="O475">
        <f>'Entry data'!C$1</f>
        <v>20064</v>
      </c>
      <c r="P475" t="str">
        <f>'Entry data'!C$2</f>
        <v>NSH</v>
      </c>
      <c r="Q475" t="str">
        <f>'Entry data'!C$3</f>
        <v>Home</v>
      </c>
    </row>
    <row r="476" spans="1:17" x14ac:dyDescent="0.25">
      <c r="A476" s="1" t="str">
        <f>IF(calc!$L476=1,calc!B476,"")</f>
        <v/>
      </c>
      <c r="B476" s="5" t="str">
        <f>IF(calc!$L476=1,calc!C476,"")</f>
        <v/>
      </c>
      <c r="C476" s="1" t="str">
        <f>IF(calc!$L476=1,calc!D476,"")</f>
        <v/>
      </c>
      <c r="D476" s="1" t="str">
        <f>IF(calc!$L476=1,calc!E476,"")</f>
        <v/>
      </c>
      <c r="E476" s="1" t="str">
        <f>IF(calc!$L476=1,IF(EXACT(calc!$D476,"FAC"),"",calc!F476),"")</f>
        <v/>
      </c>
      <c r="F476" s="1" t="str">
        <f>IF(calc!$L476=1,IF(EXACT(calc!$D476,"FAC"),"",calc!G476),"")</f>
        <v/>
      </c>
      <c r="G476" s="1" t="str">
        <f>IF(calc!$L476=1,IF(EXACT(calc!$D476,"FAC"),"",calc!H476),"")</f>
        <v/>
      </c>
      <c r="H476" s="1" t="str">
        <f>IF(calc!$L476=1,IF(EXACT(calc!$D476,"FAC"),"",calc!I476),"")</f>
        <v/>
      </c>
      <c r="I476" s="1" t="str">
        <f>IF(calc!$L476=1,calc!J476,"")</f>
        <v/>
      </c>
      <c r="J476" s="1" t="str">
        <f>IF(calc!$L476=1,calc!K476,"")</f>
        <v/>
      </c>
      <c r="K476" s="1" t="str">
        <f>IF(calc!$L476=1,calc!M476,"")</f>
        <v/>
      </c>
      <c r="L476" s="1" t="str">
        <f>IF(calc!$L476=1,calc!N476,"")</f>
        <v/>
      </c>
      <c r="M476" s="1" t="str">
        <f>IF(calc!$L476=1,calc!O476,"")</f>
        <v/>
      </c>
      <c r="N476" s="1" t="str">
        <f>IF(calc!$L476=1,calc!P476,"")</f>
        <v/>
      </c>
      <c r="O476">
        <f>'Entry data'!C$1</f>
        <v>20064</v>
      </c>
      <c r="P476" t="str">
        <f>'Entry data'!C$2</f>
        <v>NSH</v>
      </c>
      <c r="Q476" t="str">
        <f>'Entry data'!C$3</f>
        <v>Home</v>
      </c>
    </row>
    <row r="477" spans="1:17" x14ac:dyDescent="0.25">
      <c r="A477" s="1" t="str">
        <f>IF(calc!$L477=1,calc!B477,"")</f>
        <v/>
      </c>
      <c r="B477" s="5" t="str">
        <f>IF(calc!$L477=1,calc!C477,"")</f>
        <v/>
      </c>
      <c r="C477" s="1" t="str">
        <f>IF(calc!$L477=1,calc!D477,"")</f>
        <v/>
      </c>
      <c r="D477" s="1" t="str">
        <f>IF(calc!$L477=1,calc!E477,"")</f>
        <v/>
      </c>
      <c r="E477" s="1" t="str">
        <f>IF(calc!$L477=1,IF(EXACT(calc!$D477,"FAC"),"",calc!F477),"")</f>
        <v/>
      </c>
      <c r="F477" s="1" t="str">
        <f>IF(calc!$L477=1,IF(EXACT(calc!$D477,"FAC"),"",calc!G477),"")</f>
        <v/>
      </c>
      <c r="G477" s="1" t="str">
        <f>IF(calc!$L477=1,IF(EXACT(calc!$D477,"FAC"),"",calc!H477),"")</f>
        <v/>
      </c>
      <c r="H477" s="1" t="str">
        <f>IF(calc!$L477=1,IF(EXACT(calc!$D477,"FAC"),"",calc!I477),"")</f>
        <v/>
      </c>
      <c r="I477" s="1" t="str">
        <f>IF(calc!$L477=1,calc!J477,"")</f>
        <v/>
      </c>
      <c r="J477" s="1" t="str">
        <f>IF(calc!$L477=1,calc!K477,"")</f>
        <v/>
      </c>
      <c r="K477" s="1" t="str">
        <f>IF(calc!$L477=1,calc!M477,"")</f>
        <v/>
      </c>
      <c r="L477" s="1" t="str">
        <f>IF(calc!$L477=1,calc!N477,"")</f>
        <v/>
      </c>
      <c r="M477" s="1" t="str">
        <f>IF(calc!$L477=1,calc!O477,"")</f>
        <v/>
      </c>
      <c r="N477" s="1" t="str">
        <f>IF(calc!$L477=1,calc!P477,"")</f>
        <v/>
      </c>
      <c r="O477">
        <f>'Entry data'!C$1</f>
        <v>20064</v>
      </c>
      <c r="P477" t="str">
        <f>'Entry data'!C$2</f>
        <v>NSH</v>
      </c>
      <c r="Q477" t="str">
        <f>'Entry data'!C$3</f>
        <v>Home</v>
      </c>
    </row>
    <row r="478" spans="1:17" x14ac:dyDescent="0.25">
      <c r="A478" s="1" t="str">
        <f>IF(calc!$L478=1,calc!B478,"")</f>
        <v/>
      </c>
      <c r="B478" s="5" t="str">
        <f>IF(calc!$L478=1,calc!C478,"")</f>
        <v/>
      </c>
      <c r="C478" s="1" t="str">
        <f>IF(calc!$L478=1,calc!D478,"")</f>
        <v/>
      </c>
      <c r="D478" s="1" t="str">
        <f>IF(calc!$L478=1,calc!E478,"")</f>
        <v/>
      </c>
      <c r="E478" s="1" t="str">
        <f>IF(calc!$L478=1,IF(EXACT(calc!$D478,"FAC"),"",calc!F478),"")</f>
        <v/>
      </c>
      <c r="F478" s="1" t="str">
        <f>IF(calc!$L478=1,IF(EXACT(calc!$D478,"FAC"),"",calc!G478),"")</f>
        <v/>
      </c>
      <c r="G478" s="1" t="str">
        <f>IF(calc!$L478=1,IF(EXACT(calc!$D478,"FAC"),"",calc!H478),"")</f>
        <v/>
      </c>
      <c r="H478" s="1" t="str">
        <f>IF(calc!$L478=1,IF(EXACT(calc!$D478,"FAC"),"",calc!I478),"")</f>
        <v/>
      </c>
      <c r="I478" s="1" t="str">
        <f>IF(calc!$L478=1,calc!J478,"")</f>
        <v/>
      </c>
      <c r="J478" s="1" t="str">
        <f>IF(calc!$L478=1,calc!K478,"")</f>
        <v/>
      </c>
      <c r="K478" s="1" t="str">
        <f>IF(calc!$L478=1,calc!M478,"")</f>
        <v/>
      </c>
      <c r="L478" s="1" t="str">
        <f>IF(calc!$L478=1,calc!N478,"")</f>
        <v/>
      </c>
      <c r="M478" s="1" t="str">
        <f>IF(calc!$L478=1,calc!O478,"")</f>
        <v/>
      </c>
      <c r="N478" s="1" t="str">
        <f>IF(calc!$L478=1,calc!P478,"")</f>
        <v/>
      </c>
      <c r="O478">
        <f>'Entry data'!C$1</f>
        <v>20064</v>
      </c>
      <c r="P478" t="str">
        <f>'Entry data'!C$2</f>
        <v>NSH</v>
      </c>
      <c r="Q478" t="str">
        <f>'Entry data'!C$3</f>
        <v>Home</v>
      </c>
    </row>
    <row r="479" spans="1:17" x14ac:dyDescent="0.25">
      <c r="A479" s="1" t="str">
        <f>IF(calc!$L479=1,calc!B479,"")</f>
        <v/>
      </c>
      <c r="B479" s="5" t="str">
        <f>IF(calc!$L479=1,calc!C479,"")</f>
        <v/>
      </c>
      <c r="C479" s="1" t="str">
        <f>IF(calc!$L479=1,calc!D479,"")</f>
        <v/>
      </c>
      <c r="D479" s="1" t="str">
        <f>IF(calc!$L479=1,calc!E479,"")</f>
        <v/>
      </c>
      <c r="E479" s="1" t="str">
        <f>IF(calc!$L479=1,IF(EXACT(calc!$D479,"FAC"),"",calc!F479),"")</f>
        <v/>
      </c>
      <c r="F479" s="1" t="str">
        <f>IF(calc!$L479=1,IF(EXACT(calc!$D479,"FAC"),"",calc!G479),"")</f>
        <v/>
      </c>
      <c r="G479" s="1" t="str">
        <f>IF(calc!$L479=1,IF(EXACT(calc!$D479,"FAC"),"",calc!H479),"")</f>
        <v/>
      </c>
      <c r="H479" s="1" t="str">
        <f>IF(calc!$L479=1,IF(EXACT(calc!$D479,"FAC"),"",calc!I479),"")</f>
        <v/>
      </c>
      <c r="I479" s="1" t="str">
        <f>IF(calc!$L479=1,calc!J479,"")</f>
        <v/>
      </c>
      <c r="J479" s="1" t="str">
        <f>IF(calc!$L479=1,calc!K479,"")</f>
        <v/>
      </c>
      <c r="K479" s="1" t="str">
        <f>IF(calc!$L479=1,calc!M479,"")</f>
        <v/>
      </c>
      <c r="L479" s="1" t="str">
        <f>IF(calc!$L479=1,calc!N479,"")</f>
        <v/>
      </c>
      <c r="M479" s="1" t="str">
        <f>IF(calc!$L479=1,calc!O479,"")</f>
        <v/>
      </c>
      <c r="N479" s="1" t="str">
        <f>IF(calc!$L479=1,calc!P479,"")</f>
        <v/>
      </c>
      <c r="O479">
        <f>'Entry data'!C$1</f>
        <v>20064</v>
      </c>
      <c r="P479" t="str">
        <f>'Entry data'!C$2</f>
        <v>NSH</v>
      </c>
      <c r="Q479" t="str">
        <f>'Entry data'!C$3</f>
        <v>Home</v>
      </c>
    </row>
    <row r="480" spans="1:17" x14ac:dyDescent="0.25">
      <c r="A480" s="1" t="str">
        <f>IF(calc!$L480=1,calc!B480,"")</f>
        <v/>
      </c>
      <c r="B480" s="5" t="str">
        <f>IF(calc!$L480=1,calc!C480,"")</f>
        <v/>
      </c>
      <c r="C480" s="1" t="str">
        <f>IF(calc!$L480=1,calc!D480,"")</f>
        <v/>
      </c>
      <c r="D480" s="1" t="str">
        <f>IF(calc!$L480=1,calc!E480,"")</f>
        <v/>
      </c>
      <c r="E480" s="1" t="str">
        <f>IF(calc!$L480=1,IF(EXACT(calc!$D480,"FAC"),"",calc!F480),"")</f>
        <v/>
      </c>
      <c r="F480" s="1" t="str">
        <f>IF(calc!$L480=1,IF(EXACT(calc!$D480,"FAC"),"",calc!G480),"")</f>
        <v/>
      </c>
      <c r="G480" s="1" t="str">
        <f>IF(calc!$L480=1,IF(EXACT(calc!$D480,"FAC"),"",calc!H480),"")</f>
        <v/>
      </c>
      <c r="H480" s="1" t="str">
        <f>IF(calc!$L480=1,IF(EXACT(calc!$D480,"FAC"),"",calc!I480),"")</f>
        <v/>
      </c>
      <c r="I480" s="1" t="str">
        <f>IF(calc!$L480=1,calc!J480,"")</f>
        <v/>
      </c>
      <c r="J480" s="1" t="str">
        <f>IF(calc!$L480=1,calc!K480,"")</f>
        <v/>
      </c>
      <c r="K480" s="1" t="str">
        <f>IF(calc!$L480=1,calc!M480,"")</f>
        <v/>
      </c>
      <c r="L480" s="1" t="str">
        <f>IF(calc!$L480=1,calc!N480,"")</f>
        <v/>
      </c>
      <c r="M480" s="1" t="str">
        <f>IF(calc!$L480=1,calc!O480,"")</f>
        <v/>
      </c>
      <c r="N480" s="1" t="str">
        <f>IF(calc!$L480=1,calc!P480,"")</f>
        <v/>
      </c>
      <c r="O480">
        <f>'Entry data'!C$1</f>
        <v>20064</v>
      </c>
      <c r="P480" t="str">
        <f>'Entry data'!C$2</f>
        <v>NSH</v>
      </c>
      <c r="Q480" t="str">
        <f>'Entry data'!C$3</f>
        <v>Home</v>
      </c>
    </row>
    <row r="481" spans="1:17" x14ac:dyDescent="0.25">
      <c r="A481" s="1" t="str">
        <f>IF(calc!$L481=1,calc!B481,"")</f>
        <v/>
      </c>
      <c r="B481" s="5" t="str">
        <f>IF(calc!$L481=1,calc!C481,"")</f>
        <v/>
      </c>
      <c r="C481" s="1" t="str">
        <f>IF(calc!$L481=1,calc!D481,"")</f>
        <v/>
      </c>
      <c r="D481" s="1" t="str">
        <f>IF(calc!$L481=1,calc!E481,"")</f>
        <v/>
      </c>
      <c r="E481" s="1" t="str">
        <f>IF(calc!$L481=1,IF(EXACT(calc!$D481,"FAC"),"",calc!F481),"")</f>
        <v/>
      </c>
      <c r="F481" s="1" t="str">
        <f>IF(calc!$L481=1,IF(EXACT(calc!$D481,"FAC"),"",calc!G481),"")</f>
        <v/>
      </c>
      <c r="G481" s="1" t="str">
        <f>IF(calc!$L481=1,IF(EXACT(calc!$D481,"FAC"),"",calc!H481),"")</f>
        <v/>
      </c>
      <c r="H481" s="1" t="str">
        <f>IF(calc!$L481=1,IF(EXACT(calc!$D481,"FAC"),"",calc!I481),"")</f>
        <v/>
      </c>
      <c r="I481" s="1" t="str">
        <f>IF(calc!$L481=1,calc!J481,"")</f>
        <v/>
      </c>
      <c r="J481" s="1" t="str">
        <f>IF(calc!$L481=1,calc!K481,"")</f>
        <v/>
      </c>
      <c r="K481" s="1" t="str">
        <f>IF(calc!$L481=1,calc!M481,"")</f>
        <v/>
      </c>
      <c r="L481" s="1" t="str">
        <f>IF(calc!$L481=1,calc!N481,"")</f>
        <v/>
      </c>
      <c r="M481" s="1" t="str">
        <f>IF(calc!$L481=1,calc!O481,"")</f>
        <v/>
      </c>
      <c r="N481" s="1" t="str">
        <f>IF(calc!$L481=1,calc!P481,"")</f>
        <v/>
      </c>
      <c r="O481">
        <f>'Entry data'!C$1</f>
        <v>20064</v>
      </c>
      <c r="P481" t="str">
        <f>'Entry data'!C$2</f>
        <v>NSH</v>
      </c>
      <c r="Q481" t="str">
        <f>'Entry data'!C$3</f>
        <v>Home</v>
      </c>
    </row>
    <row r="482" spans="1:17" x14ac:dyDescent="0.25">
      <c r="A482" s="1" t="str">
        <f>IF(calc!$L482=1,calc!B482,"")</f>
        <v/>
      </c>
      <c r="B482" s="5" t="str">
        <f>IF(calc!$L482=1,calc!C482,"")</f>
        <v/>
      </c>
      <c r="C482" s="1" t="str">
        <f>IF(calc!$L482=1,calc!D482,"")</f>
        <v/>
      </c>
      <c r="D482" s="1" t="str">
        <f>IF(calc!$L482=1,calc!E482,"")</f>
        <v/>
      </c>
      <c r="E482" s="1" t="str">
        <f>IF(calc!$L482=1,IF(EXACT(calc!$D482,"FAC"),"",calc!F482),"")</f>
        <v/>
      </c>
      <c r="F482" s="1" t="str">
        <f>IF(calc!$L482=1,IF(EXACT(calc!$D482,"FAC"),"",calc!G482),"")</f>
        <v/>
      </c>
      <c r="G482" s="1" t="str">
        <f>IF(calc!$L482=1,IF(EXACT(calc!$D482,"FAC"),"",calc!H482),"")</f>
        <v/>
      </c>
      <c r="H482" s="1" t="str">
        <f>IF(calc!$L482=1,IF(EXACT(calc!$D482,"FAC"),"",calc!I482),"")</f>
        <v/>
      </c>
      <c r="I482" s="1" t="str">
        <f>IF(calc!$L482=1,calc!J482,"")</f>
        <v/>
      </c>
      <c r="J482" s="1" t="str">
        <f>IF(calc!$L482=1,calc!K482,"")</f>
        <v/>
      </c>
      <c r="K482" s="1" t="str">
        <f>IF(calc!$L482=1,calc!M482,"")</f>
        <v/>
      </c>
      <c r="L482" s="1" t="str">
        <f>IF(calc!$L482=1,calc!N482,"")</f>
        <v/>
      </c>
      <c r="M482" s="1" t="str">
        <f>IF(calc!$L482=1,calc!O482,"")</f>
        <v/>
      </c>
      <c r="N482" s="1" t="str">
        <f>IF(calc!$L482=1,calc!P482,"")</f>
        <v/>
      </c>
      <c r="O482">
        <f>'Entry data'!C$1</f>
        <v>20064</v>
      </c>
      <c r="P482" t="str">
        <f>'Entry data'!C$2</f>
        <v>NSH</v>
      </c>
      <c r="Q482" t="str">
        <f>'Entry data'!C$3</f>
        <v>Home</v>
      </c>
    </row>
    <row r="483" spans="1:17" x14ac:dyDescent="0.25">
      <c r="A483" s="1" t="str">
        <f>IF(calc!$L483=1,calc!B483,"")</f>
        <v/>
      </c>
      <c r="B483" s="5" t="str">
        <f>IF(calc!$L483=1,calc!C483,"")</f>
        <v/>
      </c>
      <c r="C483" s="1" t="str">
        <f>IF(calc!$L483=1,calc!D483,"")</f>
        <v/>
      </c>
      <c r="D483" s="1" t="str">
        <f>IF(calc!$L483=1,calc!E483,"")</f>
        <v/>
      </c>
      <c r="E483" s="1" t="str">
        <f>IF(calc!$L483=1,IF(EXACT(calc!$D483,"FAC"),"",calc!F483),"")</f>
        <v/>
      </c>
      <c r="F483" s="1" t="str">
        <f>IF(calc!$L483=1,IF(EXACT(calc!$D483,"FAC"),"",calc!G483),"")</f>
        <v/>
      </c>
      <c r="G483" s="1" t="str">
        <f>IF(calc!$L483=1,IF(EXACT(calc!$D483,"FAC"),"",calc!H483),"")</f>
        <v/>
      </c>
      <c r="H483" s="1" t="str">
        <f>IF(calc!$L483=1,IF(EXACT(calc!$D483,"FAC"),"",calc!I483),"")</f>
        <v/>
      </c>
      <c r="I483" s="1" t="str">
        <f>IF(calc!$L483=1,calc!J483,"")</f>
        <v/>
      </c>
      <c r="J483" s="1" t="str">
        <f>IF(calc!$L483=1,calc!K483,"")</f>
        <v/>
      </c>
      <c r="K483" s="1" t="str">
        <f>IF(calc!$L483=1,calc!M483,"")</f>
        <v/>
      </c>
      <c r="L483" s="1" t="str">
        <f>IF(calc!$L483=1,calc!N483,"")</f>
        <v/>
      </c>
      <c r="M483" s="1" t="str">
        <f>IF(calc!$L483=1,calc!O483,"")</f>
        <v/>
      </c>
      <c r="N483" s="1" t="str">
        <f>IF(calc!$L483=1,calc!P483,"")</f>
        <v/>
      </c>
      <c r="O483">
        <f>'Entry data'!C$1</f>
        <v>20064</v>
      </c>
      <c r="P483" t="str">
        <f>'Entry data'!C$2</f>
        <v>NSH</v>
      </c>
      <c r="Q483" t="str">
        <f>'Entry data'!C$3</f>
        <v>Home</v>
      </c>
    </row>
    <row r="484" spans="1:17" x14ac:dyDescent="0.25">
      <c r="A484" s="1" t="str">
        <f>IF(calc!$L484=1,calc!B484,"")</f>
        <v/>
      </c>
      <c r="B484" s="5" t="str">
        <f>IF(calc!$L484=1,calc!C484,"")</f>
        <v/>
      </c>
      <c r="C484" s="1" t="str">
        <f>IF(calc!$L484=1,calc!D484,"")</f>
        <v/>
      </c>
      <c r="D484" s="1" t="str">
        <f>IF(calc!$L484=1,calc!E484,"")</f>
        <v/>
      </c>
      <c r="E484" s="1" t="str">
        <f>IF(calc!$L484=1,IF(EXACT(calc!$D484,"FAC"),"",calc!F484),"")</f>
        <v/>
      </c>
      <c r="F484" s="1" t="str">
        <f>IF(calc!$L484=1,IF(EXACT(calc!$D484,"FAC"),"",calc!G484),"")</f>
        <v/>
      </c>
      <c r="G484" s="1" t="str">
        <f>IF(calc!$L484=1,IF(EXACT(calc!$D484,"FAC"),"",calc!H484),"")</f>
        <v/>
      </c>
      <c r="H484" s="1" t="str">
        <f>IF(calc!$L484=1,IF(EXACT(calc!$D484,"FAC"),"",calc!I484),"")</f>
        <v/>
      </c>
      <c r="I484" s="1" t="str">
        <f>IF(calc!$L484=1,calc!J484,"")</f>
        <v/>
      </c>
      <c r="J484" s="1" t="str">
        <f>IF(calc!$L484=1,calc!K484,"")</f>
        <v/>
      </c>
      <c r="K484" s="1" t="str">
        <f>IF(calc!$L484=1,calc!M484,"")</f>
        <v/>
      </c>
      <c r="L484" s="1" t="str">
        <f>IF(calc!$L484=1,calc!N484,"")</f>
        <v/>
      </c>
      <c r="M484" s="1" t="str">
        <f>IF(calc!$L484=1,calc!O484,"")</f>
        <v/>
      </c>
      <c r="N484" s="1" t="str">
        <f>IF(calc!$L484=1,calc!P484,"")</f>
        <v/>
      </c>
      <c r="O484">
        <f>'Entry data'!C$1</f>
        <v>20064</v>
      </c>
      <c r="P484" t="str">
        <f>'Entry data'!C$2</f>
        <v>NSH</v>
      </c>
      <c r="Q484" t="str">
        <f>'Entry data'!C$3</f>
        <v>Home</v>
      </c>
    </row>
    <row r="485" spans="1:17" x14ac:dyDescent="0.25">
      <c r="A485" s="1" t="str">
        <f>IF(calc!$L485=1,calc!B485,"")</f>
        <v/>
      </c>
      <c r="B485" s="5" t="str">
        <f>IF(calc!$L485=1,calc!C485,"")</f>
        <v/>
      </c>
      <c r="C485" s="1" t="str">
        <f>IF(calc!$L485=1,calc!D485,"")</f>
        <v/>
      </c>
      <c r="D485" s="1" t="str">
        <f>IF(calc!$L485=1,calc!E485,"")</f>
        <v/>
      </c>
      <c r="E485" s="1" t="str">
        <f>IF(calc!$L485=1,IF(EXACT(calc!$D485,"FAC"),"",calc!F485),"")</f>
        <v/>
      </c>
      <c r="F485" s="1" t="str">
        <f>IF(calc!$L485=1,IF(EXACT(calc!$D485,"FAC"),"",calc!G485),"")</f>
        <v/>
      </c>
      <c r="G485" s="1" t="str">
        <f>IF(calc!$L485=1,IF(EXACT(calc!$D485,"FAC"),"",calc!H485),"")</f>
        <v/>
      </c>
      <c r="H485" s="1" t="str">
        <f>IF(calc!$L485=1,IF(EXACT(calc!$D485,"FAC"),"",calc!I485),"")</f>
        <v/>
      </c>
      <c r="I485" s="1" t="str">
        <f>IF(calc!$L485=1,calc!J485,"")</f>
        <v/>
      </c>
      <c r="J485" s="1" t="str">
        <f>IF(calc!$L485=1,calc!K485,"")</f>
        <v/>
      </c>
      <c r="K485" s="1" t="str">
        <f>IF(calc!$L485=1,calc!M485,"")</f>
        <v/>
      </c>
      <c r="L485" s="1" t="str">
        <f>IF(calc!$L485=1,calc!N485,"")</f>
        <v/>
      </c>
      <c r="M485" s="1" t="str">
        <f>IF(calc!$L485=1,calc!O485,"")</f>
        <v/>
      </c>
      <c r="N485" s="1" t="str">
        <f>IF(calc!$L485=1,calc!P485,"")</f>
        <v/>
      </c>
      <c r="O485">
        <f>'Entry data'!C$1</f>
        <v>20064</v>
      </c>
      <c r="P485" t="str">
        <f>'Entry data'!C$2</f>
        <v>NSH</v>
      </c>
      <c r="Q485" t="str">
        <f>'Entry data'!C$3</f>
        <v>Home</v>
      </c>
    </row>
    <row r="486" spans="1:17" x14ac:dyDescent="0.25">
      <c r="A486" s="1" t="str">
        <f>IF(calc!$L486=1,calc!B486,"")</f>
        <v/>
      </c>
      <c r="B486" s="5" t="str">
        <f>IF(calc!$L486=1,calc!C486,"")</f>
        <v/>
      </c>
      <c r="C486" s="1" t="str">
        <f>IF(calc!$L486=1,calc!D486,"")</f>
        <v/>
      </c>
      <c r="D486" s="1" t="str">
        <f>IF(calc!$L486=1,calc!E486,"")</f>
        <v/>
      </c>
      <c r="E486" s="1" t="str">
        <f>IF(calc!$L486=1,IF(EXACT(calc!$D486,"FAC"),"",calc!F486),"")</f>
        <v/>
      </c>
      <c r="F486" s="1" t="str">
        <f>IF(calc!$L486=1,IF(EXACT(calc!$D486,"FAC"),"",calc!G486),"")</f>
        <v/>
      </c>
      <c r="G486" s="1" t="str">
        <f>IF(calc!$L486=1,IF(EXACT(calc!$D486,"FAC"),"",calc!H486),"")</f>
        <v/>
      </c>
      <c r="H486" s="1" t="str">
        <f>IF(calc!$L486=1,IF(EXACT(calc!$D486,"FAC"),"",calc!I486),"")</f>
        <v/>
      </c>
      <c r="I486" s="1" t="str">
        <f>IF(calc!$L486=1,calc!J486,"")</f>
        <v/>
      </c>
      <c r="J486" s="1" t="str">
        <f>IF(calc!$L486=1,calc!K486,"")</f>
        <v/>
      </c>
      <c r="K486" s="1" t="str">
        <f>IF(calc!$L486=1,calc!M486,"")</f>
        <v/>
      </c>
      <c r="L486" s="1" t="str">
        <f>IF(calc!$L486=1,calc!N486,"")</f>
        <v/>
      </c>
      <c r="M486" s="1" t="str">
        <f>IF(calc!$L486=1,calc!O486,"")</f>
        <v/>
      </c>
      <c r="N486" s="1" t="str">
        <f>IF(calc!$L486=1,calc!P486,"")</f>
        <v/>
      </c>
      <c r="O486">
        <f>'Entry data'!C$1</f>
        <v>20064</v>
      </c>
      <c r="P486" t="str">
        <f>'Entry data'!C$2</f>
        <v>NSH</v>
      </c>
      <c r="Q486" t="str">
        <f>'Entry data'!C$3</f>
        <v>Home</v>
      </c>
    </row>
    <row r="487" spans="1:17" x14ac:dyDescent="0.25">
      <c r="A487" s="1" t="str">
        <f>IF(calc!$L487=1,calc!B487,"")</f>
        <v/>
      </c>
      <c r="B487" s="5" t="str">
        <f>IF(calc!$L487=1,calc!C487,"")</f>
        <v/>
      </c>
      <c r="C487" s="1" t="str">
        <f>IF(calc!$L487=1,calc!D487,"")</f>
        <v/>
      </c>
      <c r="D487" s="1" t="str">
        <f>IF(calc!$L487=1,calc!E487,"")</f>
        <v/>
      </c>
      <c r="E487" s="1" t="str">
        <f>IF(calc!$L487=1,IF(EXACT(calc!$D487,"FAC"),"",calc!F487),"")</f>
        <v/>
      </c>
      <c r="F487" s="1" t="str">
        <f>IF(calc!$L487=1,IF(EXACT(calc!$D487,"FAC"),"",calc!G487),"")</f>
        <v/>
      </c>
      <c r="G487" s="1" t="str">
        <f>IF(calc!$L487=1,IF(EXACT(calc!$D487,"FAC"),"",calc!H487),"")</f>
        <v/>
      </c>
      <c r="H487" s="1" t="str">
        <f>IF(calc!$L487=1,IF(EXACT(calc!$D487,"FAC"),"",calc!I487),"")</f>
        <v/>
      </c>
      <c r="I487" s="1" t="str">
        <f>IF(calc!$L487=1,calc!J487,"")</f>
        <v/>
      </c>
      <c r="J487" s="1" t="str">
        <f>IF(calc!$L487=1,calc!K487,"")</f>
        <v/>
      </c>
      <c r="K487" s="1" t="str">
        <f>IF(calc!$L487=1,calc!M487,"")</f>
        <v/>
      </c>
      <c r="L487" s="1" t="str">
        <f>IF(calc!$L487=1,calc!N487,"")</f>
        <v/>
      </c>
      <c r="M487" s="1" t="str">
        <f>IF(calc!$L487=1,calc!O487,"")</f>
        <v/>
      </c>
      <c r="N487" s="1" t="str">
        <f>IF(calc!$L487=1,calc!P487,"")</f>
        <v/>
      </c>
      <c r="O487">
        <f>'Entry data'!C$1</f>
        <v>20064</v>
      </c>
      <c r="P487" t="str">
        <f>'Entry data'!C$2</f>
        <v>NSH</v>
      </c>
      <c r="Q487" t="str">
        <f>'Entry data'!C$3</f>
        <v>Home</v>
      </c>
    </row>
    <row r="488" spans="1:17" x14ac:dyDescent="0.25">
      <c r="A488" s="1" t="str">
        <f>IF(calc!$L488=1,calc!B488,"")</f>
        <v/>
      </c>
      <c r="B488" s="5" t="str">
        <f>IF(calc!$L488=1,calc!C488,"")</f>
        <v/>
      </c>
      <c r="C488" s="1" t="str">
        <f>IF(calc!$L488=1,calc!D488,"")</f>
        <v/>
      </c>
      <c r="D488" s="1" t="str">
        <f>IF(calc!$L488=1,calc!E488,"")</f>
        <v/>
      </c>
      <c r="E488" s="1" t="str">
        <f>IF(calc!$L488=1,IF(EXACT(calc!$D488,"FAC"),"",calc!F488),"")</f>
        <v/>
      </c>
      <c r="F488" s="1" t="str">
        <f>IF(calc!$L488=1,IF(EXACT(calc!$D488,"FAC"),"",calc!G488),"")</f>
        <v/>
      </c>
      <c r="G488" s="1" t="str">
        <f>IF(calc!$L488=1,IF(EXACT(calc!$D488,"FAC"),"",calc!H488),"")</f>
        <v/>
      </c>
      <c r="H488" s="1" t="str">
        <f>IF(calc!$L488=1,IF(EXACT(calc!$D488,"FAC"),"",calc!I488),"")</f>
        <v/>
      </c>
      <c r="I488" s="1" t="str">
        <f>IF(calc!$L488=1,calc!J488,"")</f>
        <v/>
      </c>
      <c r="J488" s="1" t="str">
        <f>IF(calc!$L488=1,calc!K488,"")</f>
        <v/>
      </c>
      <c r="K488" s="1" t="str">
        <f>IF(calc!$L488=1,calc!M488,"")</f>
        <v/>
      </c>
      <c r="L488" s="1" t="str">
        <f>IF(calc!$L488=1,calc!N488,"")</f>
        <v/>
      </c>
      <c r="M488" s="1" t="str">
        <f>IF(calc!$L488=1,calc!O488,"")</f>
        <v/>
      </c>
      <c r="N488" s="1" t="str">
        <f>IF(calc!$L488=1,calc!P488,"")</f>
        <v/>
      </c>
      <c r="O488">
        <f>'Entry data'!C$1</f>
        <v>20064</v>
      </c>
      <c r="P488" t="str">
        <f>'Entry data'!C$2</f>
        <v>NSH</v>
      </c>
      <c r="Q488" t="str">
        <f>'Entry data'!C$3</f>
        <v>Home</v>
      </c>
    </row>
    <row r="489" spans="1:17" x14ac:dyDescent="0.25">
      <c r="A489" s="1" t="str">
        <f>IF(calc!$L489=1,calc!B489,"")</f>
        <v/>
      </c>
      <c r="B489" s="5" t="str">
        <f>IF(calc!$L489=1,calc!C489,"")</f>
        <v/>
      </c>
      <c r="C489" s="1" t="str">
        <f>IF(calc!$L489=1,calc!D489,"")</f>
        <v/>
      </c>
      <c r="D489" s="1" t="str">
        <f>IF(calc!$L489=1,calc!E489,"")</f>
        <v/>
      </c>
      <c r="E489" s="1" t="str">
        <f>IF(calc!$L489=1,IF(EXACT(calc!$D489,"FAC"),"",calc!F489),"")</f>
        <v/>
      </c>
      <c r="F489" s="1" t="str">
        <f>IF(calc!$L489=1,IF(EXACT(calc!$D489,"FAC"),"",calc!G489),"")</f>
        <v/>
      </c>
      <c r="G489" s="1" t="str">
        <f>IF(calc!$L489=1,IF(EXACT(calc!$D489,"FAC"),"",calc!H489),"")</f>
        <v/>
      </c>
      <c r="H489" s="1" t="str">
        <f>IF(calc!$L489=1,IF(EXACT(calc!$D489,"FAC"),"",calc!I489),"")</f>
        <v/>
      </c>
      <c r="I489" s="1" t="str">
        <f>IF(calc!$L489=1,calc!J489,"")</f>
        <v/>
      </c>
      <c r="J489" s="1" t="str">
        <f>IF(calc!$L489=1,calc!K489,"")</f>
        <v/>
      </c>
      <c r="K489" s="1" t="str">
        <f>IF(calc!$L489=1,calc!M489,"")</f>
        <v/>
      </c>
      <c r="L489" s="1" t="str">
        <f>IF(calc!$L489=1,calc!N489,"")</f>
        <v/>
      </c>
      <c r="M489" s="1" t="str">
        <f>IF(calc!$L489=1,calc!O489,"")</f>
        <v/>
      </c>
      <c r="N489" s="1" t="str">
        <f>IF(calc!$L489=1,calc!P489,"")</f>
        <v/>
      </c>
      <c r="O489">
        <f>'Entry data'!C$1</f>
        <v>20064</v>
      </c>
      <c r="P489" t="str">
        <f>'Entry data'!C$2</f>
        <v>NSH</v>
      </c>
      <c r="Q489" t="str">
        <f>'Entry data'!C$3</f>
        <v>Home</v>
      </c>
    </row>
    <row r="490" spans="1:17" x14ac:dyDescent="0.25">
      <c r="A490" s="1" t="str">
        <f>IF(calc!$L490=1,calc!B490,"")</f>
        <v/>
      </c>
      <c r="B490" s="5" t="str">
        <f>IF(calc!$L490=1,calc!C490,"")</f>
        <v/>
      </c>
      <c r="C490" s="1" t="str">
        <f>IF(calc!$L490=1,calc!D490,"")</f>
        <v/>
      </c>
      <c r="D490" s="1" t="str">
        <f>IF(calc!$L490=1,calc!E490,"")</f>
        <v/>
      </c>
      <c r="E490" s="1" t="str">
        <f>IF(calc!$L490=1,IF(EXACT(calc!$D490,"FAC"),"",calc!F490),"")</f>
        <v/>
      </c>
      <c r="F490" s="1" t="str">
        <f>IF(calc!$L490=1,IF(EXACT(calc!$D490,"FAC"),"",calc!G490),"")</f>
        <v/>
      </c>
      <c r="G490" s="1" t="str">
        <f>IF(calc!$L490=1,IF(EXACT(calc!$D490,"FAC"),"",calc!H490),"")</f>
        <v/>
      </c>
      <c r="H490" s="1" t="str">
        <f>IF(calc!$L490=1,IF(EXACT(calc!$D490,"FAC"),"",calc!I490),"")</f>
        <v/>
      </c>
      <c r="I490" s="1" t="str">
        <f>IF(calc!$L490=1,calc!J490,"")</f>
        <v/>
      </c>
      <c r="J490" s="1" t="str">
        <f>IF(calc!$L490=1,calc!K490,"")</f>
        <v/>
      </c>
      <c r="K490" s="1" t="str">
        <f>IF(calc!$L490=1,calc!M490,"")</f>
        <v/>
      </c>
      <c r="L490" s="1" t="str">
        <f>IF(calc!$L490=1,calc!N490,"")</f>
        <v/>
      </c>
      <c r="M490" s="1" t="str">
        <f>IF(calc!$L490=1,calc!O490,"")</f>
        <v/>
      </c>
      <c r="N490" s="1" t="str">
        <f>IF(calc!$L490=1,calc!P490,"")</f>
        <v/>
      </c>
      <c r="O490">
        <f>'Entry data'!C$1</f>
        <v>20064</v>
      </c>
      <c r="P490" t="str">
        <f>'Entry data'!C$2</f>
        <v>NSH</v>
      </c>
      <c r="Q490" t="str">
        <f>'Entry data'!C$3</f>
        <v>Home</v>
      </c>
    </row>
    <row r="491" spans="1:17" x14ac:dyDescent="0.25">
      <c r="A491" s="1" t="str">
        <f>IF(calc!$L491=1,calc!B491,"")</f>
        <v/>
      </c>
      <c r="B491" s="5" t="str">
        <f>IF(calc!$L491=1,calc!C491,"")</f>
        <v/>
      </c>
      <c r="C491" s="1" t="str">
        <f>IF(calc!$L491=1,calc!D491,"")</f>
        <v/>
      </c>
      <c r="D491" s="1" t="str">
        <f>IF(calc!$L491=1,calc!E491,"")</f>
        <v/>
      </c>
      <c r="E491" s="1" t="str">
        <f>IF(calc!$L491=1,IF(EXACT(calc!$D491,"FAC"),"",calc!F491),"")</f>
        <v/>
      </c>
      <c r="F491" s="1" t="str">
        <f>IF(calc!$L491=1,IF(EXACT(calc!$D491,"FAC"),"",calc!G491),"")</f>
        <v/>
      </c>
      <c r="G491" s="1" t="str">
        <f>IF(calc!$L491=1,IF(EXACT(calc!$D491,"FAC"),"",calc!H491),"")</f>
        <v/>
      </c>
      <c r="H491" s="1" t="str">
        <f>IF(calc!$L491=1,IF(EXACT(calc!$D491,"FAC"),"",calc!I491),"")</f>
        <v/>
      </c>
      <c r="I491" s="1" t="str">
        <f>IF(calc!$L491=1,calc!J491,"")</f>
        <v/>
      </c>
      <c r="J491" s="1" t="str">
        <f>IF(calc!$L491=1,calc!K491,"")</f>
        <v/>
      </c>
      <c r="K491" s="1" t="str">
        <f>IF(calc!$L491=1,calc!M491,"")</f>
        <v/>
      </c>
      <c r="L491" s="1" t="str">
        <f>IF(calc!$L491=1,calc!N491,"")</f>
        <v/>
      </c>
      <c r="M491" s="1" t="str">
        <f>IF(calc!$L491=1,calc!O491,"")</f>
        <v/>
      </c>
      <c r="N491" s="1" t="str">
        <f>IF(calc!$L491=1,calc!P491,"")</f>
        <v/>
      </c>
      <c r="O491">
        <f>'Entry data'!C$1</f>
        <v>20064</v>
      </c>
      <c r="P491" t="str">
        <f>'Entry data'!C$2</f>
        <v>NSH</v>
      </c>
      <c r="Q491" t="str">
        <f>'Entry data'!C$3</f>
        <v>Home</v>
      </c>
    </row>
    <row r="492" spans="1:17" x14ac:dyDescent="0.25">
      <c r="A492" s="1" t="str">
        <f>IF(calc!$L492=1,calc!B492,"")</f>
        <v/>
      </c>
      <c r="B492" s="5" t="str">
        <f>IF(calc!$L492=1,calc!C492,"")</f>
        <v/>
      </c>
      <c r="C492" s="1" t="str">
        <f>IF(calc!$L492=1,calc!D492,"")</f>
        <v/>
      </c>
      <c r="D492" s="1" t="str">
        <f>IF(calc!$L492=1,calc!E492,"")</f>
        <v/>
      </c>
      <c r="E492" s="1" t="str">
        <f>IF(calc!$L492=1,IF(EXACT(calc!$D492,"FAC"),"",calc!F492),"")</f>
        <v/>
      </c>
      <c r="F492" s="1" t="str">
        <f>IF(calc!$L492=1,IF(EXACT(calc!$D492,"FAC"),"",calc!G492),"")</f>
        <v/>
      </c>
      <c r="G492" s="1" t="str">
        <f>IF(calc!$L492=1,IF(EXACT(calc!$D492,"FAC"),"",calc!H492),"")</f>
        <v/>
      </c>
      <c r="H492" s="1" t="str">
        <f>IF(calc!$L492=1,IF(EXACT(calc!$D492,"FAC"),"",calc!I492),"")</f>
        <v/>
      </c>
      <c r="I492" s="1" t="str">
        <f>IF(calc!$L492=1,calc!J492,"")</f>
        <v/>
      </c>
      <c r="J492" s="1" t="str">
        <f>IF(calc!$L492=1,calc!K492,"")</f>
        <v/>
      </c>
      <c r="K492" s="1" t="str">
        <f>IF(calc!$L492=1,calc!M492,"")</f>
        <v/>
      </c>
      <c r="L492" s="1" t="str">
        <f>IF(calc!$L492=1,calc!N492,"")</f>
        <v/>
      </c>
      <c r="M492" s="1" t="str">
        <f>IF(calc!$L492=1,calc!O492,"")</f>
        <v/>
      </c>
      <c r="N492" s="1" t="str">
        <f>IF(calc!$L492=1,calc!P492,"")</f>
        <v/>
      </c>
      <c r="O492">
        <f>'Entry data'!C$1</f>
        <v>20064</v>
      </c>
      <c r="P492" t="str">
        <f>'Entry data'!C$2</f>
        <v>NSH</v>
      </c>
      <c r="Q492" t="str">
        <f>'Entry data'!C$3</f>
        <v>Home</v>
      </c>
    </row>
    <row r="493" spans="1:17" x14ac:dyDescent="0.25">
      <c r="A493" s="1" t="str">
        <f>IF(calc!$L493=1,calc!B493,"")</f>
        <v/>
      </c>
      <c r="B493" s="5" t="str">
        <f>IF(calc!$L493=1,calc!C493,"")</f>
        <v/>
      </c>
      <c r="C493" s="1" t="str">
        <f>IF(calc!$L493=1,calc!D493,"")</f>
        <v/>
      </c>
      <c r="D493" s="1" t="str">
        <f>IF(calc!$L493=1,calc!E493,"")</f>
        <v/>
      </c>
      <c r="E493" s="1" t="str">
        <f>IF(calc!$L493=1,IF(EXACT(calc!$D493,"FAC"),"",calc!F493),"")</f>
        <v/>
      </c>
      <c r="F493" s="1" t="str">
        <f>IF(calc!$L493=1,IF(EXACT(calc!$D493,"FAC"),"",calc!G493),"")</f>
        <v/>
      </c>
      <c r="G493" s="1" t="str">
        <f>IF(calc!$L493=1,IF(EXACT(calc!$D493,"FAC"),"",calc!H493),"")</f>
        <v/>
      </c>
      <c r="H493" s="1" t="str">
        <f>IF(calc!$L493=1,IF(EXACT(calc!$D493,"FAC"),"",calc!I493),"")</f>
        <v/>
      </c>
      <c r="I493" s="1" t="str">
        <f>IF(calc!$L493=1,calc!J493,"")</f>
        <v/>
      </c>
      <c r="J493" s="1" t="str">
        <f>IF(calc!$L493=1,calc!K493,"")</f>
        <v/>
      </c>
      <c r="K493" s="1" t="str">
        <f>IF(calc!$L493=1,calc!M493,"")</f>
        <v/>
      </c>
      <c r="L493" s="1" t="str">
        <f>IF(calc!$L493=1,calc!N493,"")</f>
        <v/>
      </c>
      <c r="M493" s="1" t="str">
        <f>IF(calc!$L493=1,calc!O493,"")</f>
        <v/>
      </c>
      <c r="N493" s="1" t="str">
        <f>IF(calc!$L493=1,calc!P493,"")</f>
        <v/>
      </c>
      <c r="O493">
        <f>'Entry data'!C$1</f>
        <v>20064</v>
      </c>
      <c r="P493" t="str">
        <f>'Entry data'!C$2</f>
        <v>NSH</v>
      </c>
      <c r="Q493" t="str">
        <f>'Entry data'!C$3</f>
        <v>Home</v>
      </c>
    </row>
    <row r="494" spans="1:17" x14ac:dyDescent="0.25">
      <c r="A494" s="1" t="str">
        <f>IF(calc!$L494=1,calc!B494,"")</f>
        <v/>
      </c>
      <c r="B494" s="5" t="str">
        <f>IF(calc!$L494=1,calc!C494,"")</f>
        <v/>
      </c>
      <c r="C494" s="1" t="str">
        <f>IF(calc!$L494=1,calc!D494,"")</f>
        <v/>
      </c>
      <c r="D494" s="1" t="str">
        <f>IF(calc!$L494=1,calc!E494,"")</f>
        <v/>
      </c>
      <c r="E494" s="1" t="str">
        <f>IF(calc!$L494=1,IF(EXACT(calc!$D494,"FAC"),"",calc!F494),"")</f>
        <v/>
      </c>
      <c r="F494" s="1" t="str">
        <f>IF(calc!$L494=1,IF(EXACT(calc!$D494,"FAC"),"",calc!G494),"")</f>
        <v/>
      </c>
      <c r="G494" s="1" t="str">
        <f>IF(calc!$L494=1,IF(EXACT(calc!$D494,"FAC"),"",calc!H494),"")</f>
        <v/>
      </c>
      <c r="H494" s="1" t="str">
        <f>IF(calc!$L494=1,IF(EXACT(calc!$D494,"FAC"),"",calc!I494),"")</f>
        <v/>
      </c>
      <c r="I494" s="1" t="str">
        <f>IF(calc!$L494=1,calc!J494,"")</f>
        <v/>
      </c>
      <c r="J494" s="1" t="str">
        <f>IF(calc!$L494=1,calc!K494,"")</f>
        <v/>
      </c>
      <c r="K494" s="1" t="str">
        <f>IF(calc!$L494=1,calc!M494,"")</f>
        <v/>
      </c>
      <c r="L494" s="1" t="str">
        <f>IF(calc!$L494=1,calc!N494,"")</f>
        <v/>
      </c>
      <c r="M494" s="1" t="str">
        <f>IF(calc!$L494=1,calc!O494,"")</f>
        <v/>
      </c>
      <c r="N494" s="1" t="str">
        <f>IF(calc!$L494=1,calc!P494,"")</f>
        <v/>
      </c>
      <c r="O494">
        <f>'Entry data'!C$1</f>
        <v>20064</v>
      </c>
      <c r="P494" t="str">
        <f>'Entry data'!C$2</f>
        <v>NSH</v>
      </c>
      <c r="Q494" t="str">
        <f>'Entry data'!C$3</f>
        <v>Home</v>
      </c>
    </row>
    <row r="495" spans="1:17" x14ac:dyDescent="0.25">
      <c r="A495" s="1" t="str">
        <f>IF(calc!$L495=1,calc!B495,"")</f>
        <v/>
      </c>
      <c r="B495" s="5" t="str">
        <f>IF(calc!$L495=1,calc!C495,"")</f>
        <v/>
      </c>
      <c r="C495" s="1" t="str">
        <f>IF(calc!$L495=1,calc!D495,"")</f>
        <v/>
      </c>
      <c r="D495" s="1" t="str">
        <f>IF(calc!$L495=1,calc!E495,"")</f>
        <v/>
      </c>
      <c r="E495" s="1" t="str">
        <f>IF(calc!$L495=1,IF(EXACT(calc!$D495,"FAC"),"",calc!F495),"")</f>
        <v/>
      </c>
      <c r="F495" s="1" t="str">
        <f>IF(calc!$L495=1,IF(EXACT(calc!$D495,"FAC"),"",calc!G495),"")</f>
        <v/>
      </c>
      <c r="G495" s="1" t="str">
        <f>IF(calc!$L495=1,IF(EXACT(calc!$D495,"FAC"),"",calc!H495),"")</f>
        <v/>
      </c>
      <c r="H495" s="1" t="str">
        <f>IF(calc!$L495=1,IF(EXACT(calc!$D495,"FAC"),"",calc!I495),"")</f>
        <v/>
      </c>
      <c r="I495" s="1" t="str">
        <f>IF(calc!$L495=1,calc!J495,"")</f>
        <v/>
      </c>
      <c r="J495" s="1" t="str">
        <f>IF(calc!$L495=1,calc!K495,"")</f>
        <v/>
      </c>
      <c r="K495" s="1" t="str">
        <f>IF(calc!$L495=1,calc!M495,"")</f>
        <v/>
      </c>
      <c r="L495" s="1" t="str">
        <f>IF(calc!$L495=1,calc!N495,"")</f>
        <v/>
      </c>
      <c r="M495" s="1" t="str">
        <f>IF(calc!$L495=1,calc!O495,"")</f>
        <v/>
      </c>
      <c r="N495" s="1" t="str">
        <f>IF(calc!$L495=1,calc!P495,"")</f>
        <v/>
      </c>
      <c r="O495">
        <f>'Entry data'!C$1</f>
        <v>20064</v>
      </c>
      <c r="P495" t="str">
        <f>'Entry data'!C$2</f>
        <v>NSH</v>
      </c>
      <c r="Q495" t="str">
        <f>'Entry data'!C$3</f>
        <v>Home</v>
      </c>
    </row>
    <row r="496" spans="1:17" x14ac:dyDescent="0.25">
      <c r="A496" s="1" t="str">
        <f>IF(calc!$L496=1,calc!B496,"")</f>
        <v/>
      </c>
      <c r="B496" s="5" t="str">
        <f>IF(calc!$L496=1,calc!C496,"")</f>
        <v/>
      </c>
      <c r="C496" s="1" t="str">
        <f>IF(calc!$L496=1,calc!D496,"")</f>
        <v/>
      </c>
      <c r="D496" s="1" t="str">
        <f>IF(calc!$L496=1,calc!E496,"")</f>
        <v/>
      </c>
      <c r="E496" s="1" t="str">
        <f>IF(calc!$L496=1,IF(EXACT(calc!$D496,"FAC"),"",calc!F496),"")</f>
        <v/>
      </c>
      <c r="F496" s="1" t="str">
        <f>IF(calc!$L496=1,IF(EXACT(calc!$D496,"FAC"),"",calc!G496),"")</f>
        <v/>
      </c>
      <c r="G496" s="1" t="str">
        <f>IF(calc!$L496=1,IF(EXACT(calc!$D496,"FAC"),"",calc!H496),"")</f>
        <v/>
      </c>
      <c r="H496" s="1" t="str">
        <f>IF(calc!$L496=1,IF(EXACT(calc!$D496,"FAC"),"",calc!I496),"")</f>
        <v/>
      </c>
      <c r="I496" s="1" t="str">
        <f>IF(calc!$L496=1,calc!J496,"")</f>
        <v/>
      </c>
      <c r="J496" s="1" t="str">
        <f>IF(calc!$L496=1,calc!K496,"")</f>
        <v/>
      </c>
      <c r="K496" s="1" t="str">
        <f>IF(calc!$L496=1,calc!M496,"")</f>
        <v/>
      </c>
      <c r="L496" s="1" t="str">
        <f>IF(calc!$L496=1,calc!N496,"")</f>
        <v/>
      </c>
      <c r="M496" s="1" t="str">
        <f>IF(calc!$L496=1,calc!O496,"")</f>
        <v/>
      </c>
      <c r="N496" s="1" t="str">
        <f>IF(calc!$L496=1,calc!P496,"")</f>
        <v/>
      </c>
      <c r="O496">
        <f>'Entry data'!C$1</f>
        <v>20064</v>
      </c>
      <c r="P496" t="str">
        <f>'Entry data'!C$2</f>
        <v>NSH</v>
      </c>
      <c r="Q496" t="str">
        <f>'Entry data'!C$3</f>
        <v>Home</v>
      </c>
    </row>
    <row r="497" spans="1:17" x14ac:dyDescent="0.25">
      <c r="A497" s="1" t="str">
        <f>IF(calc!$L497=1,calc!B497,"")</f>
        <v/>
      </c>
      <c r="B497" s="5" t="str">
        <f>IF(calc!$L497=1,calc!C497,"")</f>
        <v/>
      </c>
      <c r="C497" s="1" t="str">
        <f>IF(calc!$L497=1,calc!D497,"")</f>
        <v/>
      </c>
      <c r="D497" s="1" t="str">
        <f>IF(calc!$L497=1,calc!E497,"")</f>
        <v/>
      </c>
      <c r="E497" s="1" t="str">
        <f>IF(calc!$L497=1,IF(EXACT(calc!$D497,"FAC"),"",calc!F497),"")</f>
        <v/>
      </c>
      <c r="F497" s="1" t="str">
        <f>IF(calc!$L497=1,IF(EXACT(calc!$D497,"FAC"),"",calc!G497),"")</f>
        <v/>
      </c>
      <c r="G497" s="1" t="str">
        <f>IF(calc!$L497=1,IF(EXACT(calc!$D497,"FAC"),"",calc!H497),"")</f>
        <v/>
      </c>
      <c r="H497" s="1" t="str">
        <f>IF(calc!$L497=1,IF(EXACT(calc!$D497,"FAC"),"",calc!I497),"")</f>
        <v/>
      </c>
      <c r="I497" s="1" t="str">
        <f>IF(calc!$L497=1,calc!J497,"")</f>
        <v/>
      </c>
      <c r="J497" s="1" t="str">
        <f>IF(calc!$L497=1,calc!K497,"")</f>
        <v/>
      </c>
      <c r="K497" s="1" t="str">
        <f>IF(calc!$L497=1,calc!M497,"")</f>
        <v/>
      </c>
      <c r="L497" s="1" t="str">
        <f>IF(calc!$L497=1,calc!N497,"")</f>
        <v/>
      </c>
      <c r="M497" s="1" t="str">
        <f>IF(calc!$L497=1,calc!O497,"")</f>
        <v/>
      </c>
      <c r="N497" s="1" t="str">
        <f>IF(calc!$L497=1,calc!P497,"")</f>
        <v/>
      </c>
      <c r="O497">
        <f>'Entry data'!C$1</f>
        <v>20064</v>
      </c>
      <c r="P497" t="str">
        <f>'Entry data'!C$2</f>
        <v>NSH</v>
      </c>
      <c r="Q497" t="str">
        <f>'Entry data'!C$3</f>
        <v>Home</v>
      </c>
    </row>
    <row r="498" spans="1:17" x14ac:dyDescent="0.25">
      <c r="A498" s="1" t="str">
        <f>IF(calc!$L498=1,calc!B498,"")</f>
        <v/>
      </c>
      <c r="B498" s="5" t="str">
        <f>IF(calc!$L498=1,calc!C498,"")</f>
        <v/>
      </c>
      <c r="C498" s="1" t="str">
        <f>IF(calc!$L498=1,calc!D498,"")</f>
        <v/>
      </c>
      <c r="D498" s="1" t="str">
        <f>IF(calc!$L498=1,calc!E498,"")</f>
        <v/>
      </c>
      <c r="E498" s="1" t="str">
        <f>IF(calc!$L498=1,IF(EXACT(calc!$D498,"FAC"),"",calc!F498),"")</f>
        <v/>
      </c>
      <c r="F498" s="1" t="str">
        <f>IF(calc!$L498=1,IF(EXACT(calc!$D498,"FAC"),"",calc!G498),"")</f>
        <v/>
      </c>
      <c r="G498" s="1" t="str">
        <f>IF(calc!$L498=1,IF(EXACT(calc!$D498,"FAC"),"",calc!H498),"")</f>
        <v/>
      </c>
      <c r="H498" s="1" t="str">
        <f>IF(calc!$L498=1,IF(EXACT(calc!$D498,"FAC"),"",calc!I498),"")</f>
        <v/>
      </c>
      <c r="I498" s="1" t="str">
        <f>IF(calc!$L498=1,calc!J498,"")</f>
        <v/>
      </c>
      <c r="J498" s="1" t="str">
        <f>IF(calc!$L498=1,calc!K498,"")</f>
        <v/>
      </c>
      <c r="K498" s="1" t="str">
        <f>IF(calc!$L498=1,calc!M498,"")</f>
        <v/>
      </c>
      <c r="L498" s="1" t="str">
        <f>IF(calc!$L498=1,calc!N498,"")</f>
        <v/>
      </c>
      <c r="M498" s="1" t="str">
        <f>IF(calc!$L498=1,calc!O498,"")</f>
        <v/>
      </c>
      <c r="N498" s="1" t="str">
        <f>IF(calc!$L498=1,calc!P498,"")</f>
        <v/>
      </c>
      <c r="O498">
        <f>'Entry data'!C$1</f>
        <v>20064</v>
      </c>
      <c r="P498" t="str">
        <f>'Entry data'!C$2</f>
        <v>NSH</v>
      </c>
      <c r="Q498" t="str">
        <f>'Entry data'!C$3</f>
        <v>Home</v>
      </c>
    </row>
    <row r="499" spans="1:17" x14ac:dyDescent="0.25">
      <c r="A499" s="1" t="str">
        <f>IF(calc!$L499=1,calc!B499,"")</f>
        <v/>
      </c>
      <c r="B499" s="5" t="str">
        <f>IF(calc!$L499=1,calc!C499,"")</f>
        <v/>
      </c>
      <c r="C499" s="1" t="str">
        <f>IF(calc!$L499=1,calc!D499,"")</f>
        <v/>
      </c>
      <c r="D499" s="1" t="str">
        <f>IF(calc!$L499=1,calc!E499,"")</f>
        <v/>
      </c>
      <c r="E499" s="1" t="str">
        <f>IF(calc!$L499=1,IF(EXACT(calc!$D499,"FAC"),"",calc!F499),"")</f>
        <v/>
      </c>
      <c r="F499" s="1" t="str">
        <f>IF(calc!$L499=1,IF(EXACT(calc!$D499,"FAC"),"",calc!G499),"")</f>
        <v/>
      </c>
      <c r="G499" s="1" t="str">
        <f>IF(calc!$L499=1,IF(EXACT(calc!$D499,"FAC"),"",calc!H499),"")</f>
        <v/>
      </c>
      <c r="H499" s="1" t="str">
        <f>IF(calc!$L499=1,IF(EXACT(calc!$D499,"FAC"),"",calc!I499),"")</f>
        <v/>
      </c>
      <c r="I499" s="1" t="str">
        <f>IF(calc!$L499=1,calc!J499,"")</f>
        <v/>
      </c>
      <c r="J499" s="1" t="str">
        <f>IF(calc!$L499=1,calc!K499,"")</f>
        <v/>
      </c>
      <c r="K499" s="1" t="str">
        <f>IF(calc!$L499=1,calc!M499,"")</f>
        <v/>
      </c>
      <c r="L499" s="1" t="str">
        <f>IF(calc!$L499=1,calc!N499,"")</f>
        <v/>
      </c>
      <c r="M499" s="1" t="str">
        <f>IF(calc!$L499=1,calc!O499,"")</f>
        <v/>
      </c>
      <c r="N499" s="1" t="str">
        <f>IF(calc!$L499=1,calc!P499,"")</f>
        <v/>
      </c>
      <c r="O499">
        <f>'Entry data'!C$1</f>
        <v>20064</v>
      </c>
      <c r="P499" t="str">
        <f>'Entry data'!C$2</f>
        <v>NSH</v>
      </c>
      <c r="Q499" t="str">
        <f>'Entry data'!C$3</f>
        <v>Home</v>
      </c>
    </row>
    <row r="500" spans="1:17" x14ac:dyDescent="0.25">
      <c r="A500" s="1" t="str">
        <f>IF(calc!$L500=1,calc!B500,"")</f>
        <v/>
      </c>
      <c r="B500" s="5" t="str">
        <f>IF(calc!$L500=1,calc!C500,"")</f>
        <v/>
      </c>
      <c r="C500" s="1" t="str">
        <f>IF(calc!$L500=1,calc!D500,"")</f>
        <v/>
      </c>
      <c r="D500" s="1" t="str">
        <f>IF(calc!$L500=1,calc!E500,"")</f>
        <v/>
      </c>
      <c r="E500" s="1" t="str">
        <f>IF(calc!$L500=1,IF(EXACT(calc!$D500,"FAC"),"",calc!F500),"")</f>
        <v/>
      </c>
      <c r="F500" s="1" t="str">
        <f>IF(calc!$L500=1,IF(EXACT(calc!$D500,"FAC"),"",calc!G500),"")</f>
        <v/>
      </c>
      <c r="G500" s="1" t="str">
        <f>IF(calc!$L500=1,IF(EXACT(calc!$D500,"FAC"),"",calc!H500),"")</f>
        <v/>
      </c>
      <c r="H500" s="1" t="str">
        <f>IF(calc!$L500=1,IF(EXACT(calc!$D500,"FAC"),"",calc!I500),"")</f>
        <v/>
      </c>
      <c r="I500" s="1" t="str">
        <f>IF(calc!$L500=1,calc!J500,"")</f>
        <v/>
      </c>
      <c r="J500" s="1" t="str">
        <f>IF(calc!$L500=1,calc!K500,"")</f>
        <v/>
      </c>
      <c r="K500" s="1" t="str">
        <f>IF(calc!$L500=1,calc!M500,"")</f>
        <v/>
      </c>
      <c r="L500" s="1" t="str">
        <f>IF(calc!$L500=1,calc!N500,"")</f>
        <v/>
      </c>
      <c r="M500" s="1" t="str">
        <f>IF(calc!$L500=1,calc!O500,"")</f>
        <v/>
      </c>
      <c r="N500" s="1" t="str">
        <f>IF(calc!$L500=1,calc!P500,"")</f>
        <v/>
      </c>
      <c r="O500">
        <f>'Entry data'!C$1</f>
        <v>20064</v>
      </c>
      <c r="P500" t="str">
        <f>'Entry data'!C$2</f>
        <v>NSH</v>
      </c>
      <c r="Q500" t="str">
        <f>'Entry data'!C$3</f>
        <v>Home</v>
      </c>
    </row>
    <row r="501" spans="1:17" x14ac:dyDescent="0.25">
      <c r="A501" s="1" t="str">
        <f>IF(calc!$L501=1,calc!B501,"")</f>
        <v/>
      </c>
      <c r="B501" s="5" t="str">
        <f>IF(calc!$L501=1,calc!C501,"")</f>
        <v/>
      </c>
      <c r="C501" s="1" t="str">
        <f>IF(calc!$L501=1,calc!D501,"")</f>
        <v/>
      </c>
      <c r="D501" s="1" t="str">
        <f>IF(calc!$L501=1,calc!E501,"")</f>
        <v/>
      </c>
      <c r="E501" s="1" t="str">
        <f>IF(calc!$L501=1,IF(EXACT(calc!$D501,"FAC"),"",calc!F501),"")</f>
        <v/>
      </c>
      <c r="F501" s="1" t="str">
        <f>IF(calc!$L501=1,IF(EXACT(calc!$D501,"FAC"),"",calc!G501),"")</f>
        <v/>
      </c>
      <c r="G501" s="1" t="str">
        <f>IF(calc!$L501=1,IF(EXACT(calc!$D501,"FAC"),"",calc!H501),"")</f>
        <v/>
      </c>
      <c r="H501" s="1" t="str">
        <f>IF(calc!$L501=1,IF(EXACT(calc!$D501,"FAC"),"",calc!I501),"")</f>
        <v/>
      </c>
      <c r="I501" s="1" t="str">
        <f>IF(calc!$L501=1,calc!J501,"")</f>
        <v/>
      </c>
      <c r="J501" s="1" t="str">
        <f>IF(calc!$L501=1,calc!K501,"")</f>
        <v/>
      </c>
      <c r="K501" s="1" t="str">
        <f>IF(calc!$L501=1,calc!M501,"")</f>
        <v/>
      </c>
      <c r="L501" s="1" t="str">
        <f>IF(calc!$L501=1,calc!N501,"")</f>
        <v/>
      </c>
      <c r="M501" s="1" t="str">
        <f>IF(calc!$L501=1,calc!O501,"")</f>
        <v/>
      </c>
      <c r="N501" s="1" t="str">
        <f>IF(calc!$L501=1,calc!P501,"")</f>
        <v/>
      </c>
      <c r="O501">
        <f>'Entry data'!C$1</f>
        <v>20064</v>
      </c>
      <c r="P501" t="str">
        <f>'Entry data'!C$2</f>
        <v>NSH</v>
      </c>
      <c r="Q501" t="str">
        <f>'Entry data'!C$3</f>
        <v>Home</v>
      </c>
    </row>
    <row r="502" spans="1:17" x14ac:dyDescent="0.25">
      <c r="A502" s="1" t="str">
        <f>IF(calc!$L502=1,calc!B502,"")</f>
        <v/>
      </c>
      <c r="B502" s="5" t="str">
        <f>IF(calc!$L502=1,calc!C502,"")</f>
        <v/>
      </c>
      <c r="C502" s="1" t="str">
        <f>IF(calc!$L502=1,calc!D502,"")</f>
        <v/>
      </c>
      <c r="D502" s="1" t="str">
        <f>IF(calc!$L502=1,calc!E502,"")</f>
        <v/>
      </c>
      <c r="E502" s="1" t="str">
        <f>IF(calc!$L502=1,IF(EXACT(calc!$D502,"FAC"),"",calc!F502),"")</f>
        <v/>
      </c>
      <c r="F502" s="1" t="str">
        <f>IF(calc!$L502=1,IF(EXACT(calc!$D502,"FAC"),"",calc!G502),"")</f>
        <v/>
      </c>
      <c r="G502" s="1" t="str">
        <f>IF(calc!$L502=1,IF(EXACT(calc!$D502,"FAC"),"",calc!H502),"")</f>
        <v/>
      </c>
      <c r="H502" s="1" t="str">
        <f>IF(calc!$L502=1,IF(EXACT(calc!$D502,"FAC"),"",calc!I502),"")</f>
        <v/>
      </c>
      <c r="I502" s="1" t="str">
        <f>IF(calc!$L502=1,calc!J502,"")</f>
        <v/>
      </c>
      <c r="J502" s="1" t="str">
        <f>IF(calc!$L502=1,calc!K502,"")</f>
        <v/>
      </c>
      <c r="K502" s="1" t="str">
        <f>IF(calc!$L502=1,calc!M502,"")</f>
        <v/>
      </c>
      <c r="L502" s="1" t="str">
        <f>IF(calc!$L502=1,calc!N502,"")</f>
        <v/>
      </c>
      <c r="M502" s="1" t="str">
        <f>IF(calc!$L502=1,calc!O502,"")</f>
        <v/>
      </c>
      <c r="N502" s="1" t="str">
        <f>IF(calc!$L502=1,calc!P502,"")</f>
        <v/>
      </c>
      <c r="O502">
        <f>'Entry data'!C$1</f>
        <v>20064</v>
      </c>
      <c r="P502" t="str">
        <f>'Entry data'!C$2</f>
        <v>NSH</v>
      </c>
      <c r="Q502" t="str">
        <f>'Entry data'!C$3</f>
        <v>Home</v>
      </c>
    </row>
    <row r="503" spans="1:17" x14ac:dyDescent="0.25">
      <c r="A503" s="1" t="str">
        <f>IF(calc!$L503=1,calc!B503,"")</f>
        <v/>
      </c>
      <c r="B503" s="5" t="str">
        <f>IF(calc!$L503=1,calc!C503,"")</f>
        <v/>
      </c>
      <c r="C503" s="1" t="str">
        <f>IF(calc!$L503=1,calc!D503,"")</f>
        <v/>
      </c>
      <c r="D503" s="1" t="str">
        <f>IF(calc!$L503=1,calc!E503,"")</f>
        <v/>
      </c>
      <c r="E503" s="1" t="str">
        <f>IF(calc!$L503=1,IF(EXACT(calc!$D503,"FAC"),"",calc!F503),"")</f>
        <v/>
      </c>
      <c r="F503" s="1" t="str">
        <f>IF(calc!$L503=1,IF(EXACT(calc!$D503,"FAC"),"",calc!G503),"")</f>
        <v/>
      </c>
      <c r="G503" s="1" t="str">
        <f>IF(calc!$L503=1,IF(EXACT(calc!$D503,"FAC"),"",calc!H503),"")</f>
        <v/>
      </c>
      <c r="H503" s="1" t="str">
        <f>IF(calc!$L503=1,IF(EXACT(calc!$D503,"FAC"),"",calc!I503),"")</f>
        <v/>
      </c>
      <c r="I503" s="1" t="str">
        <f>IF(calc!$L503=1,calc!J503,"")</f>
        <v/>
      </c>
      <c r="J503" s="1" t="str">
        <f>IF(calc!$L503=1,calc!K503,"")</f>
        <v/>
      </c>
      <c r="K503" s="1" t="str">
        <f>IF(calc!$L503=1,calc!M503,"")</f>
        <v/>
      </c>
      <c r="L503" s="1" t="str">
        <f>IF(calc!$L503=1,calc!N503,"")</f>
        <v/>
      </c>
      <c r="M503" s="1" t="str">
        <f>IF(calc!$L503=1,calc!O503,"")</f>
        <v/>
      </c>
      <c r="N503" s="1" t="str">
        <f>IF(calc!$L503=1,calc!P503,"")</f>
        <v/>
      </c>
      <c r="O503">
        <f>'Entry data'!C$1</f>
        <v>20064</v>
      </c>
      <c r="P503" t="str">
        <f>'Entry data'!C$2</f>
        <v>NSH</v>
      </c>
      <c r="Q503" t="str">
        <f>'Entry data'!C$3</f>
        <v>Home</v>
      </c>
    </row>
    <row r="504" spans="1:17" x14ac:dyDescent="0.25">
      <c r="A504" s="1" t="str">
        <f>IF(calc!$L504=1,calc!B504,"")</f>
        <v/>
      </c>
      <c r="B504" s="5" t="str">
        <f>IF(calc!$L504=1,calc!C504,"")</f>
        <v/>
      </c>
      <c r="C504" s="1" t="str">
        <f>IF(calc!$L504=1,calc!D504,"")</f>
        <v/>
      </c>
      <c r="D504" s="1" t="str">
        <f>IF(calc!$L504=1,calc!E504,"")</f>
        <v/>
      </c>
      <c r="E504" s="1" t="str">
        <f>IF(calc!$L504=1,IF(EXACT(calc!$D504,"FAC"),"",calc!F504),"")</f>
        <v/>
      </c>
      <c r="F504" s="1" t="str">
        <f>IF(calc!$L504=1,IF(EXACT(calc!$D504,"FAC"),"",calc!G504),"")</f>
        <v/>
      </c>
      <c r="G504" s="1" t="str">
        <f>IF(calc!$L504=1,IF(EXACT(calc!$D504,"FAC"),"",calc!H504),"")</f>
        <v/>
      </c>
      <c r="H504" s="1" t="str">
        <f>IF(calc!$L504=1,IF(EXACT(calc!$D504,"FAC"),"",calc!I504),"")</f>
        <v/>
      </c>
      <c r="I504" s="1" t="str">
        <f>IF(calc!$L504=1,calc!J504,"")</f>
        <v/>
      </c>
      <c r="J504" s="1" t="str">
        <f>IF(calc!$L504=1,calc!K504,"")</f>
        <v/>
      </c>
      <c r="K504" s="1" t="str">
        <f>IF(calc!$L504=1,calc!M504,"")</f>
        <v/>
      </c>
      <c r="L504" s="1" t="str">
        <f>IF(calc!$L504=1,calc!N504,"")</f>
        <v/>
      </c>
      <c r="M504" s="1" t="str">
        <f>IF(calc!$L504=1,calc!O504,"")</f>
        <v/>
      </c>
      <c r="N504" s="1" t="str">
        <f>IF(calc!$L504=1,calc!P504,"")</f>
        <v/>
      </c>
      <c r="O504">
        <f>'Entry data'!C$1</f>
        <v>20064</v>
      </c>
      <c r="P504" t="str">
        <f>'Entry data'!C$2</f>
        <v>NSH</v>
      </c>
      <c r="Q504" t="str">
        <f>'Entry data'!C$3</f>
        <v>Home</v>
      </c>
    </row>
    <row r="505" spans="1:17" x14ac:dyDescent="0.25">
      <c r="A505" s="1" t="str">
        <f>IF(calc!$L505=1,calc!B505,"")</f>
        <v/>
      </c>
      <c r="B505" s="5" t="str">
        <f>IF(calc!$L505=1,calc!C505,"")</f>
        <v/>
      </c>
      <c r="C505" s="1" t="str">
        <f>IF(calc!$L505=1,calc!D505,"")</f>
        <v/>
      </c>
      <c r="D505" s="1" t="str">
        <f>IF(calc!$L505=1,calc!E505,"")</f>
        <v/>
      </c>
      <c r="E505" s="1" t="str">
        <f>IF(calc!$L505=1,IF(EXACT(calc!$D505,"FAC"),"",calc!F505),"")</f>
        <v/>
      </c>
      <c r="F505" s="1" t="str">
        <f>IF(calc!$L505=1,IF(EXACT(calc!$D505,"FAC"),"",calc!G505),"")</f>
        <v/>
      </c>
      <c r="G505" s="1" t="str">
        <f>IF(calc!$L505=1,IF(EXACT(calc!$D505,"FAC"),"",calc!H505),"")</f>
        <v/>
      </c>
      <c r="H505" s="1" t="str">
        <f>IF(calc!$L505=1,IF(EXACT(calc!$D505,"FAC"),"",calc!I505),"")</f>
        <v/>
      </c>
      <c r="I505" s="1" t="str">
        <f>IF(calc!$L505=1,calc!J505,"")</f>
        <v/>
      </c>
      <c r="J505" s="1" t="str">
        <f>IF(calc!$L505=1,calc!K505,"")</f>
        <v/>
      </c>
      <c r="K505" s="1" t="str">
        <f>IF(calc!$L505=1,calc!M505,"")</f>
        <v/>
      </c>
      <c r="L505" s="1" t="str">
        <f>IF(calc!$L505=1,calc!N505,"")</f>
        <v/>
      </c>
      <c r="M505" s="1" t="str">
        <f>IF(calc!$L505=1,calc!O505,"")</f>
        <v/>
      </c>
      <c r="N505" s="1" t="str">
        <f>IF(calc!$L505=1,calc!P505,"")</f>
        <v/>
      </c>
      <c r="O505">
        <f>'Entry data'!C$1</f>
        <v>20064</v>
      </c>
      <c r="P505" t="str">
        <f>'Entry data'!C$2</f>
        <v>NSH</v>
      </c>
      <c r="Q505" t="str">
        <f>'Entry data'!C$3</f>
        <v>Home</v>
      </c>
    </row>
    <row r="506" spans="1:17" x14ac:dyDescent="0.25">
      <c r="A506" s="1" t="str">
        <f>IF(calc!$L506=1,calc!B506,"")</f>
        <v/>
      </c>
      <c r="B506" s="5" t="str">
        <f>IF(calc!$L506=1,calc!C506,"")</f>
        <v/>
      </c>
      <c r="C506" s="1" t="str">
        <f>IF(calc!$L506=1,calc!D506,"")</f>
        <v/>
      </c>
      <c r="D506" s="1" t="str">
        <f>IF(calc!$L506=1,calc!E506,"")</f>
        <v/>
      </c>
      <c r="E506" s="1" t="str">
        <f>IF(calc!$L506=1,IF(EXACT(calc!$D506,"FAC"),"",calc!F506),"")</f>
        <v/>
      </c>
      <c r="F506" s="1" t="str">
        <f>IF(calc!$L506=1,IF(EXACT(calc!$D506,"FAC"),"",calc!G506),"")</f>
        <v/>
      </c>
      <c r="G506" s="1" t="str">
        <f>IF(calc!$L506=1,IF(EXACT(calc!$D506,"FAC"),"",calc!H506),"")</f>
        <v/>
      </c>
      <c r="H506" s="1" t="str">
        <f>IF(calc!$L506=1,IF(EXACT(calc!$D506,"FAC"),"",calc!I506),"")</f>
        <v/>
      </c>
      <c r="I506" s="1" t="str">
        <f>IF(calc!$L506=1,calc!J506,"")</f>
        <v/>
      </c>
      <c r="J506" s="1" t="str">
        <f>IF(calc!$L506=1,calc!K506,"")</f>
        <v/>
      </c>
      <c r="K506" s="1" t="str">
        <f>IF(calc!$L506=1,calc!M506,"")</f>
        <v/>
      </c>
      <c r="L506" s="1" t="str">
        <f>IF(calc!$L506=1,calc!N506,"")</f>
        <v/>
      </c>
      <c r="M506" s="1" t="str">
        <f>IF(calc!$L506=1,calc!O506,"")</f>
        <v/>
      </c>
      <c r="N506" s="1" t="str">
        <f>IF(calc!$L506=1,calc!P506,"")</f>
        <v/>
      </c>
      <c r="O506">
        <f>'Entry data'!C$1</f>
        <v>20064</v>
      </c>
      <c r="P506" t="str">
        <f>'Entry data'!C$2</f>
        <v>NSH</v>
      </c>
      <c r="Q506" t="str">
        <f>'Entry data'!C$3</f>
        <v>Home</v>
      </c>
    </row>
    <row r="507" spans="1:17" x14ac:dyDescent="0.25">
      <c r="A507" s="1" t="str">
        <f>IF(calc!$L507=1,calc!B507,"")</f>
        <v/>
      </c>
      <c r="B507" s="5" t="str">
        <f>IF(calc!$L507=1,calc!C507,"")</f>
        <v/>
      </c>
      <c r="C507" s="1" t="str">
        <f>IF(calc!$L507=1,calc!D507,"")</f>
        <v/>
      </c>
      <c r="D507" s="1" t="str">
        <f>IF(calc!$L507=1,calc!E507,"")</f>
        <v/>
      </c>
      <c r="E507" s="1" t="str">
        <f>IF(calc!$L507=1,IF(EXACT(calc!$D507,"FAC"),"",calc!F507),"")</f>
        <v/>
      </c>
      <c r="F507" s="1" t="str">
        <f>IF(calc!$L507=1,IF(EXACT(calc!$D507,"FAC"),"",calc!G507),"")</f>
        <v/>
      </c>
      <c r="G507" s="1" t="str">
        <f>IF(calc!$L507=1,IF(EXACT(calc!$D507,"FAC"),"",calc!H507),"")</f>
        <v/>
      </c>
      <c r="H507" s="1" t="str">
        <f>IF(calc!$L507=1,IF(EXACT(calc!$D507,"FAC"),"",calc!I507),"")</f>
        <v/>
      </c>
      <c r="I507" s="1" t="str">
        <f>IF(calc!$L507=1,calc!J507,"")</f>
        <v/>
      </c>
      <c r="J507" s="1" t="str">
        <f>IF(calc!$L507=1,calc!K507,"")</f>
        <v/>
      </c>
      <c r="K507" s="1" t="str">
        <f>IF(calc!$L507=1,calc!M507,"")</f>
        <v/>
      </c>
      <c r="L507" s="1" t="str">
        <f>IF(calc!$L507=1,calc!N507,"")</f>
        <v/>
      </c>
      <c r="M507" s="1" t="str">
        <f>IF(calc!$L507=1,calc!O507,"")</f>
        <v/>
      </c>
      <c r="N507" s="1" t="str">
        <f>IF(calc!$L507=1,calc!P507,"")</f>
        <v/>
      </c>
      <c r="O507">
        <f>'Entry data'!C$1</f>
        <v>20064</v>
      </c>
      <c r="P507" t="str">
        <f>'Entry data'!C$2</f>
        <v>NSH</v>
      </c>
      <c r="Q507" t="str">
        <f>'Entry data'!C$3</f>
        <v>Home</v>
      </c>
    </row>
    <row r="508" spans="1:17" x14ac:dyDescent="0.25">
      <c r="A508" s="1" t="str">
        <f>IF(calc!$L508=1,calc!B508,"")</f>
        <v/>
      </c>
      <c r="B508" s="5" t="str">
        <f>IF(calc!$L508=1,calc!C508,"")</f>
        <v/>
      </c>
      <c r="C508" s="1" t="str">
        <f>IF(calc!$L508=1,calc!D508,"")</f>
        <v/>
      </c>
      <c r="D508" s="1" t="str">
        <f>IF(calc!$L508=1,calc!E508,"")</f>
        <v/>
      </c>
      <c r="E508" s="1" t="str">
        <f>IF(calc!$L508=1,IF(EXACT(calc!$D508,"FAC"),"",calc!F508),"")</f>
        <v/>
      </c>
      <c r="F508" s="1" t="str">
        <f>IF(calc!$L508=1,IF(EXACT(calc!$D508,"FAC"),"",calc!G508),"")</f>
        <v/>
      </c>
      <c r="G508" s="1" t="str">
        <f>IF(calc!$L508=1,IF(EXACT(calc!$D508,"FAC"),"",calc!H508),"")</f>
        <v/>
      </c>
      <c r="H508" s="1" t="str">
        <f>IF(calc!$L508=1,IF(EXACT(calc!$D508,"FAC"),"",calc!I508),"")</f>
        <v/>
      </c>
      <c r="I508" s="1" t="str">
        <f>IF(calc!$L508=1,calc!J508,"")</f>
        <v/>
      </c>
      <c r="J508" s="1" t="str">
        <f>IF(calc!$L508=1,calc!K508,"")</f>
        <v/>
      </c>
      <c r="K508" s="1" t="str">
        <f>IF(calc!$L508=1,calc!M508,"")</f>
        <v/>
      </c>
      <c r="L508" s="1" t="str">
        <f>IF(calc!$L508=1,calc!N508,"")</f>
        <v/>
      </c>
      <c r="M508" s="1" t="str">
        <f>IF(calc!$L508=1,calc!O508,"")</f>
        <v/>
      </c>
      <c r="N508" s="1" t="str">
        <f>IF(calc!$L508=1,calc!P508,"")</f>
        <v/>
      </c>
      <c r="O508">
        <f>'Entry data'!C$1</f>
        <v>20064</v>
      </c>
      <c r="P508" t="str">
        <f>'Entry data'!C$2</f>
        <v>NSH</v>
      </c>
      <c r="Q508" t="str">
        <f>'Entry data'!C$3</f>
        <v>Home</v>
      </c>
    </row>
    <row r="509" spans="1:17" x14ac:dyDescent="0.25">
      <c r="A509" s="1" t="str">
        <f>IF(calc!$L509=1,calc!B509,"")</f>
        <v/>
      </c>
      <c r="B509" s="5" t="str">
        <f>IF(calc!$L509=1,calc!C509,"")</f>
        <v/>
      </c>
      <c r="C509" s="1" t="str">
        <f>IF(calc!$L509=1,calc!D509,"")</f>
        <v/>
      </c>
      <c r="D509" s="1" t="str">
        <f>IF(calc!$L509=1,calc!E509,"")</f>
        <v/>
      </c>
      <c r="E509" s="1" t="str">
        <f>IF(calc!$L509=1,IF(EXACT(calc!$D509,"FAC"),"",calc!F509),"")</f>
        <v/>
      </c>
      <c r="F509" s="1" t="str">
        <f>IF(calc!$L509=1,IF(EXACT(calc!$D509,"FAC"),"",calc!G509),"")</f>
        <v/>
      </c>
      <c r="G509" s="1" t="str">
        <f>IF(calc!$L509=1,IF(EXACT(calc!$D509,"FAC"),"",calc!H509),"")</f>
        <v/>
      </c>
      <c r="H509" s="1" t="str">
        <f>IF(calc!$L509=1,IF(EXACT(calc!$D509,"FAC"),"",calc!I509),"")</f>
        <v/>
      </c>
      <c r="I509" s="1" t="str">
        <f>IF(calc!$L509=1,calc!J509,"")</f>
        <v/>
      </c>
      <c r="J509" s="1" t="str">
        <f>IF(calc!$L509=1,calc!K509,"")</f>
        <v/>
      </c>
      <c r="K509" s="1" t="str">
        <f>IF(calc!$L509=1,calc!M509,"")</f>
        <v/>
      </c>
      <c r="L509" s="1" t="str">
        <f>IF(calc!$L509=1,calc!N509,"")</f>
        <v/>
      </c>
      <c r="M509" s="1" t="str">
        <f>IF(calc!$L509=1,calc!O509,"")</f>
        <v/>
      </c>
      <c r="N509" s="1" t="str">
        <f>IF(calc!$L509=1,calc!P509,"")</f>
        <v/>
      </c>
      <c r="O509">
        <f>'Entry data'!C$1</f>
        <v>20064</v>
      </c>
      <c r="P509" t="str">
        <f>'Entry data'!C$2</f>
        <v>NSH</v>
      </c>
      <c r="Q509" t="str">
        <f>'Entry data'!C$3</f>
        <v>Home</v>
      </c>
    </row>
    <row r="510" spans="1:17" x14ac:dyDescent="0.25">
      <c r="A510" s="1" t="str">
        <f>IF(calc!$L510=1,calc!B510,"")</f>
        <v/>
      </c>
      <c r="B510" s="5" t="str">
        <f>IF(calc!$L510=1,calc!C510,"")</f>
        <v/>
      </c>
      <c r="C510" s="1" t="str">
        <f>IF(calc!$L510=1,calc!D510,"")</f>
        <v/>
      </c>
      <c r="D510" s="1" t="str">
        <f>IF(calc!$L510=1,calc!E510,"")</f>
        <v/>
      </c>
      <c r="E510" s="1" t="str">
        <f>IF(calc!$L510=1,IF(EXACT(calc!$D510,"FAC"),"",calc!F510),"")</f>
        <v/>
      </c>
      <c r="F510" s="1" t="str">
        <f>IF(calc!$L510=1,IF(EXACT(calc!$D510,"FAC"),"",calc!G510),"")</f>
        <v/>
      </c>
      <c r="G510" s="1" t="str">
        <f>IF(calc!$L510=1,IF(EXACT(calc!$D510,"FAC"),"",calc!H510),"")</f>
        <v/>
      </c>
      <c r="H510" s="1" t="str">
        <f>IF(calc!$L510=1,IF(EXACT(calc!$D510,"FAC"),"",calc!I510),"")</f>
        <v/>
      </c>
      <c r="I510" s="1" t="str">
        <f>IF(calc!$L510=1,calc!J510,"")</f>
        <v/>
      </c>
      <c r="J510" s="1" t="str">
        <f>IF(calc!$L510=1,calc!K510,"")</f>
        <v/>
      </c>
      <c r="K510" s="1" t="str">
        <f>IF(calc!$L510=1,calc!M510,"")</f>
        <v/>
      </c>
      <c r="L510" s="1" t="str">
        <f>IF(calc!$L510=1,calc!N510,"")</f>
        <v/>
      </c>
      <c r="M510" s="1" t="str">
        <f>IF(calc!$L510=1,calc!O510,"")</f>
        <v/>
      </c>
      <c r="N510" s="1" t="str">
        <f>IF(calc!$L510=1,calc!P510,"")</f>
        <v/>
      </c>
      <c r="O510">
        <f>'Entry data'!C$1</f>
        <v>20064</v>
      </c>
      <c r="P510" t="str">
        <f>'Entry data'!C$2</f>
        <v>NSH</v>
      </c>
      <c r="Q510" t="str">
        <f>'Entry data'!C$3</f>
        <v>Home</v>
      </c>
    </row>
    <row r="511" spans="1:17" x14ac:dyDescent="0.25">
      <c r="A511" s="1" t="str">
        <f>IF(calc!$L511=1,calc!B511,"")</f>
        <v/>
      </c>
      <c r="B511" s="5" t="str">
        <f>IF(calc!$L511=1,calc!C511,"")</f>
        <v/>
      </c>
      <c r="C511" s="1" t="str">
        <f>IF(calc!$L511=1,calc!D511,"")</f>
        <v/>
      </c>
      <c r="D511" s="1" t="str">
        <f>IF(calc!$L511=1,calc!E511,"")</f>
        <v/>
      </c>
      <c r="E511" s="1" t="str">
        <f>IF(calc!$L511=1,IF(EXACT(calc!$D511,"FAC"),"",calc!F511),"")</f>
        <v/>
      </c>
      <c r="F511" s="1" t="str">
        <f>IF(calc!$L511=1,IF(EXACT(calc!$D511,"FAC"),"",calc!G511),"")</f>
        <v/>
      </c>
      <c r="G511" s="1" t="str">
        <f>IF(calc!$L511=1,IF(EXACT(calc!$D511,"FAC"),"",calc!H511),"")</f>
        <v/>
      </c>
      <c r="H511" s="1" t="str">
        <f>IF(calc!$L511=1,IF(EXACT(calc!$D511,"FAC"),"",calc!I511),"")</f>
        <v/>
      </c>
      <c r="I511" s="1" t="str">
        <f>IF(calc!$L511=1,calc!J511,"")</f>
        <v/>
      </c>
      <c r="J511" s="1" t="str">
        <f>IF(calc!$L511=1,calc!K511,"")</f>
        <v/>
      </c>
      <c r="K511" s="1" t="str">
        <f>IF(calc!$L511=1,calc!M511,"")</f>
        <v/>
      </c>
      <c r="L511" s="1" t="str">
        <f>IF(calc!$L511=1,calc!N511,"")</f>
        <v/>
      </c>
      <c r="M511" s="1" t="str">
        <f>IF(calc!$L511=1,calc!O511,"")</f>
        <v/>
      </c>
      <c r="N511" s="1" t="str">
        <f>IF(calc!$L511=1,calc!P511,"")</f>
        <v/>
      </c>
      <c r="O511">
        <f>'Entry data'!C$1</f>
        <v>20064</v>
      </c>
      <c r="P511" t="str">
        <f>'Entry data'!C$2</f>
        <v>NSH</v>
      </c>
      <c r="Q511" t="str">
        <f>'Entry data'!C$3</f>
        <v>Home</v>
      </c>
    </row>
    <row r="512" spans="1:17" x14ac:dyDescent="0.25">
      <c r="A512" s="1" t="str">
        <f>IF(calc!$L512=1,calc!B512,"")</f>
        <v/>
      </c>
      <c r="B512" s="5" t="str">
        <f>IF(calc!$L512=1,calc!C512,"")</f>
        <v/>
      </c>
      <c r="C512" s="1" t="str">
        <f>IF(calc!$L512=1,calc!D512,"")</f>
        <v/>
      </c>
      <c r="D512" s="1" t="str">
        <f>IF(calc!$L512=1,calc!E512,"")</f>
        <v/>
      </c>
      <c r="E512" s="1" t="str">
        <f>IF(calc!$L512=1,IF(EXACT(calc!$D512,"FAC"),"",calc!F512),"")</f>
        <v/>
      </c>
      <c r="F512" s="1" t="str">
        <f>IF(calc!$L512=1,IF(EXACT(calc!$D512,"FAC"),"",calc!G512),"")</f>
        <v/>
      </c>
      <c r="G512" s="1" t="str">
        <f>IF(calc!$L512=1,IF(EXACT(calc!$D512,"FAC"),"",calc!H512),"")</f>
        <v/>
      </c>
      <c r="H512" s="1" t="str">
        <f>IF(calc!$L512=1,IF(EXACT(calc!$D512,"FAC"),"",calc!I512),"")</f>
        <v/>
      </c>
      <c r="I512" s="1" t="str">
        <f>IF(calc!$L512=1,calc!J512,"")</f>
        <v/>
      </c>
      <c r="J512" s="1" t="str">
        <f>IF(calc!$L512=1,calc!K512,"")</f>
        <v/>
      </c>
      <c r="K512" s="1" t="str">
        <f>IF(calc!$L512=1,calc!M512,"")</f>
        <v/>
      </c>
      <c r="L512" s="1" t="str">
        <f>IF(calc!$L512=1,calc!N512,"")</f>
        <v/>
      </c>
      <c r="M512" s="1" t="str">
        <f>IF(calc!$L512=1,calc!O512,"")</f>
        <v/>
      </c>
      <c r="N512" s="1" t="str">
        <f>IF(calc!$L512=1,calc!P512,"")</f>
        <v/>
      </c>
      <c r="O512">
        <f>'Entry data'!C$1</f>
        <v>20064</v>
      </c>
      <c r="P512" t="str">
        <f>'Entry data'!C$2</f>
        <v>NSH</v>
      </c>
      <c r="Q512" t="str">
        <f>'Entry data'!C$3</f>
        <v>Home</v>
      </c>
    </row>
    <row r="513" spans="1:17" x14ac:dyDescent="0.25">
      <c r="A513" s="1" t="str">
        <f>IF(calc!$L513=1,calc!B513,"")</f>
        <v/>
      </c>
      <c r="B513" s="5" t="str">
        <f>IF(calc!$L513=1,calc!C513,"")</f>
        <v/>
      </c>
      <c r="C513" s="1" t="str">
        <f>IF(calc!$L513=1,calc!D513,"")</f>
        <v/>
      </c>
      <c r="D513" s="1" t="str">
        <f>IF(calc!$L513=1,calc!E513,"")</f>
        <v/>
      </c>
      <c r="E513" s="1" t="str">
        <f>IF(calc!$L513=1,IF(EXACT(calc!$D513,"FAC"),"",calc!F513),"")</f>
        <v/>
      </c>
      <c r="F513" s="1" t="str">
        <f>IF(calc!$L513=1,IF(EXACT(calc!$D513,"FAC"),"",calc!G513),"")</f>
        <v/>
      </c>
      <c r="G513" s="1" t="str">
        <f>IF(calc!$L513=1,IF(EXACT(calc!$D513,"FAC"),"",calc!H513),"")</f>
        <v/>
      </c>
      <c r="H513" s="1" t="str">
        <f>IF(calc!$L513=1,IF(EXACT(calc!$D513,"FAC"),"",calc!I513),"")</f>
        <v/>
      </c>
      <c r="I513" s="1" t="str">
        <f>IF(calc!$L513=1,calc!J513,"")</f>
        <v/>
      </c>
      <c r="J513" s="1" t="str">
        <f>IF(calc!$L513=1,calc!K513,"")</f>
        <v/>
      </c>
      <c r="K513" s="1" t="str">
        <f>IF(calc!$L513=1,calc!M513,"")</f>
        <v/>
      </c>
      <c r="L513" s="1" t="str">
        <f>IF(calc!$L513=1,calc!N513,"")</f>
        <v/>
      </c>
      <c r="M513" s="1" t="str">
        <f>IF(calc!$L513=1,calc!O513,"")</f>
        <v/>
      </c>
      <c r="N513" s="1" t="str">
        <f>IF(calc!$L513=1,calc!P513,"")</f>
        <v/>
      </c>
      <c r="O513">
        <f>'Entry data'!C$1</f>
        <v>20064</v>
      </c>
      <c r="P513" t="str">
        <f>'Entry data'!C$2</f>
        <v>NSH</v>
      </c>
      <c r="Q513" t="str">
        <f>'Entry data'!C$3</f>
        <v>Home</v>
      </c>
    </row>
    <row r="514" spans="1:17" x14ac:dyDescent="0.25">
      <c r="A514" s="1" t="str">
        <f>IF(calc!$L514=1,calc!B514,"")</f>
        <v/>
      </c>
      <c r="B514" s="5" t="str">
        <f>IF(calc!$L514=1,calc!C514,"")</f>
        <v/>
      </c>
      <c r="C514" s="1" t="str">
        <f>IF(calc!$L514=1,calc!D514,"")</f>
        <v/>
      </c>
      <c r="D514" s="1" t="str">
        <f>IF(calc!$L514=1,calc!E514,"")</f>
        <v/>
      </c>
      <c r="E514" s="1" t="str">
        <f>IF(calc!$L514=1,IF(EXACT(calc!$D514,"FAC"),"",calc!F514),"")</f>
        <v/>
      </c>
      <c r="F514" s="1" t="str">
        <f>IF(calc!$L514=1,IF(EXACT(calc!$D514,"FAC"),"",calc!G514),"")</f>
        <v/>
      </c>
      <c r="G514" s="1" t="str">
        <f>IF(calc!$L514=1,IF(EXACT(calc!$D514,"FAC"),"",calc!H514),"")</f>
        <v/>
      </c>
      <c r="H514" s="1" t="str">
        <f>IF(calc!$L514=1,IF(EXACT(calc!$D514,"FAC"),"",calc!I514),"")</f>
        <v/>
      </c>
      <c r="I514" s="1" t="str">
        <f>IF(calc!$L514=1,calc!J514,"")</f>
        <v/>
      </c>
      <c r="J514" s="1" t="str">
        <f>IF(calc!$L514=1,calc!K514,"")</f>
        <v/>
      </c>
      <c r="K514" s="1" t="str">
        <f>IF(calc!$L514=1,calc!M514,"")</f>
        <v/>
      </c>
      <c r="L514" s="1" t="str">
        <f>IF(calc!$L514=1,calc!N514,"")</f>
        <v/>
      </c>
      <c r="M514" s="1" t="str">
        <f>IF(calc!$L514=1,calc!O514,"")</f>
        <v/>
      </c>
      <c r="N514" s="1" t="str">
        <f>IF(calc!$L514=1,calc!P514,"")</f>
        <v/>
      </c>
      <c r="O514">
        <f>'Entry data'!C$1</f>
        <v>20064</v>
      </c>
      <c r="P514" t="str">
        <f>'Entry data'!C$2</f>
        <v>NSH</v>
      </c>
      <c r="Q514" t="str">
        <f>'Entry data'!C$3</f>
        <v>Home</v>
      </c>
    </row>
    <row r="515" spans="1:17" x14ac:dyDescent="0.25">
      <c r="A515" s="1" t="str">
        <f>IF(calc!$L515=1,calc!B515,"")</f>
        <v/>
      </c>
      <c r="B515" s="5" t="str">
        <f>IF(calc!$L515=1,calc!C515,"")</f>
        <v/>
      </c>
      <c r="C515" s="1" t="str">
        <f>IF(calc!$L515=1,calc!D515,"")</f>
        <v/>
      </c>
      <c r="D515" s="1" t="str">
        <f>IF(calc!$L515=1,calc!E515,"")</f>
        <v/>
      </c>
      <c r="E515" s="1" t="str">
        <f>IF(calc!$L515=1,IF(EXACT(calc!$D515,"FAC"),"",calc!F515),"")</f>
        <v/>
      </c>
      <c r="F515" s="1" t="str">
        <f>IF(calc!$L515=1,IF(EXACT(calc!$D515,"FAC"),"",calc!G515),"")</f>
        <v/>
      </c>
      <c r="G515" s="1" t="str">
        <f>IF(calc!$L515=1,IF(EXACT(calc!$D515,"FAC"),"",calc!H515),"")</f>
        <v/>
      </c>
      <c r="H515" s="1" t="str">
        <f>IF(calc!$L515=1,IF(EXACT(calc!$D515,"FAC"),"",calc!I515),"")</f>
        <v/>
      </c>
      <c r="I515" s="1" t="str">
        <f>IF(calc!$L515=1,calc!J515,"")</f>
        <v/>
      </c>
      <c r="J515" s="1" t="str">
        <f>IF(calc!$L515=1,calc!K515,"")</f>
        <v/>
      </c>
      <c r="K515" s="1" t="str">
        <f>IF(calc!$L515=1,calc!M515,"")</f>
        <v/>
      </c>
      <c r="L515" s="1" t="str">
        <f>IF(calc!$L515=1,calc!N515,"")</f>
        <v/>
      </c>
      <c r="M515" s="1" t="str">
        <f>IF(calc!$L515=1,calc!O515,"")</f>
        <v/>
      </c>
      <c r="N515" s="1" t="str">
        <f>IF(calc!$L515=1,calc!P515,"")</f>
        <v/>
      </c>
      <c r="O515">
        <f>'Entry data'!C$1</f>
        <v>20064</v>
      </c>
      <c r="P515" t="str">
        <f>'Entry data'!C$2</f>
        <v>NSH</v>
      </c>
      <c r="Q515" t="str">
        <f>'Entry data'!C$3</f>
        <v>Home</v>
      </c>
    </row>
    <row r="516" spans="1:17" x14ac:dyDescent="0.25">
      <c r="A516" s="1" t="str">
        <f>IF(calc!$L516=1,calc!B516,"")</f>
        <v/>
      </c>
      <c r="B516" s="5" t="str">
        <f>IF(calc!$L516=1,calc!C516,"")</f>
        <v/>
      </c>
      <c r="C516" s="1" t="str">
        <f>IF(calc!$L516=1,calc!D516,"")</f>
        <v/>
      </c>
      <c r="D516" s="1" t="str">
        <f>IF(calc!$L516=1,calc!E516,"")</f>
        <v/>
      </c>
      <c r="E516" s="1" t="str">
        <f>IF(calc!$L516=1,IF(EXACT(calc!$D516,"FAC"),"",calc!F516),"")</f>
        <v/>
      </c>
      <c r="F516" s="1" t="str">
        <f>IF(calc!$L516=1,IF(EXACT(calc!$D516,"FAC"),"",calc!G516),"")</f>
        <v/>
      </c>
      <c r="G516" s="1" t="str">
        <f>IF(calc!$L516=1,IF(EXACT(calc!$D516,"FAC"),"",calc!H516),"")</f>
        <v/>
      </c>
      <c r="H516" s="1" t="str">
        <f>IF(calc!$L516=1,IF(EXACT(calc!$D516,"FAC"),"",calc!I516),"")</f>
        <v/>
      </c>
      <c r="I516" s="1" t="str">
        <f>IF(calc!$L516=1,calc!J516,"")</f>
        <v/>
      </c>
      <c r="J516" s="1" t="str">
        <f>IF(calc!$L516=1,calc!K516,"")</f>
        <v/>
      </c>
      <c r="K516" s="1" t="str">
        <f>IF(calc!$L516=1,calc!M516,"")</f>
        <v/>
      </c>
      <c r="L516" s="1" t="str">
        <f>IF(calc!$L516=1,calc!N516,"")</f>
        <v/>
      </c>
      <c r="M516" s="1" t="str">
        <f>IF(calc!$L516=1,calc!O516,"")</f>
        <v/>
      </c>
      <c r="N516" s="1" t="str">
        <f>IF(calc!$L516=1,calc!P516,"")</f>
        <v/>
      </c>
      <c r="O516">
        <f>'Entry data'!C$1</f>
        <v>20064</v>
      </c>
      <c r="P516" t="str">
        <f>'Entry data'!C$2</f>
        <v>NSH</v>
      </c>
      <c r="Q516" t="str">
        <f>'Entry data'!C$3</f>
        <v>Home</v>
      </c>
    </row>
    <row r="517" spans="1:17" x14ac:dyDescent="0.25">
      <c r="A517" s="1" t="str">
        <f>IF(calc!$L517=1,calc!B517,"")</f>
        <v/>
      </c>
      <c r="B517" s="5" t="str">
        <f>IF(calc!$L517=1,calc!C517,"")</f>
        <v/>
      </c>
      <c r="C517" s="1" t="str">
        <f>IF(calc!$L517=1,calc!D517,"")</f>
        <v/>
      </c>
      <c r="D517" s="1" t="str">
        <f>IF(calc!$L517=1,calc!E517,"")</f>
        <v/>
      </c>
      <c r="E517" s="1" t="str">
        <f>IF(calc!$L517=1,IF(EXACT(calc!$D517,"FAC"),"",calc!F517),"")</f>
        <v/>
      </c>
      <c r="F517" s="1" t="str">
        <f>IF(calc!$L517=1,IF(EXACT(calc!$D517,"FAC"),"",calc!G517),"")</f>
        <v/>
      </c>
      <c r="G517" s="1" t="str">
        <f>IF(calc!$L517=1,IF(EXACT(calc!$D517,"FAC"),"",calc!H517),"")</f>
        <v/>
      </c>
      <c r="H517" s="1" t="str">
        <f>IF(calc!$L517=1,IF(EXACT(calc!$D517,"FAC"),"",calc!I517),"")</f>
        <v/>
      </c>
      <c r="I517" s="1" t="str">
        <f>IF(calc!$L517=1,calc!J517,"")</f>
        <v/>
      </c>
      <c r="J517" s="1" t="str">
        <f>IF(calc!$L517=1,calc!K517,"")</f>
        <v/>
      </c>
      <c r="K517" s="1" t="str">
        <f>IF(calc!$L517=1,calc!M517,"")</f>
        <v/>
      </c>
      <c r="L517" s="1" t="str">
        <f>IF(calc!$L517=1,calc!N517,"")</f>
        <v/>
      </c>
      <c r="M517" s="1" t="str">
        <f>IF(calc!$L517=1,calc!O517,"")</f>
        <v/>
      </c>
      <c r="N517" s="1" t="str">
        <f>IF(calc!$L517=1,calc!P517,"")</f>
        <v/>
      </c>
      <c r="O517">
        <f>'Entry data'!C$1</f>
        <v>20064</v>
      </c>
      <c r="P517" t="str">
        <f>'Entry data'!C$2</f>
        <v>NSH</v>
      </c>
      <c r="Q517" t="str">
        <f>'Entry data'!C$3</f>
        <v>Home</v>
      </c>
    </row>
    <row r="518" spans="1:17" x14ac:dyDescent="0.25">
      <c r="A518" s="1" t="str">
        <f>IF(calc!$L518=1,calc!B518,"")</f>
        <v/>
      </c>
      <c r="B518" s="5" t="str">
        <f>IF(calc!$L518=1,calc!C518,"")</f>
        <v/>
      </c>
      <c r="C518" s="1" t="str">
        <f>IF(calc!$L518=1,calc!D518,"")</f>
        <v/>
      </c>
      <c r="D518" s="1" t="str">
        <f>IF(calc!$L518=1,calc!E518,"")</f>
        <v/>
      </c>
      <c r="E518" s="1" t="str">
        <f>IF(calc!$L518=1,IF(EXACT(calc!$D518,"FAC"),"",calc!F518),"")</f>
        <v/>
      </c>
      <c r="F518" s="1" t="str">
        <f>IF(calc!$L518=1,IF(EXACT(calc!$D518,"FAC"),"",calc!G518),"")</f>
        <v/>
      </c>
      <c r="G518" s="1" t="str">
        <f>IF(calc!$L518=1,IF(EXACT(calc!$D518,"FAC"),"",calc!H518),"")</f>
        <v/>
      </c>
      <c r="H518" s="1" t="str">
        <f>IF(calc!$L518=1,IF(EXACT(calc!$D518,"FAC"),"",calc!I518),"")</f>
        <v/>
      </c>
      <c r="I518" s="1" t="str">
        <f>IF(calc!$L518=1,calc!J518,"")</f>
        <v/>
      </c>
      <c r="J518" s="1" t="str">
        <f>IF(calc!$L518=1,calc!K518,"")</f>
        <v/>
      </c>
      <c r="K518" s="1" t="str">
        <f>IF(calc!$L518=1,calc!M518,"")</f>
        <v/>
      </c>
      <c r="L518" s="1" t="str">
        <f>IF(calc!$L518=1,calc!N518,"")</f>
        <v/>
      </c>
      <c r="M518" s="1" t="str">
        <f>IF(calc!$L518=1,calc!O518,"")</f>
        <v/>
      </c>
      <c r="N518" s="1" t="str">
        <f>IF(calc!$L518=1,calc!P518,"")</f>
        <v/>
      </c>
      <c r="O518">
        <f>'Entry data'!C$1</f>
        <v>20064</v>
      </c>
      <c r="P518" t="str">
        <f>'Entry data'!C$2</f>
        <v>NSH</v>
      </c>
      <c r="Q518" t="str">
        <f>'Entry data'!C$3</f>
        <v>Home</v>
      </c>
    </row>
    <row r="519" spans="1:17" x14ac:dyDescent="0.25">
      <c r="A519" s="1" t="str">
        <f>IF(calc!$L519=1,calc!B519,"")</f>
        <v/>
      </c>
      <c r="B519" s="5" t="str">
        <f>IF(calc!$L519=1,calc!C519,"")</f>
        <v/>
      </c>
      <c r="C519" s="1" t="str">
        <f>IF(calc!$L519=1,calc!D519,"")</f>
        <v/>
      </c>
      <c r="D519" s="1" t="str">
        <f>IF(calc!$L519=1,calc!E519,"")</f>
        <v/>
      </c>
      <c r="E519" s="1" t="str">
        <f>IF(calc!$L519=1,IF(EXACT(calc!$D519,"FAC"),"",calc!F519),"")</f>
        <v/>
      </c>
      <c r="F519" s="1" t="str">
        <f>IF(calc!$L519=1,IF(EXACT(calc!$D519,"FAC"),"",calc!G519),"")</f>
        <v/>
      </c>
      <c r="G519" s="1" t="str">
        <f>IF(calc!$L519=1,IF(EXACT(calc!$D519,"FAC"),"",calc!H519),"")</f>
        <v/>
      </c>
      <c r="H519" s="1" t="str">
        <f>IF(calc!$L519=1,IF(EXACT(calc!$D519,"FAC"),"",calc!I519),"")</f>
        <v/>
      </c>
      <c r="I519" s="1" t="str">
        <f>IF(calc!$L519=1,calc!J519,"")</f>
        <v/>
      </c>
      <c r="J519" s="1" t="str">
        <f>IF(calc!$L519=1,calc!K519,"")</f>
        <v/>
      </c>
      <c r="K519" s="1" t="str">
        <f>IF(calc!$L519=1,calc!M519,"")</f>
        <v/>
      </c>
      <c r="L519" s="1" t="str">
        <f>IF(calc!$L519=1,calc!N519,"")</f>
        <v/>
      </c>
      <c r="M519" s="1" t="str">
        <f>IF(calc!$L519=1,calc!O519,"")</f>
        <v/>
      </c>
      <c r="N519" s="1" t="str">
        <f>IF(calc!$L519=1,calc!P519,"")</f>
        <v/>
      </c>
      <c r="O519">
        <f>'Entry data'!C$1</f>
        <v>20064</v>
      </c>
      <c r="P519" t="str">
        <f>'Entry data'!C$2</f>
        <v>NSH</v>
      </c>
      <c r="Q519" t="str">
        <f>'Entry data'!C$3</f>
        <v>Home</v>
      </c>
    </row>
    <row r="520" spans="1:17" x14ac:dyDescent="0.25">
      <c r="A520" s="1" t="str">
        <f>IF(calc!$L520=1,calc!B520,"")</f>
        <v/>
      </c>
      <c r="B520" s="5" t="str">
        <f>IF(calc!$L520=1,calc!C520,"")</f>
        <v/>
      </c>
      <c r="C520" s="1" t="str">
        <f>IF(calc!$L520=1,calc!D520,"")</f>
        <v/>
      </c>
      <c r="D520" s="1" t="str">
        <f>IF(calc!$L520=1,calc!E520,"")</f>
        <v/>
      </c>
      <c r="E520" s="1" t="str">
        <f>IF(calc!$L520=1,IF(EXACT(calc!$D520,"FAC"),"",calc!F520),"")</f>
        <v/>
      </c>
      <c r="F520" s="1" t="str">
        <f>IF(calc!$L520=1,IF(EXACT(calc!$D520,"FAC"),"",calc!G520),"")</f>
        <v/>
      </c>
      <c r="G520" s="1" t="str">
        <f>IF(calc!$L520=1,IF(EXACT(calc!$D520,"FAC"),"",calc!H520),"")</f>
        <v/>
      </c>
      <c r="H520" s="1" t="str">
        <f>IF(calc!$L520=1,IF(EXACT(calc!$D520,"FAC"),"",calc!I520),"")</f>
        <v/>
      </c>
      <c r="I520" s="1" t="str">
        <f>IF(calc!$L520=1,calc!J520,"")</f>
        <v/>
      </c>
      <c r="J520" s="1" t="str">
        <f>IF(calc!$L520=1,calc!K520,"")</f>
        <v/>
      </c>
      <c r="K520" s="1" t="str">
        <f>IF(calc!$L520=1,calc!M520,"")</f>
        <v/>
      </c>
      <c r="L520" s="1" t="str">
        <f>IF(calc!$L520=1,calc!N520,"")</f>
        <v/>
      </c>
      <c r="M520" s="1" t="str">
        <f>IF(calc!$L520=1,calc!O520,"")</f>
        <v/>
      </c>
      <c r="N520" s="1" t="str">
        <f>IF(calc!$L520=1,calc!P520,"")</f>
        <v/>
      </c>
      <c r="O520">
        <f>'Entry data'!C$1</f>
        <v>20064</v>
      </c>
      <c r="P520" t="str">
        <f>'Entry data'!C$2</f>
        <v>NSH</v>
      </c>
      <c r="Q520" t="str">
        <f>'Entry data'!C$3</f>
        <v>Home</v>
      </c>
    </row>
    <row r="521" spans="1:17" x14ac:dyDescent="0.25">
      <c r="A521" s="1" t="str">
        <f>IF(calc!$L521=1,calc!B521,"")</f>
        <v/>
      </c>
      <c r="B521" s="5" t="str">
        <f>IF(calc!$L521=1,calc!C521,"")</f>
        <v/>
      </c>
      <c r="C521" s="1" t="str">
        <f>IF(calc!$L521=1,calc!D521,"")</f>
        <v/>
      </c>
      <c r="D521" s="1" t="str">
        <f>IF(calc!$L521=1,calc!E521,"")</f>
        <v/>
      </c>
      <c r="E521" s="1" t="str">
        <f>IF(calc!$L521=1,IF(EXACT(calc!$D521,"FAC"),"",calc!F521),"")</f>
        <v/>
      </c>
      <c r="F521" s="1" t="str">
        <f>IF(calc!$L521=1,IF(EXACT(calc!$D521,"FAC"),"",calc!G521),"")</f>
        <v/>
      </c>
      <c r="G521" s="1" t="str">
        <f>IF(calc!$L521=1,IF(EXACT(calc!$D521,"FAC"),"",calc!H521),"")</f>
        <v/>
      </c>
      <c r="H521" s="1" t="str">
        <f>IF(calc!$L521=1,IF(EXACT(calc!$D521,"FAC"),"",calc!I521),"")</f>
        <v/>
      </c>
      <c r="I521" s="1" t="str">
        <f>IF(calc!$L521=1,calc!J521,"")</f>
        <v/>
      </c>
      <c r="J521" s="1" t="str">
        <f>IF(calc!$L521=1,calc!K521,"")</f>
        <v/>
      </c>
      <c r="K521" s="1" t="str">
        <f>IF(calc!$L521=1,calc!M521,"")</f>
        <v/>
      </c>
      <c r="L521" s="1" t="str">
        <f>IF(calc!$L521=1,calc!N521,"")</f>
        <v/>
      </c>
      <c r="M521" s="1" t="str">
        <f>IF(calc!$L521=1,calc!O521,"")</f>
        <v/>
      </c>
      <c r="N521" s="1" t="str">
        <f>IF(calc!$L521=1,calc!P521,"")</f>
        <v/>
      </c>
      <c r="O521">
        <f>'Entry data'!C$1</f>
        <v>20064</v>
      </c>
      <c r="P521" t="str">
        <f>'Entry data'!C$2</f>
        <v>NSH</v>
      </c>
      <c r="Q521" t="str">
        <f>'Entry data'!C$3</f>
        <v>Home</v>
      </c>
    </row>
    <row r="522" spans="1:17" x14ac:dyDescent="0.25">
      <c r="A522" s="1" t="str">
        <f>IF(calc!$L522=1,calc!B522,"")</f>
        <v/>
      </c>
      <c r="B522" s="5" t="str">
        <f>IF(calc!$L522=1,calc!C522,"")</f>
        <v/>
      </c>
      <c r="C522" s="1" t="str">
        <f>IF(calc!$L522=1,calc!D522,"")</f>
        <v/>
      </c>
      <c r="D522" s="1" t="str">
        <f>IF(calc!$L522=1,calc!E522,"")</f>
        <v/>
      </c>
      <c r="E522" s="1" t="str">
        <f>IF(calc!$L522=1,IF(EXACT(calc!$D522,"FAC"),"",calc!F522),"")</f>
        <v/>
      </c>
      <c r="F522" s="1" t="str">
        <f>IF(calc!$L522=1,IF(EXACT(calc!$D522,"FAC"),"",calc!G522),"")</f>
        <v/>
      </c>
      <c r="G522" s="1" t="str">
        <f>IF(calc!$L522=1,IF(EXACT(calc!$D522,"FAC"),"",calc!H522),"")</f>
        <v/>
      </c>
      <c r="H522" s="1" t="str">
        <f>IF(calc!$L522=1,IF(EXACT(calc!$D522,"FAC"),"",calc!I522),"")</f>
        <v/>
      </c>
      <c r="I522" s="1" t="str">
        <f>IF(calc!$L522=1,calc!J522,"")</f>
        <v/>
      </c>
      <c r="J522" s="1" t="str">
        <f>IF(calc!$L522=1,calc!K522,"")</f>
        <v/>
      </c>
      <c r="K522" s="1" t="str">
        <f>IF(calc!$L522=1,calc!M522,"")</f>
        <v/>
      </c>
      <c r="L522" s="1" t="str">
        <f>IF(calc!$L522=1,calc!N522,"")</f>
        <v/>
      </c>
      <c r="M522" s="1" t="str">
        <f>IF(calc!$L522=1,calc!O522,"")</f>
        <v/>
      </c>
      <c r="N522" s="1" t="str">
        <f>IF(calc!$L522=1,calc!P522,"")</f>
        <v/>
      </c>
      <c r="O522">
        <f>'Entry data'!C$1</f>
        <v>20064</v>
      </c>
      <c r="P522" t="str">
        <f>'Entry data'!C$2</f>
        <v>NSH</v>
      </c>
      <c r="Q522" t="str">
        <f>'Entry data'!C$3</f>
        <v>Home</v>
      </c>
    </row>
    <row r="523" spans="1:17" x14ac:dyDescent="0.25">
      <c r="A523" s="1" t="str">
        <f>IF(calc!$L523=1,calc!B523,"")</f>
        <v/>
      </c>
      <c r="B523" s="5" t="str">
        <f>IF(calc!$L523=1,calc!C523,"")</f>
        <v/>
      </c>
      <c r="C523" s="1" t="str">
        <f>IF(calc!$L523=1,calc!D523,"")</f>
        <v/>
      </c>
      <c r="D523" s="1" t="str">
        <f>IF(calc!$L523=1,calc!E523,"")</f>
        <v/>
      </c>
      <c r="E523" s="1" t="str">
        <f>IF(calc!$L523=1,IF(EXACT(calc!$D523,"FAC"),"",calc!F523),"")</f>
        <v/>
      </c>
      <c r="F523" s="1" t="str">
        <f>IF(calc!$L523=1,IF(EXACT(calc!$D523,"FAC"),"",calc!G523),"")</f>
        <v/>
      </c>
      <c r="G523" s="1" t="str">
        <f>IF(calc!$L523=1,IF(EXACT(calc!$D523,"FAC"),"",calc!H523),"")</f>
        <v/>
      </c>
      <c r="H523" s="1" t="str">
        <f>IF(calc!$L523=1,IF(EXACT(calc!$D523,"FAC"),"",calc!I523),"")</f>
        <v/>
      </c>
      <c r="I523" s="1" t="str">
        <f>IF(calc!$L523=1,calc!J523,"")</f>
        <v/>
      </c>
      <c r="J523" s="1" t="str">
        <f>IF(calc!$L523=1,calc!K523,"")</f>
        <v/>
      </c>
      <c r="K523" s="1" t="str">
        <f>IF(calc!$L523=1,calc!M523,"")</f>
        <v/>
      </c>
      <c r="L523" s="1" t="str">
        <f>IF(calc!$L523=1,calc!N523,"")</f>
        <v/>
      </c>
      <c r="M523" s="1" t="str">
        <f>IF(calc!$L523=1,calc!O523,"")</f>
        <v/>
      </c>
      <c r="N523" s="1" t="str">
        <f>IF(calc!$L523=1,calc!P523,"")</f>
        <v/>
      </c>
      <c r="O523">
        <f>'Entry data'!C$1</f>
        <v>20064</v>
      </c>
      <c r="P523" t="str">
        <f>'Entry data'!C$2</f>
        <v>NSH</v>
      </c>
      <c r="Q523" t="str">
        <f>'Entry data'!C$3</f>
        <v>Home</v>
      </c>
    </row>
    <row r="524" spans="1:17" x14ac:dyDescent="0.25">
      <c r="A524" s="1" t="str">
        <f>IF(calc!$L524=1,calc!B524,"")</f>
        <v/>
      </c>
      <c r="B524" s="5" t="str">
        <f>IF(calc!$L524=1,calc!C524,"")</f>
        <v/>
      </c>
      <c r="C524" s="1" t="str">
        <f>IF(calc!$L524=1,calc!D524,"")</f>
        <v/>
      </c>
      <c r="D524" s="1" t="str">
        <f>IF(calc!$L524=1,calc!E524,"")</f>
        <v/>
      </c>
      <c r="E524" s="1" t="str">
        <f>IF(calc!$L524=1,IF(EXACT(calc!$D524,"FAC"),"",calc!F524),"")</f>
        <v/>
      </c>
      <c r="F524" s="1" t="str">
        <f>IF(calc!$L524=1,IF(EXACT(calc!$D524,"FAC"),"",calc!G524),"")</f>
        <v/>
      </c>
      <c r="G524" s="1" t="str">
        <f>IF(calc!$L524=1,IF(EXACT(calc!$D524,"FAC"),"",calc!H524),"")</f>
        <v/>
      </c>
      <c r="H524" s="1" t="str">
        <f>IF(calc!$L524=1,IF(EXACT(calc!$D524,"FAC"),"",calc!I524),"")</f>
        <v/>
      </c>
      <c r="I524" s="1" t="str">
        <f>IF(calc!$L524=1,calc!J524,"")</f>
        <v/>
      </c>
      <c r="J524" s="1" t="str">
        <f>IF(calc!$L524=1,calc!K524,"")</f>
        <v/>
      </c>
      <c r="K524" s="1" t="str">
        <f>IF(calc!$L524=1,calc!M524,"")</f>
        <v/>
      </c>
      <c r="L524" s="1" t="str">
        <f>IF(calc!$L524=1,calc!N524,"")</f>
        <v/>
      </c>
      <c r="M524" s="1" t="str">
        <f>IF(calc!$L524=1,calc!O524,"")</f>
        <v/>
      </c>
      <c r="N524" s="1" t="str">
        <f>IF(calc!$L524=1,calc!P524,"")</f>
        <v/>
      </c>
      <c r="O524">
        <f>'Entry data'!C$1</f>
        <v>20064</v>
      </c>
      <c r="P524" t="str">
        <f>'Entry data'!C$2</f>
        <v>NSH</v>
      </c>
      <c r="Q524" t="str">
        <f>'Entry data'!C$3</f>
        <v>Home</v>
      </c>
    </row>
    <row r="525" spans="1:17" x14ac:dyDescent="0.25">
      <c r="A525" s="1" t="str">
        <f>IF(calc!$L525=1,calc!B525,"")</f>
        <v/>
      </c>
      <c r="B525" s="5" t="str">
        <f>IF(calc!$L525=1,calc!C525,"")</f>
        <v/>
      </c>
      <c r="C525" s="1" t="str">
        <f>IF(calc!$L525=1,calc!D525,"")</f>
        <v/>
      </c>
      <c r="D525" s="1" t="str">
        <f>IF(calc!$L525=1,calc!E525,"")</f>
        <v/>
      </c>
      <c r="E525" s="1" t="str">
        <f>IF(calc!$L525=1,IF(EXACT(calc!$D525,"FAC"),"",calc!F525),"")</f>
        <v/>
      </c>
      <c r="F525" s="1" t="str">
        <f>IF(calc!$L525=1,IF(EXACT(calc!$D525,"FAC"),"",calc!G525),"")</f>
        <v/>
      </c>
      <c r="G525" s="1" t="str">
        <f>IF(calc!$L525=1,IF(EXACT(calc!$D525,"FAC"),"",calc!H525),"")</f>
        <v/>
      </c>
      <c r="H525" s="1" t="str">
        <f>IF(calc!$L525=1,IF(EXACT(calc!$D525,"FAC"),"",calc!I525),"")</f>
        <v/>
      </c>
      <c r="I525" s="1" t="str">
        <f>IF(calc!$L525=1,calc!J525,"")</f>
        <v/>
      </c>
      <c r="J525" s="1" t="str">
        <f>IF(calc!$L525=1,calc!K525,"")</f>
        <v/>
      </c>
      <c r="K525" s="1" t="str">
        <f>IF(calc!$L525=1,calc!M525,"")</f>
        <v/>
      </c>
      <c r="L525" s="1" t="str">
        <f>IF(calc!$L525=1,calc!N525,"")</f>
        <v/>
      </c>
      <c r="M525" s="1" t="str">
        <f>IF(calc!$L525=1,calc!O525,"")</f>
        <v/>
      </c>
      <c r="N525" s="1" t="str">
        <f>IF(calc!$L525=1,calc!P525,"")</f>
        <v/>
      </c>
      <c r="O525">
        <f>'Entry data'!C$1</f>
        <v>20064</v>
      </c>
      <c r="P525" t="str">
        <f>'Entry data'!C$2</f>
        <v>NSH</v>
      </c>
      <c r="Q525" t="str">
        <f>'Entry data'!C$3</f>
        <v>Home</v>
      </c>
    </row>
    <row r="526" spans="1:17" x14ac:dyDescent="0.25">
      <c r="A526" s="1" t="str">
        <f>IF(calc!$L526=1,calc!B526,"")</f>
        <v/>
      </c>
      <c r="B526" s="5" t="str">
        <f>IF(calc!$L526=1,calc!C526,"")</f>
        <v/>
      </c>
      <c r="C526" s="1" t="str">
        <f>IF(calc!$L526=1,calc!D526,"")</f>
        <v/>
      </c>
      <c r="D526" s="1" t="str">
        <f>IF(calc!$L526=1,calc!E526,"")</f>
        <v/>
      </c>
      <c r="E526" s="1" t="str">
        <f>IF(calc!$L526=1,IF(EXACT(calc!$D526,"FAC"),"",calc!F526),"")</f>
        <v/>
      </c>
      <c r="F526" s="1" t="str">
        <f>IF(calc!$L526=1,IF(EXACT(calc!$D526,"FAC"),"",calc!G526),"")</f>
        <v/>
      </c>
      <c r="G526" s="1" t="str">
        <f>IF(calc!$L526=1,IF(EXACT(calc!$D526,"FAC"),"",calc!H526),"")</f>
        <v/>
      </c>
      <c r="H526" s="1" t="str">
        <f>IF(calc!$L526=1,IF(EXACT(calc!$D526,"FAC"),"",calc!I526),"")</f>
        <v/>
      </c>
      <c r="I526" s="1" t="str">
        <f>IF(calc!$L526=1,calc!J526,"")</f>
        <v/>
      </c>
      <c r="J526" s="1" t="str">
        <f>IF(calc!$L526=1,calc!K526,"")</f>
        <v/>
      </c>
      <c r="K526" s="1" t="str">
        <f>IF(calc!$L526=1,calc!M526,"")</f>
        <v/>
      </c>
      <c r="L526" s="1" t="str">
        <f>IF(calc!$L526=1,calc!N526,"")</f>
        <v/>
      </c>
      <c r="M526" s="1" t="str">
        <f>IF(calc!$L526=1,calc!O526,"")</f>
        <v/>
      </c>
      <c r="N526" s="1" t="str">
        <f>IF(calc!$L526=1,calc!P526,"")</f>
        <v/>
      </c>
      <c r="O526">
        <f>'Entry data'!C$1</f>
        <v>20064</v>
      </c>
      <c r="P526" t="str">
        <f>'Entry data'!C$2</f>
        <v>NSH</v>
      </c>
      <c r="Q526" t="str">
        <f>'Entry data'!C$3</f>
        <v>Home</v>
      </c>
    </row>
    <row r="527" spans="1:17" x14ac:dyDescent="0.25">
      <c r="A527" s="1" t="str">
        <f>IF(calc!$L527=1,calc!B527,"")</f>
        <v/>
      </c>
      <c r="B527" s="5" t="str">
        <f>IF(calc!$L527=1,calc!C527,"")</f>
        <v/>
      </c>
      <c r="C527" s="1" t="str">
        <f>IF(calc!$L527=1,calc!D527,"")</f>
        <v/>
      </c>
      <c r="D527" s="1" t="str">
        <f>IF(calc!$L527=1,calc!E527,"")</f>
        <v/>
      </c>
      <c r="E527" s="1" t="str">
        <f>IF(calc!$L527=1,IF(EXACT(calc!$D527,"FAC"),"",calc!F527),"")</f>
        <v/>
      </c>
      <c r="F527" s="1" t="str">
        <f>IF(calc!$L527=1,IF(EXACT(calc!$D527,"FAC"),"",calc!G527),"")</f>
        <v/>
      </c>
      <c r="G527" s="1" t="str">
        <f>IF(calc!$L527=1,IF(EXACT(calc!$D527,"FAC"),"",calc!H527),"")</f>
        <v/>
      </c>
      <c r="H527" s="1" t="str">
        <f>IF(calc!$L527=1,IF(EXACT(calc!$D527,"FAC"),"",calc!I527),"")</f>
        <v/>
      </c>
      <c r="I527" s="1" t="str">
        <f>IF(calc!$L527=1,calc!J527,"")</f>
        <v/>
      </c>
      <c r="J527" s="1" t="str">
        <f>IF(calc!$L527=1,calc!K527,"")</f>
        <v/>
      </c>
      <c r="K527" s="1" t="str">
        <f>IF(calc!$L527=1,calc!M527,"")</f>
        <v/>
      </c>
      <c r="L527" s="1" t="str">
        <f>IF(calc!$L527=1,calc!N527,"")</f>
        <v/>
      </c>
      <c r="M527" s="1" t="str">
        <f>IF(calc!$L527=1,calc!O527,"")</f>
        <v/>
      </c>
      <c r="N527" s="1" t="str">
        <f>IF(calc!$L527=1,calc!P527,"")</f>
        <v/>
      </c>
      <c r="O527">
        <f>'Entry data'!C$1</f>
        <v>20064</v>
      </c>
      <c r="P527" t="str">
        <f>'Entry data'!C$2</f>
        <v>NSH</v>
      </c>
      <c r="Q527" t="str">
        <f>'Entry data'!C$3</f>
        <v>Home</v>
      </c>
    </row>
    <row r="528" spans="1:17" x14ac:dyDescent="0.25">
      <c r="A528" s="1" t="str">
        <f>IF(calc!$L528=1,calc!B528,"")</f>
        <v/>
      </c>
      <c r="B528" s="5" t="str">
        <f>IF(calc!$L528=1,calc!C528,"")</f>
        <v/>
      </c>
      <c r="C528" s="1" t="str">
        <f>IF(calc!$L528=1,calc!D528,"")</f>
        <v/>
      </c>
      <c r="D528" s="1" t="str">
        <f>IF(calc!$L528=1,calc!E528,"")</f>
        <v/>
      </c>
      <c r="E528" s="1" t="str">
        <f>IF(calc!$L528=1,IF(EXACT(calc!$D528,"FAC"),"",calc!F528),"")</f>
        <v/>
      </c>
      <c r="F528" s="1" t="str">
        <f>IF(calc!$L528=1,IF(EXACT(calc!$D528,"FAC"),"",calc!G528),"")</f>
        <v/>
      </c>
      <c r="G528" s="1" t="str">
        <f>IF(calc!$L528=1,IF(EXACT(calc!$D528,"FAC"),"",calc!H528),"")</f>
        <v/>
      </c>
      <c r="H528" s="1" t="str">
        <f>IF(calc!$L528=1,IF(EXACT(calc!$D528,"FAC"),"",calc!I528),"")</f>
        <v/>
      </c>
      <c r="I528" s="1" t="str">
        <f>IF(calc!$L528=1,calc!J528,"")</f>
        <v/>
      </c>
      <c r="J528" s="1" t="str">
        <f>IF(calc!$L528=1,calc!K528,"")</f>
        <v/>
      </c>
      <c r="K528" s="1" t="str">
        <f>IF(calc!$L528=1,calc!M528,"")</f>
        <v/>
      </c>
      <c r="L528" s="1" t="str">
        <f>IF(calc!$L528=1,calc!N528,"")</f>
        <v/>
      </c>
      <c r="M528" s="1" t="str">
        <f>IF(calc!$L528=1,calc!O528,"")</f>
        <v/>
      </c>
      <c r="N528" s="1" t="str">
        <f>IF(calc!$L528=1,calc!P528,"")</f>
        <v/>
      </c>
      <c r="O528">
        <f>'Entry data'!C$1</f>
        <v>20064</v>
      </c>
      <c r="P528" t="str">
        <f>'Entry data'!C$2</f>
        <v>NSH</v>
      </c>
      <c r="Q528" t="str">
        <f>'Entry data'!C$3</f>
        <v>Home</v>
      </c>
    </row>
    <row r="529" spans="1:17" x14ac:dyDescent="0.25">
      <c r="A529" s="1" t="str">
        <f>IF(calc!$L529=1,calc!B529,"")</f>
        <v/>
      </c>
      <c r="B529" s="5" t="str">
        <f>IF(calc!$L529=1,calc!C529,"")</f>
        <v/>
      </c>
      <c r="C529" s="1" t="str">
        <f>IF(calc!$L529=1,calc!D529,"")</f>
        <v/>
      </c>
      <c r="D529" s="1" t="str">
        <f>IF(calc!$L529=1,calc!E529,"")</f>
        <v/>
      </c>
      <c r="E529" s="1" t="str">
        <f>IF(calc!$L529=1,IF(EXACT(calc!$D529,"FAC"),"",calc!F529),"")</f>
        <v/>
      </c>
      <c r="F529" s="1" t="str">
        <f>IF(calc!$L529=1,IF(EXACT(calc!$D529,"FAC"),"",calc!G529),"")</f>
        <v/>
      </c>
      <c r="G529" s="1" t="str">
        <f>IF(calc!$L529=1,IF(EXACT(calc!$D529,"FAC"),"",calc!H529),"")</f>
        <v/>
      </c>
      <c r="H529" s="1" t="str">
        <f>IF(calc!$L529=1,IF(EXACT(calc!$D529,"FAC"),"",calc!I529),"")</f>
        <v/>
      </c>
      <c r="I529" s="1" t="str">
        <f>IF(calc!$L529=1,calc!J529,"")</f>
        <v/>
      </c>
      <c r="J529" s="1" t="str">
        <f>IF(calc!$L529=1,calc!K529,"")</f>
        <v/>
      </c>
      <c r="K529" s="1" t="str">
        <f>IF(calc!$L529=1,calc!M529,"")</f>
        <v/>
      </c>
      <c r="L529" s="1" t="str">
        <f>IF(calc!$L529=1,calc!N529,"")</f>
        <v/>
      </c>
      <c r="M529" s="1" t="str">
        <f>IF(calc!$L529=1,calc!O529,"")</f>
        <v/>
      </c>
      <c r="N529" s="1" t="str">
        <f>IF(calc!$L529=1,calc!P529,"")</f>
        <v/>
      </c>
      <c r="O529">
        <f>'Entry data'!C$1</f>
        <v>20064</v>
      </c>
      <c r="P529" t="str">
        <f>'Entry data'!C$2</f>
        <v>NSH</v>
      </c>
      <c r="Q529" t="str">
        <f>'Entry data'!C$3</f>
        <v>Home</v>
      </c>
    </row>
    <row r="530" spans="1:17" x14ac:dyDescent="0.25">
      <c r="A530" s="1" t="str">
        <f>IF(calc!$L530=1,calc!B530,"")</f>
        <v/>
      </c>
      <c r="B530" s="5" t="str">
        <f>IF(calc!$L530=1,calc!C530,"")</f>
        <v/>
      </c>
      <c r="C530" s="1" t="str">
        <f>IF(calc!$L530=1,calc!D530,"")</f>
        <v/>
      </c>
      <c r="D530" s="1" t="str">
        <f>IF(calc!$L530=1,calc!E530,"")</f>
        <v/>
      </c>
      <c r="E530" s="1" t="str">
        <f>IF(calc!$L530=1,IF(EXACT(calc!$D530,"FAC"),"",calc!F530),"")</f>
        <v/>
      </c>
      <c r="F530" s="1" t="str">
        <f>IF(calc!$L530=1,IF(EXACT(calc!$D530,"FAC"),"",calc!G530),"")</f>
        <v/>
      </c>
      <c r="G530" s="1" t="str">
        <f>IF(calc!$L530=1,IF(EXACT(calc!$D530,"FAC"),"",calc!H530),"")</f>
        <v/>
      </c>
      <c r="H530" s="1" t="str">
        <f>IF(calc!$L530=1,IF(EXACT(calc!$D530,"FAC"),"",calc!I530),"")</f>
        <v/>
      </c>
      <c r="I530" s="1" t="str">
        <f>IF(calc!$L530=1,calc!J530,"")</f>
        <v/>
      </c>
      <c r="J530" s="1" t="str">
        <f>IF(calc!$L530=1,calc!K530,"")</f>
        <v/>
      </c>
      <c r="K530" s="1" t="str">
        <f>IF(calc!$L530=1,calc!M530,"")</f>
        <v/>
      </c>
      <c r="L530" s="1" t="str">
        <f>IF(calc!$L530=1,calc!N530,"")</f>
        <v/>
      </c>
      <c r="M530" s="1" t="str">
        <f>IF(calc!$L530=1,calc!O530,"")</f>
        <v/>
      </c>
      <c r="N530" s="1" t="str">
        <f>IF(calc!$L530=1,calc!P530,"")</f>
        <v/>
      </c>
      <c r="O530">
        <f>'Entry data'!C$1</f>
        <v>20064</v>
      </c>
      <c r="P530" t="str">
        <f>'Entry data'!C$2</f>
        <v>NSH</v>
      </c>
      <c r="Q530" t="str">
        <f>'Entry data'!C$3</f>
        <v>Home</v>
      </c>
    </row>
    <row r="531" spans="1:17" x14ac:dyDescent="0.25">
      <c r="A531" s="1" t="str">
        <f>IF(calc!$L531=1,calc!B531,"")</f>
        <v/>
      </c>
      <c r="B531" s="5" t="str">
        <f>IF(calc!$L531=1,calc!C531,"")</f>
        <v/>
      </c>
      <c r="C531" s="1" t="str">
        <f>IF(calc!$L531=1,calc!D531,"")</f>
        <v/>
      </c>
      <c r="D531" s="1" t="str">
        <f>IF(calc!$L531=1,calc!E531,"")</f>
        <v/>
      </c>
      <c r="E531" s="1" t="str">
        <f>IF(calc!$L531=1,IF(EXACT(calc!$D531,"FAC"),"",calc!F531),"")</f>
        <v/>
      </c>
      <c r="F531" s="1" t="str">
        <f>IF(calc!$L531=1,IF(EXACT(calc!$D531,"FAC"),"",calc!G531),"")</f>
        <v/>
      </c>
      <c r="G531" s="1" t="str">
        <f>IF(calc!$L531=1,IF(EXACT(calc!$D531,"FAC"),"",calc!H531),"")</f>
        <v/>
      </c>
      <c r="H531" s="1" t="str">
        <f>IF(calc!$L531=1,IF(EXACT(calc!$D531,"FAC"),"",calc!I531),"")</f>
        <v/>
      </c>
      <c r="I531" s="1" t="str">
        <f>IF(calc!$L531=1,calc!J531,"")</f>
        <v/>
      </c>
      <c r="J531" s="1" t="str">
        <f>IF(calc!$L531=1,calc!K531,"")</f>
        <v/>
      </c>
      <c r="K531" s="1" t="str">
        <f>IF(calc!$L531=1,calc!M531,"")</f>
        <v/>
      </c>
      <c r="L531" s="1" t="str">
        <f>IF(calc!$L531=1,calc!N531,"")</f>
        <v/>
      </c>
      <c r="M531" s="1" t="str">
        <f>IF(calc!$L531=1,calc!O531,"")</f>
        <v/>
      </c>
      <c r="N531" s="1" t="str">
        <f>IF(calc!$L531=1,calc!P531,"")</f>
        <v/>
      </c>
      <c r="O531">
        <f>'Entry data'!C$1</f>
        <v>20064</v>
      </c>
      <c r="P531" t="str">
        <f>'Entry data'!C$2</f>
        <v>NSH</v>
      </c>
      <c r="Q531" t="str">
        <f>'Entry data'!C$3</f>
        <v>Home</v>
      </c>
    </row>
    <row r="532" spans="1:17" x14ac:dyDescent="0.25">
      <c r="A532" s="1" t="str">
        <f>IF(calc!$L532=1,calc!B532,"")</f>
        <v/>
      </c>
      <c r="B532" s="5" t="str">
        <f>IF(calc!$L532=1,calc!C532,"")</f>
        <v/>
      </c>
      <c r="C532" s="1" t="str">
        <f>IF(calc!$L532=1,calc!D532,"")</f>
        <v/>
      </c>
      <c r="D532" s="1" t="str">
        <f>IF(calc!$L532=1,calc!E532,"")</f>
        <v/>
      </c>
      <c r="E532" s="1" t="str">
        <f>IF(calc!$L532=1,IF(EXACT(calc!$D532,"FAC"),"",calc!F532),"")</f>
        <v/>
      </c>
      <c r="F532" s="1" t="str">
        <f>IF(calc!$L532=1,IF(EXACT(calc!$D532,"FAC"),"",calc!G532),"")</f>
        <v/>
      </c>
      <c r="G532" s="1" t="str">
        <f>IF(calc!$L532=1,IF(EXACT(calc!$D532,"FAC"),"",calc!H532),"")</f>
        <v/>
      </c>
      <c r="H532" s="1" t="str">
        <f>IF(calc!$L532=1,IF(EXACT(calc!$D532,"FAC"),"",calc!I532),"")</f>
        <v/>
      </c>
      <c r="I532" s="1" t="str">
        <f>IF(calc!$L532=1,calc!J532,"")</f>
        <v/>
      </c>
      <c r="J532" s="1" t="str">
        <f>IF(calc!$L532=1,calc!K532,"")</f>
        <v/>
      </c>
      <c r="K532" s="1" t="str">
        <f>IF(calc!$L532=1,calc!M532,"")</f>
        <v/>
      </c>
      <c r="L532" s="1" t="str">
        <f>IF(calc!$L532=1,calc!N532,"")</f>
        <v/>
      </c>
      <c r="M532" s="1" t="str">
        <f>IF(calc!$L532=1,calc!O532,"")</f>
        <v/>
      </c>
      <c r="N532" s="1" t="str">
        <f>IF(calc!$L532=1,calc!P532,"")</f>
        <v/>
      </c>
      <c r="O532">
        <f>'Entry data'!C$1</f>
        <v>20064</v>
      </c>
      <c r="P532" t="str">
        <f>'Entry data'!C$2</f>
        <v>NSH</v>
      </c>
      <c r="Q532" t="str">
        <f>'Entry data'!C$3</f>
        <v>Home</v>
      </c>
    </row>
    <row r="533" spans="1:17" x14ac:dyDescent="0.25">
      <c r="A533" s="1" t="str">
        <f>IF(calc!$L533=1,calc!B533,"")</f>
        <v/>
      </c>
      <c r="B533" s="5" t="str">
        <f>IF(calc!$L533=1,calc!C533,"")</f>
        <v/>
      </c>
      <c r="C533" s="1" t="str">
        <f>IF(calc!$L533=1,calc!D533,"")</f>
        <v/>
      </c>
      <c r="D533" s="1" t="str">
        <f>IF(calc!$L533=1,calc!E533,"")</f>
        <v/>
      </c>
      <c r="E533" s="1" t="str">
        <f>IF(calc!$L533=1,IF(EXACT(calc!$D533,"FAC"),"",calc!F533),"")</f>
        <v/>
      </c>
      <c r="F533" s="1" t="str">
        <f>IF(calc!$L533=1,IF(EXACT(calc!$D533,"FAC"),"",calc!G533),"")</f>
        <v/>
      </c>
      <c r="G533" s="1" t="str">
        <f>IF(calc!$L533=1,IF(EXACT(calc!$D533,"FAC"),"",calc!H533),"")</f>
        <v/>
      </c>
      <c r="H533" s="1" t="str">
        <f>IF(calc!$L533=1,IF(EXACT(calc!$D533,"FAC"),"",calc!I533),"")</f>
        <v/>
      </c>
      <c r="I533" s="1" t="str">
        <f>IF(calc!$L533=1,calc!J533,"")</f>
        <v/>
      </c>
      <c r="J533" s="1" t="str">
        <f>IF(calc!$L533=1,calc!K533,"")</f>
        <v/>
      </c>
      <c r="K533" s="1" t="str">
        <f>IF(calc!$L533=1,calc!M533,"")</f>
        <v/>
      </c>
      <c r="L533" s="1" t="str">
        <f>IF(calc!$L533=1,calc!N533,"")</f>
        <v/>
      </c>
      <c r="M533" s="1" t="str">
        <f>IF(calc!$L533=1,calc!O533,"")</f>
        <v/>
      </c>
      <c r="N533" s="1" t="str">
        <f>IF(calc!$L533=1,calc!P533,"")</f>
        <v/>
      </c>
      <c r="O533">
        <f>'Entry data'!C$1</f>
        <v>20064</v>
      </c>
      <c r="P533" t="str">
        <f>'Entry data'!C$2</f>
        <v>NSH</v>
      </c>
      <c r="Q533" t="str">
        <f>'Entry data'!C$3</f>
        <v>Home</v>
      </c>
    </row>
    <row r="534" spans="1:17" x14ac:dyDescent="0.25">
      <c r="A534" s="1" t="str">
        <f>IF(calc!$L534=1,calc!B534,"")</f>
        <v/>
      </c>
      <c r="B534" s="5" t="str">
        <f>IF(calc!$L534=1,calc!C534,"")</f>
        <v/>
      </c>
      <c r="C534" s="1" t="str">
        <f>IF(calc!$L534=1,calc!D534,"")</f>
        <v/>
      </c>
      <c r="D534" s="1" t="str">
        <f>IF(calc!$L534=1,calc!E534,"")</f>
        <v/>
      </c>
      <c r="E534" s="1" t="str">
        <f>IF(calc!$L534=1,IF(EXACT(calc!$D534,"FAC"),"",calc!F534),"")</f>
        <v/>
      </c>
      <c r="F534" s="1" t="str">
        <f>IF(calc!$L534=1,IF(EXACT(calc!$D534,"FAC"),"",calc!G534),"")</f>
        <v/>
      </c>
      <c r="G534" s="1" t="str">
        <f>IF(calc!$L534=1,IF(EXACT(calc!$D534,"FAC"),"",calc!H534),"")</f>
        <v/>
      </c>
      <c r="H534" s="1" t="str">
        <f>IF(calc!$L534=1,IF(EXACT(calc!$D534,"FAC"),"",calc!I534),"")</f>
        <v/>
      </c>
      <c r="I534" s="1" t="str">
        <f>IF(calc!$L534=1,calc!J534,"")</f>
        <v/>
      </c>
      <c r="J534" s="1" t="str">
        <f>IF(calc!$L534=1,calc!K534,"")</f>
        <v/>
      </c>
      <c r="K534" s="1" t="str">
        <f>IF(calc!$L534=1,calc!M534,"")</f>
        <v/>
      </c>
      <c r="L534" s="1" t="str">
        <f>IF(calc!$L534=1,calc!N534,"")</f>
        <v/>
      </c>
      <c r="M534" s="1" t="str">
        <f>IF(calc!$L534=1,calc!O534,"")</f>
        <v/>
      </c>
      <c r="N534" s="1" t="str">
        <f>IF(calc!$L534=1,calc!P534,"")</f>
        <v/>
      </c>
      <c r="O534">
        <f>'Entry data'!C$1</f>
        <v>20064</v>
      </c>
      <c r="P534" t="str">
        <f>'Entry data'!C$2</f>
        <v>NSH</v>
      </c>
      <c r="Q534" t="str">
        <f>'Entry data'!C$3</f>
        <v>Home</v>
      </c>
    </row>
    <row r="535" spans="1:17" x14ac:dyDescent="0.25">
      <c r="A535" s="1" t="str">
        <f>IF(calc!$L535=1,calc!B535,"")</f>
        <v/>
      </c>
      <c r="B535" s="5" t="str">
        <f>IF(calc!$L535=1,calc!C535,"")</f>
        <v/>
      </c>
      <c r="C535" s="1" t="str">
        <f>IF(calc!$L535=1,calc!D535,"")</f>
        <v/>
      </c>
      <c r="D535" s="1" t="str">
        <f>IF(calc!$L535=1,calc!E535,"")</f>
        <v/>
      </c>
      <c r="E535" s="1" t="str">
        <f>IF(calc!$L535=1,IF(EXACT(calc!$D535,"FAC"),"",calc!F535),"")</f>
        <v/>
      </c>
      <c r="F535" s="1" t="str">
        <f>IF(calc!$L535=1,IF(EXACT(calc!$D535,"FAC"),"",calc!G535),"")</f>
        <v/>
      </c>
      <c r="G535" s="1" t="str">
        <f>IF(calc!$L535=1,IF(EXACT(calc!$D535,"FAC"),"",calc!H535),"")</f>
        <v/>
      </c>
      <c r="H535" s="1" t="str">
        <f>IF(calc!$L535=1,IF(EXACT(calc!$D535,"FAC"),"",calc!I535),"")</f>
        <v/>
      </c>
      <c r="I535" s="1" t="str">
        <f>IF(calc!$L535=1,calc!J535,"")</f>
        <v/>
      </c>
      <c r="J535" s="1" t="str">
        <f>IF(calc!$L535=1,calc!K535,"")</f>
        <v/>
      </c>
      <c r="K535" s="1" t="str">
        <f>IF(calc!$L535=1,calc!M535,"")</f>
        <v/>
      </c>
      <c r="L535" s="1" t="str">
        <f>IF(calc!$L535=1,calc!N535,"")</f>
        <v/>
      </c>
      <c r="M535" s="1" t="str">
        <f>IF(calc!$L535=1,calc!O535,"")</f>
        <v/>
      </c>
      <c r="N535" s="1" t="str">
        <f>IF(calc!$L535=1,calc!P535,"")</f>
        <v/>
      </c>
      <c r="O535">
        <f>'Entry data'!C$1</f>
        <v>20064</v>
      </c>
      <c r="P535" t="str">
        <f>'Entry data'!C$2</f>
        <v>NSH</v>
      </c>
      <c r="Q535" t="str">
        <f>'Entry data'!C$3</f>
        <v>Home</v>
      </c>
    </row>
    <row r="536" spans="1:17" x14ac:dyDescent="0.25">
      <c r="A536" s="1" t="str">
        <f>IF(calc!$L536=1,calc!B536,"")</f>
        <v/>
      </c>
      <c r="B536" s="5" t="str">
        <f>IF(calc!$L536=1,calc!C536,"")</f>
        <v/>
      </c>
      <c r="C536" s="1" t="str">
        <f>IF(calc!$L536=1,calc!D536,"")</f>
        <v/>
      </c>
      <c r="D536" s="1" t="str">
        <f>IF(calc!$L536=1,calc!E536,"")</f>
        <v/>
      </c>
      <c r="E536" s="1" t="str">
        <f>IF(calc!$L536=1,IF(EXACT(calc!$D536,"FAC"),"",calc!F536),"")</f>
        <v/>
      </c>
      <c r="F536" s="1" t="str">
        <f>IF(calc!$L536=1,IF(EXACT(calc!$D536,"FAC"),"",calc!G536),"")</f>
        <v/>
      </c>
      <c r="G536" s="1" t="str">
        <f>IF(calc!$L536=1,IF(EXACT(calc!$D536,"FAC"),"",calc!H536),"")</f>
        <v/>
      </c>
      <c r="H536" s="1" t="str">
        <f>IF(calc!$L536=1,IF(EXACT(calc!$D536,"FAC"),"",calc!I536),"")</f>
        <v/>
      </c>
      <c r="I536" s="1" t="str">
        <f>IF(calc!$L536=1,calc!J536,"")</f>
        <v/>
      </c>
      <c r="J536" s="1" t="str">
        <f>IF(calc!$L536=1,calc!K536,"")</f>
        <v/>
      </c>
      <c r="K536" s="1" t="str">
        <f>IF(calc!$L536=1,calc!M536,"")</f>
        <v/>
      </c>
      <c r="L536" s="1" t="str">
        <f>IF(calc!$L536=1,calc!N536,"")</f>
        <v/>
      </c>
      <c r="M536" s="1" t="str">
        <f>IF(calc!$L536=1,calc!O536,"")</f>
        <v/>
      </c>
      <c r="N536" s="1" t="str">
        <f>IF(calc!$L536=1,calc!P536,"")</f>
        <v/>
      </c>
      <c r="O536">
        <f>'Entry data'!C$1</f>
        <v>20064</v>
      </c>
      <c r="P536" t="str">
        <f>'Entry data'!C$2</f>
        <v>NSH</v>
      </c>
      <c r="Q536" t="str">
        <f>'Entry data'!C$3</f>
        <v>Home</v>
      </c>
    </row>
    <row r="537" spans="1:17" x14ac:dyDescent="0.25">
      <c r="A537" s="1" t="str">
        <f>IF(calc!$L537=1,calc!B537,"")</f>
        <v/>
      </c>
      <c r="B537" s="5" t="str">
        <f>IF(calc!$L537=1,calc!C537,"")</f>
        <v/>
      </c>
      <c r="C537" s="1" t="str">
        <f>IF(calc!$L537=1,calc!D537,"")</f>
        <v/>
      </c>
      <c r="D537" s="1" t="str">
        <f>IF(calc!$L537=1,calc!E537,"")</f>
        <v/>
      </c>
      <c r="E537" s="1" t="str">
        <f>IF(calc!$L537=1,IF(EXACT(calc!$D537,"FAC"),"",calc!F537),"")</f>
        <v/>
      </c>
      <c r="F537" s="1" t="str">
        <f>IF(calc!$L537=1,IF(EXACT(calc!$D537,"FAC"),"",calc!G537),"")</f>
        <v/>
      </c>
      <c r="G537" s="1" t="str">
        <f>IF(calc!$L537=1,IF(EXACT(calc!$D537,"FAC"),"",calc!H537),"")</f>
        <v/>
      </c>
      <c r="H537" s="1" t="str">
        <f>IF(calc!$L537=1,IF(EXACT(calc!$D537,"FAC"),"",calc!I537),"")</f>
        <v/>
      </c>
      <c r="I537" s="1" t="str">
        <f>IF(calc!$L537=1,calc!J537,"")</f>
        <v/>
      </c>
      <c r="J537" s="1" t="str">
        <f>IF(calc!$L537=1,calc!K537,"")</f>
        <v/>
      </c>
      <c r="K537" s="1" t="str">
        <f>IF(calc!$L537=1,calc!M537,"")</f>
        <v/>
      </c>
      <c r="L537" s="1" t="str">
        <f>IF(calc!$L537=1,calc!N537,"")</f>
        <v/>
      </c>
      <c r="M537" s="1" t="str">
        <f>IF(calc!$L537=1,calc!O537,"")</f>
        <v/>
      </c>
      <c r="N537" s="1" t="str">
        <f>IF(calc!$L537=1,calc!P537,"")</f>
        <v/>
      </c>
      <c r="O537">
        <f>'Entry data'!C$1</f>
        <v>20064</v>
      </c>
      <c r="P537" t="str">
        <f>'Entry data'!C$2</f>
        <v>NSH</v>
      </c>
      <c r="Q537" t="str">
        <f>'Entry data'!C$3</f>
        <v>Home</v>
      </c>
    </row>
    <row r="538" spans="1:17" x14ac:dyDescent="0.25">
      <c r="A538" s="1" t="str">
        <f>IF(calc!$L538=1,calc!B538,"")</f>
        <v/>
      </c>
      <c r="B538" s="5" t="str">
        <f>IF(calc!$L538=1,calc!C538,"")</f>
        <v/>
      </c>
      <c r="C538" s="1" t="str">
        <f>IF(calc!$L538=1,calc!D538,"")</f>
        <v/>
      </c>
      <c r="D538" s="1" t="str">
        <f>IF(calc!$L538=1,calc!E538,"")</f>
        <v/>
      </c>
      <c r="E538" s="1" t="str">
        <f>IF(calc!$L538=1,IF(EXACT(calc!$D538,"FAC"),"",calc!F538),"")</f>
        <v/>
      </c>
      <c r="F538" s="1" t="str">
        <f>IF(calc!$L538=1,IF(EXACT(calc!$D538,"FAC"),"",calc!G538),"")</f>
        <v/>
      </c>
      <c r="G538" s="1" t="str">
        <f>IF(calc!$L538=1,IF(EXACT(calc!$D538,"FAC"),"",calc!H538),"")</f>
        <v/>
      </c>
      <c r="H538" s="1" t="str">
        <f>IF(calc!$L538=1,IF(EXACT(calc!$D538,"FAC"),"",calc!I538),"")</f>
        <v/>
      </c>
      <c r="I538" s="1" t="str">
        <f>IF(calc!$L538=1,calc!J538,"")</f>
        <v/>
      </c>
      <c r="J538" s="1" t="str">
        <f>IF(calc!$L538=1,calc!K538,"")</f>
        <v/>
      </c>
      <c r="K538" s="1" t="str">
        <f>IF(calc!$L538=1,calc!M538,"")</f>
        <v/>
      </c>
      <c r="L538" s="1" t="str">
        <f>IF(calc!$L538=1,calc!N538,"")</f>
        <v/>
      </c>
      <c r="M538" s="1" t="str">
        <f>IF(calc!$L538=1,calc!O538,"")</f>
        <v/>
      </c>
      <c r="N538" s="1" t="str">
        <f>IF(calc!$L538=1,calc!P538,"")</f>
        <v/>
      </c>
      <c r="O538">
        <f>'Entry data'!C$1</f>
        <v>20064</v>
      </c>
      <c r="P538" t="str">
        <f>'Entry data'!C$2</f>
        <v>NSH</v>
      </c>
      <c r="Q538" t="str">
        <f>'Entry data'!C$3</f>
        <v>Home</v>
      </c>
    </row>
    <row r="539" spans="1:17" x14ac:dyDescent="0.25">
      <c r="A539" s="1" t="str">
        <f>IF(calc!$L539=1,calc!B539,"")</f>
        <v/>
      </c>
      <c r="B539" s="5" t="str">
        <f>IF(calc!$L539=1,calc!C539,"")</f>
        <v/>
      </c>
      <c r="C539" s="1" t="str">
        <f>IF(calc!$L539=1,calc!D539,"")</f>
        <v/>
      </c>
      <c r="D539" s="1" t="str">
        <f>IF(calc!$L539=1,calc!E539,"")</f>
        <v/>
      </c>
      <c r="E539" s="1" t="str">
        <f>IF(calc!$L539=1,IF(EXACT(calc!$D539,"FAC"),"",calc!F539),"")</f>
        <v/>
      </c>
      <c r="F539" s="1" t="str">
        <f>IF(calc!$L539=1,IF(EXACT(calc!$D539,"FAC"),"",calc!G539),"")</f>
        <v/>
      </c>
      <c r="G539" s="1" t="str">
        <f>IF(calc!$L539=1,IF(EXACT(calc!$D539,"FAC"),"",calc!H539),"")</f>
        <v/>
      </c>
      <c r="H539" s="1" t="str">
        <f>IF(calc!$L539=1,IF(EXACT(calc!$D539,"FAC"),"",calc!I539),"")</f>
        <v/>
      </c>
      <c r="I539" s="1" t="str">
        <f>IF(calc!$L539=1,calc!J539,"")</f>
        <v/>
      </c>
      <c r="J539" s="1" t="str">
        <f>IF(calc!$L539=1,calc!K539,"")</f>
        <v/>
      </c>
      <c r="K539" s="1" t="str">
        <f>IF(calc!$L539=1,calc!M539,"")</f>
        <v/>
      </c>
      <c r="L539" s="1" t="str">
        <f>IF(calc!$L539=1,calc!N539,"")</f>
        <v/>
      </c>
      <c r="M539" s="1" t="str">
        <f>IF(calc!$L539=1,calc!O539,"")</f>
        <v/>
      </c>
      <c r="N539" s="1" t="str">
        <f>IF(calc!$L539=1,calc!P539,"")</f>
        <v/>
      </c>
      <c r="O539">
        <f>'Entry data'!C$1</f>
        <v>20064</v>
      </c>
      <c r="P539" t="str">
        <f>'Entry data'!C$2</f>
        <v>NSH</v>
      </c>
      <c r="Q539" t="str">
        <f>'Entry data'!C$3</f>
        <v>Home</v>
      </c>
    </row>
    <row r="540" spans="1:17" x14ac:dyDescent="0.25">
      <c r="A540" s="1" t="str">
        <f>IF(calc!$L540=1,calc!B540,"")</f>
        <v/>
      </c>
      <c r="B540" s="5" t="str">
        <f>IF(calc!$L540=1,calc!C540,"")</f>
        <v/>
      </c>
      <c r="C540" s="1" t="str">
        <f>IF(calc!$L540=1,calc!D540,"")</f>
        <v/>
      </c>
      <c r="D540" s="1" t="str">
        <f>IF(calc!$L540=1,calc!E540,"")</f>
        <v/>
      </c>
      <c r="E540" s="1" t="str">
        <f>IF(calc!$L540=1,IF(EXACT(calc!$D540,"FAC"),"",calc!F540),"")</f>
        <v/>
      </c>
      <c r="F540" s="1" t="str">
        <f>IF(calc!$L540=1,IF(EXACT(calc!$D540,"FAC"),"",calc!G540),"")</f>
        <v/>
      </c>
      <c r="G540" s="1" t="str">
        <f>IF(calc!$L540=1,IF(EXACT(calc!$D540,"FAC"),"",calc!H540),"")</f>
        <v/>
      </c>
      <c r="H540" s="1" t="str">
        <f>IF(calc!$L540=1,IF(EXACT(calc!$D540,"FAC"),"",calc!I540),"")</f>
        <v/>
      </c>
      <c r="I540" s="1" t="str">
        <f>IF(calc!$L540=1,calc!J540,"")</f>
        <v/>
      </c>
      <c r="J540" s="1" t="str">
        <f>IF(calc!$L540=1,calc!K540,"")</f>
        <v/>
      </c>
      <c r="K540" s="1" t="str">
        <f>IF(calc!$L540=1,calc!M540,"")</f>
        <v/>
      </c>
      <c r="L540" s="1" t="str">
        <f>IF(calc!$L540=1,calc!N540,"")</f>
        <v/>
      </c>
      <c r="M540" s="1" t="str">
        <f>IF(calc!$L540=1,calc!O540,"")</f>
        <v/>
      </c>
      <c r="N540" s="1" t="str">
        <f>IF(calc!$L540=1,calc!P540,"")</f>
        <v/>
      </c>
      <c r="O540">
        <f>'Entry data'!C$1</f>
        <v>20064</v>
      </c>
      <c r="P540" t="str">
        <f>'Entry data'!C$2</f>
        <v>NSH</v>
      </c>
      <c r="Q540" t="str">
        <f>'Entry data'!C$3</f>
        <v>Home</v>
      </c>
    </row>
    <row r="541" spans="1:17" x14ac:dyDescent="0.25">
      <c r="A541" s="1" t="str">
        <f>IF(calc!$L541=1,calc!B541,"")</f>
        <v/>
      </c>
      <c r="B541" s="5" t="str">
        <f>IF(calc!$L541=1,calc!C541,"")</f>
        <v/>
      </c>
      <c r="C541" s="1" t="str">
        <f>IF(calc!$L541=1,calc!D541,"")</f>
        <v/>
      </c>
      <c r="D541" s="1" t="str">
        <f>IF(calc!$L541=1,calc!E541,"")</f>
        <v/>
      </c>
      <c r="E541" s="1" t="str">
        <f>IF(calc!$L541=1,IF(EXACT(calc!$D541,"FAC"),"",calc!F541),"")</f>
        <v/>
      </c>
      <c r="F541" s="1" t="str">
        <f>IF(calc!$L541=1,IF(EXACT(calc!$D541,"FAC"),"",calc!G541),"")</f>
        <v/>
      </c>
      <c r="G541" s="1" t="str">
        <f>IF(calc!$L541=1,IF(EXACT(calc!$D541,"FAC"),"",calc!H541),"")</f>
        <v/>
      </c>
      <c r="H541" s="1" t="str">
        <f>IF(calc!$L541=1,IF(EXACT(calc!$D541,"FAC"),"",calc!I541),"")</f>
        <v/>
      </c>
      <c r="I541" s="1" t="str">
        <f>IF(calc!$L541=1,calc!J541,"")</f>
        <v/>
      </c>
      <c r="J541" s="1" t="str">
        <f>IF(calc!$L541=1,calc!K541,"")</f>
        <v/>
      </c>
      <c r="K541" s="1" t="str">
        <f>IF(calc!$L541=1,calc!M541,"")</f>
        <v/>
      </c>
      <c r="L541" s="1" t="str">
        <f>IF(calc!$L541=1,calc!N541,"")</f>
        <v/>
      </c>
      <c r="M541" s="1" t="str">
        <f>IF(calc!$L541=1,calc!O541,"")</f>
        <v/>
      </c>
      <c r="N541" s="1" t="str">
        <f>IF(calc!$L541=1,calc!P541,"")</f>
        <v/>
      </c>
      <c r="O541">
        <f>'Entry data'!C$1</f>
        <v>20064</v>
      </c>
      <c r="P541" t="str">
        <f>'Entry data'!C$2</f>
        <v>NSH</v>
      </c>
      <c r="Q541" t="str">
        <f>'Entry data'!C$3</f>
        <v>Home</v>
      </c>
    </row>
    <row r="542" spans="1:17" x14ac:dyDescent="0.25">
      <c r="A542" s="1" t="str">
        <f>IF(calc!$L542=1,calc!B542,"")</f>
        <v/>
      </c>
      <c r="B542" s="5" t="str">
        <f>IF(calc!$L542=1,calc!C542,"")</f>
        <v/>
      </c>
      <c r="C542" s="1" t="str">
        <f>IF(calc!$L542=1,calc!D542,"")</f>
        <v/>
      </c>
      <c r="D542" s="1" t="str">
        <f>IF(calc!$L542=1,calc!E542,"")</f>
        <v/>
      </c>
      <c r="E542" s="1" t="str">
        <f>IF(calc!$L542=1,IF(EXACT(calc!$D542,"FAC"),"",calc!F542),"")</f>
        <v/>
      </c>
      <c r="F542" s="1" t="str">
        <f>IF(calc!$L542=1,IF(EXACT(calc!$D542,"FAC"),"",calc!G542),"")</f>
        <v/>
      </c>
      <c r="G542" s="1" t="str">
        <f>IF(calc!$L542=1,IF(EXACT(calc!$D542,"FAC"),"",calc!H542),"")</f>
        <v/>
      </c>
      <c r="H542" s="1" t="str">
        <f>IF(calc!$L542=1,IF(EXACT(calc!$D542,"FAC"),"",calc!I542),"")</f>
        <v/>
      </c>
      <c r="I542" s="1" t="str">
        <f>IF(calc!$L542=1,calc!J542,"")</f>
        <v/>
      </c>
      <c r="J542" s="1" t="str">
        <f>IF(calc!$L542=1,calc!K542,"")</f>
        <v/>
      </c>
      <c r="K542" s="1" t="str">
        <f>IF(calc!$L542=1,calc!M542,"")</f>
        <v/>
      </c>
      <c r="L542" s="1" t="str">
        <f>IF(calc!$L542=1,calc!N542,"")</f>
        <v/>
      </c>
      <c r="M542" s="1" t="str">
        <f>IF(calc!$L542=1,calc!O542,"")</f>
        <v/>
      </c>
      <c r="N542" s="1" t="str">
        <f>IF(calc!$L542=1,calc!P542,"")</f>
        <v/>
      </c>
      <c r="O542">
        <f>'Entry data'!C$1</f>
        <v>20064</v>
      </c>
      <c r="P542" t="str">
        <f>'Entry data'!C$2</f>
        <v>NSH</v>
      </c>
      <c r="Q542" t="str">
        <f>'Entry data'!C$3</f>
        <v>Home</v>
      </c>
    </row>
    <row r="543" spans="1:17" x14ac:dyDescent="0.25">
      <c r="A543" s="1" t="str">
        <f>IF(calc!$L543=1,calc!B543,"")</f>
        <v/>
      </c>
      <c r="B543" s="5" t="str">
        <f>IF(calc!$L543=1,calc!C543,"")</f>
        <v/>
      </c>
      <c r="C543" s="1" t="str">
        <f>IF(calc!$L543=1,calc!D543,"")</f>
        <v/>
      </c>
      <c r="D543" s="1" t="str">
        <f>IF(calc!$L543=1,calc!E543,"")</f>
        <v/>
      </c>
      <c r="E543" s="1" t="str">
        <f>IF(calc!$L543=1,IF(EXACT(calc!$D543,"FAC"),"",calc!F543),"")</f>
        <v/>
      </c>
      <c r="F543" s="1" t="str">
        <f>IF(calc!$L543=1,IF(EXACT(calc!$D543,"FAC"),"",calc!G543),"")</f>
        <v/>
      </c>
      <c r="G543" s="1" t="str">
        <f>IF(calc!$L543=1,IF(EXACT(calc!$D543,"FAC"),"",calc!H543),"")</f>
        <v/>
      </c>
      <c r="H543" s="1" t="str">
        <f>IF(calc!$L543=1,IF(EXACT(calc!$D543,"FAC"),"",calc!I543),"")</f>
        <v/>
      </c>
      <c r="I543" s="1" t="str">
        <f>IF(calc!$L543=1,calc!J543,"")</f>
        <v/>
      </c>
      <c r="J543" s="1" t="str">
        <f>IF(calc!$L543=1,calc!K543,"")</f>
        <v/>
      </c>
      <c r="K543" s="1" t="str">
        <f>IF(calc!$L543=1,calc!M543,"")</f>
        <v/>
      </c>
      <c r="L543" s="1" t="str">
        <f>IF(calc!$L543=1,calc!N543,"")</f>
        <v/>
      </c>
      <c r="M543" s="1" t="str">
        <f>IF(calc!$L543=1,calc!O543,"")</f>
        <v/>
      </c>
      <c r="N543" s="1" t="str">
        <f>IF(calc!$L543=1,calc!P543,"")</f>
        <v/>
      </c>
      <c r="O543">
        <f>'Entry data'!C$1</f>
        <v>20064</v>
      </c>
      <c r="P543" t="str">
        <f>'Entry data'!C$2</f>
        <v>NSH</v>
      </c>
      <c r="Q543" t="str">
        <f>'Entry data'!C$3</f>
        <v>Home</v>
      </c>
    </row>
    <row r="544" spans="1:17" x14ac:dyDescent="0.25">
      <c r="A544" s="1" t="str">
        <f>IF(calc!$L544=1,calc!B544,"")</f>
        <v/>
      </c>
      <c r="B544" s="5" t="str">
        <f>IF(calc!$L544=1,calc!C544,"")</f>
        <v/>
      </c>
      <c r="C544" s="1" t="str">
        <f>IF(calc!$L544=1,calc!D544,"")</f>
        <v/>
      </c>
      <c r="D544" s="1" t="str">
        <f>IF(calc!$L544=1,calc!E544,"")</f>
        <v/>
      </c>
      <c r="E544" s="1" t="str">
        <f>IF(calc!$L544=1,IF(EXACT(calc!$D544,"FAC"),"",calc!F544),"")</f>
        <v/>
      </c>
      <c r="F544" s="1" t="str">
        <f>IF(calc!$L544=1,IF(EXACT(calc!$D544,"FAC"),"",calc!G544),"")</f>
        <v/>
      </c>
      <c r="G544" s="1" t="str">
        <f>IF(calc!$L544=1,IF(EXACT(calc!$D544,"FAC"),"",calc!H544),"")</f>
        <v/>
      </c>
      <c r="H544" s="1" t="str">
        <f>IF(calc!$L544=1,IF(EXACT(calc!$D544,"FAC"),"",calc!I544),"")</f>
        <v/>
      </c>
      <c r="I544" s="1" t="str">
        <f>IF(calc!$L544=1,calc!J544,"")</f>
        <v/>
      </c>
      <c r="J544" s="1" t="str">
        <f>IF(calc!$L544=1,calc!K544,"")</f>
        <v/>
      </c>
      <c r="K544" s="1" t="str">
        <f>IF(calc!$L544=1,calc!M544,"")</f>
        <v/>
      </c>
      <c r="L544" s="1" t="str">
        <f>IF(calc!$L544=1,calc!N544,"")</f>
        <v/>
      </c>
      <c r="M544" s="1" t="str">
        <f>IF(calc!$L544=1,calc!O544,"")</f>
        <v/>
      </c>
      <c r="N544" s="1" t="str">
        <f>IF(calc!$L544=1,calc!P544,"")</f>
        <v/>
      </c>
      <c r="O544">
        <f>'Entry data'!C$1</f>
        <v>20064</v>
      </c>
      <c r="P544" t="str">
        <f>'Entry data'!C$2</f>
        <v>NSH</v>
      </c>
      <c r="Q544" t="str">
        <f>'Entry data'!C$3</f>
        <v>Home</v>
      </c>
    </row>
    <row r="545" spans="1:17" x14ac:dyDescent="0.25">
      <c r="A545" s="1" t="str">
        <f>IF(calc!$L545=1,calc!B545,"")</f>
        <v/>
      </c>
      <c r="B545" s="5" t="str">
        <f>IF(calc!$L545=1,calc!C545,"")</f>
        <v/>
      </c>
      <c r="C545" s="1" t="str">
        <f>IF(calc!$L545=1,calc!D545,"")</f>
        <v/>
      </c>
      <c r="D545" s="1" t="str">
        <f>IF(calc!$L545=1,calc!E545,"")</f>
        <v/>
      </c>
      <c r="E545" s="1" t="str">
        <f>IF(calc!$L545=1,IF(EXACT(calc!$D545,"FAC"),"",calc!F545),"")</f>
        <v/>
      </c>
      <c r="F545" s="1" t="str">
        <f>IF(calc!$L545=1,IF(EXACT(calc!$D545,"FAC"),"",calc!G545),"")</f>
        <v/>
      </c>
      <c r="G545" s="1" t="str">
        <f>IF(calc!$L545=1,IF(EXACT(calc!$D545,"FAC"),"",calc!H545),"")</f>
        <v/>
      </c>
      <c r="H545" s="1" t="str">
        <f>IF(calc!$L545=1,IF(EXACT(calc!$D545,"FAC"),"",calc!I545),"")</f>
        <v/>
      </c>
      <c r="I545" s="1" t="str">
        <f>IF(calc!$L545=1,calc!J545,"")</f>
        <v/>
      </c>
      <c r="J545" s="1" t="str">
        <f>IF(calc!$L545=1,calc!K545,"")</f>
        <v/>
      </c>
      <c r="K545" s="1" t="str">
        <f>IF(calc!$L545=1,calc!M545,"")</f>
        <v/>
      </c>
      <c r="L545" s="1" t="str">
        <f>IF(calc!$L545=1,calc!N545,"")</f>
        <v/>
      </c>
      <c r="M545" s="1" t="str">
        <f>IF(calc!$L545=1,calc!O545,"")</f>
        <v/>
      </c>
      <c r="N545" s="1" t="str">
        <f>IF(calc!$L545=1,calc!P545,"")</f>
        <v/>
      </c>
      <c r="O545">
        <f>'Entry data'!C$1</f>
        <v>20064</v>
      </c>
      <c r="P545" t="str">
        <f>'Entry data'!C$2</f>
        <v>NSH</v>
      </c>
      <c r="Q545" t="str">
        <f>'Entry data'!C$3</f>
        <v>Home</v>
      </c>
    </row>
    <row r="546" spans="1:17" x14ac:dyDescent="0.25">
      <c r="A546" s="1" t="str">
        <f>IF(calc!$L546=1,calc!B546,"")</f>
        <v/>
      </c>
      <c r="B546" s="5" t="str">
        <f>IF(calc!$L546=1,calc!C546,"")</f>
        <v/>
      </c>
      <c r="C546" s="1" t="str">
        <f>IF(calc!$L546=1,calc!D546,"")</f>
        <v/>
      </c>
      <c r="D546" s="1" t="str">
        <f>IF(calc!$L546=1,calc!E546,"")</f>
        <v/>
      </c>
      <c r="E546" s="1" t="str">
        <f>IF(calc!$L546=1,IF(EXACT(calc!$D546,"FAC"),"",calc!F546),"")</f>
        <v/>
      </c>
      <c r="F546" s="1" t="str">
        <f>IF(calc!$L546=1,IF(EXACT(calc!$D546,"FAC"),"",calc!G546),"")</f>
        <v/>
      </c>
      <c r="G546" s="1" t="str">
        <f>IF(calc!$L546=1,IF(EXACT(calc!$D546,"FAC"),"",calc!H546),"")</f>
        <v/>
      </c>
      <c r="H546" s="1" t="str">
        <f>IF(calc!$L546=1,IF(EXACT(calc!$D546,"FAC"),"",calc!I546),"")</f>
        <v/>
      </c>
      <c r="I546" s="1" t="str">
        <f>IF(calc!$L546=1,calc!J546,"")</f>
        <v/>
      </c>
      <c r="J546" s="1" t="str">
        <f>IF(calc!$L546=1,calc!K546,"")</f>
        <v/>
      </c>
      <c r="K546" s="1" t="str">
        <f>IF(calc!$L546=1,calc!M546,"")</f>
        <v/>
      </c>
      <c r="L546" s="1" t="str">
        <f>IF(calc!$L546=1,calc!N546,"")</f>
        <v/>
      </c>
      <c r="M546" s="1" t="str">
        <f>IF(calc!$L546=1,calc!O546,"")</f>
        <v/>
      </c>
      <c r="N546" s="1" t="str">
        <f>IF(calc!$L546=1,calc!P546,"")</f>
        <v/>
      </c>
      <c r="O546">
        <f>'Entry data'!C$1</f>
        <v>20064</v>
      </c>
      <c r="P546" t="str">
        <f>'Entry data'!C$2</f>
        <v>NSH</v>
      </c>
      <c r="Q546" t="str">
        <f>'Entry data'!C$3</f>
        <v>Home</v>
      </c>
    </row>
    <row r="547" spans="1:17" x14ac:dyDescent="0.25">
      <c r="A547" s="1" t="str">
        <f>IF(calc!$L547=1,calc!B547,"")</f>
        <v/>
      </c>
      <c r="B547" s="5" t="str">
        <f>IF(calc!$L547=1,calc!C547,"")</f>
        <v/>
      </c>
      <c r="C547" s="1" t="str">
        <f>IF(calc!$L547=1,calc!D547,"")</f>
        <v/>
      </c>
      <c r="D547" s="1" t="str">
        <f>IF(calc!$L547=1,calc!E547,"")</f>
        <v/>
      </c>
      <c r="E547" s="1" t="str">
        <f>IF(calc!$L547=1,IF(EXACT(calc!$D547,"FAC"),"",calc!F547),"")</f>
        <v/>
      </c>
      <c r="F547" s="1" t="str">
        <f>IF(calc!$L547=1,IF(EXACT(calc!$D547,"FAC"),"",calc!G547),"")</f>
        <v/>
      </c>
      <c r="G547" s="1" t="str">
        <f>IF(calc!$L547=1,IF(EXACT(calc!$D547,"FAC"),"",calc!H547),"")</f>
        <v/>
      </c>
      <c r="H547" s="1" t="str">
        <f>IF(calc!$L547=1,IF(EXACT(calc!$D547,"FAC"),"",calc!I547),"")</f>
        <v/>
      </c>
      <c r="I547" s="1" t="str">
        <f>IF(calc!$L547=1,calc!J547,"")</f>
        <v/>
      </c>
      <c r="J547" s="1" t="str">
        <f>IF(calc!$L547=1,calc!K547,"")</f>
        <v/>
      </c>
      <c r="K547" s="1" t="str">
        <f>IF(calc!$L547=1,calc!M547,"")</f>
        <v/>
      </c>
      <c r="L547" s="1" t="str">
        <f>IF(calc!$L547=1,calc!N547,"")</f>
        <v/>
      </c>
      <c r="M547" s="1" t="str">
        <f>IF(calc!$L547=1,calc!O547,"")</f>
        <v/>
      </c>
      <c r="N547" s="1" t="str">
        <f>IF(calc!$L547=1,calc!P547,"")</f>
        <v/>
      </c>
      <c r="O547">
        <f>'Entry data'!C$1</f>
        <v>20064</v>
      </c>
      <c r="P547" t="str">
        <f>'Entry data'!C$2</f>
        <v>NSH</v>
      </c>
      <c r="Q547" t="str">
        <f>'Entry data'!C$3</f>
        <v>Home</v>
      </c>
    </row>
    <row r="548" spans="1:17" x14ac:dyDescent="0.25">
      <c r="A548" s="1" t="str">
        <f>IF(calc!$L548=1,calc!B548,"")</f>
        <v/>
      </c>
      <c r="B548" s="5" t="str">
        <f>IF(calc!$L548=1,calc!C548,"")</f>
        <v/>
      </c>
      <c r="C548" s="1" t="str">
        <f>IF(calc!$L548=1,calc!D548,"")</f>
        <v/>
      </c>
      <c r="D548" s="1" t="str">
        <f>IF(calc!$L548=1,calc!E548,"")</f>
        <v/>
      </c>
      <c r="E548" s="1" t="str">
        <f>IF(calc!$L548=1,IF(EXACT(calc!$D548,"FAC"),"",calc!F548),"")</f>
        <v/>
      </c>
      <c r="F548" s="1" t="str">
        <f>IF(calc!$L548=1,IF(EXACT(calc!$D548,"FAC"),"",calc!G548),"")</f>
        <v/>
      </c>
      <c r="G548" s="1" t="str">
        <f>IF(calc!$L548=1,IF(EXACT(calc!$D548,"FAC"),"",calc!H548),"")</f>
        <v/>
      </c>
      <c r="H548" s="1" t="str">
        <f>IF(calc!$L548=1,IF(EXACT(calc!$D548,"FAC"),"",calc!I548),"")</f>
        <v/>
      </c>
      <c r="I548" s="1" t="str">
        <f>IF(calc!$L548=1,calc!J548,"")</f>
        <v/>
      </c>
      <c r="J548" s="1" t="str">
        <f>IF(calc!$L548=1,calc!K548,"")</f>
        <v/>
      </c>
      <c r="K548" s="1" t="str">
        <f>IF(calc!$L548=1,calc!M548,"")</f>
        <v/>
      </c>
      <c r="L548" s="1" t="str">
        <f>IF(calc!$L548=1,calc!N548,"")</f>
        <v/>
      </c>
      <c r="M548" s="1" t="str">
        <f>IF(calc!$L548=1,calc!O548,"")</f>
        <v/>
      </c>
      <c r="N548" s="1" t="str">
        <f>IF(calc!$L548=1,calc!P548,"")</f>
        <v/>
      </c>
      <c r="O548">
        <f>'Entry data'!C$1</f>
        <v>20064</v>
      </c>
      <c r="P548" t="str">
        <f>'Entry data'!C$2</f>
        <v>NSH</v>
      </c>
      <c r="Q548" t="str">
        <f>'Entry data'!C$3</f>
        <v>Home</v>
      </c>
    </row>
    <row r="549" spans="1:17" x14ac:dyDescent="0.25">
      <c r="A549" s="1" t="str">
        <f>IF(calc!$L549=1,calc!B549,"")</f>
        <v/>
      </c>
      <c r="B549" s="5" t="str">
        <f>IF(calc!$L549=1,calc!C549,"")</f>
        <v/>
      </c>
      <c r="C549" s="1" t="str">
        <f>IF(calc!$L549=1,calc!D549,"")</f>
        <v/>
      </c>
      <c r="D549" s="1" t="str">
        <f>IF(calc!$L549=1,calc!E549,"")</f>
        <v/>
      </c>
      <c r="E549" s="1" t="str">
        <f>IF(calc!$L549=1,IF(EXACT(calc!$D549,"FAC"),"",calc!F549),"")</f>
        <v/>
      </c>
      <c r="F549" s="1" t="str">
        <f>IF(calc!$L549=1,IF(EXACT(calc!$D549,"FAC"),"",calc!G549),"")</f>
        <v/>
      </c>
      <c r="G549" s="1" t="str">
        <f>IF(calc!$L549=1,IF(EXACT(calc!$D549,"FAC"),"",calc!H549),"")</f>
        <v/>
      </c>
      <c r="H549" s="1" t="str">
        <f>IF(calc!$L549=1,IF(EXACT(calc!$D549,"FAC"),"",calc!I549),"")</f>
        <v/>
      </c>
      <c r="I549" s="1" t="str">
        <f>IF(calc!$L549=1,calc!J549,"")</f>
        <v/>
      </c>
      <c r="J549" s="1" t="str">
        <f>IF(calc!$L549=1,calc!K549,"")</f>
        <v/>
      </c>
      <c r="K549" s="1" t="str">
        <f>IF(calc!$L549=1,calc!M549,"")</f>
        <v/>
      </c>
      <c r="L549" s="1" t="str">
        <f>IF(calc!$L549=1,calc!N549,"")</f>
        <v/>
      </c>
      <c r="M549" s="1" t="str">
        <f>IF(calc!$L549=1,calc!O549,"")</f>
        <v/>
      </c>
      <c r="N549" s="1" t="str">
        <f>IF(calc!$L549=1,calc!P549,"")</f>
        <v/>
      </c>
      <c r="O549">
        <f>'Entry data'!C$1</f>
        <v>20064</v>
      </c>
      <c r="P549" t="str">
        <f>'Entry data'!C$2</f>
        <v>NSH</v>
      </c>
      <c r="Q549" t="str">
        <f>'Entry data'!C$3</f>
        <v>Home</v>
      </c>
    </row>
    <row r="550" spans="1:17" x14ac:dyDescent="0.25">
      <c r="A550" s="1" t="str">
        <f>IF(calc!$L550=1,calc!B550,"")</f>
        <v/>
      </c>
      <c r="B550" s="5" t="str">
        <f>IF(calc!$L550=1,calc!C550,"")</f>
        <v/>
      </c>
      <c r="C550" s="1" t="str">
        <f>IF(calc!$L550=1,calc!D550,"")</f>
        <v/>
      </c>
      <c r="D550" s="1" t="str">
        <f>IF(calc!$L550=1,calc!E550,"")</f>
        <v/>
      </c>
      <c r="E550" s="1" t="str">
        <f>IF(calc!$L550=1,IF(EXACT(calc!$D550,"FAC"),"",calc!F550),"")</f>
        <v/>
      </c>
      <c r="F550" s="1" t="str">
        <f>IF(calc!$L550=1,IF(EXACT(calc!$D550,"FAC"),"",calc!G550),"")</f>
        <v/>
      </c>
      <c r="G550" s="1" t="str">
        <f>IF(calc!$L550=1,IF(EXACT(calc!$D550,"FAC"),"",calc!H550),"")</f>
        <v/>
      </c>
      <c r="H550" s="1" t="str">
        <f>IF(calc!$L550=1,IF(EXACT(calc!$D550,"FAC"),"",calc!I550),"")</f>
        <v/>
      </c>
      <c r="I550" s="1" t="str">
        <f>IF(calc!$L550=1,calc!J550,"")</f>
        <v/>
      </c>
      <c r="J550" s="1" t="str">
        <f>IF(calc!$L550=1,calc!K550,"")</f>
        <v/>
      </c>
      <c r="K550" s="1" t="str">
        <f>IF(calc!$L550=1,calc!M550,"")</f>
        <v/>
      </c>
      <c r="L550" s="1" t="str">
        <f>IF(calc!$L550=1,calc!N550,"")</f>
        <v/>
      </c>
      <c r="M550" s="1" t="str">
        <f>IF(calc!$L550=1,calc!O550,"")</f>
        <v/>
      </c>
      <c r="N550" s="1" t="str">
        <f>IF(calc!$L550=1,calc!P550,"")</f>
        <v/>
      </c>
      <c r="O550">
        <f>'Entry data'!C$1</f>
        <v>20064</v>
      </c>
      <c r="P550" t="str">
        <f>'Entry data'!C$2</f>
        <v>NSH</v>
      </c>
      <c r="Q550" t="str">
        <f>'Entry data'!C$3</f>
        <v>Home</v>
      </c>
    </row>
    <row r="551" spans="1:17" x14ac:dyDescent="0.25">
      <c r="A551" s="1" t="str">
        <f>IF(calc!$L551=1,calc!B551,"")</f>
        <v/>
      </c>
      <c r="B551" s="5" t="str">
        <f>IF(calc!$L551=1,calc!C551,"")</f>
        <v/>
      </c>
      <c r="C551" s="1" t="str">
        <f>IF(calc!$L551=1,calc!D551,"")</f>
        <v/>
      </c>
      <c r="D551" s="1" t="str">
        <f>IF(calc!$L551=1,calc!E551,"")</f>
        <v/>
      </c>
      <c r="E551" s="1" t="str">
        <f>IF(calc!$L551=1,IF(EXACT(calc!$D551,"FAC"),"",calc!F551),"")</f>
        <v/>
      </c>
      <c r="F551" s="1" t="str">
        <f>IF(calc!$L551=1,IF(EXACT(calc!$D551,"FAC"),"",calc!G551),"")</f>
        <v/>
      </c>
      <c r="G551" s="1" t="str">
        <f>IF(calc!$L551=1,IF(EXACT(calc!$D551,"FAC"),"",calc!H551),"")</f>
        <v/>
      </c>
      <c r="H551" s="1" t="str">
        <f>IF(calc!$L551=1,IF(EXACT(calc!$D551,"FAC"),"",calc!I551),"")</f>
        <v/>
      </c>
      <c r="I551" s="1" t="str">
        <f>IF(calc!$L551=1,calc!J551,"")</f>
        <v/>
      </c>
      <c r="J551" s="1" t="str">
        <f>IF(calc!$L551=1,calc!K551,"")</f>
        <v/>
      </c>
      <c r="K551" s="1" t="str">
        <f>IF(calc!$L551=1,calc!M551,"")</f>
        <v/>
      </c>
      <c r="L551" s="1" t="str">
        <f>IF(calc!$L551=1,calc!N551,"")</f>
        <v/>
      </c>
      <c r="M551" s="1" t="str">
        <f>IF(calc!$L551=1,calc!O551,"")</f>
        <v/>
      </c>
      <c r="N551" s="1" t="str">
        <f>IF(calc!$L551=1,calc!P551,"")</f>
        <v/>
      </c>
      <c r="O551">
        <f>'Entry data'!C$1</f>
        <v>20064</v>
      </c>
      <c r="P551" t="str">
        <f>'Entry data'!C$2</f>
        <v>NSH</v>
      </c>
      <c r="Q551" t="str">
        <f>'Entry data'!C$3</f>
        <v>Home</v>
      </c>
    </row>
    <row r="552" spans="1:17" x14ac:dyDescent="0.25">
      <c r="A552" s="1" t="str">
        <f>IF(calc!$L552=1,calc!B552,"")</f>
        <v/>
      </c>
      <c r="B552" s="5" t="str">
        <f>IF(calc!$L552=1,calc!C552,"")</f>
        <v/>
      </c>
      <c r="C552" s="1" t="str">
        <f>IF(calc!$L552=1,calc!D552,"")</f>
        <v/>
      </c>
      <c r="D552" s="1" t="str">
        <f>IF(calc!$L552=1,calc!E552,"")</f>
        <v/>
      </c>
      <c r="E552" s="1" t="str">
        <f>IF(calc!$L552=1,IF(EXACT(calc!$D552,"FAC"),"",calc!F552),"")</f>
        <v/>
      </c>
      <c r="F552" s="1" t="str">
        <f>IF(calc!$L552=1,IF(EXACT(calc!$D552,"FAC"),"",calc!G552),"")</f>
        <v/>
      </c>
      <c r="G552" s="1" t="str">
        <f>IF(calc!$L552=1,IF(EXACT(calc!$D552,"FAC"),"",calc!H552),"")</f>
        <v/>
      </c>
      <c r="H552" s="1" t="str">
        <f>IF(calc!$L552=1,IF(EXACT(calc!$D552,"FAC"),"",calc!I552),"")</f>
        <v/>
      </c>
      <c r="I552" s="1" t="str">
        <f>IF(calc!$L552=1,calc!J552,"")</f>
        <v/>
      </c>
      <c r="J552" s="1" t="str">
        <f>IF(calc!$L552=1,calc!K552,"")</f>
        <v/>
      </c>
      <c r="K552" s="1" t="str">
        <f>IF(calc!$L552=1,calc!M552,"")</f>
        <v/>
      </c>
      <c r="L552" s="1" t="str">
        <f>IF(calc!$L552=1,calc!N552,"")</f>
        <v/>
      </c>
      <c r="M552" s="1" t="str">
        <f>IF(calc!$L552=1,calc!O552,"")</f>
        <v/>
      </c>
      <c r="N552" s="1" t="str">
        <f>IF(calc!$L552=1,calc!P552,"")</f>
        <v/>
      </c>
      <c r="O552">
        <f>'Entry data'!C$1</f>
        <v>20064</v>
      </c>
      <c r="P552" t="str">
        <f>'Entry data'!C$2</f>
        <v>NSH</v>
      </c>
      <c r="Q552" t="str">
        <f>'Entry data'!C$3</f>
        <v>Home</v>
      </c>
    </row>
    <row r="553" spans="1:17" x14ac:dyDescent="0.25">
      <c r="A553" s="1" t="str">
        <f>IF(calc!$L553=1,calc!B553,"")</f>
        <v/>
      </c>
      <c r="B553" s="5" t="str">
        <f>IF(calc!$L553=1,calc!C553,"")</f>
        <v/>
      </c>
      <c r="C553" s="1" t="str">
        <f>IF(calc!$L553=1,calc!D553,"")</f>
        <v/>
      </c>
      <c r="D553" s="1" t="str">
        <f>IF(calc!$L553=1,calc!E553,"")</f>
        <v/>
      </c>
      <c r="E553" s="1" t="str">
        <f>IF(calc!$L553=1,IF(EXACT(calc!$D553,"FAC"),"",calc!F553),"")</f>
        <v/>
      </c>
      <c r="F553" s="1" t="str">
        <f>IF(calc!$L553=1,IF(EXACT(calc!$D553,"FAC"),"",calc!G553),"")</f>
        <v/>
      </c>
      <c r="G553" s="1" t="str">
        <f>IF(calc!$L553=1,IF(EXACT(calc!$D553,"FAC"),"",calc!H553),"")</f>
        <v/>
      </c>
      <c r="H553" s="1" t="str">
        <f>IF(calc!$L553=1,IF(EXACT(calc!$D553,"FAC"),"",calc!I553),"")</f>
        <v/>
      </c>
      <c r="I553" s="1" t="str">
        <f>IF(calc!$L553=1,calc!J553,"")</f>
        <v/>
      </c>
      <c r="J553" s="1" t="str">
        <f>IF(calc!$L553=1,calc!K553,"")</f>
        <v/>
      </c>
      <c r="K553" s="1" t="str">
        <f>IF(calc!$L553=1,calc!M553,"")</f>
        <v/>
      </c>
      <c r="L553" s="1" t="str">
        <f>IF(calc!$L553=1,calc!N553,"")</f>
        <v/>
      </c>
      <c r="M553" s="1" t="str">
        <f>IF(calc!$L553=1,calc!O553,"")</f>
        <v/>
      </c>
      <c r="N553" s="1" t="str">
        <f>IF(calc!$L553=1,calc!P553,"")</f>
        <v/>
      </c>
      <c r="O553">
        <f>'Entry data'!C$1</f>
        <v>20064</v>
      </c>
      <c r="P553" t="str">
        <f>'Entry data'!C$2</f>
        <v>NSH</v>
      </c>
      <c r="Q553" t="str">
        <f>'Entry data'!C$3</f>
        <v>Home</v>
      </c>
    </row>
    <row r="554" spans="1:17" x14ac:dyDescent="0.25">
      <c r="A554" s="1" t="str">
        <f>IF(calc!$L554=1,calc!B554,"")</f>
        <v/>
      </c>
      <c r="B554" s="5" t="str">
        <f>IF(calc!$L554=1,calc!C554,"")</f>
        <v/>
      </c>
      <c r="C554" s="1" t="str">
        <f>IF(calc!$L554=1,calc!D554,"")</f>
        <v/>
      </c>
      <c r="D554" s="1" t="str">
        <f>IF(calc!$L554=1,calc!E554,"")</f>
        <v/>
      </c>
      <c r="E554" s="1" t="str">
        <f>IF(calc!$L554=1,IF(EXACT(calc!$D554,"FAC"),"",calc!F554),"")</f>
        <v/>
      </c>
      <c r="F554" s="1" t="str">
        <f>IF(calc!$L554=1,IF(EXACT(calc!$D554,"FAC"),"",calc!G554),"")</f>
        <v/>
      </c>
      <c r="G554" s="1" t="str">
        <f>IF(calc!$L554=1,IF(EXACT(calc!$D554,"FAC"),"",calc!H554),"")</f>
        <v/>
      </c>
      <c r="H554" s="1" t="str">
        <f>IF(calc!$L554=1,IF(EXACT(calc!$D554,"FAC"),"",calc!I554),"")</f>
        <v/>
      </c>
      <c r="I554" s="1" t="str">
        <f>IF(calc!$L554=1,calc!J554,"")</f>
        <v/>
      </c>
      <c r="J554" s="1" t="str">
        <f>IF(calc!$L554=1,calc!K554,"")</f>
        <v/>
      </c>
      <c r="K554" s="1" t="str">
        <f>IF(calc!$L554=1,calc!M554,"")</f>
        <v/>
      </c>
      <c r="L554" s="1" t="str">
        <f>IF(calc!$L554=1,calc!N554,"")</f>
        <v/>
      </c>
      <c r="M554" s="1" t="str">
        <f>IF(calc!$L554=1,calc!O554,"")</f>
        <v/>
      </c>
      <c r="N554" s="1" t="str">
        <f>IF(calc!$L554=1,calc!P554,"")</f>
        <v/>
      </c>
      <c r="O554">
        <f>'Entry data'!C$1</f>
        <v>20064</v>
      </c>
      <c r="P554" t="str">
        <f>'Entry data'!C$2</f>
        <v>NSH</v>
      </c>
      <c r="Q554" t="str">
        <f>'Entry data'!C$3</f>
        <v>Home</v>
      </c>
    </row>
    <row r="555" spans="1:17" x14ac:dyDescent="0.25">
      <c r="A555" s="1" t="str">
        <f>IF(calc!$L555=1,calc!B555,"")</f>
        <v/>
      </c>
      <c r="B555" s="5" t="str">
        <f>IF(calc!$L555=1,calc!C555,"")</f>
        <v/>
      </c>
      <c r="C555" s="1" t="str">
        <f>IF(calc!$L555=1,calc!D555,"")</f>
        <v/>
      </c>
      <c r="D555" s="1" t="str">
        <f>IF(calc!$L555=1,calc!E555,"")</f>
        <v/>
      </c>
      <c r="E555" s="1" t="str">
        <f>IF(calc!$L555=1,IF(EXACT(calc!$D555,"FAC"),"",calc!F555),"")</f>
        <v/>
      </c>
      <c r="F555" s="1" t="str">
        <f>IF(calc!$L555=1,IF(EXACT(calc!$D555,"FAC"),"",calc!G555),"")</f>
        <v/>
      </c>
      <c r="G555" s="1" t="str">
        <f>IF(calc!$L555=1,IF(EXACT(calc!$D555,"FAC"),"",calc!H555),"")</f>
        <v/>
      </c>
      <c r="H555" s="1" t="str">
        <f>IF(calc!$L555=1,IF(EXACT(calc!$D555,"FAC"),"",calc!I555),"")</f>
        <v/>
      </c>
      <c r="I555" s="1" t="str">
        <f>IF(calc!$L555=1,calc!J555,"")</f>
        <v/>
      </c>
      <c r="J555" s="1" t="str">
        <f>IF(calc!$L555=1,calc!K555,"")</f>
        <v/>
      </c>
      <c r="K555" s="1" t="str">
        <f>IF(calc!$L555=1,calc!M555,"")</f>
        <v/>
      </c>
      <c r="L555" s="1" t="str">
        <f>IF(calc!$L555=1,calc!N555,"")</f>
        <v/>
      </c>
      <c r="M555" s="1" t="str">
        <f>IF(calc!$L555=1,calc!O555,"")</f>
        <v/>
      </c>
      <c r="N555" s="1" t="str">
        <f>IF(calc!$L555=1,calc!P555,"")</f>
        <v/>
      </c>
      <c r="O555">
        <f>'Entry data'!C$1</f>
        <v>20064</v>
      </c>
      <c r="P555" t="str">
        <f>'Entry data'!C$2</f>
        <v>NSH</v>
      </c>
      <c r="Q555" t="str">
        <f>'Entry data'!C$3</f>
        <v>Home</v>
      </c>
    </row>
    <row r="556" spans="1:17" x14ac:dyDescent="0.25">
      <c r="A556" s="1" t="str">
        <f>IF(calc!$L556=1,calc!B556,"")</f>
        <v/>
      </c>
      <c r="B556" s="5" t="str">
        <f>IF(calc!$L556=1,calc!C556,"")</f>
        <v/>
      </c>
      <c r="C556" s="1" t="str">
        <f>IF(calc!$L556=1,calc!D556,"")</f>
        <v/>
      </c>
      <c r="D556" s="1" t="str">
        <f>IF(calc!$L556=1,calc!E556,"")</f>
        <v/>
      </c>
      <c r="E556" s="1" t="str">
        <f>IF(calc!$L556=1,IF(EXACT(calc!$D556,"FAC"),"",calc!F556),"")</f>
        <v/>
      </c>
      <c r="F556" s="1" t="str">
        <f>IF(calc!$L556=1,IF(EXACT(calc!$D556,"FAC"),"",calc!G556),"")</f>
        <v/>
      </c>
      <c r="G556" s="1" t="str">
        <f>IF(calc!$L556=1,IF(EXACT(calc!$D556,"FAC"),"",calc!H556),"")</f>
        <v/>
      </c>
      <c r="H556" s="1" t="str">
        <f>IF(calc!$L556=1,IF(EXACT(calc!$D556,"FAC"),"",calc!I556),"")</f>
        <v/>
      </c>
      <c r="I556" s="1" t="str">
        <f>IF(calc!$L556=1,calc!J556,"")</f>
        <v/>
      </c>
      <c r="J556" s="1" t="str">
        <f>IF(calc!$L556=1,calc!K556,"")</f>
        <v/>
      </c>
      <c r="K556" s="1" t="str">
        <f>IF(calc!$L556=1,calc!M556,"")</f>
        <v/>
      </c>
      <c r="L556" s="1" t="str">
        <f>IF(calc!$L556=1,calc!N556,"")</f>
        <v/>
      </c>
      <c r="M556" s="1" t="str">
        <f>IF(calc!$L556=1,calc!O556,"")</f>
        <v/>
      </c>
      <c r="N556" s="1" t="str">
        <f>IF(calc!$L556=1,calc!P556,"")</f>
        <v/>
      </c>
      <c r="O556">
        <f>'Entry data'!C$1</f>
        <v>20064</v>
      </c>
      <c r="P556" t="str">
        <f>'Entry data'!C$2</f>
        <v>NSH</v>
      </c>
      <c r="Q556" t="str">
        <f>'Entry data'!C$3</f>
        <v>Home</v>
      </c>
    </row>
    <row r="557" spans="1:17" x14ac:dyDescent="0.25">
      <c r="A557" s="1" t="str">
        <f>IF(calc!$L557=1,calc!B557,"")</f>
        <v/>
      </c>
      <c r="B557" s="5" t="str">
        <f>IF(calc!$L557=1,calc!C557,"")</f>
        <v/>
      </c>
      <c r="C557" s="1" t="str">
        <f>IF(calc!$L557=1,calc!D557,"")</f>
        <v/>
      </c>
      <c r="D557" s="1" t="str">
        <f>IF(calc!$L557=1,calc!E557,"")</f>
        <v/>
      </c>
      <c r="E557" s="1" t="str">
        <f>IF(calc!$L557=1,IF(EXACT(calc!$D557,"FAC"),"",calc!F557),"")</f>
        <v/>
      </c>
      <c r="F557" s="1" t="str">
        <f>IF(calc!$L557=1,IF(EXACT(calc!$D557,"FAC"),"",calc!G557),"")</f>
        <v/>
      </c>
      <c r="G557" s="1" t="str">
        <f>IF(calc!$L557=1,IF(EXACT(calc!$D557,"FAC"),"",calc!H557),"")</f>
        <v/>
      </c>
      <c r="H557" s="1" t="str">
        <f>IF(calc!$L557=1,IF(EXACT(calc!$D557,"FAC"),"",calc!I557),"")</f>
        <v/>
      </c>
      <c r="I557" s="1" t="str">
        <f>IF(calc!$L557=1,calc!J557,"")</f>
        <v/>
      </c>
      <c r="J557" s="1" t="str">
        <f>IF(calc!$L557=1,calc!K557,"")</f>
        <v/>
      </c>
      <c r="K557" s="1" t="str">
        <f>IF(calc!$L557=1,calc!M557,"")</f>
        <v/>
      </c>
      <c r="L557" s="1" t="str">
        <f>IF(calc!$L557=1,calc!N557,"")</f>
        <v/>
      </c>
      <c r="M557" s="1" t="str">
        <f>IF(calc!$L557=1,calc!O557,"")</f>
        <v/>
      </c>
      <c r="N557" s="1" t="str">
        <f>IF(calc!$L557=1,calc!P557,"")</f>
        <v/>
      </c>
      <c r="O557">
        <f>'Entry data'!C$1</f>
        <v>20064</v>
      </c>
      <c r="P557" t="str">
        <f>'Entry data'!C$2</f>
        <v>NSH</v>
      </c>
      <c r="Q557" t="str">
        <f>'Entry data'!C$3</f>
        <v>Home</v>
      </c>
    </row>
    <row r="558" spans="1:17" x14ac:dyDescent="0.25">
      <c r="A558" s="1" t="str">
        <f>IF(calc!$L558=1,calc!B558,"")</f>
        <v/>
      </c>
      <c r="B558" s="5" t="str">
        <f>IF(calc!$L558=1,calc!C558,"")</f>
        <v/>
      </c>
      <c r="C558" s="1" t="str">
        <f>IF(calc!$L558=1,calc!D558,"")</f>
        <v/>
      </c>
      <c r="D558" s="1" t="str">
        <f>IF(calc!$L558=1,calc!E558,"")</f>
        <v/>
      </c>
      <c r="E558" s="1" t="str">
        <f>IF(calc!$L558=1,IF(EXACT(calc!$D558,"FAC"),"",calc!F558),"")</f>
        <v/>
      </c>
      <c r="F558" s="1" t="str">
        <f>IF(calc!$L558=1,IF(EXACT(calc!$D558,"FAC"),"",calc!G558),"")</f>
        <v/>
      </c>
      <c r="G558" s="1" t="str">
        <f>IF(calc!$L558=1,IF(EXACT(calc!$D558,"FAC"),"",calc!H558),"")</f>
        <v/>
      </c>
      <c r="H558" s="1" t="str">
        <f>IF(calc!$L558=1,IF(EXACT(calc!$D558,"FAC"),"",calc!I558),"")</f>
        <v/>
      </c>
      <c r="I558" s="1" t="str">
        <f>IF(calc!$L558=1,calc!J558,"")</f>
        <v/>
      </c>
      <c r="J558" s="1" t="str">
        <f>IF(calc!$L558=1,calc!K558,"")</f>
        <v/>
      </c>
      <c r="K558" s="1" t="str">
        <f>IF(calc!$L558=1,calc!M558,"")</f>
        <v/>
      </c>
      <c r="L558" s="1" t="str">
        <f>IF(calc!$L558=1,calc!N558,"")</f>
        <v/>
      </c>
      <c r="M558" s="1" t="str">
        <f>IF(calc!$L558=1,calc!O558,"")</f>
        <v/>
      </c>
      <c r="N558" s="1" t="str">
        <f>IF(calc!$L558=1,calc!P558,"")</f>
        <v/>
      </c>
      <c r="O558">
        <f>'Entry data'!C$1</f>
        <v>20064</v>
      </c>
      <c r="P558" t="str">
        <f>'Entry data'!C$2</f>
        <v>NSH</v>
      </c>
      <c r="Q558" t="str">
        <f>'Entry data'!C$3</f>
        <v>Home</v>
      </c>
    </row>
    <row r="559" spans="1:17" x14ac:dyDescent="0.25">
      <c r="A559" s="1" t="str">
        <f>IF(calc!$L559=1,calc!B559,"")</f>
        <v/>
      </c>
      <c r="B559" s="5" t="str">
        <f>IF(calc!$L559=1,calc!C559,"")</f>
        <v/>
      </c>
      <c r="C559" s="1" t="str">
        <f>IF(calc!$L559=1,calc!D559,"")</f>
        <v/>
      </c>
      <c r="D559" s="1" t="str">
        <f>IF(calc!$L559=1,calc!E559,"")</f>
        <v/>
      </c>
      <c r="E559" s="1" t="str">
        <f>IF(calc!$L559=1,IF(EXACT(calc!$D559,"FAC"),"",calc!F559),"")</f>
        <v/>
      </c>
      <c r="F559" s="1" t="str">
        <f>IF(calc!$L559=1,IF(EXACT(calc!$D559,"FAC"),"",calc!G559),"")</f>
        <v/>
      </c>
      <c r="G559" s="1" t="str">
        <f>IF(calc!$L559=1,IF(EXACT(calc!$D559,"FAC"),"",calc!H559),"")</f>
        <v/>
      </c>
      <c r="H559" s="1" t="str">
        <f>IF(calc!$L559=1,IF(EXACT(calc!$D559,"FAC"),"",calc!I559),"")</f>
        <v/>
      </c>
      <c r="I559" s="1" t="str">
        <f>IF(calc!$L559=1,calc!J559,"")</f>
        <v/>
      </c>
      <c r="J559" s="1" t="str">
        <f>IF(calc!$L559=1,calc!K559,"")</f>
        <v/>
      </c>
      <c r="K559" s="1" t="str">
        <f>IF(calc!$L559=1,calc!M559,"")</f>
        <v/>
      </c>
      <c r="L559" s="1" t="str">
        <f>IF(calc!$L559=1,calc!N559,"")</f>
        <v/>
      </c>
      <c r="M559" s="1" t="str">
        <f>IF(calc!$L559=1,calc!O559,"")</f>
        <v/>
      </c>
      <c r="N559" s="1" t="str">
        <f>IF(calc!$L559=1,calc!P559,"")</f>
        <v/>
      </c>
      <c r="O559">
        <f>'Entry data'!C$1</f>
        <v>20064</v>
      </c>
      <c r="P559" t="str">
        <f>'Entry data'!C$2</f>
        <v>NSH</v>
      </c>
      <c r="Q559" t="str">
        <f>'Entry data'!C$3</f>
        <v>Home</v>
      </c>
    </row>
    <row r="560" spans="1:17" x14ac:dyDescent="0.25">
      <c r="A560" s="1" t="str">
        <f>IF(calc!$L560=1,calc!B560,"")</f>
        <v/>
      </c>
      <c r="B560" s="5" t="str">
        <f>IF(calc!$L560=1,calc!C560,"")</f>
        <v/>
      </c>
      <c r="C560" s="1" t="str">
        <f>IF(calc!$L560=1,calc!D560,"")</f>
        <v/>
      </c>
      <c r="D560" s="1" t="str">
        <f>IF(calc!$L560=1,calc!E560,"")</f>
        <v/>
      </c>
      <c r="E560" s="1" t="str">
        <f>IF(calc!$L560=1,IF(EXACT(calc!$D560,"FAC"),"",calc!F560),"")</f>
        <v/>
      </c>
      <c r="F560" s="1" t="str">
        <f>IF(calc!$L560=1,IF(EXACT(calc!$D560,"FAC"),"",calc!G560),"")</f>
        <v/>
      </c>
      <c r="G560" s="1" t="str">
        <f>IF(calc!$L560=1,IF(EXACT(calc!$D560,"FAC"),"",calc!H560),"")</f>
        <v/>
      </c>
      <c r="H560" s="1" t="str">
        <f>IF(calc!$L560=1,IF(EXACT(calc!$D560,"FAC"),"",calc!I560),"")</f>
        <v/>
      </c>
      <c r="I560" s="1" t="str">
        <f>IF(calc!$L560=1,calc!J560,"")</f>
        <v/>
      </c>
      <c r="J560" s="1" t="str">
        <f>IF(calc!$L560=1,calc!K560,"")</f>
        <v/>
      </c>
      <c r="K560" s="1" t="str">
        <f>IF(calc!$L560=1,calc!M560,"")</f>
        <v/>
      </c>
      <c r="L560" s="1" t="str">
        <f>IF(calc!$L560=1,calc!N560,"")</f>
        <v/>
      </c>
      <c r="M560" s="1" t="str">
        <f>IF(calc!$L560=1,calc!O560,"")</f>
        <v/>
      </c>
      <c r="N560" s="1" t="str">
        <f>IF(calc!$L560=1,calc!P560,"")</f>
        <v/>
      </c>
      <c r="O560">
        <f>'Entry data'!C$1</f>
        <v>20064</v>
      </c>
      <c r="P560" t="str">
        <f>'Entry data'!C$2</f>
        <v>NSH</v>
      </c>
      <c r="Q560" t="str">
        <f>'Entry data'!C$3</f>
        <v>Home</v>
      </c>
    </row>
    <row r="561" spans="1:17" x14ac:dyDescent="0.25">
      <c r="A561" s="1" t="str">
        <f>IF(calc!$L561=1,calc!B561,"")</f>
        <v/>
      </c>
      <c r="B561" s="5" t="str">
        <f>IF(calc!$L561=1,calc!C561,"")</f>
        <v/>
      </c>
      <c r="C561" s="1" t="str">
        <f>IF(calc!$L561=1,calc!D561,"")</f>
        <v/>
      </c>
      <c r="D561" s="1" t="str">
        <f>IF(calc!$L561=1,calc!E561,"")</f>
        <v/>
      </c>
      <c r="E561" s="1" t="str">
        <f>IF(calc!$L561=1,IF(EXACT(calc!$D561,"FAC"),"",calc!F561),"")</f>
        <v/>
      </c>
      <c r="F561" s="1" t="str">
        <f>IF(calc!$L561=1,IF(EXACT(calc!$D561,"FAC"),"",calc!G561),"")</f>
        <v/>
      </c>
      <c r="G561" s="1" t="str">
        <f>IF(calc!$L561=1,IF(EXACT(calc!$D561,"FAC"),"",calc!H561),"")</f>
        <v/>
      </c>
      <c r="H561" s="1" t="str">
        <f>IF(calc!$L561=1,IF(EXACT(calc!$D561,"FAC"),"",calc!I561),"")</f>
        <v/>
      </c>
      <c r="I561" s="1" t="str">
        <f>IF(calc!$L561=1,calc!J561,"")</f>
        <v/>
      </c>
      <c r="J561" s="1" t="str">
        <f>IF(calc!$L561=1,calc!K561,"")</f>
        <v/>
      </c>
      <c r="K561" s="1" t="str">
        <f>IF(calc!$L561=1,calc!M561,"")</f>
        <v/>
      </c>
      <c r="L561" s="1" t="str">
        <f>IF(calc!$L561=1,calc!N561,"")</f>
        <v/>
      </c>
      <c r="M561" s="1" t="str">
        <f>IF(calc!$L561=1,calc!O561,"")</f>
        <v/>
      </c>
      <c r="N561" s="1" t="str">
        <f>IF(calc!$L561=1,calc!P561,"")</f>
        <v/>
      </c>
      <c r="O561">
        <f>'Entry data'!C$1</f>
        <v>20064</v>
      </c>
      <c r="P561" t="str">
        <f>'Entry data'!C$2</f>
        <v>NSH</v>
      </c>
      <c r="Q561" t="str">
        <f>'Entry data'!C$3</f>
        <v>Home</v>
      </c>
    </row>
    <row r="562" spans="1:17" x14ac:dyDescent="0.25">
      <c r="A562" s="1" t="str">
        <f>IF(calc!$L562=1,calc!B562,"")</f>
        <v/>
      </c>
      <c r="B562" s="5" t="str">
        <f>IF(calc!$L562=1,calc!C562,"")</f>
        <v/>
      </c>
      <c r="C562" s="1" t="str">
        <f>IF(calc!$L562=1,calc!D562,"")</f>
        <v/>
      </c>
      <c r="D562" s="1" t="str">
        <f>IF(calc!$L562=1,calc!E562,"")</f>
        <v/>
      </c>
      <c r="E562" s="1" t="str">
        <f>IF(calc!$L562=1,IF(EXACT(calc!$D562,"FAC"),"",calc!F562),"")</f>
        <v/>
      </c>
      <c r="F562" s="1" t="str">
        <f>IF(calc!$L562=1,IF(EXACT(calc!$D562,"FAC"),"",calc!G562),"")</f>
        <v/>
      </c>
      <c r="G562" s="1" t="str">
        <f>IF(calc!$L562=1,IF(EXACT(calc!$D562,"FAC"),"",calc!H562),"")</f>
        <v/>
      </c>
      <c r="H562" s="1" t="str">
        <f>IF(calc!$L562=1,IF(EXACT(calc!$D562,"FAC"),"",calc!I562),"")</f>
        <v/>
      </c>
      <c r="I562" s="1" t="str">
        <f>IF(calc!$L562=1,calc!J562,"")</f>
        <v/>
      </c>
      <c r="J562" s="1" t="str">
        <f>IF(calc!$L562=1,calc!K562,"")</f>
        <v/>
      </c>
      <c r="K562" s="1" t="str">
        <f>IF(calc!$L562=1,calc!M562,"")</f>
        <v/>
      </c>
      <c r="L562" s="1" t="str">
        <f>IF(calc!$L562=1,calc!N562,"")</f>
        <v/>
      </c>
      <c r="M562" s="1" t="str">
        <f>IF(calc!$L562=1,calc!O562,"")</f>
        <v/>
      </c>
      <c r="N562" s="1" t="str">
        <f>IF(calc!$L562=1,calc!P562,"")</f>
        <v/>
      </c>
      <c r="O562">
        <f>'Entry data'!C$1</f>
        <v>20064</v>
      </c>
      <c r="P562" t="str">
        <f>'Entry data'!C$2</f>
        <v>NSH</v>
      </c>
      <c r="Q562" t="str">
        <f>'Entry data'!C$3</f>
        <v>Home</v>
      </c>
    </row>
    <row r="563" spans="1:17" x14ac:dyDescent="0.25">
      <c r="A563" s="1" t="str">
        <f>IF(calc!$L563=1,calc!B563,"")</f>
        <v/>
      </c>
      <c r="B563" s="5" t="str">
        <f>IF(calc!$L563=1,calc!C563,"")</f>
        <v/>
      </c>
      <c r="C563" s="1" t="str">
        <f>IF(calc!$L563=1,calc!D563,"")</f>
        <v/>
      </c>
      <c r="D563" s="1" t="str">
        <f>IF(calc!$L563=1,calc!E563,"")</f>
        <v/>
      </c>
      <c r="E563" s="1" t="str">
        <f>IF(calc!$L563=1,IF(EXACT(calc!$D563,"FAC"),"",calc!F563),"")</f>
        <v/>
      </c>
      <c r="F563" s="1" t="str">
        <f>IF(calc!$L563=1,IF(EXACT(calc!$D563,"FAC"),"",calc!G563),"")</f>
        <v/>
      </c>
      <c r="G563" s="1" t="str">
        <f>IF(calc!$L563=1,IF(EXACT(calc!$D563,"FAC"),"",calc!H563),"")</f>
        <v/>
      </c>
      <c r="H563" s="1" t="str">
        <f>IF(calc!$L563=1,IF(EXACT(calc!$D563,"FAC"),"",calc!I563),"")</f>
        <v/>
      </c>
      <c r="I563" s="1" t="str">
        <f>IF(calc!$L563=1,calc!J563,"")</f>
        <v/>
      </c>
      <c r="J563" s="1" t="str">
        <f>IF(calc!$L563=1,calc!K563,"")</f>
        <v/>
      </c>
      <c r="K563" s="1" t="str">
        <f>IF(calc!$L563=1,calc!M563,"")</f>
        <v/>
      </c>
      <c r="L563" s="1" t="str">
        <f>IF(calc!$L563=1,calc!N563,"")</f>
        <v/>
      </c>
      <c r="M563" s="1" t="str">
        <f>IF(calc!$L563=1,calc!O563,"")</f>
        <v/>
      </c>
      <c r="N563" s="1" t="str">
        <f>IF(calc!$L563=1,calc!P563,"")</f>
        <v/>
      </c>
      <c r="O563">
        <f>'Entry data'!C$1</f>
        <v>20064</v>
      </c>
      <c r="P563" t="str">
        <f>'Entry data'!C$2</f>
        <v>NSH</v>
      </c>
      <c r="Q563" t="str">
        <f>'Entry data'!C$3</f>
        <v>Home</v>
      </c>
    </row>
    <row r="564" spans="1:17" x14ac:dyDescent="0.25">
      <c r="A564" s="1" t="str">
        <f>IF(calc!$L564=1,calc!B564,"")</f>
        <v/>
      </c>
      <c r="B564" s="5" t="str">
        <f>IF(calc!$L564=1,calc!C564,"")</f>
        <v/>
      </c>
      <c r="C564" s="1" t="str">
        <f>IF(calc!$L564=1,calc!D564,"")</f>
        <v/>
      </c>
      <c r="D564" s="1" t="str">
        <f>IF(calc!$L564=1,calc!E564,"")</f>
        <v/>
      </c>
      <c r="E564" s="1" t="str">
        <f>IF(calc!$L564=1,IF(EXACT(calc!$D564,"FAC"),"",calc!F564),"")</f>
        <v/>
      </c>
      <c r="F564" s="1" t="str">
        <f>IF(calc!$L564=1,IF(EXACT(calc!$D564,"FAC"),"",calc!G564),"")</f>
        <v/>
      </c>
      <c r="G564" s="1" t="str">
        <f>IF(calc!$L564=1,IF(EXACT(calc!$D564,"FAC"),"",calc!H564),"")</f>
        <v/>
      </c>
      <c r="H564" s="1" t="str">
        <f>IF(calc!$L564=1,IF(EXACT(calc!$D564,"FAC"),"",calc!I564),"")</f>
        <v/>
      </c>
      <c r="I564" s="1" t="str">
        <f>IF(calc!$L564=1,calc!J564,"")</f>
        <v/>
      </c>
      <c r="J564" s="1" t="str">
        <f>IF(calc!$L564=1,calc!K564,"")</f>
        <v/>
      </c>
      <c r="K564" s="1" t="str">
        <f>IF(calc!$L564=1,calc!M564,"")</f>
        <v/>
      </c>
      <c r="L564" s="1" t="str">
        <f>IF(calc!$L564=1,calc!N564,"")</f>
        <v/>
      </c>
      <c r="M564" s="1" t="str">
        <f>IF(calc!$L564=1,calc!O564,"")</f>
        <v/>
      </c>
      <c r="N564" s="1" t="str">
        <f>IF(calc!$L564=1,calc!P564,"")</f>
        <v/>
      </c>
      <c r="O564">
        <f>'Entry data'!C$1</f>
        <v>20064</v>
      </c>
      <c r="P564" t="str">
        <f>'Entry data'!C$2</f>
        <v>NSH</v>
      </c>
      <c r="Q564" t="str">
        <f>'Entry data'!C$3</f>
        <v>Home</v>
      </c>
    </row>
    <row r="565" spans="1:17" x14ac:dyDescent="0.25">
      <c r="A565" s="1" t="str">
        <f>IF(calc!$L565=1,calc!B565,"")</f>
        <v/>
      </c>
      <c r="B565" s="5" t="str">
        <f>IF(calc!$L565=1,calc!C565,"")</f>
        <v/>
      </c>
      <c r="C565" s="1" t="str">
        <f>IF(calc!$L565=1,calc!D565,"")</f>
        <v/>
      </c>
      <c r="D565" s="1" t="str">
        <f>IF(calc!$L565=1,calc!E565,"")</f>
        <v/>
      </c>
      <c r="E565" s="1" t="str">
        <f>IF(calc!$L565=1,IF(EXACT(calc!$D565,"FAC"),"",calc!F565),"")</f>
        <v/>
      </c>
      <c r="F565" s="1" t="str">
        <f>IF(calc!$L565=1,IF(EXACT(calc!$D565,"FAC"),"",calc!G565),"")</f>
        <v/>
      </c>
      <c r="G565" s="1" t="str">
        <f>IF(calc!$L565=1,IF(EXACT(calc!$D565,"FAC"),"",calc!H565),"")</f>
        <v/>
      </c>
      <c r="H565" s="1" t="str">
        <f>IF(calc!$L565=1,IF(EXACT(calc!$D565,"FAC"),"",calc!I565),"")</f>
        <v/>
      </c>
      <c r="I565" s="1" t="str">
        <f>IF(calc!$L565=1,calc!J565,"")</f>
        <v/>
      </c>
      <c r="J565" s="1" t="str">
        <f>IF(calc!$L565=1,calc!K565,"")</f>
        <v/>
      </c>
      <c r="K565" s="1" t="str">
        <f>IF(calc!$L565=1,calc!M565,"")</f>
        <v/>
      </c>
      <c r="L565" s="1" t="str">
        <f>IF(calc!$L565=1,calc!N565,"")</f>
        <v/>
      </c>
      <c r="M565" s="1" t="str">
        <f>IF(calc!$L565=1,calc!O565,"")</f>
        <v/>
      </c>
      <c r="N565" s="1" t="str">
        <f>IF(calc!$L565=1,calc!P565,"")</f>
        <v/>
      </c>
      <c r="O565">
        <f>'Entry data'!C$1</f>
        <v>20064</v>
      </c>
      <c r="P565" t="str">
        <f>'Entry data'!C$2</f>
        <v>NSH</v>
      </c>
      <c r="Q565" t="str">
        <f>'Entry data'!C$3</f>
        <v>Home</v>
      </c>
    </row>
    <row r="566" spans="1:17" x14ac:dyDescent="0.25">
      <c r="A566" s="1" t="str">
        <f>IF(calc!$L566=1,calc!B566,"")</f>
        <v/>
      </c>
      <c r="B566" s="5" t="str">
        <f>IF(calc!$L566=1,calc!C566,"")</f>
        <v/>
      </c>
      <c r="C566" s="1" t="str">
        <f>IF(calc!$L566=1,calc!D566,"")</f>
        <v/>
      </c>
      <c r="D566" s="1" t="str">
        <f>IF(calc!$L566=1,calc!E566,"")</f>
        <v/>
      </c>
      <c r="E566" s="1" t="str">
        <f>IF(calc!$L566=1,IF(EXACT(calc!$D566,"FAC"),"",calc!F566),"")</f>
        <v/>
      </c>
      <c r="F566" s="1" t="str">
        <f>IF(calc!$L566=1,IF(EXACT(calc!$D566,"FAC"),"",calc!G566),"")</f>
        <v/>
      </c>
      <c r="G566" s="1" t="str">
        <f>IF(calc!$L566=1,IF(EXACT(calc!$D566,"FAC"),"",calc!H566),"")</f>
        <v/>
      </c>
      <c r="H566" s="1" t="str">
        <f>IF(calc!$L566=1,IF(EXACT(calc!$D566,"FAC"),"",calc!I566),"")</f>
        <v/>
      </c>
      <c r="I566" s="1" t="str">
        <f>IF(calc!$L566=1,calc!J566,"")</f>
        <v/>
      </c>
      <c r="J566" s="1" t="str">
        <f>IF(calc!$L566=1,calc!K566,"")</f>
        <v/>
      </c>
      <c r="K566" s="1" t="str">
        <f>IF(calc!$L566=1,calc!M566,"")</f>
        <v/>
      </c>
      <c r="L566" s="1" t="str">
        <f>IF(calc!$L566=1,calc!N566,"")</f>
        <v/>
      </c>
      <c r="M566" s="1" t="str">
        <f>IF(calc!$L566=1,calc!O566,"")</f>
        <v/>
      </c>
      <c r="N566" s="1" t="str">
        <f>IF(calc!$L566=1,calc!P566,"")</f>
        <v/>
      </c>
      <c r="O566">
        <f>'Entry data'!C$1</f>
        <v>20064</v>
      </c>
      <c r="P566" t="str">
        <f>'Entry data'!C$2</f>
        <v>NSH</v>
      </c>
      <c r="Q566" t="str">
        <f>'Entry data'!C$3</f>
        <v>Home</v>
      </c>
    </row>
    <row r="567" spans="1:17" x14ac:dyDescent="0.25">
      <c r="A567" s="1" t="str">
        <f>IF(calc!$L567=1,calc!B567,"")</f>
        <v/>
      </c>
      <c r="B567" s="5" t="str">
        <f>IF(calc!$L567=1,calc!C567,"")</f>
        <v/>
      </c>
      <c r="C567" s="1" t="str">
        <f>IF(calc!$L567=1,calc!D567,"")</f>
        <v/>
      </c>
      <c r="D567" s="1" t="str">
        <f>IF(calc!$L567=1,calc!E567,"")</f>
        <v/>
      </c>
      <c r="E567" s="1" t="str">
        <f>IF(calc!$L567=1,IF(EXACT(calc!$D567,"FAC"),"",calc!F567),"")</f>
        <v/>
      </c>
      <c r="F567" s="1" t="str">
        <f>IF(calc!$L567=1,IF(EXACT(calc!$D567,"FAC"),"",calc!G567),"")</f>
        <v/>
      </c>
      <c r="G567" s="1" t="str">
        <f>IF(calc!$L567=1,IF(EXACT(calc!$D567,"FAC"),"",calc!H567),"")</f>
        <v/>
      </c>
      <c r="H567" s="1" t="str">
        <f>IF(calc!$L567=1,IF(EXACT(calc!$D567,"FAC"),"",calc!I567),"")</f>
        <v/>
      </c>
      <c r="I567" s="1" t="str">
        <f>IF(calc!$L567=1,calc!J567,"")</f>
        <v/>
      </c>
      <c r="J567" s="1" t="str">
        <f>IF(calc!$L567=1,calc!K567,"")</f>
        <v/>
      </c>
      <c r="K567" s="1" t="str">
        <f>IF(calc!$L567=1,calc!M567,"")</f>
        <v/>
      </c>
      <c r="L567" s="1" t="str">
        <f>IF(calc!$L567=1,calc!N567,"")</f>
        <v/>
      </c>
      <c r="M567" s="1" t="str">
        <f>IF(calc!$L567=1,calc!O567,"")</f>
        <v/>
      </c>
      <c r="N567" s="1" t="str">
        <f>IF(calc!$L567=1,calc!P567,"")</f>
        <v/>
      </c>
      <c r="O567">
        <f>'Entry data'!C$1</f>
        <v>20064</v>
      </c>
      <c r="P567" t="str">
        <f>'Entry data'!C$2</f>
        <v>NSH</v>
      </c>
      <c r="Q567" t="str">
        <f>'Entry data'!C$3</f>
        <v>Home</v>
      </c>
    </row>
    <row r="568" spans="1:17" x14ac:dyDescent="0.25">
      <c r="A568" s="1" t="str">
        <f>IF(calc!$L568=1,calc!B568,"")</f>
        <v/>
      </c>
      <c r="B568" s="5" t="str">
        <f>IF(calc!$L568=1,calc!C568,"")</f>
        <v/>
      </c>
      <c r="C568" s="1" t="str">
        <f>IF(calc!$L568=1,calc!D568,"")</f>
        <v/>
      </c>
      <c r="D568" s="1" t="str">
        <f>IF(calc!$L568=1,calc!E568,"")</f>
        <v/>
      </c>
      <c r="E568" s="1" t="str">
        <f>IF(calc!$L568=1,IF(EXACT(calc!$D568,"FAC"),"",calc!F568),"")</f>
        <v/>
      </c>
      <c r="F568" s="1" t="str">
        <f>IF(calc!$L568=1,IF(EXACT(calc!$D568,"FAC"),"",calc!G568),"")</f>
        <v/>
      </c>
      <c r="G568" s="1" t="str">
        <f>IF(calc!$L568=1,IF(EXACT(calc!$D568,"FAC"),"",calc!H568),"")</f>
        <v/>
      </c>
      <c r="H568" s="1" t="str">
        <f>IF(calc!$L568=1,IF(EXACT(calc!$D568,"FAC"),"",calc!I568),"")</f>
        <v/>
      </c>
      <c r="I568" s="1" t="str">
        <f>IF(calc!$L568=1,calc!J568,"")</f>
        <v/>
      </c>
      <c r="J568" s="1" t="str">
        <f>IF(calc!$L568=1,calc!K568,"")</f>
        <v/>
      </c>
      <c r="K568" s="1" t="str">
        <f>IF(calc!$L568=1,calc!M568,"")</f>
        <v/>
      </c>
      <c r="L568" s="1" t="str">
        <f>IF(calc!$L568=1,calc!N568,"")</f>
        <v/>
      </c>
      <c r="M568" s="1" t="str">
        <f>IF(calc!$L568=1,calc!O568,"")</f>
        <v/>
      </c>
      <c r="N568" s="1" t="str">
        <f>IF(calc!$L568=1,calc!P568,"")</f>
        <v/>
      </c>
      <c r="O568">
        <f>'Entry data'!C$1</f>
        <v>20064</v>
      </c>
      <c r="P568" t="str">
        <f>'Entry data'!C$2</f>
        <v>NSH</v>
      </c>
      <c r="Q568" t="str">
        <f>'Entry data'!C$3</f>
        <v>Home</v>
      </c>
    </row>
    <row r="569" spans="1:17" x14ac:dyDescent="0.25">
      <c r="A569" s="1" t="str">
        <f>IF(calc!$L569=1,calc!B569,"")</f>
        <v/>
      </c>
      <c r="B569" s="5" t="str">
        <f>IF(calc!$L569=1,calc!C569,"")</f>
        <v/>
      </c>
      <c r="C569" s="1" t="str">
        <f>IF(calc!$L569=1,calc!D569,"")</f>
        <v/>
      </c>
      <c r="D569" s="1" t="str">
        <f>IF(calc!$L569=1,calc!E569,"")</f>
        <v/>
      </c>
      <c r="E569" s="1" t="str">
        <f>IF(calc!$L569=1,IF(EXACT(calc!$D569,"FAC"),"",calc!F569),"")</f>
        <v/>
      </c>
      <c r="F569" s="1" t="str">
        <f>IF(calc!$L569=1,IF(EXACT(calc!$D569,"FAC"),"",calc!G569),"")</f>
        <v/>
      </c>
      <c r="G569" s="1" t="str">
        <f>IF(calc!$L569=1,IF(EXACT(calc!$D569,"FAC"),"",calc!H569),"")</f>
        <v/>
      </c>
      <c r="H569" s="1" t="str">
        <f>IF(calc!$L569=1,IF(EXACT(calc!$D569,"FAC"),"",calc!I569),"")</f>
        <v/>
      </c>
      <c r="I569" s="1" t="str">
        <f>IF(calc!$L569=1,calc!J569,"")</f>
        <v/>
      </c>
      <c r="J569" s="1" t="str">
        <f>IF(calc!$L569=1,calc!K569,"")</f>
        <v/>
      </c>
      <c r="K569" s="1" t="str">
        <f>IF(calc!$L569=1,calc!M569,"")</f>
        <v/>
      </c>
      <c r="L569" s="1" t="str">
        <f>IF(calc!$L569=1,calc!N569,"")</f>
        <v/>
      </c>
      <c r="M569" s="1" t="str">
        <f>IF(calc!$L569=1,calc!O569,"")</f>
        <v/>
      </c>
      <c r="N569" s="1" t="str">
        <f>IF(calc!$L569=1,calc!P569,"")</f>
        <v/>
      </c>
      <c r="O569">
        <f>'Entry data'!C$1</f>
        <v>20064</v>
      </c>
      <c r="P569" t="str">
        <f>'Entry data'!C$2</f>
        <v>NSH</v>
      </c>
      <c r="Q569" t="str">
        <f>'Entry data'!C$3</f>
        <v>Home</v>
      </c>
    </row>
    <row r="570" spans="1:17" x14ac:dyDescent="0.25">
      <c r="A570" s="1" t="str">
        <f>IF(calc!$L570=1,calc!B570,"")</f>
        <v/>
      </c>
      <c r="B570" s="5" t="str">
        <f>IF(calc!$L570=1,calc!C570,"")</f>
        <v/>
      </c>
      <c r="C570" s="1" t="str">
        <f>IF(calc!$L570=1,calc!D570,"")</f>
        <v/>
      </c>
      <c r="D570" s="1" t="str">
        <f>IF(calc!$L570=1,calc!E570,"")</f>
        <v/>
      </c>
      <c r="E570" s="1" t="str">
        <f>IF(calc!$L570=1,IF(EXACT(calc!$D570,"FAC"),"",calc!F570),"")</f>
        <v/>
      </c>
      <c r="F570" s="1" t="str">
        <f>IF(calc!$L570=1,IF(EXACT(calc!$D570,"FAC"),"",calc!G570),"")</f>
        <v/>
      </c>
      <c r="G570" s="1" t="str">
        <f>IF(calc!$L570=1,IF(EXACT(calc!$D570,"FAC"),"",calc!H570),"")</f>
        <v/>
      </c>
      <c r="H570" s="1" t="str">
        <f>IF(calc!$L570=1,IF(EXACT(calc!$D570,"FAC"),"",calc!I570),"")</f>
        <v/>
      </c>
      <c r="I570" s="1" t="str">
        <f>IF(calc!$L570=1,calc!J570,"")</f>
        <v/>
      </c>
      <c r="J570" s="1" t="str">
        <f>IF(calc!$L570=1,calc!K570,"")</f>
        <v/>
      </c>
      <c r="K570" s="1" t="str">
        <f>IF(calc!$L570=1,calc!M570,"")</f>
        <v/>
      </c>
      <c r="L570" s="1" t="str">
        <f>IF(calc!$L570=1,calc!N570,"")</f>
        <v/>
      </c>
      <c r="M570" s="1" t="str">
        <f>IF(calc!$L570=1,calc!O570,"")</f>
        <v/>
      </c>
      <c r="N570" s="1" t="str">
        <f>IF(calc!$L570=1,calc!P570,"")</f>
        <v/>
      </c>
      <c r="O570">
        <f>'Entry data'!C$1</f>
        <v>20064</v>
      </c>
      <c r="P570" t="str">
        <f>'Entry data'!C$2</f>
        <v>NSH</v>
      </c>
      <c r="Q570" t="str">
        <f>'Entry data'!C$3</f>
        <v>Home</v>
      </c>
    </row>
    <row r="571" spans="1:17" x14ac:dyDescent="0.25">
      <c r="A571" s="1" t="str">
        <f>IF(calc!$L571=1,calc!B571,"")</f>
        <v/>
      </c>
      <c r="B571" s="5" t="str">
        <f>IF(calc!$L571=1,calc!C571,"")</f>
        <v/>
      </c>
      <c r="C571" s="1" t="str">
        <f>IF(calc!$L571=1,calc!D571,"")</f>
        <v/>
      </c>
      <c r="D571" s="1" t="str">
        <f>IF(calc!$L571=1,calc!E571,"")</f>
        <v/>
      </c>
      <c r="E571" s="1" t="str">
        <f>IF(calc!$L571=1,IF(EXACT(calc!$D571,"FAC"),"",calc!F571),"")</f>
        <v/>
      </c>
      <c r="F571" s="1" t="str">
        <f>IF(calc!$L571=1,IF(EXACT(calc!$D571,"FAC"),"",calc!G571),"")</f>
        <v/>
      </c>
      <c r="G571" s="1" t="str">
        <f>IF(calc!$L571=1,IF(EXACT(calc!$D571,"FAC"),"",calc!H571),"")</f>
        <v/>
      </c>
      <c r="H571" s="1" t="str">
        <f>IF(calc!$L571=1,IF(EXACT(calc!$D571,"FAC"),"",calc!I571),"")</f>
        <v/>
      </c>
      <c r="I571" s="1" t="str">
        <f>IF(calc!$L571=1,calc!J571,"")</f>
        <v/>
      </c>
      <c r="J571" s="1" t="str">
        <f>IF(calc!$L571=1,calc!K571,"")</f>
        <v/>
      </c>
      <c r="K571" s="1" t="str">
        <f>IF(calc!$L571=1,calc!M571,"")</f>
        <v/>
      </c>
      <c r="L571" s="1" t="str">
        <f>IF(calc!$L571=1,calc!N571,"")</f>
        <v/>
      </c>
      <c r="M571" s="1" t="str">
        <f>IF(calc!$L571=1,calc!O571,"")</f>
        <v/>
      </c>
      <c r="N571" s="1" t="str">
        <f>IF(calc!$L571=1,calc!P571,"")</f>
        <v/>
      </c>
      <c r="O571">
        <f>'Entry data'!C$1</f>
        <v>20064</v>
      </c>
      <c r="P571" t="str">
        <f>'Entry data'!C$2</f>
        <v>NSH</v>
      </c>
      <c r="Q571" t="str">
        <f>'Entry data'!C$3</f>
        <v>Home</v>
      </c>
    </row>
    <row r="572" spans="1:17" x14ac:dyDescent="0.25">
      <c r="A572" s="1" t="str">
        <f>IF(calc!$L572=1,calc!B572,"")</f>
        <v/>
      </c>
      <c r="B572" s="5" t="str">
        <f>IF(calc!$L572=1,calc!C572,"")</f>
        <v/>
      </c>
      <c r="C572" s="1" t="str">
        <f>IF(calc!$L572=1,calc!D572,"")</f>
        <v/>
      </c>
      <c r="D572" s="1" t="str">
        <f>IF(calc!$L572=1,calc!E572,"")</f>
        <v/>
      </c>
      <c r="E572" s="1" t="str">
        <f>IF(calc!$L572=1,IF(EXACT(calc!$D572,"FAC"),"",calc!F572),"")</f>
        <v/>
      </c>
      <c r="F572" s="1" t="str">
        <f>IF(calc!$L572=1,IF(EXACT(calc!$D572,"FAC"),"",calc!G572),"")</f>
        <v/>
      </c>
      <c r="G572" s="1" t="str">
        <f>IF(calc!$L572=1,IF(EXACT(calc!$D572,"FAC"),"",calc!H572),"")</f>
        <v/>
      </c>
      <c r="H572" s="1" t="str">
        <f>IF(calc!$L572=1,IF(EXACT(calc!$D572,"FAC"),"",calc!I572),"")</f>
        <v/>
      </c>
      <c r="I572" s="1" t="str">
        <f>IF(calc!$L572=1,calc!J572,"")</f>
        <v/>
      </c>
      <c r="J572" s="1" t="str">
        <f>IF(calc!$L572=1,calc!K572,"")</f>
        <v/>
      </c>
      <c r="K572" s="1" t="str">
        <f>IF(calc!$L572=1,calc!M572,"")</f>
        <v/>
      </c>
      <c r="L572" s="1" t="str">
        <f>IF(calc!$L572=1,calc!N572,"")</f>
        <v/>
      </c>
      <c r="M572" s="1" t="str">
        <f>IF(calc!$L572=1,calc!O572,"")</f>
        <v/>
      </c>
      <c r="N572" s="1" t="str">
        <f>IF(calc!$L572=1,calc!P572,"")</f>
        <v/>
      </c>
      <c r="O572">
        <f>'Entry data'!C$1</f>
        <v>20064</v>
      </c>
      <c r="P572" t="str">
        <f>'Entry data'!C$2</f>
        <v>NSH</v>
      </c>
      <c r="Q572" t="str">
        <f>'Entry data'!C$3</f>
        <v>Home</v>
      </c>
    </row>
    <row r="573" spans="1:17" x14ac:dyDescent="0.25">
      <c r="A573" s="1" t="str">
        <f>IF(calc!$L573=1,calc!B573,"")</f>
        <v/>
      </c>
      <c r="B573" s="5" t="str">
        <f>IF(calc!$L573=1,calc!C573,"")</f>
        <v/>
      </c>
      <c r="C573" s="1" t="str">
        <f>IF(calc!$L573=1,calc!D573,"")</f>
        <v/>
      </c>
      <c r="D573" s="1" t="str">
        <f>IF(calc!$L573=1,calc!E573,"")</f>
        <v/>
      </c>
      <c r="E573" s="1" t="str">
        <f>IF(calc!$L573=1,IF(EXACT(calc!$D573,"FAC"),"",calc!F573),"")</f>
        <v/>
      </c>
      <c r="F573" s="1" t="str">
        <f>IF(calc!$L573=1,IF(EXACT(calc!$D573,"FAC"),"",calc!G573),"")</f>
        <v/>
      </c>
      <c r="G573" s="1" t="str">
        <f>IF(calc!$L573=1,IF(EXACT(calc!$D573,"FAC"),"",calc!H573),"")</f>
        <v/>
      </c>
      <c r="H573" s="1" t="str">
        <f>IF(calc!$L573=1,IF(EXACT(calc!$D573,"FAC"),"",calc!I573),"")</f>
        <v/>
      </c>
      <c r="I573" s="1" t="str">
        <f>IF(calc!$L573=1,calc!J573,"")</f>
        <v/>
      </c>
      <c r="J573" s="1" t="str">
        <f>IF(calc!$L573=1,calc!K573,"")</f>
        <v/>
      </c>
      <c r="K573" s="1" t="str">
        <f>IF(calc!$L573=1,calc!M573,"")</f>
        <v/>
      </c>
      <c r="L573" s="1" t="str">
        <f>IF(calc!$L573=1,calc!N573,"")</f>
        <v/>
      </c>
      <c r="M573" s="1" t="str">
        <f>IF(calc!$L573=1,calc!O573,"")</f>
        <v/>
      </c>
      <c r="N573" s="1" t="str">
        <f>IF(calc!$L573=1,calc!P573,"")</f>
        <v/>
      </c>
      <c r="O573">
        <f>'Entry data'!C$1</f>
        <v>20064</v>
      </c>
      <c r="P573" t="str">
        <f>'Entry data'!C$2</f>
        <v>NSH</v>
      </c>
      <c r="Q573" t="str">
        <f>'Entry data'!C$3</f>
        <v>Home</v>
      </c>
    </row>
    <row r="574" spans="1:17" x14ac:dyDescent="0.25">
      <c r="A574" s="1" t="str">
        <f>IF(calc!$L574=1,calc!B574,"")</f>
        <v/>
      </c>
      <c r="B574" s="5" t="str">
        <f>IF(calc!$L574=1,calc!C574,"")</f>
        <v/>
      </c>
      <c r="C574" s="1" t="str">
        <f>IF(calc!$L574=1,calc!D574,"")</f>
        <v/>
      </c>
      <c r="D574" s="1" t="str">
        <f>IF(calc!$L574=1,calc!E574,"")</f>
        <v/>
      </c>
      <c r="E574" s="1" t="str">
        <f>IF(calc!$L574=1,IF(EXACT(calc!$D574,"FAC"),"",calc!F574),"")</f>
        <v/>
      </c>
      <c r="F574" s="1" t="str">
        <f>IF(calc!$L574=1,IF(EXACT(calc!$D574,"FAC"),"",calc!G574),"")</f>
        <v/>
      </c>
      <c r="G574" s="1" t="str">
        <f>IF(calc!$L574=1,IF(EXACT(calc!$D574,"FAC"),"",calc!H574),"")</f>
        <v/>
      </c>
      <c r="H574" s="1" t="str">
        <f>IF(calc!$L574=1,IF(EXACT(calc!$D574,"FAC"),"",calc!I574),"")</f>
        <v/>
      </c>
      <c r="I574" s="1" t="str">
        <f>IF(calc!$L574=1,calc!J574,"")</f>
        <v/>
      </c>
      <c r="J574" s="1" t="str">
        <f>IF(calc!$L574=1,calc!K574,"")</f>
        <v/>
      </c>
      <c r="K574" s="1" t="str">
        <f>IF(calc!$L574=1,calc!M574,"")</f>
        <v/>
      </c>
      <c r="L574" s="1" t="str">
        <f>IF(calc!$L574=1,calc!N574,"")</f>
        <v/>
      </c>
      <c r="M574" s="1" t="str">
        <f>IF(calc!$L574=1,calc!O574,"")</f>
        <v/>
      </c>
      <c r="N574" s="1" t="str">
        <f>IF(calc!$L574=1,calc!P574,"")</f>
        <v/>
      </c>
      <c r="O574">
        <f>'Entry data'!C$1</f>
        <v>20064</v>
      </c>
      <c r="P574" t="str">
        <f>'Entry data'!C$2</f>
        <v>NSH</v>
      </c>
      <c r="Q574" t="str">
        <f>'Entry data'!C$3</f>
        <v>Home</v>
      </c>
    </row>
    <row r="575" spans="1:17" x14ac:dyDescent="0.25">
      <c r="A575" s="1" t="str">
        <f>IF(calc!$L575=1,calc!B575,"")</f>
        <v/>
      </c>
      <c r="B575" s="5" t="str">
        <f>IF(calc!$L575=1,calc!C575,"")</f>
        <v/>
      </c>
      <c r="C575" s="1" t="str">
        <f>IF(calc!$L575=1,calc!D575,"")</f>
        <v/>
      </c>
      <c r="D575" s="1" t="str">
        <f>IF(calc!$L575=1,calc!E575,"")</f>
        <v/>
      </c>
      <c r="E575" s="1" t="str">
        <f>IF(calc!$L575=1,IF(EXACT(calc!$D575,"FAC"),"",calc!F575),"")</f>
        <v/>
      </c>
      <c r="F575" s="1" t="str">
        <f>IF(calc!$L575=1,IF(EXACT(calc!$D575,"FAC"),"",calc!G575),"")</f>
        <v/>
      </c>
      <c r="G575" s="1" t="str">
        <f>IF(calc!$L575=1,IF(EXACT(calc!$D575,"FAC"),"",calc!H575),"")</f>
        <v/>
      </c>
      <c r="H575" s="1" t="str">
        <f>IF(calc!$L575=1,IF(EXACT(calc!$D575,"FAC"),"",calc!I575),"")</f>
        <v/>
      </c>
      <c r="I575" s="1" t="str">
        <f>IF(calc!$L575=1,calc!J575,"")</f>
        <v/>
      </c>
      <c r="J575" s="1" t="str">
        <f>IF(calc!$L575=1,calc!K575,"")</f>
        <v/>
      </c>
      <c r="K575" s="1" t="str">
        <f>IF(calc!$L575=1,calc!M575,"")</f>
        <v/>
      </c>
      <c r="L575" s="1" t="str">
        <f>IF(calc!$L575=1,calc!N575,"")</f>
        <v/>
      </c>
      <c r="M575" s="1" t="str">
        <f>IF(calc!$L575=1,calc!O575,"")</f>
        <v/>
      </c>
      <c r="N575" s="1" t="str">
        <f>IF(calc!$L575=1,calc!P575,"")</f>
        <v/>
      </c>
      <c r="O575">
        <f>'Entry data'!C$1</f>
        <v>20064</v>
      </c>
      <c r="P575" t="str">
        <f>'Entry data'!C$2</f>
        <v>NSH</v>
      </c>
      <c r="Q575" t="str">
        <f>'Entry data'!C$3</f>
        <v>Home</v>
      </c>
    </row>
    <row r="576" spans="1:17" x14ac:dyDescent="0.25">
      <c r="A576" s="1" t="str">
        <f>IF(calc!$L576=1,calc!B576,"")</f>
        <v/>
      </c>
      <c r="B576" s="5" t="str">
        <f>IF(calc!$L576=1,calc!C576,"")</f>
        <v/>
      </c>
      <c r="C576" s="1" t="str">
        <f>IF(calc!$L576=1,calc!D576,"")</f>
        <v/>
      </c>
      <c r="D576" s="1" t="str">
        <f>IF(calc!$L576=1,calc!E576,"")</f>
        <v/>
      </c>
      <c r="E576" s="1" t="str">
        <f>IF(calc!$L576=1,IF(EXACT(calc!$D576,"FAC"),"",calc!F576),"")</f>
        <v/>
      </c>
      <c r="F576" s="1" t="str">
        <f>IF(calc!$L576=1,IF(EXACT(calc!$D576,"FAC"),"",calc!G576),"")</f>
        <v/>
      </c>
      <c r="G576" s="1" t="str">
        <f>IF(calc!$L576=1,IF(EXACT(calc!$D576,"FAC"),"",calc!H576),"")</f>
        <v/>
      </c>
      <c r="H576" s="1" t="str">
        <f>IF(calc!$L576=1,IF(EXACT(calc!$D576,"FAC"),"",calc!I576),"")</f>
        <v/>
      </c>
      <c r="I576" s="1" t="str">
        <f>IF(calc!$L576=1,calc!J576,"")</f>
        <v/>
      </c>
      <c r="J576" s="1" t="str">
        <f>IF(calc!$L576=1,calc!K576,"")</f>
        <v/>
      </c>
      <c r="K576" s="1" t="str">
        <f>IF(calc!$L576=1,calc!M576,"")</f>
        <v/>
      </c>
      <c r="L576" s="1" t="str">
        <f>IF(calc!$L576=1,calc!N576,"")</f>
        <v/>
      </c>
      <c r="M576" s="1" t="str">
        <f>IF(calc!$L576=1,calc!O576,"")</f>
        <v/>
      </c>
      <c r="N576" s="1" t="str">
        <f>IF(calc!$L576=1,calc!P576,"")</f>
        <v/>
      </c>
      <c r="O576">
        <f>'Entry data'!C$1</f>
        <v>20064</v>
      </c>
      <c r="P576" t="str">
        <f>'Entry data'!C$2</f>
        <v>NSH</v>
      </c>
      <c r="Q576" t="str">
        <f>'Entry data'!C$3</f>
        <v>Home</v>
      </c>
    </row>
    <row r="577" spans="1:17" x14ac:dyDescent="0.25">
      <c r="A577" s="1" t="str">
        <f>IF(calc!$L577=1,calc!B577,"")</f>
        <v/>
      </c>
      <c r="B577" s="5" t="str">
        <f>IF(calc!$L577=1,calc!C577,"")</f>
        <v/>
      </c>
      <c r="C577" s="1" t="str">
        <f>IF(calc!$L577=1,calc!D577,"")</f>
        <v/>
      </c>
      <c r="D577" s="1" t="str">
        <f>IF(calc!$L577=1,calc!E577,"")</f>
        <v/>
      </c>
      <c r="E577" s="1" t="str">
        <f>IF(calc!$L577=1,IF(EXACT(calc!$D577,"FAC"),"",calc!F577),"")</f>
        <v/>
      </c>
      <c r="F577" s="1" t="str">
        <f>IF(calc!$L577=1,IF(EXACT(calc!$D577,"FAC"),"",calc!G577),"")</f>
        <v/>
      </c>
      <c r="G577" s="1" t="str">
        <f>IF(calc!$L577=1,IF(EXACT(calc!$D577,"FAC"),"",calc!H577),"")</f>
        <v/>
      </c>
      <c r="H577" s="1" t="str">
        <f>IF(calc!$L577=1,IF(EXACT(calc!$D577,"FAC"),"",calc!I577),"")</f>
        <v/>
      </c>
      <c r="I577" s="1" t="str">
        <f>IF(calc!$L577=1,calc!J577,"")</f>
        <v/>
      </c>
      <c r="J577" s="1" t="str">
        <f>IF(calc!$L577=1,calc!K577,"")</f>
        <v/>
      </c>
      <c r="K577" s="1" t="str">
        <f>IF(calc!$L577=1,calc!M577,"")</f>
        <v/>
      </c>
      <c r="L577" s="1" t="str">
        <f>IF(calc!$L577=1,calc!N577,"")</f>
        <v/>
      </c>
      <c r="M577" s="1" t="str">
        <f>IF(calc!$L577=1,calc!O577,"")</f>
        <v/>
      </c>
      <c r="N577" s="1" t="str">
        <f>IF(calc!$L577=1,calc!P577,"")</f>
        <v/>
      </c>
      <c r="O577">
        <f>'Entry data'!C$1</f>
        <v>20064</v>
      </c>
      <c r="P577" t="str">
        <f>'Entry data'!C$2</f>
        <v>NSH</v>
      </c>
      <c r="Q577" t="str">
        <f>'Entry data'!C$3</f>
        <v>Home</v>
      </c>
    </row>
    <row r="578" spans="1:17" x14ac:dyDescent="0.25">
      <c r="A578" s="1" t="str">
        <f>IF(calc!$L578=1,calc!B578,"")</f>
        <v/>
      </c>
      <c r="B578" s="5" t="str">
        <f>IF(calc!$L578=1,calc!C578,"")</f>
        <v/>
      </c>
      <c r="C578" s="1" t="str">
        <f>IF(calc!$L578=1,calc!D578,"")</f>
        <v/>
      </c>
      <c r="D578" s="1" t="str">
        <f>IF(calc!$L578=1,calc!E578,"")</f>
        <v/>
      </c>
      <c r="E578" s="1" t="str">
        <f>IF(calc!$L578=1,IF(EXACT(calc!$D578,"FAC"),"",calc!F578),"")</f>
        <v/>
      </c>
      <c r="F578" s="1" t="str">
        <f>IF(calc!$L578=1,IF(EXACT(calc!$D578,"FAC"),"",calc!G578),"")</f>
        <v/>
      </c>
      <c r="G578" s="1" t="str">
        <f>IF(calc!$L578=1,IF(EXACT(calc!$D578,"FAC"),"",calc!H578),"")</f>
        <v/>
      </c>
      <c r="H578" s="1" t="str">
        <f>IF(calc!$L578=1,IF(EXACT(calc!$D578,"FAC"),"",calc!I578),"")</f>
        <v/>
      </c>
      <c r="I578" s="1" t="str">
        <f>IF(calc!$L578=1,calc!J578,"")</f>
        <v/>
      </c>
      <c r="J578" s="1" t="str">
        <f>IF(calc!$L578=1,calc!K578,"")</f>
        <v/>
      </c>
      <c r="K578" s="1" t="str">
        <f>IF(calc!$L578=1,calc!M578,"")</f>
        <v/>
      </c>
      <c r="L578" s="1" t="str">
        <f>IF(calc!$L578=1,calc!N578,"")</f>
        <v/>
      </c>
      <c r="M578" s="1" t="str">
        <f>IF(calc!$L578=1,calc!O578,"")</f>
        <v/>
      </c>
      <c r="N578" s="1" t="str">
        <f>IF(calc!$L578=1,calc!P578,"")</f>
        <v/>
      </c>
      <c r="O578">
        <f>'Entry data'!C$1</f>
        <v>20064</v>
      </c>
      <c r="P578" t="str">
        <f>'Entry data'!C$2</f>
        <v>NSH</v>
      </c>
      <c r="Q578" t="str">
        <f>'Entry data'!C$3</f>
        <v>Home</v>
      </c>
    </row>
    <row r="579" spans="1:17" x14ac:dyDescent="0.25">
      <c r="A579" s="1" t="str">
        <f>IF(calc!$L579=1,calc!B579,"")</f>
        <v/>
      </c>
      <c r="B579" s="5" t="str">
        <f>IF(calc!$L579=1,calc!C579,"")</f>
        <v/>
      </c>
      <c r="C579" s="1" t="str">
        <f>IF(calc!$L579=1,calc!D579,"")</f>
        <v/>
      </c>
      <c r="D579" s="1" t="str">
        <f>IF(calc!$L579=1,calc!E579,"")</f>
        <v/>
      </c>
      <c r="E579" s="1" t="str">
        <f>IF(calc!$L579=1,IF(EXACT(calc!$D579,"FAC"),"",calc!F579),"")</f>
        <v/>
      </c>
      <c r="F579" s="1" t="str">
        <f>IF(calc!$L579=1,IF(EXACT(calc!$D579,"FAC"),"",calc!G579),"")</f>
        <v/>
      </c>
      <c r="G579" s="1" t="str">
        <f>IF(calc!$L579=1,IF(EXACT(calc!$D579,"FAC"),"",calc!H579),"")</f>
        <v/>
      </c>
      <c r="H579" s="1" t="str">
        <f>IF(calc!$L579=1,IF(EXACT(calc!$D579,"FAC"),"",calc!I579),"")</f>
        <v/>
      </c>
      <c r="I579" s="1" t="str">
        <f>IF(calc!$L579=1,calc!J579,"")</f>
        <v/>
      </c>
      <c r="J579" s="1" t="str">
        <f>IF(calc!$L579=1,calc!K579,"")</f>
        <v/>
      </c>
      <c r="K579" s="1" t="str">
        <f>IF(calc!$L579=1,calc!M579,"")</f>
        <v/>
      </c>
      <c r="L579" s="1" t="str">
        <f>IF(calc!$L579=1,calc!N579,"")</f>
        <v/>
      </c>
      <c r="M579" s="1" t="str">
        <f>IF(calc!$L579=1,calc!O579,"")</f>
        <v/>
      </c>
      <c r="N579" s="1" t="str">
        <f>IF(calc!$L579=1,calc!P579,"")</f>
        <v/>
      </c>
      <c r="O579">
        <f>'Entry data'!C$1</f>
        <v>20064</v>
      </c>
      <c r="P579" t="str">
        <f>'Entry data'!C$2</f>
        <v>NSH</v>
      </c>
      <c r="Q579" t="str">
        <f>'Entry data'!C$3</f>
        <v>Home</v>
      </c>
    </row>
    <row r="580" spans="1:17" x14ac:dyDescent="0.25">
      <c r="A580" s="1" t="str">
        <f>IF(calc!$L580=1,calc!B580,"")</f>
        <v/>
      </c>
      <c r="B580" s="5" t="str">
        <f>IF(calc!$L580=1,calc!C580,"")</f>
        <v/>
      </c>
      <c r="C580" s="1" t="str">
        <f>IF(calc!$L580=1,calc!D580,"")</f>
        <v/>
      </c>
      <c r="D580" s="1" t="str">
        <f>IF(calc!$L580=1,calc!E580,"")</f>
        <v/>
      </c>
      <c r="E580" s="1" t="str">
        <f>IF(calc!$L580=1,IF(EXACT(calc!$D580,"FAC"),"",calc!F580),"")</f>
        <v/>
      </c>
      <c r="F580" s="1" t="str">
        <f>IF(calc!$L580=1,IF(EXACT(calc!$D580,"FAC"),"",calc!G580),"")</f>
        <v/>
      </c>
      <c r="G580" s="1" t="str">
        <f>IF(calc!$L580=1,IF(EXACT(calc!$D580,"FAC"),"",calc!H580),"")</f>
        <v/>
      </c>
      <c r="H580" s="1" t="str">
        <f>IF(calc!$L580=1,IF(EXACT(calc!$D580,"FAC"),"",calc!I580),"")</f>
        <v/>
      </c>
      <c r="I580" s="1" t="str">
        <f>IF(calc!$L580=1,calc!J580,"")</f>
        <v/>
      </c>
      <c r="J580" s="1" t="str">
        <f>IF(calc!$L580=1,calc!K580,"")</f>
        <v/>
      </c>
      <c r="K580" s="1" t="str">
        <f>IF(calc!$L580=1,calc!M580,"")</f>
        <v/>
      </c>
      <c r="L580" s="1" t="str">
        <f>IF(calc!$L580=1,calc!N580,"")</f>
        <v/>
      </c>
      <c r="M580" s="1" t="str">
        <f>IF(calc!$L580=1,calc!O580,"")</f>
        <v/>
      </c>
      <c r="N580" s="1" t="str">
        <f>IF(calc!$L580=1,calc!P580,"")</f>
        <v/>
      </c>
      <c r="O580">
        <f>'Entry data'!C$1</f>
        <v>20064</v>
      </c>
      <c r="P580" t="str">
        <f>'Entry data'!C$2</f>
        <v>NSH</v>
      </c>
      <c r="Q580" t="str">
        <f>'Entry data'!C$3</f>
        <v>Home</v>
      </c>
    </row>
    <row r="581" spans="1:17" x14ac:dyDescent="0.25">
      <c r="A581" s="1" t="str">
        <f>IF(calc!$L581=1,calc!B581,"")</f>
        <v/>
      </c>
      <c r="B581" s="5" t="str">
        <f>IF(calc!$L581=1,calc!C581,"")</f>
        <v/>
      </c>
      <c r="C581" s="1" t="str">
        <f>IF(calc!$L581=1,calc!D581,"")</f>
        <v/>
      </c>
      <c r="D581" s="1" t="str">
        <f>IF(calc!$L581=1,calc!E581,"")</f>
        <v/>
      </c>
      <c r="E581" s="1" t="str">
        <f>IF(calc!$L581=1,IF(EXACT(calc!$D581,"FAC"),"",calc!F581),"")</f>
        <v/>
      </c>
      <c r="F581" s="1" t="str">
        <f>IF(calc!$L581=1,IF(EXACT(calc!$D581,"FAC"),"",calc!G581),"")</f>
        <v/>
      </c>
      <c r="G581" s="1" t="str">
        <f>IF(calc!$L581=1,IF(EXACT(calc!$D581,"FAC"),"",calc!H581),"")</f>
        <v/>
      </c>
      <c r="H581" s="1" t="str">
        <f>IF(calc!$L581=1,IF(EXACT(calc!$D581,"FAC"),"",calc!I581),"")</f>
        <v/>
      </c>
      <c r="I581" s="1" t="str">
        <f>IF(calc!$L581=1,calc!J581,"")</f>
        <v/>
      </c>
      <c r="J581" s="1" t="str">
        <f>IF(calc!$L581=1,calc!K581,"")</f>
        <v/>
      </c>
      <c r="K581" s="1" t="str">
        <f>IF(calc!$L581=1,calc!M581,"")</f>
        <v/>
      </c>
      <c r="L581" s="1" t="str">
        <f>IF(calc!$L581=1,calc!N581,"")</f>
        <v/>
      </c>
      <c r="M581" s="1" t="str">
        <f>IF(calc!$L581=1,calc!O581,"")</f>
        <v/>
      </c>
      <c r="N581" s="1" t="str">
        <f>IF(calc!$L581=1,calc!P581,"")</f>
        <v/>
      </c>
      <c r="O581">
        <f>'Entry data'!C$1</f>
        <v>20064</v>
      </c>
      <c r="P581" t="str">
        <f>'Entry data'!C$2</f>
        <v>NSH</v>
      </c>
      <c r="Q581" t="str">
        <f>'Entry data'!C$3</f>
        <v>Home</v>
      </c>
    </row>
    <row r="582" spans="1:17" x14ac:dyDescent="0.25">
      <c r="A582" s="1" t="str">
        <f>IF(calc!$L582=1,calc!B582,"")</f>
        <v/>
      </c>
      <c r="B582" s="5" t="str">
        <f>IF(calc!$L582=1,calc!C582,"")</f>
        <v/>
      </c>
      <c r="C582" s="1" t="str">
        <f>IF(calc!$L582=1,calc!D582,"")</f>
        <v/>
      </c>
      <c r="D582" s="1" t="str">
        <f>IF(calc!$L582=1,calc!E582,"")</f>
        <v/>
      </c>
      <c r="E582" s="1" t="str">
        <f>IF(calc!$L582=1,IF(EXACT(calc!$D582,"FAC"),"",calc!F582),"")</f>
        <v/>
      </c>
      <c r="F582" s="1" t="str">
        <f>IF(calc!$L582=1,IF(EXACT(calc!$D582,"FAC"),"",calc!G582),"")</f>
        <v/>
      </c>
      <c r="G582" s="1" t="str">
        <f>IF(calc!$L582=1,IF(EXACT(calc!$D582,"FAC"),"",calc!H582),"")</f>
        <v/>
      </c>
      <c r="H582" s="1" t="str">
        <f>IF(calc!$L582=1,IF(EXACT(calc!$D582,"FAC"),"",calc!I582),"")</f>
        <v/>
      </c>
      <c r="I582" s="1" t="str">
        <f>IF(calc!$L582=1,calc!J582,"")</f>
        <v/>
      </c>
      <c r="J582" s="1" t="str">
        <f>IF(calc!$L582=1,calc!K582,"")</f>
        <v/>
      </c>
      <c r="K582" s="1" t="str">
        <f>IF(calc!$L582=1,calc!M582,"")</f>
        <v/>
      </c>
      <c r="L582" s="1" t="str">
        <f>IF(calc!$L582=1,calc!N582,"")</f>
        <v/>
      </c>
      <c r="M582" s="1" t="str">
        <f>IF(calc!$L582=1,calc!O582,"")</f>
        <v/>
      </c>
      <c r="N582" s="1" t="str">
        <f>IF(calc!$L582=1,calc!P582,"")</f>
        <v/>
      </c>
      <c r="O582">
        <f>'Entry data'!C$1</f>
        <v>20064</v>
      </c>
      <c r="P582" t="str">
        <f>'Entry data'!C$2</f>
        <v>NSH</v>
      </c>
      <c r="Q582" t="str">
        <f>'Entry data'!C$3</f>
        <v>Home</v>
      </c>
    </row>
    <row r="583" spans="1:17" x14ac:dyDescent="0.25">
      <c r="A583" s="1" t="str">
        <f>IF(calc!$L583=1,calc!B583,"")</f>
        <v/>
      </c>
      <c r="B583" s="5" t="str">
        <f>IF(calc!$L583=1,calc!C583,"")</f>
        <v/>
      </c>
      <c r="C583" s="1" t="str">
        <f>IF(calc!$L583=1,calc!D583,"")</f>
        <v/>
      </c>
      <c r="D583" s="1" t="str">
        <f>IF(calc!$L583=1,calc!E583,"")</f>
        <v/>
      </c>
      <c r="E583" s="1" t="str">
        <f>IF(calc!$L583=1,IF(EXACT(calc!$D583,"FAC"),"",calc!F583),"")</f>
        <v/>
      </c>
      <c r="F583" s="1" t="str">
        <f>IF(calc!$L583=1,IF(EXACT(calc!$D583,"FAC"),"",calc!G583),"")</f>
        <v/>
      </c>
      <c r="G583" s="1" t="str">
        <f>IF(calc!$L583=1,IF(EXACT(calc!$D583,"FAC"),"",calc!H583),"")</f>
        <v/>
      </c>
      <c r="H583" s="1" t="str">
        <f>IF(calc!$L583=1,IF(EXACT(calc!$D583,"FAC"),"",calc!I583),"")</f>
        <v/>
      </c>
      <c r="I583" s="1" t="str">
        <f>IF(calc!$L583=1,calc!J583,"")</f>
        <v/>
      </c>
      <c r="J583" s="1" t="str">
        <f>IF(calc!$L583=1,calc!K583,"")</f>
        <v/>
      </c>
      <c r="K583" s="1" t="str">
        <f>IF(calc!$L583=1,calc!M583,"")</f>
        <v/>
      </c>
      <c r="L583" s="1" t="str">
        <f>IF(calc!$L583=1,calc!N583,"")</f>
        <v/>
      </c>
      <c r="M583" s="1" t="str">
        <f>IF(calc!$L583=1,calc!O583,"")</f>
        <v/>
      </c>
      <c r="N583" s="1" t="str">
        <f>IF(calc!$L583=1,calc!P583,"")</f>
        <v/>
      </c>
      <c r="O583">
        <f>'Entry data'!C$1</f>
        <v>20064</v>
      </c>
      <c r="P583" t="str">
        <f>'Entry data'!C$2</f>
        <v>NSH</v>
      </c>
      <c r="Q583" t="str">
        <f>'Entry data'!C$3</f>
        <v>Home</v>
      </c>
    </row>
    <row r="584" spans="1:17" x14ac:dyDescent="0.25">
      <c r="A584" s="1" t="str">
        <f>IF(calc!$L584=1,calc!B584,"")</f>
        <v/>
      </c>
      <c r="B584" s="5" t="str">
        <f>IF(calc!$L584=1,calc!C584,"")</f>
        <v/>
      </c>
      <c r="C584" s="1" t="str">
        <f>IF(calc!$L584=1,calc!D584,"")</f>
        <v/>
      </c>
      <c r="D584" s="1" t="str">
        <f>IF(calc!$L584=1,calc!E584,"")</f>
        <v/>
      </c>
      <c r="E584" s="1" t="str">
        <f>IF(calc!$L584=1,IF(EXACT(calc!$D584,"FAC"),"",calc!F584),"")</f>
        <v/>
      </c>
      <c r="F584" s="1" t="str">
        <f>IF(calc!$L584=1,IF(EXACT(calc!$D584,"FAC"),"",calc!G584),"")</f>
        <v/>
      </c>
      <c r="G584" s="1" t="str">
        <f>IF(calc!$L584=1,IF(EXACT(calc!$D584,"FAC"),"",calc!H584),"")</f>
        <v/>
      </c>
      <c r="H584" s="1" t="str">
        <f>IF(calc!$L584=1,IF(EXACT(calc!$D584,"FAC"),"",calc!I584),"")</f>
        <v/>
      </c>
      <c r="I584" s="1" t="str">
        <f>IF(calc!$L584=1,calc!J584,"")</f>
        <v/>
      </c>
      <c r="J584" s="1" t="str">
        <f>IF(calc!$L584=1,calc!K584,"")</f>
        <v/>
      </c>
      <c r="K584" s="1" t="str">
        <f>IF(calc!$L584=1,calc!M584,"")</f>
        <v/>
      </c>
      <c r="L584" s="1" t="str">
        <f>IF(calc!$L584=1,calc!N584,"")</f>
        <v/>
      </c>
      <c r="M584" s="1" t="str">
        <f>IF(calc!$L584=1,calc!O584,"")</f>
        <v/>
      </c>
      <c r="N584" s="1" t="str">
        <f>IF(calc!$L584=1,calc!P584,"")</f>
        <v/>
      </c>
      <c r="O584">
        <f>'Entry data'!C$1</f>
        <v>20064</v>
      </c>
      <c r="P584" t="str">
        <f>'Entry data'!C$2</f>
        <v>NSH</v>
      </c>
      <c r="Q584" t="str">
        <f>'Entry data'!C$3</f>
        <v>Home</v>
      </c>
    </row>
    <row r="585" spans="1:17" x14ac:dyDescent="0.25">
      <c r="A585" s="1" t="str">
        <f>IF(calc!$L585=1,calc!B585,"")</f>
        <v/>
      </c>
      <c r="B585" s="5" t="str">
        <f>IF(calc!$L585=1,calc!C585,"")</f>
        <v/>
      </c>
      <c r="C585" s="1" t="str">
        <f>IF(calc!$L585=1,calc!D585,"")</f>
        <v/>
      </c>
      <c r="D585" s="1" t="str">
        <f>IF(calc!$L585=1,calc!E585,"")</f>
        <v/>
      </c>
      <c r="E585" s="1" t="str">
        <f>IF(calc!$L585=1,IF(EXACT(calc!$D585,"FAC"),"",calc!F585),"")</f>
        <v/>
      </c>
      <c r="F585" s="1" t="str">
        <f>IF(calc!$L585=1,IF(EXACT(calc!$D585,"FAC"),"",calc!G585),"")</f>
        <v/>
      </c>
      <c r="G585" s="1" t="str">
        <f>IF(calc!$L585=1,IF(EXACT(calc!$D585,"FAC"),"",calc!H585),"")</f>
        <v/>
      </c>
      <c r="H585" s="1" t="str">
        <f>IF(calc!$L585=1,IF(EXACT(calc!$D585,"FAC"),"",calc!I585),"")</f>
        <v/>
      </c>
      <c r="I585" s="1" t="str">
        <f>IF(calc!$L585=1,calc!J585,"")</f>
        <v/>
      </c>
      <c r="J585" s="1" t="str">
        <f>IF(calc!$L585=1,calc!K585,"")</f>
        <v/>
      </c>
      <c r="K585" s="1" t="str">
        <f>IF(calc!$L585=1,calc!M585,"")</f>
        <v/>
      </c>
      <c r="L585" s="1" t="str">
        <f>IF(calc!$L585=1,calc!N585,"")</f>
        <v/>
      </c>
      <c r="M585" s="1" t="str">
        <f>IF(calc!$L585=1,calc!O585,"")</f>
        <v/>
      </c>
      <c r="N585" s="1" t="str">
        <f>IF(calc!$L585=1,calc!P585,"")</f>
        <v/>
      </c>
      <c r="O585">
        <f>'Entry data'!C$1</f>
        <v>20064</v>
      </c>
      <c r="P585" t="str">
        <f>'Entry data'!C$2</f>
        <v>NSH</v>
      </c>
      <c r="Q585" t="str">
        <f>'Entry data'!C$3</f>
        <v>Home</v>
      </c>
    </row>
    <row r="586" spans="1:17" x14ac:dyDescent="0.25">
      <c r="A586" s="1" t="str">
        <f>IF(calc!$L586=1,calc!B586,"")</f>
        <v/>
      </c>
      <c r="B586" s="5" t="str">
        <f>IF(calc!$L586=1,calc!C586,"")</f>
        <v/>
      </c>
      <c r="C586" s="1" t="str">
        <f>IF(calc!$L586=1,calc!D586,"")</f>
        <v/>
      </c>
      <c r="D586" s="1" t="str">
        <f>IF(calc!$L586=1,calc!E586,"")</f>
        <v/>
      </c>
      <c r="E586" s="1" t="str">
        <f>IF(calc!$L586=1,IF(EXACT(calc!$D586,"FAC"),"",calc!F586),"")</f>
        <v/>
      </c>
      <c r="F586" s="1" t="str">
        <f>IF(calc!$L586=1,IF(EXACT(calc!$D586,"FAC"),"",calc!G586),"")</f>
        <v/>
      </c>
      <c r="G586" s="1" t="str">
        <f>IF(calc!$L586=1,IF(EXACT(calc!$D586,"FAC"),"",calc!H586),"")</f>
        <v/>
      </c>
      <c r="H586" s="1" t="str">
        <f>IF(calc!$L586=1,IF(EXACT(calc!$D586,"FAC"),"",calc!I586),"")</f>
        <v/>
      </c>
      <c r="I586" s="1" t="str">
        <f>IF(calc!$L586=1,calc!J586,"")</f>
        <v/>
      </c>
      <c r="J586" s="1" t="str">
        <f>IF(calc!$L586=1,calc!K586,"")</f>
        <v/>
      </c>
      <c r="K586" s="1" t="str">
        <f>IF(calc!$L586=1,calc!M586,"")</f>
        <v/>
      </c>
      <c r="L586" s="1" t="str">
        <f>IF(calc!$L586=1,calc!N586,"")</f>
        <v/>
      </c>
      <c r="M586" s="1" t="str">
        <f>IF(calc!$L586=1,calc!O586,"")</f>
        <v/>
      </c>
      <c r="N586" s="1" t="str">
        <f>IF(calc!$L586=1,calc!P586,"")</f>
        <v/>
      </c>
      <c r="O586">
        <f>'Entry data'!C$1</f>
        <v>20064</v>
      </c>
      <c r="P586" t="str">
        <f>'Entry data'!C$2</f>
        <v>NSH</v>
      </c>
      <c r="Q586" t="str">
        <f>'Entry data'!C$3</f>
        <v>Home</v>
      </c>
    </row>
    <row r="587" spans="1:17" x14ac:dyDescent="0.25">
      <c r="A587" s="1" t="str">
        <f>IF(calc!$L587=1,calc!B587,"")</f>
        <v/>
      </c>
      <c r="B587" s="5" t="str">
        <f>IF(calc!$L587=1,calc!C587,"")</f>
        <v/>
      </c>
      <c r="C587" s="1" t="str">
        <f>IF(calc!$L587=1,calc!D587,"")</f>
        <v/>
      </c>
      <c r="D587" s="1" t="str">
        <f>IF(calc!$L587=1,calc!E587,"")</f>
        <v/>
      </c>
      <c r="E587" s="1" t="str">
        <f>IF(calc!$L587=1,IF(EXACT(calc!$D587,"FAC"),"",calc!F587),"")</f>
        <v/>
      </c>
      <c r="F587" s="1" t="str">
        <f>IF(calc!$L587=1,IF(EXACT(calc!$D587,"FAC"),"",calc!G587),"")</f>
        <v/>
      </c>
      <c r="G587" s="1" t="str">
        <f>IF(calc!$L587=1,IF(EXACT(calc!$D587,"FAC"),"",calc!H587),"")</f>
        <v/>
      </c>
      <c r="H587" s="1" t="str">
        <f>IF(calc!$L587=1,IF(EXACT(calc!$D587,"FAC"),"",calc!I587),"")</f>
        <v/>
      </c>
      <c r="I587" s="1" t="str">
        <f>IF(calc!$L587=1,calc!J587,"")</f>
        <v/>
      </c>
      <c r="J587" s="1" t="str">
        <f>IF(calc!$L587=1,calc!K587,"")</f>
        <v/>
      </c>
      <c r="K587" s="1" t="str">
        <f>IF(calc!$L587=1,calc!M587,"")</f>
        <v/>
      </c>
      <c r="L587" s="1" t="str">
        <f>IF(calc!$L587=1,calc!N587,"")</f>
        <v/>
      </c>
      <c r="M587" s="1" t="str">
        <f>IF(calc!$L587=1,calc!O587,"")</f>
        <v/>
      </c>
      <c r="N587" s="1" t="str">
        <f>IF(calc!$L587=1,calc!P587,"")</f>
        <v/>
      </c>
      <c r="O587">
        <f>'Entry data'!C$1</f>
        <v>20064</v>
      </c>
      <c r="P587" t="str">
        <f>'Entry data'!C$2</f>
        <v>NSH</v>
      </c>
      <c r="Q587" t="str">
        <f>'Entry data'!C$3</f>
        <v>Home</v>
      </c>
    </row>
    <row r="588" spans="1:17" x14ac:dyDescent="0.25">
      <c r="A588" s="1" t="str">
        <f>IF(calc!$L588=1,calc!B588,"")</f>
        <v/>
      </c>
      <c r="B588" s="5" t="str">
        <f>IF(calc!$L588=1,calc!C588,"")</f>
        <v/>
      </c>
      <c r="C588" s="1" t="str">
        <f>IF(calc!$L588=1,calc!D588,"")</f>
        <v/>
      </c>
      <c r="D588" s="1" t="str">
        <f>IF(calc!$L588=1,calc!E588,"")</f>
        <v/>
      </c>
      <c r="E588" s="1" t="str">
        <f>IF(calc!$L588=1,IF(EXACT(calc!$D588,"FAC"),"",calc!F588),"")</f>
        <v/>
      </c>
      <c r="F588" s="1" t="str">
        <f>IF(calc!$L588=1,IF(EXACT(calc!$D588,"FAC"),"",calc!G588),"")</f>
        <v/>
      </c>
      <c r="G588" s="1" t="str">
        <f>IF(calc!$L588=1,IF(EXACT(calc!$D588,"FAC"),"",calc!H588),"")</f>
        <v/>
      </c>
      <c r="H588" s="1" t="str">
        <f>IF(calc!$L588=1,IF(EXACT(calc!$D588,"FAC"),"",calc!I588),"")</f>
        <v/>
      </c>
      <c r="I588" s="1" t="str">
        <f>IF(calc!$L588=1,calc!J588,"")</f>
        <v/>
      </c>
      <c r="J588" s="1" t="str">
        <f>IF(calc!$L588=1,calc!K588,"")</f>
        <v/>
      </c>
      <c r="K588" s="1" t="str">
        <f>IF(calc!$L588=1,calc!M588,"")</f>
        <v/>
      </c>
      <c r="L588" s="1" t="str">
        <f>IF(calc!$L588=1,calc!N588,"")</f>
        <v/>
      </c>
      <c r="M588" s="1" t="str">
        <f>IF(calc!$L588=1,calc!O588,"")</f>
        <v/>
      </c>
      <c r="N588" s="1" t="str">
        <f>IF(calc!$L588=1,calc!P588,"")</f>
        <v/>
      </c>
      <c r="O588">
        <f>'Entry data'!C$1</f>
        <v>20064</v>
      </c>
      <c r="P588" t="str">
        <f>'Entry data'!C$2</f>
        <v>NSH</v>
      </c>
      <c r="Q588" t="str">
        <f>'Entry data'!C$3</f>
        <v>Home</v>
      </c>
    </row>
    <row r="589" spans="1:17" x14ac:dyDescent="0.25">
      <c r="A589" s="1" t="str">
        <f>IF(calc!$L589=1,calc!B589,"")</f>
        <v/>
      </c>
      <c r="B589" s="5" t="str">
        <f>IF(calc!$L589=1,calc!C589,"")</f>
        <v/>
      </c>
      <c r="C589" s="1" t="str">
        <f>IF(calc!$L589=1,calc!D589,"")</f>
        <v/>
      </c>
      <c r="D589" s="1" t="str">
        <f>IF(calc!$L589=1,calc!E589,"")</f>
        <v/>
      </c>
      <c r="E589" s="1" t="str">
        <f>IF(calc!$L589=1,IF(EXACT(calc!$D589,"FAC"),"",calc!F589),"")</f>
        <v/>
      </c>
      <c r="F589" s="1" t="str">
        <f>IF(calc!$L589=1,IF(EXACT(calc!$D589,"FAC"),"",calc!G589),"")</f>
        <v/>
      </c>
      <c r="G589" s="1" t="str">
        <f>IF(calc!$L589=1,IF(EXACT(calc!$D589,"FAC"),"",calc!H589),"")</f>
        <v/>
      </c>
      <c r="H589" s="1" t="str">
        <f>IF(calc!$L589=1,IF(EXACT(calc!$D589,"FAC"),"",calc!I589),"")</f>
        <v/>
      </c>
      <c r="I589" s="1" t="str">
        <f>IF(calc!$L589=1,calc!J589,"")</f>
        <v/>
      </c>
      <c r="J589" s="1" t="str">
        <f>IF(calc!$L589=1,calc!K589,"")</f>
        <v/>
      </c>
      <c r="K589" s="1" t="str">
        <f>IF(calc!$L589=1,calc!M589,"")</f>
        <v/>
      </c>
      <c r="L589" s="1" t="str">
        <f>IF(calc!$L589=1,calc!N589,"")</f>
        <v/>
      </c>
      <c r="M589" s="1" t="str">
        <f>IF(calc!$L589=1,calc!O589,"")</f>
        <v/>
      </c>
      <c r="N589" s="1" t="str">
        <f>IF(calc!$L589=1,calc!P589,"")</f>
        <v/>
      </c>
      <c r="O589">
        <f>'Entry data'!C$1</f>
        <v>20064</v>
      </c>
      <c r="P589" t="str">
        <f>'Entry data'!C$2</f>
        <v>NSH</v>
      </c>
      <c r="Q589" t="str">
        <f>'Entry data'!C$3</f>
        <v>Home</v>
      </c>
    </row>
    <row r="590" spans="1:17" x14ac:dyDescent="0.25">
      <c r="A590" s="1" t="str">
        <f>IF(calc!$L590=1,calc!B590,"")</f>
        <v/>
      </c>
      <c r="B590" s="5" t="str">
        <f>IF(calc!$L590=1,calc!C590,"")</f>
        <v/>
      </c>
      <c r="C590" s="1" t="str">
        <f>IF(calc!$L590=1,calc!D590,"")</f>
        <v/>
      </c>
      <c r="D590" s="1" t="str">
        <f>IF(calc!$L590=1,calc!E590,"")</f>
        <v/>
      </c>
      <c r="E590" s="1" t="str">
        <f>IF(calc!$L590=1,IF(EXACT(calc!$D590,"FAC"),"",calc!F590),"")</f>
        <v/>
      </c>
      <c r="F590" s="1" t="str">
        <f>IF(calc!$L590=1,IF(EXACT(calc!$D590,"FAC"),"",calc!G590),"")</f>
        <v/>
      </c>
      <c r="G590" s="1" t="str">
        <f>IF(calc!$L590=1,IF(EXACT(calc!$D590,"FAC"),"",calc!H590),"")</f>
        <v/>
      </c>
      <c r="H590" s="1" t="str">
        <f>IF(calc!$L590=1,IF(EXACT(calc!$D590,"FAC"),"",calc!I590),"")</f>
        <v/>
      </c>
      <c r="I590" s="1" t="str">
        <f>IF(calc!$L590=1,calc!J590,"")</f>
        <v/>
      </c>
      <c r="J590" s="1" t="str">
        <f>IF(calc!$L590=1,calc!K590,"")</f>
        <v/>
      </c>
      <c r="K590" s="1" t="str">
        <f>IF(calc!$L590=1,calc!M590,"")</f>
        <v/>
      </c>
      <c r="L590" s="1" t="str">
        <f>IF(calc!$L590=1,calc!N590,"")</f>
        <v/>
      </c>
      <c r="M590" s="1" t="str">
        <f>IF(calc!$L590=1,calc!O590,"")</f>
        <v/>
      </c>
      <c r="N590" s="1" t="str">
        <f>IF(calc!$L590=1,calc!P590,"")</f>
        <v/>
      </c>
      <c r="O590">
        <f>'Entry data'!C$1</f>
        <v>20064</v>
      </c>
      <c r="P590" t="str">
        <f>'Entry data'!C$2</f>
        <v>NSH</v>
      </c>
      <c r="Q590" t="str">
        <f>'Entry data'!C$3</f>
        <v>Home</v>
      </c>
    </row>
    <row r="591" spans="1:17" x14ac:dyDescent="0.25">
      <c r="A591" s="1" t="str">
        <f>IF(calc!$L591=1,calc!B591,"")</f>
        <v/>
      </c>
      <c r="B591" s="5" t="str">
        <f>IF(calc!$L591=1,calc!C591,"")</f>
        <v/>
      </c>
      <c r="C591" s="1" t="str">
        <f>IF(calc!$L591=1,calc!D591,"")</f>
        <v/>
      </c>
      <c r="D591" s="1" t="str">
        <f>IF(calc!$L591=1,calc!E591,"")</f>
        <v/>
      </c>
      <c r="E591" s="1" t="str">
        <f>IF(calc!$L591=1,IF(EXACT(calc!$D591,"FAC"),"",calc!F591),"")</f>
        <v/>
      </c>
      <c r="F591" s="1" t="str">
        <f>IF(calc!$L591=1,IF(EXACT(calc!$D591,"FAC"),"",calc!G591),"")</f>
        <v/>
      </c>
      <c r="G591" s="1" t="str">
        <f>IF(calc!$L591=1,IF(EXACT(calc!$D591,"FAC"),"",calc!H591),"")</f>
        <v/>
      </c>
      <c r="H591" s="1" t="str">
        <f>IF(calc!$L591=1,IF(EXACT(calc!$D591,"FAC"),"",calc!I591),"")</f>
        <v/>
      </c>
      <c r="I591" s="1" t="str">
        <f>IF(calc!$L591=1,calc!J591,"")</f>
        <v/>
      </c>
      <c r="J591" s="1" t="str">
        <f>IF(calc!$L591=1,calc!K591,"")</f>
        <v/>
      </c>
      <c r="K591" s="1" t="str">
        <f>IF(calc!$L591=1,calc!M591,"")</f>
        <v/>
      </c>
      <c r="L591" s="1" t="str">
        <f>IF(calc!$L591=1,calc!N591,"")</f>
        <v/>
      </c>
      <c r="M591" s="1" t="str">
        <f>IF(calc!$L591=1,calc!O591,"")</f>
        <v/>
      </c>
      <c r="N591" s="1" t="str">
        <f>IF(calc!$L591=1,calc!P591,"")</f>
        <v/>
      </c>
      <c r="O591">
        <f>'Entry data'!C$1</f>
        <v>20064</v>
      </c>
      <c r="P591" t="str">
        <f>'Entry data'!C$2</f>
        <v>NSH</v>
      </c>
      <c r="Q591" t="str">
        <f>'Entry data'!C$3</f>
        <v>Home</v>
      </c>
    </row>
    <row r="592" spans="1:17" x14ac:dyDescent="0.25">
      <c r="A592" s="1" t="str">
        <f>IF(calc!$L592=1,calc!B592,"")</f>
        <v/>
      </c>
      <c r="B592" s="5" t="str">
        <f>IF(calc!$L592=1,calc!C592,"")</f>
        <v/>
      </c>
      <c r="C592" s="1" t="str">
        <f>IF(calc!$L592=1,calc!D592,"")</f>
        <v/>
      </c>
      <c r="D592" s="1" t="str">
        <f>IF(calc!$L592=1,calc!E592,"")</f>
        <v/>
      </c>
      <c r="E592" s="1" t="str">
        <f>IF(calc!$L592=1,IF(EXACT(calc!$D592,"FAC"),"",calc!F592),"")</f>
        <v/>
      </c>
      <c r="F592" s="1" t="str">
        <f>IF(calc!$L592=1,IF(EXACT(calc!$D592,"FAC"),"",calc!G592),"")</f>
        <v/>
      </c>
      <c r="G592" s="1" t="str">
        <f>IF(calc!$L592=1,IF(EXACT(calc!$D592,"FAC"),"",calc!H592),"")</f>
        <v/>
      </c>
      <c r="H592" s="1" t="str">
        <f>IF(calc!$L592=1,IF(EXACT(calc!$D592,"FAC"),"",calc!I592),"")</f>
        <v/>
      </c>
      <c r="I592" s="1" t="str">
        <f>IF(calc!$L592=1,calc!J592,"")</f>
        <v/>
      </c>
      <c r="J592" s="1" t="str">
        <f>IF(calc!$L592=1,calc!K592,"")</f>
        <v/>
      </c>
      <c r="K592" s="1" t="str">
        <f>IF(calc!$L592=1,calc!M592,"")</f>
        <v/>
      </c>
      <c r="L592" s="1" t="str">
        <f>IF(calc!$L592=1,calc!N592,"")</f>
        <v/>
      </c>
      <c r="M592" s="1" t="str">
        <f>IF(calc!$L592=1,calc!O592,"")</f>
        <v/>
      </c>
      <c r="N592" s="1" t="str">
        <f>IF(calc!$L592=1,calc!P592,"")</f>
        <v/>
      </c>
      <c r="O592">
        <f>'Entry data'!C$1</f>
        <v>20064</v>
      </c>
      <c r="P592" t="str">
        <f>'Entry data'!C$2</f>
        <v>NSH</v>
      </c>
      <c r="Q592" t="str">
        <f>'Entry data'!C$3</f>
        <v>Home</v>
      </c>
    </row>
    <row r="593" spans="1:17" x14ac:dyDescent="0.25">
      <c r="A593" s="1" t="str">
        <f>IF(calc!$L593=1,calc!B593,"")</f>
        <v/>
      </c>
      <c r="B593" s="5" t="str">
        <f>IF(calc!$L593=1,calc!C593,"")</f>
        <v/>
      </c>
      <c r="C593" s="1" t="str">
        <f>IF(calc!$L593=1,calc!D593,"")</f>
        <v/>
      </c>
      <c r="D593" s="1" t="str">
        <f>IF(calc!$L593=1,calc!E593,"")</f>
        <v/>
      </c>
      <c r="E593" s="1" t="str">
        <f>IF(calc!$L593=1,IF(EXACT(calc!$D593,"FAC"),"",calc!F593),"")</f>
        <v/>
      </c>
      <c r="F593" s="1" t="str">
        <f>IF(calc!$L593=1,IF(EXACT(calc!$D593,"FAC"),"",calc!G593),"")</f>
        <v/>
      </c>
      <c r="G593" s="1" t="str">
        <f>IF(calc!$L593=1,IF(EXACT(calc!$D593,"FAC"),"",calc!H593),"")</f>
        <v/>
      </c>
      <c r="H593" s="1" t="str">
        <f>IF(calc!$L593=1,IF(EXACT(calc!$D593,"FAC"),"",calc!I593),"")</f>
        <v/>
      </c>
      <c r="I593" s="1" t="str">
        <f>IF(calc!$L593=1,calc!J593,"")</f>
        <v/>
      </c>
      <c r="J593" s="1" t="str">
        <f>IF(calc!$L593=1,calc!K593,"")</f>
        <v/>
      </c>
      <c r="K593" s="1" t="str">
        <f>IF(calc!$L593=1,calc!M593,"")</f>
        <v/>
      </c>
      <c r="L593" s="1" t="str">
        <f>IF(calc!$L593=1,calc!N593,"")</f>
        <v/>
      </c>
      <c r="M593" s="1" t="str">
        <f>IF(calc!$L593=1,calc!O593,"")</f>
        <v/>
      </c>
      <c r="N593" s="1" t="str">
        <f>IF(calc!$L593=1,calc!P593,"")</f>
        <v/>
      </c>
      <c r="O593">
        <f>'Entry data'!C$1</f>
        <v>20064</v>
      </c>
      <c r="P593" t="str">
        <f>'Entry data'!C$2</f>
        <v>NSH</v>
      </c>
      <c r="Q593" t="str">
        <f>'Entry data'!C$3</f>
        <v>Home</v>
      </c>
    </row>
    <row r="594" spans="1:17" x14ac:dyDescent="0.25">
      <c r="A594" s="1" t="str">
        <f>IF(calc!$L594=1,calc!B594,"")</f>
        <v/>
      </c>
      <c r="B594" s="5" t="str">
        <f>IF(calc!$L594=1,calc!C594,"")</f>
        <v/>
      </c>
      <c r="C594" s="1" t="str">
        <f>IF(calc!$L594=1,calc!D594,"")</f>
        <v/>
      </c>
      <c r="D594" s="1" t="str">
        <f>IF(calc!$L594=1,calc!E594,"")</f>
        <v/>
      </c>
      <c r="E594" s="1" t="str">
        <f>IF(calc!$L594=1,IF(EXACT(calc!$D594,"FAC"),"",calc!F594),"")</f>
        <v/>
      </c>
      <c r="F594" s="1" t="str">
        <f>IF(calc!$L594=1,IF(EXACT(calc!$D594,"FAC"),"",calc!G594),"")</f>
        <v/>
      </c>
      <c r="G594" s="1" t="str">
        <f>IF(calc!$L594=1,IF(EXACT(calc!$D594,"FAC"),"",calc!H594),"")</f>
        <v/>
      </c>
      <c r="H594" s="1" t="str">
        <f>IF(calc!$L594=1,IF(EXACT(calc!$D594,"FAC"),"",calc!I594),"")</f>
        <v/>
      </c>
      <c r="I594" s="1" t="str">
        <f>IF(calc!$L594=1,calc!J594,"")</f>
        <v/>
      </c>
      <c r="J594" s="1" t="str">
        <f>IF(calc!$L594=1,calc!K594,"")</f>
        <v/>
      </c>
      <c r="K594" s="1" t="str">
        <f>IF(calc!$L594=1,calc!M594,"")</f>
        <v/>
      </c>
      <c r="L594" s="1" t="str">
        <f>IF(calc!$L594=1,calc!N594,"")</f>
        <v/>
      </c>
      <c r="M594" s="1" t="str">
        <f>IF(calc!$L594=1,calc!O594,"")</f>
        <v/>
      </c>
      <c r="N594" s="1" t="str">
        <f>IF(calc!$L594=1,calc!P594,"")</f>
        <v/>
      </c>
      <c r="O594">
        <f>'Entry data'!C$1</f>
        <v>20064</v>
      </c>
      <c r="P594" t="str">
        <f>'Entry data'!C$2</f>
        <v>NSH</v>
      </c>
      <c r="Q594" t="str">
        <f>'Entry data'!C$3</f>
        <v>Home</v>
      </c>
    </row>
    <row r="595" spans="1:17" x14ac:dyDescent="0.25">
      <c r="A595" s="1" t="str">
        <f>IF(calc!$L595=1,calc!B595,"")</f>
        <v/>
      </c>
      <c r="B595" s="5" t="str">
        <f>IF(calc!$L595=1,calc!C595,"")</f>
        <v/>
      </c>
      <c r="C595" s="1" t="str">
        <f>IF(calc!$L595=1,calc!D595,"")</f>
        <v/>
      </c>
      <c r="D595" s="1" t="str">
        <f>IF(calc!$L595=1,calc!E595,"")</f>
        <v/>
      </c>
      <c r="E595" s="1" t="str">
        <f>IF(calc!$L595=1,IF(EXACT(calc!$D595,"FAC"),"",calc!F595),"")</f>
        <v/>
      </c>
      <c r="F595" s="1" t="str">
        <f>IF(calc!$L595=1,IF(EXACT(calc!$D595,"FAC"),"",calc!G595),"")</f>
        <v/>
      </c>
      <c r="G595" s="1" t="str">
        <f>IF(calc!$L595=1,IF(EXACT(calc!$D595,"FAC"),"",calc!H595),"")</f>
        <v/>
      </c>
      <c r="H595" s="1" t="str">
        <f>IF(calc!$L595=1,IF(EXACT(calc!$D595,"FAC"),"",calc!I595),"")</f>
        <v/>
      </c>
      <c r="I595" s="1" t="str">
        <f>IF(calc!$L595=1,calc!J595,"")</f>
        <v/>
      </c>
      <c r="J595" s="1" t="str">
        <f>IF(calc!$L595=1,calc!K595,"")</f>
        <v/>
      </c>
      <c r="K595" s="1" t="str">
        <f>IF(calc!$L595=1,calc!M595,"")</f>
        <v/>
      </c>
      <c r="L595" s="1" t="str">
        <f>IF(calc!$L595=1,calc!N595,"")</f>
        <v/>
      </c>
      <c r="M595" s="1" t="str">
        <f>IF(calc!$L595=1,calc!O595,"")</f>
        <v/>
      </c>
      <c r="N595" s="1" t="str">
        <f>IF(calc!$L595=1,calc!P595,"")</f>
        <v/>
      </c>
      <c r="O595">
        <f>'Entry data'!C$1</f>
        <v>20064</v>
      </c>
      <c r="P595" t="str">
        <f>'Entry data'!C$2</f>
        <v>NSH</v>
      </c>
      <c r="Q595" t="str">
        <f>'Entry data'!C$3</f>
        <v>Home</v>
      </c>
    </row>
    <row r="596" spans="1:17" x14ac:dyDescent="0.25">
      <c r="A596" s="1" t="str">
        <f>IF(calc!$L596=1,calc!B596,"")</f>
        <v/>
      </c>
      <c r="B596" s="5" t="str">
        <f>IF(calc!$L596=1,calc!C596,"")</f>
        <v/>
      </c>
      <c r="C596" s="1" t="str">
        <f>IF(calc!$L596=1,calc!D596,"")</f>
        <v/>
      </c>
      <c r="D596" s="1" t="str">
        <f>IF(calc!$L596=1,calc!E596,"")</f>
        <v/>
      </c>
      <c r="E596" s="1" t="str">
        <f>IF(calc!$L596=1,IF(EXACT(calc!$D596,"FAC"),"",calc!F596),"")</f>
        <v/>
      </c>
      <c r="F596" s="1" t="str">
        <f>IF(calc!$L596=1,IF(EXACT(calc!$D596,"FAC"),"",calc!G596),"")</f>
        <v/>
      </c>
      <c r="G596" s="1" t="str">
        <f>IF(calc!$L596=1,IF(EXACT(calc!$D596,"FAC"),"",calc!H596),"")</f>
        <v/>
      </c>
      <c r="H596" s="1" t="str">
        <f>IF(calc!$L596=1,IF(EXACT(calc!$D596,"FAC"),"",calc!I596),"")</f>
        <v/>
      </c>
      <c r="I596" s="1" t="str">
        <f>IF(calc!$L596=1,calc!J596,"")</f>
        <v/>
      </c>
      <c r="J596" s="1" t="str">
        <f>IF(calc!$L596=1,calc!K596,"")</f>
        <v/>
      </c>
      <c r="K596" s="1" t="str">
        <f>IF(calc!$L596=1,calc!M596,"")</f>
        <v/>
      </c>
      <c r="L596" s="1" t="str">
        <f>IF(calc!$L596=1,calc!N596,"")</f>
        <v/>
      </c>
      <c r="M596" s="1" t="str">
        <f>IF(calc!$L596=1,calc!O596,"")</f>
        <v/>
      </c>
      <c r="N596" s="1" t="str">
        <f>IF(calc!$L596=1,calc!P596,"")</f>
        <v/>
      </c>
      <c r="O596">
        <f>'Entry data'!C$1</f>
        <v>20064</v>
      </c>
      <c r="P596" t="str">
        <f>'Entry data'!C$2</f>
        <v>NSH</v>
      </c>
      <c r="Q596" t="str">
        <f>'Entry data'!C$3</f>
        <v>Home</v>
      </c>
    </row>
    <row r="597" spans="1:17" x14ac:dyDescent="0.25">
      <c r="A597" s="1" t="str">
        <f>IF(calc!$L597=1,calc!B597,"")</f>
        <v/>
      </c>
      <c r="B597" s="5" t="str">
        <f>IF(calc!$L597=1,calc!C597,"")</f>
        <v/>
      </c>
      <c r="C597" s="1" t="str">
        <f>IF(calc!$L597=1,calc!D597,"")</f>
        <v/>
      </c>
      <c r="D597" s="1" t="str">
        <f>IF(calc!$L597=1,calc!E597,"")</f>
        <v/>
      </c>
      <c r="E597" s="1" t="str">
        <f>IF(calc!$L597=1,IF(EXACT(calc!$D597,"FAC"),"",calc!F597),"")</f>
        <v/>
      </c>
      <c r="F597" s="1" t="str">
        <f>IF(calc!$L597=1,IF(EXACT(calc!$D597,"FAC"),"",calc!G597),"")</f>
        <v/>
      </c>
      <c r="G597" s="1" t="str">
        <f>IF(calc!$L597=1,IF(EXACT(calc!$D597,"FAC"),"",calc!H597),"")</f>
        <v/>
      </c>
      <c r="H597" s="1" t="str">
        <f>IF(calc!$L597=1,IF(EXACT(calc!$D597,"FAC"),"",calc!I597),"")</f>
        <v/>
      </c>
      <c r="I597" s="1" t="str">
        <f>IF(calc!$L597=1,calc!J597,"")</f>
        <v/>
      </c>
      <c r="J597" s="1" t="str">
        <f>IF(calc!$L597=1,calc!K597,"")</f>
        <v/>
      </c>
      <c r="K597" s="1" t="str">
        <f>IF(calc!$L597=1,calc!M597,"")</f>
        <v/>
      </c>
      <c r="L597" s="1" t="str">
        <f>IF(calc!$L597=1,calc!N597,"")</f>
        <v/>
      </c>
      <c r="M597" s="1" t="str">
        <f>IF(calc!$L597=1,calc!O597,"")</f>
        <v/>
      </c>
      <c r="N597" s="1" t="str">
        <f>IF(calc!$L597=1,calc!P597,"")</f>
        <v/>
      </c>
      <c r="O597">
        <f>'Entry data'!C$1</f>
        <v>20064</v>
      </c>
      <c r="P597" t="str">
        <f>'Entry data'!C$2</f>
        <v>NSH</v>
      </c>
      <c r="Q597" t="str">
        <f>'Entry data'!C$3</f>
        <v>Home</v>
      </c>
    </row>
    <row r="598" spans="1:17" x14ac:dyDescent="0.25">
      <c r="A598" s="1" t="str">
        <f>IF(calc!$L598=1,calc!B598,"")</f>
        <v/>
      </c>
      <c r="B598" s="5" t="str">
        <f>IF(calc!$L598=1,calc!C598,"")</f>
        <v/>
      </c>
      <c r="C598" s="1" t="str">
        <f>IF(calc!$L598=1,calc!D598,"")</f>
        <v/>
      </c>
      <c r="D598" s="1" t="str">
        <f>IF(calc!$L598=1,calc!E598,"")</f>
        <v/>
      </c>
      <c r="E598" s="1" t="str">
        <f>IF(calc!$L598=1,IF(EXACT(calc!$D598,"FAC"),"",calc!F598),"")</f>
        <v/>
      </c>
      <c r="F598" s="1" t="str">
        <f>IF(calc!$L598=1,IF(EXACT(calc!$D598,"FAC"),"",calc!G598),"")</f>
        <v/>
      </c>
      <c r="G598" s="1" t="str">
        <f>IF(calc!$L598=1,IF(EXACT(calc!$D598,"FAC"),"",calc!H598),"")</f>
        <v/>
      </c>
      <c r="H598" s="1" t="str">
        <f>IF(calc!$L598=1,IF(EXACT(calc!$D598,"FAC"),"",calc!I598),"")</f>
        <v/>
      </c>
      <c r="I598" s="1" t="str">
        <f>IF(calc!$L598=1,calc!J598,"")</f>
        <v/>
      </c>
      <c r="J598" s="1" t="str">
        <f>IF(calc!$L598=1,calc!K598,"")</f>
        <v/>
      </c>
      <c r="K598" s="1" t="str">
        <f>IF(calc!$L598=1,calc!M598,"")</f>
        <v/>
      </c>
      <c r="L598" s="1" t="str">
        <f>IF(calc!$L598=1,calc!N598,"")</f>
        <v/>
      </c>
      <c r="M598" s="1" t="str">
        <f>IF(calc!$L598=1,calc!O598,"")</f>
        <v/>
      </c>
      <c r="N598" s="1" t="str">
        <f>IF(calc!$L598=1,calc!P598,"")</f>
        <v/>
      </c>
      <c r="O598">
        <f>'Entry data'!C$1</f>
        <v>20064</v>
      </c>
      <c r="P598" t="str">
        <f>'Entry data'!C$2</f>
        <v>NSH</v>
      </c>
      <c r="Q598" t="str">
        <f>'Entry data'!C$3</f>
        <v>Home</v>
      </c>
    </row>
    <row r="599" spans="1:17" x14ac:dyDescent="0.25">
      <c r="A599" s="1" t="str">
        <f>IF(calc!$L599=1,calc!B599,"")</f>
        <v/>
      </c>
      <c r="B599" s="5" t="str">
        <f>IF(calc!$L599=1,calc!C599,"")</f>
        <v/>
      </c>
      <c r="C599" s="1" t="str">
        <f>IF(calc!$L599=1,calc!D599,"")</f>
        <v/>
      </c>
      <c r="D599" s="1" t="str">
        <f>IF(calc!$L599=1,calc!E599,"")</f>
        <v/>
      </c>
      <c r="E599" s="1" t="str">
        <f>IF(calc!$L599=1,IF(EXACT(calc!$D599,"FAC"),"",calc!F599),"")</f>
        <v/>
      </c>
      <c r="F599" s="1" t="str">
        <f>IF(calc!$L599=1,IF(EXACT(calc!$D599,"FAC"),"",calc!G599),"")</f>
        <v/>
      </c>
      <c r="G599" s="1" t="str">
        <f>IF(calc!$L599=1,IF(EXACT(calc!$D599,"FAC"),"",calc!H599),"")</f>
        <v/>
      </c>
      <c r="H599" s="1" t="str">
        <f>IF(calc!$L599=1,IF(EXACT(calc!$D599,"FAC"),"",calc!I599),"")</f>
        <v/>
      </c>
      <c r="I599" s="1" t="str">
        <f>IF(calc!$L599=1,calc!J599,"")</f>
        <v/>
      </c>
      <c r="J599" s="1" t="str">
        <f>IF(calc!$L599=1,calc!K599,"")</f>
        <v/>
      </c>
      <c r="K599" s="1" t="str">
        <f>IF(calc!$L599=1,calc!M599,"")</f>
        <v/>
      </c>
      <c r="L599" s="1" t="str">
        <f>IF(calc!$L599=1,calc!N599,"")</f>
        <v/>
      </c>
      <c r="M599" s="1" t="str">
        <f>IF(calc!$L599=1,calc!O599,"")</f>
        <v/>
      </c>
      <c r="N599" s="1" t="str">
        <f>IF(calc!$L599=1,calc!P599,"")</f>
        <v/>
      </c>
      <c r="O599">
        <f>'Entry data'!C$1</f>
        <v>20064</v>
      </c>
      <c r="P599" t="str">
        <f>'Entry data'!C$2</f>
        <v>NSH</v>
      </c>
      <c r="Q599" t="str">
        <f>'Entry data'!C$3</f>
        <v>Home</v>
      </c>
    </row>
    <row r="600" spans="1:17" x14ac:dyDescent="0.25">
      <c r="A600" s="1" t="str">
        <f>IF(calc!$L600=1,calc!B600,"")</f>
        <v/>
      </c>
      <c r="B600" s="5" t="str">
        <f>IF(calc!$L600=1,calc!C600,"")</f>
        <v/>
      </c>
      <c r="C600" s="1" t="str">
        <f>IF(calc!$L600=1,calc!D600,"")</f>
        <v/>
      </c>
      <c r="D600" s="1" t="str">
        <f>IF(calc!$L600=1,calc!E600,"")</f>
        <v/>
      </c>
      <c r="E600" s="1" t="str">
        <f>IF(calc!$L600=1,IF(EXACT(calc!$D600,"FAC"),"",calc!F600),"")</f>
        <v/>
      </c>
      <c r="F600" s="1" t="str">
        <f>IF(calc!$L600=1,IF(EXACT(calc!$D600,"FAC"),"",calc!G600),"")</f>
        <v/>
      </c>
      <c r="G600" s="1" t="str">
        <f>IF(calc!$L600=1,IF(EXACT(calc!$D600,"FAC"),"",calc!H600),"")</f>
        <v/>
      </c>
      <c r="H600" s="1" t="str">
        <f>IF(calc!$L600=1,IF(EXACT(calc!$D600,"FAC"),"",calc!I600),"")</f>
        <v/>
      </c>
      <c r="I600" s="1" t="str">
        <f>IF(calc!$L600=1,calc!J600,"")</f>
        <v/>
      </c>
      <c r="J600" s="1" t="str">
        <f>IF(calc!$L600=1,calc!K600,"")</f>
        <v/>
      </c>
      <c r="K600" s="1" t="str">
        <f>IF(calc!$L600=1,calc!M600,"")</f>
        <v/>
      </c>
      <c r="L600" s="1" t="str">
        <f>IF(calc!$L600=1,calc!N600,"")</f>
        <v/>
      </c>
      <c r="M600" s="1" t="str">
        <f>IF(calc!$L600=1,calc!O600,"")</f>
        <v/>
      </c>
      <c r="N600" s="1" t="str">
        <f>IF(calc!$L600=1,calc!P600,"")</f>
        <v/>
      </c>
      <c r="O600">
        <f>'Entry data'!C$1</f>
        <v>20064</v>
      </c>
      <c r="P600" t="str">
        <f>'Entry data'!C$2</f>
        <v>NSH</v>
      </c>
      <c r="Q600" t="str">
        <f>'Entry data'!C$3</f>
        <v>Home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601"/>
  <sheetViews>
    <sheetView workbookViewId="0"/>
  </sheetViews>
  <sheetFormatPr defaultRowHeight="15" x14ac:dyDescent="0.25"/>
  <cols>
    <col min="5" max="5" width="12.42578125" bestFit="1" customWidth="1"/>
    <col min="6" max="6" width="13.140625" bestFit="1" customWidth="1"/>
    <col min="7" max="7" width="13.140625" customWidth="1"/>
    <col min="8" max="8" width="16.85546875" bestFit="1" customWidth="1"/>
  </cols>
  <sheetData>
    <row r="1" spans="1:15" x14ac:dyDescent="0.25">
      <c r="A1" s="1" t="s">
        <v>0</v>
      </c>
      <c r="B1" s="5" t="s">
        <v>1</v>
      </c>
      <c r="C1" s="1" t="s">
        <v>2</v>
      </c>
      <c r="D1" s="1" t="s">
        <v>59</v>
      </c>
      <c r="E1" s="1" t="s">
        <v>60</v>
      </c>
      <c r="F1" s="1" t="s">
        <v>61</v>
      </c>
      <c r="G1" s="1" t="s">
        <v>64</v>
      </c>
      <c r="H1" s="1" t="s">
        <v>62</v>
      </c>
      <c r="I1" s="1" t="s">
        <v>16</v>
      </c>
      <c r="J1" s="1" t="s">
        <v>12</v>
      </c>
      <c r="K1" s="1" t="s">
        <v>13</v>
      </c>
      <c r="L1" s="1" t="s">
        <v>50</v>
      </c>
      <c r="M1" s="1" t="s">
        <v>56</v>
      </c>
      <c r="N1" s="1" t="s">
        <v>57</v>
      </c>
      <c r="O1" s="1" t="s">
        <v>58</v>
      </c>
    </row>
    <row r="2" spans="1:15" x14ac:dyDescent="0.25">
      <c r="A2" t="str">
        <f>IF(AND('Entry list'!$I2=5,'Entry list'!$J2=5),'Entry list'!A2,"")</f>
        <v/>
      </c>
      <c r="B2" t="str">
        <f>IF(AND('Entry list'!$I2=5,'Entry list'!$J2=5),'Entry list'!B2,"")</f>
        <v/>
      </c>
      <c r="C2" t="str">
        <f>IF(AND('Entry list'!$I2=5,'Entry list'!$J2=5),'Entry list'!C2,"")</f>
        <v/>
      </c>
      <c r="D2" t="str">
        <f>IF(AND('Entry list'!$I2=5,'Entry list'!$J2=5),'Entry list'!D2,"")</f>
        <v/>
      </c>
      <c r="E2" t="str">
        <f>IF(AND('Entry list'!$I2=5,'Entry list'!$J2=5),'Entry list'!E2,"")</f>
        <v/>
      </c>
      <c r="F2" t="str">
        <f>IF(AND('Entry list'!$I2=5,'Entry list'!$J2=5),'Entry list'!F2,"")</f>
        <v/>
      </c>
      <c r="G2" t="str">
        <f>IF(AND('Entry list'!$I2=5,'Entry list'!$J2=5),'Entry list'!G2,"")</f>
        <v/>
      </c>
      <c r="H2" t="str">
        <f>IF(AND('Entry list'!$I2=5,'Entry list'!$J2=5),'Entry list'!H2,"")</f>
        <v/>
      </c>
      <c r="I2" t="str">
        <f>IF(AND('Entry list'!$I2=5,'Entry list'!$J2=5),'Entry list'!K2,"")</f>
        <v/>
      </c>
      <c r="J2" t="str">
        <f>IF(AND('Entry list'!$I2=5,'Entry list'!$J2=5),'Entry list'!L2,"")</f>
        <v/>
      </c>
      <c r="K2" t="str">
        <f>IF(AND('Entry list'!$I2=5,'Entry list'!$J2=5),'Entry list'!M2,"")</f>
        <v/>
      </c>
      <c r="L2" t="str">
        <f>IF(AND('Entry list'!$I2=5,'Entry list'!$J2=5),'Entry list'!N2,"")</f>
        <v/>
      </c>
      <c r="M2" t="str">
        <f>IF(EXACT(D2,""),"",IF(EXACT(LEFT(D2,3),"WSH"),1,0))</f>
        <v/>
      </c>
      <c r="N2" t="str">
        <f>IF(EXACT(I2,""),"",IF(EXACT(LEFT(I2,3),"WSH"),1,0))</f>
        <v/>
      </c>
      <c r="O2" t="str">
        <f>IF(EXACT(L2,""),"",IF(EXACT(LEFT(L2,3),"WSH"),1,0))</f>
        <v/>
      </c>
    </row>
    <row r="3" spans="1:15" x14ac:dyDescent="0.25">
      <c r="A3" t="str">
        <f>IF(AND('Entry list'!$I3=5,'Entry list'!$J3=5),'Entry list'!A3,"")</f>
        <v/>
      </c>
      <c r="B3" t="str">
        <f>IF(AND('Entry list'!$I3=5,'Entry list'!$J3=5),'Entry list'!B3,"")</f>
        <v/>
      </c>
      <c r="C3" t="str">
        <f>IF(AND('Entry list'!$I3=5,'Entry list'!$J3=5),'Entry list'!C3,"")</f>
        <v/>
      </c>
      <c r="D3" t="str">
        <f>IF(AND('Entry list'!$I3=5,'Entry list'!$J3=5),'Entry list'!D3,"")</f>
        <v/>
      </c>
      <c r="E3" t="str">
        <f>IF(AND('Entry list'!$I3=5,'Entry list'!$J3=5),'Entry list'!E3,"")</f>
        <v/>
      </c>
      <c r="F3" t="str">
        <f>IF(AND('Entry list'!$I3=5,'Entry list'!$J3=5),'Entry list'!F3,"")</f>
        <v/>
      </c>
      <c r="G3" t="str">
        <f>IF(AND('Entry list'!$I3=5,'Entry list'!$J3=5),'Entry list'!G3,"")</f>
        <v/>
      </c>
      <c r="H3" t="str">
        <f>IF(AND('Entry list'!$I3=5,'Entry list'!$J3=5),'Entry list'!H3,"")</f>
        <v/>
      </c>
      <c r="I3" t="str">
        <f>IF(AND('Entry list'!$I3=5,'Entry list'!$J3=5),'Entry list'!K3,"")</f>
        <v/>
      </c>
      <c r="J3" t="str">
        <f>IF(AND('Entry list'!$I3=5,'Entry list'!$J3=5),'Entry list'!L3,"")</f>
        <v/>
      </c>
      <c r="K3" t="str">
        <f>IF(AND('Entry list'!$I3=5,'Entry list'!$J3=5),'Entry list'!M3,"")</f>
        <v/>
      </c>
      <c r="L3" t="str">
        <f>IF(AND('Entry list'!$I3=5,'Entry list'!$J3=5),'Entry list'!N3,"")</f>
        <v/>
      </c>
      <c r="M3" t="str">
        <f t="shared" ref="M3:M66" si="0">IF(EXACT(D3,""),"",IF(EXACT(LEFT(D3,3),"WSH"),1,0))</f>
        <v/>
      </c>
      <c r="N3" t="str">
        <f t="shared" ref="N3:N66" si="1">IF(EXACT(I3,""),"",IF(EXACT(LEFT(I3,3),"WSH"),1,0))</f>
        <v/>
      </c>
      <c r="O3" t="str">
        <f t="shared" ref="O3:O66" si="2">IF(EXACT(L3,""),"",IF(EXACT(LEFT(L3,3),"WSH"),1,0))</f>
        <v/>
      </c>
    </row>
    <row r="4" spans="1:15" x14ac:dyDescent="0.25">
      <c r="A4">
        <f>IF(AND('Entry list'!$I4=5,'Entry list'!$J4=5),'Entry list'!A4,"")</f>
        <v>1</v>
      </c>
      <c r="B4">
        <f>IF(AND('Entry list'!$I4=5,'Entry list'!$J4=5),'Entry list'!B4,"")</f>
        <v>0.82777777777777783</v>
      </c>
      <c r="C4" t="str">
        <f>IF(AND('Entry list'!$I4=5,'Entry list'!$J4=5),'Entry list'!C4,"")</f>
        <v>C</v>
      </c>
      <c r="D4" t="str">
        <f>IF(AND('Entry list'!$I4=5,'Entry list'!$J4=5),'Entry list'!D4,"")</f>
        <v>71DET</v>
      </c>
      <c r="E4" t="str">
        <f>IF(AND('Entry list'!$I4=5,'Entry list'!$J4=5),'Entry list'!E4,"")</f>
        <v>4NSH</v>
      </c>
      <c r="F4" t="str">
        <f>IF(AND('Entry list'!$I4=5,'Entry list'!$J4=5),'Entry list'!F4,"")</f>
        <v>N</v>
      </c>
      <c r="G4" t="str">
        <f>IF(AND('Entry list'!$I4=5,'Entry list'!$J4=5),'Entry list'!G4,"")</f>
        <v>L</v>
      </c>
      <c r="H4" t="str">
        <f>IF(AND('Entry list'!$I4=5,'Entry list'!$J4=5),'Entry list'!H4,"")</f>
        <v>N</v>
      </c>
      <c r="I4" t="str">
        <f>IF(AND('Entry list'!$I4=5,'Entry list'!$J4=5),'Entry list'!K4,"")</f>
        <v>71DET</v>
      </c>
      <c r="J4">
        <f>IF(AND('Entry list'!$I4=5,'Entry list'!$J4=5),'Entry list'!L4,"")</f>
        <v>0</v>
      </c>
      <c r="K4">
        <f>IF(AND('Entry list'!$I4=5,'Entry list'!$J4=5),'Entry list'!M4,"")</f>
        <v>0</v>
      </c>
      <c r="L4" t="str">
        <f>IF(AND('Entry list'!$I4=5,'Entry list'!$J4=5),'Entry list'!N4,"")</f>
        <v/>
      </c>
      <c r="M4">
        <f t="shared" si="0"/>
        <v>0</v>
      </c>
      <c r="N4">
        <f t="shared" si="1"/>
        <v>0</v>
      </c>
      <c r="O4" t="str">
        <f t="shared" si="2"/>
        <v/>
      </c>
    </row>
    <row r="5" spans="1:15" x14ac:dyDescent="0.25">
      <c r="A5" t="str">
        <f>IF(AND('Entry list'!$I5=5,'Entry list'!$J5=5),'Entry list'!A5,"")</f>
        <v/>
      </c>
      <c r="B5" t="str">
        <f>IF(AND('Entry list'!$I5=5,'Entry list'!$J5=5),'Entry list'!B5,"")</f>
        <v/>
      </c>
      <c r="C5" t="str">
        <f>IF(AND('Entry list'!$I5=5,'Entry list'!$J5=5),'Entry list'!C5,"")</f>
        <v/>
      </c>
      <c r="D5" t="str">
        <f>IF(AND('Entry list'!$I5=5,'Entry list'!$J5=5),'Entry list'!D5,"")</f>
        <v/>
      </c>
      <c r="E5" t="str">
        <f>IF(AND('Entry list'!$I5=5,'Entry list'!$J5=5),'Entry list'!E5,"")</f>
        <v/>
      </c>
      <c r="F5" t="str">
        <f>IF(AND('Entry list'!$I5=5,'Entry list'!$J5=5),'Entry list'!F5,"")</f>
        <v/>
      </c>
      <c r="G5" t="str">
        <f>IF(AND('Entry list'!$I5=5,'Entry list'!$J5=5),'Entry list'!G5,"")</f>
        <v/>
      </c>
      <c r="H5" t="str">
        <f>IF(AND('Entry list'!$I5=5,'Entry list'!$J5=5),'Entry list'!H5,"")</f>
        <v/>
      </c>
      <c r="I5" t="str">
        <f>IF(AND('Entry list'!$I5=5,'Entry list'!$J5=5),'Entry list'!K5,"")</f>
        <v/>
      </c>
      <c r="J5" t="str">
        <f>IF(AND('Entry list'!$I5=5,'Entry list'!$J5=5),'Entry list'!L5,"")</f>
        <v/>
      </c>
      <c r="K5" t="str">
        <f>IF(AND('Entry list'!$I5=5,'Entry list'!$J5=5),'Entry list'!M5,"")</f>
        <v/>
      </c>
      <c r="L5" t="str">
        <f>IF(AND('Entry list'!$I5=5,'Entry list'!$J5=5),'Entry list'!N5,"")</f>
        <v/>
      </c>
      <c r="M5" t="str">
        <f t="shared" si="0"/>
        <v/>
      </c>
      <c r="N5" t="str">
        <f t="shared" si="1"/>
        <v/>
      </c>
      <c r="O5" t="str">
        <f t="shared" si="2"/>
        <v/>
      </c>
    </row>
    <row r="6" spans="1:15" x14ac:dyDescent="0.25">
      <c r="A6">
        <f>IF(AND('Entry list'!$I6=5,'Entry list'!$J6=5),'Entry list'!A6,"")</f>
        <v>1</v>
      </c>
      <c r="B6">
        <f>IF(AND('Entry list'!$I6=5,'Entry list'!$J6=5),'Entry list'!B6,"")</f>
        <v>0.79722222222222217</v>
      </c>
      <c r="C6" t="str">
        <f>IF(AND('Entry list'!$I6=5,'Entry list'!$J6=5),'Entry list'!C6,"")</f>
        <v>D</v>
      </c>
      <c r="D6" t="str">
        <f>IF(AND('Entry list'!$I6=5,'Entry list'!$J6=5),'Entry list'!D6,"")</f>
        <v>14DET</v>
      </c>
      <c r="E6" t="str">
        <f>IF(AND('Entry list'!$I6=5,'Entry list'!$J6=5),'Entry list'!E6,"")</f>
        <v>N</v>
      </c>
      <c r="F6" t="str">
        <f>IF(AND('Entry list'!$I6=5,'Entry list'!$J6=5),'Entry list'!F6,"")</f>
        <v/>
      </c>
      <c r="G6" t="str">
        <f>IF(AND('Entry list'!$I6=5,'Entry list'!$J6=5),'Entry list'!G6,"")</f>
        <v>R</v>
      </c>
      <c r="H6" t="str">
        <f>IF(AND('Entry list'!$I6=5,'Entry list'!$J6=5),'Entry list'!H6,"")</f>
        <v>40DET</v>
      </c>
      <c r="I6" t="str">
        <f>IF(AND('Entry list'!$I6=5,'Entry list'!$J6=5),'Entry list'!K6,"")</f>
        <v/>
      </c>
      <c r="J6">
        <f>IF(AND('Entry list'!$I6=5,'Entry list'!$J6=5),'Entry list'!L6,"")</f>
        <v>1</v>
      </c>
      <c r="K6">
        <f>IF(AND('Entry list'!$I6=5,'Entry list'!$J6=5),'Entry list'!M6,"")</f>
        <v>0</v>
      </c>
      <c r="L6" t="str">
        <f>IF(AND('Entry list'!$I6=5,'Entry list'!$J6=5),'Entry list'!N6,"")</f>
        <v/>
      </c>
      <c r="M6">
        <f t="shared" si="0"/>
        <v>0</v>
      </c>
      <c r="N6" t="str">
        <f t="shared" si="1"/>
        <v/>
      </c>
      <c r="O6" t="str">
        <f t="shared" si="2"/>
        <v/>
      </c>
    </row>
    <row r="7" spans="1:15" x14ac:dyDescent="0.25">
      <c r="A7" t="str">
        <f>IF(AND('Entry list'!$I7=5,'Entry list'!$J7=5),'Entry list'!A7,"")</f>
        <v/>
      </c>
      <c r="B7" t="str">
        <f>IF(AND('Entry list'!$I7=5,'Entry list'!$J7=5),'Entry list'!B7,"")</f>
        <v/>
      </c>
      <c r="C7" t="str">
        <f>IF(AND('Entry list'!$I7=5,'Entry list'!$J7=5),'Entry list'!C7,"")</f>
        <v/>
      </c>
      <c r="D7" t="str">
        <f>IF(AND('Entry list'!$I7=5,'Entry list'!$J7=5),'Entry list'!D7,"")</f>
        <v/>
      </c>
      <c r="E7" t="str">
        <f>IF(AND('Entry list'!$I7=5,'Entry list'!$J7=5),'Entry list'!E7,"")</f>
        <v/>
      </c>
      <c r="F7" t="str">
        <f>IF(AND('Entry list'!$I7=5,'Entry list'!$J7=5),'Entry list'!F7,"")</f>
        <v/>
      </c>
      <c r="G7" t="str">
        <f>IF(AND('Entry list'!$I7=5,'Entry list'!$J7=5),'Entry list'!G7,"")</f>
        <v/>
      </c>
      <c r="H7" t="str">
        <f>IF(AND('Entry list'!$I7=5,'Entry list'!$J7=5),'Entry list'!H7,"")</f>
        <v/>
      </c>
      <c r="I7" t="str">
        <f>IF(AND('Entry list'!$I7=5,'Entry list'!$J7=5),'Entry list'!K7,"")</f>
        <v/>
      </c>
      <c r="J7" t="str">
        <f>IF(AND('Entry list'!$I7=5,'Entry list'!$J7=5),'Entry list'!L7,"")</f>
        <v/>
      </c>
      <c r="K7" t="str">
        <f>IF(AND('Entry list'!$I7=5,'Entry list'!$J7=5),'Entry list'!M7,"")</f>
        <v/>
      </c>
      <c r="L7" t="str">
        <f>IF(AND('Entry list'!$I7=5,'Entry list'!$J7=5),'Entry list'!N7,"")</f>
        <v/>
      </c>
      <c r="M7" t="str">
        <f t="shared" si="0"/>
        <v/>
      </c>
      <c r="N7" t="str">
        <f t="shared" si="1"/>
        <v/>
      </c>
      <c r="O7" t="str">
        <f t="shared" si="2"/>
        <v/>
      </c>
    </row>
    <row r="8" spans="1:15" x14ac:dyDescent="0.25">
      <c r="A8" t="str">
        <f>IF(AND('Entry list'!$I8=5,'Entry list'!$J8=5),'Entry list'!A8,"")</f>
        <v/>
      </c>
      <c r="B8" t="str">
        <f>IF(AND('Entry list'!$I8=5,'Entry list'!$J8=5),'Entry list'!B8,"")</f>
        <v/>
      </c>
      <c r="C8" t="str">
        <f>IF(AND('Entry list'!$I8=5,'Entry list'!$J8=5),'Entry list'!C8,"")</f>
        <v/>
      </c>
      <c r="D8" t="str">
        <f>IF(AND('Entry list'!$I8=5,'Entry list'!$J8=5),'Entry list'!D8,"")</f>
        <v/>
      </c>
      <c r="E8" t="str">
        <f>IF(AND('Entry list'!$I8=5,'Entry list'!$J8=5),'Entry list'!E8,"")</f>
        <v/>
      </c>
      <c r="F8" t="str">
        <f>IF(AND('Entry list'!$I8=5,'Entry list'!$J8=5),'Entry list'!F8,"")</f>
        <v/>
      </c>
      <c r="G8" t="str">
        <f>IF(AND('Entry list'!$I8=5,'Entry list'!$J8=5),'Entry list'!G8,"")</f>
        <v/>
      </c>
      <c r="H8" t="str">
        <f>IF(AND('Entry list'!$I8=5,'Entry list'!$J8=5),'Entry list'!H8,"")</f>
        <v/>
      </c>
      <c r="I8" t="str">
        <f>IF(AND('Entry list'!$I8=5,'Entry list'!$J8=5),'Entry list'!K8,"")</f>
        <v/>
      </c>
      <c r="J8" t="str">
        <f>IF(AND('Entry list'!$I8=5,'Entry list'!$J8=5),'Entry list'!L8,"")</f>
        <v/>
      </c>
      <c r="K8" t="str">
        <f>IF(AND('Entry list'!$I8=5,'Entry list'!$J8=5),'Entry list'!M8,"")</f>
        <v/>
      </c>
      <c r="L8" t="str">
        <f>IF(AND('Entry list'!$I8=5,'Entry list'!$J8=5),'Entry list'!N8,"")</f>
        <v/>
      </c>
      <c r="M8" t="str">
        <f t="shared" si="0"/>
        <v/>
      </c>
      <c r="N8" t="str">
        <f t="shared" si="1"/>
        <v/>
      </c>
      <c r="O8" t="str">
        <f t="shared" si="2"/>
        <v/>
      </c>
    </row>
    <row r="9" spans="1:15" x14ac:dyDescent="0.25">
      <c r="A9">
        <f>IF(AND('Entry list'!$I9=5,'Entry list'!$J9=5),'Entry list'!A9,"")</f>
        <v>1</v>
      </c>
      <c r="B9">
        <f>IF(AND('Entry list'!$I9=5,'Entry list'!$J9=5),'Entry list'!B9,"")</f>
        <v>0.79166666666666674</v>
      </c>
      <c r="C9" t="str">
        <f>IF(AND('Entry list'!$I9=5,'Entry list'!$J9=5),'Entry list'!C9,"")</f>
        <v>FAC</v>
      </c>
      <c r="D9" t="str">
        <f>IF(AND('Entry list'!$I9=5,'Entry list'!$J9=5),'Entry list'!D9,"")</f>
        <v>OZF</v>
      </c>
      <c r="E9" t="str">
        <f>IF(AND('Entry list'!$I9=5,'Entry list'!$J9=5),'Entry list'!E9,"")</f>
        <v/>
      </c>
      <c r="F9" t="str">
        <f>IF(AND('Entry list'!$I9=5,'Entry list'!$J9=5),'Entry list'!F9,"")</f>
        <v/>
      </c>
      <c r="G9" t="str">
        <f>IF(AND('Entry list'!$I9=5,'Entry list'!$J9=5),'Entry list'!G9,"")</f>
        <v/>
      </c>
      <c r="H9" t="str">
        <f>IF(AND('Entry list'!$I9=5,'Entry list'!$J9=5),'Entry list'!H9,"")</f>
        <v/>
      </c>
      <c r="I9" t="str">
        <f>IF(AND('Entry list'!$I9=5,'Entry list'!$J9=5),'Entry list'!K9,"")</f>
        <v/>
      </c>
      <c r="J9">
        <f>IF(AND('Entry list'!$I9=5,'Entry list'!$J9=5),'Entry list'!L9,"")</f>
        <v>0</v>
      </c>
      <c r="K9">
        <f>IF(AND('Entry list'!$I9=5,'Entry list'!$J9=5),'Entry list'!M9,"")</f>
        <v>0</v>
      </c>
      <c r="L9" t="str">
        <f>IF(AND('Entry list'!$I9=5,'Entry list'!$J9=5),'Entry list'!N9,"")</f>
        <v/>
      </c>
      <c r="M9">
        <f t="shared" si="0"/>
        <v>0</v>
      </c>
      <c r="N9" t="str">
        <f t="shared" si="1"/>
        <v/>
      </c>
      <c r="O9" t="str">
        <f t="shared" si="2"/>
        <v/>
      </c>
    </row>
    <row r="10" spans="1:15" x14ac:dyDescent="0.25">
      <c r="A10">
        <f>IF(AND('Entry list'!$I10=5,'Entry list'!$J10=5),'Entry list'!A10,"")</f>
        <v>1</v>
      </c>
      <c r="B10">
        <f>IF(AND('Entry list'!$I10=5,'Entry list'!$J10=5),'Entry list'!B10,"")</f>
        <v>0.78749999999999998</v>
      </c>
      <c r="C10" t="str">
        <f>IF(AND('Entry list'!$I10=5,'Entry list'!$J10=5),'Entry list'!C10,"")</f>
        <v>D</v>
      </c>
      <c r="D10" t="str">
        <f>IF(AND('Entry list'!$I10=5,'Entry list'!$J10=5),'Entry list'!D10,"")</f>
        <v>33NSH</v>
      </c>
      <c r="E10" t="str">
        <f>IF(AND('Entry list'!$I10=5,'Entry list'!$J10=5),'Entry list'!E10,"")</f>
        <v>48DET</v>
      </c>
      <c r="F10" t="str">
        <f>IF(AND('Entry list'!$I10=5,'Entry list'!$J10=5),'Entry list'!F10,"")</f>
        <v/>
      </c>
      <c r="G10" t="str">
        <f>IF(AND('Entry list'!$I10=5,'Entry list'!$J10=5),'Entry list'!G10,"")</f>
        <v>L</v>
      </c>
      <c r="H10" t="str">
        <f>IF(AND('Entry list'!$I10=5,'Entry list'!$J10=5),'Entry list'!H10,"")</f>
        <v>N</v>
      </c>
      <c r="I10" t="str">
        <f>IF(AND('Entry list'!$I10=5,'Entry list'!$J10=5),'Entry list'!K10,"")</f>
        <v/>
      </c>
      <c r="J10">
        <f>IF(AND('Entry list'!$I10=5,'Entry list'!$J10=5),'Entry list'!L10,"")</f>
        <v>2</v>
      </c>
      <c r="K10">
        <f>IF(AND('Entry list'!$I10=5,'Entry list'!$J10=5),'Entry list'!M10,"")</f>
        <v>0</v>
      </c>
      <c r="L10" t="str">
        <f>IF(AND('Entry list'!$I10=5,'Entry list'!$J10=5),'Entry list'!N10,"")</f>
        <v/>
      </c>
      <c r="M10">
        <f t="shared" si="0"/>
        <v>0</v>
      </c>
      <c r="N10" t="str">
        <f t="shared" si="1"/>
        <v/>
      </c>
      <c r="O10" t="str">
        <f t="shared" si="2"/>
        <v/>
      </c>
    </row>
    <row r="11" spans="1:15" x14ac:dyDescent="0.25">
      <c r="A11" t="str">
        <f>IF(AND('Entry list'!$I11=5,'Entry list'!$J11=5),'Entry list'!A11,"")</f>
        <v/>
      </c>
      <c r="B11" t="str">
        <f>IF(AND('Entry list'!$I11=5,'Entry list'!$J11=5),'Entry list'!B11,"")</f>
        <v/>
      </c>
      <c r="C11" t="str">
        <f>IF(AND('Entry list'!$I11=5,'Entry list'!$J11=5),'Entry list'!C11,"")</f>
        <v/>
      </c>
      <c r="D11" t="str">
        <f>IF(AND('Entry list'!$I11=5,'Entry list'!$J11=5),'Entry list'!D11,"")</f>
        <v/>
      </c>
      <c r="E11" t="str">
        <f>IF(AND('Entry list'!$I11=5,'Entry list'!$J11=5),'Entry list'!E11,"")</f>
        <v/>
      </c>
      <c r="F11" t="str">
        <f>IF(AND('Entry list'!$I11=5,'Entry list'!$J11=5),'Entry list'!F11,"")</f>
        <v/>
      </c>
      <c r="G11" t="str">
        <f>IF(AND('Entry list'!$I11=5,'Entry list'!$J11=5),'Entry list'!G11,"")</f>
        <v/>
      </c>
      <c r="H11" t="str">
        <f>IF(AND('Entry list'!$I11=5,'Entry list'!$J11=5),'Entry list'!H11,"")</f>
        <v/>
      </c>
      <c r="I11" t="str">
        <f>IF(AND('Entry list'!$I11=5,'Entry list'!$J11=5),'Entry list'!K11,"")</f>
        <v/>
      </c>
      <c r="J11" t="str">
        <f>IF(AND('Entry list'!$I11=5,'Entry list'!$J11=5),'Entry list'!L11,"")</f>
        <v/>
      </c>
      <c r="K11" t="str">
        <f>IF(AND('Entry list'!$I11=5,'Entry list'!$J11=5),'Entry list'!M11,"")</f>
        <v/>
      </c>
      <c r="L11" t="str">
        <f>IF(AND('Entry list'!$I11=5,'Entry list'!$J11=5),'Entry list'!N11,"")</f>
        <v/>
      </c>
      <c r="M11" t="str">
        <f t="shared" si="0"/>
        <v/>
      </c>
      <c r="N11" t="str">
        <f t="shared" si="1"/>
        <v/>
      </c>
      <c r="O11" t="str">
        <f t="shared" si="2"/>
        <v/>
      </c>
    </row>
    <row r="12" spans="1:15" x14ac:dyDescent="0.25">
      <c r="A12" t="str">
        <f>IF(AND('Entry list'!$I12=5,'Entry list'!$J12=5),'Entry list'!A12,"")</f>
        <v/>
      </c>
      <c r="B12" t="str">
        <f>IF(AND('Entry list'!$I12=5,'Entry list'!$J12=5),'Entry list'!B12,"")</f>
        <v/>
      </c>
      <c r="C12" t="str">
        <f>IF(AND('Entry list'!$I12=5,'Entry list'!$J12=5),'Entry list'!C12,"")</f>
        <v/>
      </c>
      <c r="D12" t="str">
        <f>IF(AND('Entry list'!$I12=5,'Entry list'!$J12=5),'Entry list'!D12,"")</f>
        <v/>
      </c>
      <c r="E12" t="str">
        <f>IF(AND('Entry list'!$I12=5,'Entry list'!$J12=5),'Entry list'!E12,"")</f>
        <v/>
      </c>
      <c r="F12" t="str">
        <f>IF(AND('Entry list'!$I12=5,'Entry list'!$J12=5),'Entry list'!F12,"")</f>
        <v/>
      </c>
      <c r="G12" t="str">
        <f>IF(AND('Entry list'!$I12=5,'Entry list'!$J12=5),'Entry list'!G12,"")</f>
        <v/>
      </c>
      <c r="H12" t="str">
        <f>IF(AND('Entry list'!$I12=5,'Entry list'!$J12=5),'Entry list'!H12,"")</f>
        <v/>
      </c>
      <c r="I12" t="str">
        <f>IF(AND('Entry list'!$I12=5,'Entry list'!$J12=5),'Entry list'!K12,"")</f>
        <v/>
      </c>
      <c r="J12" t="str">
        <f>IF(AND('Entry list'!$I12=5,'Entry list'!$J12=5),'Entry list'!L12,"")</f>
        <v/>
      </c>
      <c r="K12" t="str">
        <f>IF(AND('Entry list'!$I12=5,'Entry list'!$J12=5),'Entry list'!M12,"")</f>
        <v/>
      </c>
      <c r="L12" t="str">
        <f>IF(AND('Entry list'!$I12=5,'Entry list'!$J12=5),'Entry list'!N12,"")</f>
        <v/>
      </c>
      <c r="M12" t="str">
        <f t="shared" si="0"/>
        <v/>
      </c>
      <c r="N12" t="str">
        <f t="shared" si="1"/>
        <v/>
      </c>
      <c r="O12" t="str">
        <f t="shared" si="2"/>
        <v/>
      </c>
    </row>
    <row r="13" spans="1:15" x14ac:dyDescent="0.25">
      <c r="A13" t="str">
        <f>IF(AND('Entry list'!$I13=5,'Entry list'!$J13=5),'Entry list'!A13,"")</f>
        <v/>
      </c>
      <c r="B13" t="str">
        <f>IF(AND('Entry list'!$I13=5,'Entry list'!$J13=5),'Entry list'!B13,"")</f>
        <v/>
      </c>
      <c r="C13" t="str">
        <f>IF(AND('Entry list'!$I13=5,'Entry list'!$J13=5),'Entry list'!C13,"")</f>
        <v/>
      </c>
      <c r="D13" t="str">
        <f>IF(AND('Entry list'!$I13=5,'Entry list'!$J13=5),'Entry list'!D13,"")</f>
        <v/>
      </c>
      <c r="E13" t="str">
        <f>IF(AND('Entry list'!$I13=5,'Entry list'!$J13=5),'Entry list'!E13,"")</f>
        <v/>
      </c>
      <c r="F13" t="str">
        <f>IF(AND('Entry list'!$I13=5,'Entry list'!$J13=5),'Entry list'!F13,"")</f>
        <v/>
      </c>
      <c r="G13" t="str">
        <f>IF(AND('Entry list'!$I13=5,'Entry list'!$J13=5),'Entry list'!G13,"")</f>
        <v/>
      </c>
      <c r="H13" t="str">
        <f>IF(AND('Entry list'!$I13=5,'Entry list'!$J13=5),'Entry list'!H13,"")</f>
        <v/>
      </c>
      <c r="I13" t="str">
        <f>IF(AND('Entry list'!$I13=5,'Entry list'!$J13=5),'Entry list'!K13,"")</f>
        <v/>
      </c>
      <c r="J13" t="str">
        <f>IF(AND('Entry list'!$I13=5,'Entry list'!$J13=5),'Entry list'!L13,"")</f>
        <v/>
      </c>
      <c r="K13" t="str">
        <f>IF(AND('Entry list'!$I13=5,'Entry list'!$J13=5),'Entry list'!M13,"")</f>
        <v/>
      </c>
      <c r="L13" t="str">
        <f>IF(AND('Entry list'!$I13=5,'Entry list'!$J13=5),'Entry list'!N13,"")</f>
        <v/>
      </c>
      <c r="M13" t="str">
        <f t="shared" si="0"/>
        <v/>
      </c>
      <c r="N13" t="str">
        <f t="shared" si="1"/>
        <v/>
      </c>
      <c r="O13" t="str">
        <f t="shared" si="2"/>
        <v/>
      </c>
    </row>
    <row r="14" spans="1:15" x14ac:dyDescent="0.25">
      <c r="A14">
        <f>IF(AND('Entry list'!$I14=5,'Entry list'!$J14=5),'Entry list'!A14,"")</f>
        <v>1</v>
      </c>
      <c r="B14">
        <f>IF(AND('Entry list'!$I14=5,'Entry list'!$J14=5),'Entry list'!B14,"")</f>
        <v>0.76666666666666661</v>
      </c>
      <c r="C14" t="str">
        <f>IF(AND('Entry list'!$I14=5,'Entry list'!$J14=5),'Entry list'!C14,"")</f>
        <v>C</v>
      </c>
      <c r="D14" t="str">
        <f>IF(AND('Entry list'!$I14=5,'Entry list'!$J14=5),'Entry list'!D14,"")</f>
        <v>14DET</v>
      </c>
      <c r="E14" t="str">
        <f>IF(AND('Entry list'!$I14=5,'Entry list'!$J14=5),'Entry list'!E14,"")</f>
        <v>38NSH</v>
      </c>
      <c r="F14" t="str">
        <f>IF(AND('Entry list'!$I14=5,'Entry list'!$J14=5),'Entry list'!F14,"")</f>
        <v>N</v>
      </c>
      <c r="G14" t="str">
        <f>IF(AND('Entry list'!$I14=5,'Entry list'!$J14=5),'Entry list'!G14,"")</f>
        <v>C</v>
      </c>
      <c r="H14" t="str">
        <f>IF(AND('Entry list'!$I14=5,'Entry list'!$J14=5),'Entry list'!H14,"")</f>
        <v>N</v>
      </c>
      <c r="I14" t="str">
        <f>IF(AND('Entry list'!$I14=5,'Entry list'!$J14=5),'Entry list'!K14,"")</f>
        <v>14DET</v>
      </c>
      <c r="J14">
        <f>IF(AND('Entry list'!$I14=5,'Entry list'!$J14=5),'Entry list'!L14,"")</f>
        <v>1</v>
      </c>
      <c r="K14">
        <f>IF(AND('Entry list'!$I14=5,'Entry list'!$J14=5),'Entry list'!M14,"")</f>
        <v>0</v>
      </c>
      <c r="L14" t="str">
        <f>IF(AND('Entry list'!$I14=5,'Entry list'!$J14=5),'Entry list'!N14,"")</f>
        <v/>
      </c>
      <c r="M14">
        <f t="shared" si="0"/>
        <v>0</v>
      </c>
      <c r="N14">
        <f t="shared" si="1"/>
        <v>0</v>
      </c>
      <c r="O14" t="str">
        <f t="shared" si="2"/>
        <v/>
      </c>
    </row>
    <row r="15" spans="1:15" x14ac:dyDescent="0.25">
      <c r="A15" t="str">
        <f>IF(AND('Entry list'!$I15=5,'Entry list'!$J15=5),'Entry list'!A15,"")</f>
        <v/>
      </c>
      <c r="B15" t="str">
        <f>IF(AND('Entry list'!$I15=5,'Entry list'!$J15=5),'Entry list'!B15,"")</f>
        <v/>
      </c>
      <c r="C15" t="str">
        <f>IF(AND('Entry list'!$I15=5,'Entry list'!$J15=5),'Entry list'!C15,"")</f>
        <v/>
      </c>
      <c r="D15" t="str">
        <f>IF(AND('Entry list'!$I15=5,'Entry list'!$J15=5),'Entry list'!D15,"")</f>
        <v/>
      </c>
      <c r="E15" t="str">
        <f>IF(AND('Entry list'!$I15=5,'Entry list'!$J15=5),'Entry list'!E15,"")</f>
        <v/>
      </c>
      <c r="F15" t="str">
        <f>IF(AND('Entry list'!$I15=5,'Entry list'!$J15=5),'Entry list'!F15,"")</f>
        <v/>
      </c>
      <c r="G15" t="str">
        <f>IF(AND('Entry list'!$I15=5,'Entry list'!$J15=5),'Entry list'!G15,"")</f>
        <v/>
      </c>
      <c r="H15" t="str">
        <f>IF(AND('Entry list'!$I15=5,'Entry list'!$J15=5),'Entry list'!H15,"")</f>
        <v/>
      </c>
      <c r="I15" t="str">
        <f>IF(AND('Entry list'!$I15=5,'Entry list'!$J15=5),'Entry list'!K15,"")</f>
        <v/>
      </c>
      <c r="J15" t="str">
        <f>IF(AND('Entry list'!$I15=5,'Entry list'!$J15=5),'Entry list'!L15,"")</f>
        <v/>
      </c>
      <c r="K15" t="str">
        <f>IF(AND('Entry list'!$I15=5,'Entry list'!$J15=5),'Entry list'!M15,"")</f>
        <v/>
      </c>
      <c r="L15" t="str">
        <f>IF(AND('Entry list'!$I15=5,'Entry list'!$J15=5),'Entry list'!N15,"")</f>
        <v/>
      </c>
      <c r="M15" t="str">
        <f t="shared" si="0"/>
        <v/>
      </c>
      <c r="N15" t="str">
        <f t="shared" si="1"/>
        <v/>
      </c>
      <c r="O15" t="str">
        <f t="shared" si="2"/>
        <v/>
      </c>
    </row>
    <row r="16" spans="1:15" x14ac:dyDescent="0.25">
      <c r="A16" t="str">
        <f>IF(AND('Entry list'!$I16=5,'Entry list'!$J16=5),'Entry list'!A16,"")</f>
        <v/>
      </c>
      <c r="B16" t="str">
        <f>IF(AND('Entry list'!$I16=5,'Entry list'!$J16=5),'Entry list'!B16,"")</f>
        <v/>
      </c>
      <c r="C16" t="str">
        <f>IF(AND('Entry list'!$I16=5,'Entry list'!$J16=5),'Entry list'!C16,"")</f>
        <v/>
      </c>
      <c r="D16" t="str">
        <f>IF(AND('Entry list'!$I16=5,'Entry list'!$J16=5),'Entry list'!D16,"")</f>
        <v/>
      </c>
      <c r="E16" t="str">
        <f>IF(AND('Entry list'!$I16=5,'Entry list'!$J16=5),'Entry list'!E16,"")</f>
        <v/>
      </c>
      <c r="F16" t="str">
        <f>IF(AND('Entry list'!$I16=5,'Entry list'!$J16=5),'Entry list'!F16,"")</f>
        <v/>
      </c>
      <c r="G16" t="str">
        <f>IF(AND('Entry list'!$I16=5,'Entry list'!$J16=5),'Entry list'!G16,"")</f>
        <v/>
      </c>
      <c r="H16" t="str">
        <f>IF(AND('Entry list'!$I16=5,'Entry list'!$J16=5),'Entry list'!H16,"")</f>
        <v/>
      </c>
      <c r="I16" t="str">
        <f>IF(AND('Entry list'!$I16=5,'Entry list'!$J16=5),'Entry list'!K16,"")</f>
        <v/>
      </c>
      <c r="J16" t="str">
        <f>IF(AND('Entry list'!$I16=5,'Entry list'!$J16=5),'Entry list'!L16,"")</f>
        <v/>
      </c>
      <c r="K16" t="str">
        <f>IF(AND('Entry list'!$I16=5,'Entry list'!$J16=5),'Entry list'!M16,"")</f>
        <v/>
      </c>
      <c r="L16" t="str">
        <f>IF(AND('Entry list'!$I16=5,'Entry list'!$J16=5),'Entry list'!N16,"")</f>
        <v/>
      </c>
      <c r="M16" t="str">
        <f t="shared" si="0"/>
        <v/>
      </c>
      <c r="N16" t="str">
        <f t="shared" si="1"/>
        <v/>
      </c>
      <c r="O16" t="str">
        <f t="shared" si="2"/>
        <v/>
      </c>
    </row>
    <row r="17" spans="1:15" x14ac:dyDescent="0.25">
      <c r="A17">
        <f>IF(AND('Entry list'!$I17=5,'Entry list'!$J17=5),'Entry list'!A17,"")</f>
        <v>1</v>
      </c>
      <c r="B17">
        <f>IF(AND('Entry list'!$I17=5,'Entry list'!$J17=5),'Entry list'!B17,"")</f>
        <v>0.75902777777777775</v>
      </c>
      <c r="C17" t="str">
        <f>IF(AND('Entry list'!$I17=5,'Entry list'!$J17=5),'Entry list'!C17,"")</f>
        <v>D</v>
      </c>
      <c r="D17" t="str">
        <f>IF(AND('Entry list'!$I17=5,'Entry list'!$J17=5),'Entry list'!D17,"")</f>
        <v>52DET</v>
      </c>
      <c r="E17" t="str">
        <f>IF(AND('Entry list'!$I17=5,'Entry list'!$J17=5),'Entry list'!E17,"")</f>
        <v>N</v>
      </c>
      <c r="F17" t="str">
        <f>IF(AND('Entry list'!$I17=5,'Entry list'!$J17=5),'Entry list'!F17,"")</f>
        <v/>
      </c>
      <c r="G17" t="str">
        <f>IF(AND('Entry list'!$I17=5,'Entry list'!$J17=5),'Entry list'!G17,"")</f>
        <v>L</v>
      </c>
      <c r="H17" t="str">
        <f>IF(AND('Entry list'!$I17=5,'Entry list'!$J17=5),'Entry list'!H17,"")</f>
        <v>N</v>
      </c>
      <c r="I17" t="str">
        <f>IF(AND('Entry list'!$I17=5,'Entry list'!$J17=5),'Entry list'!K17,"")</f>
        <v/>
      </c>
      <c r="J17">
        <f>IF(AND('Entry list'!$I17=5,'Entry list'!$J17=5),'Entry list'!L17,"")</f>
        <v>2</v>
      </c>
      <c r="K17">
        <f>IF(AND('Entry list'!$I17=5,'Entry list'!$J17=5),'Entry list'!M17,"")</f>
        <v>0</v>
      </c>
      <c r="L17" t="str">
        <f>IF(AND('Entry list'!$I17=5,'Entry list'!$J17=5),'Entry list'!N17,"")</f>
        <v/>
      </c>
      <c r="M17">
        <f t="shared" si="0"/>
        <v>0</v>
      </c>
      <c r="N17" t="str">
        <f t="shared" si="1"/>
        <v/>
      </c>
      <c r="O17" t="str">
        <f t="shared" si="2"/>
        <v/>
      </c>
    </row>
    <row r="18" spans="1:15" x14ac:dyDescent="0.25">
      <c r="A18" t="str">
        <f>IF(AND('Entry list'!$I18=5,'Entry list'!$J18=5),'Entry list'!A18,"")</f>
        <v/>
      </c>
      <c r="B18" t="str">
        <f>IF(AND('Entry list'!$I18=5,'Entry list'!$J18=5),'Entry list'!B18,"")</f>
        <v/>
      </c>
      <c r="C18" t="str">
        <f>IF(AND('Entry list'!$I18=5,'Entry list'!$J18=5),'Entry list'!C18,"")</f>
        <v/>
      </c>
      <c r="D18" t="str">
        <f>IF(AND('Entry list'!$I18=5,'Entry list'!$J18=5),'Entry list'!D18,"")</f>
        <v/>
      </c>
      <c r="E18" t="str">
        <f>IF(AND('Entry list'!$I18=5,'Entry list'!$J18=5),'Entry list'!E18,"")</f>
        <v/>
      </c>
      <c r="F18" t="str">
        <f>IF(AND('Entry list'!$I18=5,'Entry list'!$J18=5),'Entry list'!F18,"")</f>
        <v/>
      </c>
      <c r="G18" t="str">
        <f>IF(AND('Entry list'!$I18=5,'Entry list'!$J18=5),'Entry list'!G18,"")</f>
        <v/>
      </c>
      <c r="H18" t="str">
        <f>IF(AND('Entry list'!$I18=5,'Entry list'!$J18=5),'Entry list'!H18,"")</f>
        <v/>
      </c>
      <c r="I18" t="str">
        <f>IF(AND('Entry list'!$I18=5,'Entry list'!$J18=5),'Entry list'!K18,"")</f>
        <v/>
      </c>
      <c r="J18" t="str">
        <f>IF(AND('Entry list'!$I18=5,'Entry list'!$J18=5),'Entry list'!L18,"")</f>
        <v/>
      </c>
      <c r="K18" t="str">
        <f>IF(AND('Entry list'!$I18=5,'Entry list'!$J18=5),'Entry list'!M18,"")</f>
        <v/>
      </c>
      <c r="L18" t="str">
        <f>IF(AND('Entry list'!$I18=5,'Entry list'!$J18=5),'Entry list'!N18,"")</f>
        <v/>
      </c>
      <c r="M18" t="str">
        <f t="shared" si="0"/>
        <v/>
      </c>
      <c r="N18" t="str">
        <f t="shared" si="1"/>
        <v/>
      </c>
      <c r="O18" t="str">
        <f t="shared" si="2"/>
        <v/>
      </c>
    </row>
    <row r="19" spans="1:15" x14ac:dyDescent="0.25">
      <c r="A19" t="str">
        <f>IF(AND('Entry list'!$I19=5,'Entry list'!$J19=5),'Entry list'!A19,"")</f>
        <v/>
      </c>
      <c r="B19" t="str">
        <f>IF(AND('Entry list'!$I19=5,'Entry list'!$J19=5),'Entry list'!B19,"")</f>
        <v/>
      </c>
      <c r="C19" t="str">
        <f>IF(AND('Entry list'!$I19=5,'Entry list'!$J19=5),'Entry list'!C19,"")</f>
        <v/>
      </c>
      <c r="D19" t="str">
        <f>IF(AND('Entry list'!$I19=5,'Entry list'!$J19=5),'Entry list'!D19,"")</f>
        <v/>
      </c>
      <c r="E19" t="str">
        <f>IF(AND('Entry list'!$I19=5,'Entry list'!$J19=5),'Entry list'!E19,"")</f>
        <v/>
      </c>
      <c r="F19" t="str">
        <f>IF(AND('Entry list'!$I19=5,'Entry list'!$J19=5),'Entry list'!F19,"")</f>
        <v/>
      </c>
      <c r="G19" t="str">
        <f>IF(AND('Entry list'!$I19=5,'Entry list'!$J19=5),'Entry list'!G19,"")</f>
        <v/>
      </c>
      <c r="H19" t="str">
        <f>IF(AND('Entry list'!$I19=5,'Entry list'!$J19=5),'Entry list'!H19,"")</f>
        <v/>
      </c>
      <c r="I19" t="str">
        <f>IF(AND('Entry list'!$I19=5,'Entry list'!$J19=5),'Entry list'!K19,"")</f>
        <v/>
      </c>
      <c r="J19" t="str">
        <f>IF(AND('Entry list'!$I19=5,'Entry list'!$J19=5),'Entry list'!L19,"")</f>
        <v/>
      </c>
      <c r="K19" t="str">
        <f>IF(AND('Entry list'!$I19=5,'Entry list'!$J19=5),'Entry list'!M19,"")</f>
        <v/>
      </c>
      <c r="L19" t="str">
        <f>IF(AND('Entry list'!$I19=5,'Entry list'!$J19=5),'Entry list'!N19,"")</f>
        <v/>
      </c>
      <c r="M19" t="str">
        <f t="shared" si="0"/>
        <v/>
      </c>
      <c r="N19" t="str">
        <f t="shared" si="1"/>
        <v/>
      </c>
      <c r="O19" t="str">
        <f t="shared" si="2"/>
        <v/>
      </c>
    </row>
    <row r="20" spans="1:15" x14ac:dyDescent="0.25">
      <c r="A20" t="str">
        <f>IF(AND('Entry list'!$I20=5,'Entry list'!$J20=5),'Entry list'!A20,"")</f>
        <v/>
      </c>
      <c r="B20" t="str">
        <f>IF(AND('Entry list'!$I20=5,'Entry list'!$J20=5),'Entry list'!B20,"")</f>
        <v/>
      </c>
      <c r="C20" t="str">
        <f>IF(AND('Entry list'!$I20=5,'Entry list'!$J20=5),'Entry list'!C20,"")</f>
        <v/>
      </c>
      <c r="D20" t="str">
        <f>IF(AND('Entry list'!$I20=5,'Entry list'!$J20=5),'Entry list'!D20,"")</f>
        <v/>
      </c>
      <c r="E20" t="str">
        <f>IF(AND('Entry list'!$I20=5,'Entry list'!$J20=5),'Entry list'!E20,"")</f>
        <v/>
      </c>
      <c r="F20" t="str">
        <f>IF(AND('Entry list'!$I20=5,'Entry list'!$J20=5),'Entry list'!F20,"")</f>
        <v/>
      </c>
      <c r="G20" t="str">
        <f>IF(AND('Entry list'!$I20=5,'Entry list'!$J20=5),'Entry list'!G20,"")</f>
        <v/>
      </c>
      <c r="H20" t="str">
        <f>IF(AND('Entry list'!$I20=5,'Entry list'!$J20=5),'Entry list'!H20,"")</f>
        <v/>
      </c>
      <c r="I20" t="str">
        <f>IF(AND('Entry list'!$I20=5,'Entry list'!$J20=5),'Entry list'!K20,"")</f>
        <v/>
      </c>
      <c r="J20" t="str">
        <f>IF(AND('Entry list'!$I20=5,'Entry list'!$J20=5),'Entry list'!L20,"")</f>
        <v/>
      </c>
      <c r="K20" t="str">
        <f>IF(AND('Entry list'!$I20=5,'Entry list'!$J20=5),'Entry list'!M20,"")</f>
        <v/>
      </c>
      <c r="L20" t="str">
        <f>IF(AND('Entry list'!$I20=5,'Entry list'!$J20=5),'Entry list'!N20,"")</f>
        <v/>
      </c>
      <c r="M20" t="str">
        <f t="shared" si="0"/>
        <v/>
      </c>
      <c r="N20" t="str">
        <f t="shared" si="1"/>
        <v/>
      </c>
      <c r="O20" t="str">
        <f t="shared" si="2"/>
        <v/>
      </c>
    </row>
    <row r="21" spans="1:15" x14ac:dyDescent="0.25">
      <c r="A21" t="str">
        <f>IF(AND('Entry list'!$I21=5,'Entry list'!$J21=5),'Entry list'!A21,"")</f>
        <v/>
      </c>
      <c r="B21" t="str">
        <f>IF(AND('Entry list'!$I21=5,'Entry list'!$J21=5),'Entry list'!B21,"")</f>
        <v/>
      </c>
      <c r="C21" t="str">
        <f>IF(AND('Entry list'!$I21=5,'Entry list'!$J21=5),'Entry list'!C21,"")</f>
        <v/>
      </c>
      <c r="D21" t="str">
        <f>IF(AND('Entry list'!$I21=5,'Entry list'!$J21=5),'Entry list'!D21,"")</f>
        <v/>
      </c>
      <c r="E21" t="str">
        <f>IF(AND('Entry list'!$I21=5,'Entry list'!$J21=5),'Entry list'!E21,"")</f>
        <v/>
      </c>
      <c r="F21" t="str">
        <f>IF(AND('Entry list'!$I21=5,'Entry list'!$J21=5),'Entry list'!F21,"")</f>
        <v/>
      </c>
      <c r="G21" t="str">
        <f>IF(AND('Entry list'!$I21=5,'Entry list'!$J21=5),'Entry list'!G21,"")</f>
        <v/>
      </c>
      <c r="H21" t="str">
        <f>IF(AND('Entry list'!$I21=5,'Entry list'!$J21=5),'Entry list'!H21,"")</f>
        <v/>
      </c>
      <c r="I21" t="str">
        <f>IF(AND('Entry list'!$I21=5,'Entry list'!$J21=5),'Entry list'!K21,"")</f>
        <v/>
      </c>
      <c r="J21" t="str">
        <f>IF(AND('Entry list'!$I21=5,'Entry list'!$J21=5),'Entry list'!L21,"")</f>
        <v/>
      </c>
      <c r="K21" t="str">
        <f>IF(AND('Entry list'!$I21=5,'Entry list'!$J21=5),'Entry list'!M21,"")</f>
        <v/>
      </c>
      <c r="L21" t="str">
        <f>IF(AND('Entry list'!$I21=5,'Entry list'!$J21=5),'Entry list'!N21,"")</f>
        <v/>
      </c>
      <c r="M21" t="str">
        <f t="shared" si="0"/>
        <v/>
      </c>
      <c r="N21" t="str">
        <f t="shared" si="1"/>
        <v/>
      </c>
      <c r="O21" t="str">
        <f t="shared" si="2"/>
        <v/>
      </c>
    </row>
    <row r="22" spans="1:15" x14ac:dyDescent="0.25">
      <c r="A22">
        <f>IF(AND('Entry list'!$I22=5,'Entry list'!$J22=5),'Entry list'!A22,"")</f>
        <v>1</v>
      </c>
      <c r="B22">
        <f>IF(AND('Entry list'!$I22=5,'Entry list'!$J22=5),'Entry list'!B22,"")</f>
        <v>0.73819444444444449</v>
      </c>
      <c r="C22" t="str">
        <f>IF(AND('Entry list'!$I22=5,'Entry list'!$J22=5),'Entry list'!C22,"")</f>
        <v>FAC</v>
      </c>
      <c r="D22" t="str">
        <f>IF(AND('Entry list'!$I22=5,'Entry list'!$J22=5),'Entry list'!D22,"")</f>
        <v>OZF</v>
      </c>
      <c r="E22" t="str">
        <f>IF(AND('Entry list'!$I22=5,'Entry list'!$J22=5),'Entry list'!E22,"")</f>
        <v/>
      </c>
      <c r="F22" t="str">
        <f>IF(AND('Entry list'!$I22=5,'Entry list'!$J22=5),'Entry list'!F22,"")</f>
        <v/>
      </c>
      <c r="G22" t="str">
        <f>IF(AND('Entry list'!$I22=5,'Entry list'!$J22=5),'Entry list'!G22,"")</f>
        <v/>
      </c>
      <c r="H22" t="str">
        <f>IF(AND('Entry list'!$I22=5,'Entry list'!$J22=5),'Entry list'!H22,"")</f>
        <v/>
      </c>
      <c r="I22" t="str">
        <f>IF(AND('Entry list'!$I22=5,'Entry list'!$J22=5),'Entry list'!K22,"")</f>
        <v/>
      </c>
      <c r="J22">
        <f>IF(AND('Entry list'!$I22=5,'Entry list'!$J22=5),'Entry list'!L22,"")</f>
        <v>1</v>
      </c>
      <c r="K22">
        <f>IF(AND('Entry list'!$I22=5,'Entry list'!$J22=5),'Entry list'!M22,"")</f>
        <v>0</v>
      </c>
      <c r="L22" t="str">
        <f>IF(AND('Entry list'!$I22=5,'Entry list'!$J22=5),'Entry list'!N22,"")</f>
        <v/>
      </c>
      <c r="M22">
        <f t="shared" si="0"/>
        <v>0</v>
      </c>
      <c r="N22" t="str">
        <f t="shared" si="1"/>
        <v/>
      </c>
      <c r="O22" t="str">
        <f t="shared" si="2"/>
        <v/>
      </c>
    </row>
    <row r="23" spans="1:15" x14ac:dyDescent="0.25">
      <c r="A23" t="str">
        <f>IF(AND('Entry list'!$I23=5,'Entry list'!$J23=5),'Entry list'!A23,"")</f>
        <v/>
      </c>
      <c r="B23" t="str">
        <f>IF(AND('Entry list'!$I23=5,'Entry list'!$J23=5),'Entry list'!B23,"")</f>
        <v/>
      </c>
      <c r="C23" t="str">
        <f>IF(AND('Entry list'!$I23=5,'Entry list'!$J23=5),'Entry list'!C23,"")</f>
        <v/>
      </c>
      <c r="D23" t="str">
        <f>IF(AND('Entry list'!$I23=5,'Entry list'!$J23=5),'Entry list'!D23,"")</f>
        <v/>
      </c>
      <c r="E23" t="str">
        <f>IF(AND('Entry list'!$I23=5,'Entry list'!$J23=5),'Entry list'!E23,"")</f>
        <v/>
      </c>
      <c r="F23" t="str">
        <f>IF(AND('Entry list'!$I23=5,'Entry list'!$J23=5),'Entry list'!F23,"")</f>
        <v/>
      </c>
      <c r="G23" t="str">
        <f>IF(AND('Entry list'!$I23=5,'Entry list'!$J23=5),'Entry list'!G23,"")</f>
        <v/>
      </c>
      <c r="H23" t="str">
        <f>IF(AND('Entry list'!$I23=5,'Entry list'!$J23=5),'Entry list'!H23,"")</f>
        <v/>
      </c>
      <c r="I23" t="str">
        <f>IF(AND('Entry list'!$I23=5,'Entry list'!$J23=5),'Entry list'!K23,"")</f>
        <v/>
      </c>
      <c r="J23" t="str">
        <f>IF(AND('Entry list'!$I23=5,'Entry list'!$J23=5),'Entry list'!L23,"")</f>
        <v/>
      </c>
      <c r="K23" t="str">
        <f>IF(AND('Entry list'!$I23=5,'Entry list'!$J23=5),'Entry list'!M23,"")</f>
        <v/>
      </c>
      <c r="L23" t="str">
        <f>IF(AND('Entry list'!$I23=5,'Entry list'!$J23=5),'Entry list'!N23,"")</f>
        <v/>
      </c>
      <c r="M23" t="str">
        <f t="shared" si="0"/>
        <v/>
      </c>
      <c r="N23" t="str">
        <f t="shared" si="1"/>
        <v/>
      </c>
      <c r="O23" t="str">
        <f t="shared" si="2"/>
        <v/>
      </c>
    </row>
    <row r="24" spans="1:15" x14ac:dyDescent="0.25">
      <c r="A24" t="str">
        <f>IF(AND('Entry list'!$I24=5,'Entry list'!$J24=5),'Entry list'!A24,"")</f>
        <v/>
      </c>
      <c r="B24" t="str">
        <f>IF(AND('Entry list'!$I24=5,'Entry list'!$J24=5),'Entry list'!B24,"")</f>
        <v/>
      </c>
      <c r="C24" t="str">
        <f>IF(AND('Entry list'!$I24=5,'Entry list'!$J24=5),'Entry list'!C24,"")</f>
        <v/>
      </c>
      <c r="D24" t="str">
        <f>IF(AND('Entry list'!$I24=5,'Entry list'!$J24=5),'Entry list'!D24,"")</f>
        <v/>
      </c>
      <c r="E24" t="str">
        <f>IF(AND('Entry list'!$I24=5,'Entry list'!$J24=5),'Entry list'!E24,"")</f>
        <v/>
      </c>
      <c r="F24" t="str">
        <f>IF(AND('Entry list'!$I24=5,'Entry list'!$J24=5),'Entry list'!F24,"")</f>
        <v/>
      </c>
      <c r="G24" t="str">
        <f>IF(AND('Entry list'!$I24=5,'Entry list'!$J24=5),'Entry list'!G24,"")</f>
        <v/>
      </c>
      <c r="H24" t="str">
        <f>IF(AND('Entry list'!$I24=5,'Entry list'!$J24=5),'Entry list'!H24,"")</f>
        <v/>
      </c>
      <c r="I24" t="str">
        <f>IF(AND('Entry list'!$I24=5,'Entry list'!$J24=5),'Entry list'!K24,"")</f>
        <v/>
      </c>
      <c r="J24" t="str">
        <f>IF(AND('Entry list'!$I24=5,'Entry list'!$J24=5),'Entry list'!L24,"")</f>
        <v/>
      </c>
      <c r="K24" t="str">
        <f>IF(AND('Entry list'!$I24=5,'Entry list'!$J24=5),'Entry list'!M24,"")</f>
        <v/>
      </c>
      <c r="L24" t="str">
        <f>IF(AND('Entry list'!$I24=5,'Entry list'!$J24=5),'Entry list'!N24,"")</f>
        <v/>
      </c>
      <c r="M24" t="str">
        <f t="shared" si="0"/>
        <v/>
      </c>
      <c r="N24" t="str">
        <f t="shared" si="1"/>
        <v/>
      </c>
      <c r="O24" t="str">
        <f t="shared" si="2"/>
        <v/>
      </c>
    </row>
    <row r="25" spans="1:15" x14ac:dyDescent="0.25">
      <c r="A25" t="str">
        <f>IF(AND('Entry list'!$I25=5,'Entry list'!$J25=5),'Entry list'!A25,"")</f>
        <v/>
      </c>
      <c r="B25" t="str">
        <f>IF(AND('Entry list'!$I25=5,'Entry list'!$J25=5),'Entry list'!B25,"")</f>
        <v/>
      </c>
      <c r="C25" t="str">
        <f>IF(AND('Entry list'!$I25=5,'Entry list'!$J25=5),'Entry list'!C25,"")</f>
        <v/>
      </c>
      <c r="D25" t="str">
        <f>IF(AND('Entry list'!$I25=5,'Entry list'!$J25=5),'Entry list'!D25,"")</f>
        <v/>
      </c>
      <c r="E25" t="str">
        <f>IF(AND('Entry list'!$I25=5,'Entry list'!$J25=5),'Entry list'!E25,"")</f>
        <v/>
      </c>
      <c r="F25" t="str">
        <f>IF(AND('Entry list'!$I25=5,'Entry list'!$J25=5),'Entry list'!F25,"")</f>
        <v/>
      </c>
      <c r="G25" t="str">
        <f>IF(AND('Entry list'!$I25=5,'Entry list'!$J25=5),'Entry list'!G25,"")</f>
        <v/>
      </c>
      <c r="H25" t="str">
        <f>IF(AND('Entry list'!$I25=5,'Entry list'!$J25=5),'Entry list'!H25,"")</f>
        <v/>
      </c>
      <c r="I25" t="str">
        <f>IF(AND('Entry list'!$I25=5,'Entry list'!$J25=5),'Entry list'!K25,"")</f>
        <v/>
      </c>
      <c r="J25" t="str">
        <f>IF(AND('Entry list'!$I25=5,'Entry list'!$J25=5),'Entry list'!L25,"")</f>
        <v/>
      </c>
      <c r="K25" t="str">
        <f>IF(AND('Entry list'!$I25=5,'Entry list'!$J25=5),'Entry list'!M25,"")</f>
        <v/>
      </c>
      <c r="L25" t="str">
        <f>IF(AND('Entry list'!$I25=5,'Entry list'!$J25=5),'Entry list'!N25,"")</f>
        <v/>
      </c>
      <c r="M25" t="str">
        <f t="shared" si="0"/>
        <v/>
      </c>
      <c r="N25" t="str">
        <f t="shared" si="1"/>
        <v/>
      </c>
      <c r="O25" t="str">
        <f t="shared" si="2"/>
        <v/>
      </c>
    </row>
    <row r="26" spans="1:15" x14ac:dyDescent="0.25">
      <c r="A26" t="str">
        <f>IF(AND('Entry list'!$I26=5,'Entry list'!$J26=5),'Entry list'!A26,"")</f>
        <v/>
      </c>
      <c r="B26" t="str">
        <f>IF(AND('Entry list'!$I26=5,'Entry list'!$J26=5),'Entry list'!B26,"")</f>
        <v/>
      </c>
      <c r="C26" t="str">
        <f>IF(AND('Entry list'!$I26=5,'Entry list'!$J26=5),'Entry list'!C26,"")</f>
        <v/>
      </c>
      <c r="D26" t="str">
        <f>IF(AND('Entry list'!$I26=5,'Entry list'!$J26=5),'Entry list'!D26,"")</f>
        <v/>
      </c>
      <c r="E26" t="str">
        <f>IF(AND('Entry list'!$I26=5,'Entry list'!$J26=5),'Entry list'!E26,"")</f>
        <v/>
      </c>
      <c r="F26" t="str">
        <f>IF(AND('Entry list'!$I26=5,'Entry list'!$J26=5),'Entry list'!F26,"")</f>
        <v/>
      </c>
      <c r="G26" t="str">
        <f>IF(AND('Entry list'!$I26=5,'Entry list'!$J26=5),'Entry list'!G26,"")</f>
        <v/>
      </c>
      <c r="H26" t="str">
        <f>IF(AND('Entry list'!$I26=5,'Entry list'!$J26=5),'Entry list'!H26,"")</f>
        <v/>
      </c>
      <c r="I26" t="str">
        <f>IF(AND('Entry list'!$I26=5,'Entry list'!$J26=5),'Entry list'!K26,"")</f>
        <v/>
      </c>
      <c r="J26" t="str">
        <f>IF(AND('Entry list'!$I26=5,'Entry list'!$J26=5),'Entry list'!L26,"")</f>
        <v/>
      </c>
      <c r="K26" t="str">
        <f>IF(AND('Entry list'!$I26=5,'Entry list'!$J26=5),'Entry list'!M26,"")</f>
        <v/>
      </c>
      <c r="L26" t="str">
        <f>IF(AND('Entry list'!$I26=5,'Entry list'!$J26=5),'Entry list'!N26,"")</f>
        <v/>
      </c>
      <c r="M26" t="str">
        <f t="shared" si="0"/>
        <v/>
      </c>
      <c r="N26" t="str">
        <f t="shared" si="1"/>
        <v/>
      </c>
      <c r="O26" t="str">
        <f t="shared" si="2"/>
        <v/>
      </c>
    </row>
    <row r="27" spans="1:15" x14ac:dyDescent="0.25">
      <c r="A27" t="str">
        <f>IF(AND('Entry list'!$I27=5,'Entry list'!$J27=5),'Entry list'!A27,"")</f>
        <v/>
      </c>
      <c r="B27" t="str">
        <f>IF(AND('Entry list'!$I27=5,'Entry list'!$J27=5),'Entry list'!B27,"")</f>
        <v/>
      </c>
      <c r="C27" t="str">
        <f>IF(AND('Entry list'!$I27=5,'Entry list'!$J27=5),'Entry list'!C27,"")</f>
        <v/>
      </c>
      <c r="D27" t="str">
        <f>IF(AND('Entry list'!$I27=5,'Entry list'!$J27=5),'Entry list'!D27,"")</f>
        <v/>
      </c>
      <c r="E27" t="str">
        <f>IF(AND('Entry list'!$I27=5,'Entry list'!$J27=5),'Entry list'!E27,"")</f>
        <v/>
      </c>
      <c r="F27" t="str">
        <f>IF(AND('Entry list'!$I27=5,'Entry list'!$J27=5),'Entry list'!F27,"")</f>
        <v/>
      </c>
      <c r="G27" t="str">
        <f>IF(AND('Entry list'!$I27=5,'Entry list'!$J27=5),'Entry list'!G27,"")</f>
        <v/>
      </c>
      <c r="H27" t="str">
        <f>IF(AND('Entry list'!$I27=5,'Entry list'!$J27=5),'Entry list'!H27,"")</f>
        <v/>
      </c>
      <c r="I27" t="str">
        <f>IF(AND('Entry list'!$I27=5,'Entry list'!$J27=5),'Entry list'!K27,"")</f>
        <v/>
      </c>
      <c r="J27" t="str">
        <f>IF(AND('Entry list'!$I27=5,'Entry list'!$J27=5),'Entry list'!L27,"")</f>
        <v/>
      </c>
      <c r="K27" t="str">
        <f>IF(AND('Entry list'!$I27=5,'Entry list'!$J27=5),'Entry list'!M27,"")</f>
        <v/>
      </c>
      <c r="L27" t="str">
        <f>IF(AND('Entry list'!$I27=5,'Entry list'!$J27=5),'Entry list'!N27,"")</f>
        <v/>
      </c>
      <c r="M27" t="str">
        <f t="shared" si="0"/>
        <v/>
      </c>
      <c r="N27" t="str">
        <f t="shared" si="1"/>
        <v/>
      </c>
      <c r="O27" t="str">
        <f t="shared" si="2"/>
        <v/>
      </c>
    </row>
    <row r="28" spans="1:15" x14ac:dyDescent="0.25">
      <c r="A28">
        <f>IF(AND('Entry list'!$I28=5,'Entry list'!$J28=5),'Entry list'!A28,"")</f>
        <v>1</v>
      </c>
      <c r="B28">
        <f>IF(AND('Entry list'!$I28=5,'Entry list'!$J28=5),'Entry list'!B28,"")</f>
        <v>0.71458333333333324</v>
      </c>
      <c r="C28" t="str">
        <f>IF(AND('Entry list'!$I28=5,'Entry list'!$J28=5),'Entry list'!C28,"")</f>
        <v>D</v>
      </c>
      <c r="D28" t="str">
        <f>IF(AND('Entry list'!$I28=5,'Entry list'!$J28=5),'Entry list'!D28,"")</f>
        <v>62DET</v>
      </c>
      <c r="E28" t="str">
        <f>IF(AND('Entry list'!$I28=5,'Entry list'!$J28=5),'Entry list'!E28,"")</f>
        <v>4NSH</v>
      </c>
      <c r="F28" t="str">
        <f>IF(AND('Entry list'!$I28=5,'Entry list'!$J28=5),'Entry list'!F28,"")</f>
        <v/>
      </c>
      <c r="G28" t="str">
        <f>IF(AND('Entry list'!$I28=5,'Entry list'!$J28=5),'Entry list'!G28,"")</f>
        <v>C</v>
      </c>
      <c r="H28" t="str">
        <f>IF(AND('Entry list'!$I28=5,'Entry list'!$J28=5),'Entry list'!H28,"")</f>
        <v>N</v>
      </c>
      <c r="I28" t="str">
        <f>IF(AND('Entry list'!$I28=5,'Entry list'!$J28=5),'Entry list'!K28,"")</f>
        <v/>
      </c>
      <c r="J28">
        <f>IF(AND('Entry list'!$I28=5,'Entry list'!$J28=5),'Entry list'!L28,"")</f>
        <v>0</v>
      </c>
      <c r="K28">
        <f>IF(AND('Entry list'!$I28=5,'Entry list'!$J28=5),'Entry list'!M28,"")</f>
        <v>0</v>
      </c>
      <c r="L28" t="str">
        <f>IF(AND('Entry list'!$I28=5,'Entry list'!$J28=5),'Entry list'!N28,"")</f>
        <v/>
      </c>
      <c r="M28">
        <f t="shared" si="0"/>
        <v>0</v>
      </c>
      <c r="N28" t="str">
        <f t="shared" si="1"/>
        <v/>
      </c>
      <c r="O28" t="str">
        <f t="shared" si="2"/>
        <v/>
      </c>
    </row>
    <row r="29" spans="1:15" x14ac:dyDescent="0.25">
      <c r="A29">
        <f>IF(AND('Entry list'!$I29=5,'Entry list'!$J29=5),'Entry list'!A29,"")</f>
        <v>1</v>
      </c>
      <c r="B29">
        <f>IF(AND('Entry list'!$I29=5,'Entry list'!$J29=5),'Entry list'!B29,"")</f>
        <v>0.70763888888888893</v>
      </c>
      <c r="C29" t="str">
        <f>IF(AND('Entry list'!$I29=5,'Entry list'!$J29=5),'Entry list'!C29,"")</f>
        <v>D</v>
      </c>
      <c r="D29" t="str">
        <f>IF(AND('Entry list'!$I29=5,'Entry list'!$J29=5),'Entry list'!D29,"")</f>
        <v>10NSH</v>
      </c>
      <c r="E29" t="str">
        <f>IF(AND('Entry list'!$I29=5,'Entry list'!$J29=5),'Entry list'!E29,"")</f>
        <v>N</v>
      </c>
      <c r="F29" t="str">
        <f>IF(AND('Entry list'!$I29=5,'Entry list'!$J29=5),'Entry list'!F29,"")</f>
        <v/>
      </c>
      <c r="G29" t="str">
        <f>IF(AND('Entry list'!$I29=5,'Entry list'!$J29=5),'Entry list'!G29,"")</f>
        <v>L</v>
      </c>
      <c r="H29" t="str">
        <f>IF(AND('Entry list'!$I29=5,'Entry list'!$J29=5),'Entry list'!H29,"")</f>
        <v>N</v>
      </c>
      <c r="I29" t="str">
        <f>IF(AND('Entry list'!$I29=5,'Entry list'!$J29=5),'Entry list'!K29,"")</f>
        <v/>
      </c>
      <c r="J29">
        <f>IF(AND('Entry list'!$I29=5,'Entry list'!$J29=5),'Entry list'!L29,"")</f>
        <v>0</v>
      </c>
      <c r="K29">
        <f>IF(AND('Entry list'!$I29=5,'Entry list'!$J29=5),'Entry list'!M29,"")</f>
        <v>0</v>
      </c>
      <c r="L29" t="str">
        <f>IF(AND('Entry list'!$I29=5,'Entry list'!$J29=5),'Entry list'!N29,"")</f>
        <v/>
      </c>
      <c r="M29">
        <f t="shared" si="0"/>
        <v>0</v>
      </c>
      <c r="N29" t="str">
        <f t="shared" si="1"/>
        <v/>
      </c>
      <c r="O29" t="str">
        <f t="shared" si="2"/>
        <v/>
      </c>
    </row>
    <row r="30" spans="1:15" x14ac:dyDescent="0.25">
      <c r="A30" t="str">
        <f>IF(AND('Entry list'!$I30=5,'Entry list'!$J30=5),'Entry list'!A30,"")</f>
        <v/>
      </c>
      <c r="B30" t="str">
        <f>IF(AND('Entry list'!$I30=5,'Entry list'!$J30=5),'Entry list'!B30,"")</f>
        <v/>
      </c>
      <c r="C30" t="str">
        <f>IF(AND('Entry list'!$I30=5,'Entry list'!$J30=5),'Entry list'!C30,"")</f>
        <v/>
      </c>
      <c r="D30" t="str">
        <f>IF(AND('Entry list'!$I30=5,'Entry list'!$J30=5),'Entry list'!D30,"")</f>
        <v/>
      </c>
      <c r="E30" t="str">
        <f>IF(AND('Entry list'!$I30=5,'Entry list'!$J30=5),'Entry list'!E30,"")</f>
        <v/>
      </c>
      <c r="F30" t="str">
        <f>IF(AND('Entry list'!$I30=5,'Entry list'!$J30=5),'Entry list'!F30,"")</f>
        <v/>
      </c>
      <c r="G30" t="str">
        <f>IF(AND('Entry list'!$I30=5,'Entry list'!$J30=5),'Entry list'!G30,"")</f>
        <v/>
      </c>
      <c r="H30" t="str">
        <f>IF(AND('Entry list'!$I30=5,'Entry list'!$J30=5),'Entry list'!H30,"")</f>
        <v/>
      </c>
      <c r="I30" t="str">
        <f>IF(AND('Entry list'!$I30=5,'Entry list'!$J30=5),'Entry list'!K30,"")</f>
        <v/>
      </c>
      <c r="J30" t="str">
        <f>IF(AND('Entry list'!$I30=5,'Entry list'!$J30=5),'Entry list'!L30,"")</f>
        <v/>
      </c>
      <c r="K30" t="str">
        <f>IF(AND('Entry list'!$I30=5,'Entry list'!$J30=5),'Entry list'!M30,"")</f>
        <v/>
      </c>
      <c r="L30" t="str">
        <f>IF(AND('Entry list'!$I30=5,'Entry list'!$J30=5),'Entry list'!N30,"")</f>
        <v/>
      </c>
      <c r="M30" t="str">
        <f t="shared" si="0"/>
        <v/>
      </c>
      <c r="N30" t="str">
        <f t="shared" si="1"/>
        <v/>
      </c>
      <c r="O30" t="str">
        <f t="shared" si="2"/>
        <v/>
      </c>
    </row>
    <row r="31" spans="1:15" x14ac:dyDescent="0.25">
      <c r="A31">
        <f>IF(AND('Entry list'!$I31=5,'Entry list'!$J31=5),'Entry list'!A31,"")</f>
        <v>1</v>
      </c>
      <c r="B31">
        <f>IF(AND('Entry list'!$I31=5,'Entry list'!$J31=5),'Entry list'!B31,"")</f>
        <v>0.69652777777777775</v>
      </c>
      <c r="C31" t="str">
        <f>IF(AND('Entry list'!$I31=5,'Entry list'!$J31=5),'Entry list'!C31,"")</f>
        <v>D</v>
      </c>
      <c r="D31" t="str">
        <f>IF(AND('Entry list'!$I31=5,'Entry list'!$J31=5),'Entry list'!D31,"")</f>
        <v>62DET</v>
      </c>
      <c r="E31" t="str">
        <f>IF(AND('Entry list'!$I31=5,'Entry list'!$J31=5),'Entry list'!E31,"")</f>
        <v>4NSH</v>
      </c>
      <c r="F31" t="str">
        <f>IF(AND('Entry list'!$I31=5,'Entry list'!$J31=5),'Entry list'!F31,"")</f>
        <v/>
      </c>
      <c r="G31" t="str">
        <f>IF(AND('Entry list'!$I31=5,'Entry list'!$J31=5),'Entry list'!G31,"")</f>
        <v>L</v>
      </c>
      <c r="H31" t="str">
        <f>IF(AND('Entry list'!$I31=5,'Entry list'!$J31=5),'Entry list'!H31,"")</f>
        <v>N</v>
      </c>
      <c r="I31" t="str">
        <f>IF(AND('Entry list'!$I31=5,'Entry list'!$J31=5),'Entry list'!K31,"")</f>
        <v/>
      </c>
      <c r="J31">
        <f>IF(AND('Entry list'!$I31=5,'Entry list'!$J31=5),'Entry list'!L31,"")</f>
        <v>2</v>
      </c>
      <c r="K31">
        <f>IF(AND('Entry list'!$I31=5,'Entry list'!$J31=5),'Entry list'!M31,"")</f>
        <v>0</v>
      </c>
      <c r="L31" t="str">
        <f>IF(AND('Entry list'!$I31=5,'Entry list'!$J31=5),'Entry list'!N31,"")</f>
        <v/>
      </c>
      <c r="M31">
        <f t="shared" si="0"/>
        <v>0</v>
      </c>
      <c r="N31" t="str">
        <f t="shared" si="1"/>
        <v/>
      </c>
      <c r="O31" t="str">
        <f t="shared" si="2"/>
        <v/>
      </c>
    </row>
    <row r="32" spans="1:15" x14ac:dyDescent="0.25">
      <c r="A32" t="str">
        <f>IF(AND('Entry list'!$I32=5,'Entry list'!$J32=5),'Entry list'!A32,"")</f>
        <v/>
      </c>
      <c r="B32" t="str">
        <f>IF(AND('Entry list'!$I32=5,'Entry list'!$J32=5),'Entry list'!B32,"")</f>
        <v/>
      </c>
      <c r="C32" t="str">
        <f>IF(AND('Entry list'!$I32=5,'Entry list'!$J32=5),'Entry list'!C32,"")</f>
        <v/>
      </c>
      <c r="D32" t="str">
        <f>IF(AND('Entry list'!$I32=5,'Entry list'!$J32=5),'Entry list'!D32,"")</f>
        <v/>
      </c>
      <c r="E32" t="str">
        <f>IF(AND('Entry list'!$I32=5,'Entry list'!$J32=5),'Entry list'!E32,"")</f>
        <v/>
      </c>
      <c r="F32" t="str">
        <f>IF(AND('Entry list'!$I32=5,'Entry list'!$J32=5),'Entry list'!F32,"")</f>
        <v/>
      </c>
      <c r="G32" t="str">
        <f>IF(AND('Entry list'!$I32=5,'Entry list'!$J32=5),'Entry list'!G32,"")</f>
        <v/>
      </c>
      <c r="H32" t="str">
        <f>IF(AND('Entry list'!$I32=5,'Entry list'!$J32=5),'Entry list'!H32,"")</f>
        <v/>
      </c>
      <c r="I32" t="str">
        <f>IF(AND('Entry list'!$I32=5,'Entry list'!$J32=5),'Entry list'!K32,"")</f>
        <v/>
      </c>
      <c r="J32" t="str">
        <f>IF(AND('Entry list'!$I32=5,'Entry list'!$J32=5),'Entry list'!L32,"")</f>
        <v/>
      </c>
      <c r="K32" t="str">
        <f>IF(AND('Entry list'!$I32=5,'Entry list'!$J32=5),'Entry list'!M32,"")</f>
        <v/>
      </c>
      <c r="L32" t="str">
        <f>IF(AND('Entry list'!$I32=5,'Entry list'!$J32=5),'Entry list'!N32,"")</f>
        <v/>
      </c>
      <c r="M32" t="str">
        <f t="shared" si="0"/>
        <v/>
      </c>
      <c r="N32" t="str">
        <f t="shared" si="1"/>
        <v/>
      </c>
      <c r="O32" t="str">
        <f t="shared" si="2"/>
        <v/>
      </c>
    </row>
    <row r="33" spans="1:15" x14ac:dyDescent="0.25">
      <c r="A33" t="str">
        <f>IF(AND('Entry list'!$I33=5,'Entry list'!$J33=5),'Entry list'!A33,"")</f>
        <v/>
      </c>
      <c r="B33" t="str">
        <f>IF(AND('Entry list'!$I33=5,'Entry list'!$J33=5),'Entry list'!B33,"")</f>
        <v/>
      </c>
      <c r="C33" t="str">
        <f>IF(AND('Entry list'!$I33=5,'Entry list'!$J33=5),'Entry list'!C33,"")</f>
        <v/>
      </c>
      <c r="D33" t="str">
        <f>IF(AND('Entry list'!$I33=5,'Entry list'!$J33=5),'Entry list'!D33,"")</f>
        <v/>
      </c>
      <c r="E33" t="str">
        <f>IF(AND('Entry list'!$I33=5,'Entry list'!$J33=5),'Entry list'!E33,"")</f>
        <v/>
      </c>
      <c r="F33" t="str">
        <f>IF(AND('Entry list'!$I33=5,'Entry list'!$J33=5),'Entry list'!F33,"")</f>
        <v/>
      </c>
      <c r="G33" t="str">
        <f>IF(AND('Entry list'!$I33=5,'Entry list'!$J33=5),'Entry list'!G33,"")</f>
        <v/>
      </c>
      <c r="H33" t="str">
        <f>IF(AND('Entry list'!$I33=5,'Entry list'!$J33=5),'Entry list'!H33,"")</f>
        <v/>
      </c>
      <c r="I33" t="str">
        <f>IF(AND('Entry list'!$I33=5,'Entry list'!$J33=5),'Entry list'!K33,"")</f>
        <v/>
      </c>
      <c r="J33" t="str">
        <f>IF(AND('Entry list'!$I33=5,'Entry list'!$J33=5),'Entry list'!L33,"")</f>
        <v/>
      </c>
      <c r="K33" t="str">
        <f>IF(AND('Entry list'!$I33=5,'Entry list'!$J33=5),'Entry list'!M33,"")</f>
        <v/>
      </c>
      <c r="L33" t="str">
        <f>IF(AND('Entry list'!$I33=5,'Entry list'!$J33=5),'Entry list'!N33,"")</f>
        <v/>
      </c>
      <c r="M33" t="str">
        <f t="shared" si="0"/>
        <v/>
      </c>
      <c r="N33" t="str">
        <f t="shared" si="1"/>
        <v/>
      </c>
      <c r="O33" t="str">
        <f t="shared" si="2"/>
        <v/>
      </c>
    </row>
    <row r="34" spans="1:15" x14ac:dyDescent="0.25">
      <c r="A34">
        <f>IF(AND('Entry list'!$I34=5,'Entry list'!$J34=5),'Entry list'!A34,"")</f>
        <v>1</v>
      </c>
      <c r="B34">
        <f>IF(AND('Entry list'!$I34=5,'Entry list'!$J34=5),'Entry list'!B34,"")</f>
        <v>0.68472222222222223</v>
      </c>
      <c r="C34" t="str">
        <f>IF(AND('Entry list'!$I34=5,'Entry list'!$J34=5),'Entry list'!C34,"")</f>
        <v>D</v>
      </c>
      <c r="D34" t="str">
        <f>IF(AND('Entry list'!$I34=5,'Entry list'!$J34=5),'Entry list'!D34,"")</f>
        <v>9NSH</v>
      </c>
      <c r="E34" t="str">
        <f>IF(AND('Entry list'!$I34=5,'Entry list'!$J34=5),'Entry list'!E34,"")</f>
        <v>52DET</v>
      </c>
      <c r="F34" t="str">
        <f>IF(AND('Entry list'!$I34=5,'Entry list'!$J34=5),'Entry list'!F34,"")</f>
        <v/>
      </c>
      <c r="G34" t="str">
        <f>IF(AND('Entry list'!$I34=5,'Entry list'!$J34=5),'Entry list'!G34,"")</f>
        <v>R</v>
      </c>
      <c r="H34" t="str">
        <f>IF(AND('Entry list'!$I34=5,'Entry list'!$J34=5),'Entry list'!H34,"")</f>
        <v>N</v>
      </c>
      <c r="I34" t="str">
        <f>IF(AND('Entry list'!$I34=5,'Entry list'!$J34=5),'Entry list'!K34,"")</f>
        <v/>
      </c>
      <c r="J34">
        <f>IF(AND('Entry list'!$I34=5,'Entry list'!$J34=5),'Entry list'!L34,"")</f>
        <v>0</v>
      </c>
      <c r="K34">
        <f>IF(AND('Entry list'!$I34=5,'Entry list'!$J34=5),'Entry list'!M34,"")</f>
        <v>0</v>
      </c>
      <c r="L34" t="str">
        <f>IF(AND('Entry list'!$I34=5,'Entry list'!$J34=5),'Entry list'!N34,"")</f>
        <v/>
      </c>
      <c r="M34">
        <f t="shared" si="0"/>
        <v>0</v>
      </c>
      <c r="N34" t="str">
        <f t="shared" si="1"/>
        <v/>
      </c>
      <c r="O34" t="str">
        <f t="shared" si="2"/>
        <v/>
      </c>
    </row>
    <row r="35" spans="1:15" x14ac:dyDescent="0.25">
      <c r="A35">
        <f>IF(AND('Entry list'!$I35=5,'Entry list'!$J35=5),'Entry list'!A35,"")</f>
        <v>1</v>
      </c>
      <c r="B35">
        <f>IF(AND('Entry list'!$I35=5,'Entry list'!$J35=5),'Entry list'!B35,"")</f>
        <v>0.67708333333333337</v>
      </c>
      <c r="C35" t="str">
        <f>IF(AND('Entry list'!$I35=5,'Entry list'!$J35=5),'Entry list'!C35,"")</f>
        <v>C</v>
      </c>
      <c r="D35" t="str">
        <f>IF(AND('Entry list'!$I35=5,'Entry list'!$J35=5),'Entry list'!D35,"")</f>
        <v>51DET</v>
      </c>
      <c r="E35" t="str">
        <f>IF(AND('Entry list'!$I35=5,'Entry list'!$J35=5),'Entry list'!E35,"")</f>
        <v>59NSH</v>
      </c>
      <c r="F35" t="str">
        <f>IF(AND('Entry list'!$I35=5,'Entry list'!$J35=5),'Entry list'!F35,"")</f>
        <v>Y</v>
      </c>
      <c r="G35" t="str">
        <f>IF(AND('Entry list'!$I35=5,'Entry list'!$J35=5),'Entry list'!G35,"")</f>
        <v>C</v>
      </c>
      <c r="H35" t="str">
        <f>IF(AND('Entry list'!$I35=5,'Entry list'!$J35=5),'Entry list'!H35,"")</f>
        <v>N</v>
      </c>
      <c r="I35" t="str">
        <f>IF(AND('Entry list'!$I35=5,'Entry list'!$J35=5),'Entry list'!K35,"")</f>
        <v>51DET</v>
      </c>
      <c r="J35">
        <f>IF(AND('Entry list'!$I35=5,'Entry list'!$J35=5),'Entry list'!L35,"")</f>
        <v>0</v>
      </c>
      <c r="K35">
        <f>IF(AND('Entry list'!$I35=5,'Entry list'!$J35=5),'Entry list'!M35,"")</f>
        <v>0</v>
      </c>
      <c r="L35" t="str">
        <f>IF(AND('Entry list'!$I35=5,'Entry list'!$J35=5),'Entry list'!N35,"")</f>
        <v/>
      </c>
      <c r="M35">
        <f t="shared" si="0"/>
        <v>0</v>
      </c>
      <c r="N35">
        <f t="shared" si="1"/>
        <v>0</v>
      </c>
      <c r="O35" t="str">
        <f t="shared" si="2"/>
        <v/>
      </c>
    </row>
    <row r="36" spans="1:15" x14ac:dyDescent="0.25">
      <c r="A36" t="str">
        <f>IF(AND('Entry list'!$I36=5,'Entry list'!$J36=5),'Entry list'!A36,"")</f>
        <v/>
      </c>
      <c r="B36" t="str">
        <f>IF(AND('Entry list'!$I36=5,'Entry list'!$J36=5),'Entry list'!B36,"")</f>
        <v/>
      </c>
      <c r="C36" t="str">
        <f>IF(AND('Entry list'!$I36=5,'Entry list'!$J36=5),'Entry list'!C36,"")</f>
        <v/>
      </c>
      <c r="D36" t="str">
        <f>IF(AND('Entry list'!$I36=5,'Entry list'!$J36=5),'Entry list'!D36,"")</f>
        <v/>
      </c>
      <c r="E36" t="str">
        <f>IF(AND('Entry list'!$I36=5,'Entry list'!$J36=5),'Entry list'!E36,"")</f>
        <v/>
      </c>
      <c r="F36" t="str">
        <f>IF(AND('Entry list'!$I36=5,'Entry list'!$J36=5),'Entry list'!F36,"")</f>
        <v/>
      </c>
      <c r="G36" t="str">
        <f>IF(AND('Entry list'!$I36=5,'Entry list'!$J36=5),'Entry list'!G36,"")</f>
        <v/>
      </c>
      <c r="H36" t="str">
        <f>IF(AND('Entry list'!$I36=5,'Entry list'!$J36=5),'Entry list'!H36,"")</f>
        <v/>
      </c>
      <c r="I36" t="str">
        <f>IF(AND('Entry list'!$I36=5,'Entry list'!$J36=5),'Entry list'!K36,"")</f>
        <v/>
      </c>
      <c r="J36" t="str">
        <f>IF(AND('Entry list'!$I36=5,'Entry list'!$J36=5),'Entry list'!L36,"")</f>
        <v/>
      </c>
      <c r="K36" t="str">
        <f>IF(AND('Entry list'!$I36=5,'Entry list'!$J36=5),'Entry list'!M36,"")</f>
        <v/>
      </c>
      <c r="L36" t="str">
        <f>IF(AND('Entry list'!$I36=5,'Entry list'!$J36=5),'Entry list'!N36,"")</f>
        <v/>
      </c>
      <c r="M36" t="str">
        <f t="shared" si="0"/>
        <v/>
      </c>
      <c r="N36" t="str">
        <f t="shared" si="1"/>
        <v/>
      </c>
      <c r="O36" t="str">
        <f t="shared" si="2"/>
        <v/>
      </c>
    </row>
    <row r="37" spans="1:15" x14ac:dyDescent="0.25">
      <c r="A37" t="str">
        <f>IF(AND('Entry list'!$I37=5,'Entry list'!$J37=5),'Entry list'!A37,"")</f>
        <v/>
      </c>
      <c r="B37" t="str">
        <f>IF(AND('Entry list'!$I37=5,'Entry list'!$J37=5),'Entry list'!B37,"")</f>
        <v/>
      </c>
      <c r="C37" t="str">
        <f>IF(AND('Entry list'!$I37=5,'Entry list'!$J37=5),'Entry list'!C37,"")</f>
        <v/>
      </c>
      <c r="D37" t="str">
        <f>IF(AND('Entry list'!$I37=5,'Entry list'!$J37=5),'Entry list'!D37,"")</f>
        <v/>
      </c>
      <c r="E37" t="str">
        <f>IF(AND('Entry list'!$I37=5,'Entry list'!$J37=5),'Entry list'!E37,"")</f>
        <v/>
      </c>
      <c r="F37" t="str">
        <f>IF(AND('Entry list'!$I37=5,'Entry list'!$J37=5),'Entry list'!F37,"")</f>
        <v/>
      </c>
      <c r="G37" t="str">
        <f>IF(AND('Entry list'!$I37=5,'Entry list'!$J37=5),'Entry list'!G37,"")</f>
        <v/>
      </c>
      <c r="H37" t="str">
        <f>IF(AND('Entry list'!$I37=5,'Entry list'!$J37=5),'Entry list'!H37,"")</f>
        <v/>
      </c>
      <c r="I37" t="str">
        <f>IF(AND('Entry list'!$I37=5,'Entry list'!$J37=5),'Entry list'!K37,"")</f>
        <v/>
      </c>
      <c r="J37" t="str">
        <f>IF(AND('Entry list'!$I37=5,'Entry list'!$J37=5),'Entry list'!L37,"")</f>
        <v/>
      </c>
      <c r="K37" t="str">
        <f>IF(AND('Entry list'!$I37=5,'Entry list'!$J37=5),'Entry list'!M37,"")</f>
        <v/>
      </c>
      <c r="L37" t="str">
        <f>IF(AND('Entry list'!$I37=5,'Entry list'!$J37=5),'Entry list'!N37,"")</f>
        <v/>
      </c>
      <c r="M37" t="str">
        <f t="shared" si="0"/>
        <v/>
      </c>
      <c r="N37" t="str">
        <f t="shared" si="1"/>
        <v/>
      </c>
      <c r="O37" t="str">
        <f t="shared" si="2"/>
        <v/>
      </c>
    </row>
    <row r="38" spans="1:15" x14ac:dyDescent="0.25">
      <c r="A38">
        <f>IF(AND('Entry list'!$I38=5,'Entry list'!$J38=5),'Entry list'!A38,"")</f>
        <v>1</v>
      </c>
      <c r="B38">
        <f>IF(AND('Entry list'!$I38=5,'Entry list'!$J38=5),'Entry list'!B38,"")</f>
        <v>0.66527777777777775</v>
      </c>
      <c r="C38" t="str">
        <f>IF(AND('Entry list'!$I38=5,'Entry list'!$J38=5),'Entry list'!C38,"")</f>
        <v>C</v>
      </c>
      <c r="D38" t="str">
        <f>IF(AND('Entry list'!$I38=5,'Entry list'!$J38=5),'Entry list'!D38,"")</f>
        <v>38NSH</v>
      </c>
      <c r="E38" t="str">
        <f>IF(AND('Entry list'!$I38=5,'Entry list'!$J38=5),'Entry list'!E38,"")</f>
        <v>2DET</v>
      </c>
      <c r="F38" t="str">
        <f>IF(AND('Entry list'!$I38=5,'Entry list'!$J38=5),'Entry list'!F38,"")</f>
        <v>N</v>
      </c>
      <c r="G38" t="str">
        <f>IF(AND('Entry list'!$I38=5,'Entry list'!$J38=5),'Entry list'!G38,"")</f>
        <v>R</v>
      </c>
      <c r="H38" t="str">
        <f>IF(AND('Entry list'!$I38=5,'Entry list'!$J38=5),'Entry list'!H38,"")</f>
        <v>N</v>
      </c>
      <c r="I38" t="str">
        <f>IF(AND('Entry list'!$I38=5,'Entry list'!$J38=5),'Entry list'!K38,"")</f>
        <v>38NSH</v>
      </c>
      <c r="J38">
        <f>IF(AND('Entry list'!$I38=5,'Entry list'!$J38=5),'Entry list'!L38,"")</f>
        <v>1</v>
      </c>
      <c r="K38">
        <f>IF(AND('Entry list'!$I38=5,'Entry list'!$J38=5),'Entry list'!M38,"")</f>
        <v>0</v>
      </c>
      <c r="L38" t="str">
        <f>IF(AND('Entry list'!$I38=5,'Entry list'!$J38=5),'Entry list'!N38,"")</f>
        <v/>
      </c>
      <c r="M38">
        <f t="shared" si="0"/>
        <v>0</v>
      </c>
      <c r="N38">
        <f t="shared" si="1"/>
        <v>0</v>
      </c>
      <c r="O38" t="str">
        <f t="shared" si="2"/>
        <v/>
      </c>
    </row>
    <row r="39" spans="1:15" x14ac:dyDescent="0.25">
      <c r="A39" t="str">
        <f>IF(AND('Entry list'!$I39=5,'Entry list'!$J39=5),'Entry list'!A39,"")</f>
        <v/>
      </c>
      <c r="B39" t="str">
        <f>IF(AND('Entry list'!$I39=5,'Entry list'!$J39=5),'Entry list'!B39,"")</f>
        <v/>
      </c>
      <c r="C39" t="str">
        <f>IF(AND('Entry list'!$I39=5,'Entry list'!$J39=5),'Entry list'!C39,"")</f>
        <v/>
      </c>
      <c r="D39" t="str">
        <f>IF(AND('Entry list'!$I39=5,'Entry list'!$J39=5),'Entry list'!D39,"")</f>
        <v/>
      </c>
      <c r="E39" t="str">
        <f>IF(AND('Entry list'!$I39=5,'Entry list'!$J39=5),'Entry list'!E39,"")</f>
        <v/>
      </c>
      <c r="F39" t="str">
        <f>IF(AND('Entry list'!$I39=5,'Entry list'!$J39=5),'Entry list'!F39,"")</f>
        <v/>
      </c>
      <c r="G39" t="str">
        <f>IF(AND('Entry list'!$I39=5,'Entry list'!$J39=5),'Entry list'!G39,"")</f>
        <v/>
      </c>
      <c r="H39" t="str">
        <f>IF(AND('Entry list'!$I39=5,'Entry list'!$J39=5),'Entry list'!H39,"")</f>
        <v/>
      </c>
      <c r="I39" t="str">
        <f>IF(AND('Entry list'!$I39=5,'Entry list'!$J39=5),'Entry list'!K39,"")</f>
        <v/>
      </c>
      <c r="J39" t="str">
        <f>IF(AND('Entry list'!$I39=5,'Entry list'!$J39=5),'Entry list'!L39,"")</f>
        <v/>
      </c>
      <c r="K39" t="str">
        <f>IF(AND('Entry list'!$I39=5,'Entry list'!$J39=5),'Entry list'!M39,"")</f>
        <v/>
      </c>
      <c r="L39" t="str">
        <f>IF(AND('Entry list'!$I39=5,'Entry list'!$J39=5),'Entry list'!N39,"")</f>
        <v/>
      </c>
      <c r="M39" t="str">
        <f t="shared" si="0"/>
        <v/>
      </c>
      <c r="N39" t="str">
        <f t="shared" si="1"/>
        <v/>
      </c>
      <c r="O39" t="str">
        <f t="shared" si="2"/>
        <v/>
      </c>
    </row>
    <row r="40" spans="1:15" x14ac:dyDescent="0.25">
      <c r="A40" t="str">
        <f>IF(AND('Entry list'!$I40=5,'Entry list'!$J40=5),'Entry list'!A40,"")</f>
        <v/>
      </c>
      <c r="B40" t="str">
        <f>IF(AND('Entry list'!$I40=5,'Entry list'!$J40=5),'Entry list'!B40,"")</f>
        <v/>
      </c>
      <c r="C40" t="str">
        <f>IF(AND('Entry list'!$I40=5,'Entry list'!$J40=5),'Entry list'!C40,"")</f>
        <v/>
      </c>
      <c r="D40" t="str">
        <f>IF(AND('Entry list'!$I40=5,'Entry list'!$J40=5),'Entry list'!D40,"")</f>
        <v/>
      </c>
      <c r="E40" t="str">
        <f>IF(AND('Entry list'!$I40=5,'Entry list'!$J40=5),'Entry list'!E40,"")</f>
        <v/>
      </c>
      <c r="F40" t="str">
        <f>IF(AND('Entry list'!$I40=5,'Entry list'!$J40=5),'Entry list'!F40,"")</f>
        <v/>
      </c>
      <c r="G40" t="str">
        <f>IF(AND('Entry list'!$I40=5,'Entry list'!$J40=5),'Entry list'!G40,"")</f>
        <v/>
      </c>
      <c r="H40" t="str">
        <f>IF(AND('Entry list'!$I40=5,'Entry list'!$J40=5),'Entry list'!H40,"")</f>
        <v/>
      </c>
      <c r="I40" t="str">
        <f>IF(AND('Entry list'!$I40=5,'Entry list'!$J40=5),'Entry list'!K40,"")</f>
        <v/>
      </c>
      <c r="J40" t="str">
        <f>IF(AND('Entry list'!$I40=5,'Entry list'!$J40=5),'Entry list'!L40,"")</f>
        <v/>
      </c>
      <c r="K40" t="str">
        <f>IF(AND('Entry list'!$I40=5,'Entry list'!$J40=5),'Entry list'!M40,"")</f>
        <v/>
      </c>
      <c r="L40" t="str">
        <f>IF(AND('Entry list'!$I40=5,'Entry list'!$J40=5),'Entry list'!N40,"")</f>
        <v/>
      </c>
      <c r="M40" t="str">
        <f t="shared" si="0"/>
        <v/>
      </c>
      <c r="N40" t="str">
        <f t="shared" si="1"/>
        <v/>
      </c>
      <c r="O40" t="str">
        <f t="shared" si="2"/>
        <v/>
      </c>
    </row>
    <row r="41" spans="1:15" x14ac:dyDescent="0.25">
      <c r="A41">
        <f>IF(AND('Entry list'!$I41=5,'Entry list'!$J41=5),'Entry list'!A41,"")</f>
        <v>1</v>
      </c>
      <c r="B41">
        <f>IF(AND('Entry list'!$I41=5,'Entry list'!$J41=5),'Entry list'!B41,"")</f>
        <v>0.65625</v>
      </c>
      <c r="C41" t="str">
        <f>IF(AND('Entry list'!$I41=5,'Entry list'!$J41=5),'Entry list'!C41,"")</f>
        <v>FAC</v>
      </c>
      <c r="D41" t="str">
        <f>IF(AND('Entry list'!$I41=5,'Entry list'!$J41=5),'Entry list'!D41,"")</f>
        <v>DZF</v>
      </c>
      <c r="E41" t="str">
        <f>IF(AND('Entry list'!$I41=5,'Entry list'!$J41=5),'Entry list'!E41,"")</f>
        <v/>
      </c>
      <c r="F41" t="str">
        <f>IF(AND('Entry list'!$I41=5,'Entry list'!$J41=5),'Entry list'!F41,"")</f>
        <v/>
      </c>
      <c r="G41" t="str">
        <f>IF(AND('Entry list'!$I41=5,'Entry list'!$J41=5),'Entry list'!G41,"")</f>
        <v/>
      </c>
      <c r="H41" t="str">
        <f>IF(AND('Entry list'!$I41=5,'Entry list'!$J41=5),'Entry list'!H41,"")</f>
        <v/>
      </c>
      <c r="I41" t="str">
        <f>IF(AND('Entry list'!$I41=5,'Entry list'!$J41=5),'Entry list'!K41,"")</f>
        <v/>
      </c>
      <c r="J41">
        <f>IF(AND('Entry list'!$I41=5,'Entry list'!$J41=5),'Entry list'!L41,"")</f>
        <v>0</v>
      </c>
      <c r="K41">
        <f>IF(AND('Entry list'!$I41=5,'Entry list'!$J41=5),'Entry list'!M41,"")</f>
        <v>0</v>
      </c>
      <c r="L41" t="str">
        <f>IF(AND('Entry list'!$I41=5,'Entry list'!$J41=5),'Entry list'!N41,"")</f>
        <v/>
      </c>
      <c r="M41">
        <f t="shared" si="0"/>
        <v>0</v>
      </c>
      <c r="N41" t="str">
        <f t="shared" si="1"/>
        <v/>
      </c>
      <c r="O41" t="str">
        <f t="shared" si="2"/>
        <v/>
      </c>
    </row>
    <row r="42" spans="1:15" x14ac:dyDescent="0.25">
      <c r="A42" t="str">
        <f>IF(AND('Entry list'!$I42=5,'Entry list'!$J42=5),'Entry list'!A42,"")</f>
        <v/>
      </c>
      <c r="B42" t="str">
        <f>IF(AND('Entry list'!$I42=5,'Entry list'!$J42=5),'Entry list'!B42,"")</f>
        <v/>
      </c>
      <c r="C42" t="str">
        <f>IF(AND('Entry list'!$I42=5,'Entry list'!$J42=5),'Entry list'!C42,"")</f>
        <v/>
      </c>
      <c r="D42" t="str">
        <f>IF(AND('Entry list'!$I42=5,'Entry list'!$J42=5),'Entry list'!D42,"")</f>
        <v/>
      </c>
      <c r="E42" t="str">
        <f>IF(AND('Entry list'!$I42=5,'Entry list'!$J42=5),'Entry list'!E42,"")</f>
        <v/>
      </c>
      <c r="F42" t="str">
        <f>IF(AND('Entry list'!$I42=5,'Entry list'!$J42=5),'Entry list'!F42,"")</f>
        <v/>
      </c>
      <c r="G42" t="str">
        <f>IF(AND('Entry list'!$I42=5,'Entry list'!$J42=5),'Entry list'!G42,"")</f>
        <v/>
      </c>
      <c r="H42" t="str">
        <f>IF(AND('Entry list'!$I42=5,'Entry list'!$J42=5),'Entry list'!H42,"")</f>
        <v/>
      </c>
      <c r="I42" t="str">
        <f>IF(AND('Entry list'!$I42=5,'Entry list'!$J42=5),'Entry list'!K42,"")</f>
        <v/>
      </c>
      <c r="J42" t="str">
        <f>IF(AND('Entry list'!$I42=5,'Entry list'!$J42=5),'Entry list'!L42,"")</f>
        <v/>
      </c>
      <c r="K42" t="str">
        <f>IF(AND('Entry list'!$I42=5,'Entry list'!$J42=5),'Entry list'!M42,"")</f>
        <v/>
      </c>
      <c r="L42" t="str">
        <f>IF(AND('Entry list'!$I42=5,'Entry list'!$J42=5),'Entry list'!N42,"")</f>
        <v/>
      </c>
      <c r="M42" t="str">
        <f t="shared" si="0"/>
        <v/>
      </c>
      <c r="N42" t="str">
        <f t="shared" si="1"/>
        <v/>
      </c>
      <c r="O42" t="str">
        <f t="shared" si="2"/>
        <v/>
      </c>
    </row>
    <row r="43" spans="1:15" x14ac:dyDescent="0.25">
      <c r="A43">
        <f>IF(AND('Entry list'!$I43=5,'Entry list'!$J43=5),'Entry list'!A43,"")</f>
        <v>1</v>
      </c>
      <c r="B43">
        <f>IF(AND('Entry list'!$I43=5,'Entry list'!$J43=5),'Entry list'!B43,"")</f>
        <v>0.65138888888888891</v>
      </c>
      <c r="C43" t="str">
        <f>IF(AND('Entry list'!$I43=5,'Entry list'!$J43=5),'Entry list'!C43,"")</f>
        <v>FAC</v>
      </c>
      <c r="D43" t="str">
        <f>IF(AND('Entry list'!$I43=5,'Entry list'!$J43=5),'Entry list'!D43,"")</f>
        <v>DZF</v>
      </c>
      <c r="E43" t="str">
        <f>IF(AND('Entry list'!$I43=5,'Entry list'!$J43=5),'Entry list'!E43,"")</f>
        <v/>
      </c>
      <c r="F43" t="str">
        <f>IF(AND('Entry list'!$I43=5,'Entry list'!$J43=5),'Entry list'!F43,"")</f>
        <v/>
      </c>
      <c r="G43" t="str">
        <f>IF(AND('Entry list'!$I43=5,'Entry list'!$J43=5),'Entry list'!G43,"")</f>
        <v/>
      </c>
      <c r="H43" t="str">
        <f>IF(AND('Entry list'!$I43=5,'Entry list'!$J43=5),'Entry list'!H43,"")</f>
        <v/>
      </c>
      <c r="I43" t="str">
        <f>IF(AND('Entry list'!$I43=5,'Entry list'!$J43=5),'Entry list'!K43,"")</f>
        <v/>
      </c>
      <c r="J43">
        <f>IF(AND('Entry list'!$I43=5,'Entry list'!$J43=5),'Entry list'!L43,"")</f>
        <v>1</v>
      </c>
      <c r="K43">
        <f>IF(AND('Entry list'!$I43=5,'Entry list'!$J43=5),'Entry list'!M43,"")</f>
        <v>0</v>
      </c>
      <c r="L43" t="str">
        <f>IF(AND('Entry list'!$I43=5,'Entry list'!$J43=5),'Entry list'!N43,"")</f>
        <v/>
      </c>
      <c r="M43">
        <f t="shared" si="0"/>
        <v>0</v>
      </c>
      <c r="N43" t="str">
        <f t="shared" si="1"/>
        <v/>
      </c>
      <c r="O43" t="str">
        <f t="shared" si="2"/>
        <v/>
      </c>
    </row>
    <row r="44" spans="1:15" x14ac:dyDescent="0.25">
      <c r="A44" t="str">
        <f>IF(AND('Entry list'!$I44=5,'Entry list'!$J44=5),'Entry list'!A44,"")</f>
        <v/>
      </c>
      <c r="B44" t="str">
        <f>IF(AND('Entry list'!$I44=5,'Entry list'!$J44=5),'Entry list'!B44,"")</f>
        <v/>
      </c>
      <c r="C44" t="str">
        <f>IF(AND('Entry list'!$I44=5,'Entry list'!$J44=5),'Entry list'!C44,"")</f>
        <v/>
      </c>
      <c r="D44" t="str">
        <f>IF(AND('Entry list'!$I44=5,'Entry list'!$J44=5),'Entry list'!D44,"")</f>
        <v/>
      </c>
      <c r="E44" t="str">
        <f>IF(AND('Entry list'!$I44=5,'Entry list'!$J44=5),'Entry list'!E44,"")</f>
        <v/>
      </c>
      <c r="F44" t="str">
        <f>IF(AND('Entry list'!$I44=5,'Entry list'!$J44=5),'Entry list'!F44,"")</f>
        <v/>
      </c>
      <c r="G44" t="str">
        <f>IF(AND('Entry list'!$I44=5,'Entry list'!$J44=5),'Entry list'!G44,"")</f>
        <v/>
      </c>
      <c r="H44" t="str">
        <f>IF(AND('Entry list'!$I44=5,'Entry list'!$J44=5),'Entry list'!H44,"")</f>
        <v/>
      </c>
      <c r="I44" t="str">
        <f>IF(AND('Entry list'!$I44=5,'Entry list'!$J44=5),'Entry list'!K44,"")</f>
        <v/>
      </c>
      <c r="J44" t="str">
        <f>IF(AND('Entry list'!$I44=5,'Entry list'!$J44=5),'Entry list'!L44,"")</f>
        <v/>
      </c>
      <c r="K44" t="str">
        <f>IF(AND('Entry list'!$I44=5,'Entry list'!$J44=5),'Entry list'!M44,"")</f>
        <v/>
      </c>
      <c r="L44" t="str">
        <f>IF(AND('Entry list'!$I44=5,'Entry list'!$J44=5),'Entry list'!N44,"")</f>
        <v/>
      </c>
      <c r="M44" t="str">
        <f t="shared" si="0"/>
        <v/>
      </c>
      <c r="N44" t="str">
        <f t="shared" si="1"/>
        <v/>
      </c>
      <c r="O44" t="str">
        <f t="shared" si="2"/>
        <v/>
      </c>
    </row>
    <row r="45" spans="1:15" x14ac:dyDescent="0.25">
      <c r="A45" t="str">
        <f>IF(AND('Entry list'!$I45=5,'Entry list'!$J45=5),'Entry list'!A45,"")</f>
        <v/>
      </c>
      <c r="B45" t="str">
        <f>IF(AND('Entry list'!$I45=5,'Entry list'!$J45=5),'Entry list'!B45,"")</f>
        <v/>
      </c>
      <c r="C45" t="str">
        <f>IF(AND('Entry list'!$I45=5,'Entry list'!$J45=5),'Entry list'!C45,"")</f>
        <v/>
      </c>
      <c r="D45" t="str">
        <f>IF(AND('Entry list'!$I45=5,'Entry list'!$J45=5),'Entry list'!D45,"")</f>
        <v/>
      </c>
      <c r="E45" t="str">
        <f>IF(AND('Entry list'!$I45=5,'Entry list'!$J45=5),'Entry list'!E45,"")</f>
        <v/>
      </c>
      <c r="F45" t="str">
        <f>IF(AND('Entry list'!$I45=5,'Entry list'!$J45=5),'Entry list'!F45,"")</f>
        <v/>
      </c>
      <c r="G45" t="str">
        <f>IF(AND('Entry list'!$I45=5,'Entry list'!$J45=5),'Entry list'!G45,"")</f>
        <v/>
      </c>
      <c r="H45" t="str">
        <f>IF(AND('Entry list'!$I45=5,'Entry list'!$J45=5),'Entry list'!H45,"")</f>
        <v/>
      </c>
      <c r="I45" t="str">
        <f>IF(AND('Entry list'!$I45=5,'Entry list'!$J45=5),'Entry list'!K45,"")</f>
        <v/>
      </c>
      <c r="J45" t="str">
        <f>IF(AND('Entry list'!$I45=5,'Entry list'!$J45=5),'Entry list'!L45,"")</f>
        <v/>
      </c>
      <c r="K45" t="str">
        <f>IF(AND('Entry list'!$I45=5,'Entry list'!$J45=5),'Entry list'!M45,"")</f>
        <v/>
      </c>
      <c r="L45" t="str">
        <f>IF(AND('Entry list'!$I45=5,'Entry list'!$J45=5),'Entry list'!N45,"")</f>
        <v/>
      </c>
      <c r="M45" t="str">
        <f t="shared" si="0"/>
        <v/>
      </c>
      <c r="N45" t="str">
        <f t="shared" si="1"/>
        <v/>
      </c>
      <c r="O45" t="str">
        <f t="shared" si="2"/>
        <v/>
      </c>
    </row>
    <row r="46" spans="1:15" x14ac:dyDescent="0.25">
      <c r="A46" t="str">
        <f>IF(AND('Entry list'!$I46=5,'Entry list'!$J46=5),'Entry list'!A46,"")</f>
        <v/>
      </c>
      <c r="B46" t="str">
        <f>IF(AND('Entry list'!$I46=5,'Entry list'!$J46=5),'Entry list'!B46,"")</f>
        <v/>
      </c>
      <c r="C46" t="str">
        <f>IF(AND('Entry list'!$I46=5,'Entry list'!$J46=5),'Entry list'!C46,"")</f>
        <v/>
      </c>
      <c r="D46" t="str">
        <f>IF(AND('Entry list'!$I46=5,'Entry list'!$J46=5),'Entry list'!D46,"")</f>
        <v/>
      </c>
      <c r="E46" t="str">
        <f>IF(AND('Entry list'!$I46=5,'Entry list'!$J46=5),'Entry list'!E46,"")</f>
        <v/>
      </c>
      <c r="F46" t="str">
        <f>IF(AND('Entry list'!$I46=5,'Entry list'!$J46=5),'Entry list'!F46,"")</f>
        <v/>
      </c>
      <c r="G46" t="str">
        <f>IF(AND('Entry list'!$I46=5,'Entry list'!$J46=5),'Entry list'!G46,"")</f>
        <v/>
      </c>
      <c r="H46" t="str">
        <f>IF(AND('Entry list'!$I46=5,'Entry list'!$J46=5),'Entry list'!H46,"")</f>
        <v/>
      </c>
      <c r="I46" t="str">
        <f>IF(AND('Entry list'!$I46=5,'Entry list'!$J46=5),'Entry list'!K46,"")</f>
        <v/>
      </c>
      <c r="J46" t="str">
        <f>IF(AND('Entry list'!$I46=5,'Entry list'!$J46=5),'Entry list'!L46,"")</f>
        <v/>
      </c>
      <c r="K46" t="str">
        <f>IF(AND('Entry list'!$I46=5,'Entry list'!$J46=5),'Entry list'!M46,"")</f>
        <v/>
      </c>
      <c r="L46" t="str">
        <f>IF(AND('Entry list'!$I46=5,'Entry list'!$J46=5),'Entry list'!N46,"")</f>
        <v/>
      </c>
      <c r="M46" t="str">
        <f t="shared" si="0"/>
        <v/>
      </c>
      <c r="N46" t="str">
        <f t="shared" si="1"/>
        <v/>
      </c>
      <c r="O46" t="str">
        <f t="shared" si="2"/>
        <v/>
      </c>
    </row>
    <row r="47" spans="1:15" x14ac:dyDescent="0.25">
      <c r="A47" t="str">
        <f>IF(AND('Entry list'!$I47=5,'Entry list'!$J47=5),'Entry list'!A47,"")</f>
        <v/>
      </c>
      <c r="B47" t="str">
        <f>IF(AND('Entry list'!$I47=5,'Entry list'!$J47=5),'Entry list'!B47,"")</f>
        <v/>
      </c>
      <c r="C47" t="str">
        <f>IF(AND('Entry list'!$I47=5,'Entry list'!$J47=5),'Entry list'!C47,"")</f>
        <v/>
      </c>
      <c r="D47" t="str">
        <f>IF(AND('Entry list'!$I47=5,'Entry list'!$J47=5),'Entry list'!D47,"")</f>
        <v/>
      </c>
      <c r="E47" t="str">
        <f>IF(AND('Entry list'!$I47=5,'Entry list'!$J47=5),'Entry list'!E47,"")</f>
        <v/>
      </c>
      <c r="F47" t="str">
        <f>IF(AND('Entry list'!$I47=5,'Entry list'!$J47=5),'Entry list'!F47,"")</f>
        <v/>
      </c>
      <c r="G47" t="str">
        <f>IF(AND('Entry list'!$I47=5,'Entry list'!$J47=5),'Entry list'!G47,"")</f>
        <v/>
      </c>
      <c r="H47" t="str">
        <f>IF(AND('Entry list'!$I47=5,'Entry list'!$J47=5),'Entry list'!H47,"")</f>
        <v/>
      </c>
      <c r="I47" t="str">
        <f>IF(AND('Entry list'!$I47=5,'Entry list'!$J47=5),'Entry list'!K47,"")</f>
        <v/>
      </c>
      <c r="J47" t="str">
        <f>IF(AND('Entry list'!$I47=5,'Entry list'!$J47=5),'Entry list'!L47,"")</f>
        <v/>
      </c>
      <c r="K47" t="str">
        <f>IF(AND('Entry list'!$I47=5,'Entry list'!$J47=5),'Entry list'!M47,"")</f>
        <v/>
      </c>
      <c r="L47" t="str">
        <f>IF(AND('Entry list'!$I47=5,'Entry list'!$J47=5),'Entry list'!N47,"")</f>
        <v/>
      </c>
      <c r="M47" t="str">
        <f t="shared" si="0"/>
        <v/>
      </c>
      <c r="N47" t="str">
        <f t="shared" si="1"/>
        <v/>
      </c>
      <c r="O47" t="str">
        <f t="shared" si="2"/>
        <v/>
      </c>
    </row>
    <row r="48" spans="1:15" x14ac:dyDescent="0.25">
      <c r="A48">
        <f>IF(AND('Entry list'!$I48=5,'Entry list'!$J48=5),'Entry list'!A48,"")</f>
        <v>1</v>
      </c>
      <c r="B48">
        <f>IF(AND('Entry list'!$I48=5,'Entry list'!$J48=5),'Entry list'!B48,"")</f>
        <v>0.62708333333333333</v>
      </c>
      <c r="C48" t="str">
        <f>IF(AND('Entry list'!$I48=5,'Entry list'!$J48=5),'Entry list'!C48,"")</f>
        <v>D</v>
      </c>
      <c r="D48" t="str">
        <f>IF(AND('Entry list'!$I48=5,'Entry list'!$J48=5),'Entry list'!D48,"")</f>
        <v>15DET</v>
      </c>
      <c r="E48" t="str">
        <f>IF(AND('Entry list'!$I48=5,'Entry list'!$J48=5),'Entry list'!E48,"")</f>
        <v>4NSH</v>
      </c>
      <c r="F48" t="str">
        <f>IF(AND('Entry list'!$I48=5,'Entry list'!$J48=5),'Entry list'!F48,"")</f>
        <v/>
      </c>
      <c r="G48" t="str">
        <f>IF(AND('Entry list'!$I48=5,'Entry list'!$J48=5),'Entry list'!G48,"")</f>
        <v>L</v>
      </c>
      <c r="H48" t="str">
        <f>IF(AND('Entry list'!$I48=5,'Entry list'!$J48=5),'Entry list'!H48,"")</f>
        <v>N</v>
      </c>
      <c r="I48" t="str">
        <f>IF(AND('Entry list'!$I48=5,'Entry list'!$J48=5),'Entry list'!K48,"")</f>
        <v/>
      </c>
      <c r="J48">
        <f>IF(AND('Entry list'!$I48=5,'Entry list'!$J48=5),'Entry list'!L48,"")</f>
        <v>0</v>
      </c>
      <c r="K48">
        <f>IF(AND('Entry list'!$I48=5,'Entry list'!$J48=5),'Entry list'!M48,"")</f>
        <v>0</v>
      </c>
      <c r="L48" t="str">
        <f>IF(AND('Entry list'!$I48=5,'Entry list'!$J48=5),'Entry list'!N48,"")</f>
        <v/>
      </c>
      <c r="M48">
        <f t="shared" si="0"/>
        <v>0</v>
      </c>
      <c r="N48" t="str">
        <f t="shared" si="1"/>
        <v/>
      </c>
      <c r="O48" t="str">
        <f t="shared" si="2"/>
        <v/>
      </c>
    </row>
    <row r="49" spans="1:15" x14ac:dyDescent="0.25">
      <c r="A49" t="str">
        <f>IF(AND('Entry list'!$I49=5,'Entry list'!$J49=5),'Entry list'!A49,"")</f>
        <v/>
      </c>
      <c r="B49" t="str">
        <f>IF(AND('Entry list'!$I49=5,'Entry list'!$J49=5),'Entry list'!B49,"")</f>
        <v/>
      </c>
      <c r="C49" t="str">
        <f>IF(AND('Entry list'!$I49=5,'Entry list'!$J49=5),'Entry list'!C49,"")</f>
        <v/>
      </c>
      <c r="D49" t="str">
        <f>IF(AND('Entry list'!$I49=5,'Entry list'!$J49=5),'Entry list'!D49,"")</f>
        <v/>
      </c>
      <c r="E49" t="str">
        <f>IF(AND('Entry list'!$I49=5,'Entry list'!$J49=5),'Entry list'!E49,"")</f>
        <v/>
      </c>
      <c r="F49" t="str">
        <f>IF(AND('Entry list'!$I49=5,'Entry list'!$J49=5),'Entry list'!F49,"")</f>
        <v/>
      </c>
      <c r="G49" t="str">
        <f>IF(AND('Entry list'!$I49=5,'Entry list'!$J49=5),'Entry list'!G49,"")</f>
        <v/>
      </c>
      <c r="H49" t="str">
        <f>IF(AND('Entry list'!$I49=5,'Entry list'!$J49=5),'Entry list'!H49,"")</f>
        <v/>
      </c>
      <c r="I49" t="str">
        <f>IF(AND('Entry list'!$I49=5,'Entry list'!$J49=5),'Entry list'!K49,"")</f>
        <v/>
      </c>
      <c r="J49" t="str">
        <f>IF(AND('Entry list'!$I49=5,'Entry list'!$J49=5),'Entry list'!L49,"")</f>
        <v/>
      </c>
      <c r="K49" t="str">
        <f>IF(AND('Entry list'!$I49=5,'Entry list'!$J49=5),'Entry list'!M49,"")</f>
        <v/>
      </c>
      <c r="L49" t="str">
        <f>IF(AND('Entry list'!$I49=5,'Entry list'!$J49=5),'Entry list'!N49,"")</f>
        <v/>
      </c>
      <c r="M49" t="str">
        <f t="shared" si="0"/>
        <v/>
      </c>
      <c r="N49" t="str">
        <f t="shared" si="1"/>
        <v/>
      </c>
      <c r="O49" t="str">
        <f t="shared" si="2"/>
        <v/>
      </c>
    </row>
    <row r="50" spans="1:15" x14ac:dyDescent="0.25">
      <c r="A50" t="str">
        <f>IF(AND('Entry list'!$I50=5,'Entry list'!$J50=5),'Entry list'!A50,"")</f>
        <v/>
      </c>
      <c r="B50" t="str">
        <f>IF(AND('Entry list'!$I50=5,'Entry list'!$J50=5),'Entry list'!B50,"")</f>
        <v/>
      </c>
      <c r="C50" t="str">
        <f>IF(AND('Entry list'!$I50=5,'Entry list'!$J50=5),'Entry list'!C50,"")</f>
        <v/>
      </c>
      <c r="D50" t="str">
        <f>IF(AND('Entry list'!$I50=5,'Entry list'!$J50=5),'Entry list'!D50,"")</f>
        <v/>
      </c>
      <c r="E50" t="str">
        <f>IF(AND('Entry list'!$I50=5,'Entry list'!$J50=5),'Entry list'!E50,"")</f>
        <v/>
      </c>
      <c r="F50" t="str">
        <f>IF(AND('Entry list'!$I50=5,'Entry list'!$J50=5),'Entry list'!F50,"")</f>
        <v/>
      </c>
      <c r="G50" t="str">
        <f>IF(AND('Entry list'!$I50=5,'Entry list'!$J50=5),'Entry list'!G50,"")</f>
        <v/>
      </c>
      <c r="H50" t="str">
        <f>IF(AND('Entry list'!$I50=5,'Entry list'!$J50=5),'Entry list'!H50,"")</f>
        <v/>
      </c>
      <c r="I50" t="str">
        <f>IF(AND('Entry list'!$I50=5,'Entry list'!$J50=5),'Entry list'!K50,"")</f>
        <v/>
      </c>
      <c r="J50" t="str">
        <f>IF(AND('Entry list'!$I50=5,'Entry list'!$J50=5),'Entry list'!L50,"")</f>
        <v/>
      </c>
      <c r="K50" t="str">
        <f>IF(AND('Entry list'!$I50=5,'Entry list'!$J50=5),'Entry list'!M50,"")</f>
        <v/>
      </c>
      <c r="L50" t="str">
        <f>IF(AND('Entry list'!$I50=5,'Entry list'!$J50=5),'Entry list'!N50,"")</f>
        <v/>
      </c>
      <c r="M50" t="str">
        <f t="shared" si="0"/>
        <v/>
      </c>
      <c r="N50" t="str">
        <f t="shared" si="1"/>
        <v/>
      </c>
      <c r="O50" t="str">
        <f t="shared" si="2"/>
        <v/>
      </c>
    </row>
    <row r="51" spans="1:15" x14ac:dyDescent="0.25">
      <c r="A51" t="str">
        <f>IF(AND('Entry list'!$I51=5,'Entry list'!$J51=5),'Entry list'!A51,"")</f>
        <v/>
      </c>
      <c r="B51" t="str">
        <f>IF(AND('Entry list'!$I51=5,'Entry list'!$J51=5),'Entry list'!B51,"")</f>
        <v/>
      </c>
      <c r="C51" t="str">
        <f>IF(AND('Entry list'!$I51=5,'Entry list'!$J51=5),'Entry list'!C51,"")</f>
        <v/>
      </c>
      <c r="D51" t="str">
        <f>IF(AND('Entry list'!$I51=5,'Entry list'!$J51=5),'Entry list'!D51,"")</f>
        <v/>
      </c>
      <c r="E51" t="str">
        <f>IF(AND('Entry list'!$I51=5,'Entry list'!$J51=5),'Entry list'!E51,"")</f>
        <v/>
      </c>
      <c r="F51" t="str">
        <f>IF(AND('Entry list'!$I51=5,'Entry list'!$J51=5),'Entry list'!F51,"")</f>
        <v/>
      </c>
      <c r="G51" t="str">
        <f>IF(AND('Entry list'!$I51=5,'Entry list'!$J51=5),'Entry list'!G51,"")</f>
        <v/>
      </c>
      <c r="H51" t="str">
        <f>IF(AND('Entry list'!$I51=5,'Entry list'!$J51=5),'Entry list'!H51,"")</f>
        <v/>
      </c>
      <c r="I51" t="str">
        <f>IF(AND('Entry list'!$I51=5,'Entry list'!$J51=5),'Entry list'!K51,"")</f>
        <v/>
      </c>
      <c r="J51" t="str">
        <f>IF(AND('Entry list'!$I51=5,'Entry list'!$J51=5),'Entry list'!L51,"")</f>
        <v/>
      </c>
      <c r="K51" t="str">
        <f>IF(AND('Entry list'!$I51=5,'Entry list'!$J51=5),'Entry list'!M51,"")</f>
        <v/>
      </c>
      <c r="L51" t="str">
        <f>IF(AND('Entry list'!$I51=5,'Entry list'!$J51=5),'Entry list'!N51,"")</f>
        <v/>
      </c>
      <c r="M51" t="str">
        <f t="shared" si="0"/>
        <v/>
      </c>
      <c r="N51" t="str">
        <f t="shared" si="1"/>
        <v/>
      </c>
      <c r="O51" t="str">
        <f t="shared" si="2"/>
        <v/>
      </c>
    </row>
    <row r="52" spans="1:15" x14ac:dyDescent="0.25">
      <c r="A52">
        <f>IF(AND('Entry list'!$I52=5,'Entry list'!$J52=5),'Entry list'!A52,"")</f>
        <v>1</v>
      </c>
      <c r="B52">
        <f>IF(AND('Entry list'!$I52=5,'Entry list'!$J52=5),'Entry list'!B52,"")</f>
        <v>0.60763888888888895</v>
      </c>
      <c r="C52" t="str">
        <f>IF(AND('Entry list'!$I52=5,'Entry list'!$J52=5),'Entry list'!C52,"")</f>
        <v>FAC</v>
      </c>
      <c r="D52" t="str">
        <f>IF(AND('Entry list'!$I52=5,'Entry list'!$J52=5),'Entry list'!D52,"")</f>
        <v>DZF</v>
      </c>
      <c r="E52" t="str">
        <f>IF(AND('Entry list'!$I52=5,'Entry list'!$J52=5),'Entry list'!E52,"")</f>
        <v/>
      </c>
      <c r="F52" t="str">
        <f>IF(AND('Entry list'!$I52=5,'Entry list'!$J52=5),'Entry list'!F52,"")</f>
        <v/>
      </c>
      <c r="G52" t="str">
        <f>IF(AND('Entry list'!$I52=5,'Entry list'!$J52=5),'Entry list'!G52,"")</f>
        <v/>
      </c>
      <c r="H52" t="str">
        <f>IF(AND('Entry list'!$I52=5,'Entry list'!$J52=5),'Entry list'!H52,"")</f>
        <v/>
      </c>
      <c r="I52" t="str">
        <f>IF(AND('Entry list'!$I52=5,'Entry list'!$J52=5),'Entry list'!K52,"")</f>
        <v/>
      </c>
      <c r="J52">
        <f>IF(AND('Entry list'!$I52=5,'Entry list'!$J52=5),'Entry list'!L52,"")</f>
        <v>1</v>
      </c>
      <c r="K52">
        <f>IF(AND('Entry list'!$I52=5,'Entry list'!$J52=5),'Entry list'!M52,"")</f>
        <v>0</v>
      </c>
      <c r="L52" t="str">
        <f>IF(AND('Entry list'!$I52=5,'Entry list'!$J52=5),'Entry list'!N52,"")</f>
        <v/>
      </c>
      <c r="M52">
        <f t="shared" si="0"/>
        <v>0</v>
      </c>
      <c r="N52" t="str">
        <f t="shared" si="1"/>
        <v/>
      </c>
      <c r="O52" t="str">
        <f t="shared" si="2"/>
        <v/>
      </c>
    </row>
    <row r="53" spans="1:15" x14ac:dyDescent="0.25">
      <c r="A53" t="str">
        <f>IF(AND('Entry list'!$I53=5,'Entry list'!$J53=5),'Entry list'!A53,"")</f>
        <v/>
      </c>
      <c r="B53" t="str">
        <f>IF(AND('Entry list'!$I53=5,'Entry list'!$J53=5),'Entry list'!B53,"")</f>
        <v/>
      </c>
      <c r="C53" t="str">
        <f>IF(AND('Entry list'!$I53=5,'Entry list'!$J53=5),'Entry list'!C53,"")</f>
        <v/>
      </c>
      <c r="D53" t="str">
        <f>IF(AND('Entry list'!$I53=5,'Entry list'!$J53=5),'Entry list'!D53,"")</f>
        <v/>
      </c>
      <c r="E53" t="str">
        <f>IF(AND('Entry list'!$I53=5,'Entry list'!$J53=5),'Entry list'!E53,"")</f>
        <v/>
      </c>
      <c r="F53" t="str">
        <f>IF(AND('Entry list'!$I53=5,'Entry list'!$J53=5),'Entry list'!F53,"")</f>
        <v/>
      </c>
      <c r="G53" t="str">
        <f>IF(AND('Entry list'!$I53=5,'Entry list'!$J53=5),'Entry list'!G53,"")</f>
        <v/>
      </c>
      <c r="H53" t="str">
        <f>IF(AND('Entry list'!$I53=5,'Entry list'!$J53=5),'Entry list'!H53,"")</f>
        <v/>
      </c>
      <c r="I53" t="str">
        <f>IF(AND('Entry list'!$I53=5,'Entry list'!$J53=5),'Entry list'!K53,"")</f>
        <v/>
      </c>
      <c r="J53" t="str">
        <f>IF(AND('Entry list'!$I53=5,'Entry list'!$J53=5),'Entry list'!L53,"")</f>
        <v/>
      </c>
      <c r="K53" t="str">
        <f>IF(AND('Entry list'!$I53=5,'Entry list'!$J53=5),'Entry list'!M53,"")</f>
        <v/>
      </c>
      <c r="L53" t="str">
        <f>IF(AND('Entry list'!$I53=5,'Entry list'!$J53=5),'Entry list'!N53,"")</f>
        <v/>
      </c>
      <c r="M53" t="str">
        <f t="shared" si="0"/>
        <v/>
      </c>
      <c r="N53" t="str">
        <f t="shared" si="1"/>
        <v/>
      </c>
      <c r="O53" t="str">
        <f t="shared" si="2"/>
        <v/>
      </c>
    </row>
    <row r="54" spans="1:15" x14ac:dyDescent="0.25">
      <c r="A54" t="str">
        <f>IF(AND('Entry list'!$I54=5,'Entry list'!$J54=5),'Entry list'!A54,"")</f>
        <v/>
      </c>
      <c r="B54" t="str">
        <f>IF(AND('Entry list'!$I54=5,'Entry list'!$J54=5),'Entry list'!B54,"")</f>
        <v/>
      </c>
      <c r="C54" t="str">
        <f>IF(AND('Entry list'!$I54=5,'Entry list'!$J54=5),'Entry list'!C54,"")</f>
        <v/>
      </c>
      <c r="D54" t="str">
        <f>IF(AND('Entry list'!$I54=5,'Entry list'!$J54=5),'Entry list'!D54,"")</f>
        <v/>
      </c>
      <c r="E54" t="str">
        <f>IF(AND('Entry list'!$I54=5,'Entry list'!$J54=5),'Entry list'!E54,"")</f>
        <v/>
      </c>
      <c r="F54" t="str">
        <f>IF(AND('Entry list'!$I54=5,'Entry list'!$J54=5),'Entry list'!F54,"")</f>
        <v/>
      </c>
      <c r="G54" t="str">
        <f>IF(AND('Entry list'!$I54=5,'Entry list'!$J54=5),'Entry list'!G54,"")</f>
        <v/>
      </c>
      <c r="H54" t="str">
        <f>IF(AND('Entry list'!$I54=5,'Entry list'!$J54=5),'Entry list'!H54,"")</f>
        <v/>
      </c>
      <c r="I54" t="str">
        <f>IF(AND('Entry list'!$I54=5,'Entry list'!$J54=5),'Entry list'!K54,"")</f>
        <v/>
      </c>
      <c r="J54" t="str">
        <f>IF(AND('Entry list'!$I54=5,'Entry list'!$J54=5),'Entry list'!L54,"")</f>
        <v/>
      </c>
      <c r="K54" t="str">
        <f>IF(AND('Entry list'!$I54=5,'Entry list'!$J54=5),'Entry list'!M54,"")</f>
        <v/>
      </c>
      <c r="L54" t="str">
        <f>IF(AND('Entry list'!$I54=5,'Entry list'!$J54=5),'Entry list'!N54,"")</f>
        <v/>
      </c>
      <c r="M54" t="str">
        <f t="shared" si="0"/>
        <v/>
      </c>
      <c r="N54" t="str">
        <f t="shared" si="1"/>
        <v/>
      </c>
      <c r="O54" t="str">
        <f t="shared" si="2"/>
        <v/>
      </c>
    </row>
    <row r="55" spans="1:15" x14ac:dyDescent="0.25">
      <c r="A55">
        <f>IF(AND('Entry list'!$I55=5,'Entry list'!$J55=5),'Entry list'!A55,"")</f>
        <v>1</v>
      </c>
      <c r="B55">
        <f>IF(AND('Entry list'!$I55=5,'Entry list'!$J55=5),'Entry list'!B55,"")</f>
        <v>0.59722222222222221</v>
      </c>
      <c r="C55" t="str">
        <f>IF(AND('Entry list'!$I55=5,'Entry list'!$J55=5),'Entry list'!C55,"")</f>
        <v>FAC</v>
      </c>
      <c r="D55" t="str">
        <f>IF(AND('Entry list'!$I55=5,'Entry list'!$J55=5),'Entry list'!D55,"")</f>
        <v>DZF</v>
      </c>
      <c r="E55" t="str">
        <f>IF(AND('Entry list'!$I55=5,'Entry list'!$J55=5),'Entry list'!E55,"")</f>
        <v/>
      </c>
      <c r="F55" t="str">
        <f>IF(AND('Entry list'!$I55=5,'Entry list'!$J55=5),'Entry list'!F55,"")</f>
        <v/>
      </c>
      <c r="G55" t="str">
        <f>IF(AND('Entry list'!$I55=5,'Entry list'!$J55=5),'Entry list'!G55,"")</f>
        <v/>
      </c>
      <c r="H55" t="str">
        <f>IF(AND('Entry list'!$I55=5,'Entry list'!$J55=5),'Entry list'!H55,"")</f>
        <v/>
      </c>
      <c r="I55" t="str">
        <f>IF(AND('Entry list'!$I55=5,'Entry list'!$J55=5),'Entry list'!K55,"")</f>
        <v/>
      </c>
      <c r="J55">
        <f>IF(AND('Entry list'!$I55=5,'Entry list'!$J55=5),'Entry list'!L55,"")</f>
        <v>0</v>
      </c>
      <c r="K55">
        <f>IF(AND('Entry list'!$I55=5,'Entry list'!$J55=5),'Entry list'!M55,"")</f>
        <v>0</v>
      </c>
      <c r="L55" t="str">
        <f>IF(AND('Entry list'!$I55=5,'Entry list'!$J55=5),'Entry list'!N55,"")</f>
        <v/>
      </c>
      <c r="M55">
        <f t="shared" si="0"/>
        <v>0</v>
      </c>
      <c r="N55" t="str">
        <f t="shared" si="1"/>
        <v/>
      </c>
      <c r="O55" t="str">
        <f t="shared" si="2"/>
        <v/>
      </c>
    </row>
    <row r="56" spans="1:15" x14ac:dyDescent="0.25">
      <c r="A56">
        <f>IF(AND('Entry list'!$I56=5,'Entry list'!$J56=5),'Entry list'!A56,"")</f>
        <v>1</v>
      </c>
      <c r="B56">
        <f>IF(AND('Entry list'!$I56=5,'Entry list'!$J56=5),'Entry list'!B56,"")</f>
        <v>0.5805555555555556</v>
      </c>
      <c r="C56" t="str">
        <f>IF(AND('Entry list'!$I56=5,'Entry list'!$J56=5),'Entry list'!C56,"")</f>
        <v>D</v>
      </c>
      <c r="D56" t="str">
        <f>IF(AND('Entry list'!$I56=5,'Entry list'!$J56=5),'Entry list'!D56,"")</f>
        <v>14NSH</v>
      </c>
      <c r="E56" t="str">
        <f>IF(AND('Entry list'!$I56=5,'Entry list'!$J56=5),'Entry list'!E56,"")</f>
        <v>N</v>
      </c>
      <c r="F56" t="str">
        <f>IF(AND('Entry list'!$I56=5,'Entry list'!$J56=5),'Entry list'!F56,"")</f>
        <v/>
      </c>
      <c r="G56" t="str">
        <f>IF(AND('Entry list'!$I56=5,'Entry list'!$J56=5),'Entry list'!G56,"")</f>
        <v>L</v>
      </c>
      <c r="H56" t="str">
        <f>IF(AND('Entry list'!$I56=5,'Entry list'!$J56=5),'Entry list'!H56,"")</f>
        <v>N</v>
      </c>
      <c r="I56" t="str">
        <f>IF(AND('Entry list'!$I56=5,'Entry list'!$J56=5),'Entry list'!K56,"")</f>
        <v/>
      </c>
      <c r="J56">
        <f>IF(AND('Entry list'!$I56=5,'Entry list'!$J56=5),'Entry list'!L56,"")</f>
        <v>0</v>
      </c>
      <c r="K56">
        <f>IF(AND('Entry list'!$I56=5,'Entry list'!$J56=5),'Entry list'!M56,"")</f>
        <v>0</v>
      </c>
      <c r="L56" t="str">
        <f>IF(AND('Entry list'!$I56=5,'Entry list'!$J56=5),'Entry list'!N56,"")</f>
        <v/>
      </c>
      <c r="M56">
        <f t="shared" si="0"/>
        <v>0</v>
      </c>
      <c r="N56" t="str">
        <f t="shared" si="1"/>
        <v/>
      </c>
      <c r="O56" t="str">
        <f t="shared" si="2"/>
        <v/>
      </c>
    </row>
    <row r="57" spans="1:15" x14ac:dyDescent="0.25">
      <c r="A57">
        <f>IF(AND('Entry list'!$I57=5,'Entry list'!$J57=5),'Entry list'!A57,"")</f>
        <v>1</v>
      </c>
      <c r="B57">
        <f>IF(AND('Entry list'!$I57=5,'Entry list'!$J57=5),'Entry list'!B57,"")</f>
        <v>0.5708333333333333</v>
      </c>
      <c r="C57" t="str">
        <f>IF(AND('Entry list'!$I57=5,'Entry list'!$J57=5),'Entry list'!C57,"")</f>
        <v>C</v>
      </c>
      <c r="D57" t="str">
        <f>IF(AND('Entry list'!$I57=5,'Entry list'!$J57=5),'Entry list'!D57,"")</f>
        <v>51DET</v>
      </c>
      <c r="E57" t="str">
        <f>IF(AND('Entry list'!$I57=5,'Entry list'!$J57=5),'Entry list'!E57,"")</f>
        <v>7NSH</v>
      </c>
      <c r="F57" t="str">
        <f>IF(AND('Entry list'!$I57=5,'Entry list'!$J57=5),'Entry list'!F57,"")</f>
        <v>Y</v>
      </c>
      <c r="G57" t="str">
        <f>IF(AND('Entry list'!$I57=5,'Entry list'!$J57=5),'Entry list'!G57,"")</f>
        <v>C</v>
      </c>
      <c r="H57" t="str">
        <f>IF(AND('Entry list'!$I57=5,'Entry list'!$J57=5),'Entry list'!H57,"")</f>
        <v>N</v>
      </c>
      <c r="I57" t="str">
        <f>IF(AND('Entry list'!$I57=5,'Entry list'!$J57=5),'Entry list'!K57,"")</f>
        <v>51DET</v>
      </c>
      <c r="J57">
        <f>IF(AND('Entry list'!$I57=5,'Entry list'!$J57=5),'Entry list'!L57,"")</f>
        <v>1</v>
      </c>
      <c r="K57">
        <f>IF(AND('Entry list'!$I57=5,'Entry list'!$J57=5),'Entry list'!M57,"")</f>
        <v>0</v>
      </c>
      <c r="L57" t="str">
        <f>IF(AND('Entry list'!$I57=5,'Entry list'!$J57=5),'Entry list'!N57,"")</f>
        <v/>
      </c>
      <c r="M57">
        <f t="shared" si="0"/>
        <v>0</v>
      </c>
      <c r="N57">
        <f t="shared" si="1"/>
        <v>0</v>
      </c>
      <c r="O57" t="str">
        <f t="shared" si="2"/>
        <v/>
      </c>
    </row>
    <row r="58" spans="1:15" x14ac:dyDescent="0.25">
      <c r="A58" t="str">
        <f>IF(AND('Entry list'!$I58=5,'Entry list'!$J58=5),'Entry list'!A58,"")</f>
        <v/>
      </c>
      <c r="B58" t="str">
        <f>IF(AND('Entry list'!$I58=5,'Entry list'!$J58=5),'Entry list'!B58,"")</f>
        <v/>
      </c>
      <c r="C58" t="str">
        <f>IF(AND('Entry list'!$I58=5,'Entry list'!$J58=5),'Entry list'!C58,"")</f>
        <v/>
      </c>
      <c r="D58" t="str">
        <f>IF(AND('Entry list'!$I58=5,'Entry list'!$J58=5),'Entry list'!D58,"")</f>
        <v/>
      </c>
      <c r="E58" t="str">
        <f>IF(AND('Entry list'!$I58=5,'Entry list'!$J58=5),'Entry list'!E58,"")</f>
        <v/>
      </c>
      <c r="F58" t="str">
        <f>IF(AND('Entry list'!$I58=5,'Entry list'!$J58=5),'Entry list'!F58,"")</f>
        <v/>
      </c>
      <c r="G58" t="str">
        <f>IF(AND('Entry list'!$I58=5,'Entry list'!$J58=5),'Entry list'!G58,"")</f>
        <v/>
      </c>
      <c r="H58" t="str">
        <f>IF(AND('Entry list'!$I58=5,'Entry list'!$J58=5),'Entry list'!H58,"")</f>
        <v/>
      </c>
      <c r="I58" t="str">
        <f>IF(AND('Entry list'!$I58=5,'Entry list'!$J58=5),'Entry list'!K58,"")</f>
        <v/>
      </c>
      <c r="J58" t="str">
        <f>IF(AND('Entry list'!$I58=5,'Entry list'!$J58=5),'Entry list'!L58,"")</f>
        <v/>
      </c>
      <c r="K58" t="str">
        <f>IF(AND('Entry list'!$I58=5,'Entry list'!$J58=5),'Entry list'!M58,"")</f>
        <v/>
      </c>
      <c r="L58" t="str">
        <f>IF(AND('Entry list'!$I58=5,'Entry list'!$J58=5),'Entry list'!N58,"")</f>
        <v/>
      </c>
      <c r="M58" t="str">
        <f t="shared" si="0"/>
        <v/>
      </c>
      <c r="N58" t="str">
        <f t="shared" si="1"/>
        <v/>
      </c>
      <c r="O58" t="str">
        <f t="shared" si="2"/>
        <v/>
      </c>
    </row>
    <row r="59" spans="1:15" x14ac:dyDescent="0.25">
      <c r="A59" t="str">
        <f>IF(AND('Entry list'!$I59=5,'Entry list'!$J59=5),'Entry list'!A59,"")</f>
        <v/>
      </c>
      <c r="B59" t="str">
        <f>IF(AND('Entry list'!$I59=5,'Entry list'!$J59=5),'Entry list'!B59,"")</f>
        <v/>
      </c>
      <c r="C59" t="str">
        <f>IF(AND('Entry list'!$I59=5,'Entry list'!$J59=5),'Entry list'!C59,"")</f>
        <v/>
      </c>
      <c r="D59" t="str">
        <f>IF(AND('Entry list'!$I59=5,'Entry list'!$J59=5),'Entry list'!D59,"")</f>
        <v/>
      </c>
      <c r="E59" t="str">
        <f>IF(AND('Entry list'!$I59=5,'Entry list'!$J59=5),'Entry list'!E59,"")</f>
        <v/>
      </c>
      <c r="F59" t="str">
        <f>IF(AND('Entry list'!$I59=5,'Entry list'!$J59=5),'Entry list'!F59,"")</f>
        <v/>
      </c>
      <c r="G59" t="str">
        <f>IF(AND('Entry list'!$I59=5,'Entry list'!$J59=5),'Entry list'!G59,"")</f>
        <v/>
      </c>
      <c r="H59" t="str">
        <f>IF(AND('Entry list'!$I59=5,'Entry list'!$J59=5),'Entry list'!H59,"")</f>
        <v/>
      </c>
      <c r="I59" t="str">
        <f>IF(AND('Entry list'!$I59=5,'Entry list'!$J59=5),'Entry list'!K59,"")</f>
        <v/>
      </c>
      <c r="J59" t="str">
        <f>IF(AND('Entry list'!$I59=5,'Entry list'!$J59=5),'Entry list'!L59,"")</f>
        <v/>
      </c>
      <c r="K59" t="str">
        <f>IF(AND('Entry list'!$I59=5,'Entry list'!$J59=5),'Entry list'!M59,"")</f>
        <v/>
      </c>
      <c r="L59" t="str">
        <f>IF(AND('Entry list'!$I59=5,'Entry list'!$J59=5),'Entry list'!N59,"")</f>
        <v/>
      </c>
      <c r="M59" t="str">
        <f t="shared" si="0"/>
        <v/>
      </c>
      <c r="N59" t="str">
        <f t="shared" si="1"/>
        <v/>
      </c>
      <c r="O59" t="str">
        <f t="shared" si="2"/>
        <v/>
      </c>
    </row>
    <row r="60" spans="1:15" x14ac:dyDescent="0.25">
      <c r="A60">
        <f>IF(AND('Entry list'!$I60=5,'Entry list'!$J60=5),'Entry list'!A60,"")</f>
        <v>1</v>
      </c>
      <c r="B60">
        <f>IF(AND('Entry list'!$I60=5,'Entry list'!$J60=5),'Entry list'!B60,"")</f>
        <v>0.56805555555555554</v>
      </c>
      <c r="C60" t="str">
        <f>IF(AND('Entry list'!$I60=5,'Entry list'!$J60=5),'Entry list'!C60,"")</f>
        <v>FAC</v>
      </c>
      <c r="D60" t="str">
        <f>IF(AND('Entry list'!$I60=5,'Entry list'!$J60=5),'Entry list'!D60,"")</f>
        <v>OZF</v>
      </c>
      <c r="E60" t="str">
        <f>IF(AND('Entry list'!$I60=5,'Entry list'!$J60=5),'Entry list'!E60,"")</f>
        <v/>
      </c>
      <c r="F60" t="str">
        <f>IF(AND('Entry list'!$I60=5,'Entry list'!$J60=5),'Entry list'!F60,"")</f>
        <v/>
      </c>
      <c r="G60" t="str">
        <f>IF(AND('Entry list'!$I60=5,'Entry list'!$J60=5),'Entry list'!G60,"")</f>
        <v/>
      </c>
      <c r="H60" t="str">
        <f>IF(AND('Entry list'!$I60=5,'Entry list'!$J60=5),'Entry list'!H60,"")</f>
        <v/>
      </c>
      <c r="I60" t="str">
        <f>IF(AND('Entry list'!$I60=5,'Entry list'!$J60=5),'Entry list'!K60,"")</f>
        <v/>
      </c>
      <c r="J60">
        <f>IF(AND('Entry list'!$I60=5,'Entry list'!$J60=5),'Entry list'!L60,"")</f>
        <v>2</v>
      </c>
      <c r="K60">
        <f>IF(AND('Entry list'!$I60=5,'Entry list'!$J60=5),'Entry list'!M60,"")</f>
        <v>0</v>
      </c>
      <c r="L60" t="str">
        <f>IF(AND('Entry list'!$I60=5,'Entry list'!$J60=5),'Entry list'!N60,"")</f>
        <v/>
      </c>
      <c r="M60">
        <f t="shared" si="0"/>
        <v>0</v>
      </c>
      <c r="N60" t="str">
        <f t="shared" si="1"/>
        <v/>
      </c>
      <c r="O60" t="str">
        <f t="shared" si="2"/>
        <v/>
      </c>
    </row>
    <row r="61" spans="1:15" x14ac:dyDescent="0.25">
      <c r="A61" t="str">
        <f>IF(AND('Entry list'!$I61=5,'Entry list'!$J61=5),'Entry list'!A61,"")</f>
        <v/>
      </c>
      <c r="B61" t="str">
        <f>IF(AND('Entry list'!$I61=5,'Entry list'!$J61=5),'Entry list'!B61,"")</f>
        <v/>
      </c>
      <c r="C61" t="str">
        <f>IF(AND('Entry list'!$I61=5,'Entry list'!$J61=5),'Entry list'!C61,"")</f>
        <v/>
      </c>
      <c r="D61" t="str">
        <f>IF(AND('Entry list'!$I61=5,'Entry list'!$J61=5),'Entry list'!D61,"")</f>
        <v/>
      </c>
      <c r="E61" t="str">
        <f>IF(AND('Entry list'!$I61=5,'Entry list'!$J61=5),'Entry list'!E61,"")</f>
        <v/>
      </c>
      <c r="F61" t="str">
        <f>IF(AND('Entry list'!$I61=5,'Entry list'!$J61=5),'Entry list'!F61,"")</f>
        <v/>
      </c>
      <c r="G61" t="str">
        <f>IF(AND('Entry list'!$I61=5,'Entry list'!$J61=5),'Entry list'!G61,"")</f>
        <v/>
      </c>
      <c r="H61" t="str">
        <f>IF(AND('Entry list'!$I61=5,'Entry list'!$J61=5),'Entry list'!H61,"")</f>
        <v/>
      </c>
      <c r="I61" t="str">
        <f>IF(AND('Entry list'!$I61=5,'Entry list'!$J61=5),'Entry list'!K61,"")</f>
        <v/>
      </c>
      <c r="J61" t="str">
        <f>IF(AND('Entry list'!$I61=5,'Entry list'!$J61=5),'Entry list'!L61,"")</f>
        <v/>
      </c>
      <c r="K61" t="str">
        <f>IF(AND('Entry list'!$I61=5,'Entry list'!$J61=5),'Entry list'!M61,"")</f>
        <v/>
      </c>
      <c r="L61" t="str">
        <f>IF(AND('Entry list'!$I61=5,'Entry list'!$J61=5),'Entry list'!N61,"")</f>
        <v/>
      </c>
      <c r="M61" t="str">
        <f t="shared" si="0"/>
        <v/>
      </c>
      <c r="N61" t="str">
        <f t="shared" si="1"/>
        <v/>
      </c>
      <c r="O61" t="str">
        <f t="shared" si="2"/>
        <v/>
      </c>
    </row>
    <row r="62" spans="1:15" x14ac:dyDescent="0.25">
      <c r="A62" t="str">
        <f>IF(AND('Entry list'!$I62=5,'Entry list'!$J62=5),'Entry list'!A62,"")</f>
        <v/>
      </c>
      <c r="B62" t="str">
        <f>IF(AND('Entry list'!$I62=5,'Entry list'!$J62=5),'Entry list'!B62,"")</f>
        <v/>
      </c>
      <c r="C62" t="str">
        <f>IF(AND('Entry list'!$I62=5,'Entry list'!$J62=5),'Entry list'!C62,"")</f>
        <v/>
      </c>
      <c r="D62" t="str">
        <f>IF(AND('Entry list'!$I62=5,'Entry list'!$J62=5),'Entry list'!D62,"")</f>
        <v/>
      </c>
      <c r="E62" t="str">
        <f>IF(AND('Entry list'!$I62=5,'Entry list'!$J62=5),'Entry list'!E62,"")</f>
        <v/>
      </c>
      <c r="F62" t="str">
        <f>IF(AND('Entry list'!$I62=5,'Entry list'!$J62=5),'Entry list'!F62,"")</f>
        <v/>
      </c>
      <c r="G62" t="str">
        <f>IF(AND('Entry list'!$I62=5,'Entry list'!$J62=5),'Entry list'!G62,"")</f>
        <v/>
      </c>
      <c r="H62" t="str">
        <f>IF(AND('Entry list'!$I62=5,'Entry list'!$J62=5),'Entry list'!H62,"")</f>
        <v/>
      </c>
      <c r="I62" t="str">
        <f>IF(AND('Entry list'!$I62=5,'Entry list'!$J62=5),'Entry list'!K62,"")</f>
        <v/>
      </c>
      <c r="J62" t="str">
        <f>IF(AND('Entry list'!$I62=5,'Entry list'!$J62=5),'Entry list'!L62,"")</f>
        <v/>
      </c>
      <c r="K62" t="str">
        <f>IF(AND('Entry list'!$I62=5,'Entry list'!$J62=5),'Entry list'!M62,"")</f>
        <v/>
      </c>
      <c r="L62" t="str">
        <f>IF(AND('Entry list'!$I62=5,'Entry list'!$J62=5),'Entry list'!N62,"")</f>
        <v/>
      </c>
      <c r="M62" t="str">
        <f t="shared" si="0"/>
        <v/>
      </c>
      <c r="N62" t="str">
        <f t="shared" si="1"/>
        <v/>
      </c>
      <c r="O62" t="str">
        <f t="shared" si="2"/>
        <v/>
      </c>
    </row>
    <row r="63" spans="1:15" x14ac:dyDescent="0.25">
      <c r="A63" t="str">
        <f>IF(AND('Entry list'!$I63=5,'Entry list'!$J63=5),'Entry list'!A63,"")</f>
        <v/>
      </c>
      <c r="B63" t="str">
        <f>IF(AND('Entry list'!$I63=5,'Entry list'!$J63=5),'Entry list'!B63,"")</f>
        <v/>
      </c>
      <c r="C63" t="str">
        <f>IF(AND('Entry list'!$I63=5,'Entry list'!$J63=5),'Entry list'!C63,"")</f>
        <v/>
      </c>
      <c r="D63" t="str">
        <f>IF(AND('Entry list'!$I63=5,'Entry list'!$J63=5),'Entry list'!D63,"")</f>
        <v/>
      </c>
      <c r="E63" t="str">
        <f>IF(AND('Entry list'!$I63=5,'Entry list'!$J63=5),'Entry list'!E63,"")</f>
        <v/>
      </c>
      <c r="F63" t="str">
        <f>IF(AND('Entry list'!$I63=5,'Entry list'!$J63=5),'Entry list'!F63,"")</f>
        <v/>
      </c>
      <c r="G63" t="str">
        <f>IF(AND('Entry list'!$I63=5,'Entry list'!$J63=5),'Entry list'!G63,"")</f>
        <v/>
      </c>
      <c r="H63" t="str">
        <f>IF(AND('Entry list'!$I63=5,'Entry list'!$J63=5),'Entry list'!H63,"")</f>
        <v/>
      </c>
      <c r="I63" t="str">
        <f>IF(AND('Entry list'!$I63=5,'Entry list'!$J63=5),'Entry list'!K63,"")</f>
        <v/>
      </c>
      <c r="J63" t="str">
        <f>IF(AND('Entry list'!$I63=5,'Entry list'!$J63=5),'Entry list'!L63,"")</f>
        <v/>
      </c>
      <c r="K63" t="str">
        <f>IF(AND('Entry list'!$I63=5,'Entry list'!$J63=5),'Entry list'!M63,"")</f>
        <v/>
      </c>
      <c r="L63" t="str">
        <f>IF(AND('Entry list'!$I63=5,'Entry list'!$J63=5),'Entry list'!N63,"")</f>
        <v/>
      </c>
      <c r="M63" t="str">
        <f t="shared" si="0"/>
        <v/>
      </c>
      <c r="N63" t="str">
        <f t="shared" si="1"/>
        <v/>
      </c>
      <c r="O63" t="str">
        <f t="shared" si="2"/>
        <v/>
      </c>
    </row>
    <row r="64" spans="1:15" x14ac:dyDescent="0.25">
      <c r="A64" t="str">
        <f>IF(AND('Entry list'!$I64=5,'Entry list'!$J64=5),'Entry list'!A64,"")</f>
        <v/>
      </c>
      <c r="B64" t="str">
        <f>IF(AND('Entry list'!$I64=5,'Entry list'!$J64=5),'Entry list'!B64,"")</f>
        <v/>
      </c>
      <c r="C64" t="str">
        <f>IF(AND('Entry list'!$I64=5,'Entry list'!$J64=5),'Entry list'!C64,"")</f>
        <v/>
      </c>
      <c r="D64" t="str">
        <f>IF(AND('Entry list'!$I64=5,'Entry list'!$J64=5),'Entry list'!D64,"")</f>
        <v/>
      </c>
      <c r="E64" t="str">
        <f>IF(AND('Entry list'!$I64=5,'Entry list'!$J64=5),'Entry list'!E64,"")</f>
        <v/>
      </c>
      <c r="F64" t="str">
        <f>IF(AND('Entry list'!$I64=5,'Entry list'!$J64=5),'Entry list'!F64,"")</f>
        <v/>
      </c>
      <c r="G64" t="str">
        <f>IF(AND('Entry list'!$I64=5,'Entry list'!$J64=5),'Entry list'!G64,"")</f>
        <v/>
      </c>
      <c r="H64" t="str">
        <f>IF(AND('Entry list'!$I64=5,'Entry list'!$J64=5),'Entry list'!H64,"")</f>
        <v/>
      </c>
      <c r="I64" t="str">
        <f>IF(AND('Entry list'!$I64=5,'Entry list'!$J64=5),'Entry list'!K64,"")</f>
        <v/>
      </c>
      <c r="J64" t="str">
        <f>IF(AND('Entry list'!$I64=5,'Entry list'!$J64=5),'Entry list'!L64,"")</f>
        <v/>
      </c>
      <c r="K64" t="str">
        <f>IF(AND('Entry list'!$I64=5,'Entry list'!$J64=5),'Entry list'!M64,"")</f>
        <v/>
      </c>
      <c r="L64" t="str">
        <f>IF(AND('Entry list'!$I64=5,'Entry list'!$J64=5),'Entry list'!N64,"")</f>
        <v/>
      </c>
      <c r="M64" t="str">
        <f t="shared" si="0"/>
        <v/>
      </c>
      <c r="N64" t="str">
        <f t="shared" si="1"/>
        <v/>
      </c>
      <c r="O64" t="str">
        <f t="shared" si="2"/>
        <v/>
      </c>
    </row>
    <row r="65" spans="1:15" x14ac:dyDescent="0.25">
      <c r="A65">
        <f>IF(AND('Entry list'!$I65=5,'Entry list'!$J65=5),'Entry list'!A65,"")</f>
        <v>1</v>
      </c>
      <c r="B65">
        <f>IF(AND('Entry list'!$I65=5,'Entry list'!$J65=5),'Entry list'!B65,"")</f>
        <v>0.55208333333333337</v>
      </c>
      <c r="C65" t="str">
        <f>IF(AND('Entry list'!$I65=5,'Entry list'!$J65=5),'Entry list'!C65,"")</f>
        <v>FAC</v>
      </c>
      <c r="D65" t="str">
        <f>IF(AND('Entry list'!$I65=5,'Entry list'!$J65=5),'Entry list'!D65,"")</f>
        <v>OZF</v>
      </c>
      <c r="E65" t="str">
        <f>IF(AND('Entry list'!$I65=5,'Entry list'!$J65=5),'Entry list'!E65,"")</f>
        <v/>
      </c>
      <c r="F65" t="str">
        <f>IF(AND('Entry list'!$I65=5,'Entry list'!$J65=5),'Entry list'!F65,"")</f>
        <v/>
      </c>
      <c r="G65" t="str">
        <f>IF(AND('Entry list'!$I65=5,'Entry list'!$J65=5),'Entry list'!G65,"")</f>
        <v/>
      </c>
      <c r="H65" t="str">
        <f>IF(AND('Entry list'!$I65=5,'Entry list'!$J65=5),'Entry list'!H65,"")</f>
        <v/>
      </c>
      <c r="I65" t="str">
        <f>IF(AND('Entry list'!$I65=5,'Entry list'!$J65=5),'Entry list'!K65,"")</f>
        <v/>
      </c>
      <c r="J65">
        <f>IF(AND('Entry list'!$I65=5,'Entry list'!$J65=5),'Entry list'!L65,"")</f>
        <v>0</v>
      </c>
      <c r="K65">
        <f>IF(AND('Entry list'!$I65=5,'Entry list'!$J65=5),'Entry list'!M65,"")</f>
        <v>0</v>
      </c>
      <c r="L65" t="str">
        <f>IF(AND('Entry list'!$I65=5,'Entry list'!$J65=5),'Entry list'!N65,"")</f>
        <v/>
      </c>
      <c r="M65">
        <f t="shared" si="0"/>
        <v>0</v>
      </c>
      <c r="N65" t="str">
        <f t="shared" si="1"/>
        <v/>
      </c>
      <c r="O65" t="str">
        <f t="shared" si="2"/>
        <v/>
      </c>
    </row>
    <row r="66" spans="1:15" x14ac:dyDescent="0.25">
      <c r="A66" t="str">
        <f>IF(AND('Entry list'!$I66=5,'Entry list'!$J66=5),'Entry list'!A66,"")</f>
        <v/>
      </c>
      <c r="B66" t="str">
        <f>IF(AND('Entry list'!$I66=5,'Entry list'!$J66=5),'Entry list'!B66,"")</f>
        <v/>
      </c>
      <c r="C66" t="str">
        <f>IF(AND('Entry list'!$I66=5,'Entry list'!$J66=5),'Entry list'!C66,"")</f>
        <v/>
      </c>
      <c r="D66" t="str">
        <f>IF(AND('Entry list'!$I66=5,'Entry list'!$J66=5),'Entry list'!D66,"")</f>
        <v/>
      </c>
      <c r="E66" t="str">
        <f>IF(AND('Entry list'!$I66=5,'Entry list'!$J66=5),'Entry list'!E66,"")</f>
        <v/>
      </c>
      <c r="F66" t="str">
        <f>IF(AND('Entry list'!$I66=5,'Entry list'!$J66=5),'Entry list'!F66,"")</f>
        <v/>
      </c>
      <c r="G66" t="str">
        <f>IF(AND('Entry list'!$I66=5,'Entry list'!$J66=5),'Entry list'!G66,"")</f>
        <v/>
      </c>
      <c r="H66" t="str">
        <f>IF(AND('Entry list'!$I66=5,'Entry list'!$J66=5),'Entry list'!H66,"")</f>
        <v/>
      </c>
      <c r="I66" t="str">
        <f>IF(AND('Entry list'!$I66=5,'Entry list'!$J66=5),'Entry list'!K66,"")</f>
        <v/>
      </c>
      <c r="J66" t="str">
        <f>IF(AND('Entry list'!$I66=5,'Entry list'!$J66=5),'Entry list'!L66,"")</f>
        <v/>
      </c>
      <c r="K66" t="str">
        <f>IF(AND('Entry list'!$I66=5,'Entry list'!$J66=5),'Entry list'!M66,"")</f>
        <v/>
      </c>
      <c r="L66" t="str">
        <f>IF(AND('Entry list'!$I66=5,'Entry list'!$J66=5),'Entry list'!N66,"")</f>
        <v/>
      </c>
      <c r="M66" t="str">
        <f t="shared" si="0"/>
        <v/>
      </c>
      <c r="N66" t="str">
        <f t="shared" si="1"/>
        <v/>
      </c>
      <c r="O66" t="str">
        <f t="shared" si="2"/>
        <v/>
      </c>
    </row>
    <row r="67" spans="1:15" x14ac:dyDescent="0.25">
      <c r="A67" t="str">
        <f>IF(AND('Entry list'!$I67=5,'Entry list'!$J67=5),'Entry list'!A67,"")</f>
        <v/>
      </c>
      <c r="B67" t="str">
        <f>IF(AND('Entry list'!$I67=5,'Entry list'!$J67=5),'Entry list'!B67,"")</f>
        <v/>
      </c>
      <c r="C67" t="str">
        <f>IF(AND('Entry list'!$I67=5,'Entry list'!$J67=5),'Entry list'!C67,"")</f>
        <v/>
      </c>
      <c r="D67" t="str">
        <f>IF(AND('Entry list'!$I67=5,'Entry list'!$J67=5),'Entry list'!D67,"")</f>
        <v/>
      </c>
      <c r="E67" t="str">
        <f>IF(AND('Entry list'!$I67=5,'Entry list'!$J67=5),'Entry list'!E67,"")</f>
        <v/>
      </c>
      <c r="F67" t="str">
        <f>IF(AND('Entry list'!$I67=5,'Entry list'!$J67=5),'Entry list'!F67,"")</f>
        <v/>
      </c>
      <c r="G67" t="str">
        <f>IF(AND('Entry list'!$I67=5,'Entry list'!$J67=5),'Entry list'!G67,"")</f>
        <v/>
      </c>
      <c r="H67" t="str">
        <f>IF(AND('Entry list'!$I67=5,'Entry list'!$J67=5),'Entry list'!H67,"")</f>
        <v/>
      </c>
      <c r="I67" t="str">
        <f>IF(AND('Entry list'!$I67=5,'Entry list'!$J67=5),'Entry list'!K67,"")</f>
        <v/>
      </c>
      <c r="J67" t="str">
        <f>IF(AND('Entry list'!$I67=5,'Entry list'!$J67=5),'Entry list'!L67,"")</f>
        <v/>
      </c>
      <c r="K67" t="str">
        <f>IF(AND('Entry list'!$I67=5,'Entry list'!$J67=5),'Entry list'!M67,"")</f>
        <v/>
      </c>
      <c r="L67" t="str">
        <f>IF(AND('Entry list'!$I67=5,'Entry list'!$J67=5),'Entry list'!N67,"")</f>
        <v/>
      </c>
      <c r="M67" t="str">
        <f t="shared" ref="M67:M130" si="3">IF(EXACT(D67,""),"",IF(EXACT(LEFT(D67,3),"WSH"),1,0))</f>
        <v/>
      </c>
      <c r="N67" t="str">
        <f t="shared" ref="N67:N130" si="4">IF(EXACT(I67,""),"",IF(EXACT(LEFT(I67,3),"WSH"),1,0))</f>
        <v/>
      </c>
      <c r="O67" t="str">
        <f t="shared" ref="O67:O130" si="5">IF(EXACT(L67,""),"",IF(EXACT(LEFT(L67,3),"WSH"),1,0))</f>
        <v/>
      </c>
    </row>
    <row r="68" spans="1:15" x14ac:dyDescent="0.25">
      <c r="A68" t="str">
        <f>IF(AND('Entry list'!$I68=5,'Entry list'!$J68=5),'Entry list'!A68,"")</f>
        <v/>
      </c>
      <c r="B68" t="str">
        <f>IF(AND('Entry list'!$I68=5,'Entry list'!$J68=5),'Entry list'!B68,"")</f>
        <v/>
      </c>
      <c r="C68" t="str">
        <f>IF(AND('Entry list'!$I68=5,'Entry list'!$J68=5),'Entry list'!C68,"")</f>
        <v/>
      </c>
      <c r="D68" t="str">
        <f>IF(AND('Entry list'!$I68=5,'Entry list'!$J68=5),'Entry list'!D68,"")</f>
        <v/>
      </c>
      <c r="E68" t="str">
        <f>IF(AND('Entry list'!$I68=5,'Entry list'!$J68=5),'Entry list'!E68,"")</f>
        <v/>
      </c>
      <c r="F68" t="str">
        <f>IF(AND('Entry list'!$I68=5,'Entry list'!$J68=5),'Entry list'!F68,"")</f>
        <v/>
      </c>
      <c r="G68" t="str">
        <f>IF(AND('Entry list'!$I68=5,'Entry list'!$J68=5),'Entry list'!G68,"")</f>
        <v/>
      </c>
      <c r="H68" t="str">
        <f>IF(AND('Entry list'!$I68=5,'Entry list'!$J68=5),'Entry list'!H68,"")</f>
        <v/>
      </c>
      <c r="I68" t="str">
        <f>IF(AND('Entry list'!$I68=5,'Entry list'!$J68=5),'Entry list'!K68,"")</f>
        <v/>
      </c>
      <c r="J68" t="str">
        <f>IF(AND('Entry list'!$I68=5,'Entry list'!$J68=5),'Entry list'!L68,"")</f>
        <v/>
      </c>
      <c r="K68" t="str">
        <f>IF(AND('Entry list'!$I68=5,'Entry list'!$J68=5),'Entry list'!M68,"")</f>
        <v/>
      </c>
      <c r="L68" t="str">
        <f>IF(AND('Entry list'!$I68=5,'Entry list'!$J68=5),'Entry list'!N68,"")</f>
        <v/>
      </c>
      <c r="M68" t="str">
        <f t="shared" si="3"/>
        <v/>
      </c>
      <c r="N68" t="str">
        <f t="shared" si="4"/>
        <v/>
      </c>
      <c r="O68" t="str">
        <f t="shared" si="5"/>
        <v/>
      </c>
    </row>
    <row r="69" spans="1:15" x14ac:dyDescent="0.25">
      <c r="A69" t="str">
        <f>IF(AND('Entry list'!$I69=5,'Entry list'!$J69=5),'Entry list'!A69,"")</f>
        <v/>
      </c>
      <c r="B69" t="str">
        <f>IF(AND('Entry list'!$I69=5,'Entry list'!$J69=5),'Entry list'!B69,"")</f>
        <v/>
      </c>
      <c r="C69" t="str">
        <f>IF(AND('Entry list'!$I69=5,'Entry list'!$J69=5),'Entry list'!C69,"")</f>
        <v/>
      </c>
      <c r="D69" t="str">
        <f>IF(AND('Entry list'!$I69=5,'Entry list'!$J69=5),'Entry list'!D69,"")</f>
        <v/>
      </c>
      <c r="E69" t="str">
        <f>IF(AND('Entry list'!$I69=5,'Entry list'!$J69=5),'Entry list'!E69,"")</f>
        <v/>
      </c>
      <c r="F69" t="str">
        <f>IF(AND('Entry list'!$I69=5,'Entry list'!$J69=5),'Entry list'!F69,"")</f>
        <v/>
      </c>
      <c r="G69" t="str">
        <f>IF(AND('Entry list'!$I69=5,'Entry list'!$J69=5),'Entry list'!G69,"")</f>
        <v/>
      </c>
      <c r="H69" t="str">
        <f>IF(AND('Entry list'!$I69=5,'Entry list'!$J69=5),'Entry list'!H69,"")</f>
        <v/>
      </c>
      <c r="I69" t="str">
        <f>IF(AND('Entry list'!$I69=5,'Entry list'!$J69=5),'Entry list'!K69,"")</f>
        <v/>
      </c>
      <c r="J69" t="str">
        <f>IF(AND('Entry list'!$I69=5,'Entry list'!$J69=5),'Entry list'!L69,"")</f>
        <v/>
      </c>
      <c r="K69" t="str">
        <f>IF(AND('Entry list'!$I69=5,'Entry list'!$J69=5),'Entry list'!M69,"")</f>
        <v/>
      </c>
      <c r="L69" t="str">
        <f>IF(AND('Entry list'!$I69=5,'Entry list'!$J69=5),'Entry list'!N69,"")</f>
        <v/>
      </c>
      <c r="M69" t="str">
        <f t="shared" si="3"/>
        <v/>
      </c>
      <c r="N69" t="str">
        <f t="shared" si="4"/>
        <v/>
      </c>
      <c r="O69" t="str">
        <f t="shared" si="5"/>
        <v/>
      </c>
    </row>
    <row r="70" spans="1:15" x14ac:dyDescent="0.25">
      <c r="A70" t="str">
        <f>IF(AND('Entry list'!$I70=5,'Entry list'!$J70=5),'Entry list'!A70,"")</f>
        <v/>
      </c>
      <c r="B70" t="str">
        <f>IF(AND('Entry list'!$I70=5,'Entry list'!$J70=5),'Entry list'!B70,"")</f>
        <v/>
      </c>
      <c r="C70" t="str">
        <f>IF(AND('Entry list'!$I70=5,'Entry list'!$J70=5),'Entry list'!C70,"")</f>
        <v/>
      </c>
      <c r="D70" t="str">
        <f>IF(AND('Entry list'!$I70=5,'Entry list'!$J70=5),'Entry list'!D70,"")</f>
        <v/>
      </c>
      <c r="E70" t="str">
        <f>IF(AND('Entry list'!$I70=5,'Entry list'!$J70=5),'Entry list'!E70,"")</f>
        <v/>
      </c>
      <c r="F70" t="str">
        <f>IF(AND('Entry list'!$I70=5,'Entry list'!$J70=5),'Entry list'!F70,"")</f>
        <v/>
      </c>
      <c r="G70" t="str">
        <f>IF(AND('Entry list'!$I70=5,'Entry list'!$J70=5),'Entry list'!G70,"")</f>
        <v/>
      </c>
      <c r="H70" t="str">
        <f>IF(AND('Entry list'!$I70=5,'Entry list'!$J70=5),'Entry list'!H70,"")</f>
        <v/>
      </c>
      <c r="I70" t="str">
        <f>IF(AND('Entry list'!$I70=5,'Entry list'!$J70=5),'Entry list'!K70,"")</f>
        <v/>
      </c>
      <c r="J70" t="str">
        <f>IF(AND('Entry list'!$I70=5,'Entry list'!$J70=5),'Entry list'!L70,"")</f>
        <v/>
      </c>
      <c r="K70" t="str">
        <f>IF(AND('Entry list'!$I70=5,'Entry list'!$J70=5),'Entry list'!M70,"")</f>
        <v/>
      </c>
      <c r="L70" t="str">
        <f>IF(AND('Entry list'!$I70=5,'Entry list'!$J70=5),'Entry list'!N70,"")</f>
        <v/>
      </c>
      <c r="M70" t="str">
        <f t="shared" si="3"/>
        <v/>
      </c>
      <c r="N70" t="str">
        <f t="shared" si="4"/>
        <v/>
      </c>
      <c r="O70" t="str">
        <f t="shared" si="5"/>
        <v/>
      </c>
    </row>
    <row r="71" spans="1:15" x14ac:dyDescent="0.25">
      <c r="A71" t="str">
        <f>IF(AND('Entry list'!$I71=5,'Entry list'!$J71=5),'Entry list'!A71,"")</f>
        <v/>
      </c>
      <c r="B71" t="str">
        <f>IF(AND('Entry list'!$I71=5,'Entry list'!$J71=5),'Entry list'!B71,"")</f>
        <v/>
      </c>
      <c r="C71" t="str">
        <f>IF(AND('Entry list'!$I71=5,'Entry list'!$J71=5),'Entry list'!C71,"")</f>
        <v/>
      </c>
      <c r="D71" t="str">
        <f>IF(AND('Entry list'!$I71=5,'Entry list'!$J71=5),'Entry list'!D71,"")</f>
        <v/>
      </c>
      <c r="E71" t="str">
        <f>IF(AND('Entry list'!$I71=5,'Entry list'!$J71=5),'Entry list'!E71,"")</f>
        <v/>
      </c>
      <c r="F71" t="str">
        <f>IF(AND('Entry list'!$I71=5,'Entry list'!$J71=5),'Entry list'!F71,"")</f>
        <v/>
      </c>
      <c r="G71" t="str">
        <f>IF(AND('Entry list'!$I71=5,'Entry list'!$J71=5),'Entry list'!G71,"")</f>
        <v/>
      </c>
      <c r="H71" t="str">
        <f>IF(AND('Entry list'!$I71=5,'Entry list'!$J71=5),'Entry list'!H71,"")</f>
        <v/>
      </c>
      <c r="I71" t="str">
        <f>IF(AND('Entry list'!$I71=5,'Entry list'!$J71=5),'Entry list'!K71,"")</f>
        <v/>
      </c>
      <c r="J71" t="str">
        <f>IF(AND('Entry list'!$I71=5,'Entry list'!$J71=5),'Entry list'!L71,"")</f>
        <v/>
      </c>
      <c r="K71" t="str">
        <f>IF(AND('Entry list'!$I71=5,'Entry list'!$J71=5),'Entry list'!M71,"")</f>
        <v/>
      </c>
      <c r="L71" t="str">
        <f>IF(AND('Entry list'!$I71=5,'Entry list'!$J71=5),'Entry list'!N71,"")</f>
        <v/>
      </c>
      <c r="M71" t="str">
        <f t="shared" si="3"/>
        <v/>
      </c>
      <c r="N71" t="str">
        <f t="shared" si="4"/>
        <v/>
      </c>
      <c r="O71" t="str">
        <f t="shared" si="5"/>
        <v/>
      </c>
    </row>
    <row r="72" spans="1:15" x14ac:dyDescent="0.25">
      <c r="A72" t="str">
        <f>IF(AND('Entry list'!$I72=5,'Entry list'!$J72=5),'Entry list'!A72,"")</f>
        <v/>
      </c>
      <c r="B72" t="str">
        <f>IF(AND('Entry list'!$I72=5,'Entry list'!$J72=5),'Entry list'!B72,"")</f>
        <v/>
      </c>
      <c r="C72" t="str">
        <f>IF(AND('Entry list'!$I72=5,'Entry list'!$J72=5),'Entry list'!C72,"")</f>
        <v/>
      </c>
      <c r="D72" t="str">
        <f>IF(AND('Entry list'!$I72=5,'Entry list'!$J72=5),'Entry list'!D72,"")</f>
        <v/>
      </c>
      <c r="E72" t="str">
        <f>IF(AND('Entry list'!$I72=5,'Entry list'!$J72=5),'Entry list'!E72,"")</f>
        <v/>
      </c>
      <c r="F72" t="str">
        <f>IF(AND('Entry list'!$I72=5,'Entry list'!$J72=5),'Entry list'!F72,"")</f>
        <v/>
      </c>
      <c r="G72" t="str">
        <f>IF(AND('Entry list'!$I72=5,'Entry list'!$J72=5),'Entry list'!G72,"")</f>
        <v/>
      </c>
      <c r="H72" t="str">
        <f>IF(AND('Entry list'!$I72=5,'Entry list'!$J72=5),'Entry list'!H72,"")</f>
        <v/>
      </c>
      <c r="I72" t="str">
        <f>IF(AND('Entry list'!$I72=5,'Entry list'!$J72=5),'Entry list'!K72,"")</f>
        <v/>
      </c>
      <c r="J72" t="str">
        <f>IF(AND('Entry list'!$I72=5,'Entry list'!$J72=5),'Entry list'!L72,"")</f>
        <v/>
      </c>
      <c r="K72" t="str">
        <f>IF(AND('Entry list'!$I72=5,'Entry list'!$J72=5),'Entry list'!M72,"")</f>
        <v/>
      </c>
      <c r="L72" t="str">
        <f>IF(AND('Entry list'!$I72=5,'Entry list'!$J72=5),'Entry list'!N72,"")</f>
        <v/>
      </c>
      <c r="M72" t="str">
        <f t="shared" si="3"/>
        <v/>
      </c>
      <c r="N72" t="str">
        <f t="shared" si="4"/>
        <v/>
      </c>
      <c r="O72" t="str">
        <f t="shared" si="5"/>
        <v/>
      </c>
    </row>
    <row r="73" spans="1:15" x14ac:dyDescent="0.25">
      <c r="A73" t="str">
        <f>IF(AND('Entry list'!$I73=5,'Entry list'!$J73=5),'Entry list'!A73,"")</f>
        <v/>
      </c>
      <c r="B73" t="str">
        <f>IF(AND('Entry list'!$I73=5,'Entry list'!$J73=5),'Entry list'!B73,"")</f>
        <v/>
      </c>
      <c r="C73" t="str">
        <f>IF(AND('Entry list'!$I73=5,'Entry list'!$J73=5),'Entry list'!C73,"")</f>
        <v/>
      </c>
      <c r="D73" t="str">
        <f>IF(AND('Entry list'!$I73=5,'Entry list'!$J73=5),'Entry list'!D73,"")</f>
        <v/>
      </c>
      <c r="E73" t="str">
        <f>IF(AND('Entry list'!$I73=5,'Entry list'!$J73=5),'Entry list'!E73,"")</f>
        <v/>
      </c>
      <c r="F73" t="str">
        <f>IF(AND('Entry list'!$I73=5,'Entry list'!$J73=5),'Entry list'!F73,"")</f>
        <v/>
      </c>
      <c r="G73" t="str">
        <f>IF(AND('Entry list'!$I73=5,'Entry list'!$J73=5),'Entry list'!G73,"")</f>
        <v/>
      </c>
      <c r="H73" t="str">
        <f>IF(AND('Entry list'!$I73=5,'Entry list'!$J73=5),'Entry list'!H73,"")</f>
        <v/>
      </c>
      <c r="I73" t="str">
        <f>IF(AND('Entry list'!$I73=5,'Entry list'!$J73=5),'Entry list'!K73,"")</f>
        <v/>
      </c>
      <c r="J73" t="str">
        <f>IF(AND('Entry list'!$I73=5,'Entry list'!$J73=5),'Entry list'!L73,"")</f>
        <v/>
      </c>
      <c r="K73" t="str">
        <f>IF(AND('Entry list'!$I73=5,'Entry list'!$J73=5),'Entry list'!M73,"")</f>
        <v/>
      </c>
      <c r="L73" t="str">
        <f>IF(AND('Entry list'!$I73=5,'Entry list'!$J73=5),'Entry list'!N73,"")</f>
        <v/>
      </c>
      <c r="M73" t="str">
        <f t="shared" si="3"/>
        <v/>
      </c>
      <c r="N73" t="str">
        <f t="shared" si="4"/>
        <v/>
      </c>
      <c r="O73" t="str">
        <f t="shared" si="5"/>
        <v/>
      </c>
    </row>
    <row r="74" spans="1:15" x14ac:dyDescent="0.25">
      <c r="A74" t="str">
        <f>IF(AND('Entry list'!$I74=5,'Entry list'!$J74=5),'Entry list'!A74,"")</f>
        <v/>
      </c>
      <c r="B74" t="str">
        <f>IF(AND('Entry list'!$I74=5,'Entry list'!$J74=5),'Entry list'!B74,"")</f>
        <v/>
      </c>
      <c r="C74" t="str">
        <f>IF(AND('Entry list'!$I74=5,'Entry list'!$J74=5),'Entry list'!C74,"")</f>
        <v/>
      </c>
      <c r="D74" t="str">
        <f>IF(AND('Entry list'!$I74=5,'Entry list'!$J74=5),'Entry list'!D74,"")</f>
        <v/>
      </c>
      <c r="E74" t="str">
        <f>IF(AND('Entry list'!$I74=5,'Entry list'!$J74=5),'Entry list'!E74,"")</f>
        <v/>
      </c>
      <c r="F74" t="str">
        <f>IF(AND('Entry list'!$I74=5,'Entry list'!$J74=5),'Entry list'!F74,"")</f>
        <v/>
      </c>
      <c r="G74" t="str">
        <f>IF(AND('Entry list'!$I74=5,'Entry list'!$J74=5),'Entry list'!G74,"")</f>
        <v/>
      </c>
      <c r="H74" t="str">
        <f>IF(AND('Entry list'!$I74=5,'Entry list'!$J74=5),'Entry list'!H74,"")</f>
        <v/>
      </c>
      <c r="I74" t="str">
        <f>IF(AND('Entry list'!$I74=5,'Entry list'!$J74=5),'Entry list'!K74,"")</f>
        <v/>
      </c>
      <c r="J74" t="str">
        <f>IF(AND('Entry list'!$I74=5,'Entry list'!$J74=5),'Entry list'!L74,"")</f>
        <v/>
      </c>
      <c r="K74" t="str">
        <f>IF(AND('Entry list'!$I74=5,'Entry list'!$J74=5),'Entry list'!M74,"")</f>
        <v/>
      </c>
      <c r="L74" t="str">
        <f>IF(AND('Entry list'!$I74=5,'Entry list'!$J74=5),'Entry list'!N74,"")</f>
        <v/>
      </c>
      <c r="M74" t="str">
        <f t="shared" si="3"/>
        <v/>
      </c>
      <c r="N74" t="str">
        <f t="shared" si="4"/>
        <v/>
      </c>
      <c r="O74" t="str">
        <f t="shared" si="5"/>
        <v/>
      </c>
    </row>
    <row r="75" spans="1:15" x14ac:dyDescent="0.25">
      <c r="A75">
        <f>IF(AND('Entry list'!$I75=5,'Entry list'!$J75=5),'Entry list'!A75,"")</f>
        <v>1</v>
      </c>
      <c r="B75">
        <f>IF(AND('Entry list'!$I75=5,'Entry list'!$J75=5),'Entry list'!B75,"")</f>
        <v>0.45416666666666666</v>
      </c>
      <c r="C75" t="str">
        <f>IF(AND('Entry list'!$I75=5,'Entry list'!$J75=5),'Entry list'!C75,"")</f>
        <v>D</v>
      </c>
      <c r="D75" t="str">
        <f>IF(AND('Entry list'!$I75=5,'Entry list'!$J75=5),'Entry list'!D75,"")</f>
        <v>16NSH</v>
      </c>
      <c r="E75" t="str">
        <f>IF(AND('Entry list'!$I75=5,'Entry list'!$J75=5),'Entry list'!E75,"")</f>
        <v>65DET</v>
      </c>
      <c r="F75" t="str">
        <f>IF(AND('Entry list'!$I75=5,'Entry list'!$J75=5),'Entry list'!F75,"")</f>
        <v/>
      </c>
      <c r="G75" t="str">
        <f>IF(AND('Entry list'!$I75=5,'Entry list'!$J75=5),'Entry list'!G75,"")</f>
        <v>R</v>
      </c>
      <c r="H75" t="str">
        <f>IF(AND('Entry list'!$I75=5,'Entry list'!$J75=5),'Entry list'!H75,"")</f>
        <v>33NSH</v>
      </c>
      <c r="I75" t="str">
        <f>IF(AND('Entry list'!$I75=5,'Entry list'!$J75=5),'Entry list'!K75,"")</f>
        <v/>
      </c>
      <c r="J75">
        <f>IF(AND('Entry list'!$I75=5,'Entry list'!$J75=5),'Entry list'!L75,"")</f>
        <v>0</v>
      </c>
      <c r="K75">
        <f>IF(AND('Entry list'!$I75=5,'Entry list'!$J75=5),'Entry list'!M75,"")</f>
        <v>0</v>
      </c>
      <c r="L75" t="str">
        <f>IF(AND('Entry list'!$I75=5,'Entry list'!$J75=5),'Entry list'!N75,"")</f>
        <v/>
      </c>
      <c r="M75">
        <f t="shared" si="3"/>
        <v>0</v>
      </c>
      <c r="N75" t="str">
        <f t="shared" si="4"/>
        <v/>
      </c>
      <c r="O75" t="str">
        <f t="shared" si="5"/>
        <v/>
      </c>
    </row>
    <row r="76" spans="1:15" x14ac:dyDescent="0.25">
      <c r="A76">
        <f>IF(AND('Entry list'!$I76=5,'Entry list'!$J76=5),'Entry list'!A76,"")</f>
        <v>1</v>
      </c>
      <c r="B76">
        <f>IF(AND('Entry list'!$I76=5,'Entry list'!$J76=5),'Entry list'!B76,"")</f>
        <v>0.4458333333333333</v>
      </c>
      <c r="C76" t="str">
        <f>IF(AND('Entry list'!$I76=5,'Entry list'!$J76=5),'Entry list'!C76,"")</f>
        <v>C</v>
      </c>
      <c r="D76" t="str">
        <f>IF(AND('Entry list'!$I76=5,'Entry list'!$J76=5),'Entry list'!D76,"")</f>
        <v>92NSH</v>
      </c>
      <c r="E76" t="str">
        <f>IF(AND('Entry list'!$I76=5,'Entry list'!$J76=5),'Entry list'!E76,"")</f>
        <v>65DET</v>
      </c>
      <c r="F76" t="str">
        <f>IF(AND('Entry list'!$I76=5,'Entry list'!$J76=5),'Entry list'!F76,"")</f>
        <v>N</v>
      </c>
      <c r="G76" t="str">
        <f>IF(AND('Entry list'!$I76=5,'Entry list'!$J76=5),'Entry list'!G76,"")</f>
        <v>R</v>
      </c>
      <c r="H76" t="str">
        <f>IF(AND('Entry list'!$I76=5,'Entry list'!$J76=5),'Entry list'!H76,"")</f>
        <v>N</v>
      </c>
      <c r="I76" t="str">
        <f>IF(AND('Entry list'!$I76=5,'Entry list'!$J76=5),'Entry list'!K76,"")</f>
        <v>92NSH</v>
      </c>
      <c r="J76">
        <f>IF(AND('Entry list'!$I76=5,'Entry list'!$J76=5),'Entry list'!L76,"")</f>
        <v>2</v>
      </c>
      <c r="K76">
        <f>IF(AND('Entry list'!$I76=5,'Entry list'!$J76=5),'Entry list'!M76,"")</f>
        <v>0</v>
      </c>
      <c r="L76" t="str">
        <f>IF(AND('Entry list'!$I76=5,'Entry list'!$J76=5),'Entry list'!N76,"")</f>
        <v/>
      </c>
      <c r="M76">
        <f t="shared" si="3"/>
        <v>0</v>
      </c>
      <c r="N76">
        <f t="shared" si="4"/>
        <v>0</v>
      </c>
      <c r="O76" t="str">
        <f t="shared" si="5"/>
        <v/>
      </c>
    </row>
    <row r="77" spans="1:15" x14ac:dyDescent="0.25">
      <c r="A77" t="str">
        <f>IF(AND('Entry list'!$I77=5,'Entry list'!$J77=5),'Entry list'!A77,"")</f>
        <v/>
      </c>
      <c r="B77" t="str">
        <f>IF(AND('Entry list'!$I77=5,'Entry list'!$J77=5),'Entry list'!B77,"")</f>
        <v/>
      </c>
      <c r="C77" t="str">
        <f>IF(AND('Entry list'!$I77=5,'Entry list'!$J77=5),'Entry list'!C77,"")</f>
        <v/>
      </c>
      <c r="D77" t="str">
        <f>IF(AND('Entry list'!$I77=5,'Entry list'!$J77=5),'Entry list'!D77,"")</f>
        <v/>
      </c>
      <c r="E77" t="str">
        <f>IF(AND('Entry list'!$I77=5,'Entry list'!$J77=5),'Entry list'!E77,"")</f>
        <v/>
      </c>
      <c r="F77" t="str">
        <f>IF(AND('Entry list'!$I77=5,'Entry list'!$J77=5),'Entry list'!F77,"")</f>
        <v/>
      </c>
      <c r="G77" t="str">
        <f>IF(AND('Entry list'!$I77=5,'Entry list'!$J77=5),'Entry list'!G77,"")</f>
        <v/>
      </c>
      <c r="H77" t="str">
        <f>IF(AND('Entry list'!$I77=5,'Entry list'!$J77=5),'Entry list'!H77,"")</f>
        <v/>
      </c>
      <c r="I77" t="str">
        <f>IF(AND('Entry list'!$I77=5,'Entry list'!$J77=5),'Entry list'!K77,"")</f>
        <v/>
      </c>
      <c r="J77" t="str">
        <f>IF(AND('Entry list'!$I77=5,'Entry list'!$J77=5),'Entry list'!L77,"")</f>
        <v/>
      </c>
      <c r="K77" t="str">
        <f>IF(AND('Entry list'!$I77=5,'Entry list'!$J77=5),'Entry list'!M77,"")</f>
        <v/>
      </c>
      <c r="L77" t="str">
        <f>IF(AND('Entry list'!$I77=5,'Entry list'!$J77=5),'Entry list'!N77,"")</f>
        <v/>
      </c>
      <c r="M77" t="str">
        <f t="shared" si="3"/>
        <v/>
      </c>
      <c r="N77" t="str">
        <f t="shared" si="4"/>
        <v/>
      </c>
      <c r="O77" t="str">
        <f t="shared" si="5"/>
        <v/>
      </c>
    </row>
    <row r="78" spans="1:15" x14ac:dyDescent="0.25">
      <c r="A78" t="str">
        <f>IF(AND('Entry list'!$I78=5,'Entry list'!$J78=5),'Entry list'!A78,"")</f>
        <v/>
      </c>
      <c r="B78" t="str">
        <f>IF(AND('Entry list'!$I78=5,'Entry list'!$J78=5),'Entry list'!B78,"")</f>
        <v/>
      </c>
      <c r="C78" t="str">
        <f>IF(AND('Entry list'!$I78=5,'Entry list'!$J78=5),'Entry list'!C78,"")</f>
        <v/>
      </c>
      <c r="D78" t="str">
        <f>IF(AND('Entry list'!$I78=5,'Entry list'!$J78=5),'Entry list'!D78,"")</f>
        <v/>
      </c>
      <c r="E78" t="str">
        <f>IF(AND('Entry list'!$I78=5,'Entry list'!$J78=5),'Entry list'!E78,"")</f>
        <v/>
      </c>
      <c r="F78" t="str">
        <f>IF(AND('Entry list'!$I78=5,'Entry list'!$J78=5),'Entry list'!F78,"")</f>
        <v/>
      </c>
      <c r="G78" t="str">
        <f>IF(AND('Entry list'!$I78=5,'Entry list'!$J78=5),'Entry list'!G78,"")</f>
        <v/>
      </c>
      <c r="H78" t="str">
        <f>IF(AND('Entry list'!$I78=5,'Entry list'!$J78=5),'Entry list'!H78,"")</f>
        <v/>
      </c>
      <c r="I78" t="str">
        <f>IF(AND('Entry list'!$I78=5,'Entry list'!$J78=5),'Entry list'!K78,"")</f>
        <v/>
      </c>
      <c r="J78" t="str">
        <f>IF(AND('Entry list'!$I78=5,'Entry list'!$J78=5),'Entry list'!L78,"")</f>
        <v/>
      </c>
      <c r="K78" t="str">
        <f>IF(AND('Entry list'!$I78=5,'Entry list'!$J78=5),'Entry list'!M78,"")</f>
        <v/>
      </c>
      <c r="L78" t="str">
        <f>IF(AND('Entry list'!$I78=5,'Entry list'!$J78=5),'Entry list'!N78,"")</f>
        <v/>
      </c>
      <c r="M78" t="str">
        <f t="shared" si="3"/>
        <v/>
      </c>
      <c r="N78" t="str">
        <f t="shared" si="4"/>
        <v/>
      </c>
      <c r="O78" t="str">
        <f t="shared" si="5"/>
        <v/>
      </c>
    </row>
    <row r="79" spans="1:15" x14ac:dyDescent="0.25">
      <c r="A79" t="str">
        <f>IF(AND('Entry list'!$I79=5,'Entry list'!$J79=5),'Entry list'!A79,"")</f>
        <v/>
      </c>
      <c r="B79" t="str">
        <f>IF(AND('Entry list'!$I79=5,'Entry list'!$J79=5),'Entry list'!B79,"")</f>
        <v/>
      </c>
      <c r="C79" t="str">
        <f>IF(AND('Entry list'!$I79=5,'Entry list'!$J79=5),'Entry list'!C79,"")</f>
        <v/>
      </c>
      <c r="D79" t="str">
        <f>IF(AND('Entry list'!$I79=5,'Entry list'!$J79=5),'Entry list'!D79,"")</f>
        <v/>
      </c>
      <c r="E79" t="str">
        <f>IF(AND('Entry list'!$I79=5,'Entry list'!$J79=5),'Entry list'!E79,"")</f>
        <v/>
      </c>
      <c r="F79" t="str">
        <f>IF(AND('Entry list'!$I79=5,'Entry list'!$J79=5),'Entry list'!F79,"")</f>
        <v/>
      </c>
      <c r="G79" t="str">
        <f>IF(AND('Entry list'!$I79=5,'Entry list'!$J79=5),'Entry list'!G79,"")</f>
        <v/>
      </c>
      <c r="H79" t="str">
        <f>IF(AND('Entry list'!$I79=5,'Entry list'!$J79=5),'Entry list'!H79,"")</f>
        <v/>
      </c>
      <c r="I79" t="str">
        <f>IF(AND('Entry list'!$I79=5,'Entry list'!$J79=5),'Entry list'!K79,"")</f>
        <v/>
      </c>
      <c r="J79" t="str">
        <f>IF(AND('Entry list'!$I79=5,'Entry list'!$J79=5),'Entry list'!L79,"")</f>
        <v/>
      </c>
      <c r="K79" t="str">
        <f>IF(AND('Entry list'!$I79=5,'Entry list'!$J79=5),'Entry list'!M79,"")</f>
        <v/>
      </c>
      <c r="L79" t="str">
        <f>IF(AND('Entry list'!$I79=5,'Entry list'!$J79=5),'Entry list'!N79,"")</f>
        <v/>
      </c>
      <c r="M79" t="str">
        <f t="shared" si="3"/>
        <v/>
      </c>
      <c r="N79" t="str">
        <f t="shared" si="4"/>
        <v/>
      </c>
      <c r="O79" t="str">
        <f t="shared" si="5"/>
        <v/>
      </c>
    </row>
    <row r="80" spans="1:15" x14ac:dyDescent="0.25">
      <c r="A80">
        <f>IF(AND('Entry list'!$I80=5,'Entry list'!$J80=5),'Entry list'!A80,"")</f>
        <v>1</v>
      </c>
      <c r="B80">
        <f>IF(AND('Entry list'!$I80=5,'Entry list'!$J80=5),'Entry list'!B80,"")</f>
        <v>0.44166666666666671</v>
      </c>
      <c r="C80" t="str">
        <f>IF(AND('Entry list'!$I80=5,'Entry list'!$J80=5),'Entry list'!C80,"")</f>
        <v>FAC</v>
      </c>
      <c r="D80" t="str">
        <f>IF(AND('Entry list'!$I80=5,'Entry list'!$J80=5),'Entry list'!D80,"")</f>
        <v>DZF</v>
      </c>
      <c r="E80" t="str">
        <f>IF(AND('Entry list'!$I80=5,'Entry list'!$J80=5),'Entry list'!E80,"")</f>
        <v/>
      </c>
      <c r="F80" t="str">
        <f>IF(AND('Entry list'!$I80=5,'Entry list'!$J80=5),'Entry list'!F80,"")</f>
        <v/>
      </c>
      <c r="G80" t="str">
        <f>IF(AND('Entry list'!$I80=5,'Entry list'!$J80=5),'Entry list'!G80,"")</f>
        <v/>
      </c>
      <c r="H80" t="str">
        <f>IF(AND('Entry list'!$I80=5,'Entry list'!$J80=5),'Entry list'!H80,"")</f>
        <v/>
      </c>
      <c r="I80" t="str">
        <f>IF(AND('Entry list'!$I80=5,'Entry list'!$J80=5),'Entry list'!K80,"")</f>
        <v/>
      </c>
      <c r="J80">
        <f>IF(AND('Entry list'!$I80=5,'Entry list'!$J80=5),'Entry list'!L80,"")</f>
        <v>1</v>
      </c>
      <c r="K80">
        <f>IF(AND('Entry list'!$I80=5,'Entry list'!$J80=5),'Entry list'!M80,"")</f>
        <v>0</v>
      </c>
      <c r="L80" t="str">
        <f>IF(AND('Entry list'!$I80=5,'Entry list'!$J80=5),'Entry list'!N80,"")</f>
        <v/>
      </c>
      <c r="M80">
        <f t="shared" si="3"/>
        <v>0</v>
      </c>
      <c r="N80" t="str">
        <f t="shared" si="4"/>
        <v/>
      </c>
      <c r="O80" t="str">
        <f t="shared" si="5"/>
        <v/>
      </c>
    </row>
    <row r="81" spans="1:15" x14ac:dyDescent="0.25">
      <c r="A81" t="str">
        <f>IF(AND('Entry list'!$I81=5,'Entry list'!$J81=5),'Entry list'!A81,"")</f>
        <v/>
      </c>
      <c r="B81" t="str">
        <f>IF(AND('Entry list'!$I81=5,'Entry list'!$J81=5),'Entry list'!B81,"")</f>
        <v/>
      </c>
      <c r="C81" t="str">
        <f>IF(AND('Entry list'!$I81=5,'Entry list'!$J81=5),'Entry list'!C81,"")</f>
        <v/>
      </c>
      <c r="D81" t="str">
        <f>IF(AND('Entry list'!$I81=5,'Entry list'!$J81=5),'Entry list'!D81,"")</f>
        <v/>
      </c>
      <c r="E81" t="str">
        <f>IF(AND('Entry list'!$I81=5,'Entry list'!$J81=5),'Entry list'!E81,"")</f>
        <v/>
      </c>
      <c r="F81" t="str">
        <f>IF(AND('Entry list'!$I81=5,'Entry list'!$J81=5),'Entry list'!F81,"")</f>
        <v/>
      </c>
      <c r="G81" t="str">
        <f>IF(AND('Entry list'!$I81=5,'Entry list'!$J81=5),'Entry list'!G81,"")</f>
        <v/>
      </c>
      <c r="H81" t="str">
        <f>IF(AND('Entry list'!$I81=5,'Entry list'!$J81=5),'Entry list'!H81,"")</f>
        <v/>
      </c>
      <c r="I81" t="str">
        <f>IF(AND('Entry list'!$I81=5,'Entry list'!$J81=5),'Entry list'!K81,"")</f>
        <v/>
      </c>
      <c r="J81" t="str">
        <f>IF(AND('Entry list'!$I81=5,'Entry list'!$J81=5),'Entry list'!L81,"")</f>
        <v/>
      </c>
      <c r="K81" t="str">
        <f>IF(AND('Entry list'!$I81=5,'Entry list'!$J81=5),'Entry list'!M81,"")</f>
        <v/>
      </c>
      <c r="L81" t="str">
        <f>IF(AND('Entry list'!$I81=5,'Entry list'!$J81=5),'Entry list'!N81,"")</f>
        <v/>
      </c>
      <c r="M81" t="str">
        <f t="shared" si="3"/>
        <v/>
      </c>
      <c r="N81" t="str">
        <f t="shared" si="4"/>
        <v/>
      </c>
      <c r="O81" t="str">
        <f t="shared" si="5"/>
        <v/>
      </c>
    </row>
    <row r="82" spans="1:15" x14ac:dyDescent="0.25">
      <c r="A82">
        <f>IF(AND('Entry list'!$I82=5,'Entry list'!$J82=5),'Entry list'!A82,"")</f>
        <v>1</v>
      </c>
      <c r="B82">
        <f>IF(AND('Entry list'!$I82=5,'Entry list'!$J82=5),'Entry list'!B82,"")</f>
        <v>0.43124999999999997</v>
      </c>
      <c r="C82" t="str">
        <f>IF(AND('Entry list'!$I82=5,'Entry list'!$J82=5),'Entry list'!C82,"")</f>
        <v>C</v>
      </c>
      <c r="D82" t="str">
        <f>IF(AND('Entry list'!$I82=5,'Entry list'!$J82=5),'Entry list'!D82,"")</f>
        <v>51DET</v>
      </c>
      <c r="E82" t="str">
        <f>IF(AND('Entry list'!$I82=5,'Entry list'!$J82=5),'Entry list'!E82,"")</f>
        <v>4NSH</v>
      </c>
      <c r="F82" t="str">
        <f>IF(AND('Entry list'!$I82=5,'Entry list'!$J82=5),'Entry list'!F82,"")</f>
        <v>Y</v>
      </c>
      <c r="G82" t="str">
        <f>IF(AND('Entry list'!$I82=5,'Entry list'!$J82=5),'Entry list'!G82,"")</f>
        <v>C</v>
      </c>
      <c r="H82" t="str">
        <f>IF(AND('Entry list'!$I82=5,'Entry list'!$J82=5),'Entry list'!H82,"")</f>
        <v>N</v>
      </c>
      <c r="I82" t="str">
        <f>IF(AND('Entry list'!$I82=5,'Entry list'!$J82=5),'Entry list'!K82,"")</f>
        <v>51DET</v>
      </c>
      <c r="J82">
        <f>IF(AND('Entry list'!$I82=5,'Entry list'!$J82=5),'Entry list'!L82,"")</f>
        <v>0</v>
      </c>
      <c r="K82">
        <f>IF(AND('Entry list'!$I82=5,'Entry list'!$J82=5),'Entry list'!M82,"")</f>
        <v>0</v>
      </c>
      <c r="L82" t="str">
        <f>IF(AND('Entry list'!$I82=5,'Entry list'!$J82=5),'Entry list'!N82,"")</f>
        <v/>
      </c>
      <c r="M82">
        <f t="shared" si="3"/>
        <v>0</v>
      </c>
      <c r="N82">
        <f t="shared" si="4"/>
        <v>0</v>
      </c>
      <c r="O82" t="str">
        <f t="shared" si="5"/>
        <v/>
      </c>
    </row>
    <row r="83" spans="1:15" x14ac:dyDescent="0.25">
      <c r="A83">
        <f>IF(AND('Entry list'!$I83=5,'Entry list'!$J83=5),'Entry list'!A83,"")</f>
        <v>1</v>
      </c>
      <c r="B83">
        <f>IF(AND('Entry list'!$I83=5,'Entry list'!$J83=5),'Entry list'!B83,"")</f>
        <v>0.41388888888888892</v>
      </c>
      <c r="C83" t="str">
        <f>IF(AND('Entry list'!$I83=5,'Entry list'!$J83=5),'Entry list'!C83,"")</f>
        <v>D</v>
      </c>
      <c r="D83" t="str">
        <f>IF(AND('Entry list'!$I83=5,'Entry list'!$J83=5),'Entry list'!D83,"")</f>
        <v>9NSH</v>
      </c>
      <c r="E83" t="str">
        <f>IF(AND('Entry list'!$I83=5,'Entry list'!$J83=5),'Entry list'!E83,"")</f>
        <v>N</v>
      </c>
      <c r="F83" t="str">
        <f>IF(AND('Entry list'!$I83=5,'Entry list'!$J83=5),'Entry list'!F83,"")</f>
        <v/>
      </c>
      <c r="G83" t="str">
        <f>IF(AND('Entry list'!$I83=5,'Entry list'!$J83=5),'Entry list'!G83,"")</f>
        <v>L</v>
      </c>
      <c r="H83" t="str">
        <f>IF(AND('Entry list'!$I83=5,'Entry list'!$J83=5),'Entry list'!H83,"")</f>
        <v>9NSH</v>
      </c>
      <c r="I83" t="str">
        <f>IF(AND('Entry list'!$I83=5,'Entry list'!$J83=5),'Entry list'!K83,"")</f>
        <v/>
      </c>
      <c r="J83">
        <f>IF(AND('Entry list'!$I83=5,'Entry list'!$J83=5),'Entry list'!L83,"")</f>
        <v>1</v>
      </c>
      <c r="K83">
        <f>IF(AND('Entry list'!$I83=5,'Entry list'!$J83=5),'Entry list'!M83,"")</f>
        <v>0</v>
      </c>
      <c r="L83" t="str">
        <f>IF(AND('Entry list'!$I83=5,'Entry list'!$J83=5),'Entry list'!N83,"")</f>
        <v/>
      </c>
      <c r="M83">
        <f t="shared" si="3"/>
        <v>0</v>
      </c>
      <c r="N83" t="str">
        <f t="shared" si="4"/>
        <v/>
      </c>
      <c r="O83" t="str">
        <f t="shared" si="5"/>
        <v/>
      </c>
    </row>
    <row r="84" spans="1:15" x14ac:dyDescent="0.25">
      <c r="A84" t="str">
        <f>IF(AND('Entry list'!$I84=5,'Entry list'!$J84=5),'Entry list'!A84,"")</f>
        <v/>
      </c>
      <c r="B84" t="str">
        <f>IF(AND('Entry list'!$I84=5,'Entry list'!$J84=5),'Entry list'!B84,"")</f>
        <v/>
      </c>
      <c r="C84" t="str">
        <f>IF(AND('Entry list'!$I84=5,'Entry list'!$J84=5),'Entry list'!C84,"")</f>
        <v/>
      </c>
      <c r="D84" t="str">
        <f>IF(AND('Entry list'!$I84=5,'Entry list'!$J84=5),'Entry list'!D84,"")</f>
        <v/>
      </c>
      <c r="E84" t="str">
        <f>IF(AND('Entry list'!$I84=5,'Entry list'!$J84=5),'Entry list'!E84,"")</f>
        <v/>
      </c>
      <c r="F84" t="str">
        <f>IF(AND('Entry list'!$I84=5,'Entry list'!$J84=5),'Entry list'!F84,"")</f>
        <v/>
      </c>
      <c r="G84" t="str">
        <f>IF(AND('Entry list'!$I84=5,'Entry list'!$J84=5),'Entry list'!G84,"")</f>
        <v/>
      </c>
      <c r="H84" t="str">
        <f>IF(AND('Entry list'!$I84=5,'Entry list'!$J84=5),'Entry list'!H84,"")</f>
        <v/>
      </c>
      <c r="I84" t="str">
        <f>IF(AND('Entry list'!$I84=5,'Entry list'!$J84=5),'Entry list'!K84,"")</f>
        <v/>
      </c>
      <c r="J84" t="str">
        <f>IF(AND('Entry list'!$I84=5,'Entry list'!$J84=5),'Entry list'!L84,"")</f>
        <v/>
      </c>
      <c r="K84" t="str">
        <f>IF(AND('Entry list'!$I84=5,'Entry list'!$J84=5),'Entry list'!M84,"")</f>
        <v/>
      </c>
      <c r="L84" t="str">
        <f>IF(AND('Entry list'!$I84=5,'Entry list'!$J84=5),'Entry list'!N84,"")</f>
        <v/>
      </c>
      <c r="M84" t="str">
        <f t="shared" si="3"/>
        <v/>
      </c>
      <c r="N84" t="str">
        <f t="shared" si="4"/>
        <v/>
      </c>
      <c r="O84" t="str">
        <f t="shared" si="5"/>
        <v/>
      </c>
    </row>
    <row r="85" spans="1:15" x14ac:dyDescent="0.25">
      <c r="A85">
        <f>IF(AND('Entry list'!$I85=5,'Entry list'!$J85=5),'Entry list'!A85,"")</f>
        <v>1</v>
      </c>
      <c r="B85">
        <f>IF(AND('Entry list'!$I85=5,'Entry list'!$J85=5),'Entry list'!B85,"")</f>
        <v>0.4055555555555555</v>
      </c>
      <c r="C85" t="str">
        <f>IF(AND('Entry list'!$I85=5,'Entry list'!$J85=5),'Entry list'!C85,"")</f>
        <v>C</v>
      </c>
      <c r="D85" t="str">
        <f>IF(AND('Entry list'!$I85=5,'Entry list'!$J85=5),'Entry list'!D85,"")</f>
        <v>18NSH</v>
      </c>
      <c r="E85" t="str">
        <f>IF(AND('Entry list'!$I85=5,'Entry list'!$J85=5),'Entry list'!E85,"")</f>
        <v>53DET</v>
      </c>
      <c r="F85" t="str">
        <f>IF(AND('Entry list'!$I85=5,'Entry list'!$J85=5),'Entry list'!F85,"")</f>
        <v>N</v>
      </c>
      <c r="G85" t="str">
        <f>IF(AND('Entry list'!$I85=5,'Entry list'!$J85=5),'Entry list'!G85,"")</f>
        <v>L</v>
      </c>
      <c r="H85" t="str">
        <f>IF(AND('Entry list'!$I85=5,'Entry list'!$J85=5),'Entry list'!H85,"")</f>
        <v>N</v>
      </c>
      <c r="I85" t="str">
        <f>IF(AND('Entry list'!$I85=5,'Entry list'!$J85=5),'Entry list'!K85,"")</f>
        <v>18NSH</v>
      </c>
      <c r="J85">
        <f>IF(AND('Entry list'!$I85=5,'Entry list'!$J85=5),'Entry list'!L85,"")</f>
        <v>1</v>
      </c>
      <c r="K85">
        <f>IF(AND('Entry list'!$I85=5,'Entry list'!$J85=5),'Entry list'!M85,"")</f>
        <v>0</v>
      </c>
      <c r="L85" t="str">
        <f>IF(AND('Entry list'!$I85=5,'Entry list'!$J85=5),'Entry list'!N85,"")</f>
        <v/>
      </c>
      <c r="M85">
        <f t="shared" si="3"/>
        <v>0</v>
      </c>
      <c r="N85">
        <f t="shared" si="4"/>
        <v>0</v>
      </c>
      <c r="O85" t="str">
        <f t="shared" si="5"/>
        <v/>
      </c>
    </row>
    <row r="86" spans="1:15" x14ac:dyDescent="0.25">
      <c r="A86" t="str">
        <f>IF(AND('Entry list'!$I86=5,'Entry list'!$J86=5),'Entry list'!A86,"")</f>
        <v/>
      </c>
      <c r="B86" t="str">
        <f>IF(AND('Entry list'!$I86=5,'Entry list'!$J86=5),'Entry list'!B86,"")</f>
        <v/>
      </c>
      <c r="C86" t="str">
        <f>IF(AND('Entry list'!$I86=5,'Entry list'!$J86=5),'Entry list'!C86,"")</f>
        <v/>
      </c>
      <c r="D86" t="str">
        <f>IF(AND('Entry list'!$I86=5,'Entry list'!$J86=5),'Entry list'!D86,"")</f>
        <v/>
      </c>
      <c r="E86" t="str">
        <f>IF(AND('Entry list'!$I86=5,'Entry list'!$J86=5),'Entry list'!E86,"")</f>
        <v/>
      </c>
      <c r="F86" t="str">
        <f>IF(AND('Entry list'!$I86=5,'Entry list'!$J86=5),'Entry list'!F86,"")</f>
        <v/>
      </c>
      <c r="G86" t="str">
        <f>IF(AND('Entry list'!$I86=5,'Entry list'!$J86=5),'Entry list'!G86,"")</f>
        <v/>
      </c>
      <c r="H86" t="str">
        <f>IF(AND('Entry list'!$I86=5,'Entry list'!$J86=5),'Entry list'!H86,"")</f>
        <v/>
      </c>
      <c r="I86" t="str">
        <f>IF(AND('Entry list'!$I86=5,'Entry list'!$J86=5),'Entry list'!K86,"")</f>
        <v/>
      </c>
      <c r="J86" t="str">
        <f>IF(AND('Entry list'!$I86=5,'Entry list'!$J86=5),'Entry list'!L86,"")</f>
        <v/>
      </c>
      <c r="K86" t="str">
        <f>IF(AND('Entry list'!$I86=5,'Entry list'!$J86=5),'Entry list'!M86,"")</f>
        <v/>
      </c>
      <c r="L86" t="str">
        <f>IF(AND('Entry list'!$I86=5,'Entry list'!$J86=5),'Entry list'!N86,"")</f>
        <v/>
      </c>
      <c r="M86" t="str">
        <f t="shared" si="3"/>
        <v/>
      </c>
      <c r="N86" t="str">
        <f t="shared" si="4"/>
        <v/>
      </c>
      <c r="O86" t="str">
        <f t="shared" si="5"/>
        <v/>
      </c>
    </row>
    <row r="87" spans="1:15" x14ac:dyDescent="0.25">
      <c r="A87" t="str">
        <f>IF(AND('Entry list'!$I87=5,'Entry list'!$J87=5),'Entry list'!A87,"")</f>
        <v/>
      </c>
      <c r="B87" t="str">
        <f>IF(AND('Entry list'!$I87=5,'Entry list'!$J87=5),'Entry list'!B87,"")</f>
        <v/>
      </c>
      <c r="C87" t="str">
        <f>IF(AND('Entry list'!$I87=5,'Entry list'!$J87=5),'Entry list'!C87,"")</f>
        <v/>
      </c>
      <c r="D87" t="str">
        <f>IF(AND('Entry list'!$I87=5,'Entry list'!$J87=5),'Entry list'!D87,"")</f>
        <v/>
      </c>
      <c r="E87" t="str">
        <f>IF(AND('Entry list'!$I87=5,'Entry list'!$J87=5),'Entry list'!E87,"")</f>
        <v/>
      </c>
      <c r="F87" t="str">
        <f>IF(AND('Entry list'!$I87=5,'Entry list'!$J87=5),'Entry list'!F87,"")</f>
        <v/>
      </c>
      <c r="G87" t="str">
        <f>IF(AND('Entry list'!$I87=5,'Entry list'!$J87=5),'Entry list'!G87,"")</f>
        <v/>
      </c>
      <c r="H87" t="str">
        <f>IF(AND('Entry list'!$I87=5,'Entry list'!$J87=5),'Entry list'!H87,"")</f>
        <v/>
      </c>
      <c r="I87" t="str">
        <f>IF(AND('Entry list'!$I87=5,'Entry list'!$J87=5),'Entry list'!K87,"")</f>
        <v/>
      </c>
      <c r="J87" t="str">
        <f>IF(AND('Entry list'!$I87=5,'Entry list'!$J87=5),'Entry list'!L87,"")</f>
        <v/>
      </c>
      <c r="K87" t="str">
        <f>IF(AND('Entry list'!$I87=5,'Entry list'!$J87=5),'Entry list'!M87,"")</f>
        <v/>
      </c>
      <c r="L87" t="str">
        <f>IF(AND('Entry list'!$I87=5,'Entry list'!$J87=5),'Entry list'!N87,"")</f>
        <v/>
      </c>
      <c r="M87" t="str">
        <f t="shared" si="3"/>
        <v/>
      </c>
      <c r="N87" t="str">
        <f t="shared" si="4"/>
        <v/>
      </c>
      <c r="O87" t="str">
        <f t="shared" si="5"/>
        <v/>
      </c>
    </row>
    <row r="88" spans="1:15" x14ac:dyDescent="0.25">
      <c r="A88">
        <f>IF(AND('Entry list'!$I88=5,'Entry list'!$J88=5),'Entry list'!A88,"")</f>
        <v>1</v>
      </c>
      <c r="B88">
        <f>IF(AND('Entry list'!$I88=5,'Entry list'!$J88=5),'Entry list'!B88,"")</f>
        <v>0.39305555555555555</v>
      </c>
      <c r="C88" t="str">
        <f>IF(AND('Entry list'!$I88=5,'Entry list'!$J88=5),'Entry list'!C88,"")</f>
        <v>D</v>
      </c>
      <c r="D88" t="str">
        <f>IF(AND('Entry list'!$I88=5,'Entry list'!$J88=5),'Entry list'!D88,"")</f>
        <v>21DET</v>
      </c>
      <c r="E88" t="str">
        <f>IF(AND('Entry list'!$I88=5,'Entry list'!$J88=5),'Entry list'!E88,"")</f>
        <v>N</v>
      </c>
      <c r="F88" t="str">
        <f>IF(AND('Entry list'!$I88=5,'Entry list'!$J88=5),'Entry list'!F88,"")</f>
        <v/>
      </c>
      <c r="G88" t="str">
        <f>IF(AND('Entry list'!$I88=5,'Entry list'!$J88=5),'Entry list'!G88,"")</f>
        <v>C</v>
      </c>
      <c r="H88" t="str">
        <f>IF(AND('Entry list'!$I88=5,'Entry list'!$J88=5),'Entry list'!H88,"")</f>
        <v>N</v>
      </c>
      <c r="I88" t="str">
        <f>IF(AND('Entry list'!$I88=5,'Entry list'!$J88=5),'Entry list'!K88,"")</f>
        <v/>
      </c>
      <c r="J88">
        <f>IF(AND('Entry list'!$I88=5,'Entry list'!$J88=5),'Entry list'!L88,"")</f>
        <v>0</v>
      </c>
      <c r="K88">
        <f>IF(AND('Entry list'!$I88=5,'Entry list'!$J88=5),'Entry list'!M88,"")</f>
        <v>0</v>
      </c>
      <c r="L88" t="str">
        <f>IF(AND('Entry list'!$I88=5,'Entry list'!$J88=5),'Entry list'!N88,"")</f>
        <v/>
      </c>
      <c r="M88">
        <f t="shared" si="3"/>
        <v>0</v>
      </c>
      <c r="N88" t="str">
        <f t="shared" si="4"/>
        <v/>
      </c>
      <c r="O88" t="str">
        <f t="shared" si="5"/>
        <v/>
      </c>
    </row>
    <row r="89" spans="1:15" x14ac:dyDescent="0.25">
      <c r="A89">
        <f>IF(AND('Entry list'!$I89=5,'Entry list'!$J89=5),'Entry list'!A89,"")</f>
        <v>1</v>
      </c>
      <c r="B89">
        <f>IF(AND('Entry list'!$I89=5,'Entry list'!$J89=5),'Entry list'!B89,"")</f>
        <v>0.36527777777777781</v>
      </c>
      <c r="C89" t="str">
        <f>IF(AND('Entry list'!$I89=5,'Entry list'!$J89=5),'Entry list'!C89,"")</f>
        <v>X</v>
      </c>
      <c r="D89" t="str">
        <f>IF(AND('Entry list'!$I89=5,'Entry list'!$J89=5),'Entry list'!D89,"")</f>
        <v>DET</v>
      </c>
      <c r="E89" t="str">
        <f>IF(AND('Entry list'!$I89=5,'Entry list'!$J89=5),'Entry list'!E89,"")</f>
        <v/>
      </c>
      <c r="F89" t="str">
        <f>IF(AND('Entry list'!$I89=5,'Entry list'!$J89=5),'Entry list'!F89,"")</f>
        <v/>
      </c>
      <c r="G89" t="str">
        <f>IF(AND('Entry list'!$I89=5,'Entry list'!$J89=5),'Entry list'!G89,"")</f>
        <v/>
      </c>
      <c r="H89" t="str">
        <f>IF(AND('Entry list'!$I89=5,'Entry list'!$J89=5),'Entry list'!H89,"")</f>
        <v>N</v>
      </c>
      <c r="I89" t="str">
        <f>IF(AND('Entry list'!$I89=5,'Entry list'!$J89=5),'Entry list'!K89,"")</f>
        <v/>
      </c>
      <c r="J89">
        <f>IF(AND('Entry list'!$I89=5,'Entry list'!$J89=5),'Entry list'!L89,"")</f>
        <v>0</v>
      </c>
      <c r="K89">
        <f>IF(AND('Entry list'!$I89=5,'Entry list'!$J89=5),'Entry list'!M89,"")</f>
        <v>0</v>
      </c>
      <c r="L89" t="str">
        <f>IF(AND('Entry list'!$I89=5,'Entry list'!$J89=5),'Entry list'!N89,"")</f>
        <v/>
      </c>
      <c r="M89">
        <f t="shared" si="3"/>
        <v>0</v>
      </c>
      <c r="N89" t="str">
        <f t="shared" si="4"/>
        <v/>
      </c>
      <c r="O89" t="str">
        <f t="shared" si="5"/>
        <v/>
      </c>
    </row>
    <row r="90" spans="1:15" x14ac:dyDescent="0.25">
      <c r="A90" t="str">
        <f>IF(AND('Entry list'!$I90=5,'Entry list'!$J90=5),'Entry list'!A90,"")</f>
        <v/>
      </c>
      <c r="B90" t="str">
        <f>IF(AND('Entry list'!$I90=5,'Entry list'!$J90=5),'Entry list'!B90,"")</f>
        <v/>
      </c>
      <c r="C90" t="str">
        <f>IF(AND('Entry list'!$I90=5,'Entry list'!$J90=5),'Entry list'!C90,"")</f>
        <v/>
      </c>
      <c r="D90" t="str">
        <f>IF(AND('Entry list'!$I90=5,'Entry list'!$J90=5),'Entry list'!D90,"")</f>
        <v/>
      </c>
      <c r="E90" t="str">
        <f>IF(AND('Entry list'!$I90=5,'Entry list'!$J90=5),'Entry list'!E90,"")</f>
        <v/>
      </c>
      <c r="F90" t="str">
        <f>IF(AND('Entry list'!$I90=5,'Entry list'!$J90=5),'Entry list'!F90,"")</f>
        <v/>
      </c>
      <c r="G90" t="str">
        <f>IF(AND('Entry list'!$I90=5,'Entry list'!$J90=5),'Entry list'!G90,"")</f>
        <v/>
      </c>
      <c r="H90" t="str">
        <f>IF(AND('Entry list'!$I90=5,'Entry list'!$J90=5),'Entry list'!H90,"")</f>
        <v/>
      </c>
      <c r="I90" t="str">
        <f>IF(AND('Entry list'!$I90=5,'Entry list'!$J90=5),'Entry list'!K90,"")</f>
        <v/>
      </c>
      <c r="J90" t="str">
        <f>IF(AND('Entry list'!$I90=5,'Entry list'!$J90=5),'Entry list'!L90,"")</f>
        <v/>
      </c>
      <c r="K90" t="str">
        <f>IF(AND('Entry list'!$I90=5,'Entry list'!$J90=5),'Entry list'!M90,"")</f>
        <v/>
      </c>
      <c r="L90" t="str">
        <f>IF(AND('Entry list'!$I90=5,'Entry list'!$J90=5),'Entry list'!N90,"")</f>
        <v/>
      </c>
      <c r="M90" t="str">
        <f t="shared" si="3"/>
        <v/>
      </c>
      <c r="N90" t="str">
        <f t="shared" si="4"/>
        <v/>
      </c>
      <c r="O90" t="str">
        <f t="shared" si="5"/>
        <v/>
      </c>
    </row>
    <row r="91" spans="1:15" x14ac:dyDescent="0.25">
      <c r="A91" t="str">
        <f>IF(AND('Entry list'!$I91=5,'Entry list'!$J91=5),'Entry list'!A91,"")</f>
        <v/>
      </c>
      <c r="B91" t="str">
        <f>IF(AND('Entry list'!$I91=5,'Entry list'!$J91=5),'Entry list'!B91,"")</f>
        <v/>
      </c>
      <c r="C91" t="str">
        <f>IF(AND('Entry list'!$I91=5,'Entry list'!$J91=5),'Entry list'!C91,"")</f>
        <v/>
      </c>
      <c r="D91" t="str">
        <f>IF(AND('Entry list'!$I91=5,'Entry list'!$J91=5),'Entry list'!D91,"")</f>
        <v/>
      </c>
      <c r="E91" t="str">
        <f>IF(AND('Entry list'!$I91=5,'Entry list'!$J91=5),'Entry list'!E91,"")</f>
        <v/>
      </c>
      <c r="F91" t="str">
        <f>IF(AND('Entry list'!$I91=5,'Entry list'!$J91=5),'Entry list'!F91,"")</f>
        <v/>
      </c>
      <c r="G91" t="str">
        <f>IF(AND('Entry list'!$I91=5,'Entry list'!$J91=5),'Entry list'!G91,"")</f>
        <v/>
      </c>
      <c r="H91" t="str">
        <f>IF(AND('Entry list'!$I91=5,'Entry list'!$J91=5),'Entry list'!H91,"")</f>
        <v/>
      </c>
      <c r="I91" t="str">
        <f>IF(AND('Entry list'!$I91=5,'Entry list'!$J91=5),'Entry list'!K91,"")</f>
        <v/>
      </c>
      <c r="J91" t="str">
        <f>IF(AND('Entry list'!$I91=5,'Entry list'!$J91=5),'Entry list'!L91,"")</f>
        <v/>
      </c>
      <c r="K91" t="str">
        <f>IF(AND('Entry list'!$I91=5,'Entry list'!$J91=5),'Entry list'!M91,"")</f>
        <v/>
      </c>
      <c r="L91" t="str">
        <f>IF(AND('Entry list'!$I91=5,'Entry list'!$J91=5),'Entry list'!N91,"")</f>
        <v/>
      </c>
      <c r="M91" t="str">
        <f t="shared" si="3"/>
        <v/>
      </c>
      <c r="N91" t="str">
        <f t="shared" si="4"/>
        <v/>
      </c>
      <c r="O91" t="str">
        <f t="shared" si="5"/>
        <v/>
      </c>
    </row>
    <row r="92" spans="1:15" x14ac:dyDescent="0.25">
      <c r="A92">
        <f>IF(AND('Entry list'!$I92=5,'Entry list'!$J92=5),'Entry list'!A92,"")</f>
        <v>1</v>
      </c>
      <c r="B92">
        <f>IF(AND('Entry list'!$I92=5,'Entry list'!$J92=5),'Entry list'!B92,"")</f>
        <v>0.35069444444444442</v>
      </c>
      <c r="C92" t="str">
        <f>IF(AND('Entry list'!$I92=5,'Entry list'!$J92=5),'Entry list'!C92,"")</f>
        <v>X</v>
      </c>
      <c r="D92" t="str">
        <f>IF(AND('Entry list'!$I92=5,'Entry list'!$J92=5),'Entry list'!D92,"")</f>
        <v>41DET</v>
      </c>
      <c r="E92" t="str">
        <f>IF(AND('Entry list'!$I92=5,'Entry list'!$J92=5),'Entry list'!E92,"")</f>
        <v>25NSH</v>
      </c>
      <c r="F92" t="str">
        <f>IF(AND('Entry list'!$I92=5,'Entry list'!$J92=5),'Entry list'!F92,"")</f>
        <v>Y</v>
      </c>
      <c r="G92" t="str">
        <f>IF(AND('Entry list'!$I92=5,'Entry list'!$J92=5),'Entry list'!G92,"")</f>
        <v>C</v>
      </c>
      <c r="H92" t="str">
        <f>IF(AND('Entry list'!$I92=5,'Entry list'!$J92=5),'Entry list'!H92,"")</f>
        <v>N</v>
      </c>
      <c r="I92" t="str">
        <f>IF(AND('Entry list'!$I92=5,'Entry list'!$J92=5),'Entry list'!K92,"")</f>
        <v/>
      </c>
      <c r="J92">
        <f>IF(AND('Entry list'!$I92=5,'Entry list'!$J92=5),'Entry list'!L92,"")</f>
        <v>1</v>
      </c>
      <c r="K92">
        <f>IF(AND('Entry list'!$I92=5,'Entry list'!$J92=5),'Entry list'!M92,"")</f>
        <v>0</v>
      </c>
      <c r="L92" t="str">
        <f>IF(AND('Entry list'!$I92=5,'Entry list'!$J92=5),'Entry list'!N92,"")</f>
        <v/>
      </c>
      <c r="M92">
        <f t="shared" si="3"/>
        <v>0</v>
      </c>
      <c r="N92" t="str">
        <f t="shared" si="4"/>
        <v/>
      </c>
      <c r="O92" t="str">
        <f t="shared" si="5"/>
        <v/>
      </c>
    </row>
    <row r="93" spans="1:15" x14ac:dyDescent="0.25">
      <c r="A93" t="str">
        <f>IF(AND('Entry list'!$I93=5,'Entry list'!$J93=5),'Entry list'!A93,"")</f>
        <v/>
      </c>
      <c r="B93" t="str">
        <f>IF(AND('Entry list'!$I93=5,'Entry list'!$J93=5),'Entry list'!B93,"")</f>
        <v/>
      </c>
      <c r="C93" t="str">
        <f>IF(AND('Entry list'!$I93=5,'Entry list'!$J93=5),'Entry list'!C93,"")</f>
        <v/>
      </c>
      <c r="D93" t="str">
        <f>IF(AND('Entry list'!$I93=5,'Entry list'!$J93=5),'Entry list'!D93,"")</f>
        <v/>
      </c>
      <c r="E93" t="str">
        <f>IF(AND('Entry list'!$I93=5,'Entry list'!$J93=5),'Entry list'!E93,"")</f>
        <v/>
      </c>
      <c r="F93" t="str">
        <f>IF(AND('Entry list'!$I93=5,'Entry list'!$J93=5),'Entry list'!F93,"")</f>
        <v/>
      </c>
      <c r="G93" t="str">
        <f>IF(AND('Entry list'!$I93=5,'Entry list'!$J93=5),'Entry list'!G93,"")</f>
        <v/>
      </c>
      <c r="H93" t="str">
        <f>IF(AND('Entry list'!$I93=5,'Entry list'!$J93=5),'Entry list'!H93,"")</f>
        <v/>
      </c>
      <c r="I93" t="str">
        <f>IF(AND('Entry list'!$I93=5,'Entry list'!$J93=5),'Entry list'!K93,"")</f>
        <v/>
      </c>
      <c r="J93" t="str">
        <f>IF(AND('Entry list'!$I93=5,'Entry list'!$J93=5),'Entry list'!L93,"")</f>
        <v/>
      </c>
      <c r="K93" t="str">
        <f>IF(AND('Entry list'!$I93=5,'Entry list'!$J93=5),'Entry list'!M93,"")</f>
        <v/>
      </c>
      <c r="L93" t="str">
        <f>IF(AND('Entry list'!$I93=5,'Entry list'!$J93=5),'Entry list'!N93,"")</f>
        <v/>
      </c>
      <c r="M93" t="str">
        <f t="shared" si="3"/>
        <v/>
      </c>
      <c r="N93" t="str">
        <f t="shared" si="4"/>
        <v/>
      </c>
      <c r="O93" t="str">
        <f t="shared" si="5"/>
        <v/>
      </c>
    </row>
    <row r="94" spans="1:15" x14ac:dyDescent="0.25">
      <c r="A94" t="str">
        <f>IF(AND('Entry list'!$I94=5,'Entry list'!$J94=5),'Entry list'!A94,"")</f>
        <v/>
      </c>
      <c r="B94" t="str">
        <f>IF(AND('Entry list'!$I94=5,'Entry list'!$J94=5),'Entry list'!B94,"")</f>
        <v/>
      </c>
      <c r="C94" t="str">
        <f>IF(AND('Entry list'!$I94=5,'Entry list'!$J94=5),'Entry list'!C94,"")</f>
        <v/>
      </c>
      <c r="D94" t="str">
        <f>IF(AND('Entry list'!$I94=5,'Entry list'!$J94=5),'Entry list'!D94,"")</f>
        <v/>
      </c>
      <c r="E94" t="str">
        <f>IF(AND('Entry list'!$I94=5,'Entry list'!$J94=5),'Entry list'!E94,"")</f>
        <v/>
      </c>
      <c r="F94" t="str">
        <f>IF(AND('Entry list'!$I94=5,'Entry list'!$J94=5),'Entry list'!F94,"")</f>
        <v/>
      </c>
      <c r="G94" t="str">
        <f>IF(AND('Entry list'!$I94=5,'Entry list'!$J94=5),'Entry list'!G94,"")</f>
        <v/>
      </c>
      <c r="H94" t="str">
        <f>IF(AND('Entry list'!$I94=5,'Entry list'!$J94=5),'Entry list'!H94,"")</f>
        <v/>
      </c>
      <c r="I94" t="str">
        <f>IF(AND('Entry list'!$I94=5,'Entry list'!$J94=5),'Entry list'!K94,"")</f>
        <v/>
      </c>
      <c r="J94" t="str">
        <f>IF(AND('Entry list'!$I94=5,'Entry list'!$J94=5),'Entry list'!L94,"")</f>
        <v/>
      </c>
      <c r="K94" t="str">
        <f>IF(AND('Entry list'!$I94=5,'Entry list'!$J94=5),'Entry list'!M94,"")</f>
        <v/>
      </c>
      <c r="L94" t="str">
        <f>IF(AND('Entry list'!$I94=5,'Entry list'!$J94=5),'Entry list'!N94,"")</f>
        <v/>
      </c>
      <c r="M94" t="str">
        <f t="shared" si="3"/>
        <v/>
      </c>
      <c r="N94" t="str">
        <f t="shared" si="4"/>
        <v/>
      </c>
      <c r="O94" t="str">
        <f t="shared" si="5"/>
        <v/>
      </c>
    </row>
    <row r="95" spans="1:15" x14ac:dyDescent="0.25">
      <c r="A95">
        <f>IF(AND('Entry list'!$I95=5,'Entry list'!$J95=5),'Entry list'!A95,"")</f>
        <v>1</v>
      </c>
      <c r="B95">
        <f>IF(AND('Entry list'!$I95=5,'Entry list'!$J95=5),'Entry list'!B95,"")</f>
        <v>0.33958333333333335</v>
      </c>
      <c r="C95" t="str">
        <f>IF(AND('Entry list'!$I95=5,'Entry list'!$J95=5),'Entry list'!C95,"")</f>
        <v>C</v>
      </c>
      <c r="D95" t="str">
        <f>IF(AND('Entry list'!$I95=5,'Entry list'!$J95=5),'Entry list'!D95,"")</f>
        <v>33NSH</v>
      </c>
      <c r="E95" t="str">
        <f>IF(AND('Entry list'!$I95=5,'Entry list'!$J95=5),'Entry list'!E95,"")</f>
        <v>65DET</v>
      </c>
      <c r="F95" t="str">
        <f>IF(AND('Entry list'!$I95=5,'Entry list'!$J95=5),'Entry list'!F95,"")</f>
        <v>N</v>
      </c>
      <c r="G95" t="str">
        <f>IF(AND('Entry list'!$I95=5,'Entry list'!$J95=5),'Entry list'!G95,"")</f>
        <v>R</v>
      </c>
      <c r="H95" t="str">
        <f>IF(AND('Entry list'!$I95=5,'Entry list'!$J95=5),'Entry list'!H95,"")</f>
        <v>N</v>
      </c>
      <c r="I95" t="str">
        <f>IF(AND('Entry list'!$I95=5,'Entry list'!$J95=5),'Entry list'!K95,"")</f>
        <v>33NSH</v>
      </c>
      <c r="J95">
        <f>IF(AND('Entry list'!$I95=5,'Entry list'!$J95=5),'Entry list'!L95,"")</f>
        <v>0</v>
      </c>
      <c r="K95">
        <f>IF(AND('Entry list'!$I95=5,'Entry list'!$J95=5),'Entry list'!M95,"")</f>
        <v>0</v>
      </c>
      <c r="L95" t="str">
        <f>IF(AND('Entry list'!$I95=5,'Entry list'!$J95=5),'Entry list'!N95,"")</f>
        <v/>
      </c>
      <c r="M95">
        <f t="shared" si="3"/>
        <v>0</v>
      </c>
      <c r="N95">
        <f t="shared" si="4"/>
        <v>0</v>
      </c>
      <c r="O95" t="str">
        <f t="shared" si="5"/>
        <v/>
      </c>
    </row>
    <row r="96" spans="1:15" x14ac:dyDescent="0.25">
      <c r="A96">
        <f>IF(AND('Entry list'!$I96=5,'Entry list'!$J96=5),'Entry list'!A96,"")</f>
        <v>1</v>
      </c>
      <c r="B96">
        <f>IF(AND('Entry list'!$I96=5,'Entry list'!$J96=5),'Entry list'!B96,"")</f>
        <v>0.33333333333333331</v>
      </c>
      <c r="C96" t="str">
        <f>IF(AND('Entry list'!$I96=5,'Entry list'!$J96=5),'Entry list'!C96,"")</f>
        <v>F</v>
      </c>
      <c r="D96" t="str">
        <f>IF(AND('Entry list'!$I96=5,'Entry list'!$J96=5),'Entry list'!D96,"")</f>
        <v>29DET</v>
      </c>
      <c r="E96" t="str">
        <f>IF(AND('Entry list'!$I96=5,'Entry list'!$J96=5),'Entry list'!E96,"")</f>
        <v>4NSH</v>
      </c>
      <c r="F96" t="str">
        <f>IF(AND('Entry list'!$I96=5,'Entry list'!$J96=5),'Entry list'!F96,"")</f>
        <v/>
      </c>
      <c r="G96" t="str">
        <f>IF(AND('Entry list'!$I96=5,'Entry list'!$J96=5),'Entry list'!G96,"")</f>
        <v>L</v>
      </c>
      <c r="H96" t="str">
        <f>IF(AND('Entry list'!$I96=5,'Entry list'!$J96=5),'Entry list'!H96,"")</f>
        <v>N</v>
      </c>
      <c r="I96" t="str">
        <f>IF(AND('Entry list'!$I96=5,'Entry list'!$J96=5),'Entry list'!K96,"")</f>
        <v/>
      </c>
      <c r="J96">
        <f>IF(AND('Entry list'!$I96=5,'Entry list'!$J96=5),'Entry list'!L96,"")</f>
        <v>0</v>
      </c>
      <c r="K96">
        <f>IF(AND('Entry list'!$I96=5,'Entry list'!$J96=5),'Entry list'!M96,"")</f>
        <v>0</v>
      </c>
      <c r="L96" t="str">
        <f>IF(AND('Entry list'!$I96=5,'Entry list'!$J96=5),'Entry list'!N96,"")</f>
        <v>29DET</v>
      </c>
      <c r="M96">
        <f t="shared" si="3"/>
        <v>0</v>
      </c>
      <c r="N96" t="str">
        <f t="shared" si="4"/>
        <v/>
      </c>
      <c r="O96">
        <f t="shared" si="5"/>
        <v>0</v>
      </c>
    </row>
    <row r="97" spans="1:15" x14ac:dyDescent="0.25">
      <c r="A97" t="str">
        <f>IF(AND('Entry list'!$I97=5,'Entry list'!$J97=5),'Entry list'!A97,"")</f>
        <v/>
      </c>
      <c r="B97" t="str">
        <f>IF(AND('Entry list'!$I97=5,'Entry list'!$J97=5),'Entry list'!B97,"")</f>
        <v/>
      </c>
      <c r="C97" t="str">
        <f>IF(AND('Entry list'!$I97=5,'Entry list'!$J97=5),'Entry list'!C97,"")</f>
        <v/>
      </c>
      <c r="D97" t="str">
        <f>IF(AND('Entry list'!$I97=5,'Entry list'!$J97=5),'Entry list'!D97,"")</f>
        <v/>
      </c>
      <c r="E97" t="str">
        <f>IF(AND('Entry list'!$I97=5,'Entry list'!$J97=5),'Entry list'!E97,"")</f>
        <v/>
      </c>
      <c r="F97" t="str">
        <f>IF(AND('Entry list'!$I97=5,'Entry list'!$J97=5),'Entry list'!F97,"")</f>
        <v/>
      </c>
      <c r="G97" t="str">
        <f>IF(AND('Entry list'!$I97=5,'Entry list'!$J97=5),'Entry list'!G97,"")</f>
        <v/>
      </c>
      <c r="H97" t="str">
        <f>IF(AND('Entry list'!$I97=5,'Entry list'!$J97=5),'Entry list'!H97,"")</f>
        <v/>
      </c>
      <c r="I97" t="str">
        <f>IF(AND('Entry list'!$I97=5,'Entry list'!$J97=5),'Entry list'!K97,"")</f>
        <v/>
      </c>
      <c r="J97" t="str">
        <f>IF(AND('Entry list'!$I97=5,'Entry list'!$J97=5),'Entry list'!L97,"")</f>
        <v/>
      </c>
      <c r="K97" t="str">
        <f>IF(AND('Entry list'!$I97=5,'Entry list'!$J97=5),'Entry list'!M97,"")</f>
        <v/>
      </c>
      <c r="L97" t="str">
        <f>IF(AND('Entry list'!$I97=5,'Entry list'!$J97=5),'Entry list'!N97,"")</f>
        <v/>
      </c>
      <c r="M97" t="str">
        <f t="shared" si="3"/>
        <v/>
      </c>
      <c r="N97" t="str">
        <f t="shared" si="4"/>
        <v/>
      </c>
      <c r="O97" t="str">
        <f t="shared" si="5"/>
        <v/>
      </c>
    </row>
    <row r="98" spans="1:15" x14ac:dyDescent="0.25">
      <c r="A98">
        <f>IF(AND('Entry list'!$I98=5,'Entry list'!$J98=5),'Entry list'!A98,"")</f>
        <v>1</v>
      </c>
      <c r="B98">
        <f>IF(AND('Entry list'!$I98=5,'Entry list'!$J98=5),'Entry list'!B98,"")</f>
        <v>0.32430555555555557</v>
      </c>
      <c r="C98" t="str">
        <f>IF(AND('Entry list'!$I98=5,'Entry list'!$J98=5),'Entry list'!C98,"")</f>
        <v>D</v>
      </c>
      <c r="D98" t="str">
        <f>IF(AND('Entry list'!$I98=5,'Entry list'!$J98=5),'Entry list'!D98,"")</f>
        <v>25DET</v>
      </c>
      <c r="E98" t="str">
        <f>IF(AND('Entry list'!$I98=5,'Entry list'!$J98=5),'Entry list'!E98,"")</f>
        <v>N</v>
      </c>
      <c r="F98" t="str">
        <f>IF(AND('Entry list'!$I98=5,'Entry list'!$J98=5),'Entry list'!F98,"")</f>
        <v/>
      </c>
      <c r="G98" t="str">
        <f>IF(AND('Entry list'!$I98=5,'Entry list'!$J98=5),'Entry list'!G98,"")</f>
        <v>R</v>
      </c>
      <c r="H98" t="str">
        <f>IF(AND('Entry list'!$I98=5,'Entry list'!$J98=5),'Entry list'!H98,"")</f>
        <v>N</v>
      </c>
      <c r="I98" t="str">
        <f>IF(AND('Entry list'!$I98=5,'Entry list'!$J98=5),'Entry list'!K98,"")</f>
        <v/>
      </c>
      <c r="J98">
        <f>IF(AND('Entry list'!$I98=5,'Entry list'!$J98=5),'Entry list'!L98,"")</f>
        <v>0</v>
      </c>
      <c r="K98">
        <f>IF(AND('Entry list'!$I98=5,'Entry list'!$J98=5),'Entry list'!M98,"")</f>
        <v>0</v>
      </c>
      <c r="L98" t="str">
        <f>IF(AND('Entry list'!$I98=5,'Entry list'!$J98=5),'Entry list'!N98,"")</f>
        <v/>
      </c>
      <c r="M98">
        <f t="shared" si="3"/>
        <v>0</v>
      </c>
      <c r="N98" t="str">
        <f t="shared" si="4"/>
        <v/>
      </c>
      <c r="O98" t="str">
        <f t="shared" si="5"/>
        <v/>
      </c>
    </row>
    <row r="99" spans="1:15" x14ac:dyDescent="0.25">
      <c r="A99">
        <f>IF(AND('Entry list'!$I99=5,'Entry list'!$J99=5),'Entry list'!A99,"")</f>
        <v>1</v>
      </c>
      <c r="B99">
        <f>IF(AND('Entry list'!$I99=5,'Entry list'!$J99=5),'Entry list'!B99,"")</f>
        <v>0.31805555555555554</v>
      </c>
      <c r="C99" t="str">
        <f>IF(AND('Entry list'!$I99=5,'Entry list'!$J99=5),'Entry list'!C99,"")</f>
        <v>F</v>
      </c>
      <c r="D99" t="str">
        <f>IF(AND('Entry list'!$I99=5,'Entry list'!$J99=5),'Entry list'!D99,"")</f>
        <v>92NSH</v>
      </c>
      <c r="E99" t="str">
        <f>IF(AND('Entry list'!$I99=5,'Entry list'!$J99=5),'Entry list'!E99,"")</f>
        <v>52DET</v>
      </c>
      <c r="F99" t="str">
        <f>IF(AND('Entry list'!$I99=5,'Entry list'!$J99=5),'Entry list'!F99,"")</f>
        <v/>
      </c>
      <c r="G99" t="str">
        <f>IF(AND('Entry list'!$I99=5,'Entry list'!$J99=5),'Entry list'!G99,"")</f>
        <v>R</v>
      </c>
      <c r="H99" t="str">
        <f>IF(AND('Entry list'!$I99=5,'Entry list'!$J99=5),'Entry list'!H99,"")</f>
        <v>N</v>
      </c>
      <c r="I99" t="str">
        <f>IF(AND('Entry list'!$I99=5,'Entry list'!$J99=5),'Entry list'!K99,"")</f>
        <v/>
      </c>
      <c r="J99">
        <f>IF(AND('Entry list'!$I99=5,'Entry list'!$J99=5),'Entry list'!L99,"")</f>
        <v>0</v>
      </c>
      <c r="K99">
        <f>IF(AND('Entry list'!$I99=5,'Entry list'!$J99=5),'Entry list'!M99,"")</f>
        <v>0</v>
      </c>
      <c r="L99" t="str">
        <f>IF(AND('Entry list'!$I99=5,'Entry list'!$J99=5),'Entry list'!N99,"")</f>
        <v>92NSH</v>
      </c>
      <c r="M99">
        <f t="shared" si="3"/>
        <v>0</v>
      </c>
      <c r="N99" t="str">
        <f t="shared" si="4"/>
        <v/>
      </c>
      <c r="O99">
        <f t="shared" si="5"/>
        <v>0</v>
      </c>
    </row>
    <row r="100" spans="1:15" x14ac:dyDescent="0.25">
      <c r="A100">
        <f>IF(AND('Entry list'!$I100=5,'Entry list'!$J100=5),'Entry list'!A100,"")</f>
        <v>1</v>
      </c>
      <c r="B100">
        <f>IF(AND('Entry list'!$I100=5,'Entry list'!$J100=5),'Entry list'!B100,"")</f>
        <v>0.31527777777777777</v>
      </c>
      <c r="C100" t="str">
        <f>IF(AND('Entry list'!$I100=5,'Entry list'!$J100=5),'Entry list'!C100,"")</f>
        <v>C</v>
      </c>
      <c r="D100" t="str">
        <f>IF(AND('Entry list'!$I100=5,'Entry list'!$J100=5),'Entry list'!D100,"")</f>
        <v>8DET</v>
      </c>
      <c r="E100" t="str">
        <f>IF(AND('Entry list'!$I100=5,'Entry list'!$J100=5),'Entry list'!E100,"")</f>
        <v>14NSH</v>
      </c>
      <c r="F100" t="str">
        <f>IF(AND('Entry list'!$I100=5,'Entry list'!$J100=5),'Entry list'!F100,"")</f>
        <v>N</v>
      </c>
      <c r="G100" t="str">
        <f>IF(AND('Entry list'!$I100=5,'Entry list'!$J100=5),'Entry list'!G100,"")</f>
        <v>R</v>
      </c>
      <c r="H100" t="str">
        <f>IF(AND('Entry list'!$I100=5,'Entry list'!$J100=5),'Entry list'!H100,"")</f>
        <v>N</v>
      </c>
      <c r="I100" t="str">
        <f>IF(AND('Entry list'!$I100=5,'Entry list'!$J100=5),'Entry list'!K100,"")</f>
        <v>8DET</v>
      </c>
      <c r="J100">
        <f>IF(AND('Entry list'!$I100=5,'Entry list'!$J100=5),'Entry list'!L100,"")</f>
        <v>1</v>
      </c>
      <c r="K100">
        <f>IF(AND('Entry list'!$I100=5,'Entry list'!$J100=5),'Entry list'!M100,"")</f>
        <v>0</v>
      </c>
      <c r="L100" t="str">
        <f>IF(AND('Entry list'!$I100=5,'Entry list'!$J100=5),'Entry list'!N100,"")</f>
        <v/>
      </c>
      <c r="M100">
        <f t="shared" si="3"/>
        <v>0</v>
      </c>
      <c r="N100">
        <f t="shared" si="4"/>
        <v>0</v>
      </c>
      <c r="O100" t="str">
        <f t="shared" si="5"/>
        <v/>
      </c>
    </row>
    <row r="101" spans="1:15" x14ac:dyDescent="0.25">
      <c r="A101" t="str">
        <f>IF(AND('Entry list'!$I101=5,'Entry list'!$J101=5),'Entry list'!A101,"")</f>
        <v/>
      </c>
      <c r="B101" t="str">
        <f>IF(AND('Entry list'!$I101=5,'Entry list'!$J101=5),'Entry list'!B101,"")</f>
        <v/>
      </c>
      <c r="C101" t="str">
        <f>IF(AND('Entry list'!$I101=5,'Entry list'!$J101=5),'Entry list'!C101,"")</f>
        <v/>
      </c>
      <c r="D101" t="str">
        <f>IF(AND('Entry list'!$I101=5,'Entry list'!$J101=5),'Entry list'!D101,"")</f>
        <v/>
      </c>
      <c r="E101" t="str">
        <f>IF(AND('Entry list'!$I101=5,'Entry list'!$J101=5),'Entry list'!E101,"")</f>
        <v/>
      </c>
      <c r="F101" t="str">
        <f>IF(AND('Entry list'!$I101=5,'Entry list'!$J101=5),'Entry list'!F101,"")</f>
        <v/>
      </c>
      <c r="G101" t="str">
        <f>IF(AND('Entry list'!$I101=5,'Entry list'!$J101=5),'Entry list'!G101,"")</f>
        <v/>
      </c>
      <c r="H101" t="str">
        <f>IF(AND('Entry list'!$I101=5,'Entry list'!$J101=5),'Entry list'!H101,"")</f>
        <v/>
      </c>
      <c r="I101" t="str">
        <f>IF(AND('Entry list'!$I101=5,'Entry list'!$J101=5),'Entry list'!K101,"")</f>
        <v/>
      </c>
      <c r="J101" t="str">
        <f>IF(AND('Entry list'!$I101=5,'Entry list'!$J101=5),'Entry list'!L101,"")</f>
        <v/>
      </c>
      <c r="K101" t="str">
        <f>IF(AND('Entry list'!$I101=5,'Entry list'!$J101=5),'Entry list'!M101,"")</f>
        <v/>
      </c>
      <c r="L101" t="str">
        <f>IF(AND('Entry list'!$I101=5,'Entry list'!$J101=5),'Entry list'!N101,"")</f>
        <v/>
      </c>
      <c r="M101" t="str">
        <f t="shared" si="3"/>
        <v/>
      </c>
      <c r="N101" t="str">
        <f t="shared" si="4"/>
        <v/>
      </c>
      <c r="O101" t="str">
        <f t="shared" si="5"/>
        <v/>
      </c>
    </row>
    <row r="102" spans="1:15" x14ac:dyDescent="0.25">
      <c r="A102">
        <f>IF(AND('Entry list'!$I102=5,'Entry list'!$J102=5),'Entry list'!A102,"")</f>
        <v>1</v>
      </c>
      <c r="B102">
        <f>IF(AND('Entry list'!$I102=5,'Entry list'!$J102=5),'Entry list'!B102,"")</f>
        <v>0.30833333333333335</v>
      </c>
      <c r="C102" t="str">
        <f>IF(AND('Entry list'!$I102=5,'Entry list'!$J102=5),'Entry list'!C102,"")</f>
        <v>D</v>
      </c>
      <c r="D102" t="str">
        <f>IF(AND('Entry list'!$I102=5,'Entry list'!$J102=5),'Entry list'!D102,"")</f>
        <v>19NSH</v>
      </c>
      <c r="E102" t="str">
        <f>IF(AND('Entry list'!$I102=5,'Entry list'!$J102=5),'Entry list'!E102,"")</f>
        <v>52DET</v>
      </c>
      <c r="F102" t="str">
        <f>IF(AND('Entry list'!$I102=5,'Entry list'!$J102=5),'Entry list'!F102,"")</f>
        <v/>
      </c>
      <c r="G102" t="str">
        <f>IF(AND('Entry list'!$I102=5,'Entry list'!$J102=5),'Entry list'!G102,"")</f>
        <v>R</v>
      </c>
      <c r="H102" t="str">
        <f>IF(AND('Entry list'!$I102=5,'Entry list'!$J102=5),'Entry list'!H102,"")</f>
        <v>N</v>
      </c>
      <c r="I102" t="str">
        <f>IF(AND('Entry list'!$I102=5,'Entry list'!$J102=5),'Entry list'!K102,"")</f>
        <v/>
      </c>
      <c r="J102">
        <f>IF(AND('Entry list'!$I102=5,'Entry list'!$J102=5),'Entry list'!L102,"")</f>
        <v>0</v>
      </c>
      <c r="K102">
        <f>IF(AND('Entry list'!$I102=5,'Entry list'!$J102=5),'Entry list'!M102,"")</f>
        <v>0</v>
      </c>
      <c r="L102" t="str">
        <f>IF(AND('Entry list'!$I102=5,'Entry list'!$J102=5),'Entry list'!N102,"")</f>
        <v/>
      </c>
      <c r="M102">
        <f t="shared" si="3"/>
        <v>0</v>
      </c>
      <c r="N102" t="str">
        <f t="shared" si="4"/>
        <v/>
      </c>
      <c r="O102" t="str">
        <f t="shared" si="5"/>
        <v/>
      </c>
    </row>
    <row r="103" spans="1:15" x14ac:dyDescent="0.25">
      <c r="A103">
        <f>IF(AND('Entry list'!$I103=5,'Entry list'!$J103=5),'Entry list'!A103,"")</f>
        <v>1</v>
      </c>
      <c r="B103">
        <f>IF(AND('Entry list'!$I103=5,'Entry list'!$J103=5),'Entry list'!B103,"")</f>
        <v>0.29097222222222224</v>
      </c>
      <c r="C103" t="str">
        <f>IF(AND('Entry list'!$I103=5,'Entry list'!$J103=5),'Entry list'!C103,"")</f>
        <v>C</v>
      </c>
      <c r="D103" t="str">
        <f>IF(AND('Entry list'!$I103=5,'Entry list'!$J103=5),'Entry list'!D103,"")</f>
        <v>71DET</v>
      </c>
      <c r="E103" t="str">
        <f>IF(AND('Entry list'!$I103=5,'Entry list'!$J103=5),'Entry list'!E103,"")</f>
        <v>59NSH</v>
      </c>
      <c r="F103" t="str">
        <f>IF(AND('Entry list'!$I103=5,'Entry list'!$J103=5),'Entry list'!F103,"")</f>
        <v>N</v>
      </c>
      <c r="G103" t="str">
        <f>IF(AND('Entry list'!$I103=5,'Entry list'!$J103=5),'Entry list'!G103,"")</f>
        <v>C</v>
      </c>
      <c r="H103" t="str">
        <f>IF(AND('Entry list'!$I103=5,'Entry list'!$J103=5),'Entry list'!H103,"")</f>
        <v>N</v>
      </c>
      <c r="I103" t="str">
        <f>IF(AND('Entry list'!$I103=5,'Entry list'!$J103=5),'Entry list'!K103,"")</f>
        <v>71DET</v>
      </c>
      <c r="J103">
        <f>IF(AND('Entry list'!$I103=5,'Entry list'!$J103=5),'Entry list'!L103,"")</f>
        <v>0</v>
      </c>
      <c r="K103">
        <f>IF(AND('Entry list'!$I103=5,'Entry list'!$J103=5),'Entry list'!M103,"")</f>
        <v>0</v>
      </c>
      <c r="L103" t="str">
        <f>IF(AND('Entry list'!$I103=5,'Entry list'!$J103=5),'Entry list'!N103,"")</f>
        <v/>
      </c>
      <c r="M103">
        <f t="shared" si="3"/>
        <v>0</v>
      </c>
      <c r="N103">
        <f t="shared" si="4"/>
        <v>0</v>
      </c>
      <c r="O103" t="str">
        <f t="shared" si="5"/>
        <v/>
      </c>
    </row>
    <row r="104" spans="1:15" x14ac:dyDescent="0.25">
      <c r="A104" t="str">
        <f>IF(AND('Entry list'!$I104=5,'Entry list'!$J104=5),'Entry list'!A104,"")</f>
        <v/>
      </c>
      <c r="B104" t="str">
        <f>IF(AND('Entry list'!$I104=5,'Entry list'!$J104=5),'Entry list'!B104,"")</f>
        <v/>
      </c>
      <c r="C104" t="str">
        <f>IF(AND('Entry list'!$I104=5,'Entry list'!$J104=5),'Entry list'!C104,"")</f>
        <v/>
      </c>
      <c r="D104" t="str">
        <f>IF(AND('Entry list'!$I104=5,'Entry list'!$J104=5),'Entry list'!D104,"")</f>
        <v/>
      </c>
      <c r="E104" t="str">
        <f>IF(AND('Entry list'!$I104=5,'Entry list'!$J104=5),'Entry list'!E104,"")</f>
        <v/>
      </c>
      <c r="F104" t="str">
        <f>IF(AND('Entry list'!$I104=5,'Entry list'!$J104=5),'Entry list'!F104,"")</f>
        <v/>
      </c>
      <c r="G104" t="str">
        <f>IF(AND('Entry list'!$I104=5,'Entry list'!$J104=5),'Entry list'!G104,"")</f>
        <v/>
      </c>
      <c r="H104" t="str">
        <f>IF(AND('Entry list'!$I104=5,'Entry list'!$J104=5),'Entry list'!H104,"")</f>
        <v/>
      </c>
      <c r="I104" t="str">
        <f>IF(AND('Entry list'!$I104=5,'Entry list'!$J104=5),'Entry list'!K104,"")</f>
        <v/>
      </c>
      <c r="J104" t="str">
        <f>IF(AND('Entry list'!$I104=5,'Entry list'!$J104=5),'Entry list'!L104,"")</f>
        <v/>
      </c>
      <c r="K104" t="str">
        <f>IF(AND('Entry list'!$I104=5,'Entry list'!$J104=5),'Entry list'!M104,"")</f>
        <v/>
      </c>
      <c r="L104" t="str">
        <f>IF(AND('Entry list'!$I104=5,'Entry list'!$J104=5),'Entry list'!N104,"")</f>
        <v/>
      </c>
      <c r="M104" t="str">
        <f t="shared" si="3"/>
        <v/>
      </c>
      <c r="N104" t="str">
        <f t="shared" si="4"/>
        <v/>
      </c>
      <c r="O104" t="str">
        <f t="shared" si="5"/>
        <v/>
      </c>
    </row>
    <row r="105" spans="1:15" x14ac:dyDescent="0.25">
      <c r="A105">
        <f>IF(AND('Entry list'!$I105=5,'Entry list'!$J105=5),'Entry list'!A105,"")</f>
        <v>1</v>
      </c>
      <c r="B105">
        <f>IF(AND('Entry list'!$I105=5,'Entry list'!$J105=5),'Entry list'!B105,"")</f>
        <v>0.28402777777777777</v>
      </c>
      <c r="C105" t="str">
        <f>IF(AND('Entry list'!$I105=5,'Entry list'!$J105=5),'Entry list'!C105,"")</f>
        <v>C</v>
      </c>
      <c r="D105" t="str">
        <f>IF(AND('Entry list'!$I105=5,'Entry list'!$J105=5),'Entry list'!D105,"")</f>
        <v>63NSH</v>
      </c>
      <c r="E105" t="str">
        <f>IF(AND('Entry list'!$I105=5,'Entry list'!$J105=5),'Entry list'!E105,"")</f>
        <v>2DET</v>
      </c>
      <c r="F105" t="str">
        <f>IF(AND('Entry list'!$I105=5,'Entry list'!$J105=5),'Entry list'!F105,"")</f>
        <v>Y</v>
      </c>
      <c r="G105" t="str">
        <f>IF(AND('Entry list'!$I105=5,'Entry list'!$J105=5),'Entry list'!G105,"")</f>
        <v>R</v>
      </c>
      <c r="H105" t="str">
        <f>IF(AND('Entry list'!$I105=5,'Entry list'!$J105=5),'Entry list'!H105,"")</f>
        <v>N</v>
      </c>
      <c r="I105" t="str">
        <f>IF(AND('Entry list'!$I105=5,'Entry list'!$J105=5),'Entry list'!K105,"")</f>
        <v>63NSH</v>
      </c>
      <c r="J105">
        <f>IF(AND('Entry list'!$I105=5,'Entry list'!$J105=5),'Entry list'!L105,"")</f>
        <v>1</v>
      </c>
      <c r="K105">
        <f>IF(AND('Entry list'!$I105=5,'Entry list'!$J105=5),'Entry list'!M105,"")</f>
        <v>0</v>
      </c>
      <c r="L105" t="str">
        <f>IF(AND('Entry list'!$I105=5,'Entry list'!$J105=5),'Entry list'!N105,"")</f>
        <v/>
      </c>
      <c r="M105">
        <f t="shared" si="3"/>
        <v>0</v>
      </c>
      <c r="N105">
        <f t="shared" si="4"/>
        <v>0</v>
      </c>
      <c r="O105" t="str">
        <f t="shared" si="5"/>
        <v/>
      </c>
    </row>
    <row r="106" spans="1:15" x14ac:dyDescent="0.25">
      <c r="A106" t="str">
        <f>IF(AND('Entry list'!$I106=5,'Entry list'!$J106=5),'Entry list'!A106,"")</f>
        <v/>
      </c>
      <c r="B106" t="str">
        <f>IF(AND('Entry list'!$I106=5,'Entry list'!$J106=5),'Entry list'!B106,"")</f>
        <v/>
      </c>
      <c r="C106" t="str">
        <f>IF(AND('Entry list'!$I106=5,'Entry list'!$J106=5),'Entry list'!C106,"")</f>
        <v/>
      </c>
      <c r="D106" t="str">
        <f>IF(AND('Entry list'!$I106=5,'Entry list'!$J106=5),'Entry list'!D106,"")</f>
        <v/>
      </c>
      <c r="E106" t="str">
        <f>IF(AND('Entry list'!$I106=5,'Entry list'!$J106=5),'Entry list'!E106,"")</f>
        <v/>
      </c>
      <c r="F106" t="str">
        <f>IF(AND('Entry list'!$I106=5,'Entry list'!$J106=5),'Entry list'!F106,"")</f>
        <v/>
      </c>
      <c r="G106" t="str">
        <f>IF(AND('Entry list'!$I106=5,'Entry list'!$J106=5),'Entry list'!G106,"")</f>
        <v/>
      </c>
      <c r="H106" t="str">
        <f>IF(AND('Entry list'!$I106=5,'Entry list'!$J106=5),'Entry list'!H106,"")</f>
        <v/>
      </c>
      <c r="I106" t="str">
        <f>IF(AND('Entry list'!$I106=5,'Entry list'!$J106=5),'Entry list'!K106,"")</f>
        <v/>
      </c>
      <c r="J106" t="str">
        <f>IF(AND('Entry list'!$I106=5,'Entry list'!$J106=5),'Entry list'!L106,"")</f>
        <v/>
      </c>
      <c r="K106" t="str">
        <f>IF(AND('Entry list'!$I106=5,'Entry list'!$J106=5),'Entry list'!M106,"")</f>
        <v/>
      </c>
      <c r="L106" t="str">
        <f>IF(AND('Entry list'!$I106=5,'Entry list'!$J106=5),'Entry list'!N106,"")</f>
        <v/>
      </c>
      <c r="M106" t="str">
        <f t="shared" si="3"/>
        <v/>
      </c>
      <c r="N106" t="str">
        <f t="shared" si="4"/>
        <v/>
      </c>
      <c r="O106" t="str">
        <f t="shared" si="5"/>
        <v/>
      </c>
    </row>
    <row r="107" spans="1:15" x14ac:dyDescent="0.25">
      <c r="A107">
        <f>IF(AND('Entry list'!$I107=5,'Entry list'!$J107=5),'Entry list'!A107,"")</f>
        <v>1</v>
      </c>
      <c r="B107">
        <f>IF(AND('Entry list'!$I107=5,'Entry list'!$J107=5),'Entry list'!B107,"")</f>
        <v>0.27847222222222223</v>
      </c>
      <c r="C107" t="str">
        <f>IF(AND('Entry list'!$I107=5,'Entry list'!$J107=5),'Entry list'!C107,"")</f>
        <v>C</v>
      </c>
      <c r="D107" t="str">
        <f>IF(AND('Entry list'!$I107=5,'Entry list'!$J107=5),'Entry list'!D107,"")</f>
        <v>71DET</v>
      </c>
      <c r="E107" t="str">
        <f>IF(AND('Entry list'!$I107=5,'Entry list'!$J107=5),'Entry list'!E107,"")</f>
        <v>59NSH</v>
      </c>
      <c r="F107" t="str">
        <f>IF(AND('Entry list'!$I107=5,'Entry list'!$J107=5),'Entry list'!F107,"")</f>
        <v>N</v>
      </c>
      <c r="G107" t="str">
        <f>IF(AND('Entry list'!$I107=5,'Entry list'!$J107=5),'Entry list'!G107,"")</f>
        <v>L</v>
      </c>
      <c r="H107" t="str">
        <f>IF(AND('Entry list'!$I107=5,'Entry list'!$J107=5),'Entry list'!H107,"")</f>
        <v>N</v>
      </c>
      <c r="I107" t="str">
        <f>IF(AND('Entry list'!$I107=5,'Entry list'!$J107=5),'Entry list'!K107,"")</f>
        <v>71DET</v>
      </c>
      <c r="J107">
        <f>IF(AND('Entry list'!$I107=5,'Entry list'!$J107=5),'Entry list'!L107,"")</f>
        <v>0</v>
      </c>
      <c r="K107">
        <f>IF(AND('Entry list'!$I107=5,'Entry list'!$J107=5),'Entry list'!M107,"")</f>
        <v>0</v>
      </c>
      <c r="L107" t="str">
        <f>IF(AND('Entry list'!$I107=5,'Entry list'!$J107=5),'Entry list'!N107,"")</f>
        <v/>
      </c>
      <c r="M107">
        <f t="shared" si="3"/>
        <v>0</v>
      </c>
      <c r="N107">
        <f t="shared" si="4"/>
        <v>0</v>
      </c>
      <c r="O107" t="str">
        <f t="shared" si="5"/>
        <v/>
      </c>
    </row>
    <row r="108" spans="1:15" x14ac:dyDescent="0.25">
      <c r="A108">
        <f>IF(AND('Entry list'!$I108=5,'Entry list'!$J108=5),'Entry list'!A108,"")</f>
        <v>1</v>
      </c>
      <c r="B108">
        <f>IF(AND('Entry list'!$I108=5,'Entry list'!$J108=5),'Entry list'!B108,"")</f>
        <v>0.27152777777777776</v>
      </c>
      <c r="C108" t="str">
        <f>IF(AND('Entry list'!$I108=5,'Entry list'!$J108=5),'Entry list'!C108,"")</f>
        <v>D</v>
      </c>
      <c r="D108" t="str">
        <f>IF(AND('Entry list'!$I108=5,'Entry list'!$J108=5),'Entry list'!D108,"")</f>
        <v>21DET</v>
      </c>
      <c r="E108" t="str">
        <f>IF(AND('Entry list'!$I108=5,'Entry list'!$J108=5),'Entry list'!E108,"")</f>
        <v>15NSH</v>
      </c>
      <c r="F108" t="str">
        <f>IF(AND('Entry list'!$I108=5,'Entry list'!$J108=5),'Entry list'!F108,"")</f>
        <v/>
      </c>
      <c r="G108" t="str">
        <f>IF(AND('Entry list'!$I108=5,'Entry list'!$J108=5),'Entry list'!G108,"")</f>
        <v>C</v>
      </c>
      <c r="H108" t="str">
        <f>IF(AND('Entry list'!$I108=5,'Entry list'!$J108=5),'Entry list'!H108,"")</f>
        <v>N</v>
      </c>
      <c r="I108" t="str">
        <f>IF(AND('Entry list'!$I108=5,'Entry list'!$J108=5),'Entry list'!K108,"")</f>
        <v/>
      </c>
      <c r="J108">
        <f>IF(AND('Entry list'!$I108=5,'Entry list'!$J108=5),'Entry list'!L108,"")</f>
        <v>0</v>
      </c>
      <c r="K108">
        <f>IF(AND('Entry list'!$I108=5,'Entry list'!$J108=5),'Entry list'!M108,"")</f>
        <v>0</v>
      </c>
      <c r="L108" t="str">
        <f>IF(AND('Entry list'!$I108=5,'Entry list'!$J108=5),'Entry list'!N108,"")</f>
        <v/>
      </c>
      <c r="M108">
        <f t="shared" si="3"/>
        <v>0</v>
      </c>
      <c r="N108" t="str">
        <f t="shared" si="4"/>
        <v/>
      </c>
      <c r="O108" t="str">
        <f t="shared" si="5"/>
        <v/>
      </c>
    </row>
    <row r="109" spans="1:15" x14ac:dyDescent="0.25">
      <c r="A109">
        <f>IF(AND('Entry list'!$I109=5,'Entry list'!$J109=5),'Entry list'!A109,"")</f>
        <v>1</v>
      </c>
      <c r="B109">
        <f>IF(AND('Entry list'!$I109=5,'Entry list'!$J109=5),'Entry list'!B109,"")</f>
        <v>0.26666666666666666</v>
      </c>
      <c r="C109" t="str">
        <f>IF(AND('Entry list'!$I109=5,'Entry list'!$J109=5),'Entry list'!C109,"")</f>
        <v>D</v>
      </c>
      <c r="D109" t="str">
        <f>IF(AND('Entry list'!$I109=5,'Entry list'!$J109=5),'Entry list'!D109,"")</f>
        <v>15NSH</v>
      </c>
      <c r="E109" t="str">
        <f>IF(AND('Entry list'!$I109=5,'Entry list'!$J109=5),'Entry list'!E109,"")</f>
        <v>25DET</v>
      </c>
      <c r="F109" t="str">
        <f>IF(AND('Entry list'!$I109=5,'Entry list'!$J109=5),'Entry list'!F109,"")</f>
        <v/>
      </c>
      <c r="G109" t="str">
        <f>IF(AND('Entry list'!$I109=5,'Entry list'!$J109=5),'Entry list'!G109,"")</f>
        <v>L</v>
      </c>
      <c r="H109" t="str">
        <f>IF(AND('Entry list'!$I109=5,'Entry list'!$J109=5),'Entry list'!H109,"")</f>
        <v>N</v>
      </c>
      <c r="I109" t="str">
        <f>IF(AND('Entry list'!$I109=5,'Entry list'!$J109=5),'Entry list'!K109,"")</f>
        <v/>
      </c>
      <c r="J109">
        <f>IF(AND('Entry list'!$I109=5,'Entry list'!$J109=5),'Entry list'!L109,"")</f>
        <v>1</v>
      </c>
      <c r="K109">
        <f>IF(AND('Entry list'!$I109=5,'Entry list'!$J109=5),'Entry list'!M109,"")</f>
        <v>0</v>
      </c>
      <c r="L109" t="str">
        <f>IF(AND('Entry list'!$I109=5,'Entry list'!$J109=5),'Entry list'!N109,"")</f>
        <v/>
      </c>
      <c r="M109">
        <f t="shared" si="3"/>
        <v>0</v>
      </c>
      <c r="N109" t="str">
        <f t="shared" si="4"/>
        <v/>
      </c>
      <c r="O109" t="str">
        <f t="shared" si="5"/>
        <v/>
      </c>
    </row>
    <row r="110" spans="1:15" x14ac:dyDescent="0.25">
      <c r="A110" t="str">
        <f>IF(AND('Entry list'!$I110=5,'Entry list'!$J110=5),'Entry list'!A110,"")</f>
        <v/>
      </c>
      <c r="B110" t="str">
        <f>IF(AND('Entry list'!$I110=5,'Entry list'!$J110=5),'Entry list'!B110,"")</f>
        <v/>
      </c>
      <c r="C110" t="str">
        <f>IF(AND('Entry list'!$I110=5,'Entry list'!$J110=5),'Entry list'!C110,"")</f>
        <v/>
      </c>
      <c r="D110" t="str">
        <f>IF(AND('Entry list'!$I110=5,'Entry list'!$J110=5),'Entry list'!D110,"")</f>
        <v/>
      </c>
      <c r="E110" t="str">
        <f>IF(AND('Entry list'!$I110=5,'Entry list'!$J110=5),'Entry list'!E110,"")</f>
        <v/>
      </c>
      <c r="F110" t="str">
        <f>IF(AND('Entry list'!$I110=5,'Entry list'!$J110=5),'Entry list'!F110,"")</f>
        <v/>
      </c>
      <c r="G110" t="str">
        <f>IF(AND('Entry list'!$I110=5,'Entry list'!$J110=5),'Entry list'!G110,"")</f>
        <v/>
      </c>
      <c r="H110" t="str">
        <f>IF(AND('Entry list'!$I110=5,'Entry list'!$J110=5),'Entry list'!H110,"")</f>
        <v/>
      </c>
      <c r="I110" t="str">
        <f>IF(AND('Entry list'!$I110=5,'Entry list'!$J110=5),'Entry list'!K110,"")</f>
        <v/>
      </c>
      <c r="J110" t="str">
        <f>IF(AND('Entry list'!$I110=5,'Entry list'!$J110=5),'Entry list'!L110,"")</f>
        <v/>
      </c>
      <c r="K110" t="str">
        <f>IF(AND('Entry list'!$I110=5,'Entry list'!$J110=5),'Entry list'!M110,"")</f>
        <v/>
      </c>
      <c r="L110" t="str">
        <f>IF(AND('Entry list'!$I110=5,'Entry list'!$J110=5),'Entry list'!N110,"")</f>
        <v/>
      </c>
      <c r="M110" t="str">
        <f t="shared" si="3"/>
        <v/>
      </c>
      <c r="N110" t="str">
        <f t="shared" si="4"/>
        <v/>
      </c>
      <c r="O110" t="str">
        <f t="shared" si="5"/>
        <v/>
      </c>
    </row>
    <row r="111" spans="1:15" x14ac:dyDescent="0.25">
      <c r="A111" t="str">
        <f>IF(AND('Entry list'!$I111=5,'Entry list'!$J111=5),'Entry list'!A111,"")</f>
        <v/>
      </c>
      <c r="B111" t="str">
        <f>IF(AND('Entry list'!$I111=5,'Entry list'!$J111=5),'Entry list'!B111,"")</f>
        <v/>
      </c>
      <c r="C111" t="str">
        <f>IF(AND('Entry list'!$I111=5,'Entry list'!$J111=5),'Entry list'!C111,"")</f>
        <v/>
      </c>
      <c r="D111" t="str">
        <f>IF(AND('Entry list'!$I111=5,'Entry list'!$J111=5),'Entry list'!D111,"")</f>
        <v/>
      </c>
      <c r="E111" t="str">
        <f>IF(AND('Entry list'!$I111=5,'Entry list'!$J111=5),'Entry list'!E111,"")</f>
        <v/>
      </c>
      <c r="F111" t="str">
        <f>IF(AND('Entry list'!$I111=5,'Entry list'!$J111=5),'Entry list'!F111,"")</f>
        <v/>
      </c>
      <c r="G111" t="str">
        <f>IF(AND('Entry list'!$I111=5,'Entry list'!$J111=5),'Entry list'!G111,"")</f>
        <v/>
      </c>
      <c r="H111" t="str">
        <f>IF(AND('Entry list'!$I111=5,'Entry list'!$J111=5),'Entry list'!H111,"")</f>
        <v/>
      </c>
      <c r="I111" t="str">
        <f>IF(AND('Entry list'!$I111=5,'Entry list'!$J111=5),'Entry list'!K111,"")</f>
        <v/>
      </c>
      <c r="J111" t="str">
        <f>IF(AND('Entry list'!$I111=5,'Entry list'!$J111=5),'Entry list'!L111,"")</f>
        <v/>
      </c>
      <c r="K111" t="str">
        <f>IF(AND('Entry list'!$I111=5,'Entry list'!$J111=5),'Entry list'!M111,"")</f>
        <v/>
      </c>
      <c r="L111" t="str">
        <f>IF(AND('Entry list'!$I111=5,'Entry list'!$J111=5),'Entry list'!N111,"")</f>
        <v/>
      </c>
      <c r="M111" t="str">
        <f t="shared" si="3"/>
        <v/>
      </c>
      <c r="N111" t="str">
        <f t="shared" si="4"/>
        <v/>
      </c>
      <c r="O111" t="str">
        <f t="shared" si="5"/>
        <v/>
      </c>
    </row>
    <row r="112" spans="1:15" x14ac:dyDescent="0.25">
      <c r="A112">
        <f>IF(AND('Entry list'!$I112=5,'Entry list'!$J112=5),'Entry list'!A112,"")</f>
        <v>1</v>
      </c>
      <c r="B112">
        <f>IF(AND('Entry list'!$I112=5,'Entry list'!$J112=5),'Entry list'!B112,"")</f>
        <v>0.25833333333333336</v>
      </c>
      <c r="C112" t="str">
        <f>IF(AND('Entry list'!$I112=5,'Entry list'!$J112=5),'Entry list'!C112,"")</f>
        <v>D</v>
      </c>
      <c r="D112" t="str">
        <f>IF(AND('Entry list'!$I112=5,'Entry list'!$J112=5),'Entry list'!D112,"")</f>
        <v>15DET</v>
      </c>
      <c r="E112" t="str">
        <f>IF(AND('Entry list'!$I112=5,'Entry list'!$J112=5),'Entry list'!E112,"")</f>
        <v>N</v>
      </c>
      <c r="F112" t="str">
        <f>IF(AND('Entry list'!$I112=5,'Entry list'!$J112=5),'Entry list'!F112,"")</f>
        <v/>
      </c>
      <c r="G112" t="str">
        <f>IF(AND('Entry list'!$I112=5,'Entry list'!$J112=5),'Entry list'!G112,"")</f>
        <v>R</v>
      </c>
      <c r="H112" t="str">
        <f>IF(AND('Entry list'!$I112=5,'Entry list'!$J112=5),'Entry list'!H112,"")</f>
        <v>N</v>
      </c>
      <c r="I112" t="str">
        <f>IF(AND('Entry list'!$I112=5,'Entry list'!$J112=5),'Entry list'!K112,"")</f>
        <v/>
      </c>
      <c r="J112">
        <f>IF(AND('Entry list'!$I112=5,'Entry list'!$J112=5),'Entry list'!L112,"")</f>
        <v>0</v>
      </c>
      <c r="K112">
        <f>IF(AND('Entry list'!$I112=5,'Entry list'!$J112=5),'Entry list'!M112,"")</f>
        <v>0</v>
      </c>
      <c r="L112" t="str">
        <f>IF(AND('Entry list'!$I112=5,'Entry list'!$J112=5),'Entry list'!N112,"")</f>
        <v/>
      </c>
      <c r="M112">
        <f t="shared" si="3"/>
        <v>0</v>
      </c>
      <c r="N112" t="str">
        <f t="shared" si="4"/>
        <v/>
      </c>
      <c r="O112" t="str">
        <f t="shared" si="5"/>
        <v/>
      </c>
    </row>
    <row r="113" spans="1:15" x14ac:dyDescent="0.25">
      <c r="A113" t="str">
        <f>IF(AND('Entry list'!$I113=5,'Entry list'!$J113=5),'Entry list'!A113,"")</f>
        <v/>
      </c>
      <c r="B113" t="str">
        <f>IF(AND('Entry list'!$I113=5,'Entry list'!$J113=5),'Entry list'!B113,"")</f>
        <v/>
      </c>
      <c r="C113" t="str">
        <f>IF(AND('Entry list'!$I113=5,'Entry list'!$J113=5),'Entry list'!C113,"")</f>
        <v/>
      </c>
      <c r="D113" t="str">
        <f>IF(AND('Entry list'!$I113=5,'Entry list'!$J113=5),'Entry list'!D113,"")</f>
        <v/>
      </c>
      <c r="E113" t="str">
        <f>IF(AND('Entry list'!$I113=5,'Entry list'!$J113=5),'Entry list'!E113,"")</f>
        <v/>
      </c>
      <c r="F113" t="str">
        <f>IF(AND('Entry list'!$I113=5,'Entry list'!$J113=5),'Entry list'!F113,"")</f>
        <v/>
      </c>
      <c r="G113" t="str">
        <f>IF(AND('Entry list'!$I113=5,'Entry list'!$J113=5),'Entry list'!G113,"")</f>
        <v/>
      </c>
      <c r="H113" t="str">
        <f>IF(AND('Entry list'!$I113=5,'Entry list'!$J113=5),'Entry list'!H113,"")</f>
        <v/>
      </c>
      <c r="I113" t="str">
        <f>IF(AND('Entry list'!$I113=5,'Entry list'!$J113=5),'Entry list'!K113,"")</f>
        <v/>
      </c>
      <c r="J113" t="str">
        <f>IF(AND('Entry list'!$I113=5,'Entry list'!$J113=5),'Entry list'!L113,"")</f>
        <v/>
      </c>
      <c r="K113" t="str">
        <f>IF(AND('Entry list'!$I113=5,'Entry list'!$J113=5),'Entry list'!M113,"")</f>
        <v/>
      </c>
      <c r="L113" t="str">
        <f>IF(AND('Entry list'!$I113=5,'Entry list'!$J113=5),'Entry list'!N113,"")</f>
        <v/>
      </c>
      <c r="M113" t="str">
        <f t="shared" si="3"/>
        <v/>
      </c>
      <c r="N113" t="str">
        <f t="shared" si="4"/>
        <v/>
      </c>
      <c r="O113" t="str">
        <f t="shared" si="5"/>
        <v/>
      </c>
    </row>
    <row r="114" spans="1:15" x14ac:dyDescent="0.25">
      <c r="A114">
        <f>IF(AND('Entry list'!$I114=5,'Entry list'!$J114=5),'Entry list'!A114,"")</f>
        <v>1</v>
      </c>
      <c r="B114">
        <f>IF(AND('Entry list'!$I114=5,'Entry list'!$J114=5),'Entry list'!B114,"")</f>
        <v>0.23541666666666669</v>
      </c>
      <c r="C114" t="str">
        <f>IF(AND('Entry list'!$I114=5,'Entry list'!$J114=5),'Entry list'!C114,"")</f>
        <v>C</v>
      </c>
      <c r="D114" t="str">
        <f>IF(AND('Entry list'!$I114=5,'Entry list'!$J114=5),'Entry list'!D114,"")</f>
        <v>62DET</v>
      </c>
      <c r="E114" t="str">
        <f>IF(AND('Entry list'!$I114=5,'Entry list'!$J114=5),'Entry list'!E114,"")</f>
        <v>4NSH</v>
      </c>
      <c r="F114" t="str">
        <f>IF(AND('Entry list'!$I114=5,'Entry list'!$J114=5),'Entry list'!F114,"")</f>
        <v>N</v>
      </c>
      <c r="G114" t="str">
        <f>IF(AND('Entry list'!$I114=5,'Entry list'!$J114=5),'Entry list'!G114,"")</f>
        <v>R</v>
      </c>
      <c r="H114" t="str">
        <f>IF(AND('Entry list'!$I114=5,'Entry list'!$J114=5),'Entry list'!H114,"")</f>
        <v>N</v>
      </c>
      <c r="I114" t="str">
        <f>IF(AND('Entry list'!$I114=5,'Entry list'!$J114=5),'Entry list'!K114,"")</f>
        <v>62DET</v>
      </c>
      <c r="J114">
        <f>IF(AND('Entry list'!$I114=5,'Entry list'!$J114=5),'Entry list'!L114,"")</f>
        <v>2</v>
      </c>
      <c r="K114">
        <f>IF(AND('Entry list'!$I114=5,'Entry list'!$J114=5),'Entry list'!M114,"")</f>
        <v>0</v>
      </c>
      <c r="L114" t="str">
        <f>IF(AND('Entry list'!$I114=5,'Entry list'!$J114=5),'Entry list'!N114,"")</f>
        <v/>
      </c>
      <c r="M114">
        <f t="shared" si="3"/>
        <v>0</v>
      </c>
      <c r="N114">
        <f t="shared" si="4"/>
        <v>0</v>
      </c>
      <c r="O114" t="str">
        <f t="shared" si="5"/>
        <v/>
      </c>
    </row>
    <row r="115" spans="1:15" x14ac:dyDescent="0.25">
      <c r="A115" t="str">
        <f>IF(AND('Entry list'!$I115=5,'Entry list'!$J115=5),'Entry list'!A115,"")</f>
        <v/>
      </c>
      <c r="B115" t="str">
        <f>IF(AND('Entry list'!$I115=5,'Entry list'!$J115=5),'Entry list'!B115,"")</f>
        <v/>
      </c>
      <c r="C115" t="str">
        <f>IF(AND('Entry list'!$I115=5,'Entry list'!$J115=5),'Entry list'!C115,"")</f>
        <v/>
      </c>
      <c r="D115" t="str">
        <f>IF(AND('Entry list'!$I115=5,'Entry list'!$J115=5),'Entry list'!D115,"")</f>
        <v/>
      </c>
      <c r="E115" t="str">
        <f>IF(AND('Entry list'!$I115=5,'Entry list'!$J115=5),'Entry list'!E115,"")</f>
        <v/>
      </c>
      <c r="F115" t="str">
        <f>IF(AND('Entry list'!$I115=5,'Entry list'!$J115=5),'Entry list'!F115,"")</f>
        <v/>
      </c>
      <c r="G115" t="str">
        <f>IF(AND('Entry list'!$I115=5,'Entry list'!$J115=5),'Entry list'!G115,"")</f>
        <v/>
      </c>
      <c r="H115" t="str">
        <f>IF(AND('Entry list'!$I115=5,'Entry list'!$J115=5),'Entry list'!H115,"")</f>
        <v/>
      </c>
      <c r="I115" t="str">
        <f>IF(AND('Entry list'!$I115=5,'Entry list'!$J115=5),'Entry list'!K115,"")</f>
        <v/>
      </c>
      <c r="J115" t="str">
        <f>IF(AND('Entry list'!$I115=5,'Entry list'!$J115=5),'Entry list'!L115,"")</f>
        <v/>
      </c>
      <c r="K115" t="str">
        <f>IF(AND('Entry list'!$I115=5,'Entry list'!$J115=5),'Entry list'!M115,"")</f>
        <v/>
      </c>
      <c r="L115" t="str">
        <f>IF(AND('Entry list'!$I115=5,'Entry list'!$J115=5),'Entry list'!N115,"")</f>
        <v/>
      </c>
      <c r="M115" t="str">
        <f t="shared" si="3"/>
        <v/>
      </c>
      <c r="N115" t="str">
        <f t="shared" si="4"/>
        <v/>
      </c>
      <c r="O115" t="str">
        <f t="shared" si="5"/>
        <v/>
      </c>
    </row>
    <row r="116" spans="1:15" x14ac:dyDescent="0.25">
      <c r="A116" t="str">
        <f>IF(AND('Entry list'!$I116=5,'Entry list'!$J116=5),'Entry list'!A116,"")</f>
        <v/>
      </c>
      <c r="B116" t="str">
        <f>IF(AND('Entry list'!$I116=5,'Entry list'!$J116=5),'Entry list'!B116,"")</f>
        <v/>
      </c>
      <c r="C116" t="str">
        <f>IF(AND('Entry list'!$I116=5,'Entry list'!$J116=5),'Entry list'!C116,"")</f>
        <v/>
      </c>
      <c r="D116" t="str">
        <f>IF(AND('Entry list'!$I116=5,'Entry list'!$J116=5),'Entry list'!D116,"")</f>
        <v/>
      </c>
      <c r="E116" t="str">
        <f>IF(AND('Entry list'!$I116=5,'Entry list'!$J116=5),'Entry list'!E116,"")</f>
        <v/>
      </c>
      <c r="F116" t="str">
        <f>IF(AND('Entry list'!$I116=5,'Entry list'!$J116=5),'Entry list'!F116,"")</f>
        <v/>
      </c>
      <c r="G116" t="str">
        <f>IF(AND('Entry list'!$I116=5,'Entry list'!$J116=5),'Entry list'!G116,"")</f>
        <v/>
      </c>
      <c r="H116" t="str">
        <f>IF(AND('Entry list'!$I116=5,'Entry list'!$J116=5),'Entry list'!H116,"")</f>
        <v/>
      </c>
      <c r="I116" t="str">
        <f>IF(AND('Entry list'!$I116=5,'Entry list'!$J116=5),'Entry list'!K116,"")</f>
        <v/>
      </c>
      <c r="J116" t="str">
        <f>IF(AND('Entry list'!$I116=5,'Entry list'!$J116=5),'Entry list'!L116,"")</f>
        <v/>
      </c>
      <c r="K116" t="str">
        <f>IF(AND('Entry list'!$I116=5,'Entry list'!$J116=5),'Entry list'!M116,"")</f>
        <v/>
      </c>
      <c r="L116" t="str">
        <f>IF(AND('Entry list'!$I116=5,'Entry list'!$J116=5),'Entry list'!N116,"")</f>
        <v/>
      </c>
      <c r="M116" t="str">
        <f t="shared" si="3"/>
        <v/>
      </c>
      <c r="N116" t="str">
        <f t="shared" si="4"/>
        <v/>
      </c>
      <c r="O116" t="str">
        <f t="shared" si="5"/>
        <v/>
      </c>
    </row>
    <row r="117" spans="1:15" x14ac:dyDescent="0.25">
      <c r="A117" t="str">
        <f>IF(AND('Entry list'!$I117=5,'Entry list'!$J117=5),'Entry list'!A117,"")</f>
        <v/>
      </c>
      <c r="B117" t="str">
        <f>IF(AND('Entry list'!$I117=5,'Entry list'!$J117=5),'Entry list'!B117,"")</f>
        <v/>
      </c>
      <c r="C117" t="str">
        <f>IF(AND('Entry list'!$I117=5,'Entry list'!$J117=5),'Entry list'!C117,"")</f>
        <v/>
      </c>
      <c r="D117" t="str">
        <f>IF(AND('Entry list'!$I117=5,'Entry list'!$J117=5),'Entry list'!D117,"")</f>
        <v/>
      </c>
      <c r="E117" t="str">
        <f>IF(AND('Entry list'!$I117=5,'Entry list'!$J117=5),'Entry list'!E117,"")</f>
        <v/>
      </c>
      <c r="F117" t="str">
        <f>IF(AND('Entry list'!$I117=5,'Entry list'!$J117=5),'Entry list'!F117,"")</f>
        <v/>
      </c>
      <c r="G117" t="str">
        <f>IF(AND('Entry list'!$I117=5,'Entry list'!$J117=5),'Entry list'!G117,"")</f>
        <v/>
      </c>
      <c r="H117" t="str">
        <f>IF(AND('Entry list'!$I117=5,'Entry list'!$J117=5),'Entry list'!H117,"")</f>
        <v/>
      </c>
      <c r="I117" t="str">
        <f>IF(AND('Entry list'!$I117=5,'Entry list'!$J117=5),'Entry list'!K117,"")</f>
        <v/>
      </c>
      <c r="J117" t="str">
        <f>IF(AND('Entry list'!$I117=5,'Entry list'!$J117=5),'Entry list'!L117,"")</f>
        <v/>
      </c>
      <c r="K117" t="str">
        <f>IF(AND('Entry list'!$I117=5,'Entry list'!$J117=5),'Entry list'!M117,"")</f>
        <v/>
      </c>
      <c r="L117" t="str">
        <f>IF(AND('Entry list'!$I117=5,'Entry list'!$J117=5),'Entry list'!N117,"")</f>
        <v/>
      </c>
      <c r="M117" t="str">
        <f t="shared" si="3"/>
        <v/>
      </c>
      <c r="N117" t="str">
        <f t="shared" si="4"/>
        <v/>
      </c>
      <c r="O117" t="str">
        <f t="shared" si="5"/>
        <v/>
      </c>
    </row>
    <row r="118" spans="1:15" x14ac:dyDescent="0.25">
      <c r="A118" t="str">
        <f>IF(AND('Entry list'!$I118=5,'Entry list'!$J118=5),'Entry list'!A118,"")</f>
        <v/>
      </c>
      <c r="B118" t="str">
        <f>IF(AND('Entry list'!$I118=5,'Entry list'!$J118=5),'Entry list'!B118,"")</f>
        <v/>
      </c>
      <c r="C118" t="str">
        <f>IF(AND('Entry list'!$I118=5,'Entry list'!$J118=5),'Entry list'!C118,"")</f>
        <v/>
      </c>
      <c r="D118" t="str">
        <f>IF(AND('Entry list'!$I118=5,'Entry list'!$J118=5),'Entry list'!D118,"")</f>
        <v/>
      </c>
      <c r="E118" t="str">
        <f>IF(AND('Entry list'!$I118=5,'Entry list'!$J118=5),'Entry list'!E118,"")</f>
        <v/>
      </c>
      <c r="F118" t="str">
        <f>IF(AND('Entry list'!$I118=5,'Entry list'!$J118=5),'Entry list'!F118,"")</f>
        <v/>
      </c>
      <c r="G118" t="str">
        <f>IF(AND('Entry list'!$I118=5,'Entry list'!$J118=5),'Entry list'!G118,"")</f>
        <v/>
      </c>
      <c r="H118" t="str">
        <f>IF(AND('Entry list'!$I118=5,'Entry list'!$J118=5),'Entry list'!H118,"")</f>
        <v/>
      </c>
      <c r="I118" t="str">
        <f>IF(AND('Entry list'!$I118=5,'Entry list'!$J118=5),'Entry list'!K118,"")</f>
        <v/>
      </c>
      <c r="J118" t="str">
        <f>IF(AND('Entry list'!$I118=5,'Entry list'!$J118=5),'Entry list'!L118,"")</f>
        <v/>
      </c>
      <c r="K118" t="str">
        <f>IF(AND('Entry list'!$I118=5,'Entry list'!$J118=5),'Entry list'!M118,"")</f>
        <v/>
      </c>
      <c r="L118" t="str">
        <f>IF(AND('Entry list'!$I118=5,'Entry list'!$J118=5),'Entry list'!N118,"")</f>
        <v/>
      </c>
      <c r="M118" t="str">
        <f t="shared" si="3"/>
        <v/>
      </c>
      <c r="N118" t="str">
        <f t="shared" si="4"/>
        <v/>
      </c>
      <c r="O118" t="str">
        <f t="shared" si="5"/>
        <v/>
      </c>
    </row>
    <row r="119" spans="1:15" x14ac:dyDescent="0.25">
      <c r="A119">
        <f>IF(AND('Entry list'!$I119=5,'Entry list'!$J119=5),'Entry list'!A119,"")</f>
        <v>1</v>
      </c>
      <c r="B119">
        <f>IF(AND('Entry list'!$I119=5,'Entry list'!$J119=5),'Entry list'!B119,"")</f>
        <v>0.22638888888888897</v>
      </c>
      <c r="C119" t="str">
        <f>IF(AND('Entry list'!$I119=5,'Entry list'!$J119=5),'Entry list'!C119,"")</f>
        <v>FAC</v>
      </c>
      <c r="D119" t="str">
        <f>IF(AND('Entry list'!$I119=5,'Entry list'!$J119=5),'Entry list'!D119,"")</f>
        <v>OZF</v>
      </c>
      <c r="E119" t="str">
        <f>IF(AND('Entry list'!$I119=5,'Entry list'!$J119=5),'Entry list'!E119,"")</f>
        <v/>
      </c>
      <c r="F119" t="str">
        <f>IF(AND('Entry list'!$I119=5,'Entry list'!$J119=5),'Entry list'!F119,"")</f>
        <v/>
      </c>
      <c r="G119" t="str">
        <f>IF(AND('Entry list'!$I119=5,'Entry list'!$J119=5),'Entry list'!G119,"")</f>
        <v/>
      </c>
      <c r="H119" t="str">
        <f>IF(AND('Entry list'!$I119=5,'Entry list'!$J119=5),'Entry list'!H119,"")</f>
        <v/>
      </c>
      <c r="I119" t="str">
        <f>IF(AND('Entry list'!$I119=5,'Entry list'!$J119=5),'Entry list'!K119,"")</f>
        <v/>
      </c>
      <c r="J119">
        <f>IF(AND('Entry list'!$I119=5,'Entry list'!$J119=5),'Entry list'!L119,"")</f>
        <v>0</v>
      </c>
      <c r="K119">
        <f>IF(AND('Entry list'!$I119=5,'Entry list'!$J119=5),'Entry list'!M119,"")</f>
        <v>0</v>
      </c>
      <c r="L119" t="str">
        <f>IF(AND('Entry list'!$I119=5,'Entry list'!$J119=5),'Entry list'!N119,"")</f>
        <v/>
      </c>
      <c r="M119">
        <f t="shared" si="3"/>
        <v>0</v>
      </c>
      <c r="N119" t="str">
        <f t="shared" si="4"/>
        <v/>
      </c>
      <c r="O119" t="str">
        <f t="shared" si="5"/>
        <v/>
      </c>
    </row>
    <row r="120" spans="1:15" x14ac:dyDescent="0.25">
      <c r="A120" t="str">
        <f>IF(AND('Entry list'!$I120=5,'Entry list'!$J120=5),'Entry list'!A120,"")</f>
        <v/>
      </c>
      <c r="B120" t="str">
        <f>IF(AND('Entry list'!$I120=5,'Entry list'!$J120=5),'Entry list'!B120,"")</f>
        <v/>
      </c>
      <c r="C120" t="str">
        <f>IF(AND('Entry list'!$I120=5,'Entry list'!$J120=5),'Entry list'!C120,"")</f>
        <v/>
      </c>
      <c r="D120" t="str">
        <f>IF(AND('Entry list'!$I120=5,'Entry list'!$J120=5),'Entry list'!D120,"")</f>
        <v/>
      </c>
      <c r="E120" t="str">
        <f>IF(AND('Entry list'!$I120=5,'Entry list'!$J120=5),'Entry list'!E120,"")</f>
        <v/>
      </c>
      <c r="F120" t="str">
        <f>IF(AND('Entry list'!$I120=5,'Entry list'!$J120=5),'Entry list'!F120,"")</f>
        <v/>
      </c>
      <c r="G120" t="str">
        <f>IF(AND('Entry list'!$I120=5,'Entry list'!$J120=5),'Entry list'!G120,"")</f>
        <v/>
      </c>
      <c r="H120" t="str">
        <f>IF(AND('Entry list'!$I120=5,'Entry list'!$J120=5),'Entry list'!H120,"")</f>
        <v/>
      </c>
      <c r="I120" t="str">
        <f>IF(AND('Entry list'!$I120=5,'Entry list'!$J120=5),'Entry list'!K120,"")</f>
        <v/>
      </c>
      <c r="J120" t="str">
        <f>IF(AND('Entry list'!$I120=5,'Entry list'!$J120=5),'Entry list'!L120,"")</f>
        <v/>
      </c>
      <c r="K120" t="str">
        <f>IF(AND('Entry list'!$I120=5,'Entry list'!$J120=5),'Entry list'!M120,"")</f>
        <v/>
      </c>
      <c r="L120" t="str">
        <f>IF(AND('Entry list'!$I120=5,'Entry list'!$J120=5),'Entry list'!N120,"")</f>
        <v/>
      </c>
      <c r="M120" t="str">
        <f t="shared" si="3"/>
        <v/>
      </c>
      <c r="N120" t="str">
        <f t="shared" si="4"/>
        <v/>
      </c>
      <c r="O120" t="str">
        <f t="shared" si="5"/>
        <v/>
      </c>
    </row>
    <row r="121" spans="1:15" x14ac:dyDescent="0.25">
      <c r="A121">
        <f>IF(AND('Entry list'!$I121=5,'Entry list'!$J121=5),'Entry list'!A121,"")</f>
        <v>1</v>
      </c>
      <c r="B121">
        <f>IF(AND('Entry list'!$I121=5,'Entry list'!$J121=5),'Entry list'!B121,"")</f>
        <v>0.20694444444444449</v>
      </c>
      <c r="C121" t="str">
        <f>IF(AND('Entry list'!$I121=5,'Entry list'!$J121=5),'Entry list'!C121,"")</f>
        <v>FAC</v>
      </c>
      <c r="D121" t="str">
        <f>IF(AND('Entry list'!$I121=5,'Entry list'!$J121=5),'Entry list'!D121,"")</f>
        <v>DZF</v>
      </c>
      <c r="E121" t="str">
        <f>IF(AND('Entry list'!$I121=5,'Entry list'!$J121=5),'Entry list'!E121,"")</f>
        <v/>
      </c>
      <c r="F121" t="str">
        <f>IF(AND('Entry list'!$I121=5,'Entry list'!$J121=5),'Entry list'!F121,"")</f>
        <v/>
      </c>
      <c r="G121" t="str">
        <f>IF(AND('Entry list'!$I121=5,'Entry list'!$J121=5),'Entry list'!G121,"")</f>
        <v/>
      </c>
      <c r="H121" t="str">
        <f>IF(AND('Entry list'!$I121=5,'Entry list'!$J121=5),'Entry list'!H121,"")</f>
        <v/>
      </c>
      <c r="I121" t="str">
        <f>IF(AND('Entry list'!$I121=5,'Entry list'!$J121=5),'Entry list'!K121,"")</f>
        <v/>
      </c>
      <c r="J121">
        <f>IF(AND('Entry list'!$I121=5,'Entry list'!$J121=5),'Entry list'!L121,"")</f>
        <v>0</v>
      </c>
      <c r="K121">
        <f>IF(AND('Entry list'!$I121=5,'Entry list'!$J121=5),'Entry list'!M121,"")</f>
        <v>0</v>
      </c>
      <c r="L121" t="str">
        <f>IF(AND('Entry list'!$I121=5,'Entry list'!$J121=5),'Entry list'!N121,"")</f>
        <v/>
      </c>
      <c r="M121">
        <f t="shared" si="3"/>
        <v>0</v>
      </c>
      <c r="N121" t="str">
        <f t="shared" si="4"/>
        <v/>
      </c>
      <c r="O121" t="str">
        <f t="shared" si="5"/>
        <v/>
      </c>
    </row>
    <row r="122" spans="1:15" x14ac:dyDescent="0.25">
      <c r="A122" t="str">
        <f>IF(AND('Entry list'!$I122=5,'Entry list'!$J122=5),'Entry list'!A122,"")</f>
        <v/>
      </c>
      <c r="B122" t="str">
        <f>IF(AND('Entry list'!$I122=5,'Entry list'!$J122=5),'Entry list'!B122,"")</f>
        <v/>
      </c>
      <c r="C122" t="str">
        <f>IF(AND('Entry list'!$I122=5,'Entry list'!$J122=5),'Entry list'!C122,"")</f>
        <v/>
      </c>
      <c r="D122" t="str">
        <f>IF(AND('Entry list'!$I122=5,'Entry list'!$J122=5),'Entry list'!D122,"")</f>
        <v/>
      </c>
      <c r="E122" t="str">
        <f>IF(AND('Entry list'!$I122=5,'Entry list'!$J122=5),'Entry list'!E122,"")</f>
        <v/>
      </c>
      <c r="F122" t="str">
        <f>IF(AND('Entry list'!$I122=5,'Entry list'!$J122=5),'Entry list'!F122,"")</f>
        <v/>
      </c>
      <c r="G122" t="str">
        <f>IF(AND('Entry list'!$I122=5,'Entry list'!$J122=5),'Entry list'!G122,"")</f>
        <v/>
      </c>
      <c r="H122" t="str">
        <f>IF(AND('Entry list'!$I122=5,'Entry list'!$J122=5),'Entry list'!H122,"")</f>
        <v/>
      </c>
      <c r="I122" t="str">
        <f>IF(AND('Entry list'!$I122=5,'Entry list'!$J122=5),'Entry list'!K122,"")</f>
        <v/>
      </c>
      <c r="J122" t="str">
        <f>IF(AND('Entry list'!$I122=5,'Entry list'!$J122=5),'Entry list'!L122,"")</f>
        <v/>
      </c>
      <c r="K122" t="str">
        <f>IF(AND('Entry list'!$I122=5,'Entry list'!$J122=5),'Entry list'!M122,"")</f>
        <v/>
      </c>
      <c r="L122" t="str">
        <f>IF(AND('Entry list'!$I122=5,'Entry list'!$J122=5),'Entry list'!N122,"")</f>
        <v/>
      </c>
      <c r="M122" t="str">
        <f t="shared" si="3"/>
        <v/>
      </c>
      <c r="N122" t="str">
        <f t="shared" si="4"/>
        <v/>
      </c>
      <c r="O122" t="str">
        <f t="shared" si="5"/>
        <v/>
      </c>
    </row>
    <row r="123" spans="1:15" x14ac:dyDescent="0.25">
      <c r="A123" t="str">
        <f>IF(AND('Entry list'!$I123=5,'Entry list'!$J123=5),'Entry list'!A123,"")</f>
        <v/>
      </c>
      <c r="B123" t="str">
        <f>IF(AND('Entry list'!$I123=5,'Entry list'!$J123=5),'Entry list'!B123,"")</f>
        <v/>
      </c>
      <c r="C123" t="str">
        <f>IF(AND('Entry list'!$I123=5,'Entry list'!$J123=5),'Entry list'!C123,"")</f>
        <v/>
      </c>
      <c r="D123" t="str">
        <f>IF(AND('Entry list'!$I123=5,'Entry list'!$J123=5),'Entry list'!D123,"")</f>
        <v/>
      </c>
      <c r="E123" t="str">
        <f>IF(AND('Entry list'!$I123=5,'Entry list'!$J123=5),'Entry list'!E123,"")</f>
        <v/>
      </c>
      <c r="F123" t="str">
        <f>IF(AND('Entry list'!$I123=5,'Entry list'!$J123=5),'Entry list'!F123,"")</f>
        <v/>
      </c>
      <c r="G123" t="str">
        <f>IF(AND('Entry list'!$I123=5,'Entry list'!$J123=5),'Entry list'!G123,"")</f>
        <v/>
      </c>
      <c r="H123" t="str">
        <f>IF(AND('Entry list'!$I123=5,'Entry list'!$J123=5),'Entry list'!H123,"")</f>
        <v/>
      </c>
      <c r="I123" t="str">
        <f>IF(AND('Entry list'!$I123=5,'Entry list'!$J123=5),'Entry list'!K123,"")</f>
        <v/>
      </c>
      <c r="J123" t="str">
        <f>IF(AND('Entry list'!$I123=5,'Entry list'!$J123=5),'Entry list'!L123,"")</f>
        <v/>
      </c>
      <c r="K123" t="str">
        <f>IF(AND('Entry list'!$I123=5,'Entry list'!$J123=5),'Entry list'!M123,"")</f>
        <v/>
      </c>
      <c r="L123" t="str">
        <f>IF(AND('Entry list'!$I123=5,'Entry list'!$J123=5),'Entry list'!N123,"")</f>
        <v/>
      </c>
      <c r="M123" t="str">
        <f t="shared" si="3"/>
        <v/>
      </c>
      <c r="N123" t="str">
        <f t="shared" si="4"/>
        <v/>
      </c>
      <c r="O123" t="str">
        <f t="shared" si="5"/>
        <v/>
      </c>
    </row>
    <row r="124" spans="1:15" x14ac:dyDescent="0.25">
      <c r="A124">
        <f>IF(AND('Entry list'!$I124=5,'Entry list'!$J124=5),'Entry list'!A124,"")</f>
        <v>1</v>
      </c>
      <c r="B124">
        <f>IF(AND('Entry list'!$I124=5,'Entry list'!$J124=5),'Entry list'!B124,"")</f>
        <v>0.19513888888888897</v>
      </c>
      <c r="C124" t="str">
        <f>IF(AND('Entry list'!$I124=5,'Entry list'!$J124=5),'Entry list'!C124,"")</f>
        <v>FAC</v>
      </c>
      <c r="D124" t="str">
        <f>IF(AND('Entry list'!$I124=5,'Entry list'!$J124=5),'Entry list'!D124,"")</f>
        <v>DZF</v>
      </c>
      <c r="E124" t="str">
        <f>IF(AND('Entry list'!$I124=5,'Entry list'!$J124=5),'Entry list'!E124,"")</f>
        <v/>
      </c>
      <c r="F124" t="str">
        <f>IF(AND('Entry list'!$I124=5,'Entry list'!$J124=5),'Entry list'!F124,"")</f>
        <v/>
      </c>
      <c r="G124" t="str">
        <f>IF(AND('Entry list'!$I124=5,'Entry list'!$J124=5),'Entry list'!G124,"")</f>
        <v/>
      </c>
      <c r="H124" t="str">
        <f>IF(AND('Entry list'!$I124=5,'Entry list'!$J124=5),'Entry list'!H124,"")</f>
        <v/>
      </c>
      <c r="I124" t="str">
        <f>IF(AND('Entry list'!$I124=5,'Entry list'!$J124=5),'Entry list'!K124,"")</f>
        <v/>
      </c>
      <c r="J124">
        <f>IF(AND('Entry list'!$I124=5,'Entry list'!$J124=5),'Entry list'!L124,"")</f>
        <v>0</v>
      </c>
      <c r="K124">
        <f>IF(AND('Entry list'!$I124=5,'Entry list'!$J124=5),'Entry list'!M124,"")</f>
        <v>0</v>
      </c>
      <c r="L124" t="str">
        <f>IF(AND('Entry list'!$I124=5,'Entry list'!$J124=5),'Entry list'!N124,"")</f>
        <v/>
      </c>
      <c r="M124">
        <f t="shared" si="3"/>
        <v>0</v>
      </c>
      <c r="N124" t="str">
        <f t="shared" si="4"/>
        <v/>
      </c>
      <c r="O124" t="str">
        <f t="shared" si="5"/>
        <v/>
      </c>
    </row>
    <row r="125" spans="1:15" x14ac:dyDescent="0.25">
      <c r="A125">
        <f>IF(AND('Entry list'!$I125=5,'Entry list'!$J125=5),'Entry list'!A125,"")</f>
        <v>1</v>
      </c>
      <c r="B125">
        <f>IF(AND('Entry list'!$I125=5,'Entry list'!$J125=5),'Entry list'!B125,"")</f>
        <v>0.18263888888888891</v>
      </c>
      <c r="C125" t="str">
        <f>IF(AND('Entry list'!$I125=5,'Entry list'!$J125=5),'Entry list'!C125,"")</f>
        <v>C</v>
      </c>
      <c r="D125" t="str">
        <f>IF(AND('Entry list'!$I125=5,'Entry list'!$J125=5),'Entry list'!D125,"")</f>
        <v>53DET</v>
      </c>
      <c r="E125" t="str">
        <f>IF(AND('Entry list'!$I125=5,'Entry list'!$J125=5),'Entry list'!E125,"")</f>
        <v>76NSH</v>
      </c>
      <c r="F125" t="str">
        <f>IF(AND('Entry list'!$I125=5,'Entry list'!$J125=5),'Entry list'!F125,"")</f>
        <v>N</v>
      </c>
      <c r="G125" t="str">
        <f>IF(AND('Entry list'!$I125=5,'Entry list'!$J125=5),'Entry list'!G125,"")</f>
        <v>R</v>
      </c>
      <c r="H125" t="str">
        <f>IF(AND('Entry list'!$I125=5,'Entry list'!$J125=5),'Entry list'!H125,"")</f>
        <v>N</v>
      </c>
      <c r="I125" t="str">
        <f>IF(AND('Entry list'!$I125=5,'Entry list'!$J125=5),'Entry list'!K125,"")</f>
        <v>53DET</v>
      </c>
      <c r="J125">
        <f>IF(AND('Entry list'!$I125=5,'Entry list'!$J125=5),'Entry list'!L125,"")</f>
        <v>0</v>
      </c>
      <c r="K125">
        <f>IF(AND('Entry list'!$I125=5,'Entry list'!$J125=5),'Entry list'!M125,"")</f>
        <v>0</v>
      </c>
      <c r="L125" t="str">
        <f>IF(AND('Entry list'!$I125=5,'Entry list'!$J125=5),'Entry list'!N125,"")</f>
        <v/>
      </c>
      <c r="M125">
        <f t="shared" si="3"/>
        <v>0</v>
      </c>
      <c r="N125">
        <f t="shared" si="4"/>
        <v>0</v>
      </c>
      <c r="O125" t="str">
        <f t="shared" si="5"/>
        <v/>
      </c>
    </row>
    <row r="126" spans="1:15" x14ac:dyDescent="0.25">
      <c r="A126">
        <f>IF(AND('Entry list'!$I126=5,'Entry list'!$J126=5),'Entry list'!A126,"")</f>
        <v>1</v>
      </c>
      <c r="B126">
        <f>IF(AND('Entry list'!$I126=5,'Entry list'!$J126=5),'Entry list'!B126,"")</f>
        <v>0.16666666666666666</v>
      </c>
      <c r="C126" t="str">
        <f>IF(AND('Entry list'!$I126=5,'Entry list'!$J126=5),'Entry list'!C126,"")</f>
        <v>D</v>
      </c>
      <c r="D126" t="str">
        <f>IF(AND('Entry list'!$I126=5,'Entry list'!$J126=5),'Entry list'!D126,"")</f>
        <v>40DET</v>
      </c>
      <c r="E126" t="str">
        <f>IF(AND('Entry list'!$I126=5,'Entry list'!$J126=5),'Entry list'!E126,"")</f>
        <v>N</v>
      </c>
      <c r="F126" t="str">
        <f>IF(AND('Entry list'!$I126=5,'Entry list'!$J126=5),'Entry list'!F126,"")</f>
        <v/>
      </c>
      <c r="G126" t="str">
        <f>IF(AND('Entry list'!$I126=5,'Entry list'!$J126=5),'Entry list'!G126,"")</f>
        <v>L</v>
      </c>
      <c r="H126" t="str">
        <f>IF(AND('Entry list'!$I126=5,'Entry list'!$J126=5),'Entry list'!H126,"")</f>
        <v>N</v>
      </c>
      <c r="I126" t="str">
        <f>IF(AND('Entry list'!$I126=5,'Entry list'!$J126=5),'Entry list'!K126,"")</f>
        <v/>
      </c>
      <c r="J126">
        <f>IF(AND('Entry list'!$I126=5,'Entry list'!$J126=5),'Entry list'!L126,"")</f>
        <v>0</v>
      </c>
      <c r="K126">
        <f>IF(AND('Entry list'!$I126=5,'Entry list'!$J126=5),'Entry list'!M126,"")</f>
        <v>0</v>
      </c>
      <c r="L126" t="str">
        <f>IF(AND('Entry list'!$I126=5,'Entry list'!$J126=5),'Entry list'!N126,"")</f>
        <v/>
      </c>
      <c r="M126">
        <f t="shared" si="3"/>
        <v>0</v>
      </c>
      <c r="N126" t="str">
        <f t="shared" si="4"/>
        <v/>
      </c>
      <c r="O126" t="str">
        <f t="shared" si="5"/>
        <v/>
      </c>
    </row>
    <row r="127" spans="1:15" x14ac:dyDescent="0.25">
      <c r="A127" t="str">
        <f>IF(AND('Entry list'!$I127=5,'Entry list'!$J127=5),'Entry list'!A127,"")</f>
        <v/>
      </c>
      <c r="B127" t="str">
        <f>IF(AND('Entry list'!$I127=5,'Entry list'!$J127=5),'Entry list'!B127,"")</f>
        <v/>
      </c>
      <c r="C127" t="str">
        <f>IF(AND('Entry list'!$I127=5,'Entry list'!$J127=5),'Entry list'!C127,"")</f>
        <v/>
      </c>
      <c r="D127" t="str">
        <f>IF(AND('Entry list'!$I127=5,'Entry list'!$J127=5),'Entry list'!D127,"")</f>
        <v/>
      </c>
      <c r="E127" t="str">
        <f>IF(AND('Entry list'!$I127=5,'Entry list'!$J127=5),'Entry list'!E127,"")</f>
        <v/>
      </c>
      <c r="F127" t="str">
        <f>IF(AND('Entry list'!$I127=5,'Entry list'!$J127=5),'Entry list'!F127,"")</f>
        <v/>
      </c>
      <c r="G127" t="str">
        <f>IF(AND('Entry list'!$I127=5,'Entry list'!$J127=5),'Entry list'!G127,"")</f>
        <v/>
      </c>
      <c r="H127" t="str">
        <f>IF(AND('Entry list'!$I127=5,'Entry list'!$J127=5),'Entry list'!H127,"")</f>
        <v/>
      </c>
      <c r="I127" t="str">
        <f>IF(AND('Entry list'!$I127=5,'Entry list'!$J127=5),'Entry list'!K127,"")</f>
        <v/>
      </c>
      <c r="J127" t="str">
        <f>IF(AND('Entry list'!$I127=5,'Entry list'!$J127=5),'Entry list'!L127,"")</f>
        <v/>
      </c>
      <c r="K127" t="str">
        <f>IF(AND('Entry list'!$I127=5,'Entry list'!$J127=5),'Entry list'!M127,"")</f>
        <v/>
      </c>
      <c r="L127" t="str">
        <f>IF(AND('Entry list'!$I127=5,'Entry list'!$J127=5),'Entry list'!N127,"")</f>
        <v/>
      </c>
      <c r="M127" t="str">
        <f t="shared" si="3"/>
        <v/>
      </c>
      <c r="N127" t="str">
        <f t="shared" si="4"/>
        <v/>
      </c>
      <c r="O127" t="str">
        <f t="shared" si="5"/>
        <v/>
      </c>
    </row>
    <row r="128" spans="1:15" x14ac:dyDescent="0.25">
      <c r="A128">
        <f>IF(AND('Entry list'!$I128=5,'Entry list'!$J128=5),'Entry list'!A128,"")</f>
        <v>1</v>
      </c>
      <c r="B128">
        <f>IF(AND('Entry list'!$I128=5,'Entry list'!$J128=5),'Entry list'!B128,"")</f>
        <v>0.15277777777777776</v>
      </c>
      <c r="C128" t="str">
        <f>IF(AND('Entry list'!$I128=5,'Entry list'!$J128=5),'Entry list'!C128,"")</f>
        <v>C</v>
      </c>
      <c r="D128" t="str">
        <f>IF(AND('Entry list'!$I128=5,'Entry list'!$J128=5),'Entry list'!D128,"")</f>
        <v>38NSH</v>
      </c>
      <c r="E128" t="str">
        <f>IF(AND('Entry list'!$I128=5,'Entry list'!$J128=5),'Entry list'!E128,"")</f>
        <v>2DET</v>
      </c>
      <c r="F128" t="str">
        <f>IF(AND('Entry list'!$I128=5,'Entry list'!$J128=5),'Entry list'!F128,"")</f>
        <v>N</v>
      </c>
      <c r="G128" t="str">
        <f>IF(AND('Entry list'!$I128=5,'Entry list'!$J128=5),'Entry list'!G128,"")</f>
        <v>R</v>
      </c>
      <c r="H128" t="str">
        <f>IF(AND('Entry list'!$I128=5,'Entry list'!$J128=5),'Entry list'!H128,"")</f>
        <v>N</v>
      </c>
      <c r="I128" t="str">
        <f>IF(AND('Entry list'!$I128=5,'Entry list'!$J128=5),'Entry list'!K128,"")</f>
        <v>38NSH</v>
      </c>
      <c r="J128">
        <f>IF(AND('Entry list'!$I128=5,'Entry list'!$J128=5),'Entry list'!L128,"")</f>
        <v>0</v>
      </c>
      <c r="K128">
        <f>IF(AND('Entry list'!$I128=5,'Entry list'!$J128=5),'Entry list'!M128,"")</f>
        <v>0</v>
      </c>
      <c r="L128" t="str">
        <f>IF(AND('Entry list'!$I128=5,'Entry list'!$J128=5),'Entry list'!N128,"")</f>
        <v/>
      </c>
      <c r="M128">
        <f t="shared" si="3"/>
        <v>0</v>
      </c>
      <c r="N128">
        <f t="shared" si="4"/>
        <v>0</v>
      </c>
      <c r="O128" t="str">
        <f t="shared" si="5"/>
        <v/>
      </c>
    </row>
    <row r="129" spans="1:15" x14ac:dyDescent="0.25">
      <c r="A129" t="str">
        <f>IF(AND('Entry list'!$I129=5,'Entry list'!$J129=5),'Entry list'!A129,"")</f>
        <v/>
      </c>
      <c r="B129" t="str">
        <f>IF(AND('Entry list'!$I129=5,'Entry list'!$J129=5),'Entry list'!B129,"")</f>
        <v/>
      </c>
      <c r="C129" t="str">
        <f>IF(AND('Entry list'!$I129=5,'Entry list'!$J129=5),'Entry list'!C129,"")</f>
        <v/>
      </c>
      <c r="D129" t="str">
        <f>IF(AND('Entry list'!$I129=5,'Entry list'!$J129=5),'Entry list'!D129,"")</f>
        <v/>
      </c>
      <c r="E129" t="str">
        <f>IF(AND('Entry list'!$I129=5,'Entry list'!$J129=5),'Entry list'!E129,"")</f>
        <v/>
      </c>
      <c r="F129" t="str">
        <f>IF(AND('Entry list'!$I129=5,'Entry list'!$J129=5),'Entry list'!F129,"")</f>
        <v/>
      </c>
      <c r="G129" t="str">
        <f>IF(AND('Entry list'!$I129=5,'Entry list'!$J129=5),'Entry list'!G129,"")</f>
        <v/>
      </c>
      <c r="H129" t="str">
        <f>IF(AND('Entry list'!$I129=5,'Entry list'!$J129=5),'Entry list'!H129,"")</f>
        <v/>
      </c>
      <c r="I129" t="str">
        <f>IF(AND('Entry list'!$I129=5,'Entry list'!$J129=5),'Entry list'!K129,"")</f>
        <v/>
      </c>
      <c r="J129" t="str">
        <f>IF(AND('Entry list'!$I129=5,'Entry list'!$J129=5),'Entry list'!L129,"")</f>
        <v/>
      </c>
      <c r="K129" t="str">
        <f>IF(AND('Entry list'!$I129=5,'Entry list'!$J129=5),'Entry list'!M129,"")</f>
        <v/>
      </c>
      <c r="L129" t="str">
        <f>IF(AND('Entry list'!$I129=5,'Entry list'!$J129=5),'Entry list'!N129,"")</f>
        <v/>
      </c>
      <c r="M129" t="str">
        <f t="shared" si="3"/>
        <v/>
      </c>
      <c r="N129" t="str">
        <f t="shared" si="4"/>
        <v/>
      </c>
      <c r="O129" t="str">
        <f t="shared" si="5"/>
        <v/>
      </c>
    </row>
    <row r="130" spans="1:15" x14ac:dyDescent="0.25">
      <c r="A130">
        <f>IF(AND('Entry list'!$I130=5,'Entry list'!$J130=5),'Entry list'!A130,"")</f>
        <v>1</v>
      </c>
      <c r="B130">
        <f>IF(AND('Entry list'!$I130=5,'Entry list'!$J130=5),'Entry list'!B130,"")</f>
        <v>0.1423611111111111</v>
      </c>
      <c r="C130" t="str">
        <f>IF(AND('Entry list'!$I130=5,'Entry list'!$J130=5),'Entry list'!C130,"")</f>
        <v>C</v>
      </c>
      <c r="D130" t="str">
        <f>IF(AND('Entry list'!$I130=5,'Entry list'!$J130=5),'Entry list'!D130,"")</f>
        <v>21DET</v>
      </c>
      <c r="E130" t="str">
        <f>IF(AND('Entry list'!$I130=5,'Entry list'!$J130=5),'Entry list'!E130,"")</f>
        <v>7NSH</v>
      </c>
      <c r="F130" t="str">
        <f>IF(AND('Entry list'!$I130=5,'Entry list'!$J130=5),'Entry list'!F130,"")</f>
        <v>Y</v>
      </c>
      <c r="G130" t="str">
        <f>IF(AND('Entry list'!$I130=5,'Entry list'!$J130=5),'Entry list'!G130,"")</f>
        <v>C</v>
      </c>
      <c r="H130" t="str">
        <f>IF(AND('Entry list'!$I130=5,'Entry list'!$J130=5),'Entry list'!H130,"")</f>
        <v>N</v>
      </c>
      <c r="I130" t="str">
        <f>IF(AND('Entry list'!$I130=5,'Entry list'!$J130=5),'Entry list'!K130,"")</f>
        <v>21DET</v>
      </c>
      <c r="J130">
        <f>IF(AND('Entry list'!$I130=5,'Entry list'!$J130=5),'Entry list'!L130,"")</f>
        <v>1</v>
      </c>
      <c r="K130">
        <f>IF(AND('Entry list'!$I130=5,'Entry list'!$J130=5),'Entry list'!M130,"")</f>
        <v>0</v>
      </c>
      <c r="L130" t="str">
        <f>IF(AND('Entry list'!$I130=5,'Entry list'!$J130=5),'Entry list'!N130,"")</f>
        <v/>
      </c>
      <c r="M130">
        <f t="shared" si="3"/>
        <v>0</v>
      </c>
      <c r="N130">
        <f t="shared" si="4"/>
        <v>0</v>
      </c>
      <c r="O130" t="str">
        <f t="shared" si="5"/>
        <v/>
      </c>
    </row>
    <row r="131" spans="1:15" x14ac:dyDescent="0.25">
      <c r="A131" t="str">
        <f>IF(AND('Entry list'!$I131=5,'Entry list'!$J131=5),'Entry list'!A131,"")</f>
        <v/>
      </c>
      <c r="B131" t="str">
        <f>IF(AND('Entry list'!$I131=5,'Entry list'!$J131=5),'Entry list'!B131,"")</f>
        <v/>
      </c>
      <c r="C131" t="str">
        <f>IF(AND('Entry list'!$I131=5,'Entry list'!$J131=5),'Entry list'!C131,"")</f>
        <v/>
      </c>
      <c r="D131" t="str">
        <f>IF(AND('Entry list'!$I131=5,'Entry list'!$J131=5),'Entry list'!D131,"")</f>
        <v/>
      </c>
      <c r="E131" t="str">
        <f>IF(AND('Entry list'!$I131=5,'Entry list'!$J131=5),'Entry list'!E131,"")</f>
        <v/>
      </c>
      <c r="F131" t="str">
        <f>IF(AND('Entry list'!$I131=5,'Entry list'!$J131=5),'Entry list'!F131,"")</f>
        <v/>
      </c>
      <c r="G131" t="str">
        <f>IF(AND('Entry list'!$I131=5,'Entry list'!$J131=5),'Entry list'!G131,"")</f>
        <v/>
      </c>
      <c r="H131" t="str">
        <f>IF(AND('Entry list'!$I131=5,'Entry list'!$J131=5),'Entry list'!H131,"")</f>
        <v/>
      </c>
      <c r="I131" t="str">
        <f>IF(AND('Entry list'!$I131=5,'Entry list'!$J131=5),'Entry list'!K131,"")</f>
        <v/>
      </c>
      <c r="J131" t="str">
        <f>IF(AND('Entry list'!$I131=5,'Entry list'!$J131=5),'Entry list'!L131,"")</f>
        <v/>
      </c>
      <c r="K131" t="str">
        <f>IF(AND('Entry list'!$I131=5,'Entry list'!$J131=5),'Entry list'!M131,"")</f>
        <v/>
      </c>
      <c r="L131" t="str">
        <f>IF(AND('Entry list'!$I131=5,'Entry list'!$J131=5),'Entry list'!N131,"")</f>
        <v/>
      </c>
      <c r="M131" t="str">
        <f t="shared" ref="M131:M194" si="6">IF(EXACT(D131,""),"",IF(EXACT(LEFT(D131,3),"WSH"),1,0))</f>
        <v/>
      </c>
      <c r="N131" t="str">
        <f t="shared" ref="N131:N194" si="7">IF(EXACT(I131,""),"",IF(EXACT(LEFT(I131,3),"WSH"),1,0))</f>
        <v/>
      </c>
      <c r="O131" t="str">
        <f t="shared" ref="O131:O194" si="8">IF(EXACT(L131,""),"",IF(EXACT(LEFT(L131,3),"WSH"),1,0))</f>
        <v/>
      </c>
    </row>
    <row r="132" spans="1:15" x14ac:dyDescent="0.25">
      <c r="A132">
        <f>IF(AND('Entry list'!$I132=5,'Entry list'!$J132=5),'Entry list'!A132,"")</f>
        <v>1</v>
      </c>
      <c r="B132">
        <f>IF(AND('Entry list'!$I132=5,'Entry list'!$J132=5),'Entry list'!B132,"")</f>
        <v>0.13333333333333333</v>
      </c>
      <c r="C132" t="str">
        <f>IF(AND('Entry list'!$I132=5,'Entry list'!$J132=5),'Entry list'!C132,"")</f>
        <v>C</v>
      </c>
      <c r="D132" t="str">
        <f>IF(AND('Entry list'!$I132=5,'Entry list'!$J132=5),'Entry list'!D132,"")</f>
        <v>21DET</v>
      </c>
      <c r="E132" t="str">
        <f>IF(AND('Entry list'!$I132=5,'Entry list'!$J132=5),'Entry list'!E132,"")</f>
        <v>7NSH</v>
      </c>
      <c r="F132" t="str">
        <f>IF(AND('Entry list'!$I132=5,'Entry list'!$J132=5),'Entry list'!F132,"")</f>
        <v>N</v>
      </c>
      <c r="G132" t="str">
        <f>IF(AND('Entry list'!$I132=5,'Entry list'!$J132=5),'Entry list'!G132,"")</f>
        <v>L</v>
      </c>
      <c r="H132" t="str">
        <f>IF(AND('Entry list'!$I132=5,'Entry list'!$J132=5),'Entry list'!H132,"")</f>
        <v>N</v>
      </c>
      <c r="I132" t="str">
        <f>IF(AND('Entry list'!$I132=5,'Entry list'!$J132=5),'Entry list'!K132,"")</f>
        <v>21DET</v>
      </c>
      <c r="J132">
        <f>IF(AND('Entry list'!$I132=5,'Entry list'!$J132=5),'Entry list'!L132,"")</f>
        <v>1</v>
      </c>
      <c r="K132">
        <f>IF(AND('Entry list'!$I132=5,'Entry list'!$J132=5),'Entry list'!M132,"")</f>
        <v>0</v>
      </c>
      <c r="L132" t="str">
        <f>IF(AND('Entry list'!$I132=5,'Entry list'!$J132=5),'Entry list'!N132,"")</f>
        <v/>
      </c>
      <c r="M132">
        <f t="shared" si="6"/>
        <v>0</v>
      </c>
      <c r="N132">
        <f t="shared" si="7"/>
        <v>0</v>
      </c>
      <c r="O132" t="str">
        <f t="shared" si="8"/>
        <v/>
      </c>
    </row>
    <row r="133" spans="1:15" x14ac:dyDescent="0.25">
      <c r="A133" t="str">
        <f>IF(AND('Entry list'!$I133=5,'Entry list'!$J133=5),'Entry list'!A133,"")</f>
        <v/>
      </c>
      <c r="B133" t="str">
        <f>IF(AND('Entry list'!$I133=5,'Entry list'!$J133=5),'Entry list'!B133,"")</f>
        <v/>
      </c>
      <c r="C133" t="str">
        <f>IF(AND('Entry list'!$I133=5,'Entry list'!$J133=5),'Entry list'!C133,"")</f>
        <v/>
      </c>
      <c r="D133" t="str">
        <f>IF(AND('Entry list'!$I133=5,'Entry list'!$J133=5),'Entry list'!D133,"")</f>
        <v/>
      </c>
      <c r="E133" t="str">
        <f>IF(AND('Entry list'!$I133=5,'Entry list'!$J133=5),'Entry list'!E133,"")</f>
        <v/>
      </c>
      <c r="F133" t="str">
        <f>IF(AND('Entry list'!$I133=5,'Entry list'!$J133=5),'Entry list'!F133,"")</f>
        <v/>
      </c>
      <c r="G133" t="str">
        <f>IF(AND('Entry list'!$I133=5,'Entry list'!$J133=5),'Entry list'!G133,"")</f>
        <v/>
      </c>
      <c r="H133" t="str">
        <f>IF(AND('Entry list'!$I133=5,'Entry list'!$J133=5),'Entry list'!H133,"")</f>
        <v/>
      </c>
      <c r="I133" t="str">
        <f>IF(AND('Entry list'!$I133=5,'Entry list'!$J133=5),'Entry list'!K133,"")</f>
        <v/>
      </c>
      <c r="J133" t="str">
        <f>IF(AND('Entry list'!$I133=5,'Entry list'!$J133=5),'Entry list'!L133,"")</f>
        <v/>
      </c>
      <c r="K133" t="str">
        <f>IF(AND('Entry list'!$I133=5,'Entry list'!$J133=5),'Entry list'!M133,"")</f>
        <v/>
      </c>
      <c r="L133" t="str">
        <f>IF(AND('Entry list'!$I133=5,'Entry list'!$J133=5),'Entry list'!N133,"")</f>
        <v/>
      </c>
      <c r="M133" t="str">
        <f t="shared" si="6"/>
        <v/>
      </c>
      <c r="N133" t="str">
        <f t="shared" si="7"/>
        <v/>
      </c>
      <c r="O133" t="str">
        <f t="shared" si="8"/>
        <v/>
      </c>
    </row>
    <row r="134" spans="1:15" x14ac:dyDescent="0.25">
      <c r="A134" t="str">
        <f>IF(AND('Entry list'!$I134=5,'Entry list'!$J134=5),'Entry list'!A134,"")</f>
        <v/>
      </c>
      <c r="B134" t="str">
        <f>IF(AND('Entry list'!$I134=5,'Entry list'!$J134=5),'Entry list'!B134,"")</f>
        <v/>
      </c>
      <c r="C134" t="str">
        <f>IF(AND('Entry list'!$I134=5,'Entry list'!$J134=5),'Entry list'!C134,"")</f>
        <v/>
      </c>
      <c r="D134" t="str">
        <f>IF(AND('Entry list'!$I134=5,'Entry list'!$J134=5),'Entry list'!D134,"")</f>
        <v/>
      </c>
      <c r="E134" t="str">
        <f>IF(AND('Entry list'!$I134=5,'Entry list'!$J134=5),'Entry list'!E134,"")</f>
        <v/>
      </c>
      <c r="F134" t="str">
        <f>IF(AND('Entry list'!$I134=5,'Entry list'!$J134=5),'Entry list'!F134,"")</f>
        <v/>
      </c>
      <c r="G134" t="str">
        <f>IF(AND('Entry list'!$I134=5,'Entry list'!$J134=5),'Entry list'!G134,"")</f>
        <v/>
      </c>
      <c r="H134" t="str">
        <f>IF(AND('Entry list'!$I134=5,'Entry list'!$J134=5),'Entry list'!H134,"")</f>
        <v/>
      </c>
      <c r="I134" t="str">
        <f>IF(AND('Entry list'!$I134=5,'Entry list'!$J134=5),'Entry list'!K134,"")</f>
        <v/>
      </c>
      <c r="J134" t="str">
        <f>IF(AND('Entry list'!$I134=5,'Entry list'!$J134=5),'Entry list'!L134,"")</f>
        <v/>
      </c>
      <c r="K134" t="str">
        <f>IF(AND('Entry list'!$I134=5,'Entry list'!$J134=5),'Entry list'!M134,"")</f>
        <v/>
      </c>
      <c r="L134" t="str">
        <f>IF(AND('Entry list'!$I134=5,'Entry list'!$J134=5),'Entry list'!N134,"")</f>
        <v/>
      </c>
      <c r="M134" t="str">
        <f t="shared" si="6"/>
        <v/>
      </c>
      <c r="N134" t="str">
        <f t="shared" si="7"/>
        <v/>
      </c>
      <c r="O134" t="str">
        <f t="shared" si="8"/>
        <v/>
      </c>
    </row>
    <row r="135" spans="1:15" x14ac:dyDescent="0.25">
      <c r="A135">
        <f>IF(AND('Entry list'!$I135=5,'Entry list'!$J135=5),'Entry list'!A135,"")</f>
        <v>1</v>
      </c>
      <c r="B135">
        <f>IF(AND('Entry list'!$I135=5,'Entry list'!$J135=5),'Entry list'!B135,"")</f>
        <v>0.13055555555555554</v>
      </c>
      <c r="C135" t="str">
        <f>IF(AND('Entry list'!$I135=5,'Entry list'!$J135=5),'Entry list'!C135,"")</f>
        <v>FAC</v>
      </c>
      <c r="D135" t="str">
        <f>IF(AND('Entry list'!$I135=5,'Entry list'!$J135=5),'Entry list'!D135,"")</f>
        <v>OZF</v>
      </c>
      <c r="E135" t="str">
        <f>IF(AND('Entry list'!$I135=5,'Entry list'!$J135=5),'Entry list'!E135,"")</f>
        <v/>
      </c>
      <c r="F135" t="str">
        <f>IF(AND('Entry list'!$I135=5,'Entry list'!$J135=5),'Entry list'!F135,"")</f>
        <v/>
      </c>
      <c r="G135" t="str">
        <f>IF(AND('Entry list'!$I135=5,'Entry list'!$J135=5),'Entry list'!G135,"")</f>
        <v/>
      </c>
      <c r="H135" t="str">
        <f>IF(AND('Entry list'!$I135=5,'Entry list'!$J135=5),'Entry list'!H135,"")</f>
        <v/>
      </c>
      <c r="I135" t="str">
        <f>IF(AND('Entry list'!$I135=5,'Entry list'!$J135=5),'Entry list'!K135,"")</f>
        <v/>
      </c>
      <c r="J135">
        <f>IF(AND('Entry list'!$I135=5,'Entry list'!$J135=5),'Entry list'!L135,"")</f>
        <v>0</v>
      </c>
      <c r="K135">
        <f>IF(AND('Entry list'!$I135=5,'Entry list'!$J135=5),'Entry list'!M135,"")</f>
        <v>0</v>
      </c>
      <c r="L135" t="str">
        <f>IF(AND('Entry list'!$I135=5,'Entry list'!$J135=5),'Entry list'!N135,"")</f>
        <v/>
      </c>
      <c r="M135">
        <f t="shared" si="6"/>
        <v>0</v>
      </c>
      <c r="N135" t="str">
        <f t="shared" si="7"/>
        <v/>
      </c>
      <c r="O135" t="str">
        <f t="shared" si="8"/>
        <v/>
      </c>
    </row>
    <row r="136" spans="1:15" x14ac:dyDescent="0.25">
      <c r="A136">
        <f>IF(AND('Entry list'!$I136=5,'Entry list'!$J136=5),'Entry list'!A136,"")</f>
        <v>1</v>
      </c>
      <c r="B136">
        <f>IF(AND('Entry list'!$I136=5,'Entry list'!$J136=5),'Entry list'!B136,"")</f>
        <v>0.1111111111111111</v>
      </c>
      <c r="C136" t="str">
        <f>IF(AND('Entry list'!$I136=5,'Entry list'!$J136=5),'Entry list'!C136,"")</f>
        <v>C</v>
      </c>
      <c r="D136" t="str">
        <f>IF(AND('Entry list'!$I136=5,'Entry list'!$J136=5),'Entry list'!D136,"")</f>
        <v>56NSH</v>
      </c>
      <c r="E136" t="str">
        <f>IF(AND('Entry list'!$I136=5,'Entry list'!$J136=5),'Entry list'!E136,"")</f>
        <v>48DET</v>
      </c>
      <c r="F136" t="str">
        <f>IF(AND('Entry list'!$I136=5,'Entry list'!$J136=5),'Entry list'!F136,"")</f>
        <v>Y</v>
      </c>
      <c r="G136" t="str">
        <f>IF(AND('Entry list'!$I136=5,'Entry list'!$J136=5),'Entry list'!G136,"")</f>
        <v>C</v>
      </c>
      <c r="H136" t="str">
        <f>IF(AND('Entry list'!$I136=5,'Entry list'!$J136=5),'Entry list'!H136,"")</f>
        <v>N</v>
      </c>
      <c r="I136" t="str">
        <f>IF(AND('Entry list'!$I136=5,'Entry list'!$J136=5),'Entry list'!K136,"")</f>
        <v>56NSH</v>
      </c>
      <c r="J136">
        <f>IF(AND('Entry list'!$I136=5,'Entry list'!$J136=5),'Entry list'!L136,"")</f>
        <v>1</v>
      </c>
      <c r="K136">
        <f>IF(AND('Entry list'!$I136=5,'Entry list'!$J136=5),'Entry list'!M136,"")</f>
        <v>0</v>
      </c>
      <c r="L136" t="str">
        <f>IF(AND('Entry list'!$I136=5,'Entry list'!$J136=5),'Entry list'!N136,"")</f>
        <v/>
      </c>
      <c r="M136">
        <f t="shared" si="6"/>
        <v>0</v>
      </c>
      <c r="N136">
        <f t="shared" si="7"/>
        <v>0</v>
      </c>
      <c r="O136" t="str">
        <f t="shared" si="8"/>
        <v/>
      </c>
    </row>
    <row r="137" spans="1:15" x14ac:dyDescent="0.25">
      <c r="A137" t="str">
        <f>IF(AND('Entry list'!$I137=5,'Entry list'!$J137=5),'Entry list'!A137,"")</f>
        <v/>
      </c>
      <c r="B137" t="str">
        <f>IF(AND('Entry list'!$I137=5,'Entry list'!$J137=5),'Entry list'!B137,"")</f>
        <v/>
      </c>
      <c r="C137" t="str">
        <f>IF(AND('Entry list'!$I137=5,'Entry list'!$J137=5),'Entry list'!C137,"")</f>
        <v/>
      </c>
      <c r="D137" t="str">
        <f>IF(AND('Entry list'!$I137=5,'Entry list'!$J137=5),'Entry list'!D137,"")</f>
        <v/>
      </c>
      <c r="E137" t="str">
        <f>IF(AND('Entry list'!$I137=5,'Entry list'!$J137=5),'Entry list'!E137,"")</f>
        <v/>
      </c>
      <c r="F137" t="str">
        <f>IF(AND('Entry list'!$I137=5,'Entry list'!$J137=5),'Entry list'!F137,"")</f>
        <v/>
      </c>
      <c r="G137" t="str">
        <f>IF(AND('Entry list'!$I137=5,'Entry list'!$J137=5),'Entry list'!G137,"")</f>
        <v/>
      </c>
      <c r="H137" t="str">
        <f>IF(AND('Entry list'!$I137=5,'Entry list'!$J137=5),'Entry list'!H137,"")</f>
        <v/>
      </c>
      <c r="I137" t="str">
        <f>IF(AND('Entry list'!$I137=5,'Entry list'!$J137=5),'Entry list'!K137,"")</f>
        <v/>
      </c>
      <c r="J137" t="str">
        <f>IF(AND('Entry list'!$I137=5,'Entry list'!$J137=5),'Entry list'!L137,"")</f>
        <v/>
      </c>
      <c r="K137" t="str">
        <f>IF(AND('Entry list'!$I137=5,'Entry list'!$J137=5),'Entry list'!M137,"")</f>
        <v/>
      </c>
      <c r="L137" t="str">
        <f>IF(AND('Entry list'!$I137=5,'Entry list'!$J137=5),'Entry list'!N137,"")</f>
        <v/>
      </c>
      <c r="M137" t="str">
        <f t="shared" si="6"/>
        <v/>
      </c>
      <c r="N137" t="str">
        <f t="shared" si="7"/>
        <v/>
      </c>
      <c r="O137" t="str">
        <f t="shared" si="8"/>
        <v/>
      </c>
    </row>
    <row r="138" spans="1:15" x14ac:dyDescent="0.25">
      <c r="A138" t="str">
        <f>IF(AND('Entry list'!$I138=5,'Entry list'!$J138=5),'Entry list'!A138,"")</f>
        <v/>
      </c>
      <c r="B138" t="str">
        <f>IF(AND('Entry list'!$I138=5,'Entry list'!$J138=5),'Entry list'!B138,"")</f>
        <v/>
      </c>
      <c r="C138" t="str">
        <f>IF(AND('Entry list'!$I138=5,'Entry list'!$J138=5),'Entry list'!C138,"")</f>
        <v/>
      </c>
      <c r="D138" t="str">
        <f>IF(AND('Entry list'!$I138=5,'Entry list'!$J138=5),'Entry list'!D138,"")</f>
        <v/>
      </c>
      <c r="E138" t="str">
        <f>IF(AND('Entry list'!$I138=5,'Entry list'!$J138=5),'Entry list'!E138,"")</f>
        <v/>
      </c>
      <c r="F138" t="str">
        <f>IF(AND('Entry list'!$I138=5,'Entry list'!$J138=5),'Entry list'!F138,"")</f>
        <v/>
      </c>
      <c r="G138" t="str">
        <f>IF(AND('Entry list'!$I138=5,'Entry list'!$J138=5),'Entry list'!G138,"")</f>
        <v/>
      </c>
      <c r="H138" t="str">
        <f>IF(AND('Entry list'!$I138=5,'Entry list'!$J138=5),'Entry list'!H138,"")</f>
        <v/>
      </c>
      <c r="I138" t="str">
        <f>IF(AND('Entry list'!$I138=5,'Entry list'!$J138=5),'Entry list'!K138,"")</f>
        <v/>
      </c>
      <c r="J138" t="str">
        <f>IF(AND('Entry list'!$I138=5,'Entry list'!$J138=5),'Entry list'!L138,"")</f>
        <v/>
      </c>
      <c r="K138" t="str">
        <f>IF(AND('Entry list'!$I138=5,'Entry list'!$J138=5),'Entry list'!M138,"")</f>
        <v/>
      </c>
      <c r="L138" t="str">
        <f>IF(AND('Entry list'!$I138=5,'Entry list'!$J138=5),'Entry list'!N138,"")</f>
        <v/>
      </c>
      <c r="M138" t="str">
        <f t="shared" si="6"/>
        <v/>
      </c>
      <c r="N138" t="str">
        <f t="shared" si="7"/>
        <v/>
      </c>
      <c r="O138" t="str">
        <f t="shared" si="8"/>
        <v/>
      </c>
    </row>
    <row r="139" spans="1:15" x14ac:dyDescent="0.25">
      <c r="A139">
        <f>IF(AND('Entry list'!$I139=5,'Entry list'!$J139=5),'Entry list'!A139,"")</f>
        <v>1</v>
      </c>
      <c r="B139">
        <f>IF(AND('Entry list'!$I139=5,'Entry list'!$J139=5),'Entry list'!B139,"")</f>
        <v>9.7222222222222224E-2</v>
      </c>
      <c r="C139" t="str">
        <f>IF(AND('Entry list'!$I139=5,'Entry list'!$J139=5),'Entry list'!C139,"")</f>
        <v>D</v>
      </c>
      <c r="D139" t="str">
        <f>IF(AND('Entry list'!$I139=5,'Entry list'!$J139=5),'Entry list'!D139,"")</f>
        <v>92NSH</v>
      </c>
      <c r="E139" t="str">
        <f>IF(AND('Entry list'!$I139=5,'Entry list'!$J139=5),'Entry list'!E139,"")</f>
        <v>N</v>
      </c>
      <c r="F139" t="str">
        <f>IF(AND('Entry list'!$I139=5,'Entry list'!$J139=5),'Entry list'!F139,"")</f>
        <v/>
      </c>
      <c r="G139" t="str">
        <f>IF(AND('Entry list'!$I139=5,'Entry list'!$J139=5),'Entry list'!G139,"")</f>
        <v>R</v>
      </c>
      <c r="H139" t="str">
        <f>IF(AND('Entry list'!$I139=5,'Entry list'!$J139=5),'Entry list'!H139,"")</f>
        <v>N</v>
      </c>
      <c r="I139" t="str">
        <f>IF(AND('Entry list'!$I139=5,'Entry list'!$J139=5),'Entry list'!K139,"")</f>
        <v/>
      </c>
      <c r="J139">
        <f>IF(AND('Entry list'!$I139=5,'Entry list'!$J139=5),'Entry list'!L139,"")</f>
        <v>4</v>
      </c>
      <c r="K139">
        <f>IF(AND('Entry list'!$I139=5,'Entry list'!$J139=5),'Entry list'!M139,"")</f>
        <v>0</v>
      </c>
      <c r="L139" t="str">
        <f>IF(AND('Entry list'!$I139=5,'Entry list'!$J139=5),'Entry list'!N139,"")</f>
        <v/>
      </c>
      <c r="M139">
        <f t="shared" si="6"/>
        <v>0</v>
      </c>
      <c r="N139" t="str">
        <f t="shared" si="7"/>
        <v/>
      </c>
      <c r="O139" t="str">
        <f t="shared" si="8"/>
        <v/>
      </c>
    </row>
    <row r="140" spans="1:15" x14ac:dyDescent="0.25">
      <c r="A140" t="str">
        <f>IF(AND('Entry list'!$I140=5,'Entry list'!$J140=5),'Entry list'!A140,"")</f>
        <v/>
      </c>
      <c r="B140" t="str">
        <f>IF(AND('Entry list'!$I140=5,'Entry list'!$J140=5),'Entry list'!B140,"")</f>
        <v/>
      </c>
      <c r="C140" t="str">
        <f>IF(AND('Entry list'!$I140=5,'Entry list'!$J140=5),'Entry list'!C140,"")</f>
        <v/>
      </c>
      <c r="D140" t="str">
        <f>IF(AND('Entry list'!$I140=5,'Entry list'!$J140=5),'Entry list'!D140,"")</f>
        <v/>
      </c>
      <c r="E140" t="str">
        <f>IF(AND('Entry list'!$I140=5,'Entry list'!$J140=5),'Entry list'!E140,"")</f>
        <v/>
      </c>
      <c r="F140" t="str">
        <f>IF(AND('Entry list'!$I140=5,'Entry list'!$J140=5),'Entry list'!F140,"")</f>
        <v/>
      </c>
      <c r="G140" t="str">
        <f>IF(AND('Entry list'!$I140=5,'Entry list'!$J140=5),'Entry list'!G140,"")</f>
        <v/>
      </c>
      <c r="H140" t="str">
        <f>IF(AND('Entry list'!$I140=5,'Entry list'!$J140=5),'Entry list'!H140,"")</f>
        <v/>
      </c>
      <c r="I140" t="str">
        <f>IF(AND('Entry list'!$I140=5,'Entry list'!$J140=5),'Entry list'!K140,"")</f>
        <v/>
      </c>
      <c r="J140" t="str">
        <f>IF(AND('Entry list'!$I140=5,'Entry list'!$J140=5),'Entry list'!L140,"")</f>
        <v/>
      </c>
      <c r="K140" t="str">
        <f>IF(AND('Entry list'!$I140=5,'Entry list'!$J140=5),'Entry list'!M140,"")</f>
        <v/>
      </c>
      <c r="L140" t="str">
        <f>IF(AND('Entry list'!$I140=5,'Entry list'!$J140=5),'Entry list'!N140,"")</f>
        <v/>
      </c>
      <c r="M140" t="str">
        <f t="shared" si="6"/>
        <v/>
      </c>
      <c r="N140" t="str">
        <f t="shared" si="7"/>
        <v/>
      </c>
      <c r="O140" t="str">
        <f t="shared" si="8"/>
        <v/>
      </c>
    </row>
    <row r="141" spans="1:15" x14ac:dyDescent="0.25">
      <c r="A141" t="str">
        <f>IF(AND('Entry list'!$I141=5,'Entry list'!$J141=5),'Entry list'!A141,"")</f>
        <v/>
      </c>
      <c r="B141" t="str">
        <f>IF(AND('Entry list'!$I141=5,'Entry list'!$J141=5),'Entry list'!B141,"")</f>
        <v/>
      </c>
      <c r="C141" t="str">
        <f>IF(AND('Entry list'!$I141=5,'Entry list'!$J141=5),'Entry list'!C141,"")</f>
        <v/>
      </c>
      <c r="D141" t="str">
        <f>IF(AND('Entry list'!$I141=5,'Entry list'!$J141=5),'Entry list'!D141,"")</f>
        <v/>
      </c>
      <c r="E141" t="str">
        <f>IF(AND('Entry list'!$I141=5,'Entry list'!$J141=5),'Entry list'!E141,"")</f>
        <v/>
      </c>
      <c r="F141" t="str">
        <f>IF(AND('Entry list'!$I141=5,'Entry list'!$J141=5),'Entry list'!F141,"")</f>
        <v/>
      </c>
      <c r="G141" t="str">
        <f>IF(AND('Entry list'!$I141=5,'Entry list'!$J141=5),'Entry list'!G141,"")</f>
        <v/>
      </c>
      <c r="H141" t="str">
        <f>IF(AND('Entry list'!$I141=5,'Entry list'!$J141=5),'Entry list'!H141,"")</f>
        <v/>
      </c>
      <c r="I141" t="str">
        <f>IF(AND('Entry list'!$I141=5,'Entry list'!$J141=5),'Entry list'!K141,"")</f>
        <v/>
      </c>
      <c r="J141" t="str">
        <f>IF(AND('Entry list'!$I141=5,'Entry list'!$J141=5),'Entry list'!L141,"")</f>
        <v/>
      </c>
      <c r="K141" t="str">
        <f>IF(AND('Entry list'!$I141=5,'Entry list'!$J141=5),'Entry list'!M141,"")</f>
        <v/>
      </c>
      <c r="L141" t="str">
        <f>IF(AND('Entry list'!$I141=5,'Entry list'!$J141=5),'Entry list'!N141,"")</f>
        <v/>
      </c>
      <c r="M141" t="str">
        <f t="shared" si="6"/>
        <v/>
      </c>
      <c r="N141" t="str">
        <f t="shared" si="7"/>
        <v/>
      </c>
      <c r="O141" t="str">
        <f t="shared" si="8"/>
        <v/>
      </c>
    </row>
    <row r="142" spans="1:15" x14ac:dyDescent="0.25">
      <c r="A142" t="str">
        <f>IF(AND('Entry list'!$I142=5,'Entry list'!$J142=5),'Entry list'!A142,"")</f>
        <v/>
      </c>
      <c r="B142" t="str">
        <f>IF(AND('Entry list'!$I142=5,'Entry list'!$J142=5),'Entry list'!B142,"")</f>
        <v/>
      </c>
      <c r="C142" t="str">
        <f>IF(AND('Entry list'!$I142=5,'Entry list'!$J142=5),'Entry list'!C142,"")</f>
        <v/>
      </c>
      <c r="D142" t="str">
        <f>IF(AND('Entry list'!$I142=5,'Entry list'!$J142=5),'Entry list'!D142,"")</f>
        <v/>
      </c>
      <c r="E142" t="str">
        <f>IF(AND('Entry list'!$I142=5,'Entry list'!$J142=5),'Entry list'!E142,"")</f>
        <v/>
      </c>
      <c r="F142" t="str">
        <f>IF(AND('Entry list'!$I142=5,'Entry list'!$J142=5),'Entry list'!F142,"")</f>
        <v/>
      </c>
      <c r="G142" t="str">
        <f>IF(AND('Entry list'!$I142=5,'Entry list'!$J142=5),'Entry list'!G142,"")</f>
        <v/>
      </c>
      <c r="H142" t="str">
        <f>IF(AND('Entry list'!$I142=5,'Entry list'!$J142=5),'Entry list'!H142,"")</f>
        <v/>
      </c>
      <c r="I142" t="str">
        <f>IF(AND('Entry list'!$I142=5,'Entry list'!$J142=5),'Entry list'!K142,"")</f>
        <v/>
      </c>
      <c r="J142" t="str">
        <f>IF(AND('Entry list'!$I142=5,'Entry list'!$J142=5),'Entry list'!L142,"")</f>
        <v/>
      </c>
      <c r="K142" t="str">
        <f>IF(AND('Entry list'!$I142=5,'Entry list'!$J142=5),'Entry list'!M142,"")</f>
        <v/>
      </c>
      <c r="L142" t="str">
        <f>IF(AND('Entry list'!$I142=5,'Entry list'!$J142=5),'Entry list'!N142,"")</f>
        <v/>
      </c>
      <c r="M142" t="str">
        <f t="shared" si="6"/>
        <v/>
      </c>
      <c r="N142" t="str">
        <f t="shared" si="7"/>
        <v/>
      </c>
      <c r="O142" t="str">
        <f t="shared" si="8"/>
        <v/>
      </c>
    </row>
    <row r="143" spans="1:15" x14ac:dyDescent="0.25">
      <c r="A143" t="str">
        <f>IF(AND('Entry list'!$I143=5,'Entry list'!$J143=5),'Entry list'!A143,"")</f>
        <v/>
      </c>
      <c r="B143" t="str">
        <f>IF(AND('Entry list'!$I143=5,'Entry list'!$J143=5),'Entry list'!B143,"")</f>
        <v/>
      </c>
      <c r="C143" t="str">
        <f>IF(AND('Entry list'!$I143=5,'Entry list'!$J143=5),'Entry list'!C143,"")</f>
        <v/>
      </c>
      <c r="D143" t="str">
        <f>IF(AND('Entry list'!$I143=5,'Entry list'!$J143=5),'Entry list'!D143,"")</f>
        <v/>
      </c>
      <c r="E143" t="str">
        <f>IF(AND('Entry list'!$I143=5,'Entry list'!$J143=5),'Entry list'!E143,"")</f>
        <v/>
      </c>
      <c r="F143" t="str">
        <f>IF(AND('Entry list'!$I143=5,'Entry list'!$J143=5),'Entry list'!F143,"")</f>
        <v/>
      </c>
      <c r="G143" t="str">
        <f>IF(AND('Entry list'!$I143=5,'Entry list'!$J143=5),'Entry list'!G143,"")</f>
        <v/>
      </c>
      <c r="H143" t="str">
        <f>IF(AND('Entry list'!$I143=5,'Entry list'!$J143=5),'Entry list'!H143,"")</f>
        <v/>
      </c>
      <c r="I143" t="str">
        <f>IF(AND('Entry list'!$I143=5,'Entry list'!$J143=5),'Entry list'!K143,"")</f>
        <v/>
      </c>
      <c r="J143" t="str">
        <f>IF(AND('Entry list'!$I143=5,'Entry list'!$J143=5),'Entry list'!L143,"")</f>
        <v/>
      </c>
      <c r="K143" t="str">
        <f>IF(AND('Entry list'!$I143=5,'Entry list'!$J143=5),'Entry list'!M143,"")</f>
        <v/>
      </c>
      <c r="L143" t="str">
        <f>IF(AND('Entry list'!$I143=5,'Entry list'!$J143=5),'Entry list'!N143,"")</f>
        <v/>
      </c>
      <c r="M143" t="str">
        <f t="shared" si="6"/>
        <v/>
      </c>
      <c r="N143" t="str">
        <f t="shared" si="7"/>
        <v/>
      </c>
      <c r="O143" t="str">
        <f t="shared" si="8"/>
        <v/>
      </c>
    </row>
    <row r="144" spans="1:15" x14ac:dyDescent="0.25">
      <c r="A144" t="str">
        <f>IF(AND('Entry list'!$I144=5,'Entry list'!$J144=5),'Entry list'!A144,"")</f>
        <v/>
      </c>
      <c r="B144" t="str">
        <f>IF(AND('Entry list'!$I144=5,'Entry list'!$J144=5),'Entry list'!B144,"")</f>
        <v/>
      </c>
      <c r="C144" t="str">
        <f>IF(AND('Entry list'!$I144=5,'Entry list'!$J144=5),'Entry list'!C144,"")</f>
        <v/>
      </c>
      <c r="D144" t="str">
        <f>IF(AND('Entry list'!$I144=5,'Entry list'!$J144=5),'Entry list'!D144,"")</f>
        <v/>
      </c>
      <c r="E144" t="str">
        <f>IF(AND('Entry list'!$I144=5,'Entry list'!$J144=5),'Entry list'!E144,"")</f>
        <v/>
      </c>
      <c r="F144" t="str">
        <f>IF(AND('Entry list'!$I144=5,'Entry list'!$J144=5),'Entry list'!F144,"")</f>
        <v/>
      </c>
      <c r="G144" t="str">
        <f>IF(AND('Entry list'!$I144=5,'Entry list'!$J144=5),'Entry list'!G144,"")</f>
        <v/>
      </c>
      <c r="H144" t="str">
        <f>IF(AND('Entry list'!$I144=5,'Entry list'!$J144=5),'Entry list'!H144,"")</f>
        <v/>
      </c>
      <c r="I144" t="str">
        <f>IF(AND('Entry list'!$I144=5,'Entry list'!$J144=5),'Entry list'!K144,"")</f>
        <v/>
      </c>
      <c r="J144" t="str">
        <f>IF(AND('Entry list'!$I144=5,'Entry list'!$J144=5),'Entry list'!L144,"")</f>
        <v/>
      </c>
      <c r="K144" t="str">
        <f>IF(AND('Entry list'!$I144=5,'Entry list'!$J144=5),'Entry list'!M144,"")</f>
        <v/>
      </c>
      <c r="L144" t="str">
        <f>IF(AND('Entry list'!$I144=5,'Entry list'!$J144=5),'Entry list'!N144,"")</f>
        <v/>
      </c>
      <c r="M144" t="str">
        <f t="shared" si="6"/>
        <v/>
      </c>
      <c r="N144" t="str">
        <f t="shared" si="7"/>
        <v/>
      </c>
      <c r="O144" t="str">
        <f t="shared" si="8"/>
        <v/>
      </c>
    </row>
    <row r="145" spans="1:15" x14ac:dyDescent="0.25">
      <c r="A145">
        <f>IF(AND('Entry list'!$I145=5,'Entry list'!$J145=5),'Entry list'!A145,"")</f>
        <v>1</v>
      </c>
      <c r="B145">
        <f>IF(AND('Entry list'!$I145=5,'Entry list'!$J145=5),'Entry list'!B145,"")</f>
        <v>4.4444444444444446E-2</v>
      </c>
      <c r="C145" t="str">
        <f>IF(AND('Entry list'!$I145=5,'Entry list'!$J145=5),'Entry list'!C145,"")</f>
        <v>C</v>
      </c>
      <c r="D145" t="str">
        <f>IF(AND('Entry list'!$I145=5,'Entry list'!$J145=5),'Entry list'!D145,"")</f>
        <v>8DET</v>
      </c>
      <c r="E145" t="str">
        <f>IF(AND('Entry list'!$I145=5,'Entry list'!$J145=5),'Entry list'!E145,"")</f>
        <v>4NSH</v>
      </c>
      <c r="F145" t="str">
        <f>IF(AND('Entry list'!$I145=5,'Entry list'!$J145=5),'Entry list'!F145,"")</f>
        <v>N</v>
      </c>
      <c r="G145" t="str">
        <f>IF(AND('Entry list'!$I145=5,'Entry list'!$J145=5),'Entry list'!G145,"")</f>
        <v>C</v>
      </c>
      <c r="H145" t="str">
        <f>IF(AND('Entry list'!$I145=5,'Entry list'!$J145=5),'Entry list'!H145,"")</f>
        <v>N</v>
      </c>
      <c r="I145" t="str">
        <f>IF(AND('Entry list'!$I145=5,'Entry list'!$J145=5),'Entry list'!K145,"")</f>
        <v>8DET</v>
      </c>
      <c r="J145">
        <f>IF(AND('Entry list'!$I145=5,'Entry list'!$J145=5),'Entry list'!L145,"")</f>
        <v>0</v>
      </c>
      <c r="K145">
        <f>IF(AND('Entry list'!$I145=5,'Entry list'!$J145=5),'Entry list'!M145,"")</f>
        <v>0</v>
      </c>
      <c r="L145" t="str">
        <f>IF(AND('Entry list'!$I145=5,'Entry list'!$J145=5),'Entry list'!N145,"")</f>
        <v/>
      </c>
      <c r="M145">
        <f t="shared" si="6"/>
        <v>0</v>
      </c>
      <c r="N145">
        <f t="shared" si="7"/>
        <v>0</v>
      </c>
      <c r="O145" t="str">
        <f t="shared" si="8"/>
        <v/>
      </c>
    </row>
    <row r="146" spans="1:15" x14ac:dyDescent="0.25">
      <c r="A146">
        <f>IF(AND('Entry list'!$I146=5,'Entry list'!$J146=5),'Entry list'!A146,"")</f>
        <v>1</v>
      </c>
      <c r="B146">
        <f>IF(AND('Entry list'!$I146=5,'Entry list'!$J146=5),'Entry list'!B146,"")</f>
        <v>3.888888888888889E-2</v>
      </c>
      <c r="C146" t="str">
        <f>IF(AND('Entry list'!$I146=5,'Entry list'!$J146=5),'Entry list'!C146,"")</f>
        <v>F</v>
      </c>
      <c r="D146" t="str">
        <f>IF(AND('Entry list'!$I146=5,'Entry list'!$J146=5),'Entry list'!D146,"")</f>
        <v>63NSH</v>
      </c>
      <c r="E146" t="str">
        <f>IF(AND('Entry list'!$I146=5,'Entry list'!$J146=5),'Entry list'!E146,"")</f>
        <v>53DET</v>
      </c>
      <c r="F146" t="str">
        <f>IF(AND('Entry list'!$I146=5,'Entry list'!$J146=5),'Entry list'!F146,"")</f>
        <v/>
      </c>
      <c r="G146" t="str">
        <f>IF(AND('Entry list'!$I146=5,'Entry list'!$J146=5),'Entry list'!G146,"")</f>
        <v>L</v>
      </c>
      <c r="H146" t="str">
        <f>IF(AND('Entry list'!$I146=5,'Entry list'!$J146=5),'Entry list'!H146,"")</f>
        <v>N</v>
      </c>
      <c r="I146" t="str">
        <f>IF(AND('Entry list'!$I146=5,'Entry list'!$J146=5),'Entry list'!K146,"")</f>
        <v/>
      </c>
      <c r="J146">
        <f>IF(AND('Entry list'!$I146=5,'Entry list'!$J146=5),'Entry list'!L146,"")</f>
        <v>0</v>
      </c>
      <c r="K146">
        <f>IF(AND('Entry list'!$I146=5,'Entry list'!$J146=5),'Entry list'!M146,"")</f>
        <v>0</v>
      </c>
      <c r="L146" t="str">
        <f>IF(AND('Entry list'!$I146=5,'Entry list'!$J146=5),'Entry list'!N146,"")</f>
        <v>63NSH</v>
      </c>
      <c r="M146">
        <f t="shared" si="6"/>
        <v>0</v>
      </c>
      <c r="N146" t="str">
        <f t="shared" si="7"/>
        <v/>
      </c>
      <c r="O146">
        <f t="shared" si="8"/>
        <v>0</v>
      </c>
    </row>
    <row r="147" spans="1:15" x14ac:dyDescent="0.25">
      <c r="A147">
        <f>IF(AND('Entry list'!$I147=5,'Entry list'!$J147=5),'Entry list'!A147,"")</f>
        <v>1</v>
      </c>
      <c r="B147">
        <f>IF(AND('Entry list'!$I147=5,'Entry list'!$J147=5),'Entry list'!B147,"")</f>
        <v>3.6805555555555557E-2</v>
      </c>
      <c r="C147" t="str">
        <f>IF(AND('Entry list'!$I147=5,'Entry list'!$J147=5),'Entry list'!C147,"")</f>
        <v>D</v>
      </c>
      <c r="D147" t="str">
        <f>IF(AND('Entry list'!$I147=5,'Entry list'!$J147=5),'Entry list'!D147,"")</f>
        <v>40DET</v>
      </c>
      <c r="E147" t="str">
        <f>IF(AND('Entry list'!$I147=5,'Entry list'!$J147=5),'Entry list'!E147,"")</f>
        <v>4NSH</v>
      </c>
      <c r="F147" t="str">
        <f>IF(AND('Entry list'!$I147=5,'Entry list'!$J147=5),'Entry list'!F147,"")</f>
        <v/>
      </c>
      <c r="G147" t="str">
        <f>IF(AND('Entry list'!$I147=5,'Entry list'!$J147=5),'Entry list'!G147,"")</f>
        <v>L</v>
      </c>
      <c r="H147" t="str">
        <f>IF(AND('Entry list'!$I147=5,'Entry list'!$J147=5),'Entry list'!H147,"")</f>
        <v>N</v>
      </c>
      <c r="I147" t="str">
        <f>IF(AND('Entry list'!$I147=5,'Entry list'!$J147=5),'Entry list'!K147,"")</f>
        <v/>
      </c>
      <c r="J147">
        <f>IF(AND('Entry list'!$I147=5,'Entry list'!$J147=5),'Entry list'!L147,"")</f>
        <v>1</v>
      </c>
      <c r="K147">
        <f>IF(AND('Entry list'!$I147=5,'Entry list'!$J147=5),'Entry list'!M147,"")</f>
        <v>0</v>
      </c>
      <c r="L147" t="str">
        <f>IF(AND('Entry list'!$I147=5,'Entry list'!$J147=5),'Entry list'!N147,"")</f>
        <v/>
      </c>
      <c r="M147">
        <f t="shared" si="6"/>
        <v>0</v>
      </c>
      <c r="N147" t="str">
        <f t="shared" si="7"/>
        <v/>
      </c>
      <c r="O147" t="str">
        <f t="shared" si="8"/>
        <v/>
      </c>
    </row>
    <row r="148" spans="1:15" x14ac:dyDescent="0.25">
      <c r="A148" t="str">
        <f>IF(AND('Entry list'!$I148=5,'Entry list'!$J148=5),'Entry list'!A148,"")</f>
        <v/>
      </c>
      <c r="B148" t="str">
        <f>IF(AND('Entry list'!$I148=5,'Entry list'!$J148=5),'Entry list'!B148,"")</f>
        <v/>
      </c>
      <c r="C148" t="str">
        <f>IF(AND('Entry list'!$I148=5,'Entry list'!$J148=5),'Entry list'!C148,"")</f>
        <v/>
      </c>
      <c r="D148" t="str">
        <f>IF(AND('Entry list'!$I148=5,'Entry list'!$J148=5),'Entry list'!D148,"")</f>
        <v/>
      </c>
      <c r="E148" t="str">
        <f>IF(AND('Entry list'!$I148=5,'Entry list'!$J148=5),'Entry list'!E148,"")</f>
        <v/>
      </c>
      <c r="F148" t="str">
        <f>IF(AND('Entry list'!$I148=5,'Entry list'!$J148=5),'Entry list'!F148,"")</f>
        <v/>
      </c>
      <c r="G148" t="str">
        <f>IF(AND('Entry list'!$I148=5,'Entry list'!$J148=5),'Entry list'!G148,"")</f>
        <v/>
      </c>
      <c r="H148" t="str">
        <f>IF(AND('Entry list'!$I148=5,'Entry list'!$J148=5),'Entry list'!H148,"")</f>
        <v/>
      </c>
      <c r="I148" t="str">
        <f>IF(AND('Entry list'!$I148=5,'Entry list'!$J148=5),'Entry list'!K148,"")</f>
        <v/>
      </c>
      <c r="J148" t="str">
        <f>IF(AND('Entry list'!$I148=5,'Entry list'!$J148=5),'Entry list'!L148,"")</f>
        <v/>
      </c>
      <c r="K148" t="str">
        <f>IF(AND('Entry list'!$I148=5,'Entry list'!$J148=5),'Entry list'!M148,"")</f>
        <v/>
      </c>
      <c r="L148" t="str">
        <f>IF(AND('Entry list'!$I148=5,'Entry list'!$J148=5),'Entry list'!N148,"")</f>
        <v/>
      </c>
      <c r="M148" t="str">
        <f t="shared" si="6"/>
        <v/>
      </c>
      <c r="N148" t="str">
        <f t="shared" si="7"/>
        <v/>
      </c>
      <c r="O148" t="str">
        <f t="shared" si="8"/>
        <v/>
      </c>
    </row>
    <row r="149" spans="1:15" x14ac:dyDescent="0.25">
      <c r="A149" t="str">
        <f>IF(AND('Entry list'!$I149=5,'Entry list'!$J149=5),'Entry list'!A149,"")</f>
        <v/>
      </c>
      <c r="B149" t="str">
        <f>IF(AND('Entry list'!$I149=5,'Entry list'!$J149=5),'Entry list'!B149,"")</f>
        <v/>
      </c>
      <c r="C149" t="str">
        <f>IF(AND('Entry list'!$I149=5,'Entry list'!$J149=5),'Entry list'!C149,"")</f>
        <v/>
      </c>
      <c r="D149" t="str">
        <f>IF(AND('Entry list'!$I149=5,'Entry list'!$J149=5),'Entry list'!D149,"")</f>
        <v/>
      </c>
      <c r="E149" t="str">
        <f>IF(AND('Entry list'!$I149=5,'Entry list'!$J149=5),'Entry list'!E149,"")</f>
        <v/>
      </c>
      <c r="F149" t="str">
        <f>IF(AND('Entry list'!$I149=5,'Entry list'!$J149=5),'Entry list'!F149,"")</f>
        <v/>
      </c>
      <c r="G149" t="str">
        <f>IF(AND('Entry list'!$I149=5,'Entry list'!$J149=5),'Entry list'!G149,"")</f>
        <v/>
      </c>
      <c r="H149" t="str">
        <f>IF(AND('Entry list'!$I149=5,'Entry list'!$J149=5),'Entry list'!H149,"")</f>
        <v/>
      </c>
      <c r="I149" t="str">
        <f>IF(AND('Entry list'!$I149=5,'Entry list'!$J149=5),'Entry list'!K149,"")</f>
        <v/>
      </c>
      <c r="J149" t="str">
        <f>IF(AND('Entry list'!$I149=5,'Entry list'!$J149=5),'Entry list'!L149,"")</f>
        <v/>
      </c>
      <c r="K149" t="str">
        <f>IF(AND('Entry list'!$I149=5,'Entry list'!$J149=5),'Entry list'!M149,"")</f>
        <v/>
      </c>
      <c r="L149" t="str">
        <f>IF(AND('Entry list'!$I149=5,'Entry list'!$J149=5),'Entry list'!N149,"")</f>
        <v/>
      </c>
      <c r="M149" t="str">
        <f t="shared" si="6"/>
        <v/>
      </c>
      <c r="N149" t="str">
        <f t="shared" si="7"/>
        <v/>
      </c>
      <c r="O149" t="str">
        <f t="shared" si="8"/>
        <v/>
      </c>
    </row>
    <row r="150" spans="1:15" x14ac:dyDescent="0.25">
      <c r="A150" t="str">
        <f>IF(AND('Entry list'!$I150=5,'Entry list'!$J150=5),'Entry list'!A150,"")</f>
        <v/>
      </c>
      <c r="B150" t="str">
        <f>IF(AND('Entry list'!$I150=5,'Entry list'!$J150=5),'Entry list'!B150,"")</f>
        <v/>
      </c>
      <c r="C150" t="str">
        <f>IF(AND('Entry list'!$I150=5,'Entry list'!$J150=5),'Entry list'!C150,"")</f>
        <v/>
      </c>
      <c r="D150" t="str">
        <f>IF(AND('Entry list'!$I150=5,'Entry list'!$J150=5),'Entry list'!D150,"")</f>
        <v/>
      </c>
      <c r="E150" t="str">
        <f>IF(AND('Entry list'!$I150=5,'Entry list'!$J150=5),'Entry list'!E150,"")</f>
        <v/>
      </c>
      <c r="F150" t="str">
        <f>IF(AND('Entry list'!$I150=5,'Entry list'!$J150=5),'Entry list'!F150,"")</f>
        <v/>
      </c>
      <c r="G150" t="str">
        <f>IF(AND('Entry list'!$I150=5,'Entry list'!$J150=5),'Entry list'!G150,"")</f>
        <v/>
      </c>
      <c r="H150" t="str">
        <f>IF(AND('Entry list'!$I150=5,'Entry list'!$J150=5),'Entry list'!H150,"")</f>
        <v/>
      </c>
      <c r="I150" t="str">
        <f>IF(AND('Entry list'!$I150=5,'Entry list'!$J150=5),'Entry list'!K150,"")</f>
        <v/>
      </c>
      <c r="J150" t="str">
        <f>IF(AND('Entry list'!$I150=5,'Entry list'!$J150=5),'Entry list'!L150,"")</f>
        <v/>
      </c>
      <c r="K150" t="str">
        <f>IF(AND('Entry list'!$I150=5,'Entry list'!$J150=5),'Entry list'!M150,"")</f>
        <v/>
      </c>
      <c r="L150" t="str">
        <f>IF(AND('Entry list'!$I150=5,'Entry list'!$J150=5),'Entry list'!N150,"")</f>
        <v/>
      </c>
      <c r="M150" t="str">
        <f t="shared" si="6"/>
        <v/>
      </c>
      <c r="N150" t="str">
        <f t="shared" si="7"/>
        <v/>
      </c>
      <c r="O150" t="str">
        <f t="shared" si="8"/>
        <v/>
      </c>
    </row>
    <row r="151" spans="1:15" x14ac:dyDescent="0.25">
      <c r="A151">
        <f>IF(AND('Entry list'!$I151=5,'Entry list'!$J151=5),'Entry list'!A151,"")</f>
        <v>1</v>
      </c>
      <c r="B151">
        <f>IF(AND('Entry list'!$I151=5,'Entry list'!$J151=5),'Entry list'!B151,"")</f>
        <v>1.6666666666666666E-2</v>
      </c>
      <c r="C151" t="str">
        <f>IF(AND('Entry list'!$I151=5,'Entry list'!$J151=5),'Entry list'!C151,"")</f>
        <v>D</v>
      </c>
      <c r="D151" t="str">
        <f>IF(AND('Entry list'!$I151=5,'Entry list'!$J151=5),'Entry list'!D151,"")</f>
        <v>15NSH</v>
      </c>
      <c r="E151" t="str">
        <f>IF(AND('Entry list'!$I151=5,'Entry list'!$J151=5),'Entry list'!E151,"")</f>
        <v>71DET</v>
      </c>
      <c r="F151" t="str">
        <f>IF(AND('Entry list'!$I151=5,'Entry list'!$J151=5),'Entry list'!F151,"")</f>
        <v/>
      </c>
      <c r="G151" t="str">
        <f>IF(AND('Entry list'!$I151=5,'Entry list'!$J151=5),'Entry list'!G151,"")</f>
        <v>C</v>
      </c>
      <c r="H151" t="str">
        <f>IF(AND('Entry list'!$I151=5,'Entry list'!$J151=5),'Entry list'!H151,"")</f>
        <v>N</v>
      </c>
      <c r="I151" t="str">
        <f>IF(AND('Entry list'!$I151=5,'Entry list'!$J151=5),'Entry list'!K151,"")</f>
        <v/>
      </c>
      <c r="J151">
        <f>IF(AND('Entry list'!$I151=5,'Entry list'!$J151=5),'Entry list'!L151,"")</f>
        <v>0</v>
      </c>
      <c r="K151">
        <f>IF(AND('Entry list'!$I151=5,'Entry list'!$J151=5),'Entry list'!M151,"")</f>
        <v>0</v>
      </c>
      <c r="L151" t="str">
        <f>IF(AND('Entry list'!$I151=5,'Entry list'!$J151=5),'Entry list'!N151,"")</f>
        <v/>
      </c>
      <c r="M151">
        <f t="shared" si="6"/>
        <v>0</v>
      </c>
      <c r="N151" t="str">
        <f t="shared" si="7"/>
        <v/>
      </c>
      <c r="O151" t="str">
        <f t="shared" si="8"/>
        <v/>
      </c>
    </row>
    <row r="152" spans="1:15" x14ac:dyDescent="0.25">
      <c r="A152">
        <f>IF(AND('Entry list'!$I152=5,'Entry list'!$J152=5),'Entry list'!A152,"")</f>
        <v>1</v>
      </c>
      <c r="B152">
        <f>IF(AND('Entry list'!$I152=5,'Entry list'!$J152=5),'Entry list'!B152,"")</f>
        <v>9.0277777777777787E-3</v>
      </c>
      <c r="C152" t="str">
        <f>IF(AND('Entry list'!$I152=5,'Entry list'!$J152=5),'Entry list'!C152,"")</f>
        <v>D</v>
      </c>
      <c r="D152" t="str">
        <f>IF(AND('Entry list'!$I152=5,'Entry list'!$J152=5),'Entry list'!D152,"")</f>
        <v>12NSH</v>
      </c>
      <c r="E152" t="str">
        <f>IF(AND('Entry list'!$I152=5,'Entry list'!$J152=5),'Entry list'!E152,"")</f>
        <v>N</v>
      </c>
      <c r="F152" t="str">
        <f>IF(AND('Entry list'!$I152=5,'Entry list'!$J152=5),'Entry list'!F152,"")</f>
        <v/>
      </c>
      <c r="G152" t="str">
        <f>IF(AND('Entry list'!$I152=5,'Entry list'!$J152=5),'Entry list'!G152,"")</f>
        <v>R</v>
      </c>
      <c r="H152" t="str">
        <f>IF(AND('Entry list'!$I152=5,'Entry list'!$J152=5),'Entry list'!H152,"")</f>
        <v>N</v>
      </c>
      <c r="I152" t="str">
        <f>IF(AND('Entry list'!$I152=5,'Entry list'!$J152=5),'Entry list'!K152,"")</f>
        <v/>
      </c>
      <c r="J152">
        <f>IF(AND('Entry list'!$I152=5,'Entry list'!$J152=5),'Entry list'!L152,"")</f>
        <v>0</v>
      </c>
      <c r="K152">
        <f>IF(AND('Entry list'!$I152=5,'Entry list'!$J152=5),'Entry list'!M152,"")</f>
        <v>0</v>
      </c>
      <c r="L152" t="str">
        <f>IF(AND('Entry list'!$I152=5,'Entry list'!$J152=5),'Entry list'!N152,"")</f>
        <v/>
      </c>
      <c r="M152">
        <f t="shared" si="6"/>
        <v>0</v>
      </c>
      <c r="N152" t="str">
        <f t="shared" si="7"/>
        <v/>
      </c>
      <c r="O152" t="str">
        <f t="shared" si="8"/>
        <v/>
      </c>
    </row>
    <row r="153" spans="1:15" x14ac:dyDescent="0.25">
      <c r="A153" t="str">
        <f>IF(AND('Entry list'!$I153=5,'Entry list'!$J153=5),'Entry list'!A153,"")</f>
        <v/>
      </c>
      <c r="B153" t="str">
        <f>IF(AND('Entry list'!$I153=5,'Entry list'!$J153=5),'Entry list'!B153,"")</f>
        <v/>
      </c>
      <c r="C153" t="str">
        <f>IF(AND('Entry list'!$I153=5,'Entry list'!$J153=5),'Entry list'!C153,"")</f>
        <v/>
      </c>
      <c r="D153" t="str">
        <f>IF(AND('Entry list'!$I153=5,'Entry list'!$J153=5),'Entry list'!D153,"")</f>
        <v/>
      </c>
      <c r="E153" t="str">
        <f>IF(AND('Entry list'!$I153=5,'Entry list'!$J153=5),'Entry list'!E153,"")</f>
        <v/>
      </c>
      <c r="F153" t="str">
        <f>IF(AND('Entry list'!$I153=5,'Entry list'!$J153=5),'Entry list'!F153,"")</f>
        <v/>
      </c>
      <c r="G153" t="str">
        <f>IF(AND('Entry list'!$I153=5,'Entry list'!$J153=5),'Entry list'!G153,"")</f>
        <v/>
      </c>
      <c r="H153" t="str">
        <f>IF(AND('Entry list'!$I153=5,'Entry list'!$J153=5),'Entry list'!H153,"")</f>
        <v/>
      </c>
      <c r="I153" t="str">
        <f>IF(AND('Entry list'!$I153=5,'Entry list'!$J153=5),'Entry list'!K153,"")</f>
        <v/>
      </c>
      <c r="J153" t="str">
        <f>IF(AND('Entry list'!$I153=5,'Entry list'!$J153=5),'Entry list'!L153,"")</f>
        <v/>
      </c>
      <c r="K153" t="str">
        <f>IF(AND('Entry list'!$I153=5,'Entry list'!$J153=5),'Entry list'!M153,"")</f>
        <v/>
      </c>
      <c r="L153" t="str">
        <f>IF(AND('Entry list'!$I153=5,'Entry list'!$J153=5),'Entry list'!N153,"")</f>
        <v/>
      </c>
      <c r="M153" t="str">
        <f t="shared" si="6"/>
        <v/>
      </c>
      <c r="N153" t="str">
        <f t="shared" si="7"/>
        <v/>
      </c>
      <c r="O153" t="str">
        <f t="shared" si="8"/>
        <v/>
      </c>
    </row>
    <row r="154" spans="1:15" x14ac:dyDescent="0.25">
      <c r="A154" t="str">
        <f>IF(AND('Entry list'!$I154=5,'Entry list'!$J154=5),'Entry list'!A154,"")</f>
        <v/>
      </c>
      <c r="B154" t="str">
        <f>IF(AND('Entry list'!$I154=5,'Entry list'!$J154=5),'Entry list'!B154,"")</f>
        <v/>
      </c>
      <c r="C154" t="str">
        <f>IF(AND('Entry list'!$I154=5,'Entry list'!$J154=5),'Entry list'!C154,"")</f>
        <v/>
      </c>
      <c r="D154" t="str">
        <f>IF(AND('Entry list'!$I154=5,'Entry list'!$J154=5),'Entry list'!D154,"")</f>
        <v/>
      </c>
      <c r="E154" t="str">
        <f>IF(AND('Entry list'!$I154=5,'Entry list'!$J154=5),'Entry list'!E154,"")</f>
        <v/>
      </c>
      <c r="F154" t="str">
        <f>IF(AND('Entry list'!$I154=5,'Entry list'!$J154=5),'Entry list'!F154,"")</f>
        <v/>
      </c>
      <c r="G154" t="str">
        <f>IF(AND('Entry list'!$I154=5,'Entry list'!$J154=5),'Entry list'!G154,"")</f>
        <v/>
      </c>
      <c r="H154" t="str">
        <f>IF(AND('Entry list'!$I154=5,'Entry list'!$J154=5),'Entry list'!H154,"")</f>
        <v/>
      </c>
      <c r="I154" t="str">
        <f>IF(AND('Entry list'!$I154=5,'Entry list'!$J154=5),'Entry list'!K154,"")</f>
        <v/>
      </c>
      <c r="J154" t="str">
        <f>IF(AND('Entry list'!$I154=5,'Entry list'!$J154=5),'Entry list'!L154,"")</f>
        <v/>
      </c>
      <c r="K154" t="str">
        <f>IF(AND('Entry list'!$I154=5,'Entry list'!$J154=5),'Entry list'!M154,"")</f>
        <v/>
      </c>
      <c r="L154" t="str">
        <f>IF(AND('Entry list'!$I154=5,'Entry list'!$J154=5),'Entry list'!N154,"")</f>
        <v/>
      </c>
      <c r="M154" t="str">
        <f t="shared" si="6"/>
        <v/>
      </c>
      <c r="N154" t="str">
        <f t="shared" si="7"/>
        <v/>
      </c>
      <c r="O154" t="str">
        <f t="shared" si="8"/>
        <v/>
      </c>
    </row>
    <row r="155" spans="1:15" x14ac:dyDescent="0.25">
      <c r="A155" t="str">
        <f>IF(AND('Entry list'!$I155=5,'Entry list'!$J155=5),'Entry list'!A155,"")</f>
        <v/>
      </c>
      <c r="B155" t="str">
        <f>IF(AND('Entry list'!$I155=5,'Entry list'!$J155=5),'Entry list'!B155,"")</f>
        <v/>
      </c>
      <c r="C155" t="str">
        <f>IF(AND('Entry list'!$I155=5,'Entry list'!$J155=5),'Entry list'!C155,"")</f>
        <v/>
      </c>
      <c r="D155" t="str">
        <f>IF(AND('Entry list'!$I155=5,'Entry list'!$J155=5),'Entry list'!D155,"")</f>
        <v/>
      </c>
      <c r="E155" t="str">
        <f>IF(AND('Entry list'!$I155=5,'Entry list'!$J155=5),'Entry list'!E155,"")</f>
        <v/>
      </c>
      <c r="F155" t="str">
        <f>IF(AND('Entry list'!$I155=5,'Entry list'!$J155=5),'Entry list'!F155,"")</f>
        <v/>
      </c>
      <c r="G155" t="str">
        <f>IF(AND('Entry list'!$I155=5,'Entry list'!$J155=5),'Entry list'!G155,"")</f>
        <v/>
      </c>
      <c r="H155" t="str">
        <f>IF(AND('Entry list'!$I155=5,'Entry list'!$J155=5),'Entry list'!H155,"")</f>
        <v/>
      </c>
      <c r="I155" t="str">
        <f>IF(AND('Entry list'!$I155=5,'Entry list'!$J155=5),'Entry list'!K155,"")</f>
        <v/>
      </c>
      <c r="J155" t="str">
        <f>IF(AND('Entry list'!$I155=5,'Entry list'!$J155=5),'Entry list'!L155,"")</f>
        <v/>
      </c>
      <c r="K155" t="str">
        <f>IF(AND('Entry list'!$I155=5,'Entry list'!$J155=5),'Entry list'!M155,"")</f>
        <v/>
      </c>
      <c r="L155" t="str">
        <f>IF(AND('Entry list'!$I155=5,'Entry list'!$J155=5),'Entry list'!N155,"")</f>
        <v/>
      </c>
      <c r="M155" t="str">
        <f t="shared" si="6"/>
        <v/>
      </c>
      <c r="N155" t="str">
        <f t="shared" si="7"/>
        <v/>
      </c>
      <c r="O155" t="str">
        <f t="shared" si="8"/>
        <v/>
      </c>
    </row>
    <row r="156" spans="1:15" x14ac:dyDescent="0.25">
      <c r="A156" t="str">
        <f>IF(AND('Entry list'!$I156=5,'Entry list'!$J156=5),'Entry list'!A156,"")</f>
        <v/>
      </c>
      <c r="B156" t="str">
        <f>IF(AND('Entry list'!$I156=5,'Entry list'!$J156=5),'Entry list'!B156,"")</f>
        <v/>
      </c>
      <c r="C156" t="str">
        <f>IF(AND('Entry list'!$I156=5,'Entry list'!$J156=5),'Entry list'!C156,"")</f>
        <v/>
      </c>
      <c r="D156" t="str">
        <f>IF(AND('Entry list'!$I156=5,'Entry list'!$J156=5),'Entry list'!D156,"")</f>
        <v/>
      </c>
      <c r="E156" t="str">
        <f>IF(AND('Entry list'!$I156=5,'Entry list'!$J156=5),'Entry list'!E156,"")</f>
        <v/>
      </c>
      <c r="F156" t="str">
        <f>IF(AND('Entry list'!$I156=5,'Entry list'!$J156=5),'Entry list'!F156,"")</f>
        <v/>
      </c>
      <c r="G156" t="str">
        <f>IF(AND('Entry list'!$I156=5,'Entry list'!$J156=5),'Entry list'!G156,"")</f>
        <v/>
      </c>
      <c r="H156" t="str">
        <f>IF(AND('Entry list'!$I156=5,'Entry list'!$J156=5),'Entry list'!H156,"")</f>
        <v/>
      </c>
      <c r="I156" t="str">
        <f>IF(AND('Entry list'!$I156=5,'Entry list'!$J156=5),'Entry list'!K156,"")</f>
        <v/>
      </c>
      <c r="J156" t="str">
        <f>IF(AND('Entry list'!$I156=5,'Entry list'!$J156=5),'Entry list'!L156,"")</f>
        <v/>
      </c>
      <c r="K156" t="str">
        <f>IF(AND('Entry list'!$I156=5,'Entry list'!$J156=5),'Entry list'!M156,"")</f>
        <v/>
      </c>
      <c r="L156" t="str">
        <f>IF(AND('Entry list'!$I156=5,'Entry list'!$J156=5),'Entry list'!N156,"")</f>
        <v/>
      </c>
      <c r="M156" t="str">
        <f t="shared" si="6"/>
        <v/>
      </c>
      <c r="N156" t="str">
        <f t="shared" si="7"/>
        <v/>
      </c>
      <c r="O156" t="str">
        <f t="shared" si="8"/>
        <v/>
      </c>
    </row>
    <row r="157" spans="1:15" x14ac:dyDescent="0.25">
      <c r="A157">
        <f>IF(AND('Entry list'!$I157=5,'Entry list'!$J157=5),'Entry list'!A157,"")</f>
        <v>2</v>
      </c>
      <c r="B157">
        <f>IF(AND('Entry list'!$I157=5,'Entry list'!$J157=5),'Entry list'!B157,"")</f>
        <v>0.82847222222222217</v>
      </c>
      <c r="C157" t="str">
        <f>IF(AND('Entry list'!$I157=5,'Entry list'!$J157=5),'Entry list'!C157,"")</f>
        <v>C</v>
      </c>
      <c r="D157" t="str">
        <f>IF(AND('Entry list'!$I157=5,'Entry list'!$J157=5),'Entry list'!D157,"")</f>
        <v>56NSH</v>
      </c>
      <c r="E157" t="str">
        <f>IF(AND('Entry list'!$I157=5,'Entry list'!$J157=5),'Entry list'!E157,"")</f>
        <v>25DET</v>
      </c>
      <c r="F157" t="str">
        <f>IF(AND('Entry list'!$I157=5,'Entry list'!$J157=5),'Entry list'!F157,"")</f>
        <v>N</v>
      </c>
      <c r="G157" t="str">
        <f>IF(AND('Entry list'!$I157=5,'Entry list'!$J157=5),'Entry list'!G157,"")</f>
        <v>C</v>
      </c>
      <c r="H157" t="str">
        <f>IF(AND('Entry list'!$I157=5,'Entry list'!$J157=5),'Entry list'!H157,"")</f>
        <v>N</v>
      </c>
      <c r="I157" t="str">
        <f>IF(AND('Entry list'!$I157=5,'Entry list'!$J157=5),'Entry list'!K157,"")</f>
        <v>56NSH</v>
      </c>
      <c r="J157">
        <f>IF(AND('Entry list'!$I157=5,'Entry list'!$J157=5),'Entry list'!L157,"")</f>
        <v>0</v>
      </c>
      <c r="K157">
        <f>IF(AND('Entry list'!$I157=5,'Entry list'!$J157=5),'Entry list'!M157,"")</f>
        <v>0</v>
      </c>
      <c r="L157" t="str">
        <f>IF(AND('Entry list'!$I157=5,'Entry list'!$J157=5),'Entry list'!N157,"")</f>
        <v/>
      </c>
      <c r="M157">
        <f t="shared" si="6"/>
        <v>0</v>
      </c>
      <c r="N157">
        <f t="shared" si="7"/>
        <v>0</v>
      </c>
      <c r="O157" t="str">
        <f t="shared" si="8"/>
        <v/>
      </c>
    </row>
    <row r="158" spans="1:15" x14ac:dyDescent="0.25">
      <c r="A158" t="str">
        <f>IF(AND('Entry list'!$I158=5,'Entry list'!$J158=5),'Entry list'!A158,"")</f>
        <v/>
      </c>
      <c r="B158" t="str">
        <f>IF(AND('Entry list'!$I158=5,'Entry list'!$J158=5),'Entry list'!B158,"")</f>
        <v/>
      </c>
      <c r="C158" t="str">
        <f>IF(AND('Entry list'!$I158=5,'Entry list'!$J158=5),'Entry list'!C158,"")</f>
        <v/>
      </c>
      <c r="D158" t="str">
        <f>IF(AND('Entry list'!$I158=5,'Entry list'!$J158=5),'Entry list'!D158,"")</f>
        <v/>
      </c>
      <c r="E158" t="str">
        <f>IF(AND('Entry list'!$I158=5,'Entry list'!$J158=5),'Entry list'!E158,"")</f>
        <v/>
      </c>
      <c r="F158" t="str">
        <f>IF(AND('Entry list'!$I158=5,'Entry list'!$J158=5),'Entry list'!F158,"")</f>
        <v/>
      </c>
      <c r="G158" t="str">
        <f>IF(AND('Entry list'!$I158=5,'Entry list'!$J158=5),'Entry list'!G158,"")</f>
        <v/>
      </c>
      <c r="H158" t="str">
        <f>IF(AND('Entry list'!$I158=5,'Entry list'!$J158=5),'Entry list'!H158,"")</f>
        <v/>
      </c>
      <c r="I158" t="str">
        <f>IF(AND('Entry list'!$I158=5,'Entry list'!$J158=5),'Entry list'!K158,"")</f>
        <v/>
      </c>
      <c r="J158" t="str">
        <f>IF(AND('Entry list'!$I158=5,'Entry list'!$J158=5),'Entry list'!L158,"")</f>
        <v/>
      </c>
      <c r="K158" t="str">
        <f>IF(AND('Entry list'!$I158=5,'Entry list'!$J158=5),'Entry list'!M158,"")</f>
        <v/>
      </c>
      <c r="L158" t="str">
        <f>IF(AND('Entry list'!$I158=5,'Entry list'!$J158=5),'Entry list'!N158,"")</f>
        <v/>
      </c>
      <c r="M158" t="str">
        <f t="shared" si="6"/>
        <v/>
      </c>
      <c r="N158" t="str">
        <f t="shared" si="7"/>
        <v/>
      </c>
      <c r="O158" t="str">
        <f t="shared" si="8"/>
        <v/>
      </c>
    </row>
    <row r="159" spans="1:15" x14ac:dyDescent="0.25">
      <c r="A159" t="str">
        <f>IF(AND('Entry list'!$I159=5,'Entry list'!$J159=5),'Entry list'!A159,"")</f>
        <v/>
      </c>
      <c r="B159" t="str">
        <f>IF(AND('Entry list'!$I159=5,'Entry list'!$J159=5),'Entry list'!B159,"")</f>
        <v/>
      </c>
      <c r="C159" t="str">
        <f>IF(AND('Entry list'!$I159=5,'Entry list'!$J159=5),'Entry list'!C159,"")</f>
        <v/>
      </c>
      <c r="D159" t="str">
        <f>IF(AND('Entry list'!$I159=5,'Entry list'!$J159=5),'Entry list'!D159,"")</f>
        <v/>
      </c>
      <c r="E159" t="str">
        <f>IF(AND('Entry list'!$I159=5,'Entry list'!$J159=5),'Entry list'!E159,"")</f>
        <v/>
      </c>
      <c r="F159" t="str">
        <f>IF(AND('Entry list'!$I159=5,'Entry list'!$J159=5),'Entry list'!F159,"")</f>
        <v/>
      </c>
      <c r="G159" t="str">
        <f>IF(AND('Entry list'!$I159=5,'Entry list'!$J159=5),'Entry list'!G159,"")</f>
        <v/>
      </c>
      <c r="H159" t="str">
        <f>IF(AND('Entry list'!$I159=5,'Entry list'!$J159=5),'Entry list'!H159,"")</f>
        <v/>
      </c>
      <c r="I159" t="str">
        <f>IF(AND('Entry list'!$I159=5,'Entry list'!$J159=5),'Entry list'!K159,"")</f>
        <v/>
      </c>
      <c r="J159" t="str">
        <f>IF(AND('Entry list'!$I159=5,'Entry list'!$J159=5),'Entry list'!L159,"")</f>
        <v/>
      </c>
      <c r="K159" t="str">
        <f>IF(AND('Entry list'!$I159=5,'Entry list'!$J159=5),'Entry list'!M159,"")</f>
        <v/>
      </c>
      <c r="L159" t="str">
        <f>IF(AND('Entry list'!$I159=5,'Entry list'!$J159=5),'Entry list'!N159,"")</f>
        <v/>
      </c>
      <c r="M159" t="str">
        <f t="shared" si="6"/>
        <v/>
      </c>
      <c r="N159" t="str">
        <f t="shared" si="7"/>
        <v/>
      </c>
      <c r="O159" t="str">
        <f t="shared" si="8"/>
        <v/>
      </c>
    </row>
    <row r="160" spans="1:15" x14ac:dyDescent="0.25">
      <c r="A160">
        <f>IF(AND('Entry list'!$I160=5,'Entry list'!$J160=5),'Entry list'!A160,"")</f>
        <v>2</v>
      </c>
      <c r="B160">
        <f>IF(AND('Entry list'!$I160=5,'Entry list'!$J160=5),'Entry list'!B160,"")</f>
        <v>0.8125</v>
      </c>
      <c r="C160" t="str">
        <f>IF(AND('Entry list'!$I160=5,'Entry list'!$J160=5),'Entry list'!C160,"")</f>
        <v>C</v>
      </c>
      <c r="D160" t="str">
        <f>IF(AND('Entry list'!$I160=5,'Entry list'!$J160=5),'Entry list'!D160,"")</f>
        <v>51DET</v>
      </c>
      <c r="E160" t="str">
        <f>IF(AND('Entry list'!$I160=5,'Entry list'!$J160=5),'Entry list'!E160,"")</f>
        <v>4NSH</v>
      </c>
      <c r="F160" t="str">
        <f>IF(AND('Entry list'!$I160=5,'Entry list'!$J160=5),'Entry list'!F160,"")</f>
        <v>Y</v>
      </c>
      <c r="G160" t="str">
        <f>IF(AND('Entry list'!$I160=5,'Entry list'!$J160=5),'Entry list'!G160,"")</f>
        <v>C</v>
      </c>
      <c r="H160" t="str">
        <f>IF(AND('Entry list'!$I160=5,'Entry list'!$J160=5),'Entry list'!H160,"")</f>
        <v>N</v>
      </c>
      <c r="I160" t="str">
        <f>IF(AND('Entry list'!$I160=5,'Entry list'!$J160=5),'Entry list'!K160,"")</f>
        <v>51DET</v>
      </c>
      <c r="J160">
        <f>IF(AND('Entry list'!$I160=5,'Entry list'!$J160=5),'Entry list'!L160,"")</f>
        <v>2</v>
      </c>
      <c r="K160">
        <f>IF(AND('Entry list'!$I160=5,'Entry list'!$J160=5),'Entry list'!M160,"")</f>
        <v>0</v>
      </c>
      <c r="L160" t="str">
        <f>IF(AND('Entry list'!$I160=5,'Entry list'!$J160=5),'Entry list'!N160,"")</f>
        <v/>
      </c>
      <c r="M160">
        <f t="shared" si="6"/>
        <v>0</v>
      </c>
      <c r="N160">
        <f t="shared" si="7"/>
        <v>0</v>
      </c>
      <c r="O160" t="str">
        <f t="shared" si="8"/>
        <v/>
      </c>
    </row>
    <row r="161" spans="1:15" x14ac:dyDescent="0.25">
      <c r="A161" t="str">
        <f>IF(AND('Entry list'!$I161=5,'Entry list'!$J161=5),'Entry list'!A161,"")</f>
        <v/>
      </c>
      <c r="B161" t="str">
        <f>IF(AND('Entry list'!$I161=5,'Entry list'!$J161=5),'Entry list'!B161,"")</f>
        <v/>
      </c>
      <c r="C161" t="str">
        <f>IF(AND('Entry list'!$I161=5,'Entry list'!$J161=5),'Entry list'!C161,"")</f>
        <v/>
      </c>
      <c r="D161" t="str">
        <f>IF(AND('Entry list'!$I161=5,'Entry list'!$J161=5),'Entry list'!D161,"")</f>
        <v/>
      </c>
      <c r="E161" t="str">
        <f>IF(AND('Entry list'!$I161=5,'Entry list'!$J161=5),'Entry list'!E161,"")</f>
        <v/>
      </c>
      <c r="F161" t="str">
        <f>IF(AND('Entry list'!$I161=5,'Entry list'!$J161=5),'Entry list'!F161,"")</f>
        <v/>
      </c>
      <c r="G161" t="str">
        <f>IF(AND('Entry list'!$I161=5,'Entry list'!$J161=5),'Entry list'!G161,"")</f>
        <v/>
      </c>
      <c r="H161" t="str">
        <f>IF(AND('Entry list'!$I161=5,'Entry list'!$J161=5),'Entry list'!H161,"")</f>
        <v/>
      </c>
      <c r="I161" t="str">
        <f>IF(AND('Entry list'!$I161=5,'Entry list'!$J161=5),'Entry list'!K161,"")</f>
        <v/>
      </c>
      <c r="J161" t="str">
        <f>IF(AND('Entry list'!$I161=5,'Entry list'!$J161=5),'Entry list'!L161,"")</f>
        <v/>
      </c>
      <c r="K161" t="str">
        <f>IF(AND('Entry list'!$I161=5,'Entry list'!$J161=5),'Entry list'!M161,"")</f>
        <v/>
      </c>
      <c r="L161" t="str">
        <f>IF(AND('Entry list'!$I161=5,'Entry list'!$J161=5),'Entry list'!N161,"")</f>
        <v/>
      </c>
      <c r="M161" t="str">
        <f t="shared" si="6"/>
        <v/>
      </c>
      <c r="N161" t="str">
        <f t="shared" si="7"/>
        <v/>
      </c>
      <c r="O161" t="str">
        <f t="shared" si="8"/>
        <v/>
      </c>
    </row>
    <row r="162" spans="1:15" x14ac:dyDescent="0.25">
      <c r="A162" t="str">
        <f>IF(AND('Entry list'!$I162=5,'Entry list'!$J162=5),'Entry list'!A162,"")</f>
        <v/>
      </c>
      <c r="B162" t="str">
        <f>IF(AND('Entry list'!$I162=5,'Entry list'!$J162=5),'Entry list'!B162,"")</f>
        <v/>
      </c>
      <c r="C162" t="str">
        <f>IF(AND('Entry list'!$I162=5,'Entry list'!$J162=5),'Entry list'!C162,"")</f>
        <v/>
      </c>
      <c r="D162" t="str">
        <f>IF(AND('Entry list'!$I162=5,'Entry list'!$J162=5),'Entry list'!D162,"")</f>
        <v/>
      </c>
      <c r="E162" t="str">
        <f>IF(AND('Entry list'!$I162=5,'Entry list'!$J162=5),'Entry list'!E162,"")</f>
        <v/>
      </c>
      <c r="F162" t="str">
        <f>IF(AND('Entry list'!$I162=5,'Entry list'!$J162=5),'Entry list'!F162,"")</f>
        <v/>
      </c>
      <c r="G162" t="str">
        <f>IF(AND('Entry list'!$I162=5,'Entry list'!$J162=5),'Entry list'!G162,"")</f>
        <v/>
      </c>
      <c r="H162" t="str">
        <f>IF(AND('Entry list'!$I162=5,'Entry list'!$J162=5),'Entry list'!H162,"")</f>
        <v/>
      </c>
      <c r="I162" t="str">
        <f>IF(AND('Entry list'!$I162=5,'Entry list'!$J162=5),'Entry list'!K162,"")</f>
        <v/>
      </c>
      <c r="J162" t="str">
        <f>IF(AND('Entry list'!$I162=5,'Entry list'!$J162=5),'Entry list'!L162,"")</f>
        <v/>
      </c>
      <c r="K162" t="str">
        <f>IF(AND('Entry list'!$I162=5,'Entry list'!$J162=5),'Entry list'!M162,"")</f>
        <v/>
      </c>
      <c r="L162" t="str">
        <f>IF(AND('Entry list'!$I162=5,'Entry list'!$J162=5),'Entry list'!N162,"")</f>
        <v/>
      </c>
      <c r="M162" t="str">
        <f t="shared" si="6"/>
        <v/>
      </c>
      <c r="N162" t="str">
        <f t="shared" si="7"/>
        <v/>
      </c>
      <c r="O162" t="str">
        <f t="shared" si="8"/>
        <v/>
      </c>
    </row>
    <row r="163" spans="1:15" x14ac:dyDescent="0.25">
      <c r="A163" t="str">
        <f>IF(AND('Entry list'!$I163=5,'Entry list'!$J163=5),'Entry list'!A163,"")</f>
        <v/>
      </c>
      <c r="B163" t="str">
        <f>IF(AND('Entry list'!$I163=5,'Entry list'!$J163=5),'Entry list'!B163,"")</f>
        <v/>
      </c>
      <c r="C163" t="str">
        <f>IF(AND('Entry list'!$I163=5,'Entry list'!$J163=5),'Entry list'!C163,"")</f>
        <v/>
      </c>
      <c r="D163" t="str">
        <f>IF(AND('Entry list'!$I163=5,'Entry list'!$J163=5),'Entry list'!D163,"")</f>
        <v/>
      </c>
      <c r="E163" t="str">
        <f>IF(AND('Entry list'!$I163=5,'Entry list'!$J163=5),'Entry list'!E163,"")</f>
        <v/>
      </c>
      <c r="F163" t="str">
        <f>IF(AND('Entry list'!$I163=5,'Entry list'!$J163=5),'Entry list'!F163,"")</f>
        <v/>
      </c>
      <c r="G163" t="str">
        <f>IF(AND('Entry list'!$I163=5,'Entry list'!$J163=5),'Entry list'!G163,"")</f>
        <v/>
      </c>
      <c r="H163" t="str">
        <f>IF(AND('Entry list'!$I163=5,'Entry list'!$J163=5),'Entry list'!H163,"")</f>
        <v/>
      </c>
      <c r="I163" t="str">
        <f>IF(AND('Entry list'!$I163=5,'Entry list'!$J163=5),'Entry list'!K163,"")</f>
        <v/>
      </c>
      <c r="J163" t="str">
        <f>IF(AND('Entry list'!$I163=5,'Entry list'!$J163=5),'Entry list'!L163,"")</f>
        <v/>
      </c>
      <c r="K163" t="str">
        <f>IF(AND('Entry list'!$I163=5,'Entry list'!$J163=5),'Entry list'!M163,"")</f>
        <v/>
      </c>
      <c r="L163" t="str">
        <f>IF(AND('Entry list'!$I163=5,'Entry list'!$J163=5),'Entry list'!N163,"")</f>
        <v/>
      </c>
      <c r="M163" t="str">
        <f t="shared" si="6"/>
        <v/>
      </c>
      <c r="N163" t="str">
        <f t="shared" si="7"/>
        <v/>
      </c>
      <c r="O163" t="str">
        <f t="shared" si="8"/>
        <v/>
      </c>
    </row>
    <row r="164" spans="1:15" x14ac:dyDescent="0.25">
      <c r="A164">
        <f>IF(AND('Entry list'!$I164=5,'Entry list'!$J164=5),'Entry list'!A164,"")</f>
        <v>2</v>
      </c>
      <c r="B164">
        <f>IF(AND('Entry list'!$I164=5,'Entry list'!$J164=5),'Entry list'!B164,"")</f>
        <v>0.79652777777777783</v>
      </c>
      <c r="C164" t="str">
        <f>IF(AND('Entry list'!$I164=5,'Entry list'!$J164=5),'Entry list'!C164,"")</f>
        <v>C</v>
      </c>
      <c r="D164" t="str">
        <f>IF(AND('Entry list'!$I164=5,'Entry list'!$J164=5),'Entry list'!D164,"")</f>
        <v>18NSH</v>
      </c>
      <c r="E164" t="str">
        <f>IF(AND('Entry list'!$I164=5,'Entry list'!$J164=5),'Entry list'!E164,"")</f>
        <v>52DET</v>
      </c>
      <c r="F164" t="str">
        <f>IF(AND('Entry list'!$I164=5,'Entry list'!$J164=5),'Entry list'!F164,"")</f>
        <v>Y</v>
      </c>
      <c r="G164" t="str">
        <f>IF(AND('Entry list'!$I164=5,'Entry list'!$J164=5),'Entry list'!G164,"")</f>
        <v>C</v>
      </c>
      <c r="H164" t="str">
        <f>IF(AND('Entry list'!$I164=5,'Entry list'!$J164=5),'Entry list'!H164,"")</f>
        <v>N</v>
      </c>
      <c r="I164" t="str">
        <f>IF(AND('Entry list'!$I164=5,'Entry list'!$J164=5),'Entry list'!K164,"")</f>
        <v>18NSH</v>
      </c>
      <c r="J164">
        <f>IF(AND('Entry list'!$I164=5,'Entry list'!$J164=5),'Entry list'!L164,"")</f>
        <v>1</v>
      </c>
      <c r="K164">
        <f>IF(AND('Entry list'!$I164=5,'Entry list'!$J164=5),'Entry list'!M164,"")</f>
        <v>0</v>
      </c>
      <c r="L164" t="str">
        <f>IF(AND('Entry list'!$I164=5,'Entry list'!$J164=5),'Entry list'!N164,"")</f>
        <v/>
      </c>
      <c r="M164">
        <f t="shared" si="6"/>
        <v>0</v>
      </c>
      <c r="N164">
        <f t="shared" si="7"/>
        <v>0</v>
      </c>
      <c r="O164" t="str">
        <f t="shared" si="8"/>
        <v/>
      </c>
    </row>
    <row r="165" spans="1:15" x14ac:dyDescent="0.25">
      <c r="A165" t="str">
        <f>IF(AND('Entry list'!$I165=5,'Entry list'!$J165=5),'Entry list'!A165,"")</f>
        <v/>
      </c>
      <c r="B165" t="str">
        <f>IF(AND('Entry list'!$I165=5,'Entry list'!$J165=5),'Entry list'!B165,"")</f>
        <v/>
      </c>
      <c r="C165" t="str">
        <f>IF(AND('Entry list'!$I165=5,'Entry list'!$J165=5),'Entry list'!C165,"")</f>
        <v/>
      </c>
      <c r="D165" t="str">
        <f>IF(AND('Entry list'!$I165=5,'Entry list'!$J165=5),'Entry list'!D165,"")</f>
        <v/>
      </c>
      <c r="E165" t="str">
        <f>IF(AND('Entry list'!$I165=5,'Entry list'!$J165=5),'Entry list'!E165,"")</f>
        <v/>
      </c>
      <c r="F165" t="str">
        <f>IF(AND('Entry list'!$I165=5,'Entry list'!$J165=5),'Entry list'!F165,"")</f>
        <v/>
      </c>
      <c r="G165" t="str">
        <f>IF(AND('Entry list'!$I165=5,'Entry list'!$J165=5),'Entry list'!G165,"")</f>
        <v/>
      </c>
      <c r="H165" t="str">
        <f>IF(AND('Entry list'!$I165=5,'Entry list'!$J165=5),'Entry list'!H165,"")</f>
        <v/>
      </c>
      <c r="I165" t="str">
        <f>IF(AND('Entry list'!$I165=5,'Entry list'!$J165=5),'Entry list'!K165,"")</f>
        <v/>
      </c>
      <c r="J165" t="str">
        <f>IF(AND('Entry list'!$I165=5,'Entry list'!$J165=5),'Entry list'!L165,"")</f>
        <v/>
      </c>
      <c r="K165" t="str">
        <f>IF(AND('Entry list'!$I165=5,'Entry list'!$J165=5),'Entry list'!M165,"")</f>
        <v/>
      </c>
      <c r="L165" t="str">
        <f>IF(AND('Entry list'!$I165=5,'Entry list'!$J165=5),'Entry list'!N165,"")</f>
        <v/>
      </c>
      <c r="M165" t="str">
        <f t="shared" si="6"/>
        <v/>
      </c>
      <c r="N165" t="str">
        <f t="shared" si="7"/>
        <v/>
      </c>
      <c r="O165" t="str">
        <f t="shared" si="8"/>
        <v/>
      </c>
    </row>
    <row r="166" spans="1:15" x14ac:dyDescent="0.25">
      <c r="A166">
        <f>IF(AND('Entry list'!$I166=5,'Entry list'!$J166=5),'Entry list'!A166,"")</f>
        <v>2</v>
      </c>
      <c r="B166">
        <f>IF(AND('Entry list'!$I166=5,'Entry list'!$J166=5),'Entry list'!B166,"")</f>
        <v>0.77083333333333337</v>
      </c>
      <c r="C166" t="str">
        <f>IF(AND('Entry list'!$I166=5,'Entry list'!$J166=5),'Entry list'!C166,"")</f>
        <v>D</v>
      </c>
      <c r="D166" t="str">
        <f>IF(AND('Entry list'!$I166=5,'Entry list'!$J166=5),'Entry list'!D166,"")</f>
        <v>15DET</v>
      </c>
      <c r="E166" t="str">
        <f>IF(AND('Entry list'!$I166=5,'Entry list'!$J166=5),'Entry list'!E166,"")</f>
        <v>15NSH</v>
      </c>
      <c r="F166" t="str">
        <f>IF(AND('Entry list'!$I166=5,'Entry list'!$J166=5),'Entry list'!F166,"")</f>
        <v/>
      </c>
      <c r="G166" t="str">
        <f>IF(AND('Entry list'!$I166=5,'Entry list'!$J166=5),'Entry list'!G166,"")</f>
        <v>C</v>
      </c>
      <c r="H166" t="str">
        <f>IF(AND('Entry list'!$I166=5,'Entry list'!$J166=5),'Entry list'!H166,"")</f>
        <v>21DET</v>
      </c>
      <c r="I166" t="str">
        <f>IF(AND('Entry list'!$I166=5,'Entry list'!$J166=5),'Entry list'!K166,"")</f>
        <v/>
      </c>
      <c r="J166">
        <f>IF(AND('Entry list'!$I166=5,'Entry list'!$J166=5),'Entry list'!L166,"")</f>
        <v>1</v>
      </c>
      <c r="K166">
        <f>IF(AND('Entry list'!$I166=5,'Entry list'!$J166=5),'Entry list'!M166,"")</f>
        <v>0</v>
      </c>
      <c r="L166" t="str">
        <f>IF(AND('Entry list'!$I166=5,'Entry list'!$J166=5),'Entry list'!N166,"")</f>
        <v/>
      </c>
      <c r="M166">
        <f t="shared" si="6"/>
        <v>0</v>
      </c>
      <c r="N166" t="str">
        <f t="shared" si="7"/>
        <v/>
      </c>
      <c r="O166" t="str">
        <f t="shared" si="8"/>
        <v/>
      </c>
    </row>
    <row r="167" spans="1:15" x14ac:dyDescent="0.25">
      <c r="A167" t="str">
        <f>IF(AND('Entry list'!$I167=5,'Entry list'!$J167=5),'Entry list'!A167,"")</f>
        <v/>
      </c>
      <c r="B167" t="str">
        <f>IF(AND('Entry list'!$I167=5,'Entry list'!$J167=5),'Entry list'!B167,"")</f>
        <v/>
      </c>
      <c r="C167" t="str">
        <f>IF(AND('Entry list'!$I167=5,'Entry list'!$J167=5),'Entry list'!C167,"")</f>
        <v/>
      </c>
      <c r="D167" t="str">
        <f>IF(AND('Entry list'!$I167=5,'Entry list'!$J167=5),'Entry list'!D167,"")</f>
        <v/>
      </c>
      <c r="E167" t="str">
        <f>IF(AND('Entry list'!$I167=5,'Entry list'!$J167=5),'Entry list'!E167,"")</f>
        <v/>
      </c>
      <c r="F167" t="str">
        <f>IF(AND('Entry list'!$I167=5,'Entry list'!$J167=5),'Entry list'!F167,"")</f>
        <v/>
      </c>
      <c r="G167" t="str">
        <f>IF(AND('Entry list'!$I167=5,'Entry list'!$J167=5),'Entry list'!G167,"")</f>
        <v/>
      </c>
      <c r="H167" t="str">
        <f>IF(AND('Entry list'!$I167=5,'Entry list'!$J167=5),'Entry list'!H167,"")</f>
        <v/>
      </c>
      <c r="I167" t="str">
        <f>IF(AND('Entry list'!$I167=5,'Entry list'!$J167=5),'Entry list'!K167,"")</f>
        <v/>
      </c>
      <c r="J167" t="str">
        <f>IF(AND('Entry list'!$I167=5,'Entry list'!$J167=5),'Entry list'!L167,"")</f>
        <v/>
      </c>
      <c r="K167" t="str">
        <f>IF(AND('Entry list'!$I167=5,'Entry list'!$J167=5),'Entry list'!M167,"")</f>
        <v/>
      </c>
      <c r="L167" t="str">
        <f>IF(AND('Entry list'!$I167=5,'Entry list'!$J167=5),'Entry list'!N167,"")</f>
        <v/>
      </c>
      <c r="M167" t="str">
        <f t="shared" si="6"/>
        <v/>
      </c>
      <c r="N167" t="str">
        <f t="shared" si="7"/>
        <v/>
      </c>
      <c r="O167" t="str">
        <f t="shared" si="8"/>
        <v/>
      </c>
    </row>
    <row r="168" spans="1:15" x14ac:dyDescent="0.25">
      <c r="A168" t="str">
        <f>IF(AND('Entry list'!$I168=5,'Entry list'!$J168=5),'Entry list'!A168,"")</f>
        <v/>
      </c>
      <c r="B168" t="str">
        <f>IF(AND('Entry list'!$I168=5,'Entry list'!$J168=5),'Entry list'!B168,"")</f>
        <v/>
      </c>
      <c r="C168" t="str">
        <f>IF(AND('Entry list'!$I168=5,'Entry list'!$J168=5),'Entry list'!C168,"")</f>
        <v/>
      </c>
      <c r="D168" t="str">
        <f>IF(AND('Entry list'!$I168=5,'Entry list'!$J168=5),'Entry list'!D168,"")</f>
        <v/>
      </c>
      <c r="E168" t="str">
        <f>IF(AND('Entry list'!$I168=5,'Entry list'!$J168=5),'Entry list'!E168,"")</f>
        <v/>
      </c>
      <c r="F168" t="str">
        <f>IF(AND('Entry list'!$I168=5,'Entry list'!$J168=5),'Entry list'!F168,"")</f>
        <v/>
      </c>
      <c r="G168" t="str">
        <f>IF(AND('Entry list'!$I168=5,'Entry list'!$J168=5),'Entry list'!G168,"")</f>
        <v/>
      </c>
      <c r="H168" t="str">
        <f>IF(AND('Entry list'!$I168=5,'Entry list'!$J168=5),'Entry list'!H168,"")</f>
        <v/>
      </c>
      <c r="I168" t="str">
        <f>IF(AND('Entry list'!$I168=5,'Entry list'!$J168=5),'Entry list'!K168,"")</f>
        <v/>
      </c>
      <c r="J168" t="str">
        <f>IF(AND('Entry list'!$I168=5,'Entry list'!$J168=5),'Entry list'!L168,"")</f>
        <v/>
      </c>
      <c r="K168" t="str">
        <f>IF(AND('Entry list'!$I168=5,'Entry list'!$J168=5),'Entry list'!M168,"")</f>
        <v/>
      </c>
      <c r="L168" t="str">
        <f>IF(AND('Entry list'!$I168=5,'Entry list'!$J168=5),'Entry list'!N168,"")</f>
        <v/>
      </c>
      <c r="M168" t="str">
        <f t="shared" si="6"/>
        <v/>
      </c>
      <c r="N168" t="str">
        <f t="shared" si="7"/>
        <v/>
      </c>
      <c r="O168" t="str">
        <f t="shared" si="8"/>
        <v/>
      </c>
    </row>
    <row r="169" spans="1:15" x14ac:dyDescent="0.25">
      <c r="A169">
        <f>IF(AND('Entry list'!$I169=5,'Entry list'!$J169=5),'Entry list'!A169,"")</f>
        <v>2</v>
      </c>
      <c r="B169">
        <f>IF(AND('Entry list'!$I169=5,'Entry list'!$J169=5),'Entry list'!B169,"")</f>
        <v>0.7583333333333333</v>
      </c>
      <c r="C169" t="str">
        <f>IF(AND('Entry list'!$I169=5,'Entry list'!$J169=5),'Entry list'!C169,"")</f>
        <v>D</v>
      </c>
      <c r="D169" t="str">
        <f>IF(AND('Entry list'!$I169=5,'Entry list'!$J169=5),'Entry list'!D169,"")</f>
        <v>59NSH</v>
      </c>
      <c r="E169" t="str">
        <f>IF(AND('Entry list'!$I169=5,'Entry list'!$J169=5),'Entry list'!E169,"")</f>
        <v>48DET</v>
      </c>
      <c r="F169" t="str">
        <f>IF(AND('Entry list'!$I169=5,'Entry list'!$J169=5),'Entry list'!F169,"")</f>
        <v/>
      </c>
      <c r="G169" t="str">
        <f>IF(AND('Entry list'!$I169=5,'Entry list'!$J169=5),'Entry list'!G169,"")</f>
        <v>L</v>
      </c>
      <c r="H169" t="str">
        <f>IF(AND('Entry list'!$I169=5,'Entry list'!$J169=5),'Entry list'!H169,"")</f>
        <v>N</v>
      </c>
      <c r="I169" t="str">
        <f>IF(AND('Entry list'!$I169=5,'Entry list'!$J169=5),'Entry list'!K169,"")</f>
        <v/>
      </c>
      <c r="J169">
        <f>IF(AND('Entry list'!$I169=5,'Entry list'!$J169=5),'Entry list'!L169,"")</f>
        <v>0</v>
      </c>
      <c r="K169">
        <f>IF(AND('Entry list'!$I169=5,'Entry list'!$J169=5),'Entry list'!M169,"")</f>
        <v>0</v>
      </c>
      <c r="L169" t="str">
        <f>IF(AND('Entry list'!$I169=5,'Entry list'!$J169=5),'Entry list'!N169,"")</f>
        <v/>
      </c>
      <c r="M169">
        <f t="shared" si="6"/>
        <v>0</v>
      </c>
      <c r="N169" t="str">
        <f t="shared" si="7"/>
        <v/>
      </c>
      <c r="O169" t="str">
        <f t="shared" si="8"/>
        <v/>
      </c>
    </row>
    <row r="170" spans="1:15" x14ac:dyDescent="0.25">
      <c r="A170">
        <f>IF(AND('Entry list'!$I170=5,'Entry list'!$J170=5),'Entry list'!A170,"")</f>
        <v>2</v>
      </c>
      <c r="B170">
        <f>IF(AND('Entry list'!$I170=5,'Entry list'!$J170=5),'Entry list'!B170,"")</f>
        <v>0.73541666666666661</v>
      </c>
      <c r="C170" t="str">
        <f>IF(AND('Entry list'!$I170=5,'Entry list'!$J170=5),'Entry list'!C170,"")</f>
        <v>C</v>
      </c>
      <c r="D170" t="str">
        <f>IF(AND('Entry list'!$I170=5,'Entry list'!$J170=5),'Entry list'!D170,"")</f>
        <v>38NSH</v>
      </c>
      <c r="E170" t="str">
        <f>IF(AND('Entry list'!$I170=5,'Entry list'!$J170=5),'Entry list'!E170,"")</f>
        <v>2DET</v>
      </c>
      <c r="F170" t="str">
        <f>IF(AND('Entry list'!$I170=5,'Entry list'!$J170=5),'Entry list'!F170,"")</f>
        <v>N</v>
      </c>
      <c r="G170" t="str">
        <f>IF(AND('Entry list'!$I170=5,'Entry list'!$J170=5),'Entry list'!G170,"")</f>
        <v>C</v>
      </c>
      <c r="H170" t="str">
        <f>IF(AND('Entry list'!$I170=5,'Entry list'!$J170=5),'Entry list'!H170,"")</f>
        <v>N</v>
      </c>
      <c r="I170" t="str">
        <f>IF(AND('Entry list'!$I170=5,'Entry list'!$J170=5),'Entry list'!K170,"")</f>
        <v>38NSH</v>
      </c>
      <c r="J170">
        <f>IF(AND('Entry list'!$I170=5,'Entry list'!$J170=5),'Entry list'!L170,"")</f>
        <v>1</v>
      </c>
      <c r="K170">
        <f>IF(AND('Entry list'!$I170=5,'Entry list'!$J170=5),'Entry list'!M170,"")</f>
        <v>0</v>
      </c>
      <c r="L170" t="str">
        <f>IF(AND('Entry list'!$I170=5,'Entry list'!$J170=5),'Entry list'!N170,"")</f>
        <v/>
      </c>
      <c r="M170">
        <f t="shared" si="6"/>
        <v>0</v>
      </c>
      <c r="N170">
        <f t="shared" si="7"/>
        <v>0</v>
      </c>
      <c r="O170" t="str">
        <f t="shared" si="8"/>
        <v/>
      </c>
    </row>
    <row r="171" spans="1:15" x14ac:dyDescent="0.25">
      <c r="A171" t="str">
        <f>IF(AND('Entry list'!$I171=5,'Entry list'!$J171=5),'Entry list'!A171,"")</f>
        <v/>
      </c>
      <c r="B171" t="str">
        <f>IF(AND('Entry list'!$I171=5,'Entry list'!$J171=5),'Entry list'!B171,"")</f>
        <v/>
      </c>
      <c r="C171" t="str">
        <f>IF(AND('Entry list'!$I171=5,'Entry list'!$J171=5),'Entry list'!C171,"")</f>
        <v/>
      </c>
      <c r="D171" t="str">
        <f>IF(AND('Entry list'!$I171=5,'Entry list'!$J171=5),'Entry list'!D171,"")</f>
        <v/>
      </c>
      <c r="E171" t="str">
        <f>IF(AND('Entry list'!$I171=5,'Entry list'!$J171=5),'Entry list'!E171,"")</f>
        <v/>
      </c>
      <c r="F171" t="str">
        <f>IF(AND('Entry list'!$I171=5,'Entry list'!$J171=5),'Entry list'!F171,"")</f>
        <v/>
      </c>
      <c r="G171" t="str">
        <f>IF(AND('Entry list'!$I171=5,'Entry list'!$J171=5),'Entry list'!G171,"")</f>
        <v/>
      </c>
      <c r="H171" t="str">
        <f>IF(AND('Entry list'!$I171=5,'Entry list'!$J171=5),'Entry list'!H171,"")</f>
        <v/>
      </c>
      <c r="I171" t="str">
        <f>IF(AND('Entry list'!$I171=5,'Entry list'!$J171=5),'Entry list'!K171,"")</f>
        <v/>
      </c>
      <c r="J171" t="str">
        <f>IF(AND('Entry list'!$I171=5,'Entry list'!$J171=5),'Entry list'!L171,"")</f>
        <v/>
      </c>
      <c r="K171" t="str">
        <f>IF(AND('Entry list'!$I171=5,'Entry list'!$J171=5),'Entry list'!M171,"")</f>
        <v/>
      </c>
      <c r="L171" t="str">
        <f>IF(AND('Entry list'!$I171=5,'Entry list'!$J171=5),'Entry list'!N171,"")</f>
        <v/>
      </c>
      <c r="M171" t="str">
        <f t="shared" si="6"/>
        <v/>
      </c>
      <c r="N171" t="str">
        <f t="shared" si="7"/>
        <v/>
      </c>
      <c r="O171" t="str">
        <f t="shared" si="8"/>
        <v/>
      </c>
    </row>
    <row r="172" spans="1:15" x14ac:dyDescent="0.25">
      <c r="A172" t="str">
        <f>IF(AND('Entry list'!$I172=5,'Entry list'!$J172=5),'Entry list'!A172,"")</f>
        <v/>
      </c>
      <c r="B172" t="str">
        <f>IF(AND('Entry list'!$I172=5,'Entry list'!$J172=5),'Entry list'!B172,"")</f>
        <v/>
      </c>
      <c r="C172" t="str">
        <f>IF(AND('Entry list'!$I172=5,'Entry list'!$J172=5),'Entry list'!C172,"")</f>
        <v/>
      </c>
      <c r="D172" t="str">
        <f>IF(AND('Entry list'!$I172=5,'Entry list'!$J172=5),'Entry list'!D172,"")</f>
        <v/>
      </c>
      <c r="E172" t="str">
        <f>IF(AND('Entry list'!$I172=5,'Entry list'!$J172=5),'Entry list'!E172,"")</f>
        <v/>
      </c>
      <c r="F172" t="str">
        <f>IF(AND('Entry list'!$I172=5,'Entry list'!$J172=5),'Entry list'!F172,"")</f>
        <v/>
      </c>
      <c r="G172" t="str">
        <f>IF(AND('Entry list'!$I172=5,'Entry list'!$J172=5),'Entry list'!G172,"")</f>
        <v/>
      </c>
      <c r="H172" t="str">
        <f>IF(AND('Entry list'!$I172=5,'Entry list'!$J172=5),'Entry list'!H172,"")</f>
        <v/>
      </c>
      <c r="I172" t="str">
        <f>IF(AND('Entry list'!$I172=5,'Entry list'!$J172=5),'Entry list'!K172,"")</f>
        <v/>
      </c>
      <c r="J172" t="str">
        <f>IF(AND('Entry list'!$I172=5,'Entry list'!$J172=5),'Entry list'!L172,"")</f>
        <v/>
      </c>
      <c r="K172" t="str">
        <f>IF(AND('Entry list'!$I172=5,'Entry list'!$J172=5),'Entry list'!M172,"")</f>
        <v/>
      </c>
      <c r="L172" t="str">
        <f>IF(AND('Entry list'!$I172=5,'Entry list'!$J172=5),'Entry list'!N172,"")</f>
        <v/>
      </c>
      <c r="M172" t="str">
        <f t="shared" si="6"/>
        <v/>
      </c>
      <c r="N172" t="str">
        <f t="shared" si="7"/>
        <v/>
      </c>
      <c r="O172" t="str">
        <f t="shared" si="8"/>
        <v/>
      </c>
    </row>
    <row r="173" spans="1:15" x14ac:dyDescent="0.25">
      <c r="A173">
        <f>IF(AND('Entry list'!$I173=5,'Entry list'!$J173=5),'Entry list'!A173,"")</f>
        <v>2</v>
      </c>
      <c r="B173">
        <f>IF(AND('Entry list'!$I173=5,'Entry list'!$J173=5),'Entry list'!B173,"")</f>
        <v>0.72083333333333333</v>
      </c>
      <c r="C173" t="str">
        <f>IF(AND('Entry list'!$I173=5,'Entry list'!$J173=5),'Entry list'!C173,"")</f>
        <v>C</v>
      </c>
      <c r="D173" t="str">
        <f>IF(AND('Entry list'!$I173=5,'Entry list'!$J173=5),'Entry list'!D173,"")</f>
        <v>10NSH</v>
      </c>
      <c r="E173" t="str">
        <f>IF(AND('Entry list'!$I173=5,'Entry list'!$J173=5),'Entry list'!E173,"")</f>
        <v>52DET</v>
      </c>
      <c r="F173" t="str">
        <f>IF(AND('Entry list'!$I173=5,'Entry list'!$J173=5),'Entry list'!F173,"")</f>
        <v>Y</v>
      </c>
      <c r="G173" t="str">
        <f>IF(AND('Entry list'!$I173=5,'Entry list'!$J173=5),'Entry list'!G173,"")</f>
        <v>R</v>
      </c>
      <c r="H173" t="str">
        <f>IF(AND('Entry list'!$I173=5,'Entry list'!$J173=5),'Entry list'!H173,"")</f>
        <v>N</v>
      </c>
      <c r="I173" t="str">
        <f>IF(AND('Entry list'!$I173=5,'Entry list'!$J173=5),'Entry list'!K173,"")</f>
        <v>10NSH</v>
      </c>
      <c r="J173">
        <f>IF(AND('Entry list'!$I173=5,'Entry list'!$J173=5),'Entry list'!L173,"")</f>
        <v>0</v>
      </c>
      <c r="K173">
        <f>IF(AND('Entry list'!$I173=5,'Entry list'!$J173=5),'Entry list'!M173,"")</f>
        <v>0</v>
      </c>
      <c r="L173" t="str">
        <f>IF(AND('Entry list'!$I173=5,'Entry list'!$J173=5),'Entry list'!N173,"")</f>
        <v/>
      </c>
      <c r="M173">
        <f t="shared" si="6"/>
        <v>0</v>
      </c>
      <c r="N173">
        <f t="shared" si="7"/>
        <v>0</v>
      </c>
      <c r="O173" t="str">
        <f t="shared" si="8"/>
        <v/>
      </c>
    </row>
    <row r="174" spans="1:15" x14ac:dyDescent="0.25">
      <c r="A174">
        <f>IF(AND('Entry list'!$I174=5,'Entry list'!$J174=5),'Entry list'!A174,"")</f>
        <v>2</v>
      </c>
      <c r="B174">
        <f>IF(AND('Entry list'!$I174=5,'Entry list'!$J174=5),'Entry list'!B174,"")</f>
        <v>0.71180555555555547</v>
      </c>
      <c r="C174" t="str">
        <f>IF(AND('Entry list'!$I174=5,'Entry list'!$J174=5),'Entry list'!C174,"")</f>
        <v>X</v>
      </c>
      <c r="D174" t="str">
        <f>IF(AND('Entry list'!$I174=5,'Entry list'!$J174=5),'Entry list'!D174,"")</f>
        <v>DET</v>
      </c>
      <c r="E174" t="str">
        <f>IF(AND('Entry list'!$I174=5,'Entry list'!$J174=5),'Entry list'!E174,"")</f>
        <v/>
      </c>
      <c r="F174" t="str">
        <f>IF(AND('Entry list'!$I174=5,'Entry list'!$J174=5),'Entry list'!F174,"")</f>
        <v/>
      </c>
      <c r="G174" t="str">
        <f>IF(AND('Entry list'!$I174=5,'Entry list'!$J174=5),'Entry list'!G174,"")</f>
        <v/>
      </c>
      <c r="H174" t="str">
        <f>IF(AND('Entry list'!$I174=5,'Entry list'!$J174=5),'Entry list'!H174,"")</f>
        <v>N</v>
      </c>
      <c r="I174" t="str">
        <f>IF(AND('Entry list'!$I174=5,'Entry list'!$J174=5),'Entry list'!K174,"")</f>
        <v/>
      </c>
      <c r="J174">
        <f>IF(AND('Entry list'!$I174=5,'Entry list'!$J174=5),'Entry list'!L174,"")</f>
        <v>3</v>
      </c>
      <c r="K174">
        <f>IF(AND('Entry list'!$I174=5,'Entry list'!$J174=5),'Entry list'!M174,"")</f>
        <v>0</v>
      </c>
      <c r="L174" t="str">
        <f>IF(AND('Entry list'!$I174=5,'Entry list'!$J174=5),'Entry list'!N174,"")</f>
        <v/>
      </c>
      <c r="M174">
        <f t="shared" si="6"/>
        <v>0</v>
      </c>
      <c r="N174" t="str">
        <f t="shared" si="7"/>
        <v/>
      </c>
      <c r="O174" t="str">
        <f t="shared" si="8"/>
        <v/>
      </c>
    </row>
    <row r="175" spans="1:15" x14ac:dyDescent="0.25">
      <c r="A175" t="str">
        <f>IF(AND('Entry list'!$I175=5,'Entry list'!$J175=5),'Entry list'!A175,"")</f>
        <v/>
      </c>
      <c r="B175" t="str">
        <f>IF(AND('Entry list'!$I175=5,'Entry list'!$J175=5),'Entry list'!B175,"")</f>
        <v/>
      </c>
      <c r="C175" t="str">
        <f>IF(AND('Entry list'!$I175=5,'Entry list'!$J175=5),'Entry list'!C175,"")</f>
        <v/>
      </c>
      <c r="D175" t="str">
        <f>IF(AND('Entry list'!$I175=5,'Entry list'!$J175=5),'Entry list'!D175,"")</f>
        <v/>
      </c>
      <c r="E175" t="str">
        <f>IF(AND('Entry list'!$I175=5,'Entry list'!$J175=5),'Entry list'!E175,"")</f>
        <v/>
      </c>
      <c r="F175" t="str">
        <f>IF(AND('Entry list'!$I175=5,'Entry list'!$J175=5),'Entry list'!F175,"")</f>
        <v/>
      </c>
      <c r="G175" t="str">
        <f>IF(AND('Entry list'!$I175=5,'Entry list'!$J175=5),'Entry list'!G175,"")</f>
        <v/>
      </c>
      <c r="H175" t="str">
        <f>IF(AND('Entry list'!$I175=5,'Entry list'!$J175=5),'Entry list'!H175,"")</f>
        <v/>
      </c>
      <c r="I175" t="str">
        <f>IF(AND('Entry list'!$I175=5,'Entry list'!$J175=5),'Entry list'!K175,"")</f>
        <v/>
      </c>
      <c r="J175" t="str">
        <f>IF(AND('Entry list'!$I175=5,'Entry list'!$J175=5),'Entry list'!L175,"")</f>
        <v/>
      </c>
      <c r="K175" t="str">
        <f>IF(AND('Entry list'!$I175=5,'Entry list'!$J175=5),'Entry list'!M175,"")</f>
        <v/>
      </c>
      <c r="L175" t="str">
        <f>IF(AND('Entry list'!$I175=5,'Entry list'!$J175=5),'Entry list'!N175,"")</f>
        <v/>
      </c>
      <c r="M175" t="str">
        <f t="shared" si="6"/>
        <v/>
      </c>
      <c r="N175" t="str">
        <f t="shared" si="7"/>
        <v/>
      </c>
      <c r="O175" t="str">
        <f t="shared" si="8"/>
        <v/>
      </c>
    </row>
    <row r="176" spans="1:15" x14ac:dyDescent="0.25">
      <c r="A176" t="str">
        <f>IF(AND('Entry list'!$I176=5,'Entry list'!$J176=5),'Entry list'!A176,"")</f>
        <v/>
      </c>
      <c r="B176" t="str">
        <f>IF(AND('Entry list'!$I176=5,'Entry list'!$J176=5),'Entry list'!B176,"")</f>
        <v/>
      </c>
      <c r="C176" t="str">
        <f>IF(AND('Entry list'!$I176=5,'Entry list'!$J176=5),'Entry list'!C176,"")</f>
        <v/>
      </c>
      <c r="D176" t="str">
        <f>IF(AND('Entry list'!$I176=5,'Entry list'!$J176=5),'Entry list'!D176,"")</f>
        <v/>
      </c>
      <c r="E176" t="str">
        <f>IF(AND('Entry list'!$I176=5,'Entry list'!$J176=5),'Entry list'!E176,"")</f>
        <v/>
      </c>
      <c r="F176" t="str">
        <f>IF(AND('Entry list'!$I176=5,'Entry list'!$J176=5),'Entry list'!F176,"")</f>
        <v/>
      </c>
      <c r="G176" t="str">
        <f>IF(AND('Entry list'!$I176=5,'Entry list'!$J176=5),'Entry list'!G176,"")</f>
        <v/>
      </c>
      <c r="H176" t="str">
        <f>IF(AND('Entry list'!$I176=5,'Entry list'!$J176=5),'Entry list'!H176,"")</f>
        <v/>
      </c>
      <c r="I176" t="str">
        <f>IF(AND('Entry list'!$I176=5,'Entry list'!$J176=5),'Entry list'!K176,"")</f>
        <v/>
      </c>
      <c r="J176" t="str">
        <f>IF(AND('Entry list'!$I176=5,'Entry list'!$J176=5),'Entry list'!L176,"")</f>
        <v/>
      </c>
      <c r="K176" t="str">
        <f>IF(AND('Entry list'!$I176=5,'Entry list'!$J176=5),'Entry list'!M176,"")</f>
        <v/>
      </c>
      <c r="L176" t="str">
        <f>IF(AND('Entry list'!$I176=5,'Entry list'!$J176=5),'Entry list'!N176,"")</f>
        <v/>
      </c>
      <c r="M176" t="str">
        <f t="shared" si="6"/>
        <v/>
      </c>
      <c r="N176" t="str">
        <f t="shared" si="7"/>
        <v/>
      </c>
      <c r="O176" t="str">
        <f t="shared" si="8"/>
        <v/>
      </c>
    </row>
    <row r="177" spans="1:15" x14ac:dyDescent="0.25">
      <c r="A177" t="str">
        <f>IF(AND('Entry list'!$I177=5,'Entry list'!$J177=5),'Entry list'!A177,"")</f>
        <v/>
      </c>
      <c r="B177" t="str">
        <f>IF(AND('Entry list'!$I177=5,'Entry list'!$J177=5),'Entry list'!B177,"")</f>
        <v/>
      </c>
      <c r="C177" t="str">
        <f>IF(AND('Entry list'!$I177=5,'Entry list'!$J177=5),'Entry list'!C177,"")</f>
        <v/>
      </c>
      <c r="D177" t="str">
        <f>IF(AND('Entry list'!$I177=5,'Entry list'!$J177=5),'Entry list'!D177,"")</f>
        <v/>
      </c>
      <c r="E177" t="str">
        <f>IF(AND('Entry list'!$I177=5,'Entry list'!$J177=5),'Entry list'!E177,"")</f>
        <v/>
      </c>
      <c r="F177" t="str">
        <f>IF(AND('Entry list'!$I177=5,'Entry list'!$J177=5),'Entry list'!F177,"")</f>
        <v/>
      </c>
      <c r="G177" t="str">
        <f>IF(AND('Entry list'!$I177=5,'Entry list'!$J177=5),'Entry list'!G177,"")</f>
        <v/>
      </c>
      <c r="H177" t="str">
        <f>IF(AND('Entry list'!$I177=5,'Entry list'!$J177=5),'Entry list'!H177,"")</f>
        <v/>
      </c>
      <c r="I177" t="str">
        <f>IF(AND('Entry list'!$I177=5,'Entry list'!$J177=5),'Entry list'!K177,"")</f>
        <v/>
      </c>
      <c r="J177" t="str">
        <f>IF(AND('Entry list'!$I177=5,'Entry list'!$J177=5),'Entry list'!L177,"")</f>
        <v/>
      </c>
      <c r="K177" t="str">
        <f>IF(AND('Entry list'!$I177=5,'Entry list'!$J177=5),'Entry list'!M177,"")</f>
        <v/>
      </c>
      <c r="L177" t="str">
        <f>IF(AND('Entry list'!$I177=5,'Entry list'!$J177=5),'Entry list'!N177,"")</f>
        <v/>
      </c>
      <c r="M177" t="str">
        <f t="shared" si="6"/>
        <v/>
      </c>
      <c r="N177" t="str">
        <f t="shared" si="7"/>
        <v/>
      </c>
      <c r="O177" t="str">
        <f t="shared" si="8"/>
        <v/>
      </c>
    </row>
    <row r="178" spans="1:15" x14ac:dyDescent="0.25">
      <c r="A178" t="str">
        <f>IF(AND('Entry list'!$I178=5,'Entry list'!$J178=5),'Entry list'!A178,"")</f>
        <v/>
      </c>
      <c r="B178" t="str">
        <f>IF(AND('Entry list'!$I178=5,'Entry list'!$J178=5),'Entry list'!B178,"")</f>
        <v/>
      </c>
      <c r="C178" t="str">
        <f>IF(AND('Entry list'!$I178=5,'Entry list'!$J178=5),'Entry list'!C178,"")</f>
        <v/>
      </c>
      <c r="D178" t="str">
        <f>IF(AND('Entry list'!$I178=5,'Entry list'!$J178=5),'Entry list'!D178,"")</f>
        <v/>
      </c>
      <c r="E178" t="str">
        <f>IF(AND('Entry list'!$I178=5,'Entry list'!$J178=5),'Entry list'!E178,"")</f>
        <v/>
      </c>
      <c r="F178" t="str">
        <f>IF(AND('Entry list'!$I178=5,'Entry list'!$J178=5),'Entry list'!F178,"")</f>
        <v/>
      </c>
      <c r="G178" t="str">
        <f>IF(AND('Entry list'!$I178=5,'Entry list'!$J178=5),'Entry list'!G178,"")</f>
        <v/>
      </c>
      <c r="H178" t="str">
        <f>IF(AND('Entry list'!$I178=5,'Entry list'!$J178=5),'Entry list'!H178,"")</f>
        <v/>
      </c>
      <c r="I178" t="str">
        <f>IF(AND('Entry list'!$I178=5,'Entry list'!$J178=5),'Entry list'!K178,"")</f>
        <v/>
      </c>
      <c r="J178" t="str">
        <f>IF(AND('Entry list'!$I178=5,'Entry list'!$J178=5),'Entry list'!L178,"")</f>
        <v/>
      </c>
      <c r="K178" t="str">
        <f>IF(AND('Entry list'!$I178=5,'Entry list'!$J178=5),'Entry list'!M178,"")</f>
        <v/>
      </c>
      <c r="L178" t="str">
        <f>IF(AND('Entry list'!$I178=5,'Entry list'!$J178=5),'Entry list'!N178,"")</f>
        <v/>
      </c>
      <c r="M178" t="str">
        <f t="shared" si="6"/>
        <v/>
      </c>
      <c r="N178" t="str">
        <f t="shared" si="7"/>
        <v/>
      </c>
      <c r="O178" t="str">
        <f t="shared" si="8"/>
        <v/>
      </c>
    </row>
    <row r="179" spans="1:15" x14ac:dyDescent="0.25">
      <c r="A179" t="str">
        <f>IF(AND('Entry list'!$I179=5,'Entry list'!$J179=5),'Entry list'!A179,"")</f>
        <v/>
      </c>
      <c r="B179" t="str">
        <f>IF(AND('Entry list'!$I179=5,'Entry list'!$J179=5),'Entry list'!B179,"")</f>
        <v/>
      </c>
      <c r="C179" t="str">
        <f>IF(AND('Entry list'!$I179=5,'Entry list'!$J179=5),'Entry list'!C179,"")</f>
        <v/>
      </c>
      <c r="D179" t="str">
        <f>IF(AND('Entry list'!$I179=5,'Entry list'!$J179=5),'Entry list'!D179,"")</f>
        <v/>
      </c>
      <c r="E179" t="str">
        <f>IF(AND('Entry list'!$I179=5,'Entry list'!$J179=5),'Entry list'!E179,"")</f>
        <v/>
      </c>
      <c r="F179" t="str">
        <f>IF(AND('Entry list'!$I179=5,'Entry list'!$J179=5),'Entry list'!F179,"")</f>
        <v/>
      </c>
      <c r="G179" t="str">
        <f>IF(AND('Entry list'!$I179=5,'Entry list'!$J179=5),'Entry list'!G179,"")</f>
        <v/>
      </c>
      <c r="H179" t="str">
        <f>IF(AND('Entry list'!$I179=5,'Entry list'!$J179=5),'Entry list'!H179,"")</f>
        <v/>
      </c>
      <c r="I179" t="str">
        <f>IF(AND('Entry list'!$I179=5,'Entry list'!$J179=5),'Entry list'!K179,"")</f>
        <v/>
      </c>
      <c r="J179" t="str">
        <f>IF(AND('Entry list'!$I179=5,'Entry list'!$J179=5),'Entry list'!L179,"")</f>
        <v/>
      </c>
      <c r="K179" t="str">
        <f>IF(AND('Entry list'!$I179=5,'Entry list'!$J179=5),'Entry list'!M179,"")</f>
        <v/>
      </c>
      <c r="L179" t="str">
        <f>IF(AND('Entry list'!$I179=5,'Entry list'!$J179=5),'Entry list'!N179,"")</f>
        <v/>
      </c>
      <c r="M179" t="str">
        <f t="shared" si="6"/>
        <v/>
      </c>
      <c r="N179" t="str">
        <f t="shared" si="7"/>
        <v/>
      </c>
      <c r="O179" t="str">
        <f t="shared" si="8"/>
        <v/>
      </c>
    </row>
    <row r="180" spans="1:15" x14ac:dyDescent="0.25">
      <c r="A180" t="str">
        <f>IF(AND('Entry list'!$I180=5,'Entry list'!$J180=5),'Entry list'!A180,"")</f>
        <v/>
      </c>
      <c r="B180" t="str">
        <f>IF(AND('Entry list'!$I180=5,'Entry list'!$J180=5),'Entry list'!B180,"")</f>
        <v/>
      </c>
      <c r="C180" t="str">
        <f>IF(AND('Entry list'!$I180=5,'Entry list'!$J180=5),'Entry list'!C180,"")</f>
        <v/>
      </c>
      <c r="D180" t="str">
        <f>IF(AND('Entry list'!$I180=5,'Entry list'!$J180=5),'Entry list'!D180,"")</f>
        <v/>
      </c>
      <c r="E180" t="str">
        <f>IF(AND('Entry list'!$I180=5,'Entry list'!$J180=5),'Entry list'!E180,"")</f>
        <v/>
      </c>
      <c r="F180" t="str">
        <f>IF(AND('Entry list'!$I180=5,'Entry list'!$J180=5),'Entry list'!F180,"")</f>
        <v/>
      </c>
      <c r="G180" t="str">
        <f>IF(AND('Entry list'!$I180=5,'Entry list'!$J180=5),'Entry list'!G180,"")</f>
        <v/>
      </c>
      <c r="H180" t="str">
        <f>IF(AND('Entry list'!$I180=5,'Entry list'!$J180=5),'Entry list'!H180,"")</f>
        <v/>
      </c>
      <c r="I180" t="str">
        <f>IF(AND('Entry list'!$I180=5,'Entry list'!$J180=5),'Entry list'!K180,"")</f>
        <v/>
      </c>
      <c r="J180" t="str">
        <f>IF(AND('Entry list'!$I180=5,'Entry list'!$J180=5),'Entry list'!L180,"")</f>
        <v/>
      </c>
      <c r="K180" t="str">
        <f>IF(AND('Entry list'!$I180=5,'Entry list'!$J180=5),'Entry list'!M180,"")</f>
        <v/>
      </c>
      <c r="L180" t="str">
        <f>IF(AND('Entry list'!$I180=5,'Entry list'!$J180=5),'Entry list'!N180,"")</f>
        <v/>
      </c>
      <c r="M180" t="str">
        <f t="shared" si="6"/>
        <v/>
      </c>
      <c r="N180" t="str">
        <f t="shared" si="7"/>
        <v/>
      </c>
      <c r="O180" t="str">
        <f t="shared" si="8"/>
        <v/>
      </c>
    </row>
    <row r="181" spans="1:15" x14ac:dyDescent="0.25">
      <c r="A181" t="str">
        <f>IF(AND('Entry list'!$I181=5,'Entry list'!$J181=5),'Entry list'!A181,"")</f>
        <v/>
      </c>
      <c r="B181" t="str">
        <f>IF(AND('Entry list'!$I181=5,'Entry list'!$J181=5),'Entry list'!B181,"")</f>
        <v/>
      </c>
      <c r="C181" t="str">
        <f>IF(AND('Entry list'!$I181=5,'Entry list'!$J181=5),'Entry list'!C181,"")</f>
        <v/>
      </c>
      <c r="D181" t="str">
        <f>IF(AND('Entry list'!$I181=5,'Entry list'!$J181=5),'Entry list'!D181,"")</f>
        <v/>
      </c>
      <c r="E181" t="str">
        <f>IF(AND('Entry list'!$I181=5,'Entry list'!$J181=5),'Entry list'!E181,"")</f>
        <v/>
      </c>
      <c r="F181" t="str">
        <f>IF(AND('Entry list'!$I181=5,'Entry list'!$J181=5),'Entry list'!F181,"")</f>
        <v/>
      </c>
      <c r="G181" t="str">
        <f>IF(AND('Entry list'!$I181=5,'Entry list'!$J181=5),'Entry list'!G181,"")</f>
        <v/>
      </c>
      <c r="H181" t="str">
        <f>IF(AND('Entry list'!$I181=5,'Entry list'!$J181=5),'Entry list'!H181,"")</f>
        <v/>
      </c>
      <c r="I181" t="str">
        <f>IF(AND('Entry list'!$I181=5,'Entry list'!$J181=5),'Entry list'!K181,"")</f>
        <v/>
      </c>
      <c r="J181" t="str">
        <f>IF(AND('Entry list'!$I181=5,'Entry list'!$J181=5),'Entry list'!L181,"")</f>
        <v/>
      </c>
      <c r="K181" t="str">
        <f>IF(AND('Entry list'!$I181=5,'Entry list'!$J181=5),'Entry list'!M181,"")</f>
        <v/>
      </c>
      <c r="L181" t="str">
        <f>IF(AND('Entry list'!$I181=5,'Entry list'!$J181=5),'Entry list'!N181,"")</f>
        <v/>
      </c>
      <c r="M181" t="str">
        <f t="shared" si="6"/>
        <v/>
      </c>
      <c r="N181" t="str">
        <f t="shared" si="7"/>
        <v/>
      </c>
      <c r="O181" t="str">
        <f t="shared" si="8"/>
        <v/>
      </c>
    </row>
    <row r="182" spans="1:15" x14ac:dyDescent="0.25">
      <c r="A182">
        <f>IF(AND('Entry list'!$I182=5,'Entry list'!$J182=5),'Entry list'!A182,"")</f>
        <v>2</v>
      </c>
      <c r="B182">
        <f>IF(AND('Entry list'!$I182=5,'Entry list'!$J182=5),'Entry list'!B182,"")</f>
        <v>0.68680555555555556</v>
      </c>
      <c r="C182" t="str">
        <f>IF(AND('Entry list'!$I182=5,'Entry list'!$J182=5),'Entry list'!C182,"")</f>
        <v>FAC</v>
      </c>
      <c r="D182" t="str">
        <f>IF(AND('Entry list'!$I182=5,'Entry list'!$J182=5),'Entry list'!D182,"")</f>
        <v>OZF</v>
      </c>
      <c r="E182" t="str">
        <f>IF(AND('Entry list'!$I182=5,'Entry list'!$J182=5),'Entry list'!E182,"")</f>
        <v/>
      </c>
      <c r="F182" t="str">
        <f>IF(AND('Entry list'!$I182=5,'Entry list'!$J182=5),'Entry list'!F182,"")</f>
        <v/>
      </c>
      <c r="G182" t="str">
        <f>IF(AND('Entry list'!$I182=5,'Entry list'!$J182=5),'Entry list'!G182,"")</f>
        <v/>
      </c>
      <c r="H182" t="str">
        <f>IF(AND('Entry list'!$I182=5,'Entry list'!$J182=5),'Entry list'!H182,"")</f>
        <v/>
      </c>
      <c r="I182" t="str">
        <f>IF(AND('Entry list'!$I182=5,'Entry list'!$J182=5),'Entry list'!K182,"")</f>
        <v/>
      </c>
      <c r="J182">
        <f>IF(AND('Entry list'!$I182=5,'Entry list'!$J182=5),'Entry list'!L182,"")</f>
        <v>0</v>
      </c>
      <c r="K182">
        <f>IF(AND('Entry list'!$I182=5,'Entry list'!$J182=5),'Entry list'!M182,"")</f>
        <v>0</v>
      </c>
      <c r="L182" t="str">
        <f>IF(AND('Entry list'!$I182=5,'Entry list'!$J182=5),'Entry list'!N182,"")</f>
        <v/>
      </c>
      <c r="M182">
        <f t="shared" si="6"/>
        <v>0</v>
      </c>
      <c r="N182" t="str">
        <f t="shared" si="7"/>
        <v/>
      </c>
      <c r="O182" t="str">
        <f t="shared" si="8"/>
        <v/>
      </c>
    </row>
    <row r="183" spans="1:15" x14ac:dyDescent="0.25">
      <c r="A183">
        <f>IF(AND('Entry list'!$I183=5,'Entry list'!$J183=5),'Entry list'!A183,"")</f>
        <v>2</v>
      </c>
      <c r="B183">
        <f>IF(AND('Entry list'!$I183=5,'Entry list'!$J183=5),'Entry list'!B183,"")</f>
        <v>0.68333333333333324</v>
      </c>
      <c r="C183" t="str">
        <f>IF(AND('Entry list'!$I183=5,'Entry list'!$J183=5),'Entry list'!C183,"")</f>
        <v>D</v>
      </c>
      <c r="D183" t="str">
        <f>IF(AND('Entry list'!$I183=5,'Entry list'!$J183=5),'Entry list'!D183,"")</f>
        <v>56NSH</v>
      </c>
      <c r="E183" t="str">
        <f>IF(AND('Entry list'!$I183=5,'Entry list'!$J183=5),'Entry list'!E183,"")</f>
        <v>N</v>
      </c>
      <c r="F183" t="str">
        <f>IF(AND('Entry list'!$I183=5,'Entry list'!$J183=5),'Entry list'!F183,"")</f>
        <v/>
      </c>
      <c r="G183" t="str">
        <f>IF(AND('Entry list'!$I183=5,'Entry list'!$J183=5),'Entry list'!G183,"")</f>
        <v>R</v>
      </c>
      <c r="H183" t="str">
        <f>IF(AND('Entry list'!$I183=5,'Entry list'!$J183=5),'Entry list'!H183,"")</f>
        <v>19NSH</v>
      </c>
      <c r="I183" t="str">
        <f>IF(AND('Entry list'!$I183=5,'Entry list'!$J183=5),'Entry list'!K183,"")</f>
        <v/>
      </c>
      <c r="J183">
        <f>IF(AND('Entry list'!$I183=5,'Entry list'!$J183=5),'Entry list'!L183,"")</f>
        <v>0</v>
      </c>
      <c r="K183">
        <f>IF(AND('Entry list'!$I183=5,'Entry list'!$J183=5),'Entry list'!M183,"")</f>
        <v>0</v>
      </c>
      <c r="L183" t="str">
        <f>IF(AND('Entry list'!$I183=5,'Entry list'!$J183=5),'Entry list'!N183,"")</f>
        <v/>
      </c>
      <c r="M183">
        <f t="shared" si="6"/>
        <v>0</v>
      </c>
      <c r="N183" t="str">
        <f t="shared" si="7"/>
        <v/>
      </c>
      <c r="O183" t="str">
        <f t="shared" si="8"/>
        <v/>
      </c>
    </row>
    <row r="184" spans="1:15" x14ac:dyDescent="0.25">
      <c r="A184" t="str">
        <f>IF(AND('Entry list'!$I184=5,'Entry list'!$J184=5),'Entry list'!A184,"")</f>
        <v/>
      </c>
      <c r="B184" t="str">
        <f>IF(AND('Entry list'!$I184=5,'Entry list'!$J184=5),'Entry list'!B184,"")</f>
        <v/>
      </c>
      <c r="C184" t="str">
        <f>IF(AND('Entry list'!$I184=5,'Entry list'!$J184=5),'Entry list'!C184,"")</f>
        <v/>
      </c>
      <c r="D184" t="str">
        <f>IF(AND('Entry list'!$I184=5,'Entry list'!$J184=5),'Entry list'!D184,"")</f>
        <v/>
      </c>
      <c r="E184" t="str">
        <f>IF(AND('Entry list'!$I184=5,'Entry list'!$J184=5),'Entry list'!E184,"")</f>
        <v/>
      </c>
      <c r="F184" t="str">
        <f>IF(AND('Entry list'!$I184=5,'Entry list'!$J184=5),'Entry list'!F184,"")</f>
        <v/>
      </c>
      <c r="G184" t="str">
        <f>IF(AND('Entry list'!$I184=5,'Entry list'!$J184=5),'Entry list'!G184,"")</f>
        <v/>
      </c>
      <c r="H184" t="str">
        <f>IF(AND('Entry list'!$I184=5,'Entry list'!$J184=5),'Entry list'!H184,"")</f>
        <v/>
      </c>
      <c r="I184" t="str">
        <f>IF(AND('Entry list'!$I184=5,'Entry list'!$J184=5),'Entry list'!K184,"")</f>
        <v/>
      </c>
      <c r="J184" t="str">
        <f>IF(AND('Entry list'!$I184=5,'Entry list'!$J184=5),'Entry list'!L184,"")</f>
        <v/>
      </c>
      <c r="K184" t="str">
        <f>IF(AND('Entry list'!$I184=5,'Entry list'!$J184=5),'Entry list'!M184,"")</f>
        <v/>
      </c>
      <c r="L184" t="str">
        <f>IF(AND('Entry list'!$I184=5,'Entry list'!$J184=5),'Entry list'!N184,"")</f>
        <v/>
      </c>
      <c r="M184" t="str">
        <f t="shared" si="6"/>
        <v/>
      </c>
      <c r="N184" t="str">
        <f t="shared" si="7"/>
        <v/>
      </c>
      <c r="O184" t="str">
        <f t="shared" si="8"/>
        <v/>
      </c>
    </row>
    <row r="185" spans="1:15" x14ac:dyDescent="0.25">
      <c r="A185">
        <f>IF(AND('Entry list'!$I185=5,'Entry list'!$J185=5),'Entry list'!A185,"")</f>
        <v>2</v>
      </c>
      <c r="B185">
        <f>IF(AND('Entry list'!$I185=5,'Entry list'!$J185=5),'Entry list'!B185,"")</f>
        <v>0.67013888888888884</v>
      </c>
      <c r="C185" t="str">
        <f>IF(AND('Entry list'!$I185=5,'Entry list'!$J185=5),'Entry list'!C185,"")</f>
        <v>C</v>
      </c>
      <c r="D185" t="str">
        <f>IF(AND('Entry list'!$I185=5,'Entry list'!$J185=5),'Entry list'!D185,"")</f>
        <v>71DET</v>
      </c>
      <c r="E185" t="str">
        <f>IF(AND('Entry list'!$I185=5,'Entry list'!$J185=5),'Entry list'!E185,"")</f>
        <v>76NSH</v>
      </c>
      <c r="F185" t="str">
        <f>IF(AND('Entry list'!$I185=5,'Entry list'!$J185=5),'Entry list'!F185,"")</f>
        <v>N</v>
      </c>
      <c r="G185" t="str">
        <f>IF(AND('Entry list'!$I185=5,'Entry list'!$J185=5),'Entry list'!G185,"")</f>
        <v>L</v>
      </c>
      <c r="H185" t="str">
        <f>IF(AND('Entry list'!$I185=5,'Entry list'!$J185=5),'Entry list'!H185,"")</f>
        <v>N</v>
      </c>
      <c r="I185" t="str">
        <f>IF(AND('Entry list'!$I185=5,'Entry list'!$J185=5),'Entry list'!K185,"")</f>
        <v>71DET</v>
      </c>
      <c r="J185">
        <f>IF(AND('Entry list'!$I185=5,'Entry list'!$J185=5),'Entry list'!L185,"")</f>
        <v>1</v>
      </c>
      <c r="K185">
        <f>IF(AND('Entry list'!$I185=5,'Entry list'!$J185=5),'Entry list'!M185,"")</f>
        <v>0</v>
      </c>
      <c r="L185" t="str">
        <f>IF(AND('Entry list'!$I185=5,'Entry list'!$J185=5),'Entry list'!N185,"")</f>
        <v/>
      </c>
      <c r="M185">
        <f t="shared" si="6"/>
        <v>0</v>
      </c>
      <c r="N185">
        <f t="shared" si="7"/>
        <v>0</v>
      </c>
      <c r="O185" t="str">
        <f t="shared" si="8"/>
        <v/>
      </c>
    </row>
    <row r="186" spans="1:15" x14ac:dyDescent="0.25">
      <c r="A186" t="str">
        <f>IF(AND('Entry list'!$I186=5,'Entry list'!$J186=5),'Entry list'!A186,"")</f>
        <v/>
      </c>
      <c r="B186" t="str">
        <f>IF(AND('Entry list'!$I186=5,'Entry list'!$J186=5),'Entry list'!B186,"")</f>
        <v/>
      </c>
      <c r="C186" t="str">
        <f>IF(AND('Entry list'!$I186=5,'Entry list'!$J186=5),'Entry list'!C186,"")</f>
        <v/>
      </c>
      <c r="D186" t="str">
        <f>IF(AND('Entry list'!$I186=5,'Entry list'!$J186=5),'Entry list'!D186,"")</f>
        <v/>
      </c>
      <c r="E186" t="str">
        <f>IF(AND('Entry list'!$I186=5,'Entry list'!$J186=5),'Entry list'!E186,"")</f>
        <v/>
      </c>
      <c r="F186" t="str">
        <f>IF(AND('Entry list'!$I186=5,'Entry list'!$J186=5),'Entry list'!F186,"")</f>
        <v/>
      </c>
      <c r="G186" t="str">
        <f>IF(AND('Entry list'!$I186=5,'Entry list'!$J186=5),'Entry list'!G186,"")</f>
        <v/>
      </c>
      <c r="H186" t="str">
        <f>IF(AND('Entry list'!$I186=5,'Entry list'!$J186=5),'Entry list'!H186,"")</f>
        <v/>
      </c>
      <c r="I186" t="str">
        <f>IF(AND('Entry list'!$I186=5,'Entry list'!$J186=5),'Entry list'!K186,"")</f>
        <v/>
      </c>
      <c r="J186" t="str">
        <f>IF(AND('Entry list'!$I186=5,'Entry list'!$J186=5),'Entry list'!L186,"")</f>
        <v/>
      </c>
      <c r="K186" t="str">
        <f>IF(AND('Entry list'!$I186=5,'Entry list'!$J186=5),'Entry list'!M186,"")</f>
        <v/>
      </c>
      <c r="L186" t="str">
        <f>IF(AND('Entry list'!$I186=5,'Entry list'!$J186=5),'Entry list'!N186,"")</f>
        <v/>
      </c>
      <c r="M186" t="str">
        <f t="shared" si="6"/>
        <v/>
      </c>
      <c r="N186" t="str">
        <f t="shared" si="7"/>
        <v/>
      </c>
      <c r="O186" t="str">
        <f t="shared" si="8"/>
        <v/>
      </c>
    </row>
    <row r="187" spans="1:15" x14ac:dyDescent="0.25">
      <c r="A187">
        <f>IF(AND('Entry list'!$I187=5,'Entry list'!$J187=5),'Entry list'!A187,"")</f>
        <v>2</v>
      </c>
      <c r="B187">
        <f>IF(AND('Entry list'!$I187=5,'Entry list'!$J187=5),'Entry list'!B187,"")</f>
        <v>0.65138888888888891</v>
      </c>
      <c r="C187" t="str">
        <f>IF(AND('Entry list'!$I187=5,'Entry list'!$J187=5),'Entry list'!C187,"")</f>
        <v>C</v>
      </c>
      <c r="D187" t="str">
        <f>IF(AND('Entry list'!$I187=5,'Entry list'!$J187=5),'Entry list'!D187,"")</f>
        <v>8DET</v>
      </c>
      <c r="E187" t="str">
        <f>IF(AND('Entry list'!$I187=5,'Entry list'!$J187=5),'Entry list'!E187,"")</f>
        <v>59NSH</v>
      </c>
      <c r="F187" t="str">
        <f>IF(AND('Entry list'!$I187=5,'Entry list'!$J187=5),'Entry list'!F187,"")</f>
        <v>Y</v>
      </c>
      <c r="G187" t="str">
        <f>IF(AND('Entry list'!$I187=5,'Entry list'!$J187=5),'Entry list'!G187,"")</f>
        <v>R</v>
      </c>
      <c r="H187" t="str">
        <f>IF(AND('Entry list'!$I187=5,'Entry list'!$J187=5),'Entry list'!H187,"")</f>
        <v>N</v>
      </c>
      <c r="I187" t="str">
        <f>IF(AND('Entry list'!$I187=5,'Entry list'!$J187=5),'Entry list'!K187,"")</f>
        <v>8DET</v>
      </c>
      <c r="J187">
        <f>IF(AND('Entry list'!$I187=5,'Entry list'!$J187=5),'Entry list'!L187,"")</f>
        <v>1</v>
      </c>
      <c r="K187">
        <f>IF(AND('Entry list'!$I187=5,'Entry list'!$J187=5),'Entry list'!M187,"")</f>
        <v>0</v>
      </c>
      <c r="L187" t="str">
        <f>IF(AND('Entry list'!$I187=5,'Entry list'!$J187=5),'Entry list'!N187,"")</f>
        <v/>
      </c>
      <c r="M187">
        <f t="shared" si="6"/>
        <v>0</v>
      </c>
      <c r="N187">
        <f t="shared" si="7"/>
        <v>0</v>
      </c>
      <c r="O187" t="str">
        <f t="shared" si="8"/>
        <v/>
      </c>
    </row>
    <row r="188" spans="1:15" x14ac:dyDescent="0.25">
      <c r="A188" t="str">
        <f>IF(AND('Entry list'!$I188=5,'Entry list'!$J188=5),'Entry list'!A188,"")</f>
        <v/>
      </c>
      <c r="B188" t="str">
        <f>IF(AND('Entry list'!$I188=5,'Entry list'!$J188=5),'Entry list'!B188,"")</f>
        <v/>
      </c>
      <c r="C188" t="str">
        <f>IF(AND('Entry list'!$I188=5,'Entry list'!$J188=5),'Entry list'!C188,"")</f>
        <v/>
      </c>
      <c r="D188" t="str">
        <f>IF(AND('Entry list'!$I188=5,'Entry list'!$J188=5),'Entry list'!D188,"")</f>
        <v/>
      </c>
      <c r="E188" t="str">
        <f>IF(AND('Entry list'!$I188=5,'Entry list'!$J188=5),'Entry list'!E188,"")</f>
        <v/>
      </c>
      <c r="F188" t="str">
        <f>IF(AND('Entry list'!$I188=5,'Entry list'!$J188=5),'Entry list'!F188,"")</f>
        <v/>
      </c>
      <c r="G188" t="str">
        <f>IF(AND('Entry list'!$I188=5,'Entry list'!$J188=5),'Entry list'!G188,"")</f>
        <v/>
      </c>
      <c r="H188" t="str">
        <f>IF(AND('Entry list'!$I188=5,'Entry list'!$J188=5),'Entry list'!H188,"")</f>
        <v/>
      </c>
      <c r="I188" t="str">
        <f>IF(AND('Entry list'!$I188=5,'Entry list'!$J188=5),'Entry list'!K188,"")</f>
        <v/>
      </c>
      <c r="J188" t="str">
        <f>IF(AND('Entry list'!$I188=5,'Entry list'!$J188=5),'Entry list'!L188,"")</f>
        <v/>
      </c>
      <c r="K188" t="str">
        <f>IF(AND('Entry list'!$I188=5,'Entry list'!$J188=5),'Entry list'!M188,"")</f>
        <v/>
      </c>
      <c r="L188" t="str">
        <f>IF(AND('Entry list'!$I188=5,'Entry list'!$J188=5),'Entry list'!N188,"")</f>
        <v/>
      </c>
      <c r="M188" t="str">
        <f t="shared" si="6"/>
        <v/>
      </c>
      <c r="N188" t="str">
        <f t="shared" si="7"/>
        <v/>
      </c>
      <c r="O188" t="str">
        <f t="shared" si="8"/>
        <v/>
      </c>
    </row>
    <row r="189" spans="1:15" x14ac:dyDescent="0.25">
      <c r="A189" t="str">
        <f>IF(AND('Entry list'!$I189=5,'Entry list'!$J189=5),'Entry list'!A189,"")</f>
        <v/>
      </c>
      <c r="B189" t="str">
        <f>IF(AND('Entry list'!$I189=5,'Entry list'!$J189=5),'Entry list'!B189,"")</f>
        <v/>
      </c>
      <c r="C189" t="str">
        <f>IF(AND('Entry list'!$I189=5,'Entry list'!$J189=5),'Entry list'!C189,"")</f>
        <v/>
      </c>
      <c r="D189" t="str">
        <f>IF(AND('Entry list'!$I189=5,'Entry list'!$J189=5),'Entry list'!D189,"")</f>
        <v/>
      </c>
      <c r="E189" t="str">
        <f>IF(AND('Entry list'!$I189=5,'Entry list'!$J189=5),'Entry list'!E189,"")</f>
        <v/>
      </c>
      <c r="F189" t="str">
        <f>IF(AND('Entry list'!$I189=5,'Entry list'!$J189=5),'Entry list'!F189,"")</f>
        <v/>
      </c>
      <c r="G189" t="str">
        <f>IF(AND('Entry list'!$I189=5,'Entry list'!$J189=5),'Entry list'!G189,"")</f>
        <v/>
      </c>
      <c r="H189" t="str">
        <f>IF(AND('Entry list'!$I189=5,'Entry list'!$J189=5),'Entry list'!H189,"")</f>
        <v/>
      </c>
      <c r="I189" t="str">
        <f>IF(AND('Entry list'!$I189=5,'Entry list'!$J189=5),'Entry list'!K189,"")</f>
        <v/>
      </c>
      <c r="J189" t="str">
        <f>IF(AND('Entry list'!$I189=5,'Entry list'!$J189=5),'Entry list'!L189,"")</f>
        <v/>
      </c>
      <c r="K189" t="str">
        <f>IF(AND('Entry list'!$I189=5,'Entry list'!$J189=5),'Entry list'!M189,"")</f>
        <v/>
      </c>
      <c r="L189" t="str">
        <f>IF(AND('Entry list'!$I189=5,'Entry list'!$J189=5),'Entry list'!N189,"")</f>
        <v/>
      </c>
      <c r="M189" t="str">
        <f t="shared" si="6"/>
        <v/>
      </c>
      <c r="N189" t="str">
        <f t="shared" si="7"/>
        <v/>
      </c>
      <c r="O189" t="str">
        <f t="shared" si="8"/>
        <v/>
      </c>
    </row>
    <row r="190" spans="1:15" x14ac:dyDescent="0.25">
      <c r="A190">
        <f>IF(AND('Entry list'!$I190=5,'Entry list'!$J190=5),'Entry list'!A190,"")</f>
        <v>2</v>
      </c>
      <c r="B190">
        <f>IF(AND('Entry list'!$I190=5,'Entry list'!$J190=5),'Entry list'!B190,"")</f>
        <v>0.63124999999999998</v>
      </c>
      <c r="C190" t="str">
        <f>IF(AND('Entry list'!$I190=5,'Entry list'!$J190=5),'Entry list'!C190,"")</f>
        <v>C</v>
      </c>
      <c r="D190" t="str">
        <f>IF(AND('Entry list'!$I190=5,'Entry list'!$J190=5),'Entry list'!D190,"")</f>
        <v>15DET</v>
      </c>
      <c r="E190" t="str">
        <f>IF(AND('Entry list'!$I190=5,'Entry list'!$J190=5),'Entry list'!E190,"")</f>
        <v>59NSH</v>
      </c>
      <c r="F190" t="str">
        <f>IF(AND('Entry list'!$I190=5,'Entry list'!$J190=5),'Entry list'!F190,"")</f>
        <v>N</v>
      </c>
      <c r="G190" t="str">
        <f>IF(AND('Entry list'!$I190=5,'Entry list'!$J190=5),'Entry list'!G190,"")</f>
        <v>R</v>
      </c>
      <c r="H190" t="str">
        <f>IF(AND('Entry list'!$I190=5,'Entry list'!$J190=5),'Entry list'!H190,"")</f>
        <v>N</v>
      </c>
      <c r="I190" t="str">
        <f>IF(AND('Entry list'!$I190=5,'Entry list'!$J190=5),'Entry list'!K190,"")</f>
        <v>15DET</v>
      </c>
      <c r="J190">
        <f>IF(AND('Entry list'!$I190=5,'Entry list'!$J190=5),'Entry list'!L190,"")</f>
        <v>1</v>
      </c>
      <c r="K190">
        <f>IF(AND('Entry list'!$I190=5,'Entry list'!$J190=5),'Entry list'!M190,"")</f>
        <v>0</v>
      </c>
      <c r="L190" t="str">
        <f>IF(AND('Entry list'!$I190=5,'Entry list'!$J190=5),'Entry list'!N190,"")</f>
        <v/>
      </c>
      <c r="M190">
        <f t="shared" si="6"/>
        <v>0</v>
      </c>
      <c r="N190">
        <f t="shared" si="7"/>
        <v>0</v>
      </c>
      <c r="O190" t="str">
        <f t="shared" si="8"/>
        <v/>
      </c>
    </row>
    <row r="191" spans="1:15" x14ac:dyDescent="0.25">
      <c r="A191" t="str">
        <f>IF(AND('Entry list'!$I191=5,'Entry list'!$J191=5),'Entry list'!A191,"")</f>
        <v/>
      </c>
      <c r="B191" t="str">
        <f>IF(AND('Entry list'!$I191=5,'Entry list'!$J191=5),'Entry list'!B191,"")</f>
        <v/>
      </c>
      <c r="C191" t="str">
        <f>IF(AND('Entry list'!$I191=5,'Entry list'!$J191=5),'Entry list'!C191,"")</f>
        <v/>
      </c>
      <c r="D191" t="str">
        <f>IF(AND('Entry list'!$I191=5,'Entry list'!$J191=5),'Entry list'!D191,"")</f>
        <v/>
      </c>
      <c r="E191" t="str">
        <f>IF(AND('Entry list'!$I191=5,'Entry list'!$J191=5),'Entry list'!E191,"")</f>
        <v/>
      </c>
      <c r="F191" t="str">
        <f>IF(AND('Entry list'!$I191=5,'Entry list'!$J191=5),'Entry list'!F191,"")</f>
        <v/>
      </c>
      <c r="G191" t="str">
        <f>IF(AND('Entry list'!$I191=5,'Entry list'!$J191=5),'Entry list'!G191,"")</f>
        <v/>
      </c>
      <c r="H191" t="str">
        <f>IF(AND('Entry list'!$I191=5,'Entry list'!$J191=5),'Entry list'!H191,"")</f>
        <v/>
      </c>
      <c r="I191" t="str">
        <f>IF(AND('Entry list'!$I191=5,'Entry list'!$J191=5),'Entry list'!K191,"")</f>
        <v/>
      </c>
      <c r="J191" t="str">
        <f>IF(AND('Entry list'!$I191=5,'Entry list'!$J191=5),'Entry list'!L191,"")</f>
        <v/>
      </c>
      <c r="K191" t="str">
        <f>IF(AND('Entry list'!$I191=5,'Entry list'!$J191=5),'Entry list'!M191,"")</f>
        <v/>
      </c>
      <c r="L191" t="str">
        <f>IF(AND('Entry list'!$I191=5,'Entry list'!$J191=5),'Entry list'!N191,"")</f>
        <v/>
      </c>
      <c r="M191" t="str">
        <f t="shared" si="6"/>
        <v/>
      </c>
      <c r="N191" t="str">
        <f t="shared" si="7"/>
        <v/>
      </c>
      <c r="O191" t="str">
        <f t="shared" si="8"/>
        <v/>
      </c>
    </row>
    <row r="192" spans="1:15" x14ac:dyDescent="0.25">
      <c r="A192" t="str">
        <f>IF(AND('Entry list'!$I192=5,'Entry list'!$J192=5),'Entry list'!A192,"")</f>
        <v/>
      </c>
      <c r="B192" t="str">
        <f>IF(AND('Entry list'!$I192=5,'Entry list'!$J192=5),'Entry list'!B192,"")</f>
        <v/>
      </c>
      <c r="C192" t="str">
        <f>IF(AND('Entry list'!$I192=5,'Entry list'!$J192=5),'Entry list'!C192,"")</f>
        <v/>
      </c>
      <c r="D192" t="str">
        <f>IF(AND('Entry list'!$I192=5,'Entry list'!$J192=5),'Entry list'!D192,"")</f>
        <v/>
      </c>
      <c r="E192" t="str">
        <f>IF(AND('Entry list'!$I192=5,'Entry list'!$J192=5),'Entry list'!E192,"")</f>
        <v/>
      </c>
      <c r="F192" t="str">
        <f>IF(AND('Entry list'!$I192=5,'Entry list'!$J192=5),'Entry list'!F192,"")</f>
        <v/>
      </c>
      <c r="G192" t="str">
        <f>IF(AND('Entry list'!$I192=5,'Entry list'!$J192=5),'Entry list'!G192,"")</f>
        <v/>
      </c>
      <c r="H192" t="str">
        <f>IF(AND('Entry list'!$I192=5,'Entry list'!$J192=5),'Entry list'!H192,"")</f>
        <v/>
      </c>
      <c r="I192" t="str">
        <f>IF(AND('Entry list'!$I192=5,'Entry list'!$J192=5),'Entry list'!K192,"")</f>
        <v/>
      </c>
      <c r="J192" t="str">
        <f>IF(AND('Entry list'!$I192=5,'Entry list'!$J192=5),'Entry list'!L192,"")</f>
        <v/>
      </c>
      <c r="K192" t="str">
        <f>IF(AND('Entry list'!$I192=5,'Entry list'!$J192=5),'Entry list'!M192,"")</f>
        <v/>
      </c>
      <c r="L192" t="str">
        <f>IF(AND('Entry list'!$I192=5,'Entry list'!$J192=5),'Entry list'!N192,"")</f>
        <v/>
      </c>
      <c r="M192" t="str">
        <f t="shared" si="6"/>
        <v/>
      </c>
      <c r="N192" t="str">
        <f t="shared" si="7"/>
        <v/>
      </c>
      <c r="O192" t="str">
        <f t="shared" si="8"/>
        <v/>
      </c>
    </row>
    <row r="193" spans="1:15" x14ac:dyDescent="0.25">
      <c r="A193" t="str">
        <f>IF(AND('Entry list'!$I193=5,'Entry list'!$J193=5),'Entry list'!A193,"")</f>
        <v/>
      </c>
      <c r="B193" t="str">
        <f>IF(AND('Entry list'!$I193=5,'Entry list'!$J193=5),'Entry list'!B193,"")</f>
        <v/>
      </c>
      <c r="C193" t="str">
        <f>IF(AND('Entry list'!$I193=5,'Entry list'!$J193=5),'Entry list'!C193,"")</f>
        <v/>
      </c>
      <c r="D193" t="str">
        <f>IF(AND('Entry list'!$I193=5,'Entry list'!$J193=5),'Entry list'!D193,"")</f>
        <v/>
      </c>
      <c r="E193" t="str">
        <f>IF(AND('Entry list'!$I193=5,'Entry list'!$J193=5),'Entry list'!E193,"")</f>
        <v/>
      </c>
      <c r="F193" t="str">
        <f>IF(AND('Entry list'!$I193=5,'Entry list'!$J193=5),'Entry list'!F193,"")</f>
        <v/>
      </c>
      <c r="G193" t="str">
        <f>IF(AND('Entry list'!$I193=5,'Entry list'!$J193=5),'Entry list'!G193,"")</f>
        <v/>
      </c>
      <c r="H193" t="str">
        <f>IF(AND('Entry list'!$I193=5,'Entry list'!$J193=5),'Entry list'!H193,"")</f>
        <v/>
      </c>
      <c r="I193" t="str">
        <f>IF(AND('Entry list'!$I193=5,'Entry list'!$J193=5),'Entry list'!K193,"")</f>
        <v/>
      </c>
      <c r="J193" t="str">
        <f>IF(AND('Entry list'!$I193=5,'Entry list'!$J193=5),'Entry list'!L193,"")</f>
        <v/>
      </c>
      <c r="K193" t="str">
        <f>IF(AND('Entry list'!$I193=5,'Entry list'!$J193=5),'Entry list'!M193,"")</f>
        <v/>
      </c>
      <c r="L193" t="str">
        <f>IF(AND('Entry list'!$I193=5,'Entry list'!$J193=5),'Entry list'!N193,"")</f>
        <v/>
      </c>
      <c r="M193" t="str">
        <f t="shared" si="6"/>
        <v/>
      </c>
      <c r="N193" t="str">
        <f t="shared" si="7"/>
        <v/>
      </c>
      <c r="O193" t="str">
        <f t="shared" si="8"/>
        <v/>
      </c>
    </row>
    <row r="194" spans="1:15" x14ac:dyDescent="0.25">
      <c r="A194" t="str">
        <f>IF(AND('Entry list'!$I194=5,'Entry list'!$J194=5),'Entry list'!A194,"")</f>
        <v/>
      </c>
      <c r="B194" t="str">
        <f>IF(AND('Entry list'!$I194=5,'Entry list'!$J194=5),'Entry list'!B194,"")</f>
        <v/>
      </c>
      <c r="C194" t="str">
        <f>IF(AND('Entry list'!$I194=5,'Entry list'!$J194=5),'Entry list'!C194,"")</f>
        <v/>
      </c>
      <c r="D194" t="str">
        <f>IF(AND('Entry list'!$I194=5,'Entry list'!$J194=5),'Entry list'!D194,"")</f>
        <v/>
      </c>
      <c r="E194" t="str">
        <f>IF(AND('Entry list'!$I194=5,'Entry list'!$J194=5),'Entry list'!E194,"")</f>
        <v/>
      </c>
      <c r="F194" t="str">
        <f>IF(AND('Entry list'!$I194=5,'Entry list'!$J194=5),'Entry list'!F194,"")</f>
        <v/>
      </c>
      <c r="G194" t="str">
        <f>IF(AND('Entry list'!$I194=5,'Entry list'!$J194=5),'Entry list'!G194,"")</f>
        <v/>
      </c>
      <c r="H194" t="str">
        <f>IF(AND('Entry list'!$I194=5,'Entry list'!$J194=5),'Entry list'!H194,"")</f>
        <v/>
      </c>
      <c r="I194" t="str">
        <f>IF(AND('Entry list'!$I194=5,'Entry list'!$J194=5),'Entry list'!K194,"")</f>
        <v/>
      </c>
      <c r="J194" t="str">
        <f>IF(AND('Entry list'!$I194=5,'Entry list'!$J194=5),'Entry list'!L194,"")</f>
        <v/>
      </c>
      <c r="K194" t="str">
        <f>IF(AND('Entry list'!$I194=5,'Entry list'!$J194=5),'Entry list'!M194,"")</f>
        <v/>
      </c>
      <c r="L194" t="str">
        <f>IF(AND('Entry list'!$I194=5,'Entry list'!$J194=5),'Entry list'!N194,"")</f>
        <v/>
      </c>
      <c r="M194" t="str">
        <f t="shared" si="6"/>
        <v/>
      </c>
      <c r="N194" t="str">
        <f t="shared" si="7"/>
        <v/>
      </c>
      <c r="O194" t="str">
        <f t="shared" si="8"/>
        <v/>
      </c>
    </row>
    <row r="195" spans="1:15" x14ac:dyDescent="0.25">
      <c r="A195" t="str">
        <f>IF(AND('Entry list'!$I195=5,'Entry list'!$J195=5),'Entry list'!A195,"")</f>
        <v/>
      </c>
      <c r="B195" t="str">
        <f>IF(AND('Entry list'!$I195=5,'Entry list'!$J195=5),'Entry list'!B195,"")</f>
        <v/>
      </c>
      <c r="C195" t="str">
        <f>IF(AND('Entry list'!$I195=5,'Entry list'!$J195=5),'Entry list'!C195,"")</f>
        <v/>
      </c>
      <c r="D195" t="str">
        <f>IF(AND('Entry list'!$I195=5,'Entry list'!$J195=5),'Entry list'!D195,"")</f>
        <v/>
      </c>
      <c r="E195" t="str">
        <f>IF(AND('Entry list'!$I195=5,'Entry list'!$J195=5),'Entry list'!E195,"")</f>
        <v/>
      </c>
      <c r="F195" t="str">
        <f>IF(AND('Entry list'!$I195=5,'Entry list'!$J195=5),'Entry list'!F195,"")</f>
        <v/>
      </c>
      <c r="G195" t="str">
        <f>IF(AND('Entry list'!$I195=5,'Entry list'!$J195=5),'Entry list'!G195,"")</f>
        <v/>
      </c>
      <c r="H195" t="str">
        <f>IF(AND('Entry list'!$I195=5,'Entry list'!$J195=5),'Entry list'!H195,"")</f>
        <v/>
      </c>
      <c r="I195" t="str">
        <f>IF(AND('Entry list'!$I195=5,'Entry list'!$J195=5),'Entry list'!K195,"")</f>
        <v/>
      </c>
      <c r="J195" t="str">
        <f>IF(AND('Entry list'!$I195=5,'Entry list'!$J195=5),'Entry list'!L195,"")</f>
        <v/>
      </c>
      <c r="K195" t="str">
        <f>IF(AND('Entry list'!$I195=5,'Entry list'!$J195=5),'Entry list'!M195,"")</f>
        <v/>
      </c>
      <c r="L195" t="str">
        <f>IF(AND('Entry list'!$I195=5,'Entry list'!$J195=5),'Entry list'!N195,"")</f>
        <v/>
      </c>
      <c r="M195" t="str">
        <f t="shared" ref="M195:M258" si="9">IF(EXACT(D195,""),"",IF(EXACT(LEFT(D195,3),"WSH"),1,0))</f>
        <v/>
      </c>
      <c r="N195" t="str">
        <f t="shared" ref="N195:N258" si="10">IF(EXACT(I195,""),"",IF(EXACT(LEFT(I195,3),"WSH"),1,0))</f>
        <v/>
      </c>
      <c r="O195" t="str">
        <f t="shared" ref="O195:O258" si="11">IF(EXACT(L195,""),"",IF(EXACT(LEFT(L195,3),"WSH"),1,0))</f>
        <v/>
      </c>
    </row>
    <row r="196" spans="1:15" x14ac:dyDescent="0.25">
      <c r="A196" t="str">
        <f>IF(AND('Entry list'!$I196=5,'Entry list'!$J196=5),'Entry list'!A196,"")</f>
        <v/>
      </c>
      <c r="B196" t="str">
        <f>IF(AND('Entry list'!$I196=5,'Entry list'!$J196=5),'Entry list'!B196,"")</f>
        <v/>
      </c>
      <c r="C196" t="str">
        <f>IF(AND('Entry list'!$I196=5,'Entry list'!$J196=5),'Entry list'!C196,"")</f>
        <v/>
      </c>
      <c r="D196" t="str">
        <f>IF(AND('Entry list'!$I196=5,'Entry list'!$J196=5),'Entry list'!D196,"")</f>
        <v/>
      </c>
      <c r="E196" t="str">
        <f>IF(AND('Entry list'!$I196=5,'Entry list'!$J196=5),'Entry list'!E196,"")</f>
        <v/>
      </c>
      <c r="F196" t="str">
        <f>IF(AND('Entry list'!$I196=5,'Entry list'!$J196=5),'Entry list'!F196,"")</f>
        <v/>
      </c>
      <c r="G196" t="str">
        <f>IF(AND('Entry list'!$I196=5,'Entry list'!$J196=5),'Entry list'!G196,"")</f>
        <v/>
      </c>
      <c r="H196" t="str">
        <f>IF(AND('Entry list'!$I196=5,'Entry list'!$J196=5),'Entry list'!H196,"")</f>
        <v/>
      </c>
      <c r="I196" t="str">
        <f>IF(AND('Entry list'!$I196=5,'Entry list'!$J196=5),'Entry list'!K196,"")</f>
        <v/>
      </c>
      <c r="J196" t="str">
        <f>IF(AND('Entry list'!$I196=5,'Entry list'!$J196=5),'Entry list'!L196,"")</f>
        <v/>
      </c>
      <c r="K196" t="str">
        <f>IF(AND('Entry list'!$I196=5,'Entry list'!$J196=5),'Entry list'!M196,"")</f>
        <v/>
      </c>
      <c r="L196" t="str">
        <f>IF(AND('Entry list'!$I196=5,'Entry list'!$J196=5),'Entry list'!N196,"")</f>
        <v/>
      </c>
      <c r="M196" t="str">
        <f t="shared" si="9"/>
        <v/>
      </c>
      <c r="N196" t="str">
        <f t="shared" si="10"/>
        <v/>
      </c>
      <c r="O196" t="str">
        <f t="shared" si="11"/>
        <v/>
      </c>
    </row>
    <row r="197" spans="1:15" x14ac:dyDescent="0.25">
      <c r="A197" t="str">
        <f>IF(AND('Entry list'!$I197=5,'Entry list'!$J197=5),'Entry list'!A197,"")</f>
        <v/>
      </c>
      <c r="B197" t="str">
        <f>IF(AND('Entry list'!$I197=5,'Entry list'!$J197=5),'Entry list'!B197,"")</f>
        <v/>
      </c>
      <c r="C197" t="str">
        <f>IF(AND('Entry list'!$I197=5,'Entry list'!$J197=5),'Entry list'!C197,"")</f>
        <v/>
      </c>
      <c r="D197" t="str">
        <f>IF(AND('Entry list'!$I197=5,'Entry list'!$J197=5),'Entry list'!D197,"")</f>
        <v/>
      </c>
      <c r="E197" t="str">
        <f>IF(AND('Entry list'!$I197=5,'Entry list'!$J197=5),'Entry list'!E197,"")</f>
        <v/>
      </c>
      <c r="F197" t="str">
        <f>IF(AND('Entry list'!$I197=5,'Entry list'!$J197=5),'Entry list'!F197,"")</f>
        <v/>
      </c>
      <c r="G197" t="str">
        <f>IF(AND('Entry list'!$I197=5,'Entry list'!$J197=5),'Entry list'!G197,"")</f>
        <v/>
      </c>
      <c r="H197" t="str">
        <f>IF(AND('Entry list'!$I197=5,'Entry list'!$J197=5),'Entry list'!H197,"")</f>
        <v/>
      </c>
      <c r="I197" t="str">
        <f>IF(AND('Entry list'!$I197=5,'Entry list'!$J197=5),'Entry list'!K197,"")</f>
        <v/>
      </c>
      <c r="J197" t="str">
        <f>IF(AND('Entry list'!$I197=5,'Entry list'!$J197=5),'Entry list'!L197,"")</f>
        <v/>
      </c>
      <c r="K197" t="str">
        <f>IF(AND('Entry list'!$I197=5,'Entry list'!$J197=5),'Entry list'!M197,"")</f>
        <v/>
      </c>
      <c r="L197" t="str">
        <f>IF(AND('Entry list'!$I197=5,'Entry list'!$J197=5),'Entry list'!N197,"")</f>
        <v/>
      </c>
      <c r="M197" t="str">
        <f t="shared" si="9"/>
        <v/>
      </c>
      <c r="N197" t="str">
        <f t="shared" si="10"/>
        <v/>
      </c>
      <c r="O197" t="str">
        <f t="shared" si="11"/>
        <v/>
      </c>
    </row>
    <row r="198" spans="1:15" x14ac:dyDescent="0.25">
      <c r="A198" t="str">
        <f>IF(AND('Entry list'!$I198=5,'Entry list'!$J198=5),'Entry list'!A198,"")</f>
        <v/>
      </c>
      <c r="B198" t="str">
        <f>IF(AND('Entry list'!$I198=5,'Entry list'!$J198=5),'Entry list'!B198,"")</f>
        <v/>
      </c>
      <c r="C198" t="str">
        <f>IF(AND('Entry list'!$I198=5,'Entry list'!$J198=5),'Entry list'!C198,"")</f>
        <v/>
      </c>
      <c r="D198" t="str">
        <f>IF(AND('Entry list'!$I198=5,'Entry list'!$J198=5),'Entry list'!D198,"")</f>
        <v/>
      </c>
      <c r="E198" t="str">
        <f>IF(AND('Entry list'!$I198=5,'Entry list'!$J198=5),'Entry list'!E198,"")</f>
        <v/>
      </c>
      <c r="F198" t="str">
        <f>IF(AND('Entry list'!$I198=5,'Entry list'!$J198=5),'Entry list'!F198,"")</f>
        <v/>
      </c>
      <c r="G198" t="str">
        <f>IF(AND('Entry list'!$I198=5,'Entry list'!$J198=5),'Entry list'!G198,"")</f>
        <v/>
      </c>
      <c r="H198" t="str">
        <f>IF(AND('Entry list'!$I198=5,'Entry list'!$J198=5),'Entry list'!H198,"")</f>
        <v/>
      </c>
      <c r="I198" t="str">
        <f>IF(AND('Entry list'!$I198=5,'Entry list'!$J198=5),'Entry list'!K198,"")</f>
        <v/>
      </c>
      <c r="J198" t="str">
        <f>IF(AND('Entry list'!$I198=5,'Entry list'!$J198=5),'Entry list'!L198,"")</f>
        <v/>
      </c>
      <c r="K198" t="str">
        <f>IF(AND('Entry list'!$I198=5,'Entry list'!$J198=5),'Entry list'!M198,"")</f>
        <v/>
      </c>
      <c r="L198" t="str">
        <f>IF(AND('Entry list'!$I198=5,'Entry list'!$J198=5),'Entry list'!N198,"")</f>
        <v/>
      </c>
      <c r="M198" t="str">
        <f t="shared" si="9"/>
        <v/>
      </c>
      <c r="N198" t="str">
        <f t="shared" si="10"/>
        <v/>
      </c>
      <c r="O198" t="str">
        <f t="shared" si="11"/>
        <v/>
      </c>
    </row>
    <row r="199" spans="1:15" x14ac:dyDescent="0.25">
      <c r="A199">
        <f>IF(AND('Entry list'!$I199=5,'Entry list'!$J199=5),'Entry list'!A199,"")</f>
        <v>2</v>
      </c>
      <c r="B199">
        <f>IF(AND('Entry list'!$I199=5,'Entry list'!$J199=5),'Entry list'!B199,"")</f>
        <v>0.61111111111111105</v>
      </c>
      <c r="C199" t="str">
        <f>IF(AND('Entry list'!$I199=5,'Entry list'!$J199=5),'Entry list'!C199,"")</f>
        <v>D</v>
      </c>
      <c r="D199" t="str">
        <f>IF(AND('Entry list'!$I199=5,'Entry list'!$J199=5),'Entry list'!D199,"")</f>
        <v>14NSH</v>
      </c>
      <c r="E199" t="str">
        <f>IF(AND('Entry list'!$I199=5,'Entry list'!$J199=5),'Entry list'!E199,"")</f>
        <v>N</v>
      </c>
      <c r="F199" t="str">
        <f>IF(AND('Entry list'!$I199=5,'Entry list'!$J199=5),'Entry list'!F199,"")</f>
        <v/>
      </c>
      <c r="G199" t="str">
        <f>IF(AND('Entry list'!$I199=5,'Entry list'!$J199=5),'Entry list'!G199,"")</f>
        <v>L</v>
      </c>
      <c r="H199" t="str">
        <f>IF(AND('Entry list'!$I199=5,'Entry list'!$J199=5),'Entry list'!H199,"")</f>
        <v>N</v>
      </c>
      <c r="I199" t="str">
        <f>IF(AND('Entry list'!$I199=5,'Entry list'!$J199=5),'Entry list'!K199,"")</f>
        <v/>
      </c>
      <c r="J199">
        <f>IF(AND('Entry list'!$I199=5,'Entry list'!$J199=5),'Entry list'!L199,"")</f>
        <v>0</v>
      </c>
      <c r="K199">
        <f>IF(AND('Entry list'!$I199=5,'Entry list'!$J199=5),'Entry list'!M199,"")</f>
        <v>0</v>
      </c>
      <c r="L199" t="str">
        <f>IF(AND('Entry list'!$I199=5,'Entry list'!$J199=5),'Entry list'!N199,"")</f>
        <v/>
      </c>
      <c r="M199">
        <f t="shared" si="9"/>
        <v>0</v>
      </c>
      <c r="N199" t="str">
        <f t="shared" si="10"/>
        <v/>
      </c>
      <c r="O199" t="str">
        <f t="shared" si="11"/>
        <v/>
      </c>
    </row>
    <row r="200" spans="1:15" x14ac:dyDescent="0.25">
      <c r="A200">
        <f>IF(AND('Entry list'!$I200=5,'Entry list'!$J200=5),'Entry list'!A200,"")</f>
        <v>2</v>
      </c>
      <c r="B200">
        <f>IF(AND('Entry list'!$I200=5,'Entry list'!$J200=5),'Entry list'!B200,"")</f>
        <v>0.60347222222222219</v>
      </c>
      <c r="C200" t="str">
        <f>IF(AND('Entry list'!$I200=5,'Entry list'!$J200=5),'Entry list'!C200,"")</f>
        <v>C</v>
      </c>
      <c r="D200" t="str">
        <f>IF(AND('Entry list'!$I200=5,'Entry list'!$J200=5),'Entry list'!D200,"")</f>
        <v>51DET</v>
      </c>
      <c r="E200" t="str">
        <f>IF(AND('Entry list'!$I200=5,'Entry list'!$J200=5),'Entry list'!E200,"")</f>
        <v>14NSH</v>
      </c>
      <c r="F200" t="str">
        <f>IF(AND('Entry list'!$I200=5,'Entry list'!$J200=5),'Entry list'!F200,"")</f>
        <v>N</v>
      </c>
      <c r="G200" t="str">
        <f>IF(AND('Entry list'!$I200=5,'Entry list'!$J200=5),'Entry list'!G200,"")</f>
        <v>C</v>
      </c>
      <c r="H200" t="str">
        <f>IF(AND('Entry list'!$I200=5,'Entry list'!$J200=5),'Entry list'!H200,"")</f>
        <v>N</v>
      </c>
      <c r="I200" t="str">
        <f>IF(AND('Entry list'!$I200=5,'Entry list'!$J200=5),'Entry list'!K200,"")</f>
        <v>51DET</v>
      </c>
      <c r="J200">
        <f>IF(AND('Entry list'!$I200=5,'Entry list'!$J200=5),'Entry list'!L200,"")</f>
        <v>0</v>
      </c>
      <c r="K200">
        <f>IF(AND('Entry list'!$I200=5,'Entry list'!$J200=5),'Entry list'!M200,"")</f>
        <v>0</v>
      </c>
      <c r="L200" t="str">
        <f>IF(AND('Entry list'!$I200=5,'Entry list'!$J200=5),'Entry list'!N200,"")</f>
        <v/>
      </c>
      <c r="M200">
        <f t="shared" si="9"/>
        <v>0</v>
      </c>
      <c r="N200">
        <f t="shared" si="10"/>
        <v>0</v>
      </c>
      <c r="O200" t="str">
        <f t="shared" si="11"/>
        <v/>
      </c>
    </row>
    <row r="201" spans="1:15" x14ac:dyDescent="0.25">
      <c r="A201" t="str">
        <f>IF(AND('Entry list'!$I201=5,'Entry list'!$J201=5),'Entry list'!A201,"")</f>
        <v/>
      </c>
      <c r="B201" t="str">
        <f>IF(AND('Entry list'!$I201=5,'Entry list'!$J201=5),'Entry list'!B201,"")</f>
        <v/>
      </c>
      <c r="C201" t="str">
        <f>IF(AND('Entry list'!$I201=5,'Entry list'!$J201=5),'Entry list'!C201,"")</f>
        <v/>
      </c>
      <c r="D201" t="str">
        <f>IF(AND('Entry list'!$I201=5,'Entry list'!$J201=5),'Entry list'!D201,"")</f>
        <v/>
      </c>
      <c r="E201" t="str">
        <f>IF(AND('Entry list'!$I201=5,'Entry list'!$J201=5),'Entry list'!E201,"")</f>
        <v/>
      </c>
      <c r="F201" t="str">
        <f>IF(AND('Entry list'!$I201=5,'Entry list'!$J201=5),'Entry list'!F201,"")</f>
        <v/>
      </c>
      <c r="G201" t="str">
        <f>IF(AND('Entry list'!$I201=5,'Entry list'!$J201=5),'Entry list'!G201,"")</f>
        <v/>
      </c>
      <c r="H201" t="str">
        <f>IF(AND('Entry list'!$I201=5,'Entry list'!$J201=5),'Entry list'!H201,"")</f>
        <v/>
      </c>
      <c r="I201" t="str">
        <f>IF(AND('Entry list'!$I201=5,'Entry list'!$J201=5),'Entry list'!K201,"")</f>
        <v/>
      </c>
      <c r="J201" t="str">
        <f>IF(AND('Entry list'!$I201=5,'Entry list'!$J201=5),'Entry list'!L201,"")</f>
        <v/>
      </c>
      <c r="K201" t="str">
        <f>IF(AND('Entry list'!$I201=5,'Entry list'!$J201=5),'Entry list'!M201,"")</f>
        <v/>
      </c>
      <c r="L201" t="str">
        <f>IF(AND('Entry list'!$I201=5,'Entry list'!$J201=5),'Entry list'!N201,"")</f>
        <v/>
      </c>
      <c r="M201" t="str">
        <f t="shared" si="9"/>
        <v/>
      </c>
      <c r="N201" t="str">
        <f t="shared" si="10"/>
        <v/>
      </c>
      <c r="O201" t="str">
        <f t="shared" si="11"/>
        <v/>
      </c>
    </row>
    <row r="202" spans="1:15" x14ac:dyDescent="0.25">
      <c r="A202">
        <f>IF(AND('Entry list'!$I202=5,'Entry list'!$J202=5),'Entry list'!A202,"")</f>
        <v>2</v>
      </c>
      <c r="B202">
        <f>IF(AND('Entry list'!$I202=5,'Entry list'!$J202=5),'Entry list'!B202,"")</f>
        <v>0.58611111111111114</v>
      </c>
      <c r="C202" t="str">
        <f>IF(AND('Entry list'!$I202=5,'Entry list'!$J202=5),'Entry list'!C202,"")</f>
        <v>D</v>
      </c>
      <c r="D202" t="str">
        <f>IF(AND('Entry list'!$I202=5,'Entry list'!$J202=5),'Entry list'!D202,"")</f>
        <v>38NSH</v>
      </c>
      <c r="E202" t="str">
        <f>IF(AND('Entry list'!$I202=5,'Entry list'!$J202=5),'Entry list'!E202,"")</f>
        <v>52DET</v>
      </c>
      <c r="F202" t="str">
        <f>IF(AND('Entry list'!$I202=5,'Entry list'!$J202=5),'Entry list'!F202,"")</f>
        <v/>
      </c>
      <c r="G202" t="str">
        <f>IF(AND('Entry list'!$I202=5,'Entry list'!$J202=5),'Entry list'!G202,"")</f>
        <v>C</v>
      </c>
      <c r="H202" t="str">
        <f>IF(AND('Entry list'!$I202=5,'Entry list'!$J202=5),'Entry list'!H202,"")</f>
        <v>N</v>
      </c>
      <c r="I202" t="str">
        <f>IF(AND('Entry list'!$I202=5,'Entry list'!$J202=5),'Entry list'!K202,"")</f>
        <v/>
      </c>
      <c r="J202">
        <f>IF(AND('Entry list'!$I202=5,'Entry list'!$J202=5),'Entry list'!L202,"")</f>
        <v>0</v>
      </c>
      <c r="K202">
        <f>IF(AND('Entry list'!$I202=5,'Entry list'!$J202=5),'Entry list'!M202,"")</f>
        <v>0</v>
      </c>
      <c r="L202" t="str">
        <f>IF(AND('Entry list'!$I202=5,'Entry list'!$J202=5),'Entry list'!N202,"")</f>
        <v/>
      </c>
      <c r="M202">
        <f t="shared" si="9"/>
        <v>0</v>
      </c>
      <c r="N202" t="str">
        <f t="shared" si="10"/>
        <v/>
      </c>
      <c r="O202" t="str">
        <f t="shared" si="11"/>
        <v/>
      </c>
    </row>
    <row r="203" spans="1:15" x14ac:dyDescent="0.25">
      <c r="A203" t="str">
        <f>IF(AND('Entry list'!$I203=5,'Entry list'!$J203=5),'Entry list'!A203,"")</f>
        <v/>
      </c>
      <c r="B203" t="str">
        <f>IF(AND('Entry list'!$I203=5,'Entry list'!$J203=5),'Entry list'!B203,"")</f>
        <v/>
      </c>
      <c r="C203" t="str">
        <f>IF(AND('Entry list'!$I203=5,'Entry list'!$J203=5),'Entry list'!C203,"")</f>
        <v/>
      </c>
      <c r="D203" t="str">
        <f>IF(AND('Entry list'!$I203=5,'Entry list'!$J203=5),'Entry list'!D203,"")</f>
        <v/>
      </c>
      <c r="E203" t="str">
        <f>IF(AND('Entry list'!$I203=5,'Entry list'!$J203=5),'Entry list'!E203,"")</f>
        <v/>
      </c>
      <c r="F203" t="str">
        <f>IF(AND('Entry list'!$I203=5,'Entry list'!$J203=5),'Entry list'!F203,"")</f>
        <v/>
      </c>
      <c r="G203" t="str">
        <f>IF(AND('Entry list'!$I203=5,'Entry list'!$J203=5),'Entry list'!G203,"")</f>
        <v/>
      </c>
      <c r="H203" t="str">
        <f>IF(AND('Entry list'!$I203=5,'Entry list'!$J203=5),'Entry list'!H203,"")</f>
        <v/>
      </c>
      <c r="I203" t="str">
        <f>IF(AND('Entry list'!$I203=5,'Entry list'!$J203=5),'Entry list'!K203,"")</f>
        <v/>
      </c>
      <c r="J203" t="str">
        <f>IF(AND('Entry list'!$I203=5,'Entry list'!$J203=5),'Entry list'!L203,"")</f>
        <v/>
      </c>
      <c r="K203" t="str">
        <f>IF(AND('Entry list'!$I203=5,'Entry list'!$J203=5),'Entry list'!M203,"")</f>
        <v/>
      </c>
      <c r="L203" t="str">
        <f>IF(AND('Entry list'!$I203=5,'Entry list'!$J203=5),'Entry list'!N203,"")</f>
        <v/>
      </c>
      <c r="M203" t="str">
        <f t="shared" si="9"/>
        <v/>
      </c>
      <c r="N203" t="str">
        <f t="shared" si="10"/>
        <v/>
      </c>
      <c r="O203" t="str">
        <f t="shared" si="11"/>
        <v/>
      </c>
    </row>
    <row r="204" spans="1:15" x14ac:dyDescent="0.25">
      <c r="A204">
        <f>IF(AND('Entry list'!$I204=5,'Entry list'!$J204=5),'Entry list'!A204,"")</f>
        <v>2</v>
      </c>
      <c r="B204">
        <f>IF(AND('Entry list'!$I204=5,'Entry list'!$J204=5),'Entry list'!B204,"")</f>
        <v>0.56944444444444442</v>
      </c>
      <c r="C204" t="str">
        <f>IF(AND('Entry list'!$I204=5,'Entry list'!$J204=5),'Entry list'!C204,"")</f>
        <v>D</v>
      </c>
      <c r="D204" t="str">
        <f>IF(AND('Entry list'!$I204=5,'Entry list'!$J204=5),'Entry list'!D204,"")</f>
        <v>43DET</v>
      </c>
      <c r="E204" t="str">
        <f>IF(AND('Entry list'!$I204=5,'Entry list'!$J204=5),'Entry list'!E204,"")</f>
        <v>59NSH</v>
      </c>
      <c r="F204" t="str">
        <f>IF(AND('Entry list'!$I204=5,'Entry list'!$J204=5),'Entry list'!F204,"")</f>
        <v/>
      </c>
      <c r="G204" t="str">
        <f>IF(AND('Entry list'!$I204=5,'Entry list'!$J204=5),'Entry list'!G204,"")</f>
        <v>C</v>
      </c>
      <c r="H204" t="str">
        <f>IF(AND('Entry list'!$I204=5,'Entry list'!$J204=5),'Entry list'!H204,"")</f>
        <v>N</v>
      </c>
      <c r="I204" t="str">
        <f>IF(AND('Entry list'!$I204=5,'Entry list'!$J204=5),'Entry list'!K204,"")</f>
        <v/>
      </c>
      <c r="J204">
        <f>IF(AND('Entry list'!$I204=5,'Entry list'!$J204=5),'Entry list'!L204,"")</f>
        <v>0</v>
      </c>
      <c r="K204">
        <f>IF(AND('Entry list'!$I204=5,'Entry list'!$J204=5),'Entry list'!M204,"")</f>
        <v>0</v>
      </c>
      <c r="L204" t="str">
        <f>IF(AND('Entry list'!$I204=5,'Entry list'!$J204=5),'Entry list'!N204,"")</f>
        <v/>
      </c>
      <c r="M204">
        <f t="shared" si="9"/>
        <v>0</v>
      </c>
      <c r="N204" t="str">
        <f t="shared" si="10"/>
        <v/>
      </c>
      <c r="O204" t="str">
        <f t="shared" si="11"/>
        <v/>
      </c>
    </row>
    <row r="205" spans="1:15" x14ac:dyDescent="0.25">
      <c r="A205" t="str">
        <f>IF(AND('Entry list'!$I205=5,'Entry list'!$J205=5),'Entry list'!A205,"")</f>
        <v/>
      </c>
      <c r="B205" t="str">
        <f>IF(AND('Entry list'!$I205=5,'Entry list'!$J205=5),'Entry list'!B205,"")</f>
        <v/>
      </c>
      <c r="C205" t="str">
        <f>IF(AND('Entry list'!$I205=5,'Entry list'!$J205=5),'Entry list'!C205,"")</f>
        <v/>
      </c>
      <c r="D205" t="str">
        <f>IF(AND('Entry list'!$I205=5,'Entry list'!$J205=5),'Entry list'!D205,"")</f>
        <v/>
      </c>
      <c r="E205" t="str">
        <f>IF(AND('Entry list'!$I205=5,'Entry list'!$J205=5),'Entry list'!E205,"")</f>
        <v/>
      </c>
      <c r="F205" t="str">
        <f>IF(AND('Entry list'!$I205=5,'Entry list'!$J205=5),'Entry list'!F205,"")</f>
        <v/>
      </c>
      <c r="G205" t="str">
        <f>IF(AND('Entry list'!$I205=5,'Entry list'!$J205=5),'Entry list'!G205,"")</f>
        <v/>
      </c>
      <c r="H205" t="str">
        <f>IF(AND('Entry list'!$I205=5,'Entry list'!$J205=5),'Entry list'!H205,"")</f>
        <v/>
      </c>
      <c r="I205" t="str">
        <f>IF(AND('Entry list'!$I205=5,'Entry list'!$J205=5),'Entry list'!K205,"")</f>
        <v/>
      </c>
      <c r="J205" t="str">
        <f>IF(AND('Entry list'!$I205=5,'Entry list'!$J205=5),'Entry list'!L205,"")</f>
        <v/>
      </c>
      <c r="K205" t="str">
        <f>IF(AND('Entry list'!$I205=5,'Entry list'!$J205=5),'Entry list'!M205,"")</f>
        <v/>
      </c>
      <c r="L205" t="str">
        <f>IF(AND('Entry list'!$I205=5,'Entry list'!$J205=5),'Entry list'!N205,"")</f>
        <v/>
      </c>
      <c r="M205" t="str">
        <f t="shared" si="9"/>
        <v/>
      </c>
      <c r="N205" t="str">
        <f t="shared" si="10"/>
        <v/>
      </c>
      <c r="O205" t="str">
        <f t="shared" si="11"/>
        <v/>
      </c>
    </row>
    <row r="206" spans="1:15" x14ac:dyDescent="0.25">
      <c r="A206">
        <f>IF(AND('Entry list'!$I206=5,'Entry list'!$J206=5),'Entry list'!A206,"")</f>
        <v>2</v>
      </c>
      <c r="B206">
        <f>IF(AND('Entry list'!$I206=5,'Entry list'!$J206=5),'Entry list'!B206,"")</f>
        <v>0.5625</v>
      </c>
      <c r="C206" t="str">
        <f>IF(AND('Entry list'!$I206=5,'Entry list'!$J206=5),'Entry list'!C206,"")</f>
        <v>D</v>
      </c>
      <c r="D206" t="str">
        <f>IF(AND('Entry list'!$I206=5,'Entry list'!$J206=5),'Entry list'!D206,"")</f>
        <v>43DET</v>
      </c>
      <c r="E206" t="str">
        <f>IF(AND('Entry list'!$I206=5,'Entry list'!$J206=5),'Entry list'!E206,"")</f>
        <v>12NSH</v>
      </c>
      <c r="F206" t="str">
        <f>IF(AND('Entry list'!$I206=5,'Entry list'!$J206=5),'Entry list'!F206,"")</f>
        <v/>
      </c>
      <c r="G206" t="str">
        <f>IF(AND('Entry list'!$I206=5,'Entry list'!$J206=5),'Entry list'!G206,"")</f>
        <v>C</v>
      </c>
      <c r="H206" t="str">
        <f>IF(AND('Entry list'!$I206=5,'Entry list'!$J206=5),'Entry list'!H206,"")</f>
        <v>N</v>
      </c>
      <c r="I206" t="str">
        <f>IF(AND('Entry list'!$I206=5,'Entry list'!$J206=5),'Entry list'!K206,"")</f>
        <v/>
      </c>
      <c r="J206">
        <f>IF(AND('Entry list'!$I206=5,'Entry list'!$J206=5),'Entry list'!L206,"")</f>
        <v>0</v>
      </c>
      <c r="K206">
        <f>IF(AND('Entry list'!$I206=5,'Entry list'!$J206=5),'Entry list'!M206,"")</f>
        <v>0</v>
      </c>
      <c r="L206" t="str">
        <f>IF(AND('Entry list'!$I206=5,'Entry list'!$J206=5),'Entry list'!N206,"")</f>
        <v/>
      </c>
      <c r="M206">
        <f t="shared" si="9"/>
        <v>0</v>
      </c>
      <c r="N206" t="str">
        <f t="shared" si="10"/>
        <v/>
      </c>
      <c r="O206" t="str">
        <f t="shared" si="11"/>
        <v/>
      </c>
    </row>
    <row r="207" spans="1:15" x14ac:dyDescent="0.25">
      <c r="A207">
        <f>IF(AND('Entry list'!$I207=5,'Entry list'!$J207=5),'Entry list'!A207,"")</f>
        <v>2</v>
      </c>
      <c r="B207">
        <f>IF(AND('Entry list'!$I207=5,'Entry list'!$J207=5),'Entry list'!B207,"")</f>
        <v>0.55347222222222225</v>
      </c>
      <c r="C207" t="str">
        <f>IF(AND('Entry list'!$I207=5,'Entry list'!$J207=5),'Entry list'!C207,"")</f>
        <v>D</v>
      </c>
      <c r="D207" t="str">
        <f>IF(AND('Entry list'!$I207=5,'Entry list'!$J207=5),'Entry list'!D207,"")</f>
        <v>12NSH</v>
      </c>
      <c r="E207" t="str">
        <f>IF(AND('Entry list'!$I207=5,'Entry list'!$J207=5),'Entry list'!E207,"")</f>
        <v>48DET</v>
      </c>
      <c r="F207" t="str">
        <f>IF(AND('Entry list'!$I207=5,'Entry list'!$J207=5),'Entry list'!F207,"")</f>
        <v/>
      </c>
      <c r="G207" t="str">
        <f>IF(AND('Entry list'!$I207=5,'Entry list'!$J207=5),'Entry list'!G207,"")</f>
        <v>L</v>
      </c>
      <c r="H207" t="str">
        <f>IF(AND('Entry list'!$I207=5,'Entry list'!$J207=5),'Entry list'!H207,"")</f>
        <v>56NSH</v>
      </c>
      <c r="I207" t="str">
        <f>IF(AND('Entry list'!$I207=5,'Entry list'!$J207=5),'Entry list'!K207,"")</f>
        <v/>
      </c>
      <c r="J207">
        <f>IF(AND('Entry list'!$I207=5,'Entry list'!$J207=5),'Entry list'!L207,"")</f>
        <v>0</v>
      </c>
      <c r="K207">
        <f>IF(AND('Entry list'!$I207=5,'Entry list'!$J207=5),'Entry list'!M207,"")</f>
        <v>0</v>
      </c>
      <c r="L207" t="str">
        <f>IF(AND('Entry list'!$I207=5,'Entry list'!$J207=5),'Entry list'!N207,"")</f>
        <v/>
      </c>
      <c r="M207">
        <f t="shared" si="9"/>
        <v>0</v>
      </c>
      <c r="N207" t="str">
        <f t="shared" si="10"/>
        <v/>
      </c>
      <c r="O207" t="str">
        <f t="shared" si="11"/>
        <v/>
      </c>
    </row>
    <row r="208" spans="1:15" x14ac:dyDescent="0.25">
      <c r="A208" t="str">
        <f>IF(AND('Entry list'!$I208=5,'Entry list'!$J208=5),'Entry list'!A208,"")</f>
        <v/>
      </c>
      <c r="B208" t="str">
        <f>IF(AND('Entry list'!$I208=5,'Entry list'!$J208=5),'Entry list'!B208,"")</f>
        <v/>
      </c>
      <c r="C208" t="str">
        <f>IF(AND('Entry list'!$I208=5,'Entry list'!$J208=5),'Entry list'!C208,"")</f>
        <v/>
      </c>
      <c r="D208" t="str">
        <f>IF(AND('Entry list'!$I208=5,'Entry list'!$J208=5),'Entry list'!D208,"")</f>
        <v/>
      </c>
      <c r="E208" t="str">
        <f>IF(AND('Entry list'!$I208=5,'Entry list'!$J208=5),'Entry list'!E208,"")</f>
        <v/>
      </c>
      <c r="F208" t="str">
        <f>IF(AND('Entry list'!$I208=5,'Entry list'!$J208=5),'Entry list'!F208,"")</f>
        <v/>
      </c>
      <c r="G208" t="str">
        <f>IF(AND('Entry list'!$I208=5,'Entry list'!$J208=5),'Entry list'!G208,"")</f>
        <v/>
      </c>
      <c r="H208" t="str">
        <f>IF(AND('Entry list'!$I208=5,'Entry list'!$J208=5),'Entry list'!H208,"")</f>
        <v/>
      </c>
      <c r="I208" t="str">
        <f>IF(AND('Entry list'!$I208=5,'Entry list'!$J208=5),'Entry list'!K208,"")</f>
        <v/>
      </c>
      <c r="J208" t="str">
        <f>IF(AND('Entry list'!$I208=5,'Entry list'!$J208=5),'Entry list'!L208,"")</f>
        <v/>
      </c>
      <c r="K208" t="str">
        <f>IF(AND('Entry list'!$I208=5,'Entry list'!$J208=5),'Entry list'!M208,"")</f>
        <v/>
      </c>
      <c r="L208" t="str">
        <f>IF(AND('Entry list'!$I208=5,'Entry list'!$J208=5),'Entry list'!N208,"")</f>
        <v/>
      </c>
      <c r="M208" t="str">
        <f t="shared" si="9"/>
        <v/>
      </c>
      <c r="N208" t="str">
        <f t="shared" si="10"/>
        <v/>
      </c>
      <c r="O208" t="str">
        <f t="shared" si="11"/>
        <v/>
      </c>
    </row>
    <row r="209" spans="1:15" x14ac:dyDescent="0.25">
      <c r="A209" t="str">
        <f>IF(AND('Entry list'!$I209=5,'Entry list'!$J209=5),'Entry list'!A209,"")</f>
        <v/>
      </c>
      <c r="B209" t="str">
        <f>IF(AND('Entry list'!$I209=5,'Entry list'!$J209=5),'Entry list'!B209,"")</f>
        <v/>
      </c>
      <c r="C209" t="str">
        <f>IF(AND('Entry list'!$I209=5,'Entry list'!$J209=5),'Entry list'!C209,"")</f>
        <v/>
      </c>
      <c r="D209" t="str">
        <f>IF(AND('Entry list'!$I209=5,'Entry list'!$J209=5),'Entry list'!D209,"")</f>
        <v/>
      </c>
      <c r="E209" t="str">
        <f>IF(AND('Entry list'!$I209=5,'Entry list'!$J209=5),'Entry list'!E209,"")</f>
        <v/>
      </c>
      <c r="F209" t="str">
        <f>IF(AND('Entry list'!$I209=5,'Entry list'!$J209=5),'Entry list'!F209,"")</f>
        <v/>
      </c>
      <c r="G209" t="str">
        <f>IF(AND('Entry list'!$I209=5,'Entry list'!$J209=5),'Entry list'!G209,"")</f>
        <v/>
      </c>
      <c r="H209" t="str">
        <f>IF(AND('Entry list'!$I209=5,'Entry list'!$J209=5),'Entry list'!H209,"")</f>
        <v/>
      </c>
      <c r="I209" t="str">
        <f>IF(AND('Entry list'!$I209=5,'Entry list'!$J209=5),'Entry list'!K209,"")</f>
        <v/>
      </c>
      <c r="J209" t="str">
        <f>IF(AND('Entry list'!$I209=5,'Entry list'!$J209=5),'Entry list'!L209,"")</f>
        <v/>
      </c>
      <c r="K209" t="str">
        <f>IF(AND('Entry list'!$I209=5,'Entry list'!$J209=5),'Entry list'!M209,"")</f>
        <v/>
      </c>
      <c r="L209" t="str">
        <f>IF(AND('Entry list'!$I209=5,'Entry list'!$J209=5),'Entry list'!N209,"")</f>
        <v/>
      </c>
      <c r="M209" t="str">
        <f t="shared" si="9"/>
        <v/>
      </c>
      <c r="N209" t="str">
        <f t="shared" si="10"/>
        <v/>
      </c>
      <c r="O209" t="str">
        <f t="shared" si="11"/>
        <v/>
      </c>
    </row>
    <row r="210" spans="1:15" x14ac:dyDescent="0.25">
      <c r="A210">
        <f>IF(AND('Entry list'!$I210=5,'Entry list'!$J210=5),'Entry list'!A210,"")</f>
        <v>2</v>
      </c>
      <c r="B210">
        <f>IF(AND('Entry list'!$I210=5,'Entry list'!$J210=5),'Entry list'!B210,"")</f>
        <v>0.54791666666666672</v>
      </c>
      <c r="C210" t="str">
        <f>IF(AND('Entry list'!$I210=5,'Entry list'!$J210=5),'Entry list'!C210,"")</f>
        <v>FAC</v>
      </c>
      <c r="D210" t="str">
        <f>IF(AND('Entry list'!$I210=5,'Entry list'!$J210=5),'Entry list'!D210,"")</f>
        <v>DZF</v>
      </c>
      <c r="E210" t="str">
        <f>IF(AND('Entry list'!$I210=5,'Entry list'!$J210=5),'Entry list'!E210,"")</f>
        <v/>
      </c>
      <c r="F210" t="str">
        <f>IF(AND('Entry list'!$I210=5,'Entry list'!$J210=5),'Entry list'!F210,"")</f>
        <v/>
      </c>
      <c r="G210" t="str">
        <f>IF(AND('Entry list'!$I210=5,'Entry list'!$J210=5),'Entry list'!G210,"")</f>
        <v/>
      </c>
      <c r="H210" t="str">
        <f>IF(AND('Entry list'!$I210=5,'Entry list'!$J210=5),'Entry list'!H210,"")</f>
        <v/>
      </c>
      <c r="I210" t="str">
        <f>IF(AND('Entry list'!$I210=5,'Entry list'!$J210=5),'Entry list'!K210,"")</f>
        <v/>
      </c>
      <c r="J210">
        <f>IF(AND('Entry list'!$I210=5,'Entry list'!$J210=5),'Entry list'!L210,"")</f>
        <v>0</v>
      </c>
      <c r="K210">
        <f>IF(AND('Entry list'!$I210=5,'Entry list'!$J210=5),'Entry list'!M210,"")</f>
        <v>0</v>
      </c>
      <c r="L210" t="str">
        <f>IF(AND('Entry list'!$I210=5,'Entry list'!$J210=5),'Entry list'!N210,"")</f>
        <v/>
      </c>
      <c r="M210">
        <f t="shared" si="9"/>
        <v>0</v>
      </c>
      <c r="N210" t="str">
        <f t="shared" si="10"/>
        <v/>
      </c>
      <c r="O210" t="str">
        <f t="shared" si="11"/>
        <v/>
      </c>
    </row>
    <row r="211" spans="1:15" x14ac:dyDescent="0.25">
      <c r="A211" t="str">
        <f>IF(AND('Entry list'!$I211=5,'Entry list'!$J211=5),'Entry list'!A211,"")</f>
        <v/>
      </c>
      <c r="B211" t="str">
        <f>IF(AND('Entry list'!$I211=5,'Entry list'!$J211=5),'Entry list'!B211,"")</f>
        <v/>
      </c>
      <c r="C211" t="str">
        <f>IF(AND('Entry list'!$I211=5,'Entry list'!$J211=5),'Entry list'!C211,"")</f>
        <v/>
      </c>
      <c r="D211" t="str">
        <f>IF(AND('Entry list'!$I211=5,'Entry list'!$J211=5),'Entry list'!D211,"")</f>
        <v/>
      </c>
      <c r="E211" t="str">
        <f>IF(AND('Entry list'!$I211=5,'Entry list'!$J211=5),'Entry list'!E211,"")</f>
        <v/>
      </c>
      <c r="F211" t="str">
        <f>IF(AND('Entry list'!$I211=5,'Entry list'!$J211=5),'Entry list'!F211,"")</f>
        <v/>
      </c>
      <c r="G211" t="str">
        <f>IF(AND('Entry list'!$I211=5,'Entry list'!$J211=5),'Entry list'!G211,"")</f>
        <v/>
      </c>
      <c r="H211" t="str">
        <f>IF(AND('Entry list'!$I211=5,'Entry list'!$J211=5),'Entry list'!H211,"")</f>
        <v/>
      </c>
      <c r="I211" t="str">
        <f>IF(AND('Entry list'!$I211=5,'Entry list'!$J211=5),'Entry list'!K211,"")</f>
        <v/>
      </c>
      <c r="J211" t="str">
        <f>IF(AND('Entry list'!$I211=5,'Entry list'!$J211=5),'Entry list'!L211,"")</f>
        <v/>
      </c>
      <c r="K211" t="str">
        <f>IF(AND('Entry list'!$I211=5,'Entry list'!$J211=5),'Entry list'!M211,"")</f>
        <v/>
      </c>
      <c r="L211" t="str">
        <f>IF(AND('Entry list'!$I211=5,'Entry list'!$J211=5),'Entry list'!N211,"")</f>
        <v/>
      </c>
      <c r="M211" t="str">
        <f t="shared" si="9"/>
        <v/>
      </c>
      <c r="N211" t="str">
        <f t="shared" si="10"/>
        <v/>
      </c>
      <c r="O211" t="str">
        <f t="shared" si="11"/>
        <v/>
      </c>
    </row>
    <row r="212" spans="1:15" x14ac:dyDescent="0.25">
      <c r="A212" t="str">
        <f>IF(AND('Entry list'!$I212=5,'Entry list'!$J212=5),'Entry list'!A212,"")</f>
        <v/>
      </c>
      <c r="B212" t="str">
        <f>IF(AND('Entry list'!$I212=5,'Entry list'!$J212=5),'Entry list'!B212,"")</f>
        <v/>
      </c>
      <c r="C212" t="str">
        <f>IF(AND('Entry list'!$I212=5,'Entry list'!$J212=5),'Entry list'!C212,"")</f>
        <v/>
      </c>
      <c r="D212" t="str">
        <f>IF(AND('Entry list'!$I212=5,'Entry list'!$J212=5),'Entry list'!D212,"")</f>
        <v/>
      </c>
      <c r="E212" t="str">
        <f>IF(AND('Entry list'!$I212=5,'Entry list'!$J212=5),'Entry list'!E212,"")</f>
        <v/>
      </c>
      <c r="F212" t="str">
        <f>IF(AND('Entry list'!$I212=5,'Entry list'!$J212=5),'Entry list'!F212,"")</f>
        <v/>
      </c>
      <c r="G212" t="str">
        <f>IF(AND('Entry list'!$I212=5,'Entry list'!$J212=5),'Entry list'!G212,"")</f>
        <v/>
      </c>
      <c r="H212" t="str">
        <f>IF(AND('Entry list'!$I212=5,'Entry list'!$J212=5),'Entry list'!H212,"")</f>
        <v/>
      </c>
      <c r="I212" t="str">
        <f>IF(AND('Entry list'!$I212=5,'Entry list'!$J212=5),'Entry list'!K212,"")</f>
        <v/>
      </c>
      <c r="J212" t="str">
        <f>IF(AND('Entry list'!$I212=5,'Entry list'!$J212=5),'Entry list'!L212,"")</f>
        <v/>
      </c>
      <c r="K212" t="str">
        <f>IF(AND('Entry list'!$I212=5,'Entry list'!$J212=5),'Entry list'!M212,"")</f>
        <v/>
      </c>
      <c r="L212" t="str">
        <f>IF(AND('Entry list'!$I212=5,'Entry list'!$J212=5),'Entry list'!N212,"")</f>
        <v/>
      </c>
      <c r="M212" t="str">
        <f t="shared" si="9"/>
        <v/>
      </c>
      <c r="N212" t="str">
        <f t="shared" si="10"/>
        <v/>
      </c>
      <c r="O212" t="str">
        <f t="shared" si="11"/>
        <v/>
      </c>
    </row>
    <row r="213" spans="1:15" x14ac:dyDescent="0.25">
      <c r="A213">
        <f>IF(AND('Entry list'!$I213=5,'Entry list'!$J213=5),'Entry list'!A213,"")</f>
        <v>2</v>
      </c>
      <c r="B213">
        <f>IF(AND('Entry list'!$I213=5,'Entry list'!$J213=5),'Entry list'!B213,"")</f>
        <v>0.53194444444444444</v>
      </c>
      <c r="C213" t="str">
        <f>IF(AND('Entry list'!$I213=5,'Entry list'!$J213=5),'Entry list'!C213,"")</f>
        <v>C</v>
      </c>
      <c r="D213" t="str">
        <f>IF(AND('Entry list'!$I213=5,'Entry list'!$J213=5),'Entry list'!D213,"")</f>
        <v>21DET</v>
      </c>
      <c r="E213" t="str">
        <f>IF(AND('Entry list'!$I213=5,'Entry list'!$J213=5),'Entry list'!E213,"")</f>
        <v>19NSH</v>
      </c>
      <c r="F213" t="str">
        <f>IF(AND('Entry list'!$I213=5,'Entry list'!$J213=5),'Entry list'!F213,"")</f>
        <v>N</v>
      </c>
      <c r="G213" t="str">
        <f>IF(AND('Entry list'!$I213=5,'Entry list'!$J213=5),'Entry list'!G213,"")</f>
        <v>C</v>
      </c>
      <c r="H213" t="str">
        <f>IF(AND('Entry list'!$I213=5,'Entry list'!$J213=5),'Entry list'!H213,"")</f>
        <v>N</v>
      </c>
      <c r="I213" t="str">
        <f>IF(AND('Entry list'!$I213=5,'Entry list'!$J213=5),'Entry list'!K213,"")</f>
        <v>21DET</v>
      </c>
      <c r="J213">
        <f>IF(AND('Entry list'!$I213=5,'Entry list'!$J213=5),'Entry list'!L213,"")</f>
        <v>1</v>
      </c>
      <c r="K213">
        <f>IF(AND('Entry list'!$I213=5,'Entry list'!$J213=5),'Entry list'!M213,"")</f>
        <v>0</v>
      </c>
      <c r="L213" t="str">
        <f>IF(AND('Entry list'!$I213=5,'Entry list'!$J213=5),'Entry list'!N213,"")</f>
        <v/>
      </c>
      <c r="M213">
        <f t="shared" si="9"/>
        <v>0</v>
      </c>
      <c r="N213">
        <f t="shared" si="10"/>
        <v>0</v>
      </c>
      <c r="O213" t="str">
        <f t="shared" si="11"/>
        <v/>
      </c>
    </row>
    <row r="214" spans="1:15" x14ac:dyDescent="0.25">
      <c r="A214" t="str">
        <f>IF(AND('Entry list'!$I214=5,'Entry list'!$J214=5),'Entry list'!A214,"")</f>
        <v/>
      </c>
      <c r="B214" t="str">
        <f>IF(AND('Entry list'!$I214=5,'Entry list'!$J214=5),'Entry list'!B214,"")</f>
        <v/>
      </c>
      <c r="C214" t="str">
        <f>IF(AND('Entry list'!$I214=5,'Entry list'!$J214=5),'Entry list'!C214,"")</f>
        <v/>
      </c>
      <c r="D214" t="str">
        <f>IF(AND('Entry list'!$I214=5,'Entry list'!$J214=5),'Entry list'!D214,"")</f>
        <v/>
      </c>
      <c r="E214" t="str">
        <f>IF(AND('Entry list'!$I214=5,'Entry list'!$J214=5),'Entry list'!E214,"")</f>
        <v/>
      </c>
      <c r="F214" t="str">
        <f>IF(AND('Entry list'!$I214=5,'Entry list'!$J214=5),'Entry list'!F214,"")</f>
        <v/>
      </c>
      <c r="G214" t="str">
        <f>IF(AND('Entry list'!$I214=5,'Entry list'!$J214=5),'Entry list'!G214,"")</f>
        <v/>
      </c>
      <c r="H214" t="str">
        <f>IF(AND('Entry list'!$I214=5,'Entry list'!$J214=5),'Entry list'!H214,"")</f>
        <v/>
      </c>
      <c r="I214" t="str">
        <f>IF(AND('Entry list'!$I214=5,'Entry list'!$J214=5),'Entry list'!K214,"")</f>
        <v/>
      </c>
      <c r="J214" t="str">
        <f>IF(AND('Entry list'!$I214=5,'Entry list'!$J214=5),'Entry list'!L214,"")</f>
        <v/>
      </c>
      <c r="K214" t="str">
        <f>IF(AND('Entry list'!$I214=5,'Entry list'!$J214=5),'Entry list'!M214,"")</f>
        <v/>
      </c>
      <c r="L214" t="str">
        <f>IF(AND('Entry list'!$I214=5,'Entry list'!$J214=5),'Entry list'!N214,"")</f>
        <v/>
      </c>
      <c r="M214" t="str">
        <f t="shared" si="9"/>
        <v/>
      </c>
      <c r="N214" t="str">
        <f t="shared" si="10"/>
        <v/>
      </c>
      <c r="O214" t="str">
        <f t="shared" si="11"/>
        <v/>
      </c>
    </row>
    <row r="215" spans="1:15" x14ac:dyDescent="0.25">
      <c r="A215" t="str">
        <f>IF(AND('Entry list'!$I215=5,'Entry list'!$J215=5),'Entry list'!A215,"")</f>
        <v/>
      </c>
      <c r="B215" t="str">
        <f>IF(AND('Entry list'!$I215=5,'Entry list'!$J215=5),'Entry list'!B215,"")</f>
        <v/>
      </c>
      <c r="C215" t="str">
        <f>IF(AND('Entry list'!$I215=5,'Entry list'!$J215=5),'Entry list'!C215,"")</f>
        <v/>
      </c>
      <c r="D215" t="str">
        <f>IF(AND('Entry list'!$I215=5,'Entry list'!$J215=5),'Entry list'!D215,"")</f>
        <v/>
      </c>
      <c r="E215" t="str">
        <f>IF(AND('Entry list'!$I215=5,'Entry list'!$J215=5),'Entry list'!E215,"")</f>
        <v/>
      </c>
      <c r="F215" t="str">
        <f>IF(AND('Entry list'!$I215=5,'Entry list'!$J215=5),'Entry list'!F215,"")</f>
        <v/>
      </c>
      <c r="G215" t="str">
        <f>IF(AND('Entry list'!$I215=5,'Entry list'!$J215=5),'Entry list'!G215,"")</f>
        <v/>
      </c>
      <c r="H215" t="str">
        <f>IF(AND('Entry list'!$I215=5,'Entry list'!$J215=5),'Entry list'!H215,"")</f>
        <v/>
      </c>
      <c r="I215" t="str">
        <f>IF(AND('Entry list'!$I215=5,'Entry list'!$J215=5),'Entry list'!K215,"")</f>
        <v/>
      </c>
      <c r="J215" t="str">
        <f>IF(AND('Entry list'!$I215=5,'Entry list'!$J215=5),'Entry list'!L215,"")</f>
        <v/>
      </c>
      <c r="K215" t="str">
        <f>IF(AND('Entry list'!$I215=5,'Entry list'!$J215=5),'Entry list'!M215,"")</f>
        <v/>
      </c>
      <c r="L215" t="str">
        <f>IF(AND('Entry list'!$I215=5,'Entry list'!$J215=5),'Entry list'!N215,"")</f>
        <v/>
      </c>
      <c r="M215" t="str">
        <f t="shared" si="9"/>
        <v/>
      </c>
      <c r="N215" t="str">
        <f t="shared" si="10"/>
        <v/>
      </c>
      <c r="O215" t="str">
        <f t="shared" si="11"/>
        <v/>
      </c>
    </row>
    <row r="216" spans="1:15" x14ac:dyDescent="0.25">
      <c r="A216">
        <f>IF(AND('Entry list'!$I216=5,'Entry list'!$J216=5),'Entry list'!A216,"")</f>
        <v>2</v>
      </c>
      <c r="B216">
        <f>IF(AND('Entry list'!$I216=5,'Entry list'!$J216=5),'Entry list'!B216,"")</f>
        <v>0.52638888888888902</v>
      </c>
      <c r="C216" t="str">
        <f>IF(AND('Entry list'!$I216=5,'Entry list'!$J216=5),'Entry list'!C216,"")</f>
        <v>FAC</v>
      </c>
      <c r="D216" t="str">
        <f>IF(AND('Entry list'!$I216=5,'Entry list'!$J216=5),'Entry list'!D216,"")</f>
        <v>OZF</v>
      </c>
      <c r="E216" t="str">
        <f>IF(AND('Entry list'!$I216=5,'Entry list'!$J216=5),'Entry list'!E216,"")</f>
        <v/>
      </c>
      <c r="F216" t="str">
        <f>IF(AND('Entry list'!$I216=5,'Entry list'!$J216=5),'Entry list'!F216,"")</f>
        <v/>
      </c>
      <c r="G216" t="str">
        <f>IF(AND('Entry list'!$I216=5,'Entry list'!$J216=5),'Entry list'!G216,"")</f>
        <v/>
      </c>
      <c r="H216" t="str">
        <f>IF(AND('Entry list'!$I216=5,'Entry list'!$J216=5),'Entry list'!H216,"")</f>
        <v/>
      </c>
      <c r="I216" t="str">
        <f>IF(AND('Entry list'!$I216=5,'Entry list'!$J216=5),'Entry list'!K216,"")</f>
        <v/>
      </c>
      <c r="J216">
        <f>IF(AND('Entry list'!$I216=5,'Entry list'!$J216=5),'Entry list'!L216,"")</f>
        <v>0</v>
      </c>
      <c r="K216">
        <f>IF(AND('Entry list'!$I216=5,'Entry list'!$J216=5),'Entry list'!M216,"")</f>
        <v>0</v>
      </c>
      <c r="L216" t="str">
        <f>IF(AND('Entry list'!$I216=5,'Entry list'!$J216=5),'Entry list'!N216,"")</f>
        <v/>
      </c>
      <c r="M216">
        <f t="shared" si="9"/>
        <v>0</v>
      </c>
      <c r="N216" t="str">
        <f t="shared" si="10"/>
        <v/>
      </c>
      <c r="O216" t="str">
        <f t="shared" si="11"/>
        <v/>
      </c>
    </row>
    <row r="217" spans="1:15" x14ac:dyDescent="0.25">
      <c r="A217">
        <f>IF(AND('Entry list'!$I217=5,'Entry list'!$J217=5),'Entry list'!A217,"")</f>
        <v>2</v>
      </c>
      <c r="B217">
        <f>IF(AND('Entry list'!$I217=5,'Entry list'!$J217=5),'Entry list'!B217,"")</f>
        <v>0.51666666666666672</v>
      </c>
      <c r="C217" t="str">
        <f>IF(AND('Entry list'!$I217=5,'Entry list'!$J217=5),'Entry list'!C217,"")</f>
        <v>D</v>
      </c>
      <c r="D217" t="str">
        <f>IF(AND('Entry list'!$I217=5,'Entry list'!$J217=5),'Entry list'!D217,"")</f>
        <v>41DET</v>
      </c>
      <c r="E217" t="str">
        <f>IF(AND('Entry list'!$I217=5,'Entry list'!$J217=5),'Entry list'!E217,"")</f>
        <v>25NSH</v>
      </c>
      <c r="F217" t="str">
        <f>IF(AND('Entry list'!$I217=5,'Entry list'!$J217=5),'Entry list'!F217,"")</f>
        <v/>
      </c>
      <c r="G217" t="str">
        <f>IF(AND('Entry list'!$I217=5,'Entry list'!$J217=5),'Entry list'!G217,"")</f>
        <v>C</v>
      </c>
      <c r="H217" t="str">
        <f>IF(AND('Entry list'!$I217=5,'Entry list'!$J217=5),'Entry list'!H217,"")</f>
        <v>20DET</v>
      </c>
      <c r="I217" t="str">
        <f>IF(AND('Entry list'!$I217=5,'Entry list'!$J217=5),'Entry list'!K217,"")</f>
        <v/>
      </c>
      <c r="J217">
        <f>IF(AND('Entry list'!$I217=5,'Entry list'!$J217=5),'Entry list'!L217,"")</f>
        <v>1</v>
      </c>
      <c r="K217">
        <f>IF(AND('Entry list'!$I217=5,'Entry list'!$J217=5),'Entry list'!M217,"")</f>
        <v>0</v>
      </c>
      <c r="L217" t="str">
        <f>IF(AND('Entry list'!$I217=5,'Entry list'!$J217=5),'Entry list'!N217,"")</f>
        <v/>
      </c>
      <c r="M217">
        <f t="shared" si="9"/>
        <v>0</v>
      </c>
      <c r="N217" t="str">
        <f t="shared" si="10"/>
        <v/>
      </c>
      <c r="O217" t="str">
        <f t="shared" si="11"/>
        <v/>
      </c>
    </row>
    <row r="218" spans="1:15" x14ac:dyDescent="0.25">
      <c r="A218" t="str">
        <f>IF(AND('Entry list'!$I218=5,'Entry list'!$J218=5),'Entry list'!A218,"")</f>
        <v/>
      </c>
      <c r="B218" t="str">
        <f>IF(AND('Entry list'!$I218=5,'Entry list'!$J218=5),'Entry list'!B218,"")</f>
        <v/>
      </c>
      <c r="C218" t="str">
        <f>IF(AND('Entry list'!$I218=5,'Entry list'!$J218=5),'Entry list'!C218,"")</f>
        <v/>
      </c>
      <c r="D218" t="str">
        <f>IF(AND('Entry list'!$I218=5,'Entry list'!$J218=5),'Entry list'!D218,"")</f>
        <v/>
      </c>
      <c r="E218" t="str">
        <f>IF(AND('Entry list'!$I218=5,'Entry list'!$J218=5),'Entry list'!E218,"")</f>
        <v/>
      </c>
      <c r="F218" t="str">
        <f>IF(AND('Entry list'!$I218=5,'Entry list'!$J218=5),'Entry list'!F218,"")</f>
        <v/>
      </c>
      <c r="G218" t="str">
        <f>IF(AND('Entry list'!$I218=5,'Entry list'!$J218=5),'Entry list'!G218,"")</f>
        <v/>
      </c>
      <c r="H218" t="str">
        <f>IF(AND('Entry list'!$I218=5,'Entry list'!$J218=5),'Entry list'!H218,"")</f>
        <v/>
      </c>
      <c r="I218" t="str">
        <f>IF(AND('Entry list'!$I218=5,'Entry list'!$J218=5),'Entry list'!K218,"")</f>
        <v/>
      </c>
      <c r="J218" t="str">
        <f>IF(AND('Entry list'!$I218=5,'Entry list'!$J218=5),'Entry list'!L218,"")</f>
        <v/>
      </c>
      <c r="K218" t="str">
        <f>IF(AND('Entry list'!$I218=5,'Entry list'!$J218=5),'Entry list'!M218,"")</f>
        <v/>
      </c>
      <c r="L218" t="str">
        <f>IF(AND('Entry list'!$I218=5,'Entry list'!$J218=5),'Entry list'!N218,"")</f>
        <v/>
      </c>
      <c r="M218" t="str">
        <f t="shared" si="9"/>
        <v/>
      </c>
      <c r="N218" t="str">
        <f t="shared" si="10"/>
        <v/>
      </c>
      <c r="O218" t="str">
        <f t="shared" si="11"/>
        <v/>
      </c>
    </row>
    <row r="219" spans="1:15" x14ac:dyDescent="0.25">
      <c r="A219" t="str">
        <f>IF(AND('Entry list'!$I219=5,'Entry list'!$J219=5),'Entry list'!A219,"")</f>
        <v/>
      </c>
      <c r="B219" t="str">
        <f>IF(AND('Entry list'!$I219=5,'Entry list'!$J219=5),'Entry list'!B219,"")</f>
        <v/>
      </c>
      <c r="C219" t="str">
        <f>IF(AND('Entry list'!$I219=5,'Entry list'!$J219=5),'Entry list'!C219,"")</f>
        <v/>
      </c>
      <c r="D219" t="str">
        <f>IF(AND('Entry list'!$I219=5,'Entry list'!$J219=5),'Entry list'!D219,"")</f>
        <v/>
      </c>
      <c r="E219" t="str">
        <f>IF(AND('Entry list'!$I219=5,'Entry list'!$J219=5),'Entry list'!E219,"")</f>
        <v/>
      </c>
      <c r="F219" t="str">
        <f>IF(AND('Entry list'!$I219=5,'Entry list'!$J219=5),'Entry list'!F219,"")</f>
        <v/>
      </c>
      <c r="G219" t="str">
        <f>IF(AND('Entry list'!$I219=5,'Entry list'!$J219=5),'Entry list'!G219,"")</f>
        <v/>
      </c>
      <c r="H219" t="str">
        <f>IF(AND('Entry list'!$I219=5,'Entry list'!$J219=5),'Entry list'!H219,"")</f>
        <v/>
      </c>
      <c r="I219" t="str">
        <f>IF(AND('Entry list'!$I219=5,'Entry list'!$J219=5),'Entry list'!K219,"")</f>
        <v/>
      </c>
      <c r="J219" t="str">
        <f>IF(AND('Entry list'!$I219=5,'Entry list'!$J219=5),'Entry list'!L219,"")</f>
        <v/>
      </c>
      <c r="K219" t="str">
        <f>IF(AND('Entry list'!$I219=5,'Entry list'!$J219=5),'Entry list'!M219,"")</f>
        <v/>
      </c>
      <c r="L219" t="str">
        <f>IF(AND('Entry list'!$I219=5,'Entry list'!$J219=5),'Entry list'!N219,"")</f>
        <v/>
      </c>
      <c r="M219" t="str">
        <f t="shared" si="9"/>
        <v/>
      </c>
      <c r="N219" t="str">
        <f t="shared" si="10"/>
        <v/>
      </c>
      <c r="O219" t="str">
        <f t="shared" si="11"/>
        <v/>
      </c>
    </row>
    <row r="220" spans="1:15" x14ac:dyDescent="0.25">
      <c r="A220" t="str">
        <f>IF(AND('Entry list'!$I220=5,'Entry list'!$J220=5),'Entry list'!A220,"")</f>
        <v/>
      </c>
      <c r="B220" t="str">
        <f>IF(AND('Entry list'!$I220=5,'Entry list'!$J220=5),'Entry list'!B220,"")</f>
        <v/>
      </c>
      <c r="C220" t="str">
        <f>IF(AND('Entry list'!$I220=5,'Entry list'!$J220=5),'Entry list'!C220,"")</f>
        <v/>
      </c>
      <c r="D220" t="str">
        <f>IF(AND('Entry list'!$I220=5,'Entry list'!$J220=5),'Entry list'!D220,"")</f>
        <v/>
      </c>
      <c r="E220" t="str">
        <f>IF(AND('Entry list'!$I220=5,'Entry list'!$J220=5),'Entry list'!E220,"")</f>
        <v/>
      </c>
      <c r="F220" t="str">
        <f>IF(AND('Entry list'!$I220=5,'Entry list'!$J220=5),'Entry list'!F220,"")</f>
        <v/>
      </c>
      <c r="G220" t="str">
        <f>IF(AND('Entry list'!$I220=5,'Entry list'!$J220=5),'Entry list'!G220,"")</f>
        <v/>
      </c>
      <c r="H220" t="str">
        <f>IF(AND('Entry list'!$I220=5,'Entry list'!$J220=5),'Entry list'!H220,"")</f>
        <v/>
      </c>
      <c r="I220" t="str">
        <f>IF(AND('Entry list'!$I220=5,'Entry list'!$J220=5),'Entry list'!K220,"")</f>
        <v/>
      </c>
      <c r="J220" t="str">
        <f>IF(AND('Entry list'!$I220=5,'Entry list'!$J220=5),'Entry list'!L220,"")</f>
        <v/>
      </c>
      <c r="K220" t="str">
        <f>IF(AND('Entry list'!$I220=5,'Entry list'!$J220=5),'Entry list'!M220,"")</f>
        <v/>
      </c>
      <c r="L220" t="str">
        <f>IF(AND('Entry list'!$I220=5,'Entry list'!$J220=5),'Entry list'!N220,"")</f>
        <v/>
      </c>
      <c r="M220" t="str">
        <f t="shared" si="9"/>
        <v/>
      </c>
      <c r="N220" t="str">
        <f t="shared" si="10"/>
        <v/>
      </c>
      <c r="O220" t="str">
        <f t="shared" si="11"/>
        <v/>
      </c>
    </row>
    <row r="221" spans="1:15" x14ac:dyDescent="0.25">
      <c r="A221">
        <f>IF(AND('Entry list'!$I221=5,'Entry list'!$J221=5),'Entry list'!A221,"")</f>
        <v>2</v>
      </c>
      <c r="B221">
        <f>IF(AND('Entry list'!$I221=5,'Entry list'!$J221=5),'Entry list'!B221,"")</f>
        <v>0.49861111111111112</v>
      </c>
      <c r="C221" t="str">
        <f>IF(AND('Entry list'!$I221=5,'Entry list'!$J221=5),'Entry list'!C221,"")</f>
        <v>D</v>
      </c>
      <c r="D221" t="str">
        <f>IF(AND('Entry list'!$I221=5,'Entry list'!$J221=5),'Entry list'!D221,"")</f>
        <v>7NSH</v>
      </c>
      <c r="E221" t="str">
        <f>IF(AND('Entry list'!$I221=5,'Entry list'!$J221=5),'Entry list'!E221,"")</f>
        <v>N</v>
      </c>
      <c r="F221" t="str">
        <f>IF(AND('Entry list'!$I221=5,'Entry list'!$J221=5),'Entry list'!F221,"")</f>
        <v/>
      </c>
      <c r="G221" t="str">
        <f>IF(AND('Entry list'!$I221=5,'Entry list'!$J221=5),'Entry list'!G221,"")</f>
        <v>R</v>
      </c>
      <c r="H221" t="str">
        <f>IF(AND('Entry list'!$I221=5,'Entry list'!$J221=5),'Entry list'!H221,"")</f>
        <v>N</v>
      </c>
      <c r="I221" t="str">
        <f>IF(AND('Entry list'!$I221=5,'Entry list'!$J221=5),'Entry list'!K221,"")</f>
        <v/>
      </c>
      <c r="J221">
        <f>IF(AND('Entry list'!$I221=5,'Entry list'!$J221=5),'Entry list'!L221,"")</f>
        <v>0</v>
      </c>
      <c r="K221">
        <f>IF(AND('Entry list'!$I221=5,'Entry list'!$J221=5),'Entry list'!M221,"")</f>
        <v>0</v>
      </c>
      <c r="L221" t="str">
        <f>IF(AND('Entry list'!$I221=5,'Entry list'!$J221=5),'Entry list'!N221,"")</f>
        <v/>
      </c>
      <c r="M221">
        <f t="shared" si="9"/>
        <v>0</v>
      </c>
      <c r="N221" t="str">
        <f t="shared" si="10"/>
        <v/>
      </c>
      <c r="O221" t="str">
        <f t="shared" si="11"/>
        <v/>
      </c>
    </row>
    <row r="222" spans="1:15" x14ac:dyDescent="0.25">
      <c r="A222">
        <f>IF(AND('Entry list'!$I222=5,'Entry list'!$J222=5),'Entry list'!A222,"")</f>
        <v>2</v>
      </c>
      <c r="B222">
        <f>IF(AND('Entry list'!$I222=5,'Entry list'!$J222=5),'Entry list'!B222,"")</f>
        <v>0.49236111111111108</v>
      </c>
      <c r="C222" t="str">
        <f>IF(AND('Entry list'!$I222=5,'Entry list'!$J222=5),'Entry list'!C222,"")</f>
        <v>C</v>
      </c>
      <c r="D222" t="str">
        <f>IF(AND('Entry list'!$I222=5,'Entry list'!$J222=5),'Entry list'!D222,"")</f>
        <v>41DET</v>
      </c>
      <c r="E222" t="str">
        <f>IF(AND('Entry list'!$I222=5,'Entry list'!$J222=5),'Entry list'!E222,"")</f>
        <v>14NSH</v>
      </c>
      <c r="F222" t="str">
        <f>IF(AND('Entry list'!$I222=5,'Entry list'!$J222=5),'Entry list'!F222,"")</f>
        <v>N</v>
      </c>
      <c r="G222" t="str">
        <f>IF(AND('Entry list'!$I222=5,'Entry list'!$J222=5),'Entry list'!G222,"")</f>
        <v>R</v>
      </c>
      <c r="H222" t="str">
        <f>IF(AND('Entry list'!$I222=5,'Entry list'!$J222=5),'Entry list'!H222,"")</f>
        <v>N</v>
      </c>
      <c r="I222" t="str">
        <f>IF(AND('Entry list'!$I222=5,'Entry list'!$J222=5),'Entry list'!K222,"")</f>
        <v>41DET</v>
      </c>
      <c r="J222">
        <f>IF(AND('Entry list'!$I222=5,'Entry list'!$J222=5),'Entry list'!L222,"")</f>
        <v>1</v>
      </c>
      <c r="K222">
        <f>IF(AND('Entry list'!$I222=5,'Entry list'!$J222=5),'Entry list'!M222,"")</f>
        <v>0</v>
      </c>
      <c r="L222" t="str">
        <f>IF(AND('Entry list'!$I222=5,'Entry list'!$J222=5),'Entry list'!N222,"")</f>
        <v/>
      </c>
      <c r="M222">
        <f t="shared" si="9"/>
        <v>0</v>
      </c>
      <c r="N222">
        <f t="shared" si="10"/>
        <v>0</v>
      </c>
      <c r="O222" t="str">
        <f t="shared" si="11"/>
        <v/>
      </c>
    </row>
    <row r="223" spans="1:15" x14ac:dyDescent="0.25">
      <c r="A223" t="str">
        <f>IF(AND('Entry list'!$I223=5,'Entry list'!$J223=5),'Entry list'!A223,"")</f>
        <v/>
      </c>
      <c r="B223" t="str">
        <f>IF(AND('Entry list'!$I223=5,'Entry list'!$J223=5),'Entry list'!B223,"")</f>
        <v/>
      </c>
      <c r="C223" t="str">
        <f>IF(AND('Entry list'!$I223=5,'Entry list'!$J223=5),'Entry list'!C223,"")</f>
        <v/>
      </c>
      <c r="D223" t="str">
        <f>IF(AND('Entry list'!$I223=5,'Entry list'!$J223=5),'Entry list'!D223,"")</f>
        <v/>
      </c>
      <c r="E223" t="str">
        <f>IF(AND('Entry list'!$I223=5,'Entry list'!$J223=5),'Entry list'!E223,"")</f>
        <v/>
      </c>
      <c r="F223" t="str">
        <f>IF(AND('Entry list'!$I223=5,'Entry list'!$J223=5),'Entry list'!F223,"")</f>
        <v/>
      </c>
      <c r="G223" t="str">
        <f>IF(AND('Entry list'!$I223=5,'Entry list'!$J223=5),'Entry list'!G223,"")</f>
        <v/>
      </c>
      <c r="H223" t="str">
        <f>IF(AND('Entry list'!$I223=5,'Entry list'!$J223=5),'Entry list'!H223,"")</f>
        <v/>
      </c>
      <c r="I223" t="str">
        <f>IF(AND('Entry list'!$I223=5,'Entry list'!$J223=5),'Entry list'!K223,"")</f>
        <v/>
      </c>
      <c r="J223" t="str">
        <f>IF(AND('Entry list'!$I223=5,'Entry list'!$J223=5),'Entry list'!L223,"")</f>
        <v/>
      </c>
      <c r="K223" t="str">
        <f>IF(AND('Entry list'!$I223=5,'Entry list'!$J223=5),'Entry list'!M223,"")</f>
        <v/>
      </c>
      <c r="L223" t="str">
        <f>IF(AND('Entry list'!$I223=5,'Entry list'!$J223=5),'Entry list'!N223,"")</f>
        <v/>
      </c>
      <c r="M223" t="str">
        <f t="shared" si="9"/>
        <v/>
      </c>
      <c r="N223" t="str">
        <f t="shared" si="10"/>
        <v/>
      </c>
      <c r="O223" t="str">
        <f t="shared" si="11"/>
        <v/>
      </c>
    </row>
    <row r="224" spans="1:15" x14ac:dyDescent="0.25">
      <c r="A224" t="str">
        <f>IF(AND('Entry list'!$I224=5,'Entry list'!$J224=5),'Entry list'!A224,"")</f>
        <v/>
      </c>
      <c r="B224" t="str">
        <f>IF(AND('Entry list'!$I224=5,'Entry list'!$J224=5),'Entry list'!B224,"")</f>
        <v/>
      </c>
      <c r="C224" t="str">
        <f>IF(AND('Entry list'!$I224=5,'Entry list'!$J224=5),'Entry list'!C224,"")</f>
        <v/>
      </c>
      <c r="D224" t="str">
        <f>IF(AND('Entry list'!$I224=5,'Entry list'!$J224=5),'Entry list'!D224,"")</f>
        <v/>
      </c>
      <c r="E224" t="str">
        <f>IF(AND('Entry list'!$I224=5,'Entry list'!$J224=5),'Entry list'!E224,"")</f>
        <v/>
      </c>
      <c r="F224" t="str">
        <f>IF(AND('Entry list'!$I224=5,'Entry list'!$J224=5),'Entry list'!F224,"")</f>
        <v/>
      </c>
      <c r="G224" t="str">
        <f>IF(AND('Entry list'!$I224=5,'Entry list'!$J224=5),'Entry list'!G224,"")</f>
        <v/>
      </c>
      <c r="H224" t="str">
        <f>IF(AND('Entry list'!$I224=5,'Entry list'!$J224=5),'Entry list'!H224,"")</f>
        <v/>
      </c>
      <c r="I224" t="str">
        <f>IF(AND('Entry list'!$I224=5,'Entry list'!$J224=5),'Entry list'!K224,"")</f>
        <v/>
      </c>
      <c r="J224" t="str">
        <f>IF(AND('Entry list'!$I224=5,'Entry list'!$J224=5),'Entry list'!L224,"")</f>
        <v/>
      </c>
      <c r="K224" t="str">
        <f>IF(AND('Entry list'!$I224=5,'Entry list'!$J224=5),'Entry list'!M224,"")</f>
        <v/>
      </c>
      <c r="L224" t="str">
        <f>IF(AND('Entry list'!$I224=5,'Entry list'!$J224=5),'Entry list'!N224,"")</f>
        <v/>
      </c>
      <c r="M224" t="str">
        <f t="shared" si="9"/>
        <v/>
      </c>
      <c r="N224" t="str">
        <f t="shared" si="10"/>
        <v/>
      </c>
      <c r="O224" t="str">
        <f t="shared" si="11"/>
        <v/>
      </c>
    </row>
    <row r="225" spans="1:15" x14ac:dyDescent="0.25">
      <c r="A225" t="str">
        <f>IF(AND('Entry list'!$I225=5,'Entry list'!$J225=5),'Entry list'!A225,"")</f>
        <v/>
      </c>
      <c r="B225" t="str">
        <f>IF(AND('Entry list'!$I225=5,'Entry list'!$J225=5),'Entry list'!B225,"")</f>
        <v/>
      </c>
      <c r="C225" t="str">
        <f>IF(AND('Entry list'!$I225=5,'Entry list'!$J225=5),'Entry list'!C225,"")</f>
        <v/>
      </c>
      <c r="D225" t="str">
        <f>IF(AND('Entry list'!$I225=5,'Entry list'!$J225=5),'Entry list'!D225,"")</f>
        <v/>
      </c>
      <c r="E225" t="str">
        <f>IF(AND('Entry list'!$I225=5,'Entry list'!$J225=5),'Entry list'!E225,"")</f>
        <v/>
      </c>
      <c r="F225" t="str">
        <f>IF(AND('Entry list'!$I225=5,'Entry list'!$J225=5),'Entry list'!F225,"")</f>
        <v/>
      </c>
      <c r="G225" t="str">
        <f>IF(AND('Entry list'!$I225=5,'Entry list'!$J225=5),'Entry list'!G225,"")</f>
        <v/>
      </c>
      <c r="H225" t="str">
        <f>IF(AND('Entry list'!$I225=5,'Entry list'!$J225=5),'Entry list'!H225,"")</f>
        <v/>
      </c>
      <c r="I225" t="str">
        <f>IF(AND('Entry list'!$I225=5,'Entry list'!$J225=5),'Entry list'!K225,"")</f>
        <v/>
      </c>
      <c r="J225" t="str">
        <f>IF(AND('Entry list'!$I225=5,'Entry list'!$J225=5),'Entry list'!L225,"")</f>
        <v/>
      </c>
      <c r="K225" t="str">
        <f>IF(AND('Entry list'!$I225=5,'Entry list'!$J225=5),'Entry list'!M225,"")</f>
        <v/>
      </c>
      <c r="L225" t="str">
        <f>IF(AND('Entry list'!$I225=5,'Entry list'!$J225=5),'Entry list'!N225,"")</f>
        <v/>
      </c>
      <c r="M225" t="str">
        <f t="shared" si="9"/>
        <v/>
      </c>
      <c r="N225" t="str">
        <f t="shared" si="10"/>
        <v/>
      </c>
      <c r="O225" t="str">
        <f t="shared" si="11"/>
        <v/>
      </c>
    </row>
    <row r="226" spans="1:15" x14ac:dyDescent="0.25">
      <c r="A226" t="str">
        <f>IF(AND('Entry list'!$I226=5,'Entry list'!$J226=5),'Entry list'!A226,"")</f>
        <v/>
      </c>
      <c r="B226" t="str">
        <f>IF(AND('Entry list'!$I226=5,'Entry list'!$J226=5),'Entry list'!B226,"")</f>
        <v/>
      </c>
      <c r="C226" t="str">
        <f>IF(AND('Entry list'!$I226=5,'Entry list'!$J226=5),'Entry list'!C226,"")</f>
        <v/>
      </c>
      <c r="D226" t="str">
        <f>IF(AND('Entry list'!$I226=5,'Entry list'!$J226=5),'Entry list'!D226,"")</f>
        <v/>
      </c>
      <c r="E226" t="str">
        <f>IF(AND('Entry list'!$I226=5,'Entry list'!$J226=5),'Entry list'!E226,"")</f>
        <v/>
      </c>
      <c r="F226" t="str">
        <f>IF(AND('Entry list'!$I226=5,'Entry list'!$J226=5),'Entry list'!F226,"")</f>
        <v/>
      </c>
      <c r="G226" t="str">
        <f>IF(AND('Entry list'!$I226=5,'Entry list'!$J226=5),'Entry list'!G226,"")</f>
        <v/>
      </c>
      <c r="H226" t="str">
        <f>IF(AND('Entry list'!$I226=5,'Entry list'!$J226=5),'Entry list'!H226,"")</f>
        <v/>
      </c>
      <c r="I226" t="str">
        <f>IF(AND('Entry list'!$I226=5,'Entry list'!$J226=5),'Entry list'!K226,"")</f>
        <v/>
      </c>
      <c r="J226" t="str">
        <f>IF(AND('Entry list'!$I226=5,'Entry list'!$J226=5),'Entry list'!L226,"")</f>
        <v/>
      </c>
      <c r="K226" t="str">
        <f>IF(AND('Entry list'!$I226=5,'Entry list'!$J226=5),'Entry list'!M226,"")</f>
        <v/>
      </c>
      <c r="L226" t="str">
        <f>IF(AND('Entry list'!$I226=5,'Entry list'!$J226=5),'Entry list'!N226,"")</f>
        <v/>
      </c>
      <c r="M226" t="str">
        <f t="shared" si="9"/>
        <v/>
      </c>
      <c r="N226" t="str">
        <f t="shared" si="10"/>
        <v/>
      </c>
      <c r="O226" t="str">
        <f t="shared" si="11"/>
        <v/>
      </c>
    </row>
    <row r="227" spans="1:15" x14ac:dyDescent="0.25">
      <c r="A227" t="str">
        <f>IF(AND('Entry list'!$I227=5,'Entry list'!$J227=5),'Entry list'!A227,"")</f>
        <v/>
      </c>
      <c r="B227" t="str">
        <f>IF(AND('Entry list'!$I227=5,'Entry list'!$J227=5),'Entry list'!B227,"")</f>
        <v/>
      </c>
      <c r="C227" t="str">
        <f>IF(AND('Entry list'!$I227=5,'Entry list'!$J227=5),'Entry list'!C227,"")</f>
        <v/>
      </c>
      <c r="D227" t="str">
        <f>IF(AND('Entry list'!$I227=5,'Entry list'!$J227=5),'Entry list'!D227,"")</f>
        <v/>
      </c>
      <c r="E227" t="str">
        <f>IF(AND('Entry list'!$I227=5,'Entry list'!$J227=5),'Entry list'!E227,"")</f>
        <v/>
      </c>
      <c r="F227" t="str">
        <f>IF(AND('Entry list'!$I227=5,'Entry list'!$J227=5),'Entry list'!F227,"")</f>
        <v/>
      </c>
      <c r="G227" t="str">
        <f>IF(AND('Entry list'!$I227=5,'Entry list'!$J227=5),'Entry list'!G227,"")</f>
        <v/>
      </c>
      <c r="H227" t="str">
        <f>IF(AND('Entry list'!$I227=5,'Entry list'!$J227=5),'Entry list'!H227,"")</f>
        <v/>
      </c>
      <c r="I227" t="str">
        <f>IF(AND('Entry list'!$I227=5,'Entry list'!$J227=5),'Entry list'!K227,"")</f>
        <v/>
      </c>
      <c r="J227" t="str">
        <f>IF(AND('Entry list'!$I227=5,'Entry list'!$J227=5),'Entry list'!L227,"")</f>
        <v/>
      </c>
      <c r="K227" t="str">
        <f>IF(AND('Entry list'!$I227=5,'Entry list'!$J227=5),'Entry list'!M227,"")</f>
        <v/>
      </c>
      <c r="L227" t="str">
        <f>IF(AND('Entry list'!$I227=5,'Entry list'!$J227=5),'Entry list'!N227,"")</f>
        <v/>
      </c>
      <c r="M227" t="str">
        <f t="shared" si="9"/>
        <v/>
      </c>
      <c r="N227" t="str">
        <f t="shared" si="10"/>
        <v/>
      </c>
      <c r="O227" t="str">
        <f t="shared" si="11"/>
        <v/>
      </c>
    </row>
    <row r="228" spans="1:15" x14ac:dyDescent="0.25">
      <c r="A228" t="str">
        <f>IF(AND('Entry list'!$I228=5,'Entry list'!$J228=5),'Entry list'!A228,"")</f>
        <v/>
      </c>
      <c r="B228" t="str">
        <f>IF(AND('Entry list'!$I228=5,'Entry list'!$J228=5),'Entry list'!B228,"")</f>
        <v/>
      </c>
      <c r="C228" t="str">
        <f>IF(AND('Entry list'!$I228=5,'Entry list'!$J228=5),'Entry list'!C228,"")</f>
        <v/>
      </c>
      <c r="D228" t="str">
        <f>IF(AND('Entry list'!$I228=5,'Entry list'!$J228=5),'Entry list'!D228,"")</f>
        <v/>
      </c>
      <c r="E228" t="str">
        <f>IF(AND('Entry list'!$I228=5,'Entry list'!$J228=5),'Entry list'!E228,"")</f>
        <v/>
      </c>
      <c r="F228" t="str">
        <f>IF(AND('Entry list'!$I228=5,'Entry list'!$J228=5),'Entry list'!F228,"")</f>
        <v/>
      </c>
      <c r="G228" t="str">
        <f>IF(AND('Entry list'!$I228=5,'Entry list'!$J228=5),'Entry list'!G228,"")</f>
        <v/>
      </c>
      <c r="H228" t="str">
        <f>IF(AND('Entry list'!$I228=5,'Entry list'!$J228=5),'Entry list'!H228,"")</f>
        <v/>
      </c>
      <c r="I228" t="str">
        <f>IF(AND('Entry list'!$I228=5,'Entry list'!$J228=5),'Entry list'!K228,"")</f>
        <v/>
      </c>
      <c r="J228" t="str">
        <f>IF(AND('Entry list'!$I228=5,'Entry list'!$J228=5),'Entry list'!L228,"")</f>
        <v/>
      </c>
      <c r="K228" t="str">
        <f>IF(AND('Entry list'!$I228=5,'Entry list'!$J228=5),'Entry list'!M228,"")</f>
        <v/>
      </c>
      <c r="L228" t="str">
        <f>IF(AND('Entry list'!$I228=5,'Entry list'!$J228=5),'Entry list'!N228,"")</f>
        <v/>
      </c>
      <c r="M228" t="str">
        <f t="shared" si="9"/>
        <v/>
      </c>
      <c r="N228" t="str">
        <f t="shared" si="10"/>
        <v/>
      </c>
      <c r="O228" t="str">
        <f t="shared" si="11"/>
        <v/>
      </c>
    </row>
    <row r="229" spans="1:15" x14ac:dyDescent="0.25">
      <c r="A229" t="str">
        <f>IF(AND('Entry list'!$I229=5,'Entry list'!$J229=5),'Entry list'!A229,"")</f>
        <v/>
      </c>
      <c r="B229" t="str">
        <f>IF(AND('Entry list'!$I229=5,'Entry list'!$J229=5),'Entry list'!B229,"")</f>
        <v/>
      </c>
      <c r="C229" t="str">
        <f>IF(AND('Entry list'!$I229=5,'Entry list'!$J229=5),'Entry list'!C229,"")</f>
        <v/>
      </c>
      <c r="D229" t="str">
        <f>IF(AND('Entry list'!$I229=5,'Entry list'!$J229=5),'Entry list'!D229,"")</f>
        <v/>
      </c>
      <c r="E229" t="str">
        <f>IF(AND('Entry list'!$I229=5,'Entry list'!$J229=5),'Entry list'!E229,"")</f>
        <v/>
      </c>
      <c r="F229" t="str">
        <f>IF(AND('Entry list'!$I229=5,'Entry list'!$J229=5),'Entry list'!F229,"")</f>
        <v/>
      </c>
      <c r="G229" t="str">
        <f>IF(AND('Entry list'!$I229=5,'Entry list'!$J229=5),'Entry list'!G229,"")</f>
        <v/>
      </c>
      <c r="H229" t="str">
        <f>IF(AND('Entry list'!$I229=5,'Entry list'!$J229=5),'Entry list'!H229,"")</f>
        <v/>
      </c>
      <c r="I229" t="str">
        <f>IF(AND('Entry list'!$I229=5,'Entry list'!$J229=5),'Entry list'!K229,"")</f>
        <v/>
      </c>
      <c r="J229" t="str">
        <f>IF(AND('Entry list'!$I229=5,'Entry list'!$J229=5),'Entry list'!L229,"")</f>
        <v/>
      </c>
      <c r="K229" t="str">
        <f>IF(AND('Entry list'!$I229=5,'Entry list'!$J229=5),'Entry list'!M229,"")</f>
        <v/>
      </c>
      <c r="L229" t="str">
        <f>IF(AND('Entry list'!$I229=5,'Entry list'!$J229=5),'Entry list'!N229,"")</f>
        <v/>
      </c>
      <c r="M229" t="str">
        <f t="shared" si="9"/>
        <v/>
      </c>
      <c r="N229" t="str">
        <f t="shared" si="10"/>
        <v/>
      </c>
      <c r="O229" t="str">
        <f t="shared" si="11"/>
        <v/>
      </c>
    </row>
    <row r="230" spans="1:15" x14ac:dyDescent="0.25">
      <c r="A230" t="str">
        <f>IF(AND('Entry list'!$I230=5,'Entry list'!$J230=5),'Entry list'!A230,"")</f>
        <v/>
      </c>
      <c r="B230" t="str">
        <f>IF(AND('Entry list'!$I230=5,'Entry list'!$J230=5),'Entry list'!B230,"")</f>
        <v/>
      </c>
      <c r="C230" t="str">
        <f>IF(AND('Entry list'!$I230=5,'Entry list'!$J230=5),'Entry list'!C230,"")</f>
        <v/>
      </c>
      <c r="D230" t="str">
        <f>IF(AND('Entry list'!$I230=5,'Entry list'!$J230=5),'Entry list'!D230,"")</f>
        <v/>
      </c>
      <c r="E230" t="str">
        <f>IF(AND('Entry list'!$I230=5,'Entry list'!$J230=5),'Entry list'!E230,"")</f>
        <v/>
      </c>
      <c r="F230" t="str">
        <f>IF(AND('Entry list'!$I230=5,'Entry list'!$J230=5),'Entry list'!F230,"")</f>
        <v/>
      </c>
      <c r="G230" t="str">
        <f>IF(AND('Entry list'!$I230=5,'Entry list'!$J230=5),'Entry list'!G230,"")</f>
        <v/>
      </c>
      <c r="H230" t="str">
        <f>IF(AND('Entry list'!$I230=5,'Entry list'!$J230=5),'Entry list'!H230,"")</f>
        <v/>
      </c>
      <c r="I230" t="str">
        <f>IF(AND('Entry list'!$I230=5,'Entry list'!$J230=5),'Entry list'!K230,"")</f>
        <v/>
      </c>
      <c r="J230" t="str">
        <f>IF(AND('Entry list'!$I230=5,'Entry list'!$J230=5),'Entry list'!L230,"")</f>
        <v/>
      </c>
      <c r="K230" t="str">
        <f>IF(AND('Entry list'!$I230=5,'Entry list'!$J230=5),'Entry list'!M230,"")</f>
        <v/>
      </c>
      <c r="L230" t="str">
        <f>IF(AND('Entry list'!$I230=5,'Entry list'!$J230=5),'Entry list'!N230,"")</f>
        <v/>
      </c>
      <c r="M230" t="str">
        <f t="shared" si="9"/>
        <v/>
      </c>
      <c r="N230" t="str">
        <f t="shared" si="10"/>
        <v/>
      </c>
      <c r="O230" t="str">
        <f t="shared" si="11"/>
        <v/>
      </c>
    </row>
    <row r="231" spans="1:15" x14ac:dyDescent="0.25">
      <c r="A231" t="str">
        <f>IF(AND('Entry list'!$I231=5,'Entry list'!$J231=5),'Entry list'!A231,"")</f>
        <v/>
      </c>
      <c r="B231" t="str">
        <f>IF(AND('Entry list'!$I231=5,'Entry list'!$J231=5),'Entry list'!B231,"")</f>
        <v/>
      </c>
      <c r="C231" t="str">
        <f>IF(AND('Entry list'!$I231=5,'Entry list'!$J231=5),'Entry list'!C231,"")</f>
        <v/>
      </c>
      <c r="D231" t="str">
        <f>IF(AND('Entry list'!$I231=5,'Entry list'!$J231=5),'Entry list'!D231,"")</f>
        <v/>
      </c>
      <c r="E231" t="str">
        <f>IF(AND('Entry list'!$I231=5,'Entry list'!$J231=5),'Entry list'!E231,"")</f>
        <v/>
      </c>
      <c r="F231" t="str">
        <f>IF(AND('Entry list'!$I231=5,'Entry list'!$J231=5),'Entry list'!F231,"")</f>
        <v/>
      </c>
      <c r="G231" t="str">
        <f>IF(AND('Entry list'!$I231=5,'Entry list'!$J231=5),'Entry list'!G231,"")</f>
        <v/>
      </c>
      <c r="H231" t="str">
        <f>IF(AND('Entry list'!$I231=5,'Entry list'!$J231=5),'Entry list'!H231,"")</f>
        <v/>
      </c>
      <c r="I231" t="str">
        <f>IF(AND('Entry list'!$I231=5,'Entry list'!$J231=5),'Entry list'!K231,"")</f>
        <v/>
      </c>
      <c r="J231" t="str">
        <f>IF(AND('Entry list'!$I231=5,'Entry list'!$J231=5),'Entry list'!L231,"")</f>
        <v/>
      </c>
      <c r="K231" t="str">
        <f>IF(AND('Entry list'!$I231=5,'Entry list'!$J231=5),'Entry list'!M231,"")</f>
        <v/>
      </c>
      <c r="L231" t="str">
        <f>IF(AND('Entry list'!$I231=5,'Entry list'!$J231=5),'Entry list'!N231,"")</f>
        <v/>
      </c>
      <c r="M231" t="str">
        <f t="shared" si="9"/>
        <v/>
      </c>
      <c r="N231" t="str">
        <f t="shared" si="10"/>
        <v/>
      </c>
      <c r="O231" t="str">
        <f t="shared" si="11"/>
        <v/>
      </c>
    </row>
    <row r="232" spans="1:15" x14ac:dyDescent="0.25">
      <c r="A232" t="str">
        <f>IF(AND('Entry list'!$I232=5,'Entry list'!$J232=5),'Entry list'!A232,"")</f>
        <v/>
      </c>
      <c r="B232" t="str">
        <f>IF(AND('Entry list'!$I232=5,'Entry list'!$J232=5),'Entry list'!B232,"")</f>
        <v/>
      </c>
      <c r="C232" t="str">
        <f>IF(AND('Entry list'!$I232=5,'Entry list'!$J232=5),'Entry list'!C232,"")</f>
        <v/>
      </c>
      <c r="D232" t="str">
        <f>IF(AND('Entry list'!$I232=5,'Entry list'!$J232=5),'Entry list'!D232,"")</f>
        <v/>
      </c>
      <c r="E232" t="str">
        <f>IF(AND('Entry list'!$I232=5,'Entry list'!$J232=5),'Entry list'!E232,"")</f>
        <v/>
      </c>
      <c r="F232" t="str">
        <f>IF(AND('Entry list'!$I232=5,'Entry list'!$J232=5),'Entry list'!F232,"")</f>
        <v/>
      </c>
      <c r="G232" t="str">
        <f>IF(AND('Entry list'!$I232=5,'Entry list'!$J232=5),'Entry list'!G232,"")</f>
        <v/>
      </c>
      <c r="H232" t="str">
        <f>IF(AND('Entry list'!$I232=5,'Entry list'!$J232=5),'Entry list'!H232,"")</f>
        <v/>
      </c>
      <c r="I232" t="str">
        <f>IF(AND('Entry list'!$I232=5,'Entry list'!$J232=5),'Entry list'!K232,"")</f>
        <v/>
      </c>
      <c r="J232" t="str">
        <f>IF(AND('Entry list'!$I232=5,'Entry list'!$J232=5),'Entry list'!L232,"")</f>
        <v/>
      </c>
      <c r="K232" t="str">
        <f>IF(AND('Entry list'!$I232=5,'Entry list'!$J232=5),'Entry list'!M232,"")</f>
        <v/>
      </c>
      <c r="L232" t="str">
        <f>IF(AND('Entry list'!$I232=5,'Entry list'!$J232=5),'Entry list'!N232,"")</f>
        <v/>
      </c>
      <c r="M232" t="str">
        <f t="shared" si="9"/>
        <v/>
      </c>
      <c r="N232" t="str">
        <f t="shared" si="10"/>
        <v/>
      </c>
      <c r="O232" t="str">
        <f t="shared" si="11"/>
        <v/>
      </c>
    </row>
    <row r="233" spans="1:15" x14ac:dyDescent="0.25">
      <c r="A233" t="str">
        <f>IF(AND('Entry list'!$I233=5,'Entry list'!$J233=5),'Entry list'!A233,"")</f>
        <v/>
      </c>
      <c r="B233" t="str">
        <f>IF(AND('Entry list'!$I233=5,'Entry list'!$J233=5),'Entry list'!B233,"")</f>
        <v/>
      </c>
      <c r="C233" t="str">
        <f>IF(AND('Entry list'!$I233=5,'Entry list'!$J233=5),'Entry list'!C233,"")</f>
        <v/>
      </c>
      <c r="D233" t="str">
        <f>IF(AND('Entry list'!$I233=5,'Entry list'!$J233=5),'Entry list'!D233,"")</f>
        <v/>
      </c>
      <c r="E233" t="str">
        <f>IF(AND('Entry list'!$I233=5,'Entry list'!$J233=5),'Entry list'!E233,"")</f>
        <v/>
      </c>
      <c r="F233" t="str">
        <f>IF(AND('Entry list'!$I233=5,'Entry list'!$J233=5),'Entry list'!F233,"")</f>
        <v/>
      </c>
      <c r="G233" t="str">
        <f>IF(AND('Entry list'!$I233=5,'Entry list'!$J233=5),'Entry list'!G233,"")</f>
        <v/>
      </c>
      <c r="H233" t="str">
        <f>IF(AND('Entry list'!$I233=5,'Entry list'!$J233=5),'Entry list'!H233,"")</f>
        <v/>
      </c>
      <c r="I233" t="str">
        <f>IF(AND('Entry list'!$I233=5,'Entry list'!$J233=5),'Entry list'!K233,"")</f>
        <v/>
      </c>
      <c r="J233" t="str">
        <f>IF(AND('Entry list'!$I233=5,'Entry list'!$J233=5),'Entry list'!L233,"")</f>
        <v/>
      </c>
      <c r="K233" t="str">
        <f>IF(AND('Entry list'!$I233=5,'Entry list'!$J233=5),'Entry list'!M233,"")</f>
        <v/>
      </c>
      <c r="L233" t="str">
        <f>IF(AND('Entry list'!$I233=5,'Entry list'!$J233=5),'Entry list'!N233,"")</f>
        <v/>
      </c>
      <c r="M233" t="str">
        <f t="shared" si="9"/>
        <v/>
      </c>
      <c r="N233" t="str">
        <f t="shared" si="10"/>
        <v/>
      </c>
      <c r="O233" t="str">
        <f t="shared" si="11"/>
        <v/>
      </c>
    </row>
    <row r="234" spans="1:15" x14ac:dyDescent="0.25">
      <c r="A234">
        <f>IF(AND('Entry list'!$I234=5,'Entry list'!$J234=5),'Entry list'!A234,"")</f>
        <v>2</v>
      </c>
      <c r="B234">
        <f>IF(AND('Entry list'!$I234=5,'Entry list'!$J234=5),'Entry list'!B234,"")</f>
        <v>0.40902777777777777</v>
      </c>
      <c r="C234" t="str">
        <f>IF(AND('Entry list'!$I234=5,'Entry list'!$J234=5),'Entry list'!C234,"")</f>
        <v>C</v>
      </c>
      <c r="D234" t="str">
        <f>IF(AND('Entry list'!$I234=5,'Entry list'!$J234=5),'Entry list'!D234,"")</f>
        <v>18NSH</v>
      </c>
      <c r="E234" t="str">
        <f>IF(AND('Entry list'!$I234=5,'Entry list'!$J234=5),'Entry list'!E234,"")</f>
        <v>25DET</v>
      </c>
      <c r="F234" t="str">
        <f>IF(AND('Entry list'!$I234=5,'Entry list'!$J234=5),'Entry list'!F234,"")</f>
        <v>Y</v>
      </c>
      <c r="G234" t="str">
        <f>IF(AND('Entry list'!$I234=5,'Entry list'!$J234=5),'Entry list'!G234,"")</f>
        <v>L</v>
      </c>
      <c r="H234" t="str">
        <f>IF(AND('Entry list'!$I234=5,'Entry list'!$J234=5),'Entry list'!H234,"")</f>
        <v>N</v>
      </c>
      <c r="I234" t="str">
        <f>IF(AND('Entry list'!$I234=5,'Entry list'!$J234=5),'Entry list'!K234,"")</f>
        <v>18NSH</v>
      </c>
      <c r="J234">
        <f>IF(AND('Entry list'!$I234=5,'Entry list'!$J234=5),'Entry list'!L234,"")</f>
        <v>0</v>
      </c>
      <c r="K234">
        <f>IF(AND('Entry list'!$I234=5,'Entry list'!$J234=5),'Entry list'!M234,"")</f>
        <v>0</v>
      </c>
      <c r="L234" t="str">
        <f>IF(AND('Entry list'!$I234=5,'Entry list'!$J234=5),'Entry list'!N234,"")</f>
        <v/>
      </c>
      <c r="M234">
        <f t="shared" si="9"/>
        <v>0</v>
      </c>
      <c r="N234">
        <f t="shared" si="10"/>
        <v>0</v>
      </c>
      <c r="O234" t="str">
        <f t="shared" si="11"/>
        <v/>
      </c>
    </row>
    <row r="235" spans="1:15" x14ac:dyDescent="0.25">
      <c r="A235" t="str">
        <f>IF(AND('Entry list'!$I235=5,'Entry list'!$J235=5),'Entry list'!A235,"")</f>
        <v/>
      </c>
      <c r="B235" t="str">
        <f>IF(AND('Entry list'!$I235=5,'Entry list'!$J235=5),'Entry list'!B235,"")</f>
        <v/>
      </c>
      <c r="C235" t="str">
        <f>IF(AND('Entry list'!$I235=5,'Entry list'!$J235=5),'Entry list'!C235,"")</f>
        <v/>
      </c>
      <c r="D235" t="str">
        <f>IF(AND('Entry list'!$I235=5,'Entry list'!$J235=5),'Entry list'!D235,"")</f>
        <v/>
      </c>
      <c r="E235" t="str">
        <f>IF(AND('Entry list'!$I235=5,'Entry list'!$J235=5),'Entry list'!E235,"")</f>
        <v/>
      </c>
      <c r="F235" t="str">
        <f>IF(AND('Entry list'!$I235=5,'Entry list'!$J235=5),'Entry list'!F235,"")</f>
        <v/>
      </c>
      <c r="G235" t="str">
        <f>IF(AND('Entry list'!$I235=5,'Entry list'!$J235=5),'Entry list'!G235,"")</f>
        <v/>
      </c>
      <c r="H235" t="str">
        <f>IF(AND('Entry list'!$I235=5,'Entry list'!$J235=5),'Entry list'!H235,"")</f>
        <v/>
      </c>
      <c r="I235" t="str">
        <f>IF(AND('Entry list'!$I235=5,'Entry list'!$J235=5),'Entry list'!K235,"")</f>
        <v/>
      </c>
      <c r="J235" t="str">
        <f>IF(AND('Entry list'!$I235=5,'Entry list'!$J235=5),'Entry list'!L235,"")</f>
        <v/>
      </c>
      <c r="K235" t="str">
        <f>IF(AND('Entry list'!$I235=5,'Entry list'!$J235=5),'Entry list'!M235,"")</f>
        <v/>
      </c>
      <c r="L235" t="str">
        <f>IF(AND('Entry list'!$I235=5,'Entry list'!$J235=5),'Entry list'!N235,"")</f>
        <v/>
      </c>
      <c r="M235" t="str">
        <f t="shared" si="9"/>
        <v/>
      </c>
      <c r="N235" t="str">
        <f t="shared" si="10"/>
        <v/>
      </c>
      <c r="O235" t="str">
        <f t="shared" si="11"/>
        <v/>
      </c>
    </row>
    <row r="236" spans="1:15" x14ac:dyDescent="0.25">
      <c r="A236" t="str">
        <f>IF(AND('Entry list'!$I236=5,'Entry list'!$J236=5),'Entry list'!A236,"")</f>
        <v/>
      </c>
      <c r="B236" t="str">
        <f>IF(AND('Entry list'!$I236=5,'Entry list'!$J236=5),'Entry list'!B236,"")</f>
        <v/>
      </c>
      <c r="C236" t="str">
        <f>IF(AND('Entry list'!$I236=5,'Entry list'!$J236=5),'Entry list'!C236,"")</f>
        <v/>
      </c>
      <c r="D236" t="str">
        <f>IF(AND('Entry list'!$I236=5,'Entry list'!$J236=5),'Entry list'!D236,"")</f>
        <v/>
      </c>
      <c r="E236" t="str">
        <f>IF(AND('Entry list'!$I236=5,'Entry list'!$J236=5),'Entry list'!E236,"")</f>
        <v/>
      </c>
      <c r="F236" t="str">
        <f>IF(AND('Entry list'!$I236=5,'Entry list'!$J236=5),'Entry list'!F236,"")</f>
        <v/>
      </c>
      <c r="G236" t="str">
        <f>IF(AND('Entry list'!$I236=5,'Entry list'!$J236=5),'Entry list'!G236,"")</f>
        <v/>
      </c>
      <c r="H236" t="str">
        <f>IF(AND('Entry list'!$I236=5,'Entry list'!$J236=5),'Entry list'!H236,"")</f>
        <v/>
      </c>
      <c r="I236" t="str">
        <f>IF(AND('Entry list'!$I236=5,'Entry list'!$J236=5),'Entry list'!K236,"")</f>
        <v/>
      </c>
      <c r="J236" t="str">
        <f>IF(AND('Entry list'!$I236=5,'Entry list'!$J236=5),'Entry list'!L236,"")</f>
        <v/>
      </c>
      <c r="K236" t="str">
        <f>IF(AND('Entry list'!$I236=5,'Entry list'!$J236=5),'Entry list'!M236,"")</f>
        <v/>
      </c>
      <c r="L236" t="str">
        <f>IF(AND('Entry list'!$I236=5,'Entry list'!$J236=5),'Entry list'!N236,"")</f>
        <v/>
      </c>
      <c r="M236" t="str">
        <f t="shared" si="9"/>
        <v/>
      </c>
      <c r="N236" t="str">
        <f t="shared" si="10"/>
        <v/>
      </c>
      <c r="O236" t="str">
        <f t="shared" si="11"/>
        <v/>
      </c>
    </row>
    <row r="237" spans="1:15" x14ac:dyDescent="0.25">
      <c r="A237">
        <f>IF(AND('Entry list'!$I237=5,'Entry list'!$J237=5),'Entry list'!A237,"")</f>
        <v>2</v>
      </c>
      <c r="B237">
        <f>IF(AND('Entry list'!$I237=5,'Entry list'!$J237=5),'Entry list'!B237,"")</f>
        <v>0.38541666666666669</v>
      </c>
      <c r="C237" t="str">
        <f>IF(AND('Entry list'!$I237=5,'Entry list'!$J237=5),'Entry list'!C237,"")</f>
        <v>D</v>
      </c>
      <c r="D237" t="str">
        <f>IF(AND('Entry list'!$I237=5,'Entry list'!$J237=5),'Entry list'!D237,"")</f>
        <v>18NSH</v>
      </c>
      <c r="E237" t="str">
        <f>IF(AND('Entry list'!$I237=5,'Entry list'!$J237=5),'Entry list'!E237,"")</f>
        <v>65DET</v>
      </c>
      <c r="F237" t="str">
        <f>IF(AND('Entry list'!$I237=5,'Entry list'!$J237=5),'Entry list'!F237,"")</f>
        <v/>
      </c>
      <c r="G237" t="str">
        <f>IF(AND('Entry list'!$I237=5,'Entry list'!$J237=5),'Entry list'!G237,"")</f>
        <v>R</v>
      </c>
      <c r="H237" t="str">
        <f>IF(AND('Entry list'!$I237=5,'Entry list'!$J237=5),'Entry list'!H237,"")</f>
        <v>18NSH</v>
      </c>
      <c r="I237" t="str">
        <f>IF(AND('Entry list'!$I237=5,'Entry list'!$J237=5),'Entry list'!K237,"")</f>
        <v/>
      </c>
      <c r="J237">
        <f>IF(AND('Entry list'!$I237=5,'Entry list'!$J237=5),'Entry list'!L237,"")</f>
        <v>0</v>
      </c>
      <c r="K237">
        <f>IF(AND('Entry list'!$I237=5,'Entry list'!$J237=5),'Entry list'!M237,"")</f>
        <v>0</v>
      </c>
      <c r="L237" t="str">
        <f>IF(AND('Entry list'!$I237=5,'Entry list'!$J237=5),'Entry list'!N237,"")</f>
        <v/>
      </c>
      <c r="M237">
        <f t="shared" si="9"/>
        <v>0</v>
      </c>
      <c r="N237" t="str">
        <f t="shared" si="10"/>
        <v/>
      </c>
      <c r="O237" t="str">
        <f t="shared" si="11"/>
        <v/>
      </c>
    </row>
    <row r="238" spans="1:15" x14ac:dyDescent="0.25">
      <c r="A238" t="str">
        <f>IF(AND('Entry list'!$I238=5,'Entry list'!$J238=5),'Entry list'!A238,"")</f>
        <v/>
      </c>
      <c r="B238" t="str">
        <f>IF(AND('Entry list'!$I238=5,'Entry list'!$J238=5),'Entry list'!B238,"")</f>
        <v/>
      </c>
      <c r="C238" t="str">
        <f>IF(AND('Entry list'!$I238=5,'Entry list'!$J238=5),'Entry list'!C238,"")</f>
        <v/>
      </c>
      <c r="D238" t="str">
        <f>IF(AND('Entry list'!$I238=5,'Entry list'!$J238=5),'Entry list'!D238,"")</f>
        <v/>
      </c>
      <c r="E238" t="str">
        <f>IF(AND('Entry list'!$I238=5,'Entry list'!$J238=5),'Entry list'!E238,"")</f>
        <v/>
      </c>
      <c r="F238" t="str">
        <f>IF(AND('Entry list'!$I238=5,'Entry list'!$J238=5),'Entry list'!F238,"")</f>
        <v/>
      </c>
      <c r="G238" t="str">
        <f>IF(AND('Entry list'!$I238=5,'Entry list'!$J238=5),'Entry list'!G238,"")</f>
        <v/>
      </c>
      <c r="H238" t="str">
        <f>IF(AND('Entry list'!$I238=5,'Entry list'!$J238=5),'Entry list'!H238,"")</f>
        <v/>
      </c>
      <c r="I238" t="str">
        <f>IF(AND('Entry list'!$I238=5,'Entry list'!$J238=5),'Entry list'!K238,"")</f>
        <v/>
      </c>
      <c r="J238" t="str">
        <f>IF(AND('Entry list'!$I238=5,'Entry list'!$J238=5),'Entry list'!L238,"")</f>
        <v/>
      </c>
      <c r="K238" t="str">
        <f>IF(AND('Entry list'!$I238=5,'Entry list'!$J238=5),'Entry list'!M238,"")</f>
        <v/>
      </c>
      <c r="L238" t="str">
        <f>IF(AND('Entry list'!$I238=5,'Entry list'!$J238=5),'Entry list'!N238,"")</f>
        <v/>
      </c>
      <c r="M238" t="str">
        <f t="shared" si="9"/>
        <v/>
      </c>
      <c r="N238" t="str">
        <f t="shared" si="10"/>
        <v/>
      </c>
      <c r="O238" t="str">
        <f t="shared" si="11"/>
        <v/>
      </c>
    </row>
    <row r="239" spans="1:15" x14ac:dyDescent="0.25">
      <c r="A239">
        <f>IF(AND('Entry list'!$I239=5,'Entry list'!$J239=5),'Entry list'!A239,"")</f>
        <v>2</v>
      </c>
      <c r="B239">
        <f>IF(AND('Entry list'!$I239=5,'Entry list'!$J239=5),'Entry list'!B239,"")</f>
        <v>0.37222222222222223</v>
      </c>
      <c r="C239" t="str">
        <f>IF(AND('Entry list'!$I239=5,'Entry list'!$J239=5),'Entry list'!C239,"")</f>
        <v>C</v>
      </c>
      <c r="D239" t="str">
        <f>IF(AND('Entry list'!$I239=5,'Entry list'!$J239=5),'Entry list'!D239,"")</f>
        <v>41DET</v>
      </c>
      <c r="E239" t="str">
        <f>IF(AND('Entry list'!$I239=5,'Entry list'!$J239=5),'Entry list'!E239,"")</f>
        <v>7NSH</v>
      </c>
      <c r="F239" t="str">
        <f>IF(AND('Entry list'!$I239=5,'Entry list'!$J239=5),'Entry list'!F239,"")</f>
        <v>N</v>
      </c>
      <c r="G239" t="str">
        <f>IF(AND('Entry list'!$I239=5,'Entry list'!$J239=5),'Entry list'!G239,"")</f>
        <v>R</v>
      </c>
      <c r="H239" t="str">
        <f>IF(AND('Entry list'!$I239=5,'Entry list'!$J239=5),'Entry list'!H239,"")</f>
        <v>N</v>
      </c>
      <c r="I239" t="str">
        <f>IF(AND('Entry list'!$I239=5,'Entry list'!$J239=5),'Entry list'!K239,"")</f>
        <v>41DET</v>
      </c>
      <c r="J239">
        <f>IF(AND('Entry list'!$I239=5,'Entry list'!$J239=5),'Entry list'!L239,"")</f>
        <v>1</v>
      </c>
      <c r="K239">
        <f>IF(AND('Entry list'!$I239=5,'Entry list'!$J239=5),'Entry list'!M239,"")</f>
        <v>0</v>
      </c>
      <c r="L239" t="str">
        <f>IF(AND('Entry list'!$I239=5,'Entry list'!$J239=5),'Entry list'!N239,"")</f>
        <v/>
      </c>
      <c r="M239">
        <f t="shared" si="9"/>
        <v>0</v>
      </c>
      <c r="N239">
        <f t="shared" si="10"/>
        <v>0</v>
      </c>
      <c r="O239" t="str">
        <f t="shared" si="11"/>
        <v/>
      </c>
    </row>
    <row r="240" spans="1:15" x14ac:dyDescent="0.25">
      <c r="A240" t="str">
        <f>IF(AND('Entry list'!$I240=5,'Entry list'!$J240=5),'Entry list'!A240,"")</f>
        <v/>
      </c>
      <c r="B240" t="str">
        <f>IF(AND('Entry list'!$I240=5,'Entry list'!$J240=5),'Entry list'!B240,"")</f>
        <v/>
      </c>
      <c r="C240" t="str">
        <f>IF(AND('Entry list'!$I240=5,'Entry list'!$J240=5),'Entry list'!C240,"")</f>
        <v/>
      </c>
      <c r="D240" t="str">
        <f>IF(AND('Entry list'!$I240=5,'Entry list'!$J240=5),'Entry list'!D240,"")</f>
        <v/>
      </c>
      <c r="E240" t="str">
        <f>IF(AND('Entry list'!$I240=5,'Entry list'!$J240=5),'Entry list'!E240,"")</f>
        <v/>
      </c>
      <c r="F240" t="str">
        <f>IF(AND('Entry list'!$I240=5,'Entry list'!$J240=5),'Entry list'!F240,"")</f>
        <v/>
      </c>
      <c r="G240" t="str">
        <f>IF(AND('Entry list'!$I240=5,'Entry list'!$J240=5),'Entry list'!G240,"")</f>
        <v/>
      </c>
      <c r="H240" t="str">
        <f>IF(AND('Entry list'!$I240=5,'Entry list'!$J240=5),'Entry list'!H240,"")</f>
        <v/>
      </c>
      <c r="I240" t="str">
        <f>IF(AND('Entry list'!$I240=5,'Entry list'!$J240=5),'Entry list'!K240,"")</f>
        <v/>
      </c>
      <c r="J240" t="str">
        <f>IF(AND('Entry list'!$I240=5,'Entry list'!$J240=5),'Entry list'!L240,"")</f>
        <v/>
      </c>
      <c r="K240" t="str">
        <f>IF(AND('Entry list'!$I240=5,'Entry list'!$J240=5),'Entry list'!M240,"")</f>
        <v/>
      </c>
      <c r="L240" t="str">
        <f>IF(AND('Entry list'!$I240=5,'Entry list'!$J240=5),'Entry list'!N240,"")</f>
        <v/>
      </c>
      <c r="M240" t="str">
        <f t="shared" si="9"/>
        <v/>
      </c>
      <c r="N240" t="str">
        <f t="shared" si="10"/>
        <v/>
      </c>
      <c r="O240" t="str">
        <f t="shared" si="11"/>
        <v/>
      </c>
    </row>
    <row r="241" spans="1:15" x14ac:dyDescent="0.25">
      <c r="A241" t="str">
        <f>IF(AND('Entry list'!$I241=5,'Entry list'!$J241=5),'Entry list'!A241,"")</f>
        <v/>
      </c>
      <c r="B241" t="str">
        <f>IF(AND('Entry list'!$I241=5,'Entry list'!$J241=5),'Entry list'!B241,"")</f>
        <v/>
      </c>
      <c r="C241" t="str">
        <f>IF(AND('Entry list'!$I241=5,'Entry list'!$J241=5),'Entry list'!C241,"")</f>
        <v/>
      </c>
      <c r="D241" t="str">
        <f>IF(AND('Entry list'!$I241=5,'Entry list'!$J241=5),'Entry list'!D241,"")</f>
        <v/>
      </c>
      <c r="E241" t="str">
        <f>IF(AND('Entry list'!$I241=5,'Entry list'!$J241=5),'Entry list'!E241,"")</f>
        <v/>
      </c>
      <c r="F241" t="str">
        <f>IF(AND('Entry list'!$I241=5,'Entry list'!$J241=5),'Entry list'!F241,"")</f>
        <v/>
      </c>
      <c r="G241" t="str">
        <f>IF(AND('Entry list'!$I241=5,'Entry list'!$J241=5),'Entry list'!G241,"")</f>
        <v/>
      </c>
      <c r="H241" t="str">
        <f>IF(AND('Entry list'!$I241=5,'Entry list'!$J241=5),'Entry list'!H241,"")</f>
        <v/>
      </c>
      <c r="I241" t="str">
        <f>IF(AND('Entry list'!$I241=5,'Entry list'!$J241=5),'Entry list'!K241,"")</f>
        <v/>
      </c>
      <c r="J241" t="str">
        <f>IF(AND('Entry list'!$I241=5,'Entry list'!$J241=5),'Entry list'!L241,"")</f>
        <v/>
      </c>
      <c r="K241" t="str">
        <f>IF(AND('Entry list'!$I241=5,'Entry list'!$J241=5),'Entry list'!M241,"")</f>
        <v/>
      </c>
      <c r="L241" t="str">
        <f>IF(AND('Entry list'!$I241=5,'Entry list'!$J241=5),'Entry list'!N241,"")</f>
        <v/>
      </c>
      <c r="M241" t="str">
        <f t="shared" si="9"/>
        <v/>
      </c>
      <c r="N241" t="str">
        <f t="shared" si="10"/>
        <v/>
      </c>
      <c r="O241" t="str">
        <f t="shared" si="11"/>
        <v/>
      </c>
    </row>
    <row r="242" spans="1:15" x14ac:dyDescent="0.25">
      <c r="A242">
        <f>IF(AND('Entry list'!$I242=5,'Entry list'!$J242=5),'Entry list'!A242,"")</f>
        <v>2</v>
      </c>
      <c r="B242">
        <f>IF(AND('Entry list'!$I242=5,'Entry list'!$J242=5),'Entry list'!B242,"")</f>
        <v>0.37013888888888891</v>
      </c>
      <c r="C242" t="str">
        <f>IF(AND('Entry list'!$I242=5,'Entry list'!$J242=5),'Entry list'!C242,"")</f>
        <v>FAC</v>
      </c>
      <c r="D242" t="str">
        <f>IF(AND('Entry list'!$I242=5,'Entry list'!$J242=5),'Entry list'!D242,"")</f>
        <v>OZF</v>
      </c>
      <c r="E242" t="str">
        <f>IF(AND('Entry list'!$I242=5,'Entry list'!$J242=5),'Entry list'!E242,"")</f>
        <v/>
      </c>
      <c r="F242" t="str">
        <f>IF(AND('Entry list'!$I242=5,'Entry list'!$J242=5),'Entry list'!F242,"")</f>
        <v/>
      </c>
      <c r="G242" t="str">
        <f>IF(AND('Entry list'!$I242=5,'Entry list'!$J242=5),'Entry list'!G242,"")</f>
        <v/>
      </c>
      <c r="H242" t="str">
        <f>IF(AND('Entry list'!$I242=5,'Entry list'!$J242=5),'Entry list'!H242,"")</f>
        <v/>
      </c>
      <c r="I242" t="str">
        <f>IF(AND('Entry list'!$I242=5,'Entry list'!$J242=5),'Entry list'!K242,"")</f>
        <v/>
      </c>
      <c r="J242">
        <f>IF(AND('Entry list'!$I242=5,'Entry list'!$J242=5),'Entry list'!L242,"")</f>
        <v>0</v>
      </c>
      <c r="K242">
        <f>IF(AND('Entry list'!$I242=5,'Entry list'!$J242=5),'Entry list'!M242,"")</f>
        <v>0</v>
      </c>
      <c r="L242" t="str">
        <f>IF(AND('Entry list'!$I242=5,'Entry list'!$J242=5),'Entry list'!N242,"")</f>
        <v/>
      </c>
      <c r="M242">
        <f t="shared" si="9"/>
        <v>0</v>
      </c>
      <c r="N242" t="str">
        <f t="shared" si="10"/>
        <v/>
      </c>
      <c r="O242" t="str">
        <f t="shared" si="11"/>
        <v/>
      </c>
    </row>
    <row r="243" spans="1:15" x14ac:dyDescent="0.25">
      <c r="A243">
        <f>IF(AND('Entry list'!$I243=5,'Entry list'!$J243=5),'Entry list'!A243,"")</f>
        <v>2</v>
      </c>
      <c r="B243">
        <f>IF(AND('Entry list'!$I243=5,'Entry list'!$J243=5),'Entry list'!B243,"")</f>
        <v>0.36458333333333331</v>
      </c>
      <c r="C243" t="str">
        <f>IF(AND('Entry list'!$I243=5,'Entry list'!$J243=5),'Entry list'!C243,"")</f>
        <v>D</v>
      </c>
      <c r="D243" t="str">
        <f>IF(AND('Entry list'!$I243=5,'Entry list'!$J243=5),'Entry list'!D243,"")</f>
        <v>2DET</v>
      </c>
      <c r="E243" t="str">
        <f>IF(AND('Entry list'!$I243=5,'Entry list'!$J243=5),'Entry list'!E243,"")</f>
        <v>4NSH</v>
      </c>
      <c r="F243" t="str">
        <f>IF(AND('Entry list'!$I243=5,'Entry list'!$J243=5),'Entry list'!F243,"")</f>
        <v/>
      </c>
      <c r="G243" t="str">
        <f>IF(AND('Entry list'!$I243=5,'Entry list'!$J243=5),'Entry list'!G243,"")</f>
        <v>L</v>
      </c>
      <c r="H243" t="str">
        <f>IF(AND('Entry list'!$I243=5,'Entry list'!$J243=5),'Entry list'!H243,"")</f>
        <v>N</v>
      </c>
      <c r="I243" t="str">
        <f>IF(AND('Entry list'!$I243=5,'Entry list'!$J243=5),'Entry list'!K243,"")</f>
        <v/>
      </c>
      <c r="J243">
        <f>IF(AND('Entry list'!$I243=5,'Entry list'!$J243=5),'Entry list'!L243,"")</f>
        <v>0</v>
      </c>
      <c r="K243">
        <f>IF(AND('Entry list'!$I243=5,'Entry list'!$J243=5),'Entry list'!M243,"")</f>
        <v>0</v>
      </c>
      <c r="L243" t="str">
        <f>IF(AND('Entry list'!$I243=5,'Entry list'!$J243=5),'Entry list'!N243,"")</f>
        <v/>
      </c>
      <c r="M243">
        <f t="shared" si="9"/>
        <v>0</v>
      </c>
      <c r="N243" t="str">
        <f t="shared" si="10"/>
        <v/>
      </c>
      <c r="O243" t="str">
        <f t="shared" si="11"/>
        <v/>
      </c>
    </row>
    <row r="244" spans="1:15" x14ac:dyDescent="0.25">
      <c r="A244">
        <f>IF(AND('Entry list'!$I244=5,'Entry list'!$J244=5),'Entry list'!A244,"")</f>
        <v>2</v>
      </c>
      <c r="B244">
        <f>IF(AND('Entry list'!$I244=5,'Entry list'!$J244=5),'Entry list'!B244,"")</f>
        <v>0.35625000000000001</v>
      </c>
      <c r="C244" t="str">
        <f>IF(AND('Entry list'!$I244=5,'Entry list'!$J244=5),'Entry list'!C244,"")</f>
        <v>D</v>
      </c>
      <c r="D244" t="str">
        <f>IF(AND('Entry list'!$I244=5,'Entry list'!$J244=5),'Entry list'!D244,"")</f>
        <v>38NSH</v>
      </c>
      <c r="E244" t="str">
        <f>IF(AND('Entry list'!$I244=5,'Entry list'!$J244=5),'Entry list'!E244,"")</f>
        <v>N</v>
      </c>
      <c r="F244" t="str">
        <f>IF(AND('Entry list'!$I244=5,'Entry list'!$J244=5),'Entry list'!F244,"")</f>
        <v/>
      </c>
      <c r="G244" t="str">
        <f>IF(AND('Entry list'!$I244=5,'Entry list'!$J244=5),'Entry list'!G244,"")</f>
        <v>R</v>
      </c>
      <c r="H244" t="str">
        <f>IF(AND('Entry list'!$I244=5,'Entry list'!$J244=5),'Entry list'!H244,"")</f>
        <v>N</v>
      </c>
      <c r="I244" t="str">
        <f>IF(AND('Entry list'!$I244=5,'Entry list'!$J244=5),'Entry list'!K244,"")</f>
        <v/>
      </c>
      <c r="J244">
        <f>IF(AND('Entry list'!$I244=5,'Entry list'!$J244=5),'Entry list'!L244,"")</f>
        <v>1</v>
      </c>
      <c r="K244">
        <f>IF(AND('Entry list'!$I244=5,'Entry list'!$J244=5),'Entry list'!M244,"")</f>
        <v>0</v>
      </c>
      <c r="L244" t="str">
        <f>IF(AND('Entry list'!$I244=5,'Entry list'!$J244=5),'Entry list'!N244,"")</f>
        <v/>
      </c>
      <c r="M244">
        <f t="shared" si="9"/>
        <v>0</v>
      </c>
      <c r="N244" t="str">
        <f t="shared" si="10"/>
        <v/>
      </c>
      <c r="O244" t="str">
        <f t="shared" si="11"/>
        <v/>
      </c>
    </row>
    <row r="245" spans="1:15" x14ac:dyDescent="0.25">
      <c r="A245" t="str">
        <f>IF(AND('Entry list'!$I245=5,'Entry list'!$J245=5),'Entry list'!A245,"")</f>
        <v/>
      </c>
      <c r="B245" t="str">
        <f>IF(AND('Entry list'!$I245=5,'Entry list'!$J245=5),'Entry list'!B245,"")</f>
        <v/>
      </c>
      <c r="C245" t="str">
        <f>IF(AND('Entry list'!$I245=5,'Entry list'!$J245=5),'Entry list'!C245,"")</f>
        <v/>
      </c>
      <c r="D245" t="str">
        <f>IF(AND('Entry list'!$I245=5,'Entry list'!$J245=5),'Entry list'!D245,"")</f>
        <v/>
      </c>
      <c r="E245" t="str">
        <f>IF(AND('Entry list'!$I245=5,'Entry list'!$J245=5),'Entry list'!E245,"")</f>
        <v/>
      </c>
      <c r="F245" t="str">
        <f>IF(AND('Entry list'!$I245=5,'Entry list'!$J245=5),'Entry list'!F245,"")</f>
        <v/>
      </c>
      <c r="G245" t="str">
        <f>IF(AND('Entry list'!$I245=5,'Entry list'!$J245=5),'Entry list'!G245,"")</f>
        <v/>
      </c>
      <c r="H245" t="str">
        <f>IF(AND('Entry list'!$I245=5,'Entry list'!$J245=5),'Entry list'!H245,"")</f>
        <v/>
      </c>
      <c r="I245" t="str">
        <f>IF(AND('Entry list'!$I245=5,'Entry list'!$J245=5),'Entry list'!K245,"")</f>
        <v/>
      </c>
      <c r="J245" t="str">
        <f>IF(AND('Entry list'!$I245=5,'Entry list'!$J245=5),'Entry list'!L245,"")</f>
        <v/>
      </c>
      <c r="K245" t="str">
        <f>IF(AND('Entry list'!$I245=5,'Entry list'!$J245=5),'Entry list'!M245,"")</f>
        <v/>
      </c>
      <c r="L245" t="str">
        <f>IF(AND('Entry list'!$I245=5,'Entry list'!$J245=5),'Entry list'!N245,"")</f>
        <v/>
      </c>
      <c r="M245" t="str">
        <f t="shared" si="9"/>
        <v/>
      </c>
      <c r="N245" t="str">
        <f t="shared" si="10"/>
        <v/>
      </c>
      <c r="O245" t="str">
        <f t="shared" si="11"/>
        <v/>
      </c>
    </row>
    <row r="246" spans="1:15" x14ac:dyDescent="0.25">
      <c r="A246" t="str">
        <f>IF(AND('Entry list'!$I246=5,'Entry list'!$J246=5),'Entry list'!A246,"")</f>
        <v/>
      </c>
      <c r="B246" t="str">
        <f>IF(AND('Entry list'!$I246=5,'Entry list'!$J246=5),'Entry list'!B246,"")</f>
        <v/>
      </c>
      <c r="C246" t="str">
        <f>IF(AND('Entry list'!$I246=5,'Entry list'!$J246=5),'Entry list'!C246,"")</f>
        <v/>
      </c>
      <c r="D246" t="str">
        <f>IF(AND('Entry list'!$I246=5,'Entry list'!$J246=5),'Entry list'!D246,"")</f>
        <v/>
      </c>
      <c r="E246" t="str">
        <f>IF(AND('Entry list'!$I246=5,'Entry list'!$J246=5),'Entry list'!E246,"")</f>
        <v/>
      </c>
      <c r="F246" t="str">
        <f>IF(AND('Entry list'!$I246=5,'Entry list'!$J246=5),'Entry list'!F246,"")</f>
        <v/>
      </c>
      <c r="G246" t="str">
        <f>IF(AND('Entry list'!$I246=5,'Entry list'!$J246=5),'Entry list'!G246,"")</f>
        <v/>
      </c>
      <c r="H246" t="str">
        <f>IF(AND('Entry list'!$I246=5,'Entry list'!$J246=5),'Entry list'!H246,"")</f>
        <v/>
      </c>
      <c r="I246" t="str">
        <f>IF(AND('Entry list'!$I246=5,'Entry list'!$J246=5),'Entry list'!K246,"")</f>
        <v/>
      </c>
      <c r="J246" t="str">
        <f>IF(AND('Entry list'!$I246=5,'Entry list'!$J246=5),'Entry list'!L246,"")</f>
        <v/>
      </c>
      <c r="K246" t="str">
        <f>IF(AND('Entry list'!$I246=5,'Entry list'!$J246=5),'Entry list'!M246,"")</f>
        <v/>
      </c>
      <c r="L246" t="str">
        <f>IF(AND('Entry list'!$I246=5,'Entry list'!$J246=5),'Entry list'!N246,"")</f>
        <v/>
      </c>
      <c r="M246" t="str">
        <f t="shared" si="9"/>
        <v/>
      </c>
      <c r="N246" t="str">
        <f t="shared" si="10"/>
        <v/>
      </c>
      <c r="O246" t="str">
        <f t="shared" si="11"/>
        <v/>
      </c>
    </row>
    <row r="247" spans="1:15" x14ac:dyDescent="0.25">
      <c r="A247">
        <f>IF(AND('Entry list'!$I247=5,'Entry list'!$J247=5),'Entry list'!A247,"")</f>
        <v>2</v>
      </c>
      <c r="B247">
        <f>IF(AND('Entry list'!$I247=5,'Entry list'!$J247=5),'Entry list'!B247,"")</f>
        <v>0.35347222222222224</v>
      </c>
      <c r="C247" t="str">
        <f>IF(AND('Entry list'!$I247=5,'Entry list'!$J247=5),'Entry list'!C247,"")</f>
        <v>FAC</v>
      </c>
      <c r="D247" t="str">
        <f>IF(AND('Entry list'!$I247=5,'Entry list'!$J247=5),'Entry list'!D247,"")</f>
        <v>DZF</v>
      </c>
      <c r="E247" t="str">
        <f>IF(AND('Entry list'!$I247=5,'Entry list'!$J247=5),'Entry list'!E247,"")</f>
        <v/>
      </c>
      <c r="F247" t="str">
        <f>IF(AND('Entry list'!$I247=5,'Entry list'!$J247=5),'Entry list'!F247,"")</f>
        <v/>
      </c>
      <c r="G247" t="str">
        <f>IF(AND('Entry list'!$I247=5,'Entry list'!$J247=5),'Entry list'!G247,"")</f>
        <v/>
      </c>
      <c r="H247" t="str">
        <f>IF(AND('Entry list'!$I247=5,'Entry list'!$J247=5),'Entry list'!H247,"")</f>
        <v/>
      </c>
      <c r="I247" t="str">
        <f>IF(AND('Entry list'!$I247=5,'Entry list'!$J247=5),'Entry list'!K247,"")</f>
        <v/>
      </c>
      <c r="J247">
        <f>IF(AND('Entry list'!$I247=5,'Entry list'!$J247=5),'Entry list'!L247,"")</f>
        <v>0</v>
      </c>
      <c r="K247">
        <f>IF(AND('Entry list'!$I247=5,'Entry list'!$J247=5),'Entry list'!M247,"")</f>
        <v>0</v>
      </c>
      <c r="L247" t="str">
        <f>IF(AND('Entry list'!$I247=5,'Entry list'!$J247=5),'Entry list'!N247,"")</f>
        <v/>
      </c>
      <c r="M247">
        <f t="shared" si="9"/>
        <v>0</v>
      </c>
      <c r="N247" t="str">
        <f t="shared" si="10"/>
        <v/>
      </c>
      <c r="O247" t="str">
        <f t="shared" si="11"/>
        <v/>
      </c>
    </row>
    <row r="248" spans="1:15" x14ac:dyDescent="0.25">
      <c r="A248">
        <f>IF(AND('Entry list'!$I248=5,'Entry list'!$J248=5),'Entry list'!A248,"")</f>
        <v>2</v>
      </c>
      <c r="B248">
        <f>IF(AND('Entry list'!$I248=5,'Entry list'!$J248=5),'Entry list'!B248,"")</f>
        <v>0.34791666666666665</v>
      </c>
      <c r="C248" t="str">
        <f>IF(AND('Entry list'!$I248=5,'Entry list'!$J248=5),'Entry list'!C248,"")</f>
        <v>C</v>
      </c>
      <c r="D248" t="str">
        <f>IF(AND('Entry list'!$I248=5,'Entry list'!$J248=5),'Entry list'!D248,"")</f>
        <v>63NSH</v>
      </c>
      <c r="E248" t="str">
        <f>IF(AND('Entry list'!$I248=5,'Entry list'!$J248=5),'Entry list'!E248,"")</f>
        <v>52DET</v>
      </c>
      <c r="F248" t="str">
        <f>IF(AND('Entry list'!$I248=5,'Entry list'!$J248=5),'Entry list'!F248,"")</f>
        <v>N</v>
      </c>
      <c r="G248" t="str">
        <f>IF(AND('Entry list'!$I248=5,'Entry list'!$J248=5),'Entry list'!G248,"")</f>
        <v>C</v>
      </c>
      <c r="H248" t="str">
        <f>IF(AND('Entry list'!$I248=5,'Entry list'!$J248=5),'Entry list'!H248,"")</f>
        <v>N</v>
      </c>
      <c r="I248" t="str">
        <f>IF(AND('Entry list'!$I248=5,'Entry list'!$J248=5),'Entry list'!K248,"")</f>
        <v>63NSH</v>
      </c>
      <c r="J248">
        <f>IF(AND('Entry list'!$I248=5,'Entry list'!$J248=5),'Entry list'!L248,"")</f>
        <v>0</v>
      </c>
      <c r="K248">
        <f>IF(AND('Entry list'!$I248=5,'Entry list'!$J248=5),'Entry list'!M248,"")</f>
        <v>0</v>
      </c>
      <c r="L248" t="str">
        <f>IF(AND('Entry list'!$I248=5,'Entry list'!$J248=5),'Entry list'!N248,"")</f>
        <v/>
      </c>
      <c r="M248">
        <f t="shared" si="9"/>
        <v>0</v>
      </c>
      <c r="N248">
        <f t="shared" si="10"/>
        <v>0</v>
      </c>
      <c r="O248" t="str">
        <f t="shared" si="11"/>
        <v/>
      </c>
    </row>
    <row r="249" spans="1:15" x14ac:dyDescent="0.25">
      <c r="A249">
        <f>IF(AND('Entry list'!$I249=5,'Entry list'!$J249=5),'Entry list'!A249,"")</f>
        <v>2</v>
      </c>
      <c r="B249">
        <f>IF(AND('Entry list'!$I249=5,'Entry list'!$J249=5),'Entry list'!B249,"")</f>
        <v>0.33749999999999997</v>
      </c>
      <c r="C249" t="str">
        <f>IF(AND('Entry list'!$I249=5,'Entry list'!$J249=5),'Entry list'!C249,"")</f>
        <v>D</v>
      </c>
      <c r="D249" t="str">
        <f>IF(AND('Entry list'!$I249=5,'Entry list'!$J249=5),'Entry list'!D249,"")</f>
        <v>21DET</v>
      </c>
      <c r="E249" t="str">
        <f>IF(AND('Entry list'!$I249=5,'Entry list'!$J249=5),'Entry list'!E249,"")</f>
        <v>76NSH</v>
      </c>
      <c r="F249" t="str">
        <f>IF(AND('Entry list'!$I249=5,'Entry list'!$J249=5),'Entry list'!F249,"")</f>
        <v/>
      </c>
      <c r="G249" t="str">
        <f>IF(AND('Entry list'!$I249=5,'Entry list'!$J249=5),'Entry list'!G249,"")</f>
        <v>R</v>
      </c>
      <c r="H249" t="str">
        <f>IF(AND('Entry list'!$I249=5,'Entry list'!$J249=5),'Entry list'!H249,"")</f>
        <v>N</v>
      </c>
      <c r="I249" t="str">
        <f>IF(AND('Entry list'!$I249=5,'Entry list'!$J249=5),'Entry list'!K249,"")</f>
        <v/>
      </c>
      <c r="J249">
        <f>IF(AND('Entry list'!$I249=5,'Entry list'!$J249=5),'Entry list'!L249,"")</f>
        <v>0</v>
      </c>
      <c r="K249">
        <f>IF(AND('Entry list'!$I249=5,'Entry list'!$J249=5),'Entry list'!M249,"")</f>
        <v>0</v>
      </c>
      <c r="L249" t="str">
        <f>IF(AND('Entry list'!$I249=5,'Entry list'!$J249=5),'Entry list'!N249,"")</f>
        <v/>
      </c>
      <c r="M249">
        <f t="shared" si="9"/>
        <v>0</v>
      </c>
      <c r="N249" t="str">
        <f t="shared" si="10"/>
        <v/>
      </c>
      <c r="O249" t="str">
        <f t="shared" si="11"/>
        <v/>
      </c>
    </row>
    <row r="250" spans="1:15" x14ac:dyDescent="0.25">
      <c r="A250">
        <f>IF(AND('Entry list'!$I250=5,'Entry list'!$J250=5),'Entry list'!A250,"")</f>
        <v>2</v>
      </c>
      <c r="B250">
        <f>IF(AND('Entry list'!$I250=5,'Entry list'!$J250=5),'Entry list'!B250,"")</f>
        <v>0.33333333333333331</v>
      </c>
      <c r="C250" t="str">
        <f>IF(AND('Entry list'!$I250=5,'Entry list'!$J250=5),'Entry list'!C250,"")</f>
        <v>C</v>
      </c>
      <c r="D250" t="str">
        <f>IF(AND('Entry list'!$I250=5,'Entry list'!$J250=5),'Entry list'!D250,"")</f>
        <v>10NSH</v>
      </c>
      <c r="E250" t="str">
        <f>IF(AND('Entry list'!$I250=5,'Entry list'!$J250=5),'Entry list'!E250,"")</f>
        <v>N</v>
      </c>
      <c r="F250" t="str">
        <f>IF(AND('Entry list'!$I250=5,'Entry list'!$J250=5),'Entry list'!F250,"")</f>
        <v>N</v>
      </c>
      <c r="G250" t="str">
        <f>IF(AND('Entry list'!$I250=5,'Entry list'!$J250=5),'Entry list'!G250,"")</f>
        <v>L</v>
      </c>
      <c r="H250" t="str">
        <f>IF(AND('Entry list'!$I250=5,'Entry list'!$J250=5),'Entry list'!H250,"")</f>
        <v>N</v>
      </c>
      <c r="I250" t="str">
        <f>IF(AND('Entry list'!$I250=5,'Entry list'!$J250=5),'Entry list'!K250,"")</f>
        <v>10NSH</v>
      </c>
      <c r="J250">
        <f>IF(AND('Entry list'!$I250=5,'Entry list'!$J250=5),'Entry list'!L250,"")</f>
        <v>2</v>
      </c>
      <c r="K250">
        <f>IF(AND('Entry list'!$I250=5,'Entry list'!$J250=5),'Entry list'!M250,"")</f>
        <v>0</v>
      </c>
      <c r="L250" t="str">
        <f>IF(AND('Entry list'!$I250=5,'Entry list'!$J250=5),'Entry list'!N250,"")</f>
        <v/>
      </c>
      <c r="M250">
        <f t="shared" si="9"/>
        <v>0</v>
      </c>
      <c r="N250">
        <f t="shared" si="10"/>
        <v>0</v>
      </c>
      <c r="O250" t="str">
        <f t="shared" si="11"/>
        <v/>
      </c>
    </row>
    <row r="251" spans="1:15" x14ac:dyDescent="0.25">
      <c r="A251" t="str">
        <f>IF(AND('Entry list'!$I251=5,'Entry list'!$J251=5),'Entry list'!A251,"")</f>
        <v/>
      </c>
      <c r="B251" t="str">
        <f>IF(AND('Entry list'!$I251=5,'Entry list'!$J251=5),'Entry list'!B251,"")</f>
        <v/>
      </c>
      <c r="C251" t="str">
        <f>IF(AND('Entry list'!$I251=5,'Entry list'!$J251=5),'Entry list'!C251,"")</f>
        <v/>
      </c>
      <c r="D251" t="str">
        <f>IF(AND('Entry list'!$I251=5,'Entry list'!$J251=5),'Entry list'!D251,"")</f>
        <v/>
      </c>
      <c r="E251" t="str">
        <f>IF(AND('Entry list'!$I251=5,'Entry list'!$J251=5),'Entry list'!E251,"")</f>
        <v/>
      </c>
      <c r="F251" t="str">
        <f>IF(AND('Entry list'!$I251=5,'Entry list'!$J251=5),'Entry list'!F251,"")</f>
        <v/>
      </c>
      <c r="G251" t="str">
        <f>IF(AND('Entry list'!$I251=5,'Entry list'!$J251=5),'Entry list'!G251,"")</f>
        <v/>
      </c>
      <c r="H251" t="str">
        <f>IF(AND('Entry list'!$I251=5,'Entry list'!$J251=5),'Entry list'!H251,"")</f>
        <v/>
      </c>
      <c r="I251" t="str">
        <f>IF(AND('Entry list'!$I251=5,'Entry list'!$J251=5),'Entry list'!K251,"")</f>
        <v/>
      </c>
      <c r="J251" t="str">
        <f>IF(AND('Entry list'!$I251=5,'Entry list'!$J251=5),'Entry list'!L251,"")</f>
        <v/>
      </c>
      <c r="K251" t="str">
        <f>IF(AND('Entry list'!$I251=5,'Entry list'!$J251=5),'Entry list'!M251,"")</f>
        <v/>
      </c>
      <c r="L251" t="str">
        <f>IF(AND('Entry list'!$I251=5,'Entry list'!$J251=5),'Entry list'!N251,"")</f>
        <v/>
      </c>
      <c r="M251" t="str">
        <f t="shared" si="9"/>
        <v/>
      </c>
      <c r="N251" t="str">
        <f t="shared" si="10"/>
        <v/>
      </c>
      <c r="O251" t="str">
        <f t="shared" si="11"/>
        <v/>
      </c>
    </row>
    <row r="252" spans="1:15" x14ac:dyDescent="0.25">
      <c r="A252" t="str">
        <f>IF(AND('Entry list'!$I252=5,'Entry list'!$J252=5),'Entry list'!A252,"")</f>
        <v/>
      </c>
      <c r="B252" t="str">
        <f>IF(AND('Entry list'!$I252=5,'Entry list'!$J252=5),'Entry list'!B252,"")</f>
        <v/>
      </c>
      <c r="C252" t="str">
        <f>IF(AND('Entry list'!$I252=5,'Entry list'!$J252=5),'Entry list'!C252,"")</f>
        <v/>
      </c>
      <c r="D252" t="str">
        <f>IF(AND('Entry list'!$I252=5,'Entry list'!$J252=5),'Entry list'!D252,"")</f>
        <v/>
      </c>
      <c r="E252" t="str">
        <f>IF(AND('Entry list'!$I252=5,'Entry list'!$J252=5),'Entry list'!E252,"")</f>
        <v/>
      </c>
      <c r="F252" t="str">
        <f>IF(AND('Entry list'!$I252=5,'Entry list'!$J252=5),'Entry list'!F252,"")</f>
        <v/>
      </c>
      <c r="G252" t="str">
        <f>IF(AND('Entry list'!$I252=5,'Entry list'!$J252=5),'Entry list'!G252,"")</f>
        <v/>
      </c>
      <c r="H252" t="str">
        <f>IF(AND('Entry list'!$I252=5,'Entry list'!$J252=5),'Entry list'!H252,"")</f>
        <v/>
      </c>
      <c r="I252" t="str">
        <f>IF(AND('Entry list'!$I252=5,'Entry list'!$J252=5),'Entry list'!K252,"")</f>
        <v/>
      </c>
      <c r="J252" t="str">
        <f>IF(AND('Entry list'!$I252=5,'Entry list'!$J252=5),'Entry list'!L252,"")</f>
        <v/>
      </c>
      <c r="K252" t="str">
        <f>IF(AND('Entry list'!$I252=5,'Entry list'!$J252=5),'Entry list'!M252,"")</f>
        <v/>
      </c>
      <c r="L252" t="str">
        <f>IF(AND('Entry list'!$I252=5,'Entry list'!$J252=5),'Entry list'!N252,"")</f>
        <v/>
      </c>
      <c r="M252" t="str">
        <f t="shared" si="9"/>
        <v/>
      </c>
      <c r="N252" t="str">
        <f t="shared" si="10"/>
        <v/>
      </c>
      <c r="O252" t="str">
        <f t="shared" si="11"/>
        <v/>
      </c>
    </row>
    <row r="253" spans="1:15" x14ac:dyDescent="0.25">
      <c r="A253" t="str">
        <f>IF(AND('Entry list'!$I253=5,'Entry list'!$J253=5),'Entry list'!A253,"")</f>
        <v/>
      </c>
      <c r="B253" t="str">
        <f>IF(AND('Entry list'!$I253=5,'Entry list'!$J253=5),'Entry list'!B253,"")</f>
        <v/>
      </c>
      <c r="C253" t="str">
        <f>IF(AND('Entry list'!$I253=5,'Entry list'!$J253=5),'Entry list'!C253,"")</f>
        <v/>
      </c>
      <c r="D253" t="str">
        <f>IF(AND('Entry list'!$I253=5,'Entry list'!$J253=5),'Entry list'!D253,"")</f>
        <v/>
      </c>
      <c r="E253" t="str">
        <f>IF(AND('Entry list'!$I253=5,'Entry list'!$J253=5),'Entry list'!E253,"")</f>
        <v/>
      </c>
      <c r="F253" t="str">
        <f>IF(AND('Entry list'!$I253=5,'Entry list'!$J253=5),'Entry list'!F253,"")</f>
        <v/>
      </c>
      <c r="G253" t="str">
        <f>IF(AND('Entry list'!$I253=5,'Entry list'!$J253=5),'Entry list'!G253,"")</f>
        <v/>
      </c>
      <c r="H253" t="str">
        <f>IF(AND('Entry list'!$I253=5,'Entry list'!$J253=5),'Entry list'!H253,"")</f>
        <v/>
      </c>
      <c r="I253" t="str">
        <f>IF(AND('Entry list'!$I253=5,'Entry list'!$J253=5),'Entry list'!K253,"")</f>
        <v/>
      </c>
      <c r="J253" t="str">
        <f>IF(AND('Entry list'!$I253=5,'Entry list'!$J253=5),'Entry list'!L253,"")</f>
        <v/>
      </c>
      <c r="K253" t="str">
        <f>IF(AND('Entry list'!$I253=5,'Entry list'!$J253=5),'Entry list'!M253,"")</f>
        <v/>
      </c>
      <c r="L253" t="str">
        <f>IF(AND('Entry list'!$I253=5,'Entry list'!$J253=5),'Entry list'!N253,"")</f>
        <v/>
      </c>
      <c r="M253" t="str">
        <f t="shared" si="9"/>
        <v/>
      </c>
      <c r="N253" t="str">
        <f t="shared" si="10"/>
        <v/>
      </c>
      <c r="O253" t="str">
        <f t="shared" si="11"/>
        <v/>
      </c>
    </row>
    <row r="254" spans="1:15" x14ac:dyDescent="0.25">
      <c r="A254" t="str">
        <f>IF(AND('Entry list'!$I254=5,'Entry list'!$J254=5),'Entry list'!A254,"")</f>
        <v/>
      </c>
      <c r="B254" t="str">
        <f>IF(AND('Entry list'!$I254=5,'Entry list'!$J254=5),'Entry list'!B254,"")</f>
        <v/>
      </c>
      <c r="C254" t="str">
        <f>IF(AND('Entry list'!$I254=5,'Entry list'!$J254=5),'Entry list'!C254,"")</f>
        <v/>
      </c>
      <c r="D254" t="str">
        <f>IF(AND('Entry list'!$I254=5,'Entry list'!$J254=5),'Entry list'!D254,"")</f>
        <v/>
      </c>
      <c r="E254" t="str">
        <f>IF(AND('Entry list'!$I254=5,'Entry list'!$J254=5),'Entry list'!E254,"")</f>
        <v/>
      </c>
      <c r="F254" t="str">
        <f>IF(AND('Entry list'!$I254=5,'Entry list'!$J254=5),'Entry list'!F254,"")</f>
        <v/>
      </c>
      <c r="G254" t="str">
        <f>IF(AND('Entry list'!$I254=5,'Entry list'!$J254=5),'Entry list'!G254,"")</f>
        <v/>
      </c>
      <c r="H254" t="str">
        <f>IF(AND('Entry list'!$I254=5,'Entry list'!$J254=5),'Entry list'!H254,"")</f>
        <v/>
      </c>
      <c r="I254" t="str">
        <f>IF(AND('Entry list'!$I254=5,'Entry list'!$J254=5),'Entry list'!K254,"")</f>
        <v/>
      </c>
      <c r="J254" t="str">
        <f>IF(AND('Entry list'!$I254=5,'Entry list'!$J254=5),'Entry list'!L254,"")</f>
        <v/>
      </c>
      <c r="K254" t="str">
        <f>IF(AND('Entry list'!$I254=5,'Entry list'!$J254=5),'Entry list'!M254,"")</f>
        <v/>
      </c>
      <c r="L254" t="str">
        <f>IF(AND('Entry list'!$I254=5,'Entry list'!$J254=5),'Entry list'!N254,"")</f>
        <v/>
      </c>
      <c r="M254" t="str">
        <f t="shared" si="9"/>
        <v/>
      </c>
      <c r="N254" t="str">
        <f t="shared" si="10"/>
        <v/>
      </c>
      <c r="O254" t="str">
        <f t="shared" si="11"/>
        <v/>
      </c>
    </row>
    <row r="255" spans="1:15" x14ac:dyDescent="0.25">
      <c r="A255" t="str">
        <f>IF(AND('Entry list'!$I255=5,'Entry list'!$J255=5),'Entry list'!A255,"")</f>
        <v/>
      </c>
      <c r="B255" t="str">
        <f>IF(AND('Entry list'!$I255=5,'Entry list'!$J255=5),'Entry list'!B255,"")</f>
        <v/>
      </c>
      <c r="C255" t="str">
        <f>IF(AND('Entry list'!$I255=5,'Entry list'!$J255=5),'Entry list'!C255,"")</f>
        <v/>
      </c>
      <c r="D255" t="str">
        <f>IF(AND('Entry list'!$I255=5,'Entry list'!$J255=5),'Entry list'!D255,"")</f>
        <v/>
      </c>
      <c r="E255" t="str">
        <f>IF(AND('Entry list'!$I255=5,'Entry list'!$J255=5),'Entry list'!E255,"")</f>
        <v/>
      </c>
      <c r="F255" t="str">
        <f>IF(AND('Entry list'!$I255=5,'Entry list'!$J255=5),'Entry list'!F255,"")</f>
        <v/>
      </c>
      <c r="G255" t="str">
        <f>IF(AND('Entry list'!$I255=5,'Entry list'!$J255=5),'Entry list'!G255,"")</f>
        <v/>
      </c>
      <c r="H255" t="str">
        <f>IF(AND('Entry list'!$I255=5,'Entry list'!$J255=5),'Entry list'!H255,"")</f>
        <v/>
      </c>
      <c r="I255" t="str">
        <f>IF(AND('Entry list'!$I255=5,'Entry list'!$J255=5),'Entry list'!K255,"")</f>
        <v/>
      </c>
      <c r="J255" t="str">
        <f>IF(AND('Entry list'!$I255=5,'Entry list'!$J255=5),'Entry list'!L255,"")</f>
        <v/>
      </c>
      <c r="K255" t="str">
        <f>IF(AND('Entry list'!$I255=5,'Entry list'!$J255=5),'Entry list'!M255,"")</f>
        <v/>
      </c>
      <c r="L255" t="str">
        <f>IF(AND('Entry list'!$I255=5,'Entry list'!$J255=5),'Entry list'!N255,"")</f>
        <v/>
      </c>
      <c r="M255" t="str">
        <f t="shared" si="9"/>
        <v/>
      </c>
      <c r="N255" t="str">
        <f t="shared" si="10"/>
        <v/>
      </c>
      <c r="O255" t="str">
        <f t="shared" si="11"/>
        <v/>
      </c>
    </row>
    <row r="256" spans="1:15" x14ac:dyDescent="0.25">
      <c r="A256" t="str">
        <f>IF(AND('Entry list'!$I256=5,'Entry list'!$J256=5),'Entry list'!A256,"")</f>
        <v/>
      </c>
      <c r="B256" t="str">
        <f>IF(AND('Entry list'!$I256=5,'Entry list'!$J256=5),'Entry list'!B256,"")</f>
        <v/>
      </c>
      <c r="C256" t="str">
        <f>IF(AND('Entry list'!$I256=5,'Entry list'!$J256=5),'Entry list'!C256,"")</f>
        <v/>
      </c>
      <c r="D256" t="str">
        <f>IF(AND('Entry list'!$I256=5,'Entry list'!$J256=5),'Entry list'!D256,"")</f>
        <v/>
      </c>
      <c r="E256" t="str">
        <f>IF(AND('Entry list'!$I256=5,'Entry list'!$J256=5),'Entry list'!E256,"")</f>
        <v/>
      </c>
      <c r="F256" t="str">
        <f>IF(AND('Entry list'!$I256=5,'Entry list'!$J256=5),'Entry list'!F256,"")</f>
        <v/>
      </c>
      <c r="G256" t="str">
        <f>IF(AND('Entry list'!$I256=5,'Entry list'!$J256=5),'Entry list'!G256,"")</f>
        <v/>
      </c>
      <c r="H256" t="str">
        <f>IF(AND('Entry list'!$I256=5,'Entry list'!$J256=5),'Entry list'!H256,"")</f>
        <v/>
      </c>
      <c r="I256" t="str">
        <f>IF(AND('Entry list'!$I256=5,'Entry list'!$J256=5),'Entry list'!K256,"")</f>
        <v/>
      </c>
      <c r="J256" t="str">
        <f>IF(AND('Entry list'!$I256=5,'Entry list'!$J256=5),'Entry list'!L256,"")</f>
        <v/>
      </c>
      <c r="K256" t="str">
        <f>IF(AND('Entry list'!$I256=5,'Entry list'!$J256=5),'Entry list'!M256,"")</f>
        <v/>
      </c>
      <c r="L256" t="str">
        <f>IF(AND('Entry list'!$I256=5,'Entry list'!$J256=5),'Entry list'!N256,"")</f>
        <v/>
      </c>
      <c r="M256" t="str">
        <f t="shared" si="9"/>
        <v/>
      </c>
      <c r="N256" t="str">
        <f t="shared" si="10"/>
        <v/>
      </c>
      <c r="O256" t="str">
        <f t="shared" si="11"/>
        <v/>
      </c>
    </row>
    <row r="257" spans="1:15" x14ac:dyDescent="0.25">
      <c r="A257" t="str">
        <f>IF(AND('Entry list'!$I257=5,'Entry list'!$J257=5),'Entry list'!A257,"")</f>
        <v/>
      </c>
      <c r="B257" t="str">
        <f>IF(AND('Entry list'!$I257=5,'Entry list'!$J257=5),'Entry list'!B257,"")</f>
        <v/>
      </c>
      <c r="C257" t="str">
        <f>IF(AND('Entry list'!$I257=5,'Entry list'!$J257=5),'Entry list'!C257,"")</f>
        <v/>
      </c>
      <c r="D257" t="str">
        <f>IF(AND('Entry list'!$I257=5,'Entry list'!$J257=5),'Entry list'!D257,"")</f>
        <v/>
      </c>
      <c r="E257" t="str">
        <f>IF(AND('Entry list'!$I257=5,'Entry list'!$J257=5),'Entry list'!E257,"")</f>
        <v/>
      </c>
      <c r="F257" t="str">
        <f>IF(AND('Entry list'!$I257=5,'Entry list'!$J257=5),'Entry list'!F257,"")</f>
        <v/>
      </c>
      <c r="G257" t="str">
        <f>IF(AND('Entry list'!$I257=5,'Entry list'!$J257=5),'Entry list'!G257,"")</f>
        <v/>
      </c>
      <c r="H257" t="str">
        <f>IF(AND('Entry list'!$I257=5,'Entry list'!$J257=5),'Entry list'!H257,"")</f>
        <v/>
      </c>
      <c r="I257" t="str">
        <f>IF(AND('Entry list'!$I257=5,'Entry list'!$J257=5),'Entry list'!K257,"")</f>
        <v/>
      </c>
      <c r="J257" t="str">
        <f>IF(AND('Entry list'!$I257=5,'Entry list'!$J257=5),'Entry list'!L257,"")</f>
        <v/>
      </c>
      <c r="K257" t="str">
        <f>IF(AND('Entry list'!$I257=5,'Entry list'!$J257=5),'Entry list'!M257,"")</f>
        <v/>
      </c>
      <c r="L257" t="str">
        <f>IF(AND('Entry list'!$I257=5,'Entry list'!$J257=5),'Entry list'!N257,"")</f>
        <v/>
      </c>
      <c r="M257" t="str">
        <f t="shared" si="9"/>
        <v/>
      </c>
      <c r="N257" t="str">
        <f t="shared" si="10"/>
        <v/>
      </c>
      <c r="O257" t="str">
        <f t="shared" si="11"/>
        <v/>
      </c>
    </row>
    <row r="258" spans="1:15" x14ac:dyDescent="0.25">
      <c r="A258" t="str">
        <f>IF(AND('Entry list'!$I258=5,'Entry list'!$J258=5),'Entry list'!A258,"")</f>
        <v/>
      </c>
      <c r="B258" t="str">
        <f>IF(AND('Entry list'!$I258=5,'Entry list'!$J258=5),'Entry list'!B258,"")</f>
        <v/>
      </c>
      <c r="C258" t="str">
        <f>IF(AND('Entry list'!$I258=5,'Entry list'!$J258=5),'Entry list'!C258,"")</f>
        <v/>
      </c>
      <c r="D258" t="str">
        <f>IF(AND('Entry list'!$I258=5,'Entry list'!$J258=5),'Entry list'!D258,"")</f>
        <v/>
      </c>
      <c r="E258" t="str">
        <f>IF(AND('Entry list'!$I258=5,'Entry list'!$J258=5),'Entry list'!E258,"")</f>
        <v/>
      </c>
      <c r="F258" t="str">
        <f>IF(AND('Entry list'!$I258=5,'Entry list'!$J258=5),'Entry list'!F258,"")</f>
        <v/>
      </c>
      <c r="G258" t="str">
        <f>IF(AND('Entry list'!$I258=5,'Entry list'!$J258=5),'Entry list'!G258,"")</f>
        <v/>
      </c>
      <c r="H258" t="str">
        <f>IF(AND('Entry list'!$I258=5,'Entry list'!$J258=5),'Entry list'!H258,"")</f>
        <v/>
      </c>
      <c r="I258" t="str">
        <f>IF(AND('Entry list'!$I258=5,'Entry list'!$J258=5),'Entry list'!K258,"")</f>
        <v/>
      </c>
      <c r="J258" t="str">
        <f>IF(AND('Entry list'!$I258=5,'Entry list'!$J258=5),'Entry list'!L258,"")</f>
        <v/>
      </c>
      <c r="K258" t="str">
        <f>IF(AND('Entry list'!$I258=5,'Entry list'!$J258=5),'Entry list'!M258,"")</f>
        <v/>
      </c>
      <c r="L258" t="str">
        <f>IF(AND('Entry list'!$I258=5,'Entry list'!$J258=5),'Entry list'!N258,"")</f>
        <v/>
      </c>
      <c r="M258" t="str">
        <f t="shared" si="9"/>
        <v/>
      </c>
      <c r="N258" t="str">
        <f t="shared" si="10"/>
        <v/>
      </c>
      <c r="O258" t="str">
        <f t="shared" si="11"/>
        <v/>
      </c>
    </row>
    <row r="259" spans="1:15" x14ac:dyDescent="0.25">
      <c r="A259" t="str">
        <f>IF(AND('Entry list'!$I259=5,'Entry list'!$J259=5),'Entry list'!A259,"")</f>
        <v/>
      </c>
      <c r="B259" t="str">
        <f>IF(AND('Entry list'!$I259=5,'Entry list'!$J259=5),'Entry list'!B259,"")</f>
        <v/>
      </c>
      <c r="C259" t="str">
        <f>IF(AND('Entry list'!$I259=5,'Entry list'!$J259=5),'Entry list'!C259,"")</f>
        <v/>
      </c>
      <c r="D259" t="str">
        <f>IF(AND('Entry list'!$I259=5,'Entry list'!$J259=5),'Entry list'!D259,"")</f>
        <v/>
      </c>
      <c r="E259" t="str">
        <f>IF(AND('Entry list'!$I259=5,'Entry list'!$J259=5),'Entry list'!E259,"")</f>
        <v/>
      </c>
      <c r="F259" t="str">
        <f>IF(AND('Entry list'!$I259=5,'Entry list'!$J259=5),'Entry list'!F259,"")</f>
        <v/>
      </c>
      <c r="G259" t="str">
        <f>IF(AND('Entry list'!$I259=5,'Entry list'!$J259=5),'Entry list'!G259,"")</f>
        <v/>
      </c>
      <c r="H259" t="str">
        <f>IF(AND('Entry list'!$I259=5,'Entry list'!$J259=5),'Entry list'!H259,"")</f>
        <v/>
      </c>
      <c r="I259" t="str">
        <f>IF(AND('Entry list'!$I259=5,'Entry list'!$J259=5),'Entry list'!K259,"")</f>
        <v/>
      </c>
      <c r="J259" t="str">
        <f>IF(AND('Entry list'!$I259=5,'Entry list'!$J259=5),'Entry list'!L259,"")</f>
        <v/>
      </c>
      <c r="K259" t="str">
        <f>IF(AND('Entry list'!$I259=5,'Entry list'!$J259=5),'Entry list'!M259,"")</f>
        <v/>
      </c>
      <c r="L259" t="str">
        <f>IF(AND('Entry list'!$I259=5,'Entry list'!$J259=5),'Entry list'!N259,"")</f>
        <v/>
      </c>
      <c r="M259" t="str">
        <f t="shared" ref="M259:M322" si="12">IF(EXACT(D259,""),"",IF(EXACT(LEFT(D259,3),"WSH"),1,0))</f>
        <v/>
      </c>
      <c r="N259" t="str">
        <f t="shared" ref="N259:N322" si="13">IF(EXACT(I259,""),"",IF(EXACT(LEFT(I259,3),"WSH"),1,0))</f>
        <v/>
      </c>
      <c r="O259" t="str">
        <f t="shared" ref="O259:O322" si="14">IF(EXACT(L259,""),"",IF(EXACT(LEFT(L259,3),"WSH"),1,0))</f>
        <v/>
      </c>
    </row>
    <row r="260" spans="1:15" x14ac:dyDescent="0.25">
      <c r="A260" t="str">
        <f>IF(AND('Entry list'!$I260=5,'Entry list'!$J260=5),'Entry list'!A260,"")</f>
        <v/>
      </c>
      <c r="B260" t="str">
        <f>IF(AND('Entry list'!$I260=5,'Entry list'!$J260=5),'Entry list'!B260,"")</f>
        <v/>
      </c>
      <c r="C260" t="str">
        <f>IF(AND('Entry list'!$I260=5,'Entry list'!$J260=5),'Entry list'!C260,"")</f>
        <v/>
      </c>
      <c r="D260" t="str">
        <f>IF(AND('Entry list'!$I260=5,'Entry list'!$J260=5),'Entry list'!D260,"")</f>
        <v/>
      </c>
      <c r="E260" t="str">
        <f>IF(AND('Entry list'!$I260=5,'Entry list'!$J260=5),'Entry list'!E260,"")</f>
        <v/>
      </c>
      <c r="F260" t="str">
        <f>IF(AND('Entry list'!$I260=5,'Entry list'!$J260=5),'Entry list'!F260,"")</f>
        <v/>
      </c>
      <c r="G260" t="str">
        <f>IF(AND('Entry list'!$I260=5,'Entry list'!$J260=5),'Entry list'!G260,"")</f>
        <v/>
      </c>
      <c r="H260" t="str">
        <f>IF(AND('Entry list'!$I260=5,'Entry list'!$J260=5),'Entry list'!H260,"")</f>
        <v/>
      </c>
      <c r="I260" t="str">
        <f>IF(AND('Entry list'!$I260=5,'Entry list'!$J260=5),'Entry list'!K260,"")</f>
        <v/>
      </c>
      <c r="J260" t="str">
        <f>IF(AND('Entry list'!$I260=5,'Entry list'!$J260=5),'Entry list'!L260,"")</f>
        <v/>
      </c>
      <c r="K260" t="str">
        <f>IF(AND('Entry list'!$I260=5,'Entry list'!$J260=5),'Entry list'!M260,"")</f>
        <v/>
      </c>
      <c r="L260" t="str">
        <f>IF(AND('Entry list'!$I260=5,'Entry list'!$J260=5),'Entry list'!N260,"")</f>
        <v/>
      </c>
      <c r="M260" t="str">
        <f t="shared" si="12"/>
        <v/>
      </c>
      <c r="N260" t="str">
        <f t="shared" si="13"/>
        <v/>
      </c>
      <c r="O260" t="str">
        <f t="shared" si="14"/>
        <v/>
      </c>
    </row>
    <row r="261" spans="1:15" x14ac:dyDescent="0.25">
      <c r="A261" t="str">
        <f>IF(AND('Entry list'!$I261=5,'Entry list'!$J261=5),'Entry list'!A261,"")</f>
        <v/>
      </c>
      <c r="B261" t="str">
        <f>IF(AND('Entry list'!$I261=5,'Entry list'!$J261=5),'Entry list'!B261,"")</f>
        <v/>
      </c>
      <c r="C261" t="str">
        <f>IF(AND('Entry list'!$I261=5,'Entry list'!$J261=5),'Entry list'!C261,"")</f>
        <v/>
      </c>
      <c r="D261" t="str">
        <f>IF(AND('Entry list'!$I261=5,'Entry list'!$J261=5),'Entry list'!D261,"")</f>
        <v/>
      </c>
      <c r="E261" t="str">
        <f>IF(AND('Entry list'!$I261=5,'Entry list'!$J261=5),'Entry list'!E261,"")</f>
        <v/>
      </c>
      <c r="F261" t="str">
        <f>IF(AND('Entry list'!$I261=5,'Entry list'!$J261=5),'Entry list'!F261,"")</f>
        <v/>
      </c>
      <c r="G261" t="str">
        <f>IF(AND('Entry list'!$I261=5,'Entry list'!$J261=5),'Entry list'!G261,"")</f>
        <v/>
      </c>
      <c r="H261" t="str">
        <f>IF(AND('Entry list'!$I261=5,'Entry list'!$J261=5),'Entry list'!H261,"")</f>
        <v/>
      </c>
      <c r="I261" t="str">
        <f>IF(AND('Entry list'!$I261=5,'Entry list'!$J261=5),'Entry list'!K261,"")</f>
        <v/>
      </c>
      <c r="J261" t="str">
        <f>IF(AND('Entry list'!$I261=5,'Entry list'!$J261=5),'Entry list'!L261,"")</f>
        <v/>
      </c>
      <c r="K261" t="str">
        <f>IF(AND('Entry list'!$I261=5,'Entry list'!$J261=5),'Entry list'!M261,"")</f>
        <v/>
      </c>
      <c r="L261" t="str">
        <f>IF(AND('Entry list'!$I261=5,'Entry list'!$J261=5),'Entry list'!N261,"")</f>
        <v/>
      </c>
      <c r="M261" t="str">
        <f t="shared" si="12"/>
        <v/>
      </c>
      <c r="N261" t="str">
        <f t="shared" si="13"/>
        <v/>
      </c>
      <c r="O261" t="str">
        <f t="shared" si="14"/>
        <v/>
      </c>
    </row>
    <row r="262" spans="1:15" x14ac:dyDescent="0.25">
      <c r="A262" t="str">
        <f>IF(AND('Entry list'!$I262=5,'Entry list'!$J262=5),'Entry list'!A262,"")</f>
        <v/>
      </c>
      <c r="B262" t="str">
        <f>IF(AND('Entry list'!$I262=5,'Entry list'!$J262=5),'Entry list'!B262,"")</f>
        <v/>
      </c>
      <c r="C262" t="str">
        <f>IF(AND('Entry list'!$I262=5,'Entry list'!$J262=5),'Entry list'!C262,"")</f>
        <v/>
      </c>
      <c r="D262" t="str">
        <f>IF(AND('Entry list'!$I262=5,'Entry list'!$J262=5),'Entry list'!D262,"")</f>
        <v/>
      </c>
      <c r="E262" t="str">
        <f>IF(AND('Entry list'!$I262=5,'Entry list'!$J262=5),'Entry list'!E262,"")</f>
        <v/>
      </c>
      <c r="F262" t="str">
        <f>IF(AND('Entry list'!$I262=5,'Entry list'!$J262=5),'Entry list'!F262,"")</f>
        <v/>
      </c>
      <c r="G262" t="str">
        <f>IF(AND('Entry list'!$I262=5,'Entry list'!$J262=5),'Entry list'!G262,"")</f>
        <v/>
      </c>
      <c r="H262" t="str">
        <f>IF(AND('Entry list'!$I262=5,'Entry list'!$J262=5),'Entry list'!H262,"")</f>
        <v/>
      </c>
      <c r="I262" t="str">
        <f>IF(AND('Entry list'!$I262=5,'Entry list'!$J262=5),'Entry list'!K262,"")</f>
        <v/>
      </c>
      <c r="J262" t="str">
        <f>IF(AND('Entry list'!$I262=5,'Entry list'!$J262=5),'Entry list'!L262,"")</f>
        <v/>
      </c>
      <c r="K262" t="str">
        <f>IF(AND('Entry list'!$I262=5,'Entry list'!$J262=5),'Entry list'!M262,"")</f>
        <v/>
      </c>
      <c r="L262" t="str">
        <f>IF(AND('Entry list'!$I262=5,'Entry list'!$J262=5),'Entry list'!N262,"")</f>
        <v/>
      </c>
      <c r="M262" t="str">
        <f t="shared" si="12"/>
        <v/>
      </c>
      <c r="N262" t="str">
        <f t="shared" si="13"/>
        <v/>
      </c>
      <c r="O262" t="str">
        <f t="shared" si="14"/>
        <v/>
      </c>
    </row>
    <row r="263" spans="1:15" x14ac:dyDescent="0.25">
      <c r="A263" t="str">
        <f>IF(AND('Entry list'!$I263=5,'Entry list'!$J263=5),'Entry list'!A263,"")</f>
        <v/>
      </c>
      <c r="B263" t="str">
        <f>IF(AND('Entry list'!$I263=5,'Entry list'!$J263=5),'Entry list'!B263,"")</f>
        <v/>
      </c>
      <c r="C263" t="str">
        <f>IF(AND('Entry list'!$I263=5,'Entry list'!$J263=5),'Entry list'!C263,"")</f>
        <v/>
      </c>
      <c r="D263" t="str">
        <f>IF(AND('Entry list'!$I263=5,'Entry list'!$J263=5),'Entry list'!D263,"")</f>
        <v/>
      </c>
      <c r="E263" t="str">
        <f>IF(AND('Entry list'!$I263=5,'Entry list'!$J263=5),'Entry list'!E263,"")</f>
        <v/>
      </c>
      <c r="F263" t="str">
        <f>IF(AND('Entry list'!$I263=5,'Entry list'!$J263=5),'Entry list'!F263,"")</f>
        <v/>
      </c>
      <c r="G263" t="str">
        <f>IF(AND('Entry list'!$I263=5,'Entry list'!$J263=5),'Entry list'!G263,"")</f>
        <v/>
      </c>
      <c r="H263" t="str">
        <f>IF(AND('Entry list'!$I263=5,'Entry list'!$J263=5),'Entry list'!H263,"")</f>
        <v/>
      </c>
      <c r="I263" t="str">
        <f>IF(AND('Entry list'!$I263=5,'Entry list'!$J263=5),'Entry list'!K263,"")</f>
        <v/>
      </c>
      <c r="J263" t="str">
        <f>IF(AND('Entry list'!$I263=5,'Entry list'!$J263=5),'Entry list'!L263,"")</f>
        <v/>
      </c>
      <c r="K263" t="str">
        <f>IF(AND('Entry list'!$I263=5,'Entry list'!$J263=5),'Entry list'!M263,"")</f>
        <v/>
      </c>
      <c r="L263" t="str">
        <f>IF(AND('Entry list'!$I263=5,'Entry list'!$J263=5),'Entry list'!N263,"")</f>
        <v/>
      </c>
      <c r="M263" t="str">
        <f t="shared" si="12"/>
        <v/>
      </c>
      <c r="N263" t="str">
        <f t="shared" si="13"/>
        <v/>
      </c>
      <c r="O263" t="str">
        <f t="shared" si="14"/>
        <v/>
      </c>
    </row>
    <row r="264" spans="1:15" x14ac:dyDescent="0.25">
      <c r="A264" t="str">
        <f>IF(AND('Entry list'!$I264=5,'Entry list'!$J264=5),'Entry list'!A264,"")</f>
        <v/>
      </c>
      <c r="B264" t="str">
        <f>IF(AND('Entry list'!$I264=5,'Entry list'!$J264=5),'Entry list'!B264,"")</f>
        <v/>
      </c>
      <c r="C264" t="str">
        <f>IF(AND('Entry list'!$I264=5,'Entry list'!$J264=5),'Entry list'!C264,"")</f>
        <v/>
      </c>
      <c r="D264" t="str">
        <f>IF(AND('Entry list'!$I264=5,'Entry list'!$J264=5),'Entry list'!D264,"")</f>
        <v/>
      </c>
      <c r="E264" t="str">
        <f>IF(AND('Entry list'!$I264=5,'Entry list'!$J264=5),'Entry list'!E264,"")</f>
        <v/>
      </c>
      <c r="F264" t="str">
        <f>IF(AND('Entry list'!$I264=5,'Entry list'!$J264=5),'Entry list'!F264,"")</f>
        <v/>
      </c>
      <c r="G264" t="str">
        <f>IF(AND('Entry list'!$I264=5,'Entry list'!$J264=5),'Entry list'!G264,"")</f>
        <v/>
      </c>
      <c r="H264" t="str">
        <f>IF(AND('Entry list'!$I264=5,'Entry list'!$J264=5),'Entry list'!H264,"")</f>
        <v/>
      </c>
      <c r="I264" t="str">
        <f>IF(AND('Entry list'!$I264=5,'Entry list'!$J264=5),'Entry list'!K264,"")</f>
        <v/>
      </c>
      <c r="J264" t="str">
        <f>IF(AND('Entry list'!$I264=5,'Entry list'!$J264=5),'Entry list'!L264,"")</f>
        <v/>
      </c>
      <c r="K264" t="str">
        <f>IF(AND('Entry list'!$I264=5,'Entry list'!$J264=5),'Entry list'!M264,"")</f>
        <v/>
      </c>
      <c r="L264" t="str">
        <f>IF(AND('Entry list'!$I264=5,'Entry list'!$J264=5),'Entry list'!N264,"")</f>
        <v/>
      </c>
      <c r="M264" t="str">
        <f t="shared" si="12"/>
        <v/>
      </c>
      <c r="N264" t="str">
        <f t="shared" si="13"/>
        <v/>
      </c>
      <c r="O264" t="str">
        <f t="shared" si="14"/>
        <v/>
      </c>
    </row>
    <row r="265" spans="1:15" x14ac:dyDescent="0.25">
      <c r="A265" t="str">
        <f>IF(AND('Entry list'!$I265=5,'Entry list'!$J265=5),'Entry list'!A265,"")</f>
        <v/>
      </c>
      <c r="B265" t="str">
        <f>IF(AND('Entry list'!$I265=5,'Entry list'!$J265=5),'Entry list'!B265,"")</f>
        <v/>
      </c>
      <c r="C265" t="str">
        <f>IF(AND('Entry list'!$I265=5,'Entry list'!$J265=5),'Entry list'!C265,"")</f>
        <v/>
      </c>
      <c r="D265" t="str">
        <f>IF(AND('Entry list'!$I265=5,'Entry list'!$J265=5),'Entry list'!D265,"")</f>
        <v/>
      </c>
      <c r="E265" t="str">
        <f>IF(AND('Entry list'!$I265=5,'Entry list'!$J265=5),'Entry list'!E265,"")</f>
        <v/>
      </c>
      <c r="F265" t="str">
        <f>IF(AND('Entry list'!$I265=5,'Entry list'!$J265=5),'Entry list'!F265,"")</f>
        <v/>
      </c>
      <c r="G265" t="str">
        <f>IF(AND('Entry list'!$I265=5,'Entry list'!$J265=5),'Entry list'!G265,"")</f>
        <v/>
      </c>
      <c r="H265" t="str">
        <f>IF(AND('Entry list'!$I265=5,'Entry list'!$J265=5),'Entry list'!H265,"")</f>
        <v/>
      </c>
      <c r="I265" t="str">
        <f>IF(AND('Entry list'!$I265=5,'Entry list'!$J265=5),'Entry list'!K265,"")</f>
        <v/>
      </c>
      <c r="J265" t="str">
        <f>IF(AND('Entry list'!$I265=5,'Entry list'!$J265=5),'Entry list'!L265,"")</f>
        <v/>
      </c>
      <c r="K265" t="str">
        <f>IF(AND('Entry list'!$I265=5,'Entry list'!$J265=5),'Entry list'!M265,"")</f>
        <v/>
      </c>
      <c r="L265" t="str">
        <f>IF(AND('Entry list'!$I265=5,'Entry list'!$J265=5),'Entry list'!N265,"")</f>
        <v/>
      </c>
      <c r="M265" t="str">
        <f t="shared" si="12"/>
        <v/>
      </c>
      <c r="N265" t="str">
        <f t="shared" si="13"/>
        <v/>
      </c>
      <c r="O265" t="str">
        <f t="shared" si="14"/>
        <v/>
      </c>
    </row>
    <row r="266" spans="1:15" x14ac:dyDescent="0.25">
      <c r="A266" t="str">
        <f>IF(AND('Entry list'!$I266=5,'Entry list'!$J266=5),'Entry list'!A266,"")</f>
        <v/>
      </c>
      <c r="B266" t="str">
        <f>IF(AND('Entry list'!$I266=5,'Entry list'!$J266=5),'Entry list'!B266,"")</f>
        <v/>
      </c>
      <c r="C266" t="str">
        <f>IF(AND('Entry list'!$I266=5,'Entry list'!$J266=5),'Entry list'!C266,"")</f>
        <v/>
      </c>
      <c r="D266" t="str">
        <f>IF(AND('Entry list'!$I266=5,'Entry list'!$J266=5),'Entry list'!D266,"")</f>
        <v/>
      </c>
      <c r="E266" t="str">
        <f>IF(AND('Entry list'!$I266=5,'Entry list'!$J266=5),'Entry list'!E266,"")</f>
        <v/>
      </c>
      <c r="F266" t="str">
        <f>IF(AND('Entry list'!$I266=5,'Entry list'!$J266=5),'Entry list'!F266,"")</f>
        <v/>
      </c>
      <c r="G266" t="str">
        <f>IF(AND('Entry list'!$I266=5,'Entry list'!$J266=5),'Entry list'!G266,"")</f>
        <v/>
      </c>
      <c r="H266" t="str">
        <f>IF(AND('Entry list'!$I266=5,'Entry list'!$J266=5),'Entry list'!H266,"")</f>
        <v/>
      </c>
      <c r="I266" t="str">
        <f>IF(AND('Entry list'!$I266=5,'Entry list'!$J266=5),'Entry list'!K266,"")</f>
        <v/>
      </c>
      <c r="J266" t="str">
        <f>IF(AND('Entry list'!$I266=5,'Entry list'!$J266=5),'Entry list'!L266,"")</f>
        <v/>
      </c>
      <c r="K266" t="str">
        <f>IF(AND('Entry list'!$I266=5,'Entry list'!$J266=5),'Entry list'!M266,"")</f>
        <v/>
      </c>
      <c r="L266" t="str">
        <f>IF(AND('Entry list'!$I266=5,'Entry list'!$J266=5),'Entry list'!N266,"")</f>
        <v/>
      </c>
      <c r="M266" t="str">
        <f t="shared" si="12"/>
        <v/>
      </c>
      <c r="N266" t="str">
        <f t="shared" si="13"/>
        <v/>
      </c>
      <c r="O266" t="str">
        <f t="shared" si="14"/>
        <v/>
      </c>
    </row>
    <row r="267" spans="1:15" x14ac:dyDescent="0.25">
      <c r="A267" t="str">
        <f>IF(AND('Entry list'!$I267=5,'Entry list'!$J267=5),'Entry list'!A267,"")</f>
        <v/>
      </c>
      <c r="B267" t="str">
        <f>IF(AND('Entry list'!$I267=5,'Entry list'!$J267=5),'Entry list'!B267,"")</f>
        <v/>
      </c>
      <c r="C267" t="str">
        <f>IF(AND('Entry list'!$I267=5,'Entry list'!$J267=5),'Entry list'!C267,"")</f>
        <v/>
      </c>
      <c r="D267" t="str">
        <f>IF(AND('Entry list'!$I267=5,'Entry list'!$J267=5),'Entry list'!D267,"")</f>
        <v/>
      </c>
      <c r="E267" t="str">
        <f>IF(AND('Entry list'!$I267=5,'Entry list'!$J267=5),'Entry list'!E267,"")</f>
        <v/>
      </c>
      <c r="F267" t="str">
        <f>IF(AND('Entry list'!$I267=5,'Entry list'!$J267=5),'Entry list'!F267,"")</f>
        <v/>
      </c>
      <c r="G267" t="str">
        <f>IF(AND('Entry list'!$I267=5,'Entry list'!$J267=5),'Entry list'!G267,"")</f>
        <v/>
      </c>
      <c r="H267" t="str">
        <f>IF(AND('Entry list'!$I267=5,'Entry list'!$J267=5),'Entry list'!H267,"")</f>
        <v/>
      </c>
      <c r="I267" t="str">
        <f>IF(AND('Entry list'!$I267=5,'Entry list'!$J267=5),'Entry list'!K267,"")</f>
        <v/>
      </c>
      <c r="J267" t="str">
        <f>IF(AND('Entry list'!$I267=5,'Entry list'!$J267=5),'Entry list'!L267,"")</f>
        <v/>
      </c>
      <c r="K267" t="str">
        <f>IF(AND('Entry list'!$I267=5,'Entry list'!$J267=5),'Entry list'!M267,"")</f>
        <v/>
      </c>
      <c r="L267" t="str">
        <f>IF(AND('Entry list'!$I267=5,'Entry list'!$J267=5),'Entry list'!N267,"")</f>
        <v/>
      </c>
      <c r="M267" t="str">
        <f t="shared" si="12"/>
        <v/>
      </c>
      <c r="N267" t="str">
        <f t="shared" si="13"/>
        <v/>
      </c>
      <c r="O267" t="str">
        <f t="shared" si="14"/>
        <v/>
      </c>
    </row>
    <row r="268" spans="1:15" x14ac:dyDescent="0.25">
      <c r="A268" t="str">
        <f>IF(AND('Entry list'!$I268=5,'Entry list'!$J268=5),'Entry list'!A268,"")</f>
        <v/>
      </c>
      <c r="B268" t="str">
        <f>IF(AND('Entry list'!$I268=5,'Entry list'!$J268=5),'Entry list'!B268,"")</f>
        <v/>
      </c>
      <c r="C268" t="str">
        <f>IF(AND('Entry list'!$I268=5,'Entry list'!$J268=5),'Entry list'!C268,"")</f>
        <v/>
      </c>
      <c r="D268" t="str">
        <f>IF(AND('Entry list'!$I268=5,'Entry list'!$J268=5),'Entry list'!D268,"")</f>
        <v/>
      </c>
      <c r="E268" t="str">
        <f>IF(AND('Entry list'!$I268=5,'Entry list'!$J268=5),'Entry list'!E268,"")</f>
        <v/>
      </c>
      <c r="F268" t="str">
        <f>IF(AND('Entry list'!$I268=5,'Entry list'!$J268=5),'Entry list'!F268,"")</f>
        <v/>
      </c>
      <c r="G268" t="str">
        <f>IF(AND('Entry list'!$I268=5,'Entry list'!$J268=5),'Entry list'!G268,"")</f>
        <v/>
      </c>
      <c r="H268" t="str">
        <f>IF(AND('Entry list'!$I268=5,'Entry list'!$J268=5),'Entry list'!H268,"")</f>
        <v/>
      </c>
      <c r="I268" t="str">
        <f>IF(AND('Entry list'!$I268=5,'Entry list'!$J268=5),'Entry list'!K268,"")</f>
        <v/>
      </c>
      <c r="J268" t="str">
        <f>IF(AND('Entry list'!$I268=5,'Entry list'!$J268=5),'Entry list'!L268,"")</f>
        <v/>
      </c>
      <c r="K268" t="str">
        <f>IF(AND('Entry list'!$I268=5,'Entry list'!$J268=5),'Entry list'!M268,"")</f>
        <v/>
      </c>
      <c r="L268" t="str">
        <f>IF(AND('Entry list'!$I268=5,'Entry list'!$J268=5),'Entry list'!N268,"")</f>
        <v/>
      </c>
      <c r="M268" t="str">
        <f t="shared" si="12"/>
        <v/>
      </c>
      <c r="N268" t="str">
        <f t="shared" si="13"/>
        <v/>
      </c>
      <c r="O268" t="str">
        <f t="shared" si="14"/>
        <v/>
      </c>
    </row>
    <row r="269" spans="1:15" x14ac:dyDescent="0.25">
      <c r="A269" t="str">
        <f>IF(AND('Entry list'!$I269=5,'Entry list'!$J269=5),'Entry list'!A269,"")</f>
        <v/>
      </c>
      <c r="B269" t="str">
        <f>IF(AND('Entry list'!$I269=5,'Entry list'!$J269=5),'Entry list'!B269,"")</f>
        <v/>
      </c>
      <c r="C269" t="str">
        <f>IF(AND('Entry list'!$I269=5,'Entry list'!$J269=5),'Entry list'!C269,"")</f>
        <v/>
      </c>
      <c r="D269" t="str">
        <f>IF(AND('Entry list'!$I269=5,'Entry list'!$J269=5),'Entry list'!D269,"")</f>
        <v/>
      </c>
      <c r="E269" t="str">
        <f>IF(AND('Entry list'!$I269=5,'Entry list'!$J269=5),'Entry list'!E269,"")</f>
        <v/>
      </c>
      <c r="F269" t="str">
        <f>IF(AND('Entry list'!$I269=5,'Entry list'!$J269=5),'Entry list'!F269,"")</f>
        <v/>
      </c>
      <c r="G269" t="str">
        <f>IF(AND('Entry list'!$I269=5,'Entry list'!$J269=5),'Entry list'!G269,"")</f>
        <v/>
      </c>
      <c r="H269" t="str">
        <f>IF(AND('Entry list'!$I269=5,'Entry list'!$J269=5),'Entry list'!H269,"")</f>
        <v/>
      </c>
      <c r="I269" t="str">
        <f>IF(AND('Entry list'!$I269=5,'Entry list'!$J269=5),'Entry list'!K269,"")</f>
        <v/>
      </c>
      <c r="J269" t="str">
        <f>IF(AND('Entry list'!$I269=5,'Entry list'!$J269=5),'Entry list'!L269,"")</f>
        <v/>
      </c>
      <c r="K269" t="str">
        <f>IF(AND('Entry list'!$I269=5,'Entry list'!$J269=5),'Entry list'!M269,"")</f>
        <v/>
      </c>
      <c r="L269" t="str">
        <f>IF(AND('Entry list'!$I269=5,'Entry list'!$J269=5),'Entry list'!N269,"")</f>
        <v/>
      </c>
      <c r="M269" t="str">
        <f t="shared" si="12"/>
        <v/>
      </c>
      <c r="N269" t="str">
        <f t="shared" si="13"/>
        <v/>
      </c>
      <c r="O269" t="str">
        <f t="shared" si="14"/>
        <v/>
      </c>
    </row>
    <row r="270" spans="1:15" x14ac:dyDescent="0.25">
      <c r="A270" t="str">
        <f>IF(AND('Entry list'!$I270=5,'Entry list'!$J270=5),'Entry list'!A270,"")</f>
        <v/>
      </c>
      <c r="B270" t="str">
        <f>IF(AND('Entry list'!$I270=5,'Entry list'!$J270=5),'Entry list'!B270,"")</f>
        <v/>
      </c>
      <c r="C270" t="str">
        <f>IF(AND('Entry list'!$I270=5,'Entry list'!$J270=5),'Entry list'!C270,"")</f>
        <v/>
      </c>
      <c r="D270" t="str">
        <f>IF(AND('Entry list'!$I270=5,'Entry list'!$J270=5),'Entry list'!D270,"")</f>
        <v/>
      </c>
      <c r="E270" t="str">
        <f>IF(AND('Entry list'!$I270=5,'Entry list'!$J270=5),'Entry list'!E270,"")</f>
        <v/>
      </c>
      <c r="F270" t="str">
        <f>IF(AND('Entry list'!$I270=5,'Entry list'!$J270=5),'Entry list'!F270,"")</f>
        <v/>
      </c>
      <c r="G270" t="str">
        <f>IF(AND('Entry list'!$I270=5,'Entry list'!$J270=5),'Entry list'!G270,"")</f>
        <v/>
      </c>
      <c r="H270" t="str">
        <f>IF(AND('Entry list'!$I270=5,'Entry list'!$J270=5),'Entry list'!H270,"")</f>
        <v/>
      </c>
      <c r="I270" t="str">
        <f>IF(AND('Entry list'!$I270=5,'Entry list'!$J270=5),'Entry list'!K270,"")</f>
        <v/>
      </c>
      <c r="J270" t="str">
        <f>IF(AND('Entry list'!$I270=5,'Entry list'!$J270=5),'Entry list'!L270,"")</f>
        <v/>
      </c>
      <c r="K270" t="str">
        <f>IF(AND('Entry list'!$I270=5,'Entry list'!$J270=5),'Entry list'!M270,"")</f>
        <v/>
      </c>
      <c r="L270" t="str">
        <f>IF(AND('Entry list'!$I270=5,'Entry list'!$J270=5),'Entry list'!N270,"")</f>
        <v/>
      </c>
      <c r="M270" t="str">
        <f t="shared" si="12"/>
        <v/>
      </c>
      <c r="N270" t="str">
        <f t="shared" si="13"/>
        <v/>
      </c>
      <c r="O270" t="str">
        <f t="shared" si="14"/>
        <v/>
      </c>
    </row>
    <row r="271" spans="1:15" x14ac:dyDescent="0.25">
      <c r="A271">
        <f>IF(AND('Entry list'!$I271=5,'Entry list'!$J271=5),'Entry list'!A271,"")</f>
        <v>2</v>
      </c>
      <c r="B271">
        <f>IF(AND('Entry list'!$I271=5,'Entry list'!$J271=5),'Entry list'!B271,"")</f>
        <v>0.22500000000000001</v>
      </c>
      <c r="C271" t="str">
        <f>IF(AND('Entry list'!$I271=5,'Entry list'!$J271=5),'Entry list'!C271,"")</f>
        <v>D</v>
      </c>
      <c r="D271" t="str">
        <f>IF(AND('Entry list'!$I271=5,'Entry list'!$J271=5),'Entry list'!D271,"")</f>
        <v>14DET</v>
      </c>
      <c r="E271" t="str">
        <f>IF(AND('Entry list'!$I271=5,'Entry list'!$J271=5),'Entry list'!E271,"")</f>
        <v>4NSH</v>
      </c>
      <c r="F271" t="str">
        <f>IF(AND('Entry list'!$I271=5,'Entry list'!$J271=5),'Entry list'!F271,"")</f>
        <v/>
      </c>
      <c r="G271" t="str">
        <f>IF(AND('Entry list'!$I271=5,'Entry list'!$J271=5),'Entry list'!G271,"")</f>
        <v>R</v>
      </c>
      <c r="H271" t="str">
        <f>IF(AND('Entry list'!$I271=5,'Entry list'!$J271=5),'Entry list'!H271,"")</f>
        <v>N</v>
      </c>
      <c r="I271" t="str">
        <f>IF(AND('Entry list'!$I271=5,'Entry list'!$J271=5),'Entry list'!K271,"")</f>
        <v/>
      </c>
      <c r="J271">
        <f>IF(AND('Entry list'!$I271=5,'Entry list'!$J271=5),'Entry list'!L271,"")</f>
        <v>0</v>
      </c>
      <c r="K271">
        <f>IF(AND('Entry list'!$I271=5,'Entry list'!$J271=5),'Entry list'!M271,"")</f>
        <v>0</v>
      </c>
      <c r="L271" t="str">
        <f>IF(AND('Entry list'!$I271=5,'Entry list'!$J271=5),'Entry list'!N271,"")</f>
        <v/>
      </c>
      <c r="M271">
        <f t="shared" si="12"/>
        <v>0</v>
      </c>
      <c r="N271" t="str">
        <f t="shared" si="13"/>
        <v/>
      </c>
      <c r="O271" t="str">
        <f t="shared" si="14"/>
        <v/>
      </c>
    </row>
    <row r="272" spans="1:15" x14ac:dyDescent="0.25">
      <c r="A272">
        <f>IF(AND('Entry list'!$I272=5,'Entry list'!$J272=5),'Entry list'!A272,"")</f>
        <v>2</v>
      </c>
      <c r="B272">
        <f>IF(AND('Entry list'!$I272=5,'Entry list'!$J272=5),'Entry list'!B272,"")</f>
        <v>0.22013888888888888</v>
      </c>
      <c r="C272" t="str">
        <f>IF(AND('Entry list'!$I272=5,'Entry list'!$J272=5),'Entry list'!C272,"")</f>
        <v>C</v>
      </c>
      <c r="D272" t="str">
        <f>IF(AND('Entry list'!$I272=5,'Entry list'!$J272=5),'Entry list'!D272,"")</f>
        <v>14NSH</v>
      </c>
      <c r="E272" t="str">
        <f>IF(AND('Entry list'!$I272=5,'Entry list'!$J272=5),'Entry list'!E272,"")</f>
        <v>48DET</v>
      </c>
      <c r="F272" t="str">
        <f>IF(AND('Entry list'!$I272=5,'Entry list'!$J272=5),'Entry list'!F272,"")</f>
        <v>N</v>
      </c>
      <c r="G272" t="str">
        <f>IF(AND('Entry list'!$I272=5,'Entry list'!$J272=5),'Entry list'!G272,"")</f>
        <v>C</v>
      </c>
      <c r="H272" t="str">
        <f>IF(AND('Entry list'!$I272=5,'Entry list'!$J272=5),'Entry list'!H272,"")</f>
        <v>N</v>
      </c>
      <c r="I272" t="str">
        <f>IF(AND('Entry list'!$I272=5,'Entry list'!$J272=5),'Entry list'!K272,"")</f>
        <v>14NSH</v>
      </c>
      <c r="J272">
        <f>IF(AND('Entry list'!$I272=5,'Entry list'!$J272=5),'Entry list'!L272,"")</f>
        <v>1</v>
      </c>
      <c r="K272">
        <f>IF(AND('Entry list'!$I272=5,'Entry list'!$J272=5),'Entry list'!M272,"")</f>
        <v>0</v>
      </c>
      <c r="L272" t="str">
        <f>IF(AND('Entry list'!$I272=5,'Entry list'!$J272=5),'Entry list'!N272,"")</f>
        <v/>
      </c>
      <c r="M272">
        <f t="shared" si="12"/>
        <v>0</v>
      </c>
      <c r="N272">
        <f t="shared" si="13"/>
        <v>0</v>
      </c>
      <c r="O272" t="str">
        <f t="shared" si="14"/>
        <v/>
      </c>
    </row>
    <row r="273" spans="1:15" x14ac:dyDescent="0.25">
      <c r="A273" t="str">
        <f>IF(AND('Entry list'!$I273=5,'Entry list'!$J273=5),'Entry list'!A273,"")</f>
        <v/>
      </c>
      <c r="B273" t="str">
        <f>IF(AND('Entry list'!$I273=5,'Entry list'!$J273=5),'Entry list'!B273,"")</f>
        <v/>
      </c>
      <c r="C273" t="str">
        <f>IF(AND('Entry list'!$I273=5,'Entry list'!$J273=5),'Entry list'!C273,"")</f>
        <v/>
      </c>
      <c r="D273" t="str">
        <f>IF(AND('Entry list'!$I273=5,'Entry list'!$J273=5),'Entry list'!D273,"")</f>
        <v/>
      </c>
      <c r="E273" t="str">
        <f>IF(AND('Entry list'!$I273=5,'Entry list'!$J273=5),'Entry list'!E273,"")</f>
        <v/>
      </c>
      <c r="F273" t="str">
        <f>IF(AND('Entry list'!$I273=5,'Entry list'!$J273=5),'Entry list'!F273,"")</f>
        <v/>
      </c>
      <c r="G273" t="str">
        <f>IF(AND('Entry list'!$I273=5,'Entry list'!$J273=5),'Entry list'!G273,"")</f>
        <v/>
      </c>
      <c r="H273" t="str">
        <f>IF(AND('Entry list'!$I273=5,'Entry list'!$J273=5),'Entry list'!H273,"")</f>
        <v/>
      </c>
      <c r="I273" t="str">
        <f>IF(AND('Entry list'!$I273=5,'Entry list'!$J273=5),'Entry list'!K273,"")</f>
        <v/>
      </c>
      <c r="J273" t="str">
        <f>IF(AND('Entry list'!$I273=5,'Entry list'!$J273=5),'Entry list'!L273,"")</f>
        <v/>
      </c>
      <c r="K273" t="str">
        <f>IF(AND('Entry list'!$I273=5,'Entry list'!$J273=5),'Entry list'!M273,"")</f>
        <v/>
      </c>
      <c r="L273" t="str">
        <f>IF(AND('Entry list'!$I273=5,'Entry list'!$J273=5),'Entry list'!N273,"")</f>
        <v/>
      </c>
      <c r="M273" t="str">
        <f t="shared" si="12"/>
        <v/>
      </c>
      <c r="N273" t="str">
        <f t="shared" si="13"/>
        <v/>
      </c>
      <c r="O273" t="str">
        <f t="shared" si="14"/>
        <v/>
      </c>
    </row>
    <row r="274" spans="1:15" x14ac:dyDescent="0.25">
      <c r="A274" t="str">
        <f>IF(AND('Entry list'!$I274=5,'Entry list'!$J274=5),'Entry list'!A274,"")</f>
        <v/>
      </c>
      <c r="B274" t="str">
        <f>IF(AND('Entry list'!$I274=5,'Entry list'!$J274=5),'Entry list'!B274,"")</f>
        <v/>
      </c>
      <c r="C274" t="str">
        <f>IF(AND('Entry list'!$I274=5,'Entry list'!$J274=5),'Entry list'!C274,"")</f>
        <v/>
      </c>
      <c r="D274" t="str">
        <f>IF(AND('Entry list'!$I274=5,'Entry list'!$J274=5),'Entry list'!D274,"")</f>
        <v/>
      </c>
      <c r="E274" t="str">
        <f>IF(AND('Entry list'!$I274=5,'Entry list'!$J274=5),'Entry list'!E274,"")</f>
        <v/>
      </c>
      <c r="F274" t="str">
        <f>IF(AND('Entry list'!$I274=5,'Entry list'!$J274=5),'Entry list'!F274,"")</f>
        <v/>
      </c>
      <c r="G274" t="str">
        <f>IF(AND('Entry list'!$I274=5,'Entry list'!$J274=5),'Entry list'!G274,"")</f>
        <v/>
      </c>
      <c r="H274" t="str">
        <f>IF(AND('Entry list'!$I274=5,'Entry list'!$J274=5),'Entry list'!H274,"")</f>
        <v/>
      </c>
      <c r="I274" t="str">
        <f>IF(AND('Entry list'!$I274=5,'Entry list'!$J274=5),'Entry list'!K274,"")</f>
        <v/>
      </c>
      <c r="J274" t="str">
        <f>IF(AND('Entry list'!$I274=5,'Entry list'!$J274=5),'Entry list'!L274,"")</f>
        <v/>
      </c>
      <c r="K274" t="str">
        <f>IF(AND('Entry list'!$I274=5,'Entry list'!$J274=5),'Entry list'!M274,"")</f>
        <v/>
      </c>
      <c r="L274" t="str">
        <f>IF(AND('Entry list'!$I274=5,'Entry list'!$J274=5),'Entry list'!N274,"")</f>
        <v/>
      </c>
      <c r="M274" t="str">
        <f t="shared" si="12"/>
        <v/>
      </c>
      <c r="N274" t="str">
        <f t="shared" si="13"/>
        <v/>
      </c>
      <c r="O274" t="str">
        <f t="shared" si="14"/>
        <v/>
      </c>
    </row>
    <row r="275" spans="1:15" x14ac:dyDescent="0.25">
      <c r="A275">
        <f>IF(AND('Entry list'!$I275=5,'Entry list'!$J275=5),'Entry list'!A275,"")</f>
        <v>2</v>
      </c>
      <c r="B275">
        <f>IF(AND('Entry list'!$I275=5,'Entry list'!$J275=5),'Entry list'!B275,"")</f>
        <v>0.20902777777777778</v>
      </c>
      <c r="C275" t="str">
        <f>IF(AND('Entry list'!$I275=5,'Entry list'!$J275=5),'Entry list'!C275,"")</f>
        <v>C</v>
      </c>
      <c r="D275" t="str">
        <f>IF(AND('Entry list'!$I275=5,'Entry list'!$J275=5),'Entry list'!D275,"")</f>
        <v>43DET</v>
      </c>
      <c r="E275" t="str">
        <f>IF(AND('Entry list'!$I275=5,'Entry list'!$J275=5),'Entry list'!E275,"")</f>
        <v>14NSH</v>
      </c>
      <c r="F275" t="str">
        <f>IF(AND('Entry list'!$I275=5,'Entry list'!$J275=5),'Entry list'!F275,"")</f>
        <v>N</v>
      </c>
      <c r="G275" t="str">
        <f>IF(AND('Entry list'!$I275=5,'Entry list'!$J275=5),'Entry list'!G275,"")</f>
        <v>R</v>
      </c>
      <c r="H275" t="str">
        <f>IF(AND('Entry list'!$I275=5,'Entry list'!$J275=5),'Entry list'!H275,"")</f>
        <v>N</v>
      </c>
      <c r="I275" t="str">
        <f>IF(AND('Entry list'!$I275=5,'Entry list'!$J275=5),'Entry list'!K275,"")</f>
        <v>43DET</v>
      </c>
      <c r="J275">
        <f>IF(AND('Entry list'!$I275=5,'Entry list'!$J275=5),'Entry list'!L275,"")</f>
        <v>0</v>
      </c>
      <c r="K275">
        <f>IF(AND('Entry list'!$I275=5,'Entry list'!$J275=5),'Entry list'!M275,"")</f>
        <v>0</v>
      </c>
      <c r="L275" t="str">
        <f>IF(AND('Entry list'!$I275=5,'Entry list'!$J275=5),'Entry list'!N275,"")</f>
        <v/>
      </c>
      <c r="M275">
        <f t="shared" si="12"/>
        <v>0</v>
      </c>
      <c r="N275">
        <f t="shared" si="13"/>
        <v>0</v>
      </c>
      <c r="O275" t="str">
        <f t="shared" si="14"/>
        <v/>
      </c>
    </row>
    <row r="276" spans="1:15" x14ac:dyDescent="0.25">
      <c r="A276">
        <f>IF(AND('Entry list'!$I276=5,'Entry list'!$J276=5),'Entry list'!A276,"")</f>
        <v>2</v>
      </c>
      <c r="B276">
        <f>IF(AND('Entry list'!$I276=5,'Entry list'!$J276=5),'Entry list'!B276,"")</f>
        <v>0.19027777777777777</v>
      </c>
      <c r="C276" t="str">
        <f>IF(AND('Entry list'!$I276=5,'Entry list'!$J276=5),'Entry list'!C276,"")</f>
        <v>D</v>
      </c>
      <c r="D276" t="str">
        <f>IF(AND('Entry list'!$I276=5,'Entry list'!$J276=5),'Entry list'!D276,"")</f>
        <v>56NSH</v>
      </c>
      <c r="E276" t="str">
        <f>IF(AND('Entry list'!$I276=5,'Entry list'!$J276=5),'Entry list'!E276,"")</f>
        <v>25DET</v>
      </c>
      <c r="F276" t="str">
        <f>IF(AND('Entry list'!$I276=5,'Entry list'!$J276=5),'Entry list'!F276,"")</f>
        <v/>
      </c>
      <c r="G276" t="str">
        <f>IF(AND('Entry list'!$I276=5,'Entry list'!$J276=5),'Entry list'!G276,"")</f>
        <v>R</v>
      </c>
      <c r="H276" t="str">
        <f>IF(AND('Entry list'!$I276=5,'Entry list'!$J276=5),'Entry list'!H276,"")</f>
        <v>19NSH</v>
      </c>
      <c r="I276" t="str">
        <f>IF(AND('Entry list'!$I276=5,'Entry list'!$J276=5),'Entry list'!K276,"")</f>
        <v/>
      </c>
      <c r="J276">
        <f>IF(AND('Entry list'!$I276=5,'Entry list'!$J276=5),'Entry list'!L276,"")</f>
        <v>0</v>
      </c>
      <c r="K276">
        <f>IF(AND('Entry list'!$I276=5,'Entry list'!$J276=5),'Entry list'!M276,"")</f>
        <v>0</v>
      </c>
      <c r="L276" t="str">
        <f>IF(AND('Entry list'!$I276=5,'Entry list'!$J276=5),'Entry list'!N276,"")</f>
        <v/>
      </c>
      <c r="M276">
        <f t="shared" si="12"/>
        <v>0</v>
      </c>
      <c r="N276" t="str">
        <f t="shared" si="13"/>
        <v/>
      </c>
      <c r="O276" t="str">
        <f t="shared" si="14"/>
        <v/>
      </c>
    </row>
    <row r="277" spans="1:15" x14ac:dyDescent="0.25">
      <c r="A277">
        <f>IF(AND('Entry list'!$I277=5,'Entry list'!$J277=5),'Entry list'!A277,"")</f>
        <v>2</v>
      </c>
      <c r="B277">
        <f>IF(AND('Entry list'!$I277=5,'Entry list'!$J277=5),'Entry list'!B277,"")</f>
        <v>0.18263888888888891</v>
      </c>
      <c r="C277" t="str">
        <f>IF(AND('Entry list'!$I277=5,'Entry list'!$J277=5),'Entry list'!C277,"")</f>
        <v>C</v>
      </c>
      <c r="D277" t="str">
        <f>IF(AND('Entry list'!$I277=5,'Entry list'!$J277=5),'Entry list'!D277,"")</f>
        <v>25DET</v>
      </c>
      <c r="E277" t="str">
        <f>IF(AND('Entry list'!$I277=5,'Entry list'!$J277=5),'Entry list'!E277,"")</f>
        <v>14NSH</v>
      </c>
      <c r="F277" t="str">
        <f>IF(AND('Entry list'!$I277=5,'Entry list'!$J277=5),'Entry list'!F277,"")</f>
        <v>Y</v>
      </c>
      <c r="G277" t="str">
        <f>IF(AND('Entry list'!$I277=5,'Entry list'!$J277=5),'Entry list'!G277,"")</f>
        <v>R</v>
      </c>
      <c r="H277" t="str">
        <f>IF(AND('Entry list'!$I277=5,'Entry list'!$J277=5),'Entry list'!H277,"")</f>
        <v>N</v>
      </c>
      <c r="I277" t="str">
        <f>IF(AND('Entry list'!$I277=5,'Entry list'!$J277=5),'Entry list'!K277,"")</f>
        <v>25DET</v>
      </c>
      <c r="J277">
        <f>IF(AND('Entry list'!$I277=5,'Entry list'!$J277=5),'Entry list'!L277,"")</f>
        <v>0</v>
      </c>
      <c r="K277">
        <f>IF(AND('Entry list'!$I277=5,'Entry list'!$J277=5),'Entry list'!M277,"")</f>
        <v>0</v>
      </c>
      <c r="L277" t="str">
        <f>IF(AND('Entry list'!$I277=5,'Entry list'!$J277=5),'Entry list'!N277,"")</f>
        <v/>
      </c>
      <c r="M277">
        <f t="shared" si="12"/>
        <v>0</v>
      </c>
      <c r="N277">
        <f t="shared" si="13"/>
        <v>0</v>
      </c>
      <c r="O277" t="str">
        <f t="shared" si="14"/>
        <v/>
      </c>
    </row>
    <row r="278" spans="1:15" x14ac:dyDescent="0.25">
      <c r="A278" t="str">
        <f>IF(AND('Entry list'!$I278=5,'Entry list'!$J278=5),'Entry list'!A278,"")</f>
        <v/>
      </c>
      <c r="B278" t="str">
        <f>IF(AND('Entry list'!$I278=5,'Entry list'!$J278=5),'Entry list'!B278,"")</f>
        <v/>
      </c>
      <c r="C278" t="str">
        <f>IF(AND('Entry list'!$I278=5,'Entry list'!$J278=5),'Entry list'!C278,"")</f>
        <v/>
      </c>
      <c r="D278" t="str">
        <f>IF(AND('Entry list'!$I278=5,'Entry list'!$J278=5),'Entry list'!D278,"")</f>
        <v/>
      </c>
      <c r="E278" t="str">
        <f>IF(AND('Entry list'!$I278=5,'Entry list'!$J278=5),'Entry list'!E278,"")</f>
        <v/>
      </c>
      <c r="F278" t="str">
        <f>IF(AND('Entry list'!$I278=5,'Entry list'!$J278=5),'Entry list'!F278,"")</f>
        <v/>
      </c>
      <c r="G278" t="str">
        <f>IF(AND('Entry list'!$I278=5,'Entry list'!$J278=5),'Entry list'!G278,"")</f>
        <v/>
      </c>
      <c r="H278" t="str">
        <f>IF(AND('Entry list'!$I278=5,'Entry list'!$J278=5),'Entry list'!H278,"")</f>
        <v/>
      </c>
      <c r="I278" t="str">
        <f>IF(AND('Entry list'!$I278=5,'Entry list'!$J278=5),'Entry list'!K278,"")</f>
        <v/>
      </c>
      <c r="J278" t="str">
        <f>IF(AND('Entry list'!$I278=5,'Entry list'!$J278=5),'Entry list'!L278,"")</f>
        <v/>
      </c>
      <c r="K278" t="str">
        <f>IF(AND('Entry list'!$I278=5,'Entry list'!$J278=5),'Entry list'!M278,"")</f>
        <v/>
      </c>
      <c r="L278" t="str">
        <f>IF(AND('Entry list'!$I278=5,'Entry list'!$J278=5),'Entry list'!N278,"")</f>
        <v/>
      </c>
      <c r="M278" t="str">
        <f t="shared" si="12"/>
        <v/>
      </c>
      <c r="N278" t="str">
        <f t="shared" si="13"/>
        <v/>
      </c>
      <c r="O278" t="str">
        <f t="shared" si="14"/>
        <v/>
      </c>
    </row>
    <row r="279" spans="1:15" x14ac:dyDescent="0.25">
      <c r="A279">
        <f>IF(AND('Entry list'!$I279=5,'Entry list'!$J279=5),'Entry list'!A279,"")</f>
        <v>2</v>
      </c>
      <c r="B279">
        <f>IF(AND('Entry list'!$I279=5,'Entry list'!$J279=5),'Entry list'!B279,"")</f>
        <v>0.17777777777777781</v>
      </c>
      <c r="C279" t="str">
        <f>IF(AND('Entry list'!$I279=5,'Entry list'!$J279=5),'Entry list'!C279,"")</f>
        <v>FAC</v>
      </c>
      <c r="D279" t="str">
        <f>IF(AND('Entry list'!$I279=5,'Entry list'!$J279=5),'Entry list'!D279,"")</f>
        <v>OZF</v>
      </c>
      <c r="E279" t="str">
        <f>IF(AND('Entry list'!$I279=5,'Entry list'!$J279=5),'Entry list'!E279,"")</f>
        <v/>
      </c>
      <c r="F279" t="str">
        <f>IF(AND('Entry list'!$I279=5,'Entry list'!$J279=5),'Entry list'!F279,"")</f>
        <v/>
      </c>
      <c r="G279" t="str">
        <f>IF(AND('Entry list'!$I279=5,'Entry list'!$J279=5),'Entry list'!G279,"")</f>
        <v/>
      </c>
      <c r="H279" t="str">
        <f>IF(AND('Entry list'!$I279=5,'Entry list'!$J279=5),'Entry list'!H279,"")</f>
        <v/>
      </c>
      <c r="I279" t="str">
        <f>IF(AND('Entry list'!$I279=5,'Entry list'!$J279=5),'Entry list'!K279,"")</f>
        <v/>
      </c>
      <c r="J279">
        <f>IF(AND('Entry list'!$I279=5,'Entry list'!$J279=5),'Entry list'!L279,"")</f>
        <v>0</v>
      </c>
      <c r="K279">
        <f>IF(AND('Entry list'!$I279=5,'Entry list'!$J279=5),'Entry list'!M279,"")</f>
        <v>0</v>
      </c>
      <c r="L279" t="str">
        <f>IF(AND('Entry list'!$I279=5,'Entry list'!$J279=5),'Entry list'!N279,"")</f>
        <v/>
      </c>
      <c r="M279">
        <f t="shared" si="12"/>
        <v>0</v>
      </c>
      <c r="N279" t="str">
        <f t="shared" si="13"/>
        <v/>
      </c>
      <c r="O279" t="str">
        <f t="shared" si="14"/>
        <v/>
      </c>
    </row>
    <row r="280" spans="1:15" x14ac:dyDescent="0.25">
      <c r="A280" t="str">
        <f>IF(AND('Entry list'!$I280=5,'Entry list'!$J280=5),'Entry list'!A280,"")</f>
        <v/>
      </c>
      <c r="B280" t="str">
        <f>IF(AND('Entry list'!$I280=5,'Entry list'!$J280=5),'Entry list'!B280,"")</f>
        <v/>
      </c>
      <c r="C280" t="str">
        <f>IF(AND('Entry list'!$I280=5,'Entry list'!$J280=5),'Entry list'!C280,"")</f>
        <v/>
      </c>
      <c r="D280" t="str">
        <f>IF(AND('Entry list'!$I280=5,'Entry list'!$J280=5),'Entry list'!D280,"")</f>
        <v/>
      </c>
      <c r="E280" t="str">
        <f>IF(AND('Entry list'!$I280=5,'Entry list'!$J280=5),'Entry list'!E280,"")</f>
        <v/>
      </c>
      <c r="F280" t="str">
        <f>IF(AND('Entry list'!$I280=5,'Entry list'!$J280=5),'Entry list'!F280,"")</f>
        <v/>
      </c>
      <c r="G280" t="str">
        <f>IF(AND('Entry list'!$I280=5,'Entry list'!$J280=5),'Entry list'!G280,"")</f>
        <v/>
      </c>
      <c r="H280" t="str">
        <f>IF(AND('Entry list'!$I280=5,'Entry list'!$J280=5),'Entry list'!H280,"")</f>
        <v/>
      </c>
      <c r="I280" t="str">
        <f>IF(AND('Entry list'!$I280=5,'Entry list'!$J280=5),'Entry list'!K280,"")</f>
        <v/>
      </c>
      <c r="J280" t="str">
        <f>IF(AND('Entry list'!$I280=5,'Entry list'!$J280=5),'Entry list'!L280,"")</f>
        <v/>
      </c>
      <c r="K280" t="str">
        <f>IF(AND('Entry list'!$I280=5,'Entry list'!$J280=5),'Entry list'!M280,"")</f>
        <v/>
      </c>
      <c r="L280" t="str">
        <f>IF(AND('Entry list'!$I280=5,'Entry list'!$J280=5),'Entry list'!N280,"")</f>
        <v/>
      </c>
      <c r="M280" t="str">
        <f t="shared" si="12"/>
        <v/>
      </c>
      <c r="N280" t="str">
        <f t="shared" si="13"/>
        <v/>
      </c>
      <c r="O280" t="str">
        <f t="shared" si="14"/>
        <v/>
      </c>
    </row>
    <row r="281" spans="1:15" x14ac:dyDescent="0.25">
      <c r="A281" t="str">
        <f>IF(AND('Entry list'!$I281=5,'Entry list'!$J281=5),'Entry list'!A281,"")</f>
        <v/>
      </c>
      <c r="B281" t="str">
        <f>IF(AND('Entry list'!$I281=5,'Entry list'!$J281=5),'Entry list'!B281,"")</f>
        <v/>
      </c>
      <c r="C281" t="str">
        <f>IF(AND('Entry list'!$I281=5,'Entry list'!$J281=5),'Entry list'!C281,"")</f>
        <v/>
      </c>
      <c r="D281" t="str">
        <f>IF(AND('Entry list'!$I281=5,'Entry list'!$J281=5),'Entry list'!D281,"")</f>
        <v/>
      </c>
      <c r="E281" t="str">
        <f>IF(AND('Entry list'!$I281=5,'Entry list'!$J281=5),'Entry list'!E281,"")</f>
        <v/>
      </c>
      <c r="F281" t="str">
        <f>IF(AND('Entry list'!$I281=5,'Entry list'!$J281=5),'Entry list'!F281,"")</f>
        <v/>
      </c>
      <c r="G281" t="str">
        <f>IF(AND('Entry list'!$I281=5,'Entry list'!$J281=5),'Entry list'!G281,"")</f>
        <v/>
      </c>
      <c r="H281" t="str">
        <f>IF(AND('Entry list'!$I281=5,'Entry list'!$J281=5),'Entry list'!H281,"")</f>
        <v/>
      </c>
      <c r="I281" t="str">
        <f>IF(AND('Entry list'!$I281=5,'Entry list'!$J281=5),'Entry list'!K281,"")</f>
        <v/>
      </c>
      <c r="J281" t="str">
        <f>IF(AND('Entry list'!$I281=5,'Entry list'!$J281=5),'Entry list'!L281,"")</f>
        <v/>
      </c>
      <c r="K281" t="str">
        <f>IF(AND('Entry list'!$I281=5,'Entry list'!$J281=5),'Entry list'!M281,"")</f>
        <v/>
      </c>
      <c r="L281" t="str">
        <f>IF(AND('Entry list'!$I281=5,'Entry list'!$J281=5),'Entry list'!N281,"")</f>
        <v/>
      </c>
      <c r="M281" t="str">
        <f t="shared" si="12"/>
        <v/>
      </c>
      <c r="N281" t="str">
        <f t="shared" si="13"/>
        <v/>
      </c>
      <c r="O281" t="str">
        <f t="shared" si="14"/>
        <v/>
      </c>
    </row>
    <row r="282" spans="1:15" x14ac:dyDescent="0.25">
      <c r="A282" t="str">
        <f>IF(AND('Entry list'!$I282=5,'Entry list'!$J282=5),'Entry list'!A282,"")</f>
        <v/>
      </c>
      <c r="B282" t="str">
        <f>IF(AND('Entry list'!$I282=5,'Entry list'!$J282=5),'Entry list'!B282,"")</f>
        <v/>
      </c>
      <c r="C282" t="str">
        <f>IF(AND('Entry list'!$I282=5,'Entry list'!$J282=5),'Entry list'!C282,"")</f>
        <v/>
      </c>
      <c r="D282" t="str">
        <f>IF(AND('Entry list'!$I282=5,'Entry list'!$J282=5),'Entry list'!D282,"")</f>
        <v/>
      </c>
      <c r="E282" t="str">
        <f>IF(AND('Entry list'!$I282=5,'Entry list'!$J282=5),'Entry list'!E282,"")</f>
        <v/>
      </c>
      <c r="F282" t="str">
        <f>IF(AND('Entry list'!$I282=5,'Entry list'!$J282=5),'Entry list'!F282,"")</f>
        <v/>
      </c>
      <c r="G282" t="str">
        <f>IF(AND('Entry list'!$I282=5,'Entry list'!$J282=5),'Entry list'!G282,"")</f>
        <v/>
      </c>
      <c r="H282" t="str">
        <f>IF(AND('Entry list'!$I282=5,'Entry list'!$J282=5),'Entry list'!H282,"")</f>
        <v/>
      </c>
      <c r="I282" t="str">
        <f>IF(AND('Entry list'!$I282=5,'Entry list'!$J282=5),'Entry list'!K282,"")</f>
        <v/>
      </c>
      <c r="J282" t="str">
        <f>IF(AND('Entry list'!$I282=5,'Entry list'!$J282=5),'Entry list'!L282,"")</f>
        <v/>
      </c>
      <c r="K282" t="str">
        <f>IF(AND('Entry list'!$I282=5,'Entry list'!$J282=5),'Entry list'!M282,"")</f>
        <v/>
      </c>
      <c r="L282" t="str">
        <f>IF(AND('Entry list'!$I282=5,'Entry list'!$J282=5),'Entry list'!N282,"")</f>
        <v/>
      </c>
      <c r="M282" t="str">
        <f t="shared" si="12"/>
        <v/>
      </c>
      <c r="N282" t="str">
        <f t="shared" si="13"/>
        <v/>
      </c>
      <c r="O282" t="str">
        <f t="shared" si="14"/>
        <v/>
      </c>
    </row>
    <row r="283" spans="1:15" x14ac:dyDescent="0.25">
      <c r="A283" t="str">
        <f>IF(AND('Entry list'!$I283=5,'Entry list'!$J283=5),'Entry list'!A283,"")</f>
        <v/>
      </c>
      <c r="B283" t="str">
        <f>IF(AND('Entry list'!$I283=5,'Entry list'!$J283=5),'Entry list'!B283,"")</f>
        <v/>
      </c>
      <c r="C283" t="str">
        <f>IF(AND('Entry list'!$I283=5,'Entry list'!$J283=5),'Entry list'!C283,"")</f>
        <v/>
      </c>
      <c r="D283" t="str">
        <f>IF(AND('Entry list'!$I283=5,'Entry list'!$J283=5),'Entry list'!D283,"")</f>
        <v/>
      </c>
      <c r="E283" t="str">
        <f>IF(AND('Entry list'!$I283=5,'Entry list'!$J283=5),'Entry list'!E283,"")</f>
        <v/>
      </c>
      <c r="F283" t="str">
        <f>IF(AND('Entry list'!$I283=5,'Entry list'!$J283=5),'Entry list'!F283,"")</f>
        <v/>
      </c>
      <c r="G283" t="str">
        <f>IF(AND('Entry list'!$I283=5,'Entry list'!$J283=5),'Entry list'!G283,"")</f>
        <v/>
      </c>
      <c r="H283" t="str">
        <f>IF(AND('Entry list'!$I283=5,'Entry list'!$J283=5),'Entry list'!H283,"")</f>
        <v/>
      </c>
      <c r="I283" t="str">
        <f>IF(AND('Entry list'!$I283=5,'Entry list'!$J283=5),'Entry list'!K283,"")</f>
        <v/>
      </c>
      <c r="J283" t="str">
        <f>IF(AND('Entry list'!$I283=5,'Entry list'!$J283=5),'Entry list'!L283,"")</f>
        <v/>
      </c>
      <c r="K283" t="str">
        <f>IF(AND('Entry list'!$I283=5,'Entry list'!$J283=5),'Entry list'!M283,"")</f>
        <v/>
      </c>
      <c r="L283" t="str">
        <f>IF(AND('Entry list'!$I283=5,'Entry list'!$J283=5),'Entry list'!N283,"")</f>
        <v/>
      </c>
      <c r="M283" t="str">
        <f t="shared" si="12"/>
        <v/>
      </c>
      <c r="N283" t="str">
        <f t="shared" si="13"/>
        <v/>
      </c>
      <c r="O283" t="str">
        <f t="shared" si="14"/>
        <v/>
      </c>
    </row>
    <row r="284" spans="1:15" x14ac:dyDescent="0.25">
      <c r="A284" t="str">
        <f>IF(AND('Entry list'!$I284=5,'Entry list'!$J284=5),'Entry list'!A284,"")</f>
        <v/>
      </c>
      <c r="B284" t="str">
        <f>IF(AND('Entry list'!$I284=5,'Entry list'!$J284=5),'Entry list'!B284,"")</f>
        <v/>
      </c>
      <c r="C284" t="str">
        <f>IF(AND('Entry list'!$I284=5,'Entry list'!$J284=5),'Entry list'!C284,"")</f>
        <v/>
      </c>
      <c r="D284" t="str">
        <f>IF(AND('Entry list'!$I284=5,'Entry list'!$J284=5),'Entry list'!D284,"")</f>
        <v/>
      </c>
      <c r="E284" t="str">
        <f>IF(AND('Entry list'!$I284=5,'Entry list'!$J284=5),'Entry list'!E284,"")</f>
        <v/>
      </c>
      <c r="F284" t="str">
        <f>IF(AND('Entry list'!$I284=5,'Entry list'!$J284=5),'Entry list'!F284,"")</f>
        <v/>
      </c>
      <c r="G284" t="str">
        <f>IF(AND('Entry list'!$I284=5,'Entry list'!$J284=5),'Entry list'!G284,"")</f>
        <v/>
      </c>
      <c r="H284" t="str">
        <f>IF(AND('Entry list'!$I284=5,'Entry list'!$J284=5),'Entry list'!H284,"")</f>
        <v/>
      </c>
      <c r="I284" t="str">
        <f>IF(AND('Entry list'!$I284=5,'Entry list'!$J284=5),'Entry list'!K284,"")</f>
        <v/>
      </c>
      <c r="J284" t="str">
        <f>IF(AND('Entry list'!$I284=5,'Entry list'!$J284=5),'Entry list'!L284,"")</f>
        <v/>
      </c>
      <c r="K284" t="str">
        <f>IF(AND('Entry list'!$I284=5,'Entry list'!$J284=5),'Entry list'!M284,"")</f>
        <v/>
      </c>
      <c r="L284" t="str">
        <f>IF(AND('Entry list'!$I284=5,'Entry list'!$J284=5),'Entry list'!N284,"")</f>
        <v/>
      </c>
      <c r="M284" t="str">
        <f t="shared" si="12"/>
        <v/>
      </c>
      <c r="N284" t="str">
        <f t="shared" si="13"/>
        <v/>
      </c>
      <c r="O284" t="str">
        <f t="shared" si="14"/>
        <v/>
      </c>
    </row>
    <row r="285" spans="1:15" x14ac:dyDescent="0.25">
      <c r="A285" t="str">
        <f>IF(AND('Entry list'!$I285=5,'Entry list'!$J285=5),'Entry list'!A285,"")</f>
        <v/>
      </c>
      <c r="B285" t="str">
        <f>IF(AND('Entry list'!$I285=5,'Entry list'!$J285=5),'Entry list'!B285,"")</f>
        <v/>
      </c>
      <c r="C285" t="str">
        <f>IF(AND('Entry list'!$I285=5,'Entry list'!$J285=5),'Entry list'!C285,"")</f>
        <v/>
      </c>
      <c r="D285" t="str">
        <f>IF(AND('Entry list'!$I285=5,'Entry list'!$J285=5),'Entry list'!D285,"")</f>
        <v/>
      </c>
      <c r="E285" t="str">
        <f>IF(AND('Entry list'!$I285=5,'Entry list'!$J285=5),'Entry list'!E285,"")</f>
        <v/>
      </c>
      <c r="F285" t="str">
        <f>IF(AND('Entry list'!$I285=5,'Entry list'!$J285=5),'Entry list'!F285,"")</f>
        <v/>
      </c>
      <c r="G285" t="str">
        <f>IF(AND('Entry list'!$I285=5,'Entry list'!$J285=5),'Entry list'!G285,"")</f>
        <v/>
      </c>
      <c r="H285" t="str">
        <f>IF(AND('Entry list'!$I285=5,'Entry list'!$J285=5),'Entry list'!H285,"")</f>
        <v/>
      </c>
      <c r="I285" t="str">
        <f>IF(AND('Entry list'!$I285=5,'Entry list'!$J285=5),'Entry list'!K285,"")</f>
        <v/>
      </c>
      <c r="J285" t="str">
        <f>IF(AND('Entry list'!$I285=5,'Entry list'!$J285=5),'Entry list'!L285,"")</f>
        <v/>
      </c>
      <c r="K285" t="str">
        <f>IF(AND('Entry list'!$I285=5,'Entry list'!$J285=5),'Entry list'!M285,"")</f>
        <v/>
      </c>
      <c r="L285" t="str">
        <f>IF(AND('Entry list'!$I285=5,'Entry list'!$J285=5),'Entry list'!N285,"")</f>
        <v/>
      </c>
      <c r="M285" t="str">
        <f t="shared" si="12"/>
        <v/>
      </c>
      <c r="N285" t="str">
        <f t="shared" si="13"/>
        <v/>
      </c>
      <c r="O285" t="str">
        <f t="shared" si="14"/>
        <v/>
      </c>
    </row>
    <row r="286" spans="1:15" x14ac:dyDescent="0.25">
      <c r="A286" t="str">
        <f>IF(AND('Entry list'!$I286=5,'Entry list'!$J286=5),'Entry list'!A286,"")</f>
        <v/>
      </c>
      <c r="B286" t="str">
        <f>IF(AND('Entry list'!$I286=5,'Entry list'!$J286=5),'Entry list'!B286,"")</f>
        <v/>
      </c>
      <c r="C286" t="str">
        <f>IF(AND('Entry list'!$I286=5,'Entry list'!$J286=5),'Entry list'!C286,"")</f>
        <v/>
      </c>
      <c r="D286" t="str">
        <f>IF(AND('Entry list'!$I286=5,'Entry list'!$J286=5),'Entry list'!D286,"")</f>
        <v/>
      </c>
      <c r="E286" t="str">
        <f>IF(AND('Entry list'!$I286=5,'Entry list'!$J286=5),'Entry list'!E286,"")</f>
        <v/>
      </c>
      <c r="F286" t="str">
        <f>IF(AND('Entry list'!$I286=5,'Entry list'!$J286=5),'Entry list'!F286,"")</f>
        <v/>
      </c>
      <c r="G286" t="str">
        <f>IF(AND('Entry list'!$I286=5,'Entry list'!$J286=5),'Entry list'!G286,"")</f>
        <v/>
      </c>
      <c r="H286" t="str">
        <f>IF(AND('Entry list'!$I286=5,'Entry list'!$J286=5),'Entry list'!H286,"")</f>
        <v/>
      </c>
      <c r="I286" t="str">
        <f>IF(AND('Entry list'!$I286=5,'Entry list'!$J286=5),'Entry list'!K286,"")</f>
        <v/>
      </c>
      <c r="J286" t="str">
        <f>IF(AND('Entry list'!$I286=5,'Entry list'!$J286=5),'Entry list'!L286,"")</f>
        <v/>
      </c>
      <c r="K286" t="str">
        <f>IF(AND('Entry list'!$I286=5,'Entry list'!$J286=5),'Entry list'!M286,"")</f>
        <v/>
      </c>
      <c r="L286" t="str">
        <f>IF(AND('Entry list'!$I286=5,'Entry list'!$J286=5),'Entry list'!N286,"")</f>
        <v/>
      </c>
      <c r="M286" t="str">
        <f t="shared" si="12"/>
        <v/>
      </c>
      <c r="N286" t="str">
        <f t="shared" si="13"/>
        <v/>
      </c>
      <c r="O286" t="str">
        <f t="shared" si="14"/>
        <v/>
      </c>
    </row>
    <row r="287" spans="1:15" x14ac:dyDescent="0.25">
      <c r="A287" t="str">
        <f>IF(AND('Entry list'!$I287=5,'Entry list'!$J287=5),'Entry list'!A287,"")</f>
        <v/>
      </c>
      <c r="B287" t="str">
        <f>IF(AND('Entry list'!$I287=5,'Entry list'!$J287=5),'Entry list'!B287,"")</f>
        <v/>
      </c>
      <c r="C287" t="str">
        <f>IF(AND('Entry list'!$I287=5,'Entry list'!$J287=5),'Entry list'!C287,"")</f>
        <v/>
      </c>
      <c r="D287" t="str">
        <f>IF(AND('Entry list'!$I287=5,'Entry list'!$J287=5),'Entry list'!D287,"")</f>
        <v/>
      </c>
      <c r="E287" t="str">
        <f>IF(AND('Entry list'!$I287=5,'Entry list'!$J287=5),'Entry list'!E287,"")</f>
        <v/>
      </c>
      <c r="F287" t="str">
        <f>IF(AND('Entry list'!$I287=5,'Entry list'!$J287=5),'Entry list'!F287,"")</f>
        <v/>
      </c>
      <c r="G287" t="str">
        <f>IF(AND('Entry list'!$I287=5,'Entry list'!$J287=5),'Entry list'!G287,"")</f>
        <v/>
      </c>
      <c r="H287" t="str">
        <f>IF(AND('Entry list'!$I287=5,'Entry list'!$J287=5),'Entry list'!H287,"")</f>
        <v/>
      </c>
      <c r="I287" t="str">
        <f>IF(AND('Entry list'!$I287=5,'Entry list'!$J287=5),'Entry list'!K287,"")</f>
        <v/>
      </c>
      <c r="J287" t="str">
        <f>IF(AND('Entry list'!$I287=5,'Entry list'!$J287=5),'Entry list'!L287,"")</f>
        <v/>
      </c>
      <c r="K287" t="str">
        <f>IF(AND('Entry list'!$I287=5,'Entry list'!$J287=5),'Entry list'!M287,"")</f>
        <v/>
      </c>
      <c r="L287" t="str">
        <f>IF(AND('Entry list'!$I287=5,'Entry list'!$J287=5),'Entry list'!N287,"")</f>
        <v/>
      </c>
      <c r="M287" t="str">
        <f t="shared" si="12"/>
        <v/>
      </c>
      <c r="N287" t="str">
        <f t="shared" si="13"/>
        <v/>
      </c>
      <c r="O287" t="str">
        <f t="shared" si="14"/>
        <v/>
      </c>
    </row>
    <row r="288" spans="1:15" x14ac:dyDescent="0.25">
      <c r="A288" t="str">
        <f>IF(AND('Entry list'!$I288=5,'Entry list'!$J288=5),'Entry list'!A288,"")</f>
        <v/>
      </c>
      <c r="B288" t="str">
        <f>IF(AND('Entry list'!$I288=5,'Entry list'!$J288=5),'Entry list'!B288,"")</f>
        <v/>
      </c>
      <c r="C288" t="str">
        <f>IF(AND('Entry list'!$I288=5,'Entry list'!$J288=5),'Entry list'!C288,"")</f>
        <v/>
      </c>
      <c r="D288" t="str">
        <f>IF(AND('Entry list'!$I288=5,'Entry list'!$J288=5),'Entry list'!D288,"")</f>
        <v/>
      </c>
      <c r="E288" t="str">
        <f>IF(AND('Entry list'!$I288=5,'Entry list'!$J288=5),'Entry list'!E288,"")</f>
        <v/>
      </c>
      <c r="F288" t="str">
        <f>IF(AND('Entry list'!$I288=5,'Entry list'!$J288=5),'Entry list'!F288,"")</f>
        <v/>
      </c>
      <c r="G288" t="str">
        <f>IF(AND('Entry list'!$I288=5,'Entry list'!$J288=5),'Entry list'!G288,"")</f>
        <v/>
      </c>
      <c r="H288" t="str">
        <f>IF(AND('Entry list'!$I288=5,'Entry list'!$J288=5),'Entry list'!H288,"")</f>
        <v/>
      </c>
      <c r="I288" t="str">
        <f>IF(AND('Entry list'!$I288=5,'Entry list'!$J288=5),'Entry list'!K288,"")</f>
        <v/>
      </c>
      <c r="J288" t="str">
        <f>IF(AND('Entry list'!$I288=5,'Entry list'!$J288=5),'Entry list'!L288,"")</f>
        <v/>
      </c>
      <c r="K288" t="str">
        <f>IF(AND('Entry list'!$I288=5,'Entry list'!$J288=5),'Entry list'!M288,"")</f>
        <v/>
      </c>
      <c r="L288" t="str">
        <f>IF(AND('Entry list'!$I288=5,'Entry list'!$J288=5),'Entry list'!N288,"")</f>
        <v/>
      </c>
      <c r="M288" t="str">
        <f t="shared" si="12"/>
        <v/>
      </c>
      <c r="N288" t="str">
        <f t="shared" si="13"/>
        <v/>
      </c>
      <c r="O288" t="str">
        <f t="shared" si="14"/>
        <v/>
      </c>
    </row>
    <row r="289" spans="1:15" x14ac:dyDescent="0.25">
      <c r="A289" t="str">
        <f>IF(AND('Entry list'!$I289=5,'Entry list'!$J289=5),'Entry list'!A289,"")</f>
        <v/>
      </c>
      <c r="B289" t="str">
        <f>IF(AND('Entry list'!$I289=5,'Entry list'!$J289=5),'Entry list'!B289,"")</f>
        <v/>
      </c>
      <c r="C289" t="str">
        <f>IF(AND('Entry list'!$I289=5,'Entry list'!$J289=5),'Entry list'!C289,"")</f>
        <v/>
      </c>
      <c r="D289" t="str">
        <f>IF(AND('Entry list'!$I289=5,'Entry list'!$J289=5),'Entry list'!D289,"")</f>
        <v/>
      </c>
      <c r="E289" t="str">
        <f>IF(AND('Entry list'!$I289=5,'Entry list'!$J289=5),'Entry list'!E289,"")</f>
        <v/>
      </c>
      <c r="F289" t="str">
        <f>IF(AND('Entry list'!$I289=5,'Entry list'!$J289=5),'Entry list'!F289,"")</f>
        <v/>
      </c>
      <c r="G289" t="str">
        <f>IF(AND('Entry list'!$I289=5,'Entry list'!$J289=5),'Entry list'!G289,"")</f>
        <v/>
      </c>
      <c r="H289" t="str">
        <f>IF(AND('Entry list'!$I289=5,'Entry list'!$J289=5),'Entry list'!H289,"")</f>
        <v/>
      </c>
      <c r="I289" t="str">
        <f>IF(AND('Entry list'!$I289=5,'Entry list'!$J289=5),'Entry list'!K289,"")</f>
        <v/>
      </c>
      <c r="J289" t="str">
        <f>IF(AND('Entry list'!$I289=5,'Entry list'!$J289=5),'Entry list'!L289,"")</f>
        <v/>
      </c>
      <c r="K289" t="str">
        <f>IF(AND('Entry list'!$I289=5,'Entry list'!$J289=5),'Entry list'!M289,"")</f>
        <v/>
      </c>
      <c r="L289" t="str">
        <f>IF(AND('Entry list'!$I289=5,'Entry list'!$J289=5),'Entry list'!N289,"")</f>
        <v/>
      </c>
      <c r="M289" t="str">
        <f t="shared" si="12"/>
        <v/>
      </c>
      <c r="N289" t="str">
        <f t="shared" si="13"/>
        <v/>
      </c>
      <c r="O289" t="str">
        <f t="shared" si="14"/>
        <v/>
      </c>
    </row>
    <row r="290" spans="1:15" x14ac:dyDescent="0.25">
      <c r="A290" t="str">
        <f>IF(AND('Entry list'!$I290=5,'Entry list'!$J290=5),'Entry list'!A290,"")</f>
        <v/>
      </c>
      <c r="B290" t="str">
        <f>IF(AND('Entry list'!$I290=5,'Entry list'!$J290=5),'Entry list'!B290,"")</f>
        <v/>
      </c>
      <c r="C290" t="str">
        <f>IF(AND('Entry list'!$I290=5,'Entry list'!$J290=5),'Entry list'!C290,"")</f>
        <v/>
      </c>
      <c r="D290" t="str">
        <f>IF(AND('Entry list'!$I290=5,'Entry list'!$J290=5),'Entry list'!D290,"")</f>
        <v/>
      </c>
      <c r="E290" t="str">
        <f>IF(AND('Entry list'!$I290=5,'Entry list'!$J290=5),'Entry list'!E290,"")</f>
        <v/>
      </c>
      <c r="F290" t="str">
        <f>IF(AND('Entry list'!$I290=5,'Entry list'!$J290=5),'Entry list'!F290,"")</f>
        <v/>
      </c>
      <c r="G290" t="str">
        <f>IF(AND('Entry list'!$I290=5,'Entry list'!$J290=5),'Entry list'!G290,"")</f>
        <v/>
      </c>
      <c r="H290" t="str">
        <f>IF(AND('Entry list'!$I290=5,'Entry list'!$J290=5),'Entry list'!H290,"")</f>
        <v/>
      </c>
      <c r="I290" t="str">
        <f>IF(AND('Entry list'!$I290=5,'Entry list'!$J290=5),'Entry list'!K290,"")</f>
        <v/>
      </c>
      <c r="J290" t="str">
        <f>IF(AND('Entry list'!$I290=5,'Entry list'!$J290=5),'Entry list'!L290,"")</f>
        <v/>
      </c>
      <c r="K290" t="str">
        <f>IF(AND('Entry list'!$I290=5,'Entry list'!$J290=5),'Entry list'!M290,"")</f>
        <v/>
      </c>
      <c r="L290" t="str">
        <f>IF(AND('Entry list'!$I290=5,'Entry list'!$J290=5),'Entry list'!N290,"")</f>
        <v/>
      </c>
      <c r="M290" t="str">
        <f t="shared" si="12"/>
        <v/>
      </c>
      <c r="N290" t="str">
        <f t="shared" si="13"/>
        <v/>
      </c>
      <c r="O290" t="str">
        <f t="shared" si="14"/>
        <v/>
      </c>
    </row>
    <row r="291" spans="1:15" x14ac:dyDescent="0.25">
      <c r="A291" t="str">
        <f>IF(AND('Entry list'!$I291=5,'Entry list'!$J291=5),'Entry list'!A291,"")</f>
        <v/>
      </c>
      <c r="B291" t="str">
        <f>IF(AND('Entry list'!$I291=5,'Entry list'!$J291=5),'Entry list'!B291,"")</f>
        <v/>
      </c>
      <c r="C291" t="str">
        <f>IF(AND('Entry list'!$I291=5,'Entry list'!$J291=5),'Entry list'!C291,"")</f>
        <v/>
      </c>
      <c r="D291" t="str">
        <f>IF(AND('Entry list'!$I291=5,'Entry list'!$J291=5),'Entry list'!D291,"")</f>
        <v/>
      </c>
      <c r="E291" t="str">
        <f>IF(AND('Entry list'!$I291=5,'Entry list'!$J291=5),'Entry list'!E291,"")</f>
        <v/>
      </c>
      <c r="F291" t="str">
        <f>IF(AND('Entry list'!$I291=5,'Entry list'!$J291=5),'Entry list'!F291,"")</f>
        <v/>
      </c>
      <c r="G291" t="str">
        <f>IF(AND('Entry list'!$I291=5,'Entry list'!$J291=5),'Entry list'!G291,"")</f>
        <v/>
      </c>
      <c r="H291" t="str">
        <f>IF(AND('Entry list'!$I291=5,'Entry list'!$J291=5),'Entry list'!H291,"")</f>
        <v/>
      </c>
      <c r="I291" t="str">
        <f>IF(AND('Entry list'!$I291=5,'Entry list'!$J291=5),'Entry list'!K291,"")</f>
        <v/>
      </c>
      <c r="J291" t="str">
        <f>IF(AND('Entry list'!$I291=5,'Entry list'!$J291=5),'Entry list'!L291,"")</f>
        <v/>
      </c>
      <c r="K291" t="str">
        <f>IF(AND('Entry list'!$I291=5,'Entry list'!$J291=5),'Entry list'!M291,"")</f>
        <v/>
      </c>
      <c r="L291" t="str">
        <f>IF(AND('Entry list'!$I291=5,'Entry list'!$J291=5),'Entry list'!N291,"")</f>
        <v/>
      </c>
      <c r="M291" t="str">
        <f t="shared" si="12"/>
        <v/>
      </c>
      <c r="N291" t="str">
        <f t="shared" si="13"/>
        <v/>
      </c>
      <c r="O291" t="str">
        <f t="shared" si="14"/>
        <v/>
      </c>
    </row>
    <row r="292" spans="1:15" x14ac:dyDescent="0.25">
      <c r="A292" t="str">
        <f>IF(AND('Entry list'!$I292=5,'Entry list'!$J292=5),'Entry list'!A292,"")</f>
        <v/>
      </c>
      <c r="B292" t="str">
        <f>IF(AND('Entry list'!$I292=5,'Entry list'!$J292=5),'Entry list'!B292,"")</f>
        <v/>
      </c>
      <c r="C292" t="str">
        <f>IF(AND('Entry list'!$I292=5,'Entry list'!$J292=5),'Entry list'!C292,"")</f>
        <v/>
      </c>
      <c r="D292" t="str">
        <f>IF(AND('Entry list'!$I292=5,'Entry list'!$J292=5),'Entry list'!D292,"")</f>
        <v/>
      </c>
      <c r="E292" t="str">
        <f>IF(AND('Entry list'!$I292=5,'Entry list'!$J292=5),'Entry list'!E292,"")</f>
        <v/>
      </c>
      <c r="F292" t="str">
        <f>IF(AND('Entry list'!$I292=5,'Entry list'!$J292=5),'Entry list'!F292,"")</f>
        <v/>
      </c>
      <c r="G292" t="str">
        <f>IF(AND('Entry list'!$I292=5,'Entry list'!$J292=5),'Entry list'!G292,"")</f>
        <v/>
      </c>
      <c r="H292" t="str">
        <f>IF(AND('Entry list'!$I292=5,'Entry list'!$J292=5),'Entry list'!H292,"")</f>
        <v/>
      </c>
      <c r="I292" t="str">
        <f>IF(AND('Entry list'!$I292=5,'Entry list'!$J292=5),'Entry list'!K292,"")</f>
        <v/>
      </c>
      <c r="J292" t="str">
        <f>IF(AND('Entry list'!$I292=5,'Entry list'!$J292=5),'Entry list'!L292,"")</f>
        <v/>
      </c>
      <c r="K292" t="str">
        <f>IF(AND('Entry list'!$I292=5,'Entry list'!$J292=5),'Entry list'!M292,"")</f>
        <v/>
      </c>
      <c r="L292" t="str">
        <f>IF(AND('Entry list'!$I292=5,'Entry list'!$J292=5),'Entry list'!N292,"")</f>
        <v/>
      </c>
      <c r="M292" t="str">
        <f t="shared" si="12"/>
        <v/>
      </c>
      <c r="N292" t="str">
        <f t="shared" si="13"/>
        <v/>
      </c>
      <c r="O292" t="str">
        <f t="shared" si="14"/>
        <v/>
      </c>
    </row>
    <row r="293" spans="1:15" x14ac:dyDescent="0.25">
      <c r="A293" t="str">
        <f>IF(AND('Entry list'!$I293=5,'Entry list'!$J293=5),'Entry list'!A293,"")</f>
        <v/>
      </c>
      <c r="B293" t="str">
        <f>IF(AND('Entry list'!$I293=5,'Entry list'!$J293=5),'Entry list'!B293,"")</f>
        <v/>
      </c>
      <c r="C293" t="str">
        <f>IF(AND('Entry list'!$I293=5,'Entry list'!$J293=5),'Entry list'!C293,"")</f>
        <v/>
      </c>
      <c r="D293" t="str">
        <f>IF(AND('Entry list'!$I293=5,'Entry list'!$J293=5),'Entry list'!D293,"")</f>
        <v/>
      </c>
      <c r="E293" t="str">
        <f>IF(AND('Entry list'!$I293=5,'Entry list'!$J293=5),'Entry list'!E293,"")</f>
        <v/>
      </c>
      <c r="F293" t="str">
        <f>IF(AND('Entry list'!$I293=5,'Entry list'!$J293=5),'Entry list'!F293,"")</f>
        <v/>
      </c>
      <c r="G293" t="str">
        <f>IF(AND('Entry list'!$I293=5,'Entry list'!$J293=5),'Entry list'!G293,"")</f>
        <v/>
      </c>
      <c r="H293" t="str">
        <f>IF(AND('Entry list'!$I293=5,'Entry list'!$J293=5),'Entry list'!H293,"")</f>
        <v/>
      </c>
      <c r="I293" t="str">
        <f>IF(AND('Entry list'!$I293=5,'Entry list'!$J293=5),'Entry list'!K293,"")</f>
        <v/>
      </c>
      <c r="J293" t="str">
        <f>IF(AND('Entry list'!$I293=5,'Entry list'!$J293=5),'Entry list'!L293,"")</f>
        <v/>
      </c>
      <c r="K293" t="str">
        <f>IF(AND('Entry list'!$I293=5,'Entry list'!$J293=5),'Entry list'!M293,"")</f>
        <v/>
      </c>
      <c r="L293" t="str">
        <f>IF(AND('Entry list'!$I293=5,'Entry list'!$J293=5),'Entry list'!N293,"")</f>
        <v/>
      </c>
      <c r="M293" t="str">
        <f t="shared" si="12"/>
        <v/>
      </c>
      <c r="N293" t="str">
        <f t="shared" si="13"/>
        <v/>
      </c>
      <c r="O293" t="str">
        <f t="shared" si="14"/>
        <v/>
      </c>
    </row>
    <row r="294" spans="1:15" x14ac:dyDescent="0.25">
      <c r="A294" t="str">
        <f>IF(AND('Entry list'!$I294=5,'Entry list'!$J294=5),'Entry list'!A294,"")</f>
        <v/>
      </c>
      <c r="B294" t="str">
        <f>IF(AND('Entry list'!$I294=5,'Entry list'!$J294=5),'Entry list'!B294,"")</f>
        <v/>
      </c>
      <c r="C294" t="str">
        <f>IF(AND('Entry list'!$I294=5,'Entry list'!$J294=5),'Entry list'!C294,"")</f>
        <v/>
      </c>
      <c r="D294" t="str">
        <f>IF(AND('Entry list'!$I294=5,'Entry list'!$J294=5),'Entry list'!D294,"")</f>
        <v/>
      </c>
      <c r="E294" t="str">
        <f>IF(AND('Entry list'!$I294=5,'Entry list'!$J294=5),'Entry list'!E294,"")</f>
        <v/>
      </c>
      <c r="F294" t="str">
        <f>IF(AND('Entry list'!$I294=5,'Entry list'!$J294=5),'Entry list'!F294,"")</f>
        <v/>
      </c>
      <c r="G294" t="str">
        <f>IF(AND('Entry list'!$I294=5,'Entry list'!$J294=5),'Entry list'!G294,"")</f>
        <v/>
      </c>
      <c r="H294" t="str">
        <f>IF(AND('Entry list'!$I294=5,'Entry list'!$J294=5),'Entry list'!H294,"")</f>
        <v/>
      </c>
      <c r="I294" t="str">
        <f>IF(AND('Entry list'!$I294=5,'Entry list'!$J294=5),'Entry list'!K294,"")</f>
        <v/>
      </c>
      <c r="J294" t="str">
        <f>IF(AND('Entry list'!$I294=5,'Entry list'!$J294=5),'Entry list'!L294,"")</f>
        <v/>
      </c>
      <c r="K294" t="str">
        <f>IF(AND('Entry list'!$I294=5,'Entry list'!$J294=5),'Entry list'!M294,"")</f>
        <v/>
      </c>
      <c r="L294" t="str">
        <f>IF(AND('Entry list'!$I294=5,'Entry list'!$J294=5),'Entry list'!N294,"")</f>
        <v/>
      </c>
      <c r="M294" t="str">
        <f t="shared" si="12"/>
        <v/>
      </c>
      <c r="N294" t="str">
        <f t="shared" si="13"/>
        <v/>
      </c>
      <c r="O294" t="str">
        <f t="shared" si="14"/>
        <v/>
      </c>
    </row>
    <row r="295" spans="1:15" x14ac:dyDescent="0.25">
      <c r="A295" t="str">
        <f>IF(AND('Entry list'!$I295=5,'Entry list'!$J295=5),'Entry list'!A295,"")</f>
        <v/>
      </c>
      <c r="B295" t="str">
        <f>IF(AND('Entry list'!$I295=5,'Entry list'!$J295=5),'Entry list'!B295,"")</f>
        <v/>
      </c>
      <c r="C295" t="str">
        <f>IF(AND('Entry list'!$I295=5,'Entry list'!$J295=5),'Entry list'!C295,"")</f>
        <v/>
      </c>
      <c r="D295" t="str">
        <f>IF(AND('Entry list'!$I295=5,'Entry list'!$J295=5),'Entry list'!D295,"")</f>
        <v/>
      </c>
      <c r="E295" t="str">
        <f>IF(AND('Entry list'!$I295=5,'Entry list'!$J295=5),'Entry list'!E295,"")</f>
        <v/>
      </c>
      <c r="F295" t="str">
        <f>IF(AND('Entry list'!$I295=5,'Entry list'!$J295=5),'Entry list'!F295,"")</f>
        <v/>
      </c>
      <c r="G295" t="str">
        <f>IF(AND('Entry list'!$I295=5,'Entry list'!$J295=5),'Entry list'!G295,"")</f>
        <v/>
      </c>
      <c r="H295" t="str">
        <f>IF(AND('Entry list'!$I295=5,'Entry list'!$J295=5),'Entry list'!H295,"")</f>
        <v/>
      </c>
      <c r="I295" t="str">
        <f>IF(AND('Entry list'!$I295=5,'Entry list'!$J295=5),'Entry list'!K295,"")</f>
        <v/>
      </c>
      <c r="J295" t="str">
        <f>IF(AND('Entry list'!$I295=5,'Entry list'!$J295=5),'Entry list'!L295,"")</f>
        <v/>
      </c>
      <c r="K295" t="str">
        <f>IF(AND('Entry list'!$I295=5,'Entry list'!$J295=5),'Entry list'!M295,"")</f>
        <v/>
      </c>
      <c r="L295" t="str">
        <f>IF(AND('Entry list'!$I295=5,'Entry list'!$J295=5),'Entry list'!N295,"")</f>
        <v/>
      </c>
      <c r="M295" t="str">
        <f t="shared" si="12"/>
        <v/>
      </c>
      <c r="N295" t="str">
        <f t="shared" si="13"/>
        <v/>
      </c>
      <c r="O295" t="str">
        <f t="shared" si="14"/>
        <v/>
      </c>
    </row>
    <row r="296" spans="1:15" x14ac:dyDescent="0.25">
      <c r="A296">
        <f>IF(AND('Entry list'!$I296=5,'Entry list'!$J296=5),'Entry list'!A296,"")</f>
        <v>2</v>
      </c>
      <c r="B296">
        <f>IF(AND('Entry list'!$I296=5,'Entry list'!$J296=5),'Entry list'!B296,"")</f>
        <v>7.2222222222222229E-2</v>
      </c>
      <c r="C296" t="str">
        <f>IF(AND('Entry list'!$I296=5,'Entry list'!$J296=5),'Entry list'!C296,"")</f>
        <v>D</v>
      </c>
      <c r="D296" t="str">
        <f>IF(AND('Entry list'!$I296=5,'Entry list'!$J296=5),'Entry list'!D296,"")</f>
        <v>51DET</v>
      </c>
      <c r="E296" t="str">
        <f>IF(AND('Entry list'!$I296=5,'Entry list'!$J296=5),'Entry list'!E296,"")</f>
        <v>4NSH</v>
      </c>
      <c r="F296" t="str">
        <f>IF(AND('Entry list'!$I296=5,'Entry list'!$J296=5),'Entry list'!F296,"")</f>
        <v/>
      </c>
      <c r="G296" t="str">
        <f>IF(AND('Entry list'!$I296=5,'Entry list'!$J296=5),'Entry list'!G296,"")</f>
        <v>L</v>
      </c>
      <c r="H296" t="str">
        <f>IF(AND('Entry list'!$I296=5,'Entry list'!$J296=5),'Entry list'!H296,"")</f>
        <v>N</v>
      </c>
      <c r="I296" t="str">
        <f>IF(AND('Entry list'!$I296=5,'Entry list'!$J296=5),'Entry list'!K296,"")</f>
        <v/>
      </c>
      <c r="J296">
        <f>IF(AND('Entry list'!$I296=5,'Entry list'!$J296=5),'Entry list'!L296,"")</f>
        <v>0</v>
      </c>
      <c r="K296">
        <f>IF(AND('Entry list'!$I296=5,'Entry list'!$J296=5),'Entry list'!M296,"")</f>
        <v>0</v>
      </c>
      <c r="L296" t="str">
        <f>IF(AND('Entry list'!$I296=5,'Entry list'!$J296=5),'Entry list'!N296,"")</f>
        <v/>
      </c>
      <c r="M296">
        <f t="shared" si="12"/>
        <v>0</v>
      </c>
      <c r="N296" t="str">
        <f t="shared" si="13"/>
        <v/>
      </c>
      <c r="O296" t="str">
        <f t="shared" si="14"/>
        <v/>
      </c>
    </row>
    <row r="297" spans="1:15" x14ac:dyDescent="0.25">
      <c r="A297" t="str">
        <f>IF(AND('Entry list'!$I297=5,'Entry list'!$J297=5),'Entry list'!A297,"")</f>
        <v/>
      </c>
      <c r="B297" t="str">
        <f>IF(AND('Entry list'!$I297=5,'Entry list'!$J297=5),'Entry list'!B297,"")</f>
        <v/>
      </c>
      <c r="C297" t="str">
        <f>IF(AND('Entry list'!$I297=5,'Entry list'!$J297=5),'Entry list'!C297,"")</f>
        <v/>
      </c>
      <c r="D297" t="str">
        <f>IF(AND('Entry list'!$I297=5,'Entry list'!$J297=5),'Entry list'!D297,"")</f>
        <v/>
      </c>
      <c r="E297" t="str">
        <f>IF(AND('Entry list'!$I297=5,'Entry list'!$J297=5),'Entry list'!E297,"")</f>
        <v/>
      </c>
      <c r="F297" t="str">
        <f>IF(AND('Entry list'!$I297=5,'Entry list'!$J297=5),'Entry list'!F297,"")</f>
        <v/>
      </c>
      <c r="G297" t="str">
        <f>IF(AND('Entry list'!$I297=5,'Entry list'!$J297=5),'Entry list'!G297,"")</f>
        <v/>
      </c>
      <c r="H297" t="str">
        <f>IF(AND('Entry list'!$I297=5,'Entry list'!$J297=5),'Entry list'!H297,"")</f>
        <v/>
      </c>
      <c r="I297" t="str">
        <f>IF(AND('Entry list'!$I297=5,'Entry list'!$J297=5),'Entry list'!K297,"")</f>
        <v/>
      </c>
      <c r="J297" t="str">
        <f>IF(AND('Entry list'!$I297=5,'Entry list'!$J297=5),'Entry list'!L297,"")</f>
        <v/>
      </c>
      <c r="K297" t="str">
        <f>IF(AND('Entry list'!$I297=5,'Entry list'!$J297=5),'Entry list'!M297,"")</f>
        <v/>
      </c>
      <c r="L297" t="str">
        <f>IF(AND('Entry list'!$I297=5,'Entry list'!$J297=5),'Entry list'!N297,"")</f>
        <v/>
      </c>
      <c r="M297" t="str">
        <f t="shared" si="12"/>
        <v/>
      </c>
      <c r="N297" t="str">
        <f t="shared" si="13"/>
        <v/>
      </c>
      <c r="O297" t="str">
        <f t="shared" si="14"/>
        <v/>
      </c>
    </row>
    <row r="298" spans="1:15" x14ac:dyDescent="0.25">
      <c r="A298" t="str">
        <f>IF(AND('Entry list'!$I298=5,'Entry list'!$J298=5),'Entry list'!A298,"")</f>
        <v/>
      </c>
      <c r="B298" t="str">
        <f>IF(AND('Entry list'!$I298=5,'Entry list'!$J298=5),'Entry list'!B298,"")</f>
        <v/>
      </c>
      <c r="C298" t="str">
        <f>IF(AND('Entry list'!$I298=5,'Entry list'!$J298=5),'Entry list'!C298,"")</f>
        <v/>
      </c>
      <c r="D298" t="str">
        <f>IF(AND('Entry list'!$I298=5,'Entry list'!$J298=5),'Entry list'!D298,"")</f>
        <v/>
      </c>
      <c r="E298" t="str">
        <f>IF(AND('Entry list'!$I298=5,'Entry list'!$J298=5),'Entry list'!E298,"")</f>
        <v/>
      </c>
      <c r="F298" t="str">
        <f>IF(AND('Entry list'!$I298=5,'Entry list'!$J298=5),'Entry list'!F298,"")</f>
        <v/>
      </c>
      <c r="G298" t="str">
        <f>IF(AND('Entry list'!$I298=5,'Entry list'!$J298=5),'Entry list'!G298,"")</f>
        <v/>
      </c>
      <c r="H298" t="str">
        <f>IF(AND('Entry list'!$I298=5,'Entry list'!$J298=5),'Entry list'!H298,"")</f>
        <v/>
      </c>
      <c r="I298" t="str">
        <f>IF(AND('Entry list'!$I298=5,'Entry list'!$J298=5),'Entry list'!K298,"")</f>
        <v/>
      </c>
      <c r="J298" t="str">
        <f>IF(AND('Entry list'!$I298=5,'Entry list'!$J298=5),'Entry list'!L298,"")</f>
        <v/>
      </c>
      <c r="K298" t="str">
        <f>IF(AND('Entry list'!$I298=5,'Entry list'!$J298=5),'Entry list'!M298,"")</f>
        <v/>
      </c>
      <c r="L298" t="str">
        <f>IF(AND('Entry list'!$I298=5,'Entry list'!$J298=5),'Entry list'!N298,"")</f>
        <v/>
      </c>
      <c r="M298" t="str">
        <f t="shared" si="12"/>
        <v/>
      </c>
      <c r="N298" t="str">
        <f t="shared" si="13"/>
        <v/>
      </c>
      <c r="O298" t="str">
        <f t="shared" si="14"/>
        <v/>
      </c>
    </row>
    <row r="299" spans="1:15" x14ac:dyDescent="0.25">
      <c r="A299">
        <f>IF(AND('Entry list'!$I299=5,'Entry list'!$J299=5),'Entry list'!A299,"")</f>
        <v>2</v>
      </c>
      <c r="B299">
        <f>IF(AND('Entry list'!$I299=5,'Entry list'!$J299=5),'Entry list'!B299,"")</f>
        <v>5.6944444444444443E-2</v>
      </c>
      <c r="C299" t="str">
        <f>IF(AND('Entry list'!$I299=5,'Entry list'!$J299=5),'Entry list'!C299,"")</f>
        <v>D</v>
      </c>
      <c r="D299" t="str">
        <f>IF(AND('Entry list'!$I299=5,'Entry list'!$J299=5),'Entry list'!D299,"")</f>
        <v>43DET</v>
      </c>
      <c r="E299" t="str">
        <f>IF(AND('Entry list'!$I299=5,'Entry list'!$J299=5),'Entry list'!E299,"")</f>
        <v>76NSH</v>
      </c>
      <c r="F299" t="str">
        <f>IF(AND('Entry list'!$I299=5,'Entry list'!$J299=5),'Entry list'!F299,"")</f>
        <v/>
      </c>
      <c r="G299" t="str">
        <f>IF(AND('Entry list'!$I299=5,'Entry list'!$J299=5),'Entry list'!G299,"")</f>
        <v>L</v>
      </c>
      <c r="H299" t="str">
        <f>IF(AND('Entry list'!$I299=5,'Entry list'!$J299=5),'Entry list'!H299,"")</f>
        <v>N</v>
      </c>
      <c r="I299" t="str">
        <f>IF(AND('Entry list'!$I299=5,'Entry list'!$J299=5),'Entry list'!K299,"")</f>
        <v/>
      </c>
      <c r="J299">
        <f>IF(AND('Entry list'!$I299=5,'Entry list'!$J299=5),'Entry list'!L299,"")</f>
        <v>0</v>
      </c>
      <c r="K299">
        <f>IF(AND('Entry list'!$I299=5,'Entry list'!$J299=5),'Entry list'!M299,"")</f>
        <v>0</v>
      </c>
      <c r="L299" t="str">
        <f>IF(AND('Entry list'!$I299=5,'Entry list'!$J299=5),'Entry list'!N299,"")</f>
        <v/>
      </c>
      <c r="M299">
        <f t="shared" si="12"/>
        <v>0</v>
      </c>
      <c r="N299" t="str">
        <f t="shared" si="13"/>
        <v/>
      </c>
      <c r="O299" t="str">
        <f t="shared" si="14"/>
        <v/>
      </c>
    </row>
    <row r="300" spans="1:15" x14ac:dyDescent="0.25">
      <c r="A300">
        <f>IF(AND('Entry list'!$I300=5,'Entry list'!$J300=5),'Entry list'!A300,"")</f>
        <v>2</v>
      </c>
      <c r="B300">
        <f>IF(AND('Entry list'!$I300=5,'Entry list'!$J300=5),'Entry list'!B300,"")</f>
        <v>4.2361111111111106E-2</v>
      </c>
      <c r="C300" t="str">
        <f>IF(AND('Entry list'!$I300=5,'Entry list'!$J300=5),'Entry list'!C300,"")</f>
        <v>D</v>
      </c>
      <c r="D300" t="str">
        <f>IF(AND('Entry list'!$I300=5,'Entry list'!$J300=5),'Entry list'!D300,"")</f>
        <v>9NSH</v>
      </c>
      <c r="E300" t="str">
        <f>IF(AND('Entry list'!$I300=5,'Entry list'!$J300=5),'Entry list'!E300,"")</f>
        <v>N</v>
      </c>
      <c r="F300" t="str">
        <f>IF(AND('Entry list'!$I300=5,'Entry list'!$J300=5),'Entry list'!F300,"")</f>
        <v/>
      </c>
      <c r="G300" t="str">
        <f>IF(AND('Entry list'!$I300=5,'Entry list'!$J300=5),'Entry list'!G300,"")</f>
        <v>C</v>
      </c>
      <c r="H300" t="str">
        <f>IF(AND('Entry list'!$I300=5,'Entry list'!$J300=5),'Entry list'!H300,"")</f>
        <v>N</v>
      </c>
      <c r="I300" t="str">
        <f>IF(AND('Entry list'!$I300=5,'Entry list'!$J300=5),'Entry list'!K300,"")</f>
        <v/>
      </c>
      <c r="J300">
        <f>IF(AND('Entry list'!$I300=5,'Entry list'!$J300=5),'Entry list'!L300,"")</f>
        <v>0</v>
      </c>
      <c r="K300">
        <f>IF(AND('Entry list'!$I300=5,'Entry list'!$J300=5),'Entry list'!M300,"")</f>
        <v>0</v>
      </c>
      <c r="L300" t="str">
        <f>IF(AND('Entry list'!$I300=5,'Entry list'!$J300=5),'Entry list'!N300,"")</f>
        <v/>
      </c>
      <c r="M300">
        <f t="shared" si="12"/>
        <v>0</v>
      </c>
      <c r="N300" t="str">
        <f t="shared" si="13"/>
        <v/>
      </c>
      <c r="O300" t="str">
        <f t="shared" si="14"/>
        <v/>
      </c>
    </row>
    <row r="301" spans="1:15" x14ac:dyDescent="0.25">
      <c r="A301">
        <f>IF(AND('Entry list'!$I301=5,'Entry list'!$J301=5),'Entry list'!A301,"")</f>
        <v>2</v>
      </c>
      <c r="B301">
        <f>IF(AND('Entry list'!$I301=5,'Entry list'!$J301=5),'Entry list'!B301,"")</f>
        <v>3.4722222222222224E-2</v>
      </c>
      <c r="C301" t="str">
        <f>IF(AND('Entry list'!$I301=5,'Entry list'!$J301=5),'Entry list'!C301,"")</f>
        <v>C</v>
      </c>
      <c r="D301" t="str">
        <f>IF(AND('Entry list'!$I301=5,'Entry list'!$J301=5),'Entry list'!D301,"")</f>
        <v>41DET</v>
      </c>
      <c r="E301" t="str">
        <f>IF(AND('Entry list'!$I301=5,'Entry list'!$J301=5),'Entry list'!E301,"")</f>
        <v>59NSH</v>
      </c>
      <c r="F301" t="str">
        <f>IF(AND('Entry list'!$I301=5,'Entry list'!$J301=5),'Entry list'!F301,"")</f>
        <v>N</v>
      </c>
      <c r="G301" t="str">
        <f>IF(AND('Entry list'!$I301=5,'Entry list'!$J301=5),'Entry list'!G301,"")</f>
        <v>C</v>
      </c>
      <c r="H301" t="str">
        <f>IF(AND('Entry list'!$I301=5,'Entry list'!$J301=5),'Entry list'!H301,"")</f>
        <v>N</v>
      </c>
      <c r="I301" t="str">
        <f>IF(AND('Entry list'!$I301=5,'Entry list'!$J301=5),'Entry list'!K301,"")</f>
        <v>41DET</v>
      </c>
      <c r="J301">
        <f>IF(AND('Entry list'!$I301=5,'Entry list'!$J301=5),'Entry list'!L301,"")</f>
        <v>2</v>
      </c>
      <c r="K301">
        <f>IF(AND('Entry list'!$I301=5,'Entry list'!$J301=5),'Entry list'!M301,"")</f>
        <v>1</v>
      </c>
      <c r="L301" t="str">
        <f>IF(AND('Entry list'!$I301=5,'Entry list'!$J301=5),'Entry list'!N301,"")</f>
        <v/>
      </c>
      <c r="M301">
        <f t="shared" si="12"/>
        <v>0</v>
      </c>
      <c r="N301">
        <f t="shared" si="13"/>
        <v>0</v>
      </c>
      <c r="O301" t="str">
        <f t="shared" si="14"/>
        <v/>
      </c>
    </row>
    <row r="302" spans="1:15" x14ac:dyDescent="0.25">
      <c r="A302" t="str">
        <f>IF(AND('Entry list'!$I302=5,'Entry list'!$J302=5),'Entry list'!A302,"")</f>
        <v/>
      </c>
      <c r="B302" t="str">
        <f>IF(AND('Entry list'!$I302=5,'Entry list'!$J302=5),'Entry list'!B302,"")</f>
        <v/>
      </c>
      <c r="C302" t="str">
        <f>IF(AND('Entry list'!$I302=5,'Entry list'!$J302=5),'Entry list'!C302,"")</f>
        <v/>
      </c>
      <c r="D302" t="str">
        <f>IF(AND('Entry list'!$I302=5,'Entry list'!$J302=5),'Entry list'!D302,"")</f>
        <v/>
      </c>
      <c r="E302" t="str">
        <f>IF(AND('Entry list'!$I302=5,'Entry list'!$J302=5),'Entry list'!E302,"")</f>
        <v/>
      </c>
      <c r="F302" t="str">
        <f>IF(AND('Entry list'!$I302=5,'Entry list'!$J302=5),'Entry list'!F302,"")</f>
        <v/>
      </c>
      <c r="G302" t="str">
        <f>IF(AND('Entry list'!$I302=5,'Entry list'!$J302=5),'Entry list'!G302,"")</f>
        <v/>
      </c>
      <c r="H302" t="str">
        <f>IF(AND('Entry list'!$I302=5,'Entry list'!$J302=5),'Entry list'!H302,"")</f>
        <v/>
      </c>
      <c r="I302" t="str">
        <f>IF(AND('Entry list'!$I302=5,'Entry list'!$J302=5),'Entry list'!K302,"")</f>
        <v/>
      </c>
      <c r="J302" t="str">
        <f>IF(AND('Entry list'!$I302=5,'Entry list'!$J302=5),'Entry list'!L302,"")</f>
        <v/>
      </c>
      <c r="K302" t="str">
        <f>IF(AND('Entry list'!$I302=5,'Entry list'!$J302=5),'Entry list'!M302,"")</f>
        <v/>
      </c>
      <c r="L302" t="str">
        <f>IF(AND('Entry list'!$I302=5,'Entry list'!$J302=5),'Entry list'!N302,"")</f>
        <v/>
      </c>
      <c r="M302" t="str">
        <f t="shared" si="12"/>
        <v/>
      </c>
      <c r="N302" t="str">
        <f t="shared" si="13"/>
        <v/>
      </c>
      <c r="O302" t="str">
        <f t="shared" si="14"/>
        <v/>
      </c>
    </row>
    <row r="303" spans="1:15" x14ac:dyDescent="0.25">
      <c r="A303" t="str">
        <f>IF(AND('Entry list'!$I303=5,'Entry list'!$J303=5),'Entry list'!A303,"")</f>
        <v/>
      </c>
      <c r="B303" t="str">
        <f>IF(AND('Entry list'!$I303=5,'Entry list'!$J303=5),'Entry list'!B303,"")</f>
        <v/>
      </c>
      <c r="C303" t="str">
        <f>IF(AND('Entry list'!$I303=5,'Entry list'!$J303=5),'Entry list'!C303,"")</f>
        <v/>
      </c>
      <c r="D303" t="str">
        <f>IF(AND('Entry list'!$I303=5,'Entry list'!$J303=5),'Entry list'!D303,"")</f>
        <v/>
      </c>
      <c r="E303" t="str">
        <f>IF(AND('Entry list'!$I303=5,'Entry list'!$J303=5),'Entry list'!E303,"")</f>
        <v/>
      </c>
      <c r="F303" t="str">
        <f>IF(AND('Entry list'!$I303=5,'Entry list'!$J303=5),'Entry list'!F303,"")</f>
        <v/>
      </c>
      <c r="G303" t="str">
        <f>IF(AND('Entry list'!$I303=5,'Entry list'!$J303=5),'Entry list'!G303,"")</f>
        <v/>
      </c>
      <c r="H303" t="str">
        <f>IF(AND('Entry list'!$I303=5,'Entry list'!$J303=5),'Entry list'!H303,"")</f>
        <v/>
      </c>
      <c r="I303" t="str">
        <f>IF(AND('Entry list'!$I303=5,'Entry list'!$J303=5),'Entry list'!K303,"")</f>
        <v/>
      </c>
      <c r="J303" t="str">
        <f>IF(AND('Entry list'!$I303=5,'Entry list'!$J303=5),'Entry list'!L303,"")</f>
        <v/>
      </c>
      <c r="K303" t="str">
        <f>IF(AND('Entry list'!$I303=5,'Entry list'!$J303=5),'Entry list'!M303,"")</f>
        <v/>
      </c>
      <c r="L303" t="str">
        <f>IF(AND('Entry list'!$I303=5,'Entry list'!$J303=5),'Entry list'!N303,"")</f>
        <v/>
      </c>
      <c r="M303" t="str">
        <f t="shared" si="12"/>
        <v/>
      </c>
      <c r="N303" t="str">
        <f t="shared" si="13"/>
        <v/>
      </c>
      <c r="O303" t="str">
        <f t="shared" si="14"/>
        <v/>
      </c>
    </row>
    <row r="304" spans="1:15" x14ac:dyDescent="0.25">
      <c r="A304" t="str">
        <f>IF(AND('Entry list'!$I304=5,'Entry list'!$J304=5),'Entry list'!A304,"")</f>
        <v/>
      </c>
      <c r="B304" t="str">
        <f>IF(AND('Entry list'!$I304=5,'Entry list'!$J304=5),'Entry list'!B304,"")</f>
        <v/>
      </c>
      <c r="C304" t="str">
        <f>IF(AND('Entry list'!$I304=5,'Entry list'!$J304=5),'Entry list'!C304,"")</f>
        <v/>
      </c>
      <c r="D304" t="str">
        <f>IF(AND('Entry list'!$I304=5,'Entry list'!$J304=5),'Entry list'!D304,"")</f>
        <v/>
      </c>
      <c r="E304" t="str">
        <f>IF(AND('Entry list'!$I304=5,'Entry list'!$J304=5),'Entry list'!E304,"")</f>
        <v/>
      </c>
      <c r="F304" t="str">
        <f>IF(AND('Entry list'!$I304=5,'Entry list'!$J304=5),'Entry list'!F304,"")</f>
        <v/>
      </c>
      <c r="G304" t="str">
        <f>IF(AND('Entry list'!$I304=5,'Entry list'!$J304=5),'Entry list'!G304,"")</f>
        <v/>
      </c>
      <c r="H304" t="str">
        <f>IF(AND('Entry list'!$I304=5,'Entry list'!$J304=5),'Entry list'!H304,"")</f>
        <v/>
      </c>
      <c r="I304" t="str">
        <f>IF(AND('Entry list'!$I304=5,'Entry list'!$J304=5),'Entry list'!K304,"")</f>
        <v/>
      </c>
      <c r="J304" t="str">
        <f>IF(AND('Entry list'!$I304=5,'Entry list'!$J304=5),'Entry list'!L304,"")</f>
        <v/>
      </c>
      <c r="K304" t="str">
        <f>IF(AND('Entry list'!$I304=5,'Entry list'!$J304=5),'Entry list'!M304,"")</f>
        <v/>
      </c>
      <c r="L304" t="str">
        <f>IF(AND('Entry list'!$I304=5,'Entry list'!$J304=5),'Entry list'!N304,"")</f>
        <v/>
      </c>
      <c r="M304" t="str">
        <f t="shared" si="12"/>
        <v/>
      </c>
      <c r="N304" t="str">
        <f t="shared" si="13"/>
        <v/>
      </c>
      <c r="O304" t="str">
        <f t="shared" si="14"/>
        <v/>
      </c>
    </row>
    <row r="305" spans="1:15" x14ac:dyDescent="0.25">
      <c r="A305">
        <f>IF(AND('Entry list'!$I305=5,'Entry list'!$J305=5),'Entry list'!A305,"")</f>
        <v>2</v>
      </c>
      <c r="B305">
        <f>IF(AND('Entry list'!$I305=5,'Entry list'!$J305=5),'Entry list'!B305,"")</f>
        <v>1.9444444444444445E-2</v>
      </c>
      <c r="C305" t="str">
        <f>IF(AND('Entry list'!$I305=5,'Entry list'!$J305=5),'Entry list'!C305,"")</f>
        <v>X</v>
      </c>
      <c r="D305" t="str">
        <f>IF(AND('Entry list'!$I305=5,'Entry list'!$J305=5),'Entry list'!D305,"")</f>
        <v>DET</v>
      </c>
      <c r="E305" t="str">
        <f>IF(AND('Entry list'!$I305=5,'Entry list'!$J305=5),'Entry list'!E305,"")</f>
        <v/>
      </c>
      <c r="F305" t="str">
        <f>IF(AND('Entry list'!$I305=5,'Entry list'!$J305=5),'Entry list'!F305,"")</f>
        <v/>
      </c>
      <c r="G305" t="str">
        <f>IF(AND('Entry list'!$I305=5,'Entry list'!$J305=5),'Entry list'!G305,"")</f>
        <v/>
      </c>
      <c r="H305" t="str">
        <f>IF(AND('Entry list'!$I305=5,'Entry list'!$J305=5),'Entry list'!H305,"")</f>
        <v>N</v>
      </c>
      <c r="I305" t="str">
        <f>IF(AND('Entry list'!$I305=5,'Entry list'!$J305=5),'Entry list'!K305,"")</f>
        <v/>
      </c>
      <c r="J305">
        <f>IF(AND('Entry list'!$I305=5,'Entry list'!$J305=5),'Entry list'!L305,"")</f>
        <v>1</v>
      </c>
      <c r="K305">
        <f>IF(AND('Entry list'!$I305=5,'Entry list'!$J305=5),'Entry list'!M305,"")</f>
        <v>0</v>
      </c>
      <c r="L305" t="str">
        <f>IF(AND('Entry list'!$I305=5,'Entry list'!$J305=5),'Entry list'!N305,"")</f>
        <v/>
      </c>
      <c r="M305">
        <f t="shared" si="12"/>
        <v>0</v>
      </c>
      <c r="N305" t="str">
        <f t="shared" si="13"/>
        <v/>
      </c>
      <c r="O305" t="str">
        <f t="shared" si="14"/>
        <v/>
      </c>
    </row>
    <row r="306" spans="1:15" x14ac:dyDescent="0.25">
      <c r="A306" t="str">
        <f>IF(AND('Entry list'!$I306=5,'Entry list'!$J306=5),'Entry list'!A306,"")</f>
        <v/>
      </c>
      <c r="B306" t="str">
        <f>IF(AND('Entry list'!$I306=5,'Entry list'!$J306=5),'Entry list'!B306,"")</f>
        <v/>
      </c>
      <c r="C306" t="str">
        <f>IF(AND('Entry list'!$I306=5,'Entry list'!$J306=5),'Entry list'!C306,"")</f>
        <v/>
      </c>
      <c r="D306" t="str">
        <f>IF(AND('Entry list'!$I306=5,'Entry list'!$J306=5),'Entry list'!D306,"")</f>
        <v/>
      </c>
      <c r="E306" t="str">
        <f>IF(AND('Entry list'!$I306=5,'Entry list'!$J306=5),'Entry list'!E306,"")</f>
        <v/>
      </c>
      <c r="F306" t="str">
        <f>IF(AND('Entry list'!$I306=5,'Entry list'!$J306=5),'Entry list'!F306,"")</f>
        <v/>
      </c>
      <c r="G306" t="str">
        <f>IF(AND('Entry list'!$I306=5,'Entry list'!$J306=5),'Entry list'!G306,"")</f>
        <v/>
      </c>
      <c r="H306" t="str">
        <f>IF(AND('Entry list'!$I306=5,'Entry list'!$J306=5),'Entry list'!H306,"")</f>
        <v/>
      </c>
      <c r="I306" t="str">
        <f>IF(AND('Entry list'!$I306=5,'Entry list'!$J306=5),'Entry list'!K306,"")</f>
        <v/>
      </c>
      <c r="J306" t="str">
        <f>IF(AND('Entry list'!$I306=5,'Entry list'!$J306=5),'Entry list'!L306,"")</f>
        <v/>
      </c>
      <c r="K306" t="str">
        <f>IF(AND('Entry list'!$I306=5,'Entry list'!$J306=5),'Entry list'!M306,"")</f>
        <v/>
      </c>
      <c r="L306" t="str">
        <f>IF(AND('Entry list'!$I306=5,'Entry list'!$J306=5),'Entry list'!N306,"")</f>
        <v/>
      </c>
      <c r="M306" t="str">
        <f t="shared" si="12"/>
        <v/>
      </c>
      <c r="N306" t="str">
        <f t="shared" si="13"/>
        <v/>
      </c>
      <c r="O306" t="str">
        <f t="shared" si="14"/>
        <v/>
      </c>
    </row>
    <row r="307" spans="1:15" x14ac:dyDescent="0.25">
      <c r="A307" t="str">
        <f>IF(AND('Entry list'!$I307=5,'Entry list'!$J307=5),'Entry list'!A307,"")</f>
        <v/>
      </c>
      <c r="B307" t="str">
        <f>IF(AND('Entry list'!$I307=5,'Entry list'!$J307=5),'Entry list'!B307,"")</f>
        <v/>
      </c>
      <c r="C307" t="str">
        <f>IF(AND('Entry list'!$I307=5,'Entry list'!$J307=5),'Entry list'!C307,"")</f>
        <v/>
      </c>
      <c r="D307" t="str">
        <f>IF(AND('Entry list'!$I307=5,'Entry list'!$J307=5),'Entry list'!D307,"")</f>
        <v/>
      </c>
      <c r="E307" t="str">
        <f>IF(AND('Entry list'!$I307=5,'Entry list'!$J307=5),'Entry list'!E307,"")</f>
        <v/>
      </c>
      <c r="F307" t="str">
        <f>IF(AND('Entry list'!$I307=5,'Entry list'!$J307=5),'Entry list'!F307,"")</f>
        <v/>
      </c>
      <c r="G307" t="str">
        <f>IF(AND('Entry list'!$I307=5,'Entry list'!$J307=5),'Entry list'!G307,"")</f>
        <v/>
      </c>
      <c r="H307" t="str">
        <f>IF(AND('Entry list'!$I307=5,'Entry list'!$J307=5),'Entry list'!H307,"")</f>
        <v/>
      </c>
      <c r="I307" t="str">
        <f>IF(AND('Entry list'!$I307=5,'Entry list'!$J307=5),'Entry list'!K307,"")</f>
        <v/>
      </c>
      <c r="J307" t="str">
        <f>IF(AND('Entry list'!$I307=5,'Entry list'!$J307=5),'Entry list'!L307,"")</f>
        <v/>
      </c>
      <c r="K307" t="str">
        <f>IF(AND('Entry list'!$I307=5,'Entry list'!$J307=5),'Entry list'!M307,"")</f>
        <v/>
      </c>
      <c r="L307" t="str">
        <f>IF(AND('Entry list'!$I307=5,'Entry list'!$J307=5),'Entry list'!N307,"")</f>
        <v/>
      </c>
      <c r="M307" t="str">
        <f t="shared" si="12"/>
        <v/>
      </c>
      <c r="N307" t="str">
        <f t="shared" si="13"/>
        <v/>
      </c>
      <c r="O307" t="str">
        <f t="shared" si="14"/>
        <v/>
      </c>
    </row>
    <row r="308" spans="1:15" x14ac:dyDescent="0.25">
      <c r="A308" t="str">
        <f>IF(AND('Entry list'!$I308=5,'Entry list'!$J308=5),'Entry list'!A308,"")</f>
        <v/>
      </c>
      <c r="B308" t="str">
        <f>IF(AND('Entry list'!$I308=5,'Entry list'!$J308=5),'Entry list'!B308,"")</f>
        <v/>
      </c>
      <c r="C308" t="str">
        <f>IF(AND('Entry list'!$I308=5,'Entry list'!$J308=5),'Entry list'!C308,"")</f>
        <v/>
      </c>
      <c r="D308" t="str">
        <f>IF(AND('Entry list'!$I308=5,'Entry list'!$J308=5),'Entry list'!D308,"")</f>
        <v/>
      </c>
      <c r="E308" t="str">
        <f>IF(AND('Entry list'!$I308=5,'Entry list'!$J308=5),'Entry list'!E308,"")</f>
        <v/>
      </c>
      <c r="F308" t="str">
        <f>IF(AND('Entry list'!$I308=5,'Entry list'!$J308=5),'Entry list'!F308,"")</f>
        <v/>
      </c>
      <c r="G308" t="str">
        <f>IF(AND('Entry list'!$I308=5,'Entry list'!$J308=5),'Entry list'!G308,"")</f>
        <v/>
      </c>
      <c r="H308" t="str">
        <f>IF(AND('Entry list'!$I308=5,'Entry list'!$J308=5),'Entry list'!H308,"")</f>
        <v/>
      </c>
      <c r="I308" t="str">
        <f>IF(AND('Entry list'!$I308=5,'Entry list'!$J308=5),'Entry list'!K308,"")</f>
        <v/>
      </c>
      <c r="J308" t="str">
        <f>IF(AND('Entry list'!$I308=5,'Entry list'!$J308=5),'Entry list'!L308,"")</f>
        <v/>
      </c>
      <c r="K308" t="str">
        <f>IF(AND('Entry list'!$I308=5,'Entry list'!$J308=5),'Entry list'!M308,"")</f>
        <v/>
      </c>
      <c r="L308" t="str">
        <f>IF(AND('Entry list'!$I308=5,'Entry list'!$J308=5),'Entry list'!N308,"")</f>
        <v/>
      </c>
      <c r="M308" t="str">
        <f t="shared" si="12"/>
        <v/>
      </c>
      <c r="N308" t="str">
        <f t="shared" si="13"/>
        <v/>
      </c>
      <c r="O308" t="str">
        <f t="shared" si="14"/>
        <v/>
      </c>
    </row>
    <row r="309" spans="1:15" x14ac:dyDescent="0.25">
      <c r="A309" t="str">
        <f>IF(AND('Entry list'!$I309=5,'Entry list'!$J309=5),'Entry list'!A309,"")</f>
        <v/>
      </c>
      <c r="B309" t="str">
        <f>IF(AND('Entry list'!$I309=5,'Entry list'!$J309=5),'Entry list'!B309,"")</f>
        <v/>
      </c>
      <c r="C309" t="str">
        <f>IF(AND('Entry list'!$I309=5,'Entry list'!$J309=5),'Entry list'!C309,"")</f>
        <v/>
      </c>
      <c r="D309" t="str">
        <f>IF(AND('Entry list'!$I309=5,'Entry list'!$J309=5),'Entry list'!D309,"")</f>
        <v/>
      </c>
      <c r="E309" t="str">
        <f>IF(AND('Entry list'!$I309=5,'Entry list'!$J309=5),'Entry list'!E309,"")</f>
        <v/>
      </c>
      <c r="F309" t="str">
        <f>IF(AND('Entry list'!$I309=5,'Entry list'!$J309=5),'Entry list'!F309,"")</f>
        <v/>
      </c>
      <c r="G309" t="str">
        <f>IF(AND('Entry list'!$I309=5,'Entry list'!$J309=5),'Entry list'!G309,"")</f>
        <v/>
      </c>
      <c r="H309" t="str">
        <f>IF(AND('Entry list'!$I309=5,'Entry list'!$J309=5),'Entry list'!H309,"")</f>
        <v/>
      </c>
      <c r="I309" t="str">
        <f>IF(AND('Entry list'!$I309=5,'Entry list'!$J309=5),'Entry list'!K309,"")</f>
        <v/>
      </c>
      <c r="J309" t="str">
        <f>IF(AND('Entry list'!$I309=5,'Entry list'!$J309=5),'Entry list'!L309,"")</f>
        <v/>
      </c>
      <c r="K309" t="str">
        <f>IF(AND('Entry list'!$I309=5,'Entry list'!$J309=5),'Entry list'!M309,"")</f>
        <v/>
      </c>
      <c r="L309" t="str">
        <f>IF(AND('Entry list'!$I309=5,'Entry list'!$J309=5),'Entry list'!N309,"")</f>
        <v/>
      </c>
      <c r="M309" t="str">
        <f t="shared" si="12"/>
        <v/>
      </c>
      <c r="N309" t="str">
        <f t="shared" si="13"/>
        <v/>
      </c>
      <c r="O309" t="str">
        <f t="shared" si="14"/>
        <v/>
      </c>
    </row>
    <row r="310" spans="1:15" x14ac:dyDescent="0.25">
      <c r="A310">
        <f>IF(AND('Entry list'!$I310=5,'Entry list'!$J310=5),'Entry list'!A310,"")</f>
        <v>3</v>
      </c>
      <c r="B310">
        <f>IF(AND('Entry list'!$I310=5,'Entry list'!$J310=5),'Entry list'!B310,"")</f>
        <v>0.82430555555555562</v>
      </c>
      <c r="C310" t="str">
        <f>IF(AND('Entry list'!$I310=5,'Entry list'!$J310=5),'Entry list'!C310,"")</f>
        <v>D</v>
      </c>
      <c r="D310" t="str">
        <f>IF(AND('Entry list'!$I310=5,'Entry list'!$J310=5),'Entry list'!D310,"")</f>
        <v>71DET</v>
      </c>
      <c r="E310" t="str">
        <f>IF(AND('Entry list'!$I310=5,'Entry list'!$J310=5),'Entry list'!E310,"")</f>
        <v>14NSH</v>
      </c>
      <c r="F310" t="str">
        <f>IF(AND('Entry list'!$I310=5,'Entry list'!$J310=5),'Entry list'!F310,"")</f>
        <v/>
      </c>
      <c r="G310" t="str">
        <f>IF(AND('Entry list'!$I310=5,'Entry list'!$J310=5),'Entry list'!G310,"")</f>
        <v>R</v>
      </c>
      <c r="H310" t="str">
        <f>IF(AND('Entry list'!$I310=5,'Entry list'!$J310=5),'Entry list'!H310,"")</f>
        <v>71DET</v>
      </c>
      <c r="I310" t="str">
        <f>IF(AND('Entry list'!$I310=5,'Entry list'!$J310=5),'Entry list'!K310,"")</f>
        <v/>
      </c>
      <c r="J310">
        <f>IF(AND('Entry list'!$I310=5,'Entry list'!$J310=5),'Entry list'!L310,"")</f>
        <v>1</v>
      </c>
      <c r="K310">
        <f>IF(AND('Entry list'!$I310=5,'Entry list'!$J310=5),'Entry list'!M310,"")</f>
        <v>0</v>
      </c>
      <c r="L310" t="str">
        <f>IF(AND('Entry list'!$I310=5,'Entry list'!$J310=5),'Entry list'!N310,"")</f>
        <v/>
      </c>
      <c r="M310">
        <f t="shared" si="12"/>
        <v>0</v>
      </c>
      <c r="N310" t="str">
        <f t="shared" si="13"/>
        <v/>
      </c>
      <c r="O310" t="str">
        <f t="shared" si="14"/>
        <v/>
      </c>
    </row>
    <row r="311" spans="1:15" x14ac:dyDescent="0.25">
      <c r="A311" t="str">
        <f>IF(AND('Entry list'!$I311=5,'Entry list'!$J311=5),'Entry list'!A311,"")</f>
        <v/>
      </c>
      <c r="B311" t="str">
        <f>IF(AND('Entry list'!$I311=5,'Entry list'!$J311=5),'Entry list'!B311,"")</f>
        <v/>
      </c>
      <c r="C311" t="str">
        <f>IF(AND('Entry list'!$I311=5,'Entry list'!$J311=5),'Entry list'!C311,"")</f>
        <v/>
      </c>
      <c r="D311" t="str">
        <f>IF(AND('Entry list'!$I311=5,'Entry list'!$J311=5),'Entry list'!D311,"")</f>
        <v/>
      </c>
      <c r="E311" t="str">
        <f>IF(AND('Entry list'!$I311=5,'Entry list'!$J311=5),'Entry list'!E311,"")</f>
        <v/>
      </c>
      <c r="F311" t="str">
        <f>IF(AND('Entry list'!$I311=5,'Entry list'!$J311=5),'Entry list'!F311,"")</f>
        <v/>
      </c>
      <c r="G311" t="str">
        <f>IF(AND('Entry list'!$I311=5,'Entry list'!$J311=5),'Entry list'!G311,"")</f>
        <v/>
      </c>
      <c r="H311" t="str">
        <f>IF(AND('Entry list'!$I311=5,'Entry list'!$J311=5),'Entry list'!H311,"")</f>
        <v/>
      </c>
      <c r="I311" t="str">
        <f>IF(AND('Entry list'!$I311=5,'Entry list'!$J311=5),'Entry list'!K311,"")</f>
        <v/>
      </c>
      <c r="J311" t="str">
        <f>IF(AND('Entry list'!$I311=5,'Entry list'!$J311=5),'Entry list'!L311,"")</f>
        <v/>
      </c>
      <c r="K311" t="str">
        <f>IF(AND('Entry list'!$I311=5,'Entry list'!$J311=5),'Entry list'!M311,"")</f>
        <v/>
      </c>
      <c r="L311" t="str">
        <f>IF(AND('Entry list'!$I311=5,'Entry list'!$J311=5),'Entry list'!N311,"")</f>
        <v/>
      </c>
      <c r="M311" t="str">
        <f t="shared" si="12"/>
        <v/>
      </c>
      <c r="N311" t="str">
        <f t="shared" si="13"/>
        <v/>
      </c>
      <c r="O311" t="str">
        <f t="shared" si="14"/>
        <v/>
      </c>
    </row>
    <row r="312" spans="1:15" x14ac:dyDescent="0.25">
      <c r="A312">
        <f>IF(AND('Entry list'!$I312=5,'Entry list'!$J312=5),'Entry list'!A312,"")</f>
        <v>3</v>
      </c>
      <c r="B312">
        <f>IF(AND('Entry list'!$I312=5,'Entry list'!$J312=5),'Entry list'!B312,"")</f>
        <v>0.79513888888888884</v>
      </c>
      <c r="C312" t="str">
        <f>IF(AND('Entry list'!$I312=5,'Entry list'!$J312=5),'Entry list'!C312,"")</f>
        <v>C</v>
      </c>
      <c r="D312" t="str">
        <f>IF(AND('Entry list'!$I312=5,'Entry list'!$J312=5),'Entry list'!D312,"")</f>
        <v>40DET</v>
      </c>
      <c r="E312" t="str">
        <f>IF(AND('Entry list'!$I312=5,'Entry list'!$J312=5),'Entry list'!E312,"")</f>
        <v>2ON1</v>
      </c>
      <c r="F312" t="str">
        <f>IF(AND('Entry list'!$I312=5,'Entry list'!$J312=5),'Entry list'!F312,"")</f>
        <v>Y</v>
      </c>
      <c r="G312" t="str">
        <f>IF(AND('Entry list'!$I312=5,'Entry list'!$J312=5),'Entry list'!G312,"")</f>
        <v>R</v>
      </c>
      <c r="H312" t="str">
        <f>IF(AND('Entry list'!$I312=5,'Entry list'!$J312=5),'Entry list'!H312,"")</f>
        <v>N</v>
      </c>
      <c r="I312" t="str">
        <f>IF(AND('Entry list'!$I312=5,'Entry list'!$J312=5),'Entry list'!K312,"")</f>
        <v>40DET</v>
      </c>
      <c r="J312">
        <f>IF(AND('Entry list'!$I312=5,'Entry list'!$J312=5),'Entry list'!L312,"")</f>
        <v>3</v>
      </c>
      <c r="K312">
        <f>IF(AND('Entry list'!$I312=5,'Entry list'!$J312=5),'Entry list'!M312,"")</f>
        <v>1</v>
      </c>
      <c r="L312" t="str">
        <f>IF(AND('Entry list'!$I312=5,'Entry list'!$J312=5),'Entry list'!N312,"")</f>
        <v/>
      </c>
      <c r="M312">
        <f t="shared" si="12"/>
        <v>0</v>
      </c>
      <c r="N312">
        <f t="shared" si="13"/>
        <v>0</v>
      </c>
      <c r="O312" t="str">
        <f t="shared" si="14"/>
        <v/>
      </c>
    </row>
    <row r="313" spans="1:15" x14ac:dyDescent="0.25">
      <c r="A313" t="str">
        <f>IF(AND('Entry list'!$I313=5,'Entry list'!$J313=5),'Entry list'!A313,"")</f>
        <v/>
      </c>
      <c r="B313" t="str">
        <f>IF(AND('Entry list'!$I313=5,'Entry list'!$J313=5),'Entry list'!B313,"")</f>
        <v/>
      </c>
      <c r="C313" t="str">
        <f>IF(AND('Entry list'!$I313=5,'Entry list'!$J313=5),'Entry list'!C313,"")</f>
        <v/>
      </c>
      <c r="D313" t="str">
        <f>IF(AND('Entry list'!$I313=5,'Entry list'!$J313=5),'Entry list'!D313,"")</f>
        <v/>
      </c>
      <c r="E313" t="str">
        <f>IF(AND('Entry list'!$I313=5,'Entry list'!$J313=5),'Entry list'!E313,"")</f>
        <v/>
      </c>
      <c r="F313" t="str">
        <f>IF(AND('Entry list'!$I313=5,'Entry list'!$J313=5),'Entry list'!F313,"")</f>
        <v/>
      </c>
      <c r="G313" t="str">
        <f>IF(AND('Entry list'!$I313=5,'Entry list'!$J313=5),'Entry list'!G313,"")</f>
        <v/>
      </c>
      <c r="H313" t="str">
        <f>IF(AND('Entry list'!$I313=5,'Entry list'!$J313=5),'Entry list'!H313,"")</f>
        <v/>
      </c>
      <c r="I313" t="str">
        <f>IF(AND('Entry list'!$I313=5,'Entry list'!$J313=5),'Entry list'!K313,"")</f>
        <v/>
      </c>
      <c r="J313" t="str">
        <f>IF(AND('Entry list'!$I313=5,'Entry list'!$J313=5),'Entry list'!L313,"")</f>
        <v/>
      </c>
      <c r="K313" t="str">
        <f>IF(AND('Entry list'!$I313=5,'Entry list'!$J313=5),'Entry list'!M313,"")</f>
        <v/>
      </c>
      <c r="L313" t="str">
        <f>IF(AND('Entry list'!$I313=5,'Entry list'!$J313=5),'Entry list'!N313,"")</f>
        <v/>
      </c>
      <c r="M313" t="str">
        <f t="shared" si="12"/>
        <v/>
      </c>
      <c r="N313" t="str">
        <f t="shared" si="13"/>
        <v/>
      </c>
      <c r="O313" t="str">
        <f t="shared" si="14"/>
        <v/>
      </c>
    </row>
    <row r="314" spans="1:15" x14ac:dyDescent="0.25">
      <c r="A314" t="str">
        <f>IF(AND('Entry list'!$I314=5,'Entry list'!$J314=5),'Entry list'!A314,"")</f>
        <v/>
      </c>
      <c r="B314" t="str">
        <f>IF(AND('Entry list'!$I314=5,'Entry list'!$J314=5),'Entry list'!B314,"")</f>
        <v/>
      </c>
      <c r="C314" t="str">
        <f>IF(AND('Entry list'!$I314=5,'Entry list'!$J314=5),'Entry list'!C314,"")</f>
        <v/>
      </c>
      <c r="D314" t="str">
        <f>IF(AND('Entry list'!$I314=5,'Entry list'!$J314=5),'Entry list'!D314,"")</f>
        <v/>
      </c>
      <c r="E314" t="str">
        <f>IF(AND('Entry list'!$I314=5,'Entry list'!$J314=5),'Entry list'!E314,"")</f>
        <v/>
      </c>
      <c r="F314" t="str">
        <f>IF(AND('Entry list'!$I314=5,'Entry list'!$J314=5),'Entry list'!F314,"")</f>
        <v/>
      </c>
      <c r="G314" t="str">
        <f>IF(AND('Entry list'!$I314=5,'Entry list'!$J314=5),'Entry list'!G314,"")</f>
        <v/>
      </c>
      <c r="H314" t="str">
        <f>IF(AND('Entry list'!$I314=5,'Entry list'!$J314=5),'Entry list'!H314,"")</f>
        <v/>
      </c>
      <c r="I314" t="str">
        <f>IF(AND('Entry list'!$I314=5,'Entry list'!$J314=5),'Entry list'!K314,"")</f>
        <v/>
      </c>
      <c r="J314" t="str">
        <f>IF(AND('Entry list'!$I314=5,'Entry list'!$J314=5),'Entry list'!L314,"")</f>
        <v/>
      </c>
      <c r="K314" t="str">
        <f>IF(AND('Entry list'!$I314=5,'Entry list'!$J314=5),'Entry list'!M314,"")</f>
        <v/>
      </c>
      <c r="L314" t="str">
        <f>IF(AND('Entry list'!$I314=5,'Entry list'!$J314=5),'Entry list'!N314,"")</f>
        <v/>
      </c>
      <c r="M314" t="str">
        <f t="shared" si="12"/>
        <v/>
      </c>
      <c r="N314" t="str">
        <f t="shared" si="13"/>
        <v/>
      </c>
      <c r="O314" t="str">
        <f t="shared" si="14"/>
        <v/>
      </c>
    </row>
    <row r="315" spans="1:15" x14ac:dyDescent="0.25">
      <c r="A315" t="str">
        <f>IF(AND('Entry list'!$I315=5,'Entry list'!$J315=5),'Entry list'!A315,"")</f>
        <v/>
      </c>
      <c r="B315" t="str">
        <f>IF(AND('Entry list'!$I315=5,'Entry list'!$J315=5),'Entry list'!B315,"")</f>
        <v/>
      </c>
      <c r="C315" t="str">
        <f>IF(AND('Entry list'!$I315=5,'Entry list'!$J315=5),'Entry list'!C315,"")</f>
        <v/>
      </c>
      <c r="D315" t="str">
        <f>IF(AND('Entry list'!$I315=5,'Entry list'!$J315=5),'Entry list'!D315,"")</f>
        <v/>
      </c>
      <c r="E315" t="str">
        <f>IF(AND('Entry list'!$I315=5,'Entry list'!$J315=5),'Entry list'!E315,"")</f>
        <v/>
      </c>
      <c r="F315" t="str">
        <f>IF(AND('Entry list'!$I315=5,'Entry list'!$J315=5),'Entry list'!F315,"")</f>
        <v/>
      </c>
      <c r="G315" t="str">
        <f>IF(AND('Entry list'!$I315=5,'Entry list'!$J315=5),'Entry list'!G315,"")</f>
        <v/>
      </c>
      <c r="H315" t="str">
        <f>IF(AND('Entry list'!$I315=5,'Entry list'!$J315=5),'Entry list'!H315,"")</f>
        <v/>
      </c>
      <c r="I315" t="str">
        <f>IF(AND('Entry list'!$I315=5,'Entry list'!$J315=5),'Entry list'!K315,"")</f>
        <v/>
      </c>
      <c r="J315" t="str">
        <f>IF(AND('Entry list'!$I315=5,'Entry list'!$J315=5),'Entry list'!L315,"")</f>
        <v/>
      </c>
      <c r="K315" t="str">
        <f>IF(AND('Entry list'!$I315=5,'Entry list'!$J315=5),'Entry list'!M315,"")</f>
        <v/>
      </c>
      <c r="L315" t="str">
        <f>IF(AND('Entry list'!$I315=5,'Entry list'!$J315=5),'Entry list'!N315,"")</f>
        <v/>
      </c>
      <c r="M315" t="str">
        <f t="shared" si="12"/>
        <v/>
      </c>
      <c r="N315" t="str">
        <f t="shared" si="13"/>
        <v/>
      </c>
      <c r="O315" t="str">
        <f t="shared" si="14"/>
        <v/>
      </c>
    </row>
    <row r="316" spans="1:15" x14ac:dyDescent="0.25">
      <c r="A316" t="str">
        <f>IF(AND('Entry list'!$I316=5,'Entry list'!$J316=5),'Entry list'!A316,"")</f>
        <v/>
      </c>
      <c r="B316" t="str">
        <f>IF(AND('Entry list'!$I316=5,'Entry list'!$J316=5),'Entry list'!B316,"")</f>
        <v/>
      </c>
      <c r="C316" t="str">
        <f>IF(AND('Entry list'!$I316=5,'Entry list'!$J316=5),'Entry list'!C316,"")</f>
        <v/>
      </c>
      <c r="D316" t="str">
        <f>IF(AND('Entry list'!$I316=5,'Entry list'!$J316=5),'Entry list'!D316,"")</f>
        <v/>
      </c>
      <c r="E316" t="str">
        <f>IF(AND('Entry list'!$I316=5,'Entry list'!$J316=5),'Entry list'!E316,"")</f>
        <v/>
      </c>
      <c r="F316" t="str">
        <f>IF(AND('Entry list'!$I316=5,'Entry list'!$J316=5),'Entry list'!F316,"")</f>
        <v/>
      </c>
      <c r="G316" t="str">
        <f>IF(AND('Entry list'!$I316=5,'Entry list'!$J316=5),'Entry list'!G316,"")</f>
        <v/>
      </c>
      <c r="H316" t="str">
        <f>IF(AND('Entry list'!$I316=5,'Entry list'!$J316=5),'Entry list'!H316,"")</f>
        <v/>
      </c>
      <c r="I316" t="str">
        <f>IF(AND('Entry list'!$I316=5,'Entry list'!$J316=5),'Entry list'!K316,"")</f>
        <v/>
      </c>
      <c r="J316" t="str">
        <f>IF(AND('Entry list'!$I316=5,'Entry list'!$J316=5),'Entry list'!L316,"")</f>
        <v/>
      </c>
      <c r="K316" t="str">
        <f>IF(AND('Entry list'!$I316=5,'Entry list'!$J316=5),'Entry list'!M316,"")</f>
        <v/>
      </c>
      <c r="L316" t="str">
        <f>IF(AND('Entry list'!$I316=5,'Entry list'!$J316=5),'Entry list'!N316,"")</f>
        <v/>
      </c>
      <c r="M316" t="str">
        <f t="shared" si="12"/>
        <v/>
      </c>
      <c r="N316" t="str">
        <f t="shared" si="13"/>
        <v/>
      </c>
      <c r="O316" t="str">
        <f t="shared" si="14"/>
        <v/>
      </c>
    </row>
    <row r="317" spans="1:15" x14ac:dyDescent="0.25">
      <c r="A317">
        <f>IF(AND('Entry list'!$I317=5,'Entry list'!$J317=5),'Entry list'!A317,"")</f>
        <v>3</v>
      </c>
      <c r="B317">
        <f>IF(AND('Entry list'!$I317=5,'Entry list'!$J317=5),'Entry list'!B317,"")</f>
        <v>0.78125</v>
      </c>
      <c r="C317" t="str">
        <f>IF(AND('Entry list'!$I317=5,'Entry list'!$J317=5),'Entry list'!C317,"")</f>
        <v>D</v>
      </c>
      <c r="D317" t="str">
        <f>IF(AND('Entry list'!$I317=5,'Entry list'!$J317=5),'Entry list'!D317,"")</f>
        <v>63NSH</v>
      </c>
      <c r="E317" t="str">
        <f>IF(AND('Entry list'!$I317=5,'Entry list'!$J317=5),'Entry list'!E317,"")</f>
        <v>52DET</v>
      </c>
      <c r="F317" t="str">
        <f>IF(AND('Entry list'!$I317=5,'Entry list'!$J317=5),'Entry list'!F317,"")</f>
        <v/>
      </c>
      <c r="G317" t="str">
        <f>IF(AND('Entry list'!$I317=5,'Entry list'!$J317=5),'Entry list'!G317,"")</f>
        <v>R</v>
      </c>
      <c r="H317" t="str">
        <f>IF(AND('Entry list'!$I317=5,'Entry list'!$J317=5),'Entry list'!H317,"")</f>
        <v>N</v>
      </c>
      <c r="I317" t="str">
        <f>IF(AND('Entry list'!$I317=5,'Entry list'!$J317=5),'Entry list'!K317,"")</f>
        <v/>
      </c>
      <c r="J317">
        <f>IF(AND('Entry list'!$I317=5,'Entry list'!$J317=5),'Entry list'!L317,"")</f>
        <v>0</v>
      </c>
      <c r="K317">
        <f>IF(AND('Entry list'!$I317=5,'Entry list'!$J317=5),'Entry list'!M317,"")</f>
        <v>0</v>
      </c>
      <c r="L317" t="str">
        <f>IF(AND('Entry list'!$I317=5,'Entry list'!$J317=5),'Entry list'!N317,"")</f>
        <v/>
      </c>
      <c r="M317">
        <f t="shared" si="12"/>
        <v>0</v>
      </c>
      <c r="N317" t="str">
        <f t="shared" si="13"/>
        <v/>
      </c>
      <c r="O317" t="str">
        <f t="shared" si="14"/>
        <v/>
      </c>
    </row>
    <row r="318" spans="1:15" x14ac:dyDescent="0.25">
      <c r="A318">
        <f>IF(AND('Entry list'!$I318=5,'Entry list'!$J318=5),'Entry list'!A318,"")</f>
        <v>3</v>
      </c>
      <c r="B318">
        <f>IF(AND('Entry list'!$I318=5,'Entry list'!$J318=5),'Entry list'!B318,"")</f>
        <v>0.77569444444444446</v>
      </c>
      <c r="C318" t="str">
        <f>IF(AND('Entry list'!$I318=5,'Entry list'!$J318=5),'Entry list'!C318,"")</f>
        <v>C</v>
      </c>
      <c r="D318" t="str">
        <f>IF(AND('Entry list'!$I318=5,'Entry list'!$J318=5),'Entry list'!D318,"")</f>
        <v>62DET</v>
      </c>
      <c r="E318" t="str">
        <f>IF(AND('Entry list'!$I318=5,'Entry list'!$J318=5),'Entry list'!E318,"")</f>
        <v>2ON1</v>
      </c>
      <c r="F318" t="str">
        <f>IF(AND('Entry list'!$I318=5,'Entry list'!$J318=5),'Entry list'!F318,"")</f>
        <v>N</v>
      </c>
      <c r="G318" t="str">
        <f>IF(AND('Entry list'!$I318=5,'Entry list'!$J318=5),'Entry list'!G318,"")</f>
        <v>R</v>
      </c>
      <c r="H318" t="str">
        <f>IF(AND('Entry list'!$I318=5,'Entry list'!$J318=5),'Entry list'!H318,"")</f>
        <v>N</v>
      </c>
      <c r="I318" t="str">
        <f>IF(AND('Entry list'!$I318=5,'Entry list'!$J318=5),'Entry list'!K318,"")</f>
        <v>62DET</v>
      </c>
      <c r="J318">
        <f>IF(AND('Entry list'!$I318=5,'Entry list'!$J318=5),'Entry list'!L318,"")</f>
        <v>0</v>
      </c>
      <c r="K318">
        <f>IF(AND('Entry list'!$I318=5,'Entry list'!$J318=5),'Entry list'!M318,"")</f>
        <v>0</v>
      </c>
      <c r="L318" t="str">
        <f>IF(AND('Entry list'!$I318=5,'Entry list'!$J318=5),'Entry list'!N318,"")</f>
        <v/>
      </c>
      <c r="M318">
        <f t="shared" si="12"/>
        <v>0</v>
      </c>
      <c r="N318">
        <f t="shared" si="13"/>
        <v>0</v>
      </c>
      <c r="O318" t="str">
        <f t="shared" si="14"/>
        <v/>
      </c>
    </row>
    <row r="319" spans="1:15" x14ac:dyDescent="0.25">
      <c r="A319">
        <f>IF(AND('Entry list'!$I319=5,'Entry list'!$J319=5),'Entry list'!A319,"")</f>
        <v>3</v>
      </c>
      <c r="B319">
        <f>IF(AND('Entry list'!$I319=5,'Entry list'!$J319=5),'Entry list'!B319,"")</f>
        <v>0.77013888888888893</v>
      </c>
      <c r="C319" t="str">
        <f>IF(AND('Entry list'!$I319=5,'Entry list'!$J319=5),'Entry list'!C319,"")</f>
        <v>C</v>
      </c>
      <c r="D319" t="str">
        <f>IF(AND('Entry list'!$I319=5,'Entry list'!$J319=5),'Entry list'!D319,"")</f>
        <v>9NSH</v>
      </c>
      <c r="E319" t="str">
        <f>IF(AND('Entry list'!$I319=5,'Entry list'!$J319=5),'Entry list'!E319,"")</f>
        <v>52DET</v>
      </c>
      <c r="F319" t="str">
        <f>IF(AND('Entry list'!$I319=5,'Entry list'!$J319=5),'Entry list'!F319,"")</f>
        <v>N</v>
      </c>
      <c r="G319" t="str">
        <f>IF(AND('Entry list'!$I319=5,'Entry list'!$J319=5),'Entry list'!G319,"")</f>
        <v>L</v>
      </c>
      <c r="H319" t="str">
        <f>IF(AND('Entry list'!$I319=5,'Entry list'!$J319=5),'Entry list'!H319,"")</f>
        <v>N</v>
      </c>
      <c r="I319" t="str">
        <f>IF(AND('Entry list'!$I319=5,'Entry list'!$J319=5),'Entry list'!K319,"")</f>
        <v>9NSH</v>
      </c>
      <c r="J319">
        <f>IF(AND('Entry list'!$I319=5,'Entry list'!$J319=5),'Entry list'!L319,"")</f>
        <v>1</v>
      </c>
      <c r="K319">
        <f>IF(AND('Entry list'!$I319=5,'Entry list'!$J319=5),'Entry list'!M319,"")</f>
        <v>0</v>
      </c>
      <c r="L319" t="str">
        <f>IF(AND('Entry list'!$I319=5,'Entry list'!$J319=5),'Entry list'!N319,"")</f>
        <v/>
      </c>
      <c r="M319">
        <f t="shared" si="12"/>
        <v>0</v>
      </c>
      <c r="N319">
        <f t="shared" si="13"/>
        <v>0</v>
      </c>
      <c r="O319" t="str">
        <f t="shared" si="14"/>
        <v/>
      </c>
    </row>
    <row r="320" spans="1:15" x14ac:dyDescent="0.25">
      <c r="A320" t="str">
        <f>IF(AND('Entry list'!$I320=5,'Entry list'!$J320=5),'Entry list'!A320,"")</f>
        <v/>
      </c>
      <c r="B320" t="str">
        <f>IF(AND('Entry list'!$I320=5,'Entry list'!$J320=5),'Entry list'!B320,"")</f>
        <v/>
      </c>
      <c r="C320" t="str">
        <f>IF(AND('Entry list'!$I320=5,'Entry list'!$J320=5),'Entry list'!C320,"")</f>
        <v/>
      </c>
      <c r="D320" t="str">
        <f>IF(AND('Entry list'!$I320=5,'Entry list'!$J320=5),'Entry list'!D320,"")</f>
        <v/>
      </c>
      <c r="E320" t="str">
        <f>IF(AND('Entry list'!$I320=5,'Entry list'!$J320=5),'Entry list'!E320,"")</f>
        <v/>
      </c>
      <c r="F320" t="str">
        <f>IF(AND('Entry list'!$I320=5,'Entry list'!$J320=5),'Entry list'!F320,"")</f>
        <v/>
      </c>
      <c r="G320" t="str">
        <f>IF(AND('Entry list'!$I320=5,'Entry list'!$J320=5),'Entry list'!G320,"")</f>
        <v/>
      </c>
      <c r="H320" t="str">
        <f>IF(AND('Entry list'!$I320=5,'Entry list'!$J320=5),'Entry list'!H320,"")</f>
        <v/>
      </c>
      <c r="I320" t="str">
        <f>IF(AND('Entry list'!$I320=5,'Entry list'!$J320=5),'Entry list'!K320,"")</f>
        <v/>
      </c>
      <c r="J320" t="str">
        <f>IF(AND('Entry list'!$I320=5,'Entry list'!$J320=5),'Entry list'!L320,"")</f>
        <v/>
      </c>
      <c r="K320" t="str">
        <f>IF(AND('Entry list'!$I320=5,'Entry list'!$J320=5),'Entry list'!M320,"")</f>
        <v/>
      </c>
      <c r="L320" t="str">
        <f>IF(AND('Entry list'!$I320=5,'Entry list'!$J320=5),'Entry list'!N320,"")</f>
        <v/>
      </c>
      <c r="M320" t="str">
        <f t="shared" si="12"/>
        <v/>
      </c>
      <c r="N320" t="str">
        <f t="shared" si="13"/>
        <v/>
      </c>
      <c r="O320" t="str">
        <f t="shared" si="14"/>
        <v/>
      </c>
    </row>
    <row r="321" spans="1:15" x14ac:dyDescent="0.25">
      <c r="A321" t="str">
        <f>IF(AND('Entry list'!$I321=5,'Entry list'!$J321=5),'Entry list'!A321,"")</f>
        <v/>
      </c>
      <c r="B321" t="str">
        <f>IF(AND('Entry list'!$I321=5,'Entry list'!$J321=5),'Entry list'!B321,"")</f>
        <v/>
      </c>
      <c r="C321" t="str">
        <f>IF(AND('Entry list'!$I321=5,'Entry list'!$J321=5),'Entry list'!C321,"")</f>
        <v/>
      </c>
      <c r="D321" t="str">
        <f>IF(AND('Entry list'!$I321=5,'Entry list'!$J321=5),'Entry list'!D321,"")</f>
        <v/>
      </c>
      <c r="E321" t="str">
        <f>IF(AND('Entry list'!$I321=5,'Entry list'!$J321=5),'Entry list'!E321,"")</f>
        <v/>
      </c>
      <c r="F321" t="str">
        <f>IF(AND('Entry list'!$I321=5,'Entry list'!$J321=5),'Entry list'!F321,"")</f>
        <v/>
      </c>
      <c r="G321" t="str">
        <f>IF(AND('Entry list'!$I321=5,'Entry list'!$J321=5),'Entry list'!G321,"")</f>
        <v/>
      </c>
      <c r="H321" t="str">
        <f>IF(AND('Entry list'!$I321=5,'Entry list'!$J321=5),'Entry list'!H321,"")</f>
        <v/>
      </c>
      <c r="I321" t="str">
        <f>IF(AND('Entry list'!$I321=5,'Entry list'!$J321=5),'Entry list'!K321,"")</f>
        <v/>
      </c>
      <c r="J321" t="str">
        <f>IF(AND('Entry list'!$I321=5,'Entry list'!$J321=5),'Entry list'!L321,"")</f>
        <v/>
      </c>
      <c r="K321" t="str">
        <f>IF(AND('Entry list'!$I321=5,'Entry list'!$J321=5),'Entry list'!M321,"")</f>
        <v/>
      </c>
      <c r="L321" t="str">
        <f>IF(AND('Entry list'!$I321=5,'Entry list'!$J321=5),'Entry list'!N321,"")</f>
        <v/>
      </c>
      <c r="M321" t="str">
        <f t="shared" si="12"/>
        <v/>
      </c>
      <c r="N321" t="str">
        <f t="shared" si="13"/>
        <v/>
      </c>
      <c r="O321" t="str">
        <f t="shared" si="14"/>
        <v/>
      </c>
    </row>
    <row r="322" spans="1:15" x14ac:dyDescent="0.25">
      <c r="A322">
        <f>IF(AND('Entry list'!$I322=5,'Entry list'!$J322=5),'Entry list'!A322,"")</f>
        <v>3</v>
      </c>
      <c r="B322">
        <f>IF(AND('Entry list'!$I322=5,'Entry list'!$J322=5),'Entry list'!B322,"")</f>
        <v>0.76597222222222228</v>
      </c>
      <c r="C322" t="str">
        <f>IF(AND('Entry list'!$I322=5,'Entry list'!$J322=5),'Entry list'!C322,"")</f>
        <v>FAC</v>
      </c>
      <c r="D322" t="str">
        <f>IF(AND('Entry list'!$I322=5,'Entry list'!$J322=5),'Entry list'!D322,"")</f>
        <v>DZF</v>
      </c>
      <c r="E322" t="str">
        <f>IF(AND('Entry list'!$I322=5,'Entry list'!$J322=5),'Entry list'!E322,"")</f>
        <v/>
      </c>
      <c r="F322" t="str">
        <f>IF(AND('Entry list'!$I322=5,'Entry list'!$J322=5),'Entry list'!F322,"")</f>
        <v/>
      </c>
      <c r="G322" t="str">
        <f>IF(AND('Entry list'!$I322=5,'Entry list'!$J322=5),'Entry list'!G322,"")</f>
        <v/>
      </c>
      <c r="H322" t="str">
        <f>IF(AND('Entry list'!$I322=5,'Entry list'!$J322=5),'Entry list'!H322,"")</f>
        <v/>
      </c>
      <c r="I322" t="str">
        <f>IF(AND('Entry list'!$I322=5,'Entry list'!$J322=5),'Entry list'!K322,"")</f>
        <v/>
      </c>
      <c r="J322">
        <f>IF(AND('Entry list'!$I322=5,'Entry list'!$J322=5),'Entry list'!L322,"")</f>
        <v>0</v>
      </c>
      <c r="K322">
        <f>IF(AND('Entry list'!$I322=5,'Entry list'!$J322=5),'Entry list'!M322,"")</f>
        <v>0</v>
      </c>
      <c r="L322" t="str">
        <f>IF(AND('Entry list'!$I322=5,'Entry list'!$J322=5),'Entry list'!N322,"")</f>
        <v/>
      </c>
      <c r="M322">
        <f t="shared" si="12"/>
        <v>0</v>
      </c>
      <c r="N322" t="str">
        <f t="shared" si="13"/>
        <v/>
      </c>
      <c r="O322" t="str">
        <f t="shared" si="14"/>
        <v/>
      </c>
    </row>
    <row r="323" spans="1:15" x14ac:dyDescent="0.25">
      <c r="A323">
        <f>IF(AND('Entry list'!$I323=5,'Entry list'!$J323=5),'Entry list'!A323,"")</f>
        <v>3</v>
      </c>
      <c r="B323">
        <f>IF(AND('Entry list'!$I323=5,'Entry list'!$J323=5),'Entry list'!B323,"")</f>
        <v>0.75624999999999998</v>
      </c>
      <c r="C323" t="str">
        <f>IF(AND('Entry list'!$I323=5,'Entry list'!$J323=5),'Entry list'!C323,"")</f>
        <v>C</v>
      </c>
      <c r="D323" t="str">
        <f>IF(AND('Entry list'!$I323=5,'Entry list'!$J323=5),'Entry list'!D323,"")</f>
        <v>29DET</v>
      </c>
      <c r="E323" t="str">
        <f>IF(AND('Entry list'!$I323=5,'Entry list'!$J323=5),'Entry list'!E323,"")</f>
        <v>7NSH</v>
      </c>
      <c r="F323" t="str">
        <f>IF(AND('Entry list'!$I323=5,'Entry list'!$J323=5),'Entry list'!F323,"")</f>
        <v>N</v>
      </c>
      <c r="G323" t="str">
        <f>IF(AND('Entry list'!$I323=5,'Entry list'!$J323=5),'Entry list'!G323,"")</f>
        <v>C</v>
      </c>
      <c r="H323" t="str">
        <f>IF(AND('Entry list'!$I323=5,'Entry list'!$J323=5),'Entry list'!H323,"")</f>
        <v>N</v>
      </c>
      <c r="I323" t="str">
        <f>IF(AND('Entry list'!$I323=5,'Entry list'!$J323=5),'Entry list'!K323,"")</f>
        <v>29DET</v>
      </c>
      <c r="J323">
        <f>IF(AND('Entry list'!$I323=5,'Entry list'!$J323=5),'Entry list'!L323,"")</f>
        <v>0</v>
      </c>
      <c r="K323">
        <f>IF(AND('Entry list'!$I323=5,'Entry list'!$J323=5),'Entry list'!M323,"")</f>
        <v>0</v>
      </c>
      <c r="L323" t="str">
        <f>IF(AND('Entry list'!$I323=5,'Entry list'!$J323=5),'Entry list'!N323,"")</f>
        <v/>
      </c>
      <c r="M323">
        <f t="shared" ref="M323:M386" si="15">IF(EXACT(D323,""),"",IF(EXACT(LEFT(D323,3),"WSH"),1,0))</f>
        <v>0</v>
      </c>
      <c r="N323">
        <f t="shared" ref="N323:N386" si="16">IF(EXACT(I323,""),"",IF(EXACT(LEFT(I323,3),"WSH"),1,0))</f>
        <v>0</v>
      </c>
      <c r="O323" t="str">
        <f t="shared" ref="O323:O386" si="17">IF(EXACT(L323,""),"",IF(EXACT(LEFT(L323,3),"WSH"),1,0))</f>
        <v/>
      </c>
    </row>
    <row r="324" spans="1:15" x14ac:dyDescent="0.25">
      <c r="A324" t="str">
        <f>IF(AND('Entry list'!$I324=5,'Entry list'!$J324=5),'Entry list'!A324,"")</f>
        <v/>
      </c>
      <c r="B324" t="str">
        <f>IF(AND('Entry list'!$I324=5,'Entry list'!$J324=5),'Entry list'!B324,"")</f>
        <v/>
      </c>
      <c r="C324" t="str">
        <f>IF(AND('Entry list'!$I324=5,'Entry list'!$J324=5),'Entry list'!C324,"")</f>
        <v/>
      </c>
      <c r="D324" t="str">
        <f>IF(AND('Entry list'!$I324=5,'Entry list'!$J324=5),'Entry list'!D324,"")</f>
        <v/>
      </c>
      <c r="E324" t="str">
        <f>IF(AND('Entry list'!$I324=5,'Entry list'!$J324=5),'Entry list'!E324,"")</f>
        <v/>
      </c>
      <c r="F324" t="str">
        <f>IF(AND('Entry list'!$I324=5,'Entry list'!$J324=5),'Entry list'!F324,"")</f>
        <v/>
      </c>
      <c r="G324" t="str">
        <f>IF(AND('Entry list'!$I324=5,'Entry list'!$J324=5),'Entry list'!G324,"")</f>
        <v/>
      </c>
      <c r="H324" t="str">
        <f>IF(AND('Entry list'!$I324=5,'Entry list'!$J324=5),'Entry list'!H324,"")</f>
        <v/>
      </c>
      <c r="I324" t="str">
        <f>IF(AND('Entry list'!$I324=5,'Entry list'!$J324=5),'Entry list'!K324,"")</f>
        <v/>
      </c>
      <c r="J324" t="str">
        <f>IF(AND('Entry list'!$I324=5,'Entry list'!$J324=5),'Entry list'!L324,"")</f>
        <v/>
      </c>
      <c r="K324" t="str">
        <f>IF(AND('Entry list'!$I324=5,'Entry list'!$J324=5),'Entry list'!M324,"")</f>
        <v/>
      </c>
      <c r="L324" t="str">
        <f>IF(AND('Entry list'!$I324=5,'Entry list'!$J324=5),'Entry list'!N324,"")</f>
        <v/>
      </c>
      <c r="M324" t="str">
        <f t="shared" si="15"/>
        <v/>
      </c>
      <c r="N324" t="str">
        <f t="shared" si="16"/>
        <v/>
      </c>
      <c r="O324" t="str">
        <f t="shared" si="17"/>
        <v/>
      </c>
    </row>
    <row r="325" spans="1:15" x14ac:dyDescent="0.25">
      <c r="A325">
        <f>IF(AND('Entry list'!$I325=5,'Entry list'!$J325=5),'Entry list'!A325,"")</f>
        <v>3</v>
      </c>
      <c r="B325">
        <f>IF(AND('Entry list'!$I325=5,'Entry list'!$J325=5),'Entry list'!B325,"")</f>
        <v>0.74305555555555558</v>
      </c>
      <c r="C325" t="str">
        <f>IF(AND('Entry list'!$I325=5,'Entry list'!$J325=5),'Entry list'!C325,"")</f>
        <v>FAC</v>
      </c>
      <c r="D325" t="str">
        <f>IF(AND('Entry list'!$I325=5,'Entry list'!$J325=5),'Entry list'!D325,"")</f>
        <v>OZF</v>
      </c>
      <c r="E325" t="str">
        <f>IF(AND('Entry list'!$I325=5,'Entry list'!$J325=5),'Entry list'!E325,"")</f>
        <v/>
      </c>
      <c r="F325" t="str">
        <f>IF(AND('Entry list'!$I325=5,'Entry list'!$J325=5),'Entry list'!F325,"")</f>
        <v/>
      </c>
      <c r="G325" t="str">
        <f>IF(AND('Entry list'!$I325=5,'Entry list'!$J325=5),'Entry list'!G325,"")</f>
        <v/>
      </c>
      <c r="H325" t="str">
        <f>IF(AND('Entry list'!$I325=5,'Entry list'!$J325=5),'Entry list'!H325,"")</f>
        <v/>
      </c>
      <c r="I325" t="str">
        <f>IF(AND('Entry list'!$I325=5,'Entry list'!$J325=5),'Entry list'!K325,"")</f>
        <v/>
      </c>
      <c r="J325">
        <f>IF(AND('Entry list'!$I325=5,'Entry list'!$J325=5),'Entry list'!L325,"")</f>
        <v>0</v>
      </c>
      <c r="K325">
        <f>IF(AND('Entry list'!$I325=5,'Entry list'!$J325=5),'Entry list'!M325,"")</f>
        <v>0</v>
      </c>
      <c r="L325" t="str">
        <f>IF(AND('Entry list'!$I325=5,'Entry list'!$J325=5),'Entry list'!N325,"")</f>
        <v/>
      </c>
      <c r="M325">
        <f t="shared" si="15"/>
        <v>0</v>
      </c>
      <c r="N325" t="str">
        <f t="shared" si="16"/>
        <v/>
      </c>
      <c r="O325" t="str">
        <f t="shared" si="17"/>
        <v/>
      </c>
    </row>
    <row r="326" spans="1:15" x14ac:dyDescent="0.25">
      <c r="A326" t="str">
        <f>IF(AND('Entry list'!$I326=5,'Entry list'!$J326=5),'Entry list'!A326,"")</f>
        <v/>
      </c>
      <c r="B326" t="str">
        <f>IF(AND('Entry list'!$I326=5,'Entry list'!$J326=5),'Entry list'!B326,"")</f>
        <v/>
      </c>
      <c r="C326" t="str">
        <f>IF(AND('Entry list'!$I326=5,'Entry list'!$J326=5),'Entry list'!C326,"")</f>
        <v/>
      </c>
      <c r="D326" t="str">
        <f>IF(AND('Entry list'!$I326=5,'Entry list'!$J326=5),'Entry list'!D326,"")</f>
        <v/>
      </c>
      <c r="E326" t="str">
        <f>IF(AND('Entry list'!$I326=5,'Entry list'!$J326=5),'Entry list'!E326,"")</f>
        <v/>
      </c>
      <c r="F326" t="str">
        <f>IF(AND('Entry list'!$I326=5,'Entry list'!$J326=5),'Entry list'!F326,"")</f>
        <v/>
      </c>
      <c r="G326" t="str">
        <f>IF(AND('Entry list'!$I326=5,'Entry list'!$J326=5),'Entry list'!G326,"")</f>
        <v/>
      </c>
      <c r="H326" t="str">
        <f>IF(AND('Entry list'!$I326=5,'Entry list'!$J326=5),'Entry list'!H326,"")</f>
        <v/>
      </c>
      <c r="I326" t="str">
        <f>IF(AND('Entry list'!$I326=5,'Entry list'!$J326=5),'Entry list'!K326,"")</f>
        <v/>
      </c>
      <c r="J326" t="str">
        <f>IF(AND('Entry list'!$I326=5,'Entry list'!$J326=5),'Entry list'!L326,"")</f>
        <v/>
      </c>
      <c r="K326" t="str">
        <f>IF(AND('Entry list'!$I326=5,'Entry list'!$J326=5),'Entry list'!M326,"")</f>
        <v/>
      </c>
      <c r="L326" t="str">
        <f>IF(AND('Entry list'!$I326=5,'Entry list'!$J326=5),'Entry list'!N326,"")</f>
        <v/>
      </c>
      <c r="M326" t="str">
        <f t="shared" si="15"/>
        <v/>
      </c>
      <c r="N326" t="str">
        <f t="shared" si="16"/>
        <v/>
      </c>
      <c r="O326" t="str">
        <f t="shared" si="17"/>
        <v/>
      </c>
    </row>
    <row r="327" spans="1:15" x14ac:dyDescent="0.25">
      <c r="A327" t="str">
        <f>IF(AND('Entry list'!$I327=5,'Entry list'!$J327=5),'Entry list'!A327,"")</f>
        <v/>
      </c>
      <c r="B327" t="str">
        <f>IF(AND('Entry list'!$I327=5,'Entry list'!$J327=5),'Entry list'!B327,"")</f>
        <v/>
      </c>
      <c r="C327" t="str">
        <f>IF(AND('Entry list'!$I327=5,'Entry list'!$J327=5),'Entry list'!C327,"")</f>
        <v/>
      </c>
      <c r="D327" t="str">
        <f>IF(AND('Entry list'!$I327=5,'Entry list'!$J327=5),'Entry list'!D327,"")</f>
        <v/>
      </c>
      <c r="E327" t="str">
        <f>IF(AND('Entry list'!$I327=5,'Entry list'!$J327=5),'Entry list'!E327,"")</f>
        <v/>
      </c>
      <c r="F327" t="str">
        <f>IF(AND('Entry list'!$I327=5,'Entry list'!$J327=5),'Entry list'!F327,"")</f>
        <v/>
      </c>
      <c r="G327" t="str">
        <f>IF(AND('Entry list'!$I327=5,'Entry list'!$J327=5),'Entry list'!G327,"")</f>
        <v/>
      </c>
      <c r="H327" t="str">
        <f>IF(AND('Entry list'!$I327=5,'Entry list'!$J327=5),'Entry list'!H327,"")</f>
        <v/>
      </c>
      <c r="I327" t="str">
        <f>IF(AND('Entry list'!$I327=5,'Entry list'!$J327=5),'Entry list'!K327,"")</f>
        <v/>
      </c>
      <c r="J327" t="str">
        <f>IF(AND('Entry list'!$I327=5,'Entry list'!$J327=5),'Entry list'!L327,"")</f>
        <v/>
      </c>
      <c r="K327" t="str">
        <f>IF(AND('Entry list'!$I327=5,'Entry list'!$J327=5),'Entry list'!M327,"")</f>
        <v/>
      </c>
      <c r="L327" t="str">
        <f>IF(AND('Entry list'!$I327=5,'Entry list'!$J327=5),'Entry list'!N327,"")</f>
        <v/>
      </c>
      <c r="M327" t="str">
        <f t="shared" si="15"/>
        <v/>
      </c>
      <c r="N327" t="str">
        <f t="shared" si="16"/>
        <v/>
      </c>
      <c r="O327" t="str">
        <f t="shared" si="17"/>
        <v/>
      </c>
    </row>
    <row r="328" spans="1:15" x14ac:dyDescent="0.25">
      <c r="A328">
        <f>IF(AND('Entry list'!$I328=5,'Entry list'!$J328=5),'Entry list'!A328,"")</f>
        <v>3</v>
      </c>
      <c r="B328">
        <f>IF(AND('Entry list'!$I328=5,'Entry list'!$J328=5),'Entry list'!B328,"")</f>
        <v>0.7284722222222223</v>
      </c>
      <c r="C328" t="str">
        <f>IF(AND('Entry list'!$I328=5,'Entry list'!$J328=5),'Entry list'!C328,"")</f>
        <v>FAC</v>
      </c>
      <c r="D328" t="str">
        <f>IF(AND('Entry list'!$I328=5,'Entry list'!$J328=5),'Entry list'!D328,"")</f>
        <v>OZF</v>
      </c>
      <c r="E328" t="str">
        <f>IF(AND('Entry list'!$I328=5,'Entry list'!$J328=5),'Entry list'!E328,"")</f>
        <v/>
      </c>
      <c r="F328" t="str">
        <f>IF(AND('Entry list'!$I328=5,'Entry list'!$J328=5),'Entry list'!F328,"")</f>
        <v/>
      </c>
      <c r="G328" t="str">
        <f>IF(AND('Entry list'!$I328=5,'Entry list'!$J328=5),'Entry list'!G328,"")</f>
        <v/>
      </c>
      <c r="H328" t="str">
        <f>IF(AND('Entry list'!$I328=5,'Entry list'!$J328=5),'Entry list'!H328,"")</f>
        <v/>
      </c>
      <c r="I328" t="str">
        <f>IF(AND('Entry list'!$I328=5,'Entry list'!$J328=5),'Entry list'!K328,"")</f>
        <v/>
      </c>
      <c r="J328">
        <f>IF(AND('Entry list'!$I328=5,'Entry list'!$J328=5),'Entry list'!L328,"")</f>
        <v>0</v>
      </c>
      <c r="K328">
        <f>IF(AND('Entry list'!$I328=5,'Entry list'!$J328=5),'Entry list'!M328,"")</f>
        <v>0</v>
      </c>
      <c r="L328" t="str">
        <f>IF(AND('Entry list'!$I328=5,'Entry list'!$J328=5),'Entry list'!N328,"")</f>
        <v/>
      </c>
      <c r="M328">
        <f t="shared" si="15"/>
        <v>0</v>
      </c>
      <c r="N328" t="str">
        <f t="shared" si="16"/>
        <v/>
      </c>
      <c r="O328" t="str">
        <f t="shared" si="17"/>
        <v/>
      </c>
    </row>
    <row r="329" spans="1:15" x14ac:dyDescent="0.25">
      <c r="A329">
        <f>IF(AND('Entry list'!$I329=5,'Entry list'!$J329=5),'Entry list'!A329,"")</f>
        <v>3</v>
      </c>
      <c r="B329">
        <f>IF(AND('Entry list'!$I329=5,'Entry list'!$J329=5),'Entry list'!B329,"")</f>
        <v>0.72222222222222221</v>
      </c>
      <c r="C329" t="str">
        <f>IF(AND('Entry list'!$I329=5,'Entry list'!$J329=5),'Entry list'!C329,"")</f>
        <v>F</v>
      </c>
      <c r="D329" t="str">
        <f>IF(AND('Entry list'!$I329=5,'Entry list'!$J329=5),'Entry list'!D329,"")</f>
        <v>38NSH</v>
      </c>
      <c r="E329" t="str">
        <f>IF(AND('Entry list'!$I329=5,'Entry list'!$J329=5),'Entry list'!E329,"")</f>
        <v>53DET</v>
      </c>
      <c r="F329" t="str">
        <f>IF(AND('Entry list'!$I329=5,'Entry list'!$J329=5),'Entry list'!F329,"")</f>
        <v/>
      </c>
      <c r="G329" t="str">
        <f>IF(AND('Entry list'!$I329=5,'Entry list'!$J329=5),'Entry list'!G329,"")</f>
        <v>L</v>
      </c>
      <c r="H329" t="str">
        <f>IF(AND('Entry list'!$I329=5,'Entry list'!$J329=5),'Entry list'!H329,"")</f>
        <v>N</v>
      </c>
      <c r="I329" t="str">
        <f>IF(AND('Entry list'!$I329=5,'Entry list'!$J329=5),'Entry list'!K329,"")</f>
        <v/>
      </c>
      <c r="J329">
        <f>IF(AND('Entry list'!$I329=5,'Entry list'!$J329=5),'Entry list'!L329,"")</f>
        <v>0</v>
      </c>
      <c r="K329">
        <f>IF(AND('Entry list'!$I329=5,'Entry list'!$J329=5),'Entry list'!M329,"")</f>
        <v>0</v>
      </c>
      <c r="L329" t="str">
        <f>IF(AND('Entry list'!$I329=5,'Entry list'!$J329=5),'Entry list'!N329,"")</f>
        <v>38NSH</v>
      </c>
      <c r="M329">
        <f t="shared" si="15"/>
        <v>0</v>
      </c>
      <c r="N329" t="str">
        <f t="shared" si="16"/>
        <v/>
      </c>
      <c r="O329">
        <f t="shared" si="17"/>
        <v>0</v>
      </c>
    </row>
    <row r="330" spans="1:15" x14ac:dyDescent="0.25">
      <c r="A330" t="str">
        <f>IF(AND('Entry list'!$I330=5,'Entry list'!$J330=5),'Entry list'!A330,"")</f>
        <v/>
      </c>
      <c r="B330" t="str">
        <f>IF(AND('Entry list'!$I330=5,'Entry list'!$J330=5),'Entry list'!B330,"")</f>
        <v/>
      </c>
      <c r="C330" t="str">
        <f>IF(AND('Entry list'!$I330=5,'Entry list'!$J330=5),'Entry list'!C330,"")</f>
        <v/>
      </c>
      <c r="D330" t="str">
        <f>IF(AND('Entry list'!$I330=5,'Entry list'!$J330=5),'Entry list'!D330,"")</f>
        <v/>
      </c>
      <c r="E330" t="str">
        <f>IF(AND('Entry list'!$I330=5,'Entry list'!$J330=5),'Entry list'!E330,"")</f>
        <v/>
      </c>
      <c r="F330" t="str">
        <f>IF(AND('Entry list'!$I330=5,'Entry list'!$J330=5),'Entry list'!F330,"")</f>
        <v/>
      </c>
      <c r="G330" t="str">
        <f>IF(AND('Entry list'!$I330=5,'Entry list'!$J330=5),'Entry list'!G330,"")</f>
        <v/>
      </c>
      <c r="H330" t="str">
        <f>IF(AND('Entry list'!$I330=5,'Entry list'!$J330=5),'Entry list'!H330,"")</f>
        <v/>
      </c>
      <c r="I330" t="str">
        <f>IF(AND('Entry list'!$I330=5,'Entry list'!$J330=5),'Entry list'!K330,"")</f>
        <v/>
      </c>
      <c r="J330" t="str">
        <f>IF(AND('Entry list'!$I330=5,'Entry list'!$J330=5),'Entry list'!L330,"")</f>
        <v/>
      </c>
      <c r="K330" t="str">
        <f>IF(AND('Entry list'!$I330=5,'Entry list'!$J330=5),'Entry list'!M330,"")</f>
        <v/>
      </c>
      <c r="L330" t="str">
        <f>IF(AND('Entry list'!$I330=5,'Entry list'!$J330=5),'Entry list'!N330,"")</f>
        <v/>
      </c>
      <c r="M330" t="str">
        <f t="shared" si="15"/>
        <v/>
      </c>
      <c r="N330" t="str">
        <f t="shared" si="16"/>
        <v/>
      </c>
      <c r="O330" t="str">
        <f t="shared" si="17"/>
        <v/>
      </c>
    </row>
    <row r="331" spans="1:15" x14ac:dyDescent="0.25">
      <c r="A331" t="str">
        <f>IF(AND('Entry list'!$I331=5,'Entry list'!$J331=5),'Entry list'!A331,"")</f>
        <v/>
      </c>
      <c r="B331" t="str">
        <f>IF(AND('Entry list'!$I331=5,'Entry list'!$J331=5),'Entry list'!B331,"")</f>
        <v/>
      </c>
      <c r="C331" t="str">
        <f>IF(AND('Entry list'!$I331=5,'Entry list'!$J331=5),'Entry list'!C331,"")</f>
        <v/>
      </c>
      <c r="D331" t="str">
        <f>IF(AND('Entry list'!$I331=5,'Entry list'!$J331=5),'Entry list'!D331,"")</f>
        <v/>
      </c>
      <c r="E331" t="str">
        <f>IF(AND('Entry list'!$I331=5,'Entry list'!$J331=5),'Entry list'!E331,"")</f>
        <v/>
      </c>
      <c r="F331" t="str">
        <f>IF(AND('Entry list'!$I331=5,'Entry list'!$J331=5),'Entry list'!F331,"")</f>
        <v/>
      </c>
      <c r="G331" t="str">
        <f>IF(AND('Entry list'!$I331=5,'Entry list'!$J331=5),'Entry list'!G331,"")</f>
        <v/>
      </c>
      <c r="H331" t="str">
        <f>IF(AND('Entry list'!$I331=5,'Entry list'!$J331=5),'Entry list'!H331,"")</f>
        <v/>
      </c>
      <c r="I331" t="str">
        <f>IF(AND('Entry list'!$I331=5,'Entry list'!$J331=5),'Entry list'!K331,"")</f>
        <v/>
      </c>
      <c r="J331" t="str">
        <f>IF(AND('Entry list'!$I331=5,'Entry list'!$J331=5),'Entry list'!L331,"")</f>
        <v/>
      </c>
      <c r="K331" t="str">
        <f>IF(AND('Entry list'!$I331=5,'Entry list'!$J331=5),'Entry list'!M331,"")</f>
        <v/>
      </c>
      <c r="L331" t="str">
        <f>IF(AND('Entry list'!$I331=5,'Entry list'!$J331=5),'Entry list'!N331,"")</f>
        <v/>
      </c>
      <c r="M331" t="str">
        <f t="shared" si="15"/>
        <v/>
      </c>
      <c r="N331" t="str">
        <f t="shared" si="16"/>
        <v/>
      </c>
      <c r="O331" t="str">
        <f t="shared" si="17"/>
        <v/>
      </c>
    </row>
    <row r="332" spans="1:15" x14ac:dyDescent="0.25">
      <c r="A332" t="str">
        <f>IF(AND('Entry list'!$I332=5,'Entry list'!$J332=5),'Entry list'!A332,"")</f>
        <v/>
      </c>
      <c r="B332" t="str">
        <f>IF(AND('Entry list'!$I332=5,'Entry list'!$J332=5),'Entry list'!B332,"")</f>
        <v/>
      </c>
      <c r="C332" t="str">
        <f>IF(AND('Entry list'!$I332=5,'Entry list'!$J332=5),'Entry list'!C332,"")</f>
        <v/>
      </c>
      <c r="D332" t="str">
        <f>IF(AND('Entry list'!$I332=5,'Entry list'!$J332=5),'Entry list'!D332,"")</f>
        <v/>
      </c>
      <c r="E332" t="str">
        <f>IF(AND('Entry list'!$I332=5,'Entry list'!$J332=5),'Entry list'!E332,"")</f>
        <v/>
      </c>
      <c r="F332" t="str">
        <f>IF(AND('Entry list'!$I332=5,'Entry list'!$J332=5),'Entry list'!F332,"")</f>
        <v/>
      </c>
      <c r="G332" t="str">
        <f>IF(AND('Entry list'!$I332=5,'Entry list'!$J332=5),'Entry list'!G332,"")</f>
        <v/>
      </c>
      <c r="H332" t="str">
        <f>IF(AND('Entry list'!$I332=5,'Entry list'!$J332=5),'Entry list'!H332,"")</f>
        <v/>
      </c>
      <c r="I332" t="str">
        <f>IF(AND('Entry list'!$I332=5,'Entry list'!$J332=5),'Entry list'!K332,"")</f>
        <v/>
      </c>
      <c r="J332" t="str">
        <f>IF(AND('Entry list'!$I332=5,'Entry list'!$J332=5),'Entry list'!L332,"")</f>
        <v/>
      </c>
      <c r="K332" t="str">
        <f>IF(AND('Entry list'!$I332=5,'Entry list'!$J332=5),'Entry list'!M332,"")</f>
        <v/>
      </c>
      <c r="L332" t="str">
        <f>IF(AND('Entry list'!$I332=5,'Entry list'!$J332=5),'Entry list'!N332,"")</f>
        <v/>
      </c>
      <c r="M332" t="str">
        <f t="shared" si="15"/>
        <v/>
      </c>
      <c r="N332" t="str">
        <f t="shared" si="16"/>
        <v/>
      </c>
      <c r="O332" t="str">
        <f t="shared" si="17"/>
        <v/>
      </c>
    </row>
    <row r="333" spans="1:15" x14ac:dyDescent="0.25">
      <c r="A333" t="str">
        <f>IF(AND('Entry list'!$I333=5,'Entry list'!$J333=5),'Entry list'!A333,"")</f>
        <v/>
      </c>
      <c r="B333" t="str">
        <f>IF(AND('Entry list'!$I333=5,'Entry list'!$J333=5),'Entry list'!B333,"")</f>
        <v/>
      </c>
      <c r="C333" t="str">
        <f>IF(AND('Entry list'!$I333=5,'Entry list'!$J333=5),'Entry list'!C333,"")</f>
        <v/>
      </c>
      <c r="D333" t="str">
        <f>IF(AND('Entry list'!$I333=5,'Entry list'!$J333=5),'Entry list'!D333,"")</f>
        <v/>
      </c>
      <c r="E333" t="str">
        <f>IF(AND('Entry list'!$I333=5,'Entry list'!$J333=5),'Entry list'!E333,"")</f>
        <v/>
      </c>
      <c r="F333" t="str">
        <f>IF(AND('Entry list'!$I333=5,'Entry list'!$J333=5),'Entry list'!F333,"")</f>
        <v/>
      </c>
      <c r="G333" t="str">
        <f>IF(AND('Entry list'!$I333=5,'Entry list'!$J333=5),'Entry list'!G333,"")</f>
        <v/>
      </c>
      <c r="H333" t="str">
        <f>IF(AND('Entry list'!$I333=5,'Entry list'!$J333=5),'Entry list'!H333,"")</f>
        <v/>
      </c>
      <c r="I333" t="str">
        <f>IF(AND('Entry list'!$I333=5,'Entry list'!$J333=5),'Entry list'!K333,"")</f>
        <v/>
      </c>
      <c r="J333" t="str">
        <f>IF(AND('Entry list'!$I333=5,'Entry list'!$J333=5),'Entry list'!L333,"")</f>
        <v/>
      </c>
      <c r="K333" t="str">
        <f>IF(AND('Entry list'!$I333=5,'Entry list'!$J333=5),'Entry list'!M333,"")</f>
        <v/>
      </c>
      <c r="L333" t="str">
        <f>IF(AND('Entry list'!$I333=5,'Entry list'!$J333=5),'Entry list'!N333,"")</f>
        <v/>
      </c>
      <c r="M333" t="str">
        <f t="shared" si="15"/>
        <v/>
      </c>
      <c r="N333" t="str">
        <f t="shared" si="16"/>
        <v/>
      </c>
      <c r="O333" t="str">
        <f t="shared" si="17"/>
        <v/>
      </c>
    </row>
    <row r="334" spans="1:15" x14ac:dyDescent="0.25">
      <c r="A334" t="str">
        <f>IF(AND('Entry list'!$I334=5,'Entry list'!$J334=5),'Entry list'!A334,"")</f>
        <v/>
      </c>
      <c r="B334" t="str">
        <f>IF(AND('Entry list'!$I334=5,'Entry list'!$J334=5),'Entry list'!B334,"")</f>
        <v/>
      </c>
      <c r="C334" t="str">
        <f>IF(AND('Entry list'!$I334=5,'Entry list'!$J334=5),'Entry list'!C334,"")</f>
        <v/>
      </c>
      <c r="D334" t="str">
        <f>IF(AND('Entry list'!$I334=5,'Entry list'!$J334=5),'Entry list'!D334,"")</f>
        <v/>
      </c>
      <c r="E334" t="str">
        <f>IF(AND('Entry list'!$I334=5,'Entry list'!$J334=5),'Entry list'!E334,"")</f>
        <v/>
      </c>
      <c r="F334" t="str">
        <f>IF(AND('Entry list'!$I334=5,'Entry list'!$J334=5),'Entry list'!F334,"")</f>
        <v/>
      </c>
      <c r="G334" t="str">
        <f>IF(AND('Entry list'!$I334=5,'Entry list'!$J334=5),'Entry list'!G334,"")</f>
        <v/>
      </c>
      <c r="H334" t="str">
        <f>IF(AND('Entry list'!$I334=5,'Entry list'!$J334=5),'Entry list'!H334,"")</f>
        <v/>
      </c>
      <c r="I334" t="str">
        <f>IF(AND('Entry list'!$I334=5,'Entry list'!$J334=5),'Entry list'!K334,"")</f>
        <v/>
      </c>
      <c r="J334" t="str">
        <f>IF(AND('Entry list'!$I334=5,'Entry list'!$J334=5),'Entry list'!L334,"")</f>
        <v/>
      </c>
      <c r="K334" t="str">
        <f>IF(AND('Entry list'!$I334=5,'Entry list'!$J334=5),'Entry list'!M334,"")</f>
        <v/>
      </c>
      <c r="L334" t="str">
        <f>IF(AND('Entry list'!$I334=5,'Entry list'!$J334=5),'Entry list'!N334,"")</f>
        <v/>
      </c>
      <c r="M334" t="str">
        <f t="shared" si="15"/>
        <v/>
      </c>
      <c r="N334" t="str">
        <f t="shared" si="16"/>
        <v/>
      </c>
      <c r="O334" t="str">
        <f t="shared" si="17"/>
        <v/>
      </c>
    </row>
    <row r="335" spans="1:15" x14ac:dyDescent="0.25">
      <c r="A335" t="str">
        <f>IF(AND('Entry list'!$I335=5,'Entry list'!$J335=5),'Entry list'!A335,"")</f>
        <v/>
      </c>
      <c r="B335" t="str">
        <f>IF(AND('Entry list'!$I335=5,'Entry list'!$J335=5),'Entry list'!B335,"")</f>
        <v/>
      </c>
      <c r="C335" t="str">
        <f>IF(AND('Entry list'!$I335=5,'Entry list'!$J335=5),'Entry list'!C335,"")</f>
        <v/>
      </c>
      <c r="D335" t="str">
        <f>IF(AND('Entry list'!$I335=5,'Entry list'!$J335=5),'Entry list'!D335,"")</f>
        <v/>
      </c>
      <c r="E335" t="str">
        <f>IF(AND('Entry list'!$I335=5,'Entry list'!$J335=5),'Entry list'!E335,"")</f>
        <v/>
      </c>
      <c r="F335" t="str">
        <f>IF(AND('Entry list'!$I335=5,'Entry list'!$J335=5),'Entry list'!F335,"")</f>
        <v/>
      </c>
      <c r="G335" t="str">
        <f>IF(AND('Entry list'!$I335=5,'Entry list'!$J335=5),'Entry list'!G335,"")</f>
        <v/>
      </c>
      <c r="H335" t="str">
        <f>IF(AND('Entry list'!$I335=5,'Entry list'!$J335=5),'Entry list'!H335,"")</f>
        <v/>
      </c>
      <c r="I335" t="str">
        <f>IF(AND('Entry list'!$I335=5,'Entry list'!$J335=5),'Entry list'!K335,"")</f>
        <v/>
      </c>
      <c r="J335" t="str">
        <f>IF(AND('Entry list'!$I335=5,'Entry list'!$J335=5),'Entry list'!L335,"")</f>
        <v/>
      </c>
      <c r="K335" t="str">
        <f>IF(AND('Entry list'!$I335=5,'Entry list'!$J335=5),'Entry list'!M335,"")</f>
        <v/>
      </c>
      <c r="L335" t="str">
        <f>IF(AND('Entry list'!$I335=5,'Entry list'!$J335=5),'Entry list'!N335,"")</f>
        <v/>
      </c>
      <c r="M335" t="str">
        <f t="shared" si="15"/>
        <v/>
      </c>
      <c r="N335" t="str">
        <f t="shared" si="16"/>
        <v/>
      </c>
      <c r="O335" t="str">
        <f t="shared" si="17"/>
        <v/>
      </c>
    </row>
    <row r="336" spans="1:15" x14ac:dyDescent="0.25">
      <c r="A336" t="str">
        <f>IF(AND('Entry list'!$I336=5,'Entry list'!$J336=5),'Entry list'!A336,"")</f>
        <v/>
      </c>
      <c r="B336" t="str">
        <f>IF(AND('Entry list'!$I336=5,'Entry list'!$J336=5),'Entry list'!B336,"")</f>
        <v/>
      </c>
      <c r="C336" t="str">
        <f>IF(AND('Entry list'!$I336=5,'Entry list'!$J336=5),'Entry list'!C336,"")</f>
        <v/>
      </c>
      <c r="D336" t="str">
        <f>IF(AND('Entry list'!$I336=5,'Entry list'!$J336=5),'Entry list'!D336,"")</f>
        <v/>
      </c>
      <c r="E336" t="str">
        <f>IF(AND('Entry list'!$I336=5,'Entry list'!$J336=5),'Entry list'!E336,"")</f>
        <v/>
      </c>
      <c r="F336" t="str">
        <f>IF(AND('Entry list'!$I336=5,'Entry list'!$J336=5),'Entry list'!F336,"")</f>
        <v/>
      </c>
      <c r="G336" t="str">
        <f>IF(AND('Entry list'!$I336=5,'Entry list'!$J336=5),'Entry list'!G336,"")</f>
        <v/>
      </c>
      <c r="H336" t="str">
        <f>IF(AND('Entry list'!$I336=5,'Entry list'!$J336=5),'Entry list'!H336,"")</f>
        <v/>
      </c>
      <c r="I336" t="str">
        <f>IF(AND('Entry list'!$I336=5,'Entry list'!$J336=5),'Entry list'!K336,"")</f>
        <v/>
      </c>
      <c r="J336" t="str">
        <f>IF(AND('Entry list'!$I336=5,'Entry list'!$J336=5),'Entry list'!L336,"")</f>
        <v/>
      </c>
      <c r="K336" t="str">
        <f>IF(AND('Entry list'!$I336=5,'Entry list'!$J336=5),'Entry list'!M336,"")</f>
        <v/>
      </c>
      <c r="L336" t="str">
        <f>IF(AND('Entry list'!$I336=5,'Entry list'!$J336=5),'Entry list'!N336,"")</f>
        <v/>
      </c>
      <c r="M336" t="str">
        <f t="shared" si="15"/>
        <v/>
      </c>
      <c r="N336" t="str">
        <f t="shared" si="16"/>
        <v/>
      </c>
      <c r="O336" t="str">
        <f t="shared" si="17"/>
        <v/>
      </c>
    </row>
    <row r="337" spans="1:15" x14ac:dyDescent="0.25">
      <c r="A337" t="str">
        <f>IF(AND('Entry list'!$I337=5,'Entry list'!$J337=5),'Entry list'!A337,"")</f>
        <v/>
      </c>
      <c r="B337" t="str">
        <f>IF(AND('Entry list'!$I337=5,'Entry list'!$J337=5),'Entry list'!B337,"")</f>
        <v/>
      </c>
      <c r="C337" t="str">
        <f>IF(AND('Entry list'!$I337=5,'Entry list'!$J337=5),'Entry list'!C337,"")</f>
        <v/>
      </c>
      <c r="D337" t="str">
        <f>IF(AND('Entry list'!$I337=5,'Entry list'!$J337=5),'Entry list'!D337,"")</f>
        <v/>
      </c>
      <c r="E337" t="str">
        <f>IF(AND('Entry list'!$I337=5,'Entry list'!$J337=5),'Entry list'!E337,"")</f>
        <v/>
      </c>
      <c r="F337" t="str">
        <f>IF(AND('Entry list'!$I337=5,'Entry list'!$J337=5),'Entry list'!F337,"")</f>
        <v/>
      </c>
      <c r="G337" t="str">
        <f>IF(AND('Entry list'!$I337=5,'Entry list'!$J337=5),'Entry list'!G337,"")</f>
        <v/>
      </c>
      <c r="H337" t="str">
        <f>IF(AND('Entry list'!$I337=5,'Entry list'!$J337=5),'Entry list'!H337,"")</f>
        <v/>
      </c>
      <c r="I337" t="str">
        <f>IF(AND('Entry list'!$I337=5,'Entry list'!$J337=5),'Entry list'!K337,"")</f>
        <v/>
      </c>
      <c r="J337" t="str">
        <f>IF(AND('Entry list'!$I337=5,'Entry list'!$J337=5),'Entry list'!L337,"")</f>
        <v/>
      </c>
      <c r="K337" t="str">
        <f>IF(AND('Entry list'!$I337=5,'Entry list'!$J337=5),'Entry list'!M337,"")</f>
        <v/>
      </c>
      <c r="L337" t="str">
        <f>IF(AND('Entry list'!$I337=5,'Entry list'!$J337=5),'Entry list'!N337,"")</f>
        <v/>
      </c>
      <c r="M337" t="str">
        <f t="shared" si="15"/>
        <v/>
      </c>
      <c r="N337" t="str">
        <f t="shared" si="16"/>
        <v/>
      </c>
      <c r="O337" t="str">
        <f t="shared" si="17"/>
        <v/>
      </c>
    </row>
    <row r="338" spans="1:15" x14ac:dyDescent="0.25">
      <c r="A338" t="str">
        <f>IF(AND('Entry list'!$I338=5,'Entry list'!$J338=5),'Entry list'!A338,"")</f>
        <v/>
      </c>
      <c r="B338" t="str">
        <f>IF(AND('Entry list'!$I338=5,'Entry list'!$J338=5),'Entry list'!B338,"")</f>
        <v/>
      </c>
      <c r="C338" t="str">
        <f>IF(AND('Entry list'!$I338=5,'Entry list'!$J338=5),'Entry list'!C338,"")</f>
        <v/>
      </c>
      <c r="D338" t="str">
        <f>IF(AND('Entry list'!$I338=5,'Entry list'!$J338=5),'Entry list'!D338,"")</f>
        <v/>
      </c>
      <c r="E338" t="str">
        <f>IF(AND('Entry list'!$I338=5,'Entry list'!$J338=5),'Entry list'!E338,"")</f>
        <v/>
      </c>
      <c r="F338" t="str">
        <f>IF(AND('Entry list'!$I338=5,'Entry list'!$J338=5),'Entry list'!F338,"")</f>
        <v/>
      </c>
      <c r="G338" t="str">
        <f>IF(AND('Entry list'!$I338=5,'Entry list'!$J338=5),'Entry list'!G338,"")</f>
        <v/>
      </c>
      <c r="H338" t="str">
        <f>IF(AND('Entry list'!$I338=5,'Entry list'!$J338=5),'Entry list'!H338,"")</f>
        <v/>
      </c>
      <c r="I338" t="str">
        <f>IF(AND('Entry list'!$I338=5,'Entry list'!$J338=5),'Entry list'!K338,"")</f>
        <v/>
      </c>
      <c r="J338" t="str">
        <f>IF(AND('Entry list'!$I338=5,'Entry list'!$J338=5),'Entry list'!L338,"")</f>
        <v/>
      </c>
      <c r="K338" t="str">
        <f>IF(AND('Entry list'!$I338=5,'Entry list'!$J338=5),'Entry list'!M338,"")</f>
        <v/>
      </c>
      <c r="L338" t="str">
        <f>IF(AND('Entry list'!$I338=5,'Entry list'!$J338=5),'Entry list'!N338,"")</f>
        <v/>
      </c>
      <c r="M338" t="str">
        <f t="shared" si="15"/>
        <v/>
      </c>
      <c r="N338" t="str">
        <f t="shared" si="16"/>
        <v/>
      </c>
      <c r="O338" t="str">
        <f t="shared" si="17"/>
        <v/>
      </c>
    </row>
    <row r="339" spans="1:15" x14ac:dyDescent="0.25">
      <c r="A339" t="str">
        <f>IF(AND('Entry list'!$I339=5,'Entry list'!$J339=5),'Entry list'!A339,"")</f>
        <v/>
      </c>
      <c r="B339" t="str">
        <f>IF(AND('Entry list'!$I339=5,'Entry list'!$J339=5),'Entry list'!B339,"")</f>
        <v/>
      </c>
      <c r="C339" t="str">
        <f>IF(AND('Entry list'!$I339=5,'Entry list'!$J339=5),'Entry list'!C339,"")</f>
        <v/>
      </c>
      <c r="D339" t="str">
        <f>IF(AND('Entry list'!$I339=5,'Entry list'!$J339=5),'Entry list'!D339,"")</f>
        <v/>
      </c>
      <c r="E339" t="str">
        <f>IF(AND('Entry list'!$I339=5,'Entry list'!$J339=5),'Entry list'!E339,"")</f>
        <v/>
      </c>
      <c r="F339" t="str">
        <f>IF(AND('Entry list'!$I339=5,'Entry list'!$J339=5),'Entry list'!F339,"")</f>
        <v/>
      </c>
      <c r="G339" t="str">
        <f>IF(AND('Entry list'!$I339=5,'Entry list'!$J339=5),'Entry list'!G339,"")</f>
        <v/>
      </c>
      <c r="H339" t="str">
        <f>IF(AND('Entry list'!$I339=5,'Entry list'!$J339=5),'Entry list'!H339,"")</f>
        <v/>
      </c>
      <c r="I339" t="str">
        <f>IF(AND('Entry list'!$I339=5,'Entry list'!$J339=5),'Entry list'!K339,"")</f>
        <v/>
      </c>
      <c r="J339" t="str">
        <f>IF(AND('Entry list'!$I339=5,'Entry list'!$J339=5),'Entry list'!L339,"")</f>
        <v/>
      </c>
      <c r="K339" t="str">
        <f>IF(AND('Entry list'!$I339=5,'Entry list'!$J339=5),'Entry list'!M339,"")</f>
        <v/>
      </c>
      <c r="L339" t="str">
        <f>IF(AND('Entry list'!$I339=5,'Entry list'!$J339=5),'Entry list'!N339,"")</f>
        <v/>
      </c>
      <c r="M339" t="str">
        <f t="shared" si="15"/>
        <v/>
      </c>
      <c r="N339" t="str">
        <f t="shared" si="16"/>
        <v/>
      </c>
      <c r="O339" t="str">
        <f t="shared" si="17"/>
        <v/>
      </c>
    </row>
    <row r="340" spans="1:15" x14ac:dyDescent="0.25">
      <c r="A340" t="str">
        <f>IF(AND('Entry list'!$I340=5,'Entry list'!$J340=5),'Entry list'!A340,"")</f>
        <v/>
      </c>
      <c r="B340" t="str">
        <f>IF(AND('Entry list'!$I340=5,'Entry list'!$J340=5),'Entry list'!B340,"")</f>
        <v/>
      </c>
      <c r="C340" t="str">
        <f>IF(AND('Entry list'!$I340=5,'Entry list'!$J340=5),'Entry list'!C340,"")</f>
        <v/>
      </c>
      <c r="D340" t="str">
        <f>IF(AND('Entry list'!$I340=5,'Entry list'!$J340=5),'Entry list'!D340,"")</f>
        <v/>
      </c>
      <c r="E340" t="str">
        <f>IF(AND('Entry list'!$I340=5,'Entry list'!$J340=5),'Entry list'!E340,"")</f>
        <v/>
      </c>
      <c r="F340" t="str">
        <f>IF(AND('Entry list'!$I340=5,'Entry list'!$J340=5),'Entry list'!F340,"")</f>
        <v/>
      </c>
      <c r="G340" t="str">
        <f>IF(AND('Entry list'!$I340=5,'Entry list'!$J340=5),'Entry list'!G340,"")</f>
        <v/>
      </c>
      <c r="H340" t="str">
        <f>IF(AND('Entry list'!$I340=5,'Entry list'!$J340=5),'Entry list'!H340,"")</f>
        <v/>
      </c>
      <c r="I340" t="str">
        <f>IF(AND('Entry list'!$I340=5,'Entry list'!$J340=5),'Entry list'!K340,"")</f>
        <v/>
      </c>
      <c r="J340" t="str">
        <f>IF(AND('Entry list'!$I340=5,'Entry list'!$J340=5),'Entry list'!L340,"")</f>
        <v/>
      </c>
      <c r="K340" t="str">
        <f>IF(AND('Entry list'!$I340=5,'Entry list'!$J340=5),'Entry list'!M340,"")</f>
        <v/>
      </c>
      <c r="L340" t="str">
        <f>IF(AND('Entry list'!$I340=5,'Entry list'!$J340=5),'Entry list'!N340,"")</f>
        <v/>
      </c>
      <c r="M340" t="str">
        <f t="shared" si="15"/>
        <v/>
      </c>
      <c r="N340" t="str">
        <f t="shared" si="16"/>
        <v/>
      </c>
      <c r="O340" t="str">
        <f t="shared" si="17"/>
        <v/>
      </c>
    </row>
    <row r="341" spans="1:15" x14ac:dyDescent="0.25">
      <c r="A341">
        <f>IF(AND('Entry list'!$I341=5,'Entry list'!$J341=5),'Entry list'!A341,"")</f>
        <v>3</v>
      </c>
      <c r="B341">
        <f>IF(AND('Entry list'!$I341=5,'Entry list'!$J341=5),'Entry list'!B341,"")</f>
        <v>0.62638888888888888</v>
      </c>
      <c r="C341" t="str">
        <f>IF(AND('Entry list'!$I341=5,'Entry list'!$J341=5),'Entry list'!C341,"")</f>
        <v>F</v>
      </c>
      <c r="D341" t="str">
        <f>IF(AND('Entry list'!$I341=5,'Entry list'!$J341=5),'Entry list'!D341,"")</f>
        <v>14DET</v>
      </c>
      <c r="E341" t="str">
        <f>IF(AND('Entry list'!$I341=5,'Entry list'!$J341=5),'Entry list'!E341,"")</f>
        <v>76NSH</v>
      </c>
      <c r="F341" t="str">
        <f>IF(AND('Entry list'!$I341=5,'Entry list'!$J341=5),'Entry list'!F341,"")</f>
        <v/>
      </c>
      <c r="G341" t="str">
        <f>IF(AND('Entry list'!$I341=5,'Entry list'!$J341=5),'Entry list'!G341,"")</f>
        <v>C</v>
      </c>
      <c r="H341" t="str">
        <f>IF(AND('Entry list'!$I341=5,'Entry list'!$J341=5),'Entry list'!H341,"")</f>
        <v>N</v>
      </c>
      <c r="I341" t="str">
        <f>IF(AND('Entry list'!$I341=5,'Entry list'!$J341=5),'Entry list'!K341,"")</f>
        <v/>
      </c>
      <c r="J341">
        <f>IF(AND('Entry list'!$I341=5,'Entry list'!$J341=5),'Entry list'!L341,"")</f>
        <v>0</v>
      </c>
      <c r="K341">
        <f>IF(AND('Entry list'!$I341=5,'Entry list'!$J341=5),'Entry list'!M341,"")</f>
        <v>0</v>
      </c>
      <c r="L341" t="str">
        <f>IF(AND('Entry list'!$I341=5,'Entry list'!$J341=5),'Entry list'!N341,"")</f>
        <v>14DET</v>
      </c>
      <c r="M341">
        <f t="shared" si="15"/>
        <v>0</v>
      </c>
      <c r="N341" t="str">
        <f t="shared" si="16"/>
        <v/>
      </c>
      <c r="O341">
        <f t="shared" si="17"/>
        <v>0</v>
      </c>
    </row>
    <row r="342" spans="1:15" x14ac:dyDescent="0.25">
      <c r="A342">
        <f>IF(AND('Entry list'!$I342=5,'Entry list'!$J342=5),'Entry list'!A342,"")</f>
        <v>3</v>
      </c>
      <c r="B342">
        <f>IF(AND('Entry list'!$I342=5,'Entry list'!$J342=5),'Entry list'!B342,"")</f>
        <v>0.62361111111111112</v>
      </c>
      <c r="C342" t="str">
        <f>IF(AND('Entry list'!$I342=5,'Entry list'!$J342=5),'Entry list'!C342,"")</f>
        <v>C</v>
      </c>
      <c r="D342" t="str">
        <f>IF(AND('Entry list'!$I342=5,'Entry list'!$J342=5),'Entry list'!D342,"")</f>
        <v>63NSH</v>
      </c>
      <c r="E342" t="str">
        <f>IF(AND('Entry list'!$I342=5,'Entry list'!$J342=5),'Entry list'!E342,"")</f>
        <v>25DET</v>
      </c>
      <c r="F342" t="str">
        <f>IF(AND('Entry list'!$I342=5,'Entry list'!$J342=5),'Entry list'!F342,"")</f>
        <v>N</v>
      </c>
      <c r="G342" t="str">
        <f>IF(AND('Entry list'!$I342=5,'Entry list'!$J342=5),'Entry list'!G342,"")</f>
        <v>L</v>
      </c>
      <c r="H342" t="str">
        <f>IF(AND('Entry list'!$I342=5,'Entry list'!$J342=5),'Entry list'!H342,"")</f>
        <v>N</v>
      </c>
      <c r="I342" t="str">
        <f>IF(AND('Entry list'!$I342=5,'Entry list'!$J342=5),'Entry list'!K342,"")</f>
        <v>63NSH</v>
      </c>
      <c r="J342">
        <f>IF(AND('Entry list'!$I342=5,'Entry list'!$J342=5),'Entry list'!L342,"")</f>
        <v>0</v>
      </c>
      <c r="K342">
        <f>IF(AND('Entry list'!$I342=5,'Entry list'!$J342=5),'Entry list'!M342,"")</f>
        <v>0</v>
      </c>
      <c r="L342" t="str">
        <f>IF(AND('Entry list'!$I342=5,'Entry list'!$J342=5),'Entry list'!N342,"")</f>
        <v/>
      </c>
      <c r="M342">
        <f t="shared" si="15"/>
        <v>0</v>
      </c>
      <c r="N342">
        <f t="shared" si="16"/>
        <v>0</v>
      </c>
      <c r="O342" t="str">
        <f t="shared" si="17"/>
        <v/>
      </c>
    </row>
    <row r="343" spans="1:15" x14ac:dyDescent="0.25">
      <c r="A343" t="str">
        <f>IF(AND('Entry list'!$I343=5,'Entry list'!$J343=5),'Entry list'!A343,"")</f>
        <v/>
      </c>
      <c r="B343" t="str">
        <f>IF(AND('Entry list'!$I343=5,'Entry list'!$J343=5),'Entry list'!B343,"")</f>
        <v/>
      </c>
      <c r="C343" t="str">
        <f>IF(AND('Entry list'!$I343=5,'Entry list'!$J343=5),'Entry list'!C343,"")</f>
        <v/>
      </c>
      <c r="D343" t="str">
        <f>IF(AND('Entry list'!$I343=5,'Entry list'!$J343=5),'Entry list'!D343,"")</f>
        <v/>
      </c>
      <c r="E343" t="str">
        <f>IF(AND('Entry list'!$I343=5,'Entry list'!$J343=5),'Entry list'!E343,"")</f>
        <v/>
      </c>
      <c r="F343" t="str">
        <f>IF(AND('Entry list'!$I343=5,'Entry list'!$J343=5),'Entry list'!F343,"")</f>
        <v/>
      </c>
      <c r="G343" t="str">
        <f>IF(AND('Entry list'!$I343=5,'Entry list'!$J343=5),'Entry list'!G343,"")</f>
        <v/>
      </c>
      <c r="H343" t="str">
        <f>IF(AND('Entry list'!$I343=5,'Entry list'!$J343=5),'Entry list'!H343,"")</f>
        <v/>
      </c>
      <c r="I343" t="str">
        <f>IF(AND('Entry list'!$I343=5,'Entry list'!$J343=5),'Entry list'!K343,"")</f>
        <v/>
      </c>
      <c r="J343" t="str">
        <f>IF(AND('Entry list'!$I343=5,'Entry list'!$J343=5),'Entry list'!L343,"")</f>
        <v/>
      </c>
      <c r="K343" t="str">
        <f>IF(AND('Entry list'!$I343=5,'Entry list'!$J343=5),'Entry list'!M343,"")</f>
        <v/>
      </c>
      <c r="L343" t="str">
        <f>IF(AND('Entry list'!$I343=5,'Entry list'!$J343=5),'Entry list'!N343,"")</f>
        <v/>
      </c>
      <c r="M343" t="str">
        <f t="shared" si="15"/>
        <v/>
      </c>
      <c r="N343" t="str">
        <f t="shared" si="16"/>
        <v/>
      </c>
      <c r="O343" t="str">
        <f t="shared" si="17"/>
        <v/>
      </c>
    </row>
    <row r="344" spans="1:15" x14ac:dyDescent="0.25">
      <c r="A344">
        <f>IF(AND('Entry list'!$I344=5,'Entry list'!$J344=5),'Entry list'!A344,"")</f>
        <v>3</v>
      </c>
      <c r="B344">
        <f>IF(AND('Entry list'!$I344=5,'Entry list'!$J344=5),'Entry list'!B344,"")</f>
        <v>0.61527777777777781</v>
      </c>
      <c r="C344" t="str">
        <f>IF(AND('Entry list'!$I344=5,'Entry list'!$J344=5),'Entry list'!C344,"")</f>
        <v>D</v>
      </c>
      <c r="D344" t="str">
        <f>IF(AND('Entry list'!$I344=5,'Entry list'!$J344=5),'Entry list'!D344,"")</f>
        <v>56NSH</v>
      </c>
      <c r="E344" t="str">
        <f>IF(AND('Entry list'!$I344=5,'Entry list'!$J344=5),'Entry list'!E344,"")</f>
        <v>40DET</v>
      </c>
      <c r="F344" t="str">
        <f>IF(AND('Entry list'!$I344=5,'Entry list'!$J344=5),'Entry list'!F344,"")</f>
        <v/>
      </c>
      <c r="G344" t="str">
        <f>IF(AND('Entry list'!$I344=5,'Entry list'!$J344=5),'Entry list'!G344,"")</f>
        <v>L</v>
      </c>
      <c r="H344" t="str">
        <f>IF(AND('Entry list'!$I344=5,'Entry list'!$J344=5),'Entry list'!H344,"")</f>
        <v>N</v>
      </c>
      <c r="I344" t="str">
        <f>IF(AND('Entry list'!$I344=5,'Entry list'!$J344=5),'Entry list'!K344,"")</f>
        <v/>
      </c>
      <c r="J344">
        <f>IF(AND('Entry list'!$I344=5,'Entry list'!$J344=5),'Entry list'!L344,"")</f>
        <v>0</v>
      </c>
      <c r="K344">
        <f>IF(AND('Entry list'!$I344=5,'Entry list'!$J344=5),'Entry list'!M344,"")</f>
        <v>0</v>
      </c>
      <c r="L344" t="str">
        <f>IF(AND('Entry list'!$I344=5,'Entry list'!$J344=5),'Entry list'!N344,"")</f>
        <v/>
      </c>
      <c r="M344">
        <f t="shared" si="15"/>
        <v>0</v>
      </c>
      <c r="N344" t="str">
        <f t="shared" si="16"/>
        <v/>
      </c>
      <c r="O344" t="str">
        <f t="shared" si="17"/>
        <v/>
      </c>
    </row>
    <row r="345" spans="1:15" x14ac:dyDescent="0.25">
      <c r="A345">
        <f>IF(AND('Entry list'!$I345=5,'Entry list'!$J345=5),'Entry list'!A345,"")</f>
        <v>3</v>
      </c>
      <c r="B345">
        <f>IF(AND('Entry list'!$I345=5,'Entry list'!$J345=5),'Entry list'!B345,"")</f>
        <v>0.59305555555555556</v>
      </c>
      <c r="C345" t="str">
        <f>IF(AND('Entry list'!$I345=5,'Entry list'!$J345=5),'Entry list'!C345,"")</f>
        <v>D</v>
      </c>
      <c r="D345" t="str">
        <f>IF(AND('Entry list'!$I345=5,'Entry list'!$J345=5),'Entry list'!D345,"")</f>
        <v>9NSH</v>
      </c>
      <c r="E345" t="str">
        <f>IF(AND('Entry list'!$I345=5,'Entry list'!$J345=5),'Entry list'!E345,"")</f>
        <v>N</v>
      </c>
      <c r="F345" t="str">
        <f>IF(AND('Entry list'!$I345=5,'Entry list'!$J345=5),'Entry list'!F345,"")</f>
        <v/>
      </c>
      <c r="G345" t="str">
        <f>IF(AND('Entry list'!$I345=5,'Entry list'!$J345=5),'Entry list'!G345,"")</f>
        <v>L</v>
      </c>
      <c r="H345" t="str">
        <f>IF(AND('Entry list'!$I345=5,'Entry list'!$J345=5),'Entry list'!H345,"")</f>
        <v>N</v>
      </c>
      <c r="I345" t="str">
        <f>IF(AND('Entry list'!$I345=5,'Entry list'!$J345=5),'Entry list'!K345,"")</f>
        <v/>
      </c>
      <c r="J345">
        <f>IF(AND('Entry list'!$I345=5,'Entry list'!$J345=5),'Entry list'!L345,"")</f>
        <v>0</v>
      </c>
      <c r="K345">
        <f>IF(AND('Entry list'!$I345=5,'Entry list'!$J345=5),'Entry list'!M345,"")</f>
        <v>0</v>
      </c>
      <c r="L345" t="str">
        <f>IF(AND('Entry list'!$I345=5,'Entry list'!$J345=5),'Entry list'!N345,"")</f>
        <v/>
      </c>
      <c r="M345">
        <f t="shared" si="15"/>
        <v>0</v>
      </c>
      <c r="N345" t="str">
        <f t="shared" si="16"/>
        <v/>
      </c>
      <c r="O345" t="str">
        <f t="shared" si="17"/>
        <v/>
      </c>
    </row>
    <row r="346" spans="1:15" x14ac:dyDescent="0.25">
      <c r="A346">
        <f>IF(AND('Entry list'!$I346=5,'Entry list'!$J346=5),'Entry list'!A346,"")</f>
        <v>3</v>
      </c>
      <c r="B346">
        <f>IF(AND('Entry list'!$I346=5,'Entry list'!$J346=5),'Entry list'!B346,"")</f>
        <v>0.58333333333333337</v>
      </c>
      <c r="C346" t="str">
        <f>IF(AND('Entry list'!$I346=5,'Entry list'!$J346=5),'Entry list'!C346,"")</f>
        <v>C</v>
      </c>
      <c r="D346" t="str">
        <f>IF(AND('Entry list'!$I346=5,'Entry list'!$J346=5),'Entry list'!D346,"")</f>
        <v>56NSH</v>
      </c>
      <c r="E346" t="str">
        <f>IF(AND('Entry list'!$I346=5,'Entry list'!$J346=5),'Entry list'!E346,"")</f>
        <v>48DET</v>
      </c>
      <c r="F346" t="str">
        <f>IF(AND('Entry list'!$I346=5,'Entry list'!$J346=5),'Entry list'!F346,"")</f>
        <v>Y</v>
      </c>
      <c r="G346" t="str">
        <f>IF(AND('Entry list'!$I346=5,'Entry list'!$J346=5),'Entry list'!G346,"")</f>
        <v>L</v>
      </c>
      <c r="H346" t="str">
        <f>IF(AND('Entry list'!$I346=5,'Entry list'!$J346=5),'Entry list'!H346,"")</f>
        <v>N</v>
      </c>
      <c r="I346" t="str">
        <f>IF(AND('Entry list'!$I346=5,'Entry list'!$J346=5),'Entry list'!K346,"")</f>
        <v>56NSH</v>
      </c>
      <c r="J346">
        <f>IF(AND('Entry list'!$I346=5,'Entry list'!$J346=5),'Entry list'!L346,"")</f>
        <v>1</v>
      </c>
      <c r="K346">
        <f>IF(AND('Entry list'!$I346=5,'Entry list'!$J346=5),'Entry list'!M346,"")</f>
        <v>0</v>
      </c>
      <c r="L346" t="str">
        <f>IF(AND('Entry list'!$I346=5,'Entry list'!$J346=5),'Entry list'!N346,"")</f>
        <v/>
      </c>
      <c r="M346">
        <f t="shared" si="15"/>
        <v>0</v>
      </c>
      <c r="N346">
        <f t="shared" si="16"/>
        <v>0</v>
      </c>
      <c r="O346" t="str">
        <f t="shared" si="17"/>
        <v/>
      </c>
    </row>
    <row r="347" spans="1:15" x14ac:dyDescent="0.25">
      <c r="A347" t="str">
        <f>IF(AND('Entry list'!$I347=5,'Entry list'!$J347=5),'Entry list'!A347,"")</f>
        <v/>
      </c>
      <c r="B347" t="str">
        <f>IF(AND('Entry list'!$I347=5,'Entry list'!$J347=5),'Entry list'!B347,"")</f>
        <v/>
      </c>
      <c r="C347" t="str">
        <f>IF(AND('Entry list'!$I347=5,'Entry list'!$J347=5),'Entry list'!C347,"")</f>
        <v/>
      </c>
      <c r="D347" t="str">
        <f>IF(AND('Entry list'!$I347=5,'Entry list'!$J347=5),'Entry list'!D347,"")</f>
        <v/>
      </c>
      <c r="E347" t="str">
        <f>IF(AND('Entry list'!$I347=5,'Entry list'!$J347=5),'Entry list'!E347,"")</f>
        <v/>
      </c>
      <c r="F347" t="str">
        <f>IF(AND('Entry list'!$I347=5,'Entry list'!$J347=5),'Entry list'!F347,"")</f>
        <v/>
      </c>
      <c r="G347" t="str">
        <f>IF(AND('Entry list'!$I347=5,'Entry list'!$J347=5),'Entry list'!G347,"")</f>
        <v/>
      </c>
      <c r="H347" t="str">
        <f>IF(AND('Entry list'!$I347=5,'Entry list'!$J347=5),'Entry list'!H347,"")</f>
        <v/>
      </c>
      <c r="I347" t="str">
        <f>IF(AND('Entry list'!$I347=5,'Entry list'!$J347=5),'Entry list'!K347,"")</f>
        <v/>
      </c>
      <c r="J347" t="str">
        <f>IF(AND('Entry list'!$I347=5,'Entry list'!$J347=5),'Entry list'!L347,"")</f>
        <v/>
      </c>
      <c r="K347" t="str">
        <f>IF(AND('Entry list'!$I347=5,'Entry list'!$J347=5),'Entry list'!M347,"")</f>
        <v/>
      </c>
      <c r="L347" t="str">
        <f>IF(AND('Entry list'!$I347=5,'Entry list'!$J347=5),'Entry list'!N347,"")</f>
        <v/>
      </c>
      <c r="M347" t="str">
        <f t="shared" si="15"/>
        <v/>
      </c>
      <c r="N347" t="str">
        <f t="shared" si="16"/>
        <v/>
      </c>
      <c r="O347" t="str">
        <f t="shared" si="17"/>
        <v/>
      </c>
    </row>
    <row r="348" spans="1:15" x14ac:dyDescent="0.25">
      <c r="A348" t="str">
        <f>IF(AND('Entry list'!$I348=5,'Entry list'!$J348=5),'Entry list'!A348,"")</f>
        <v/>
      </c>
      <c r="B348" t="str">
        <f>IF(AND('Entry list'!$I348=5,'Entry list'!$J348=5),'Entry list'!B348,"")</f>
        <v/>
      </c>
      <c r="C348" t="str">
        <f>IF(AND('Entry list'!$I348=5,'Entry list'!$J348=5),'Entry list'!C348,"")</f>
        <v/>
      </c>
      <c r="D348" t="str">
        <f>IF(AND('Entry list'!$I348=5,'Entry list'!$J348=5),'Entry list'!D348,"")</f>
        <v/>
      </c>
      <c r="E348" t="str">
        <f>IF(AND('Entry list'!$I348=5,'Entry list'!$J348=5),'Entry list'!E348,"")</f>
        <v/>
      </c>
      <c r="F348" t="str">
        <f>IF(AND('Entry list'!$I348=5,'Entry list'!$J348=5),'Entry list'!F348,"")</f>
        <v/>
      </c>
      <c r="G348" t="str">
        <f>IF(AND('Entry list'!$I348=5,'Entry list'!$J348=5),'Entry list'!G348,"")</f>
        <v/>
      </c>
      <c r="H348" t="str">
        <f>IF(AND('Entry list'!$I348=5,'Entry list'!$J348=5),'Entry list'!H348,"")</f>
        <v/>
      </c>
      <c r="I348" t="str">
        <f>IF(AND('Entry list'!$I348=5,'Entry list'!$J348=5),'Entry list'!K348,"")</f>
        <v/>
      </c>
      <c r="J348" t="str">
        <f>IF(AND('Entry list'!$I348=5,'Entry list'!$J348=5),'Entry list'!L348,"")</f>
        <v/>
      </c>
      <c r="K348" t="str">
        <f>IF(AND('Entry list'!$I348=5,'Entry list'!$J348=5),'Entry list'!M348,"")</f>
        <v/>
      </c>
      <c r="L348" t="str">
        <f>IF(AND('Entry list'!$I348=5,'Entry list'!$J348=5),'Entry list'!N348,"")</f>
        <v/>
      </c>
      <c r="M348" t="str">
        <f t="shared" si="15"/>
        <v/>
      </c>
      <c r="N348" t="str">
        <f t="shared" si="16"/>
        <v/>
      </c>
      <c r="O348" t="str">
        <f t="shared" si="17"/>
        <v/>
      </c>
    </row>
    <row r="349" spans="1:15" x14ac:dyDescent="0.25">
      <c r="A349">
        <f>IF(AND('Entry list'!$I349=5,'Entry list'!$J349=5),'Entry list'!A349,"")</f>
        <v>3</v>
      </c>
      <c r="B349">
        <f>IF(AND('Entry list'!$I349=5,'Entry list'!$J349=5),'Entry list'!B349,"")</f>
        <v>0.55902777777777779</v>
      </c>
      <c r="C349" t="str">
        <f>IF(AND('Entry list'!$I349=5,'Entry list'!$J349=5),'Entry list'!C349,"")</f>
        <v>F</v>
      </c>
      <c r="D349" t="str">
        <f>IF(AND('Entry list'!$I349=5,'Entry list'!$J349=5),'Entry list'!D349,"")</f>
        <v>62DET</v>
      </c>
      <c r="E349" t="str">
        <f>IF(AND('Entry list'!$I349=5,'Entry list'!$J349=5),'Entry list'!E349,"")</f>
        <v>76NSH</v>
      </c>
      <c r="F349" t="str">
        <f>IF(AND('Entry list'!$I349=5,'Entry list'!$J349=5),'Entry list'!F349,"")</f>
        <v/>
      </c>
      <c r="G349" t="str">
        <f>IF(AND('Entry list'!$I349=5,'Entry list'!$J349=5),'Entry list'!G349,"")</f>
        <v>C</v>
      </c>
      <c r="H349" t="str">
        <f>IF(AND('Entry list'!$I349=5,'Entry list'!$J349=5),'Entry list'!H349,"")</f>
        <v>N</v>
      </c>
      <c r="I349" t="str">
        <f>IF(AND('Entry list'!$I349=5,'Entry list'!$J349=5),'Entry list'!K349,"")</f>
        <v/>
      </c>
      <c r="J349">
        <f>IF(AND('Entry list'!$I349=5,'Entry list'!$J349=5),'Entry list'!L349,"")</f>
        <v>0</v>
      </c>
      <c r="K349">
        <f>IF(AND('Entry list'!$I349=5,'Entry list'!$J349=5),'Entry list'!M349,"")</f>
        <v>0</v>
      </c>
      <c r="L349" t="str">
        <f>IF(AND('Entry list'!$I349=5,'Entry list'!$J349=5),'Entry list'!N349,"")</f>
        <v>62DET</v>
      </c>
      <c r="M349">
        <f t="shared" si="15"/>
        <v>0</v>
      </c>
      <c r="N349" t="str">
        <f t="shared" si="16"/>
        <v/>
      </c>
      <c r="O349">
        <f t="shared" si="17"/>
        <v>0</v>
      </c>
    </row>
    <row r="350" spans="1:15" x14ac:dyDescent="0.25">
      <c r="A350" t="str">
        <f>IF(AND('Entry list'!$I350=5,'Entry list'!$J350=5),'Entry list'!A350,"")</f>
        <v/>
      </c>
      <c r="B350" t="str">
        <f>IF(AND('Entry list'!$I350=5,'Entry list'!$J350=5),'Entry list'!B350,"")</f>
        <v/>
      </c>
      <c r="C350" t="str">
        <f>IF(AND('Entry list'!$I350=5,'Entry list'!$J350=5),'Entry list'!C350,"")</f>
        <v/>
      </c>
      <c r="D350" t="str">
        <f>IF(AND('Entry list'!$I350=5,'Entry list'!$J350=5),'Entry list'!D350,"")</f>
        <v/>
      </c>
      <c r="E350" t="str">
        <f>IF(AND('Entry list'!$I350=5,'Entry list'!$J350=5),'Entry list'!E350,"")</f>
        <v/>
      </c>
      <c r="F350" t="str">
        <f>IF(AND('Entry list'!$I350=5,'Entry list'!$J350=5),'Entry list'!F350,"")</f>
        <v/>
      </c>
      <c r="G350" t="str">
        <f>IF(AND('Entry list'!$I350=5,'Entry list'!$J350=5),'Entry list'!G350,"")</f>
        <v/>
      </c>
      <c r="H350" t="str">
        <f>IF(AND('Entry list'!$I350=5,'Entry list'!$J350=5),'Entry list'!H350,"")</f>
        <v/>
      </c>
      <c r="I350" t="str">
        <f>IF(AND('Entry list'!$I350=5,'Entry list'!$J350=5),'Entry list'!K350,"")</f>
        <v/>
      </c>
      <c r="J350" t="str">
        <f>IF(AND('Entry list'!$I350=5,'Entry list'!$J350=5),'Entry list'!L350,"")</f>
        <v/>
      </c>
      <c r="K350" t="str">
        <f>IF(AND('Entry list'!$I350=5,'Entry list'!$J350=5),'Entry list'!M350,"")</f>
        <v/>
      </c>
      <c r="L350" t="str">
        <f>IF(AND('Entry list'!$I350=5,'Entry list'!$J350=5),'Entry list'!N350,"")</f>
        <v/>
      </c>
      <c r="M350" t="str">
        <f t="shared" si="15"/>
        <v/>
      </c>
      <c r="N350" t="str">
        <f t="shared" si="16"/>
        <v/>
      </c>
      <c r="O350" t="str">
        <f t="shared" si="17"/>
        <v/>
      </c>
    </row>
    <row r="351" spans="1:15" x14ac:dyDescent="0.25">
      <c r="A351">
        <f>IF(AND('Entry list'!$I351=5,'Entry list'!$J351=5),'Entry list'!A351,"")</f>
        <v>3</v>
      </c>
      <c r="B351">
        <f>IF(AND('Entry list'!$I351=5,'Entry list'!$J351=5),'Entry list'!B351,"")</f>
        <v>0.55694444444444446</v>
      </c>
      <c r="C351" t="str">
        <f>IF(AND('Entry list'!$I351=5,'Entry list'!$J351=5),'Entry list'!C351,"")</f>
        <v>D</v>
      </c>
      <c r="D351" t="str">
        <f>IF(AND('Entry list'!$I351=5,'Entry list'!$J351=5),'Entry list'!D351,"")</f>
        <v>18NSH</v>
      </c>
      <c r="E351" t="str">
        <f>IF(AND('Entry list'!$I351=5,'Entry list'!$J351=5),'Entry list'!E351,"")</f>
        <v>N</v>
      </c>
      <c r="F351" t="str">
        <f>IF(AND('Entry list'!$I351=5,'Entry list'!$J351=5),'Entry list'!F351,"")</f>
        <v/>
      </c>
      <c r="G351" t="str">
        <f>IF(AND('Entry list'!$I351=5,'Entry list'!$J351=5),'Entry list'!G351,"")</f>
        <v>R</v>
      </c>
      <c r="H351" t="str">
        <f>IF(AND('Entry list'!$I351=5,'Entry list'!$J351=5),'Entry list'!H351,"")</f>
        <v>N</v>
      </c>
      <c r="I351" t="str">
        <f>IF(AND('Entry list'!$I351=5,'Entry list'!$J351=5),'Entry list'!K351,"")</f>
        <v/>
      </c>
      <c r="J351">
        <f>IF(AND('Entry list'!$I351=5,'Entry list'!$J351=5),'Entry list'!L351,"")</f>
        <v>1</v>
      </c>
      <c r="K351">
        <f>IF(AND('Entry list'!$I351=5,'Entry list'!$J351=5),'Entry list'!M351,"")</f>
        <v>0</v>
      </c>
      <c r="L351" t="str">
        <f>IF(AND('Entry list'!$I351=5,'Entry list'!$J351=5),'Entry list'!N351,"")</f>
        <v/>
      </c>
      <c r="M351">
        <f t="shared" si="15"/>
        <v>0</v>
      </c>
      <c r="N351" t="str">
        <f t="shared" si="16"/>
        <v/>
      </c>
      <c r="O351" t="str">
        <f t="shared" si="17"/>
        <v/>
      </c>
    </row>
    <row r="352" spans="1:15" x14ac:dyDescent="0.25">
      <c r="A352" t="str">
        <f>IF(AND('Entry list'!$I352=5,'Entry list'!$J352=5),'Entry list'!A352,"")</f>
        <v/>
      </c>
      <c r="B352" t="str">
        <f>IF(AND('Entry list'!$I352=5,'Entry list'!$J352=5),'Entry list'!B352,"")</f>
        <v/>
      </c>
      <c r="C352" t="str">
        <f>IF(AND('Entry list'!$I352=5,'Entry list'!$J352=5),'Entry list'!C352,"")</f>
        <v/>
      </c>
      <c r="D352" t="str">
        <f>IF(AND('Entry list'!$I352=5,'Entry list'!$J352=5),'Entry list'!D352,"")</f>
        <v/>
      </c>
      <c r="E352" t="str">
        <f>IF(AND('Entry list'!$I352=5,'Entry list'!$J352=5),'Entry list'!E352,"")</f>
        <v/>
      </c>
      <c r="F352" t="str">
        <f>IF(AND('Entry list'!$I352=5,'Entry list'!$J352=5),'Entry list'!F352,"")</f>
        <v/>
      </c>
      <c r="G352" t="str">
        <f>IF(AND('Entry list'!$I352=5,'Entry list'!$J352=5),'Entry list'!G352,"")</f>
        <v/>
      </c>
      <c r="H352" t="str">
        <f>IF(AND('Entry list'!$I352=5,'Entry list'!$J352=5),'Entry list'!H352,"")</f>
        <v/>
      </c>
      <c r="I352" t="str">
        <f>IF(AND('Entry list'!$I352=5,'Entry list'!$J352=5),'Entry list'!K352,"")</f>
        <v/>
      </c>
      <c r="J352" t="str">
        <f>IF(AND('Entry list'!$I352=5,'Entry list'!$J352=5),'Entry list'!L352,"")</f>
        <v/>
      </c>
      <c r="K352" t="str">
        <f>IF(AND('Entry list'!$I352=5,'Entry list'!$J352=5),'Entry list'!M352,"")</f>
        <v/>
      </c>
      <c r="L352" t="str">
        <f>IF(AND('Entry list'!$I352=5,'Entry list'!$J352=5),'Entry list'!N352,"")</f>
        <v/>
      </c>
      <c r="M352" t="str">
        <f t="shared" si="15"/>
        <v/>
      </c>
      <c r="N352" t="str">
        <f t="shared" si="16"/>
        <v/>
      </c>
      <c r="O352" t="str">
        <f t="shared" si="17"/>
        <v/>
      </c>
    </row>
    <row r="353" spans="1:15" x14ac:dyDescent="0.25">
      <c r="A353" t="str">
        <f>IF(AND('Entry list'!$I353=5,'Entry list'!$J353=5),'Entry list'!A353,"")</f>
        <v/>
      </c>
      <c r="B353" t="str">
        <f>IF(AND('Entry list'!$I353=5,'Entry list'!$J353=5),'Entry list'!B353,"")</f>
        <v/>
      </c>
      <c r="C353" t="str">
        <f>IF(AND('Entry list'!$I353=5,'Entry list'!$J353=5),'Entry list'!C353,"")</f>
        <v/>
      </c>
      <c r="D353" t="str">
        <f>IF(AND('Entry list'!$I353=5,'Entry list'!$J353=5),'Entry list'!D353,"")</f>
        <v/>
      </c>
      <c r="E353" t="str">
        <f>IF(AND('Entry list'!$I353=5,'Entry list'!$J353=5),'Entry list'!E353,"")</f>
        <v/>
      </c>
      <c r="F353" t="str">
        <f>IF(AND('Entry list'!$I353=5,'Entry list'!$J353=5),'Entry list'!F353,"")</f>
        <v/>
      </c>
      <c r="G353" t="str">
        <f>IF(AND('Entry list'!$I353=5,'Entry list'!$J353=5),'Entry list'!G353,"")</f>
        <v/>
      </c>
      <c r="H353" t="str">
        <f>IF(AND('Entry list'!$I353=5,'Entry list'!$J353=5),'Entry list'!H353,"")</f>
        <v/>
      </c>
      <c r="I353" t="str">
        <f>IF(AND('Entry list'!$I353=5,'Entry list'!$J353=5),'Entry list'!K353,"")</f>
        <v/>
      </c>
      <c r="J353" t="str">
        <f>IF(AND('Entry list'!$I353=5,'Entry list'!$J353=5),'Entry list'!L353,"")</f>
        <v/>
      </c>
      <c r="K353" t="str">
        <f>IF(AND('Entry list'!$I353=5,'Entry list'!$J353=5),'Entry list'!M353,"")</f>
        <v/>
      </c>
      <c r="L353" t="str">
        <f>IF(AND('Entry list'!$I353=5,'Entry list'!$J353=5),'Entry list'!N353,"")</f>
        <v/>
      </c>
      <c r="M353" t="str">
        <f t="shared" si="15"/>
        <v/>
      </c>
      <c r="N353" t="str">
        <f t="shared" si="16"/>
        <v/>
      </c>
      <c r="O353" t="str">
        <f t="shared" si="17"/>
        <v/>
      </c>
    </row>
    <row r="354" spans="1:15" x14ac:dyDescent="0.25">
      <c r="A354">
        <f>IF(AND('Entry list'!$I354=5,'Entry list'!$J354=5),'Entry list'!A354,"")</f>
        <v>3</v>
      </c>
      <c r="B354">
        <f>IF(AND('Entry list'!$I354=5,'Entry list'!$J354=5),'Entry list'!B354,"")</f>
        <v>0.54236111111111118</v>
      </c>
      <c r="C354" t="str">
        <f>IF(AND('Entry list'!$I354=5,'Entry list'!$J354=5),'Entry list'!C354,"")</f>
        <v>C</v>
      </c>
      <c r="D354" t="str">
        <f>IF(AND('Entry list'!$I354=5,'Entry list'!$J354=5),'Entry list'!D354,"")</f>
        <v>41DET</v>
      </c>
      <c r="E354" t="str">
        <f>IF(AND('Entry list'!$I354=5,'Entry list'!$J354=5),'Entry list'!E354,"")</f>
        <v>4NSH</v>
      </c>
      <c r="F354" t="str">
        <f>IF(AND('Entry list'!$I354=5,'Entry list'!$J354=5),'Entry list'!F354,"")</f>
        <v>Y</v>
      </c>
      <c r="G354" t="str">
        <f>IF(AND('Entry list'!$I354=5,'Entry list'!$J354=5),'Entry list'!G354,"")</f>
        <v>L</v>
      </c>
      <c r="H354" t="str">
        <f>IF(AND('Entry list'!$I354=5,'Entry list'!$J354=5),'Entry list'!H354,"")</f>
        <v>N</v>
      </c>
      <c r="I354" t="str">
        <f>IF(AND('Entry list'!$I354=5,'Entry list'!$J354=5),'Entry list'!K354,"")</f>
        <v>41DET</v>
      </c>
      <c r="J354">
        <f>IF(AND('Entry list'!$I354=5,'Entry list'!$J354=5),'Entry list'!L354,"")</f>
        <v>1</v>
      </c>
      <c r="K354">
        <f>IF(AND('Entry list'!$I354=5,'Entry list'!$J354=5),'Entry list'!M354,"")</f>
        <v>0</v>
      </c>
      <c r="L354" t="str">
        <f>IF(AND('Entry list'!$I354=5,'Entry list'!$J354=5),'Entry list'!N354,"")</f>
        <v/>
      </c>
      <c r="M354">
        <f t="shared" si="15"/>
        <v>0</v>
      </c>
      <c r="N354">
        <f t="shared" si="16"/>
        <v>0</v>
      </c>
      <c r="O354" t="str">
        <f t="shared" si="17"/>
        <v/>
      </c>
    </row>
    <row r="355" spans="1:15" x14ac:dyDescent="0.25">
      <c r="A355" t="str">
        <f>IF(AND('Entry list'!$I355=5,'Entry list'!$J355=5),'Entry list'!A355,"")</f>
        <v/>
      </c>
      <c r="B355" t="str">
        <f>IF(AND('Entry list'!$I355=5,'Entry list'!$J355=5),'Entry list'!B355,"")</f>
        <v/>
      </c>
      <c r="C355" t="str">
        <f>IF(AND('Entry list'!$I355=5,'Entry list'!$J355=5),'Entry list'!C355,"")</f>
        <v/>
      </c>
      <c r="D355" t="str">
        <f>IF(AND('Entry list'!$I355=5,'Entry list'!$J355=5),'Entry list'!D355,"")</f>
        <v/>
      </c>
      <c r="E355" t="str">
        <f>IF(AND('Entry list'!$I355=5,'Entry list'!$J355=5),'Entry list'!E355,"")</f>
        <v/>
      </c>
      <c r="F355" t="str">
        <f>IF(AND('Entry list'!$I355=5,'Entry list'!$J355=5),'Entry list'!F355,"")</f>
        <v/>
      </c>
      <c r="G355" t="str">
        <f>IF(AND('Entry list'!$I355=5,'Entry list'!$J355=5),'Entry list'!G355,"")</f>
        <v/>
      </c>
      <c r="H355" t="str">
        <f>IF(AND('Entry list'!$I355=5,'Entry list'!$J355=5),'Entry list'!H355,"")</f>
        <v/>
      </c>
      <c r="I355" t="str">
        <f>IF(AND('Entry list'!$I355=5,'Entry list'!$J355=5),'Entry list'!K355,"")</f>
        <v/>
      </c>
      <c r="J355" t="str">
        <f>IF(AND('Entry list'!$I355=5,'Entry list'!$J355=5),'Entry list'!L355,"")</f>
        <v/>
      </c>
      <c r="K355" t="str">
        <f>IF(AND('Entry list'!$I355=5,'Entry list'!$J355=5),'Entry list'!M355,"")</f>
        <v/>
      </c>
      <c r="L355" t="str">
        <f>IF(AND('Entry list'!$I355=5,'Entry list'!$J355=5),'Entry list'!N355,"")</f>
        <v/>
      </c>
      <c r="M355" t="str">
        <f t="shared" si="15"/>
        <v/>
      </c>
      <c r="N355" t="str">
        <f t="shared" si="16"/>
        <v/>
      </c>
      <c r="O355" t="str">
        <f t="shared" si="17"/>
        <v/>
      </c>
    </row>
    <row r="356" spans="1:15" x14ac:dyDescent="0.25">
      <c r="A356" t="str">
        <f>IF(AND('Entry list'!$I356=5,'Entry list'!$J356=5),'Entry list'!A356,"")</f>
        <v/>
      </c>
      <c r="B356" t="str">
        <f>IF(AND('Entry list'!$I356=5,'Entry list'!$J356=5),'Entry list'!B356,"")</f>
        <v/>
      </c>
      <c r="C356" t="str">
        <f>IF(AND('Entry list'!$I356=5,'Entry list'!$J356=5),'Entry list'!C356,"")</f>
        <v/>
      </c>
      <c r="D356" t="str">
        <f>IF(AND('Entry list'!$I356=5,'Entry list'!$J356=5),'Entry list'!D356,"")</f>
        <v/>
      </c>
      <c r="E356" t="str">
        <f>IF(AND('Entry list'!$I356=5,'Entry list'!$J356=5),'Entry list'!E356,"")</f>
        <v/>
      </c>
      <c r="F356" t="str">
        <f>IF(AND('Entry list'!$I356=5,'Entry list'!$J356=5),'Entry list'!F356,"")</f>
        <v/>
      </c>
      <c r="G356" t="str">
        <f>IF(AND('Entry list'!$I356=5,'Entry list'!$J356=5),'Entry list'!G356,"")</f>
        <v/>
      </c>
      <c r="H356" t="str">
        <f>IF(AND('Entry list'!$I356=5,'Entry list'!$J356=5),'Entry list'!H356,"")</f>
        <v/>
      </c>
      <c r="I356" t="str">
        <f>IF(AND('Entry list'!$I356=5,'Entry list'!$J356=5),'Entry list'!K356,"")</f>
        <v/>
      </c>
      <c r="J356" t="str">
        <f>IF(AND('Entry list'!$I356=5,'Entry list'!$J356=5),'Entry list'!L356,"")</f>
        <v/>
      </c>
      <c r="K356" t="str">
        <f>IF(AND('Entry list'!$I356=5,'Entry list'!$J356=5),'Entry list'!M356,"")</f>
        <v/>
      </c>
      <c r="L356" t="str">
        <f>IF(AND('Entry list'!$I356=5,'Entry list'!$J356=5),'Entry list'!N356,"")</f>
        <v/>
      </c>
      <c r="M356" t="str">
        <f t="shared" si="15"/>
        <v/>
      </c>
      <c r="N356" t="str">
        <f t="shared" si="16"/>
        <v/>
      </c>
      <c r="O356" t="str">
        <f t="shared" si="17"/>
        <v/>
      </c>
    </row>
    <row r="357" spans="1:15" x14ac:dyDescent="0.25">
      <c r="A357">
        <f>IF(AND('Entry list'!$I357=5,'Entry list'!$J357=5),'Entry list'!A357,"")</f>
        <v>3</v>
      </c>
      <c r="B357">
        <f>IF(AND('Entry list'!$I357=5,'Entry list'!$J357=5),'Entry list'!B357,"")</f>
        <v>0.52847222222222223</v>
      </c>
      <c r="C357" t="str">
        <f>IF(AND('Entry list'!$I357=5,'Entry list'!$J357=5),'Entry list'!C357,"")</f>
        <v>D</v>
      </c>
      <c r="D357" t="str">
        <f>IF(AND('Entry list'!$I357=5,'Entry list'!$J357=5),'Entry list'!D357,"")</f>
        <v>29DET</v>
      </c>
      <c r="E357" t="str">
        <f>IF(AND('Entry list'!$I357=5,'Entry list'!$J357=5),'Entry list'!E357,"")</f>
        <v>N</v>
      </c>
      <c r="F357" t="str">
        <f>IF(AND('Entry list'!$I357=5,'Entry list'!$J357=5),'Entry list'!F357,"")</f>
        <v/>
      </c>
      <c r="G357" t="str">
        <f>IF(AND('Entry list'!$I357=5,'Entry list'!$J357=5),'Entry list'!G357,"")</f>
        <v>L</v>
      </c>
      <c r="H357" t="str">
        <f>IF(AND('Entry list'!$I357=5,'Entry list'!$J357=5),'Entry list'!H357,"")</f>
        <v>N</v>
      </c>
      <c r="I357" t="str">
        <f>IF(AND('Entry list'!$I357=5,'Entry list'!$J357=5),'Entry list'!K357,"")</f>
        <v/>
      </c>
      <c r="J357">
        <f>IF(AND('Entry list'!$I357=5,'Entry list'!$J357=5),'Entry list'!L357,"")</f>
        <v>0</v>
      </c>
      <c r="K357">
        <f>IF(AND('Entry list'!$I357=5,'Entry list'!$J357=5),'Entry list'!M357,"")</f>
        <v>0</v>
      </c>
      <c r="L357" t="str">
        <f>IF(AND('Entry list'!$I357=5,'Entry list'!$J357=5),'Entry list'!N357,"")</f>
        <v/>
      </c>
      <c r="M357">
        <f t="shared" si="15"/>
        <v>0</v>
      </c>
      <c r="N357" t="str">
        <f t="shared" si="16"/>
        <v/>
      </c>
      <c r="O357" t="str">
        <f t="shared" si="17"/>
        <v/>
      </c>
    </row>
    <row r="358" spans="1:15" x14ac:dyDescent="0.25">
      <c r="A358">
        <f>IF(AND('Entry list'!$I358=5,'Entry list'!$J358=5),'Entry list'!A358,"")</f>
        <v>3</v>
      </c>
      <c r="B358">
        <f>IF(AND('Entry list'!$I358=5,'Entry list'!$J358=5),'Entry list'!B358,"")</f>
        <v>0.51666666666666672</v>
      </c>
      <c r="C358" t="str">
        <f>IF(AND('Entry list'!$I358=5,'Entry list'!$J358=5),'Entry list'!C358,"")</f>
        <v>C</v>
      </c>
      <c r="D358" t="str">
        <f>IF(AND('Entry list'!$I358=5,'Entry list'!$J358=5),'Entry list'!D358,"")</f>
        <v>40DET</v>
      </c>
      <c r="E358" t="str">
        <f>IF(AND('Entry list'!$I358=5,'Entry list'!$J358=5),'Entry list'!E358,"")</f>
        <v>10NSH</v>
      </c>
      <c r="F358" t="str">
        <f>IF(AND('Entry list'!$I358=5,'Entry list'!$J358=5),'Entry list'!F358,"")</f>
        <v>N</v>
      </c>
      <c r="G358" t="str">
        <f>IF(AND('Entry list'!$I358=5,'Entry list'!$J358=5),'Entry list'!G358,"")</f>
        <v>L</v>
      </c>
      <c r="H358" t="str">
        <f>IF(AND('Entry list'!$I358=5,'Entry list'!$J358=5),'Entry list'!H358,"")</f>
        <v>N</v>
      </c>
      <c r="I358" t="str">
        <f>IF(AND('Entry list'!$I358=5,'Entry list'!$J358=5),'Entry list'!K358,"")</f>
        <v>40DET</v>
      </c>
      <c r="J358">
        <f>IF(AND('Entry list'!$I358=5,'Entry list'!$J358=5),'Entry list'!L358,"")</f>
        <v>0</v>
      </c>
      <c r="K358">
        <f>IF(AND('Entry list'!$I358=5,'Entry list'!$J358=5),'Entry list'!M358,"")</f>
        <v>0</v>
      </c>
      <c r="L358" t="str">
        <f>IF(AND('Entry list'!$I358=5,'Entry list'!$J358=5),'Entry list'!N358,"")</f>
        <v/>
      </c>
      <c r="M358">
        <f t="shared" si="15"/>
        <v>0</v>
      </c>
      <c r="N358">
        <f t="shared" si="16"/>
        <v>0</v>
      </c>
      <c r="O358" t="str">
        <f t="shared" si="17"/>
        <v/>
      </c>
    </row>
    <row r="359" spans="1:15" x14ac:dyDescent="0.25">
      <c r="A359" t="str">
        <f>IF(AND('Entry list'!$I359=5,'Entry list'!$J359=5),'Entry list'!A359,"")</f>
        <v/>
      </c>
      <c r="B359" t="str">
        <f>IF(AND('Entry list'!$I359=5,'Entry list'!$J359=5),'Entry list'!B359,"")</f>
        <v/>
      </c>
      <c r="C359" t="str">
        <f>IF(AND('Entry list'!$I359=5,'Entry list'!$J359=5),'Entry list'!C359,"")</f>
        <v/>
      </c>
      <c r="D359" t="str">
        <f>IF(AND('Entry list'!$I359=5,'Entry list'!$J359=5),'Entry list'!D359,"")</f>
        <v/>
      </c>
      <c r="E359" t="str">
        <f>IF(AND('Entry list'!$I359=5,'Entry list'!$J359=5),'Entry list'!E359,"")</f>
        <v/>
      </c>
      <c r="F359" t="str">
        <f>IF(AND('Entry list'!$I359=5,'Entry list'!$J359=5),'Entry list'!F359,"")</f>
        <v/>
      </c>
      <c r="G359" t="str">
        <f>IF(AND('Entry list'!$I359=5,'Entry list'!$J359=5),'Entry list'!G359,"")</f>
        <v/>
      </c>
      <c r="H359" t="str">
        <f>IF(AND('Entry list'!$I359=5,'Entry list'!$J359=5),'Entry list'!H359,"")</f>
        <v/>
      </c>
      <c r="I359" t="str">
        <f>IF(AND('Entry list'!$I359=5,'Entry list'!$J359=5),'Entry list'!K359,"")</f>
        <v/>
      </c>
      <c r="J359" t="str">
        <f>IF(AND('Entry list'!$I359=5,'Entry list'!$J359=5),'Entry list'!L359,"")</f>
        <v/>
      </c>
      <c r="K359" t="str">
        <f>IF(AND('Entry list'!$I359=5,'Entry list'!$J359=5),'Entry list'!M359,"")</f>
        <v/>
      </c>
      <c r="L359" t="str">
        <f>IF(AND('Entry list'!$I359=5,'Entry list'!$J359=5),'Entry list'!N359,"")</f>
        <v/>
      </c>
      <c r="M359" t="str">
        <f t="shared" si="15"/>
        <v/>
      </c>
      <c r="N359" t="str">
        <f t="shared" si="16"/>
        <v/>
      </c>
      <c r="O359" t="str">
        <f t="shared" si="17"/>
        <v/>
      </c>
    </row>
    <row r="360" spans="1:15" x14ac:dyDescent="0.25">
      <c r="A360">
        <f>IF(AND('Entry list'!$I360=5,'Entry list'!$J360=5),'Entry list'!A360,"")</f>
        <v>3</v>
      </c>
      <c r="B360">
        <f>IF(AND('Entry list'!$I360=5,'Entry list'!$J360=5),'Entry list'!B360,"")</f>
        <v>0.4909722222222222</v>
      </c>
      <c r="C360" t="str">
        <f>IF(AND('Entry list'!$I360=5,'Entry list'!$J360=5),'Entry list'!C360,"")</f>
        <v>D</v>
      </c>
      <c r="D360" t="str">
        <f>IF(AND('Entry list'!$I360=5,'Entry list'!$J360=5),'Entry list'!D360,"")</f>
        <v>18NSH</v>
      </c>
      <c r="E360" t="str">
        <f>IF(AND('Entry list'!$I360=5,'Entry list'!$J360=5),'Entry list'!E360,"")</f>
        <v>N</v>
      </c>
      <c r="F360" t="str">
        <f>IF(AND('Entry list'!$I360=5,'Entry list'!$J360=5),'Entry list'!F360,"")</f>
        <v/>
      </c>
      <c r="G360" t="str">
        <f>IF(AND('Entry list'!$I360=5,'Entry list'!$J360=5),'Entry list'!G360,"")</f>
        <v>R</v>
      </c>
      <c r="H360" t="str">
        <f>IF(AND('Entry list'!$I360=5,'Entry list'!$J360=5),'Entry list'!H360,"")</f>
        <v>N</v>
      </c>
      <c r="I360" t="str">
        <f>IF(AND('Entry list'!$I360=5,'Entry list'!$J360=5),'Entry list'!K360,"")</f>
        <v/>
      </c>
      <c r="J360">
        <f>IF(AND('Entry list'!$I360=5,'Entry list'!$J360=5),'Entry list'!L360,"")</f>
        <v>0</v>
      </c>
      <c r="K360">
        <f>IF(AND('Entry list'!$I360=5,'Entry list'!$J360=5),'Entry list'!M360,"")</f>
        <v>0</v>
      </c>
      <c r="L360" t="str">
        <f>IF(AND('Entry list'!$I360=5,'Entry list'!$J360=5),'Entry list'!N360,"")</f>
        <v/>
      </c>
      <c r="M360">
        <f t="shared" si="15"/>
        <v>0</v>
      </c>
      <c r="N360" t="str">
        <f t="shared" si="16"/>
        <v/>
      </c>
      <c r="O360" t="str">
        <f t="shared" si="17"/>
        <v/>
      </c>
    </row>
    <row r="361" spans="1:15" x14ac:dyDescent="0.25">
      <c r="A361">
        <f>IF(AND('Entry list'!$I361=5,'Entry list'!$J361=5),'Entry list'!A361,"")</f>
        <v>3</v>
      </c>
      <c r="B361">
        <f>IF(AND('Entry list'!$I361=5,'Entry list'!$J361=5),'Entry list'!B361,"")</f>
        <v>0.48194444444444445</v>
      </c>
      <c r="C361" t="str">
        <f>IF(AND('Entry list'!$I361=5,'Entry list'!$J361=5),'Entry list'!C361,"")</f>
        <v>C</v>
      </c>
      <c r="D361" t="str">
        <f>IF(AND('Entry list'!$I361=5,'Entry list'!$J361=5),'Entry list'!D361,"")</f>
        <v>51DET</v>
      </c>
      <c r="E361" t="str">
        <f>IF(AND('Entry list'!$I361=5,'Entry list'!$J361=5),'Entry list'!E361,"")</f>
        <v>76NSH</v>
      </c>
      <c r="F361" t="str">
        <f>IF(AND('Entry list'!$I361=5,'Entry list'!$J361=5),'Entry list'!F361,"")</f>
        <v>Y</v>
      </c>
      <c r="G361" t="str">
        <f>IF(AND('Entry list'!$I361=5,'Entry list'!$J361=5),'Entry list'!G361,"")</f>
        <v>L</v>
      </c>
      <c r="H361" t="str">
        <f>IF(AND('Entry list'!$I361=5,'Entry list'!$J361=5),'Entry list'!H361,"")</f>
        <v>N</v>
      </c>
      <c r="I361" t="str">
        <f>IF(AND('Entry list'!$I361=5,'Entry list'!$J361=5),'Entry list'!K361,"")</f>
        <v>51DET</v>
      </c>
      <c r="J361">
        <f>IF(AND('Entry list'!$I361=5,'Entry list'!$J361=5),'Entry list'!L361,"")</f>
        <v>1</v>
      </c>
      <c r="K361">
        <f>IF(AND('Entry list'!$I361=5,'Entry list'!$J361=5),'Entry list'!M361,"")</f>
        <v>0</v>
      </c>
      <c r="L361" t="str">
        <f>IF(AND('Entry list'!$I361=5,'Entry list'!$J361=5),'Entry list'!N361,"")</f>
        <v/>
      </c>
      <c r="M361">
        <f t="shared" si="15"/>
        <v>0</v>
      </c>
      <c r="N361">
        <f t="shared" si="16"/>
        <v>0</v>
      </c>
      <c r="O361" t="str">
        <f t="shared" si="17"/>
        <v/>
      </c>
    </row>
    <row r="362" spans="1:15" x14ac:dyDescent="0.25">
      <c r="A362" t="str">
        <f>IF(AND('Entry list'!$I362=5,'Entry list'!$J362=5),'Entry list'!A362,"")</f>
        <v/>
      </c>
      <c r="B362" t="str">
        <f>IF(AND('Entry list'!$I362=5,'Entry list'!$J362=5),'Entry list'!B362,"")</f>
        <v/>
      </c>
      <c r="C362" t="str">
        <f>IF(AND('Entry list'!$I362=5,'Entry list'!$J362=5),'Entry list'!C362,"")</f>
        <v/>
      </c>
      <c r="D362" t="str">
        <f>IF(AND('Entry list'!$I362=5,'Entry list'!$J362=5),'Entry list'!D362,"")</f>
        <v/>
      </c>
      <c r="E362" t="str">
        <f>IF(AND('Entry list'!$I362=5,'Entry list'!$J362=5),'Entry list'!E362,"")</f>
        <v/>
      </c>
      <c r="F362" t="str">
        <f>IF(AND('Entry list'!$I362=5,'Entry list'!$J362=5),'Entry list'!F362,"")</f>
        <v/>
      </c>
      <c r="G362" t="str">
        <f>IF(AND('Entry list'!$I362=5,'Entry list'!$J362=5),'Entry list'!G362,"")</f>
        <v/>
      </c>
      <c r="H362" t="str">
        <f>IF(AND('Entry list'!$I362=5,'Entry list'!$J362=5),'Entry list'!H362,"")</f>
        <v/>
      </c>
      <c r="I362" t="str">
        <f>IF(AND('Entry list'!$I362=5,'Entry list'!$J362=5),'Entry list'!K362,"")</f>
        <v/>
      </c>
      <c r="J362" t="str">
        <f>IF(AND('Entry list'!$I362=5,'Entry list'!$J362=5),'Entry list'!L362,"")</f>
        <v/>
      </c>
      <c r="K362" t="str">
        <f>IF(AND('Entry list'!$I362=5,'Entry list'!$J362=5),'Entry list'!M362,"")</f>
        <v/>
      </c>
      <c r="L362" t="str">
        <f>IF(AND('Entry list'!$I362=5,'Entry list'!$J362=5),'Entry list'!N362,"")</f>
        <v/>
      </c>
      <c r="M362" t="str">
        <f t="shared" si="15"/>
        <v/>
      </c>
      <c r="N362" t="str">
        <f t="shared" si="16"/>
        <v/>
      </c>
      <c r="O362" t="str">
        <f t="shared" si="17"/>
        <v/>
      </c>
    </row>
    <row r="363" spans="1:15" x14ac:dyDescent="0.25">
      <c r="A363">
        <f>IF(AND('Entry list'!$I363=5,'Entry list'!$J363=5),'Entry list'!A363,"")</f>
        <v>3</v>
      </c>
      <c r="B363">
        <f>IF(AND('Entry list'!$I363=5,'Entry list'!$J363=5),'Entry list'!B363,"")</f>
        <v>0.47222222222222227</v>
      </c>
      <c r="C363" t="str">
        <f>IF(AND('Entry list'!$I363=5,'Entry list'!$J363=5),'Entry list'!C363,"")</f>
        <v>C</v>
      </c>
      <c r="D363" t="str">
        <f>IF(AND('Entry list'!$I363=5,'Entry list'!$J363=5),'Entry list'!D363,"")</f>
        <v>14DET</v>
      </c>
      <c r="E363" t="str">
        <f>IF(AND('Entry list'!$I363=5,'Entry list'!$J363=5),'Entry list'!E363,"")</f>
        <v>25NSH</v>
      </c>
      <c r="F363" t="str">
        <f>IF(AND('Entry list'!$I363=5,'Entry list'!$J363=5),'Entry list'!F363,"")</f>
        <v>N</v>
      </c>
      <c r="G363" t="str">
        <f>IF(AND('Entry list'!$I363=5,'Entry list'!$J363=5),'Entry list'!G363,"")</f>
        <v>C</v>
      </c>
      <c r="H363" t="str">
        <f>IF(AND('Entry list'!$I363=5,'Entry list'!$J363=5),'Entry list'!H363,"")</f>
        <v>N</v>
      </c>
      <c r="I363" t="str">
        <f>IF(AND('Entry list'!$I363=5,'Entry list'!$J363=5),'Entry list'!K363,"")</f>
        <v>14DET</v>
      </c>
      <c r="J363">
        <f>IF(AND('Entry list'!$I363=5,'Entry list'!$J363=5),'Entry list'!L363,"")</f>
        <v>1</v>
      </c>
      <c r="K363">
        <f>IF(AND('Entry list'!$I363=5,'Entry list'!$J363=5),'Entry list'!M363,"")</f>
        <v>0</v>
      </c>
      <c r="L363" t="str">
        <f>IF(AND('Entry list'!$I363=5,'Entry list'!$J363=5),'Entry list'!N363,"")</f>
        <v/>
      </c>
      <c r="M363">
        <f t="shared" si="15"/>
        <v>0</v>
      </c>
      <c r="N363">
        <f t="shared" si="16"/>
        <v>0</v>
      </c>
      <c r="O363" t="str">
        <f t="shared" si="17"/>
        <v/>
      </c>
    </row>
    <row r="364" spans="1:15" x14ac:dyDescent="0.25">
      <c r="A364" t="str">
        <f>IF(AND('Entry list'!$I364=5,'Entry list'!$J364=5),'Entry list'!A364,"")</f>
        <v/>
      </c>
      <c r="B364" t="str">
        <f>IF(AND('Entry list'!$I364=5,'Entry list'!$J364=5),'Entry list'!B364,"")</f>
        <v/>
      </c>
      <c r="C364" t="str">
        <f>IF(AND('Entry list'!$I364=5,'Entry list'!$J364=5),'Entry list'!C364,"")</f>
        <v/>
      </c>
      <c r="D364" t="str">
        <f>IF(AND('Entry list'!$I364=5,'Entry list'!$J364=5),'Entry list'!D364,"")</f>
        <v/>
      </c>
      <c r="E364" t="str">
        <f>IF(AND('Entry list'!$I364=5,'Entry list'!$J364=5),'Entry list'!E364,"")</f>
        <v/>
      </c>
      <c r="F364" t="str">
        <f>IF(AND('Entry list'!$I364=5,'Entry list'!$J364=5),'Entry list'!F364,"")</f>
        <v/>
      </c>
      <c r="G364" t="str">
        <f>IF(AND('Entry list'!$I364=5,'Entry list'!$J364=5),'Entry list'!G364,"")</f>
        <v/>
      </c>
      <c r="H364" t="str">
        <f>IF(AND('Entry list'!$I364=5,'Entry list'!$J364=5),'Entry list'!H364,"")</f>
        <v/>
      </c>
      <c r="I364" t="str">
        <f>IF(AND('Entry list'!$I364=5,'Entry list'!$J364=5),'Entry list'!K364,"")</f>
        <v/>
      </c>
      <c r="J364" t="str">
        <f>IF(AND('Entry list'!$I364=5,'Entry list'!$J364=5),'Entry list'!L364,"")</f>
        <v/>
      </c>
      <c r="K364" t="str">
        <f>IF(AND('Entry list'!$I364=5,'Entry list'!$J364=5),'Entry list'!M364,"")</f>
        <v/>
      </c>
      <c r="L364" t="str">
        <f>IF(AND('Entry list'!$I364=5,'Entry list'!$J364=5),'Entry list'!N364,"")</f>
        <v/>
      </c>
      <c r="M364" t="str">
        <f t="shared" si="15"/>
        <v/>
      </c>
      <c r="N364" t="str">
        <f t="shared" si="16"/>
        <v/>
      </c>
      <c r="O364" t="str">
        <f t="shared" si="17"/>
        <v/>
      </c>
    </row>
    <row r="365" spans="1:15" x14ac:dyDescent="0.25">
      <c r="A365">
        <f>IF(AND('Entry list'!$I365=5,'Entry list'!$J365=5),'Entry list'!A365,"")</f>
        <v>3</v>
      </c>
      <c r="B365">
        <f>IF(AND('Entry list'!$I365=5,'Entry list'!$J365=5),'Entry list'!B365,"")</f>
        <v>0.46666666666666662</v>
      </c>
      <c r="C365" t="str">
        <f>IF(AND('Entry list'!$I365=5,'Entry list'!$J365=5),'Entry list'!C365,"")</f>
        <v>C</v>
      </c>
      <c r="D365" t="str">
        <f>IF(AND('Entry list'!$I365=5,'Entry list'!$J365=5),'Entry list'!D365,"")</f>
        <v>2DET</v>
      </c>
      <c r="E365" t="str">
        <f>IF(AND('Entry list'!$I365=5,'Entry list'!$J365=5),'Entry list'!E365,"")</f>
        <v>76NSH</v>
      </c>
      <c r="F365" t="str">
        <f>IF(AND('Entry list'!$I365=5,'Entry list'!$J365=5),'Entry list'!F365,"")</f>
        <v>N</v>
      </c>
      <c r="G365" t="str">
        <f>IF(AND('Entry list'!$I365=5,'Entry list'!$J365=5),'Entry list'!G365,"")</f>
        <v>L</v>
      </c>
      <c r="H365" t="str">
        <f>IF(AND('Entry list'!$I365=5,'Entry list'!$J365=5),'Entry list'!H365,"")</f>
        <v>N</v>
      </c>
      <c r="I365" t="str">
        <f>IF(AND('Entry list'!$I365=5,'Entry list'!$J365=5),'Entry list'!K365,"")</f>
        <v>2DET</v>
      </c>
      <c r="J365">
        <f>IF(AND('Entry list'!$I365=5,'Entry list'!$J365=5),'Entry list'!L365,"")</f>
        <v>1</v>
      </c>
      <c r="K365">
        <f>IF(AND('Entry list'!$I365=5,'Entry list'!$J365=5),'Entry list'!M365,"")</f>
        <v>0</v>
      </c>
      <c r="L365" t="str">
        <f>IF(AND('Entry list'!$I365=5,'Entry list'!$J365=5),'Entry list'!N365,"")</f>
        <v/>
      </c>
      <c r="M365">
        <f t="shared" si="15"/>
        <v>0</v>
      </c>
      <c r="N365">
        <f t="shared" si="16"/>
        <v>0</v>
      </c>
      <c r="O365" t="str">
        <f t="shared" si="17"/>
        <v/>
      </c>
    </row>
    <row r="366" spans="1:15" x14ac:dyDescent="0.25">
      <c r="A366" t="str">
        <f>IF(AND('Entry list'!$I366=5,'Entry list'!$J366=5),'Entry list'!A366,"")</f>
        <v/>
      </c>
      <c r="B366" t="str">
        <f>IF(AND('Entry list'!$I366=5,'Entry list'!$J366=5),'Entry list'!B366,"")</f>
        <v/>
      </c>
      <c r="C366" t="str">
        <f>IF(AND('Entry list'!$I366=5,'Entry list'!$J366=5),'Entry list'!C366,"")</f>
        <v/>
      </c>
      <c r="D366" t="str">
        <f>IF(AND('Entry list'!$I366=5,'Entry list'!$J366=5),'Entry list'!D366,"")</f>
        <v/>
      </c>
      <c r="E366" t="str">
        <f>IF(AND('Entry list'!$I366=5,'Entry list'!$J366=5),'Entry list'!E366,"")</f>
        <v/>
      </c>
      <c r="F366" t="str">
        <f>IF(AND('Entry list'!$I366=5,'Entry list'!$J366=5),'Entry list'!F366,"")</f>
        <v/>
      </c>
      <c r="G366" t="str">
        <f>IF(AND('Entry list'!$I366=5,'Entry list'!$J366=5),'Entry list'!G366,"")</f>
        <v/>
      </c>
      <c r="H366" t="str">
        <f>IF(AND('Entry list'!$I366=5,'Entry list'!$J366=5),'Entry list'!H366,"")</f>
        <v/>
      </c>
      <c r="I366" t="str">
        <f>IF(AND('Entry list'!$I366=5,'Entry list'!$J366=5),'Entry list'!K366,"")</f>
        <v/>
      </c>
      <c r="J366" t="str">
        <f>IF(AND('Entry list'!$I366=5,'Entry list'!$J366=5),'Entry list'!L366,"")</f>
        <v/>
      </c>
      <c r="K366" t="str">
        <f>IF(AND('Entry list'!$I366=5,'Entry list'!$J366=5),'Entry list'!M366,"")</f>
        <v/>
      </c>
      <c r="L366" t="str">
        <f>IF(AND('Entry list'!$I366=5,'Entry list'!$J366=5),'Entry list'!N366,"")</f>
        <v/>
      </c>
      <c r="M366" t="str">
        <f t="shared" si="15"/>
        <v/>
      </c>
      <c r="N366" t="str">
        <f t="shared" si="16"/>
        <v/>
      </c>
      <c r="O366" t="str">
        <f t="shared" si="17"/>
        <v/>
      </c>
    </row>
    <row r="367" spans="1:15" x14ac:dyDescent="0.25">
      <c r="A367">
        <f>IF(AND('Entry list'!$I367=5,'Entry list'!$J367=5),'Entry list'!A367,"")</f>
        <v>3</v>
      </c>
      <c r="B367">
        <f>IF(AND('Entry list'!$I367=5,'Entry list'!$J367=5),'Entry list'!B367,"")</f>
        <v>0.45833333333333331</v>
      </c>
      <c r="C367" t="str">
        <f>IF(AND('Entry list'!$I367=5,'Entry list'!$J367=5),'Entry list'!C367,"")</f>
        <v>C</v>
      </c>
      <c r="D367" t="str">
        <f>IF(AND('Entry list'!$I367=5,'Entry list'!$J367=5),'Entry list'!D367,"")</f>
        <v>10NSH</v>
      </c>
      <c r="E367" t="str">
        <f>IF(AND('Entry list'!$I367=5,'Entry list'!$J367=5),'Entry list'!E367,"")</f>
        <v>2DET</v>
      </c>
      <c r="F367" t="str">
        <f>IF(AND('Entry list'!$I367=5,'Entry list'!$J367=5),'Entry list'!F367,"")</f>
        <v>N</v>
      </c>
      <c r="G367" t="str">
        <f>IF(AND('Entry list'!$I367=5,'Entry list'!$J367=5),'Entry list'!G367,"")</f>
        <v>R</v>
      </c>
      <c r="H367" t="str">
        <f>IF(AND('Entry list'!$I367=5,'Entry list'!$J367=5),'Entry list'!H367,"")</f>
        <v>N</v>
      </c>
      <c r="I367" t="str">
        <f>IF(AND('Entry list'!$I367=5,'Entry list'!$J367=5),'Entry list'!K367,"")</f>
        <v>10NSH</v>
      </c>
      <c r="J367">
        <f>IF(AND('Entry list'!$I367=5,'Entry list'!$J367=5),'Entry list'!L367,"")</f>
        <v>0</v>
      </c>
      <c r="K367">
        <f>IF(AND('Entry list'!$I367=5,'Entry list'!$J367=5),'Entry list'!M367,"")</f>
        <v>0</v>
      </c>
      <c r="L367" t="str">
        <f>IF(AND('Entry list'!$I367=5,'Entry list'!$J367=5),'Entry list'!N367,"")</f>
        <v/>
      </c>
      <c r="M367">
        <f t="shared" si="15"/>
        <v>0</v>
      </c>
      <c r="N367">
        <f t="shared" si="16"/>
        <v>0</v>
      </c>
      <c r="O367" t="str">
        <f t="shared" si="17"/>
        <v/>
      </c>
    </row>
    <row r="368" spans="1:15" x14ac:dyDescent="0.25">
      <c r="A368" t="str">
        <f>IF(AND('Entry list'!$I368=5,'Entry list'!$J368=5),'Entry list'!A368,"")</f>
        <v/>
      </c>
      <c r="B368" t="str">
        <f>IF(AND('Entry list'!$I368=5,'Entry list'!$J368=5),'Entry list'!B368,"")</f>
        <v/>
      </c>
      <c r="C368" t="str">
        <f>IF(AND('Entry list'!$I368=5,'Entry list'!$J368=5),'Entry list'!C368,"")</f>
        <v/>
      </c>
      <c r="D368" t="str">
        <f>IF(AND('Entry list'!$I368=5,'Entry list'!$J368=5),'Entry list'!D368,"")</f>
        <v/>
      </c>
      <c r="E368" t="str">
        <f>IF(AND('Entry list'!$I368=5,'Entry list'!$J368=5),'Entry list'!E368,"")</f>
        <v/>
      </c>
      <c r="F368" t="str">
        <f>IF(AND('Entry list'!$I368=5,'Entry list'!$J368=5),'Entry list'!F368,"")</f>
        <v/>
      </c>
      <c r="G368" t="str">
        <f>IF(AND('Entry list'!$I368=5,'Entry list'!$J368=5),'Entry list'!G368,"")</f>
        <v/>
      </c>
      <c r="H368" t="str">
        <f>IF(AND('Entry list'!$I368=5,'Entry list'!$J368=5),'Entry list'!H368,"")</f>
        <v/>
      </c>
      <c r="I368" t="str">
        <f>IF(AND('Entry list'!$I368=5,'Entry list'!$J368=5),'Entry list'!K368,"")</f>
        <v/>
      </c>
      <c r="J368" t="str">
        <f>IF(AND('Entry list'!$I368=5,'Entry list'!$J368=5),'Entry list'!L368,"")</f>
        <v/>
      </c>
      <c r="K368" t="str">
        <f>IF(AND('Entry list'!$I368=5,'Entry list'!$J368=5),'Entry list'!M368,"")</f>
        <v/>
      </c>
      <c r="L368" t="str">
        <f>IF(AND('Entry list'!$I368=5,'Entry list'!$J368=5),'Entry list'!N368,"")</f>
        <v/>
      </c>
      <c r="M368" t="str">
        <f t="shared" si="15"/>
        <v/>
      </c>
      <c r="N368" t="str">
        <f t="shared" si="16"/>
        <v/>
      </c>
      <c r="O368" t="str">
        <f t="shared" si="17"/>
        <v/>
      </c>
    </row>
    <row r="369" spans="1:15" x14ac:dyDescent="0.25">
      <c r="A369">
        <f>IF(AND('Entry list'!$I369=5,'Entry list'!$J369=5),'Entry list'!A369,"")</f>
        <v>3</v>
      </c>
      <c r="B369">
        <f>IF(AND('Entry list'!$I369=5,'Entry list'!$J369=5),'Entry list'!B369,"")</f>
        <v>0.45624999999999999</v>
      </c>
      <c r="C369" t="str">
        <f>IF(AND('Entry list'!$I369=5,'Entry list'!$J369=5),'Entry list'!C369,"")</f>
        <v>FAC</v>
      </c>
      <c r="D369" t="str">
        <f>IF(AND('Entry list'!$I369=5,'Entry list'!$J369=5),'Entry list'!D369,"")</f>
        <v>DZF</v>
      </c>
      <c r="E369" t="str">
        <f>IF(AND('Entry list'!$I369=5,'Entry list'!$J369=5),'Entry list'!E369,"")</f>
        <v/>
      </c>
      <c r="F369" t="str">
        <f>IF(AND('Entry list'!$I369=5,'Entry list'!$J369=5),'Entry list'!F369,"")</f>
        <v/>
      </c>
      <c r="G369" t="str">
        <f>IF(AND('Entry list'!$I369=5,'Entry list'!$J369=5),'Entry list'!G369,"")</f>
        <v/>
      </c>
      <c r="H369" t="str">
        <f>IF(AND('Entry list'!$I369=5,'Entry list'!$J369=5),'Entry list'!H369,"")</f>
        <v/>
      </c>
      <c r="I369" t="str">
        <f>IF(AND('Entry list'!$I369=5,'Entry list'!$J369=5),'Entry list'!K369,"")</f>
        <v/>
      </c>
      <c r="J369">
        <f>IF(AND('Entry list'!$I369=5,'Entry list'!$J369=5),'Entry list'!L369,"")</f>
        <v>0</v>
      </c>
      <c r="K369">
        <f>IF(AND('Entry list'!$I369=5,'Entry list'!$J369=5),'Entry list'!M369,"")</f>
        <v>0</v>
      </c>
      <c r="L369" t="str">
        <f>IF(AND('Entry list'!$I369=5,'Entry list'!$J369=5),'Entry list'!N369,"")</f>
        <v/>
      </c>
      <c r="M369">
        <f t="shared" si="15"/>
        <v>0</v>
      </c>
      <c r="N369" t="str">
        <f t="shared" si="16"/>
        <v/>
      </c>
      <c r="O369" t="str">
        <f t="shared" si="17"/>
        <v/>
      </c>
    </row>
    <row r="370" spans="1:15" x14ac:dyDescent="0.25">
      <c r="A370" t="str">
        <f>IF(AND('Entry list'!$I370=5,'Entry list'!$J370=5),'Entry list'!A370,"")</f>
        <v/>
      </c>
      <c r="B370" t="str">
        <f>IF(AND('Entry list'!$I370=5,'Entry list'!$J370=5),'Entry list'!B370,"")</f>
        <v/>
      </c>
      <c r="C370" t="str">
        <f>IF(AND('Entry list'!$I370=5,'Entry list'!$J370=5),'Entry list'!C370,"")</f>
        <v/>
      </c>
      <c r="D370" t="str">
        <f>IF(AND('Entry list'!$I370=5,'Entry list'!$J370=5),'Entry list'!D370,"")</f>
        <v/>
      </c>
      <c r="E370" t="str">
        <f>IF(AND('Entry list'!$I370=5,'Entry list'!$J370=5),'Entry list'!E370,"")</f>
        <v/>
      </c>
      <c r="F370" t="str">
        <f>IF(AND('Entry list'!$I370=5,'Entry list'!$J370=5),'Entry list'!F370,"")</f>
        <v/>
      </c>
      <c r="G370" t="str">
        <f>IF(AND('Entry list'!$I370=5,'Entry list'!$J370=5),'Entry list'!G370,"")</f>
        <v/>
      </c>
      <c r="H370" t="str">
        <f>IF(AND('Entry list'!$I370=5,'Entry list'!$J370=5),'Entry list'!H370,"")</f>
        <v/>
      </c>
      <c r="I370" t="str">
        <f>IF(AND('Entry list'!$I370=5,'Entry list'!$J370=5),'Entry list'!K370,"")</f>
        <v/>
      </c>
      <c r="J370" t="str">
        <f>IF(AND('Entry list'!$I370=5,'Entry list'!$J370=5),'Entry list'!L370,"")</f>
        <v/>
      </c>
      <c r="K370" t="str">
        <f>IF(AND('Entry list'!$I370=5,'Entry list'!$J370=5),'Entry list'!M370,"")</f>
        <v/>
      </c>
      <c r="L370" t="str">
        <f>IF(AND('Entry list'!$I370=5,'Entry list'!$J370=5),'Entry list'!N370,"")</f>
        <v/>
      </c>
      <c r="M370" t="str">
        <f t="shared" si="15"/>
        <v/>
      </c>
      <c r="N370" t="str">
        <f t="shared" si="16"/>
        <v/>
      </c>
      <c r="O370" t="str">
        <f t="shared" si="17"/>
        <v/>
      </c>
    </row>
    <row r="371" spans="1:15" x14ac:dyDescent="0.25">
      <c r="A371" t="str">
        <f>IF(AND('Entry list'!$I371=5,'Entry list'!$J371=5),'Entry list'!A371,"")</f>
        <v/>
      </c>
      <c r="B371" t="str">
        <f>IF(AND('Entry list'!$I371=5,'Entry list'!$J371=5),'Entry list'!B371,"")</f>
        <v/>
      </c>
      <c r="C371" t="str">
        <f>IF(AND('Entry list'!$I371=5,'Entry list'!$J371=5),'Entry list'!C371,"")</f>
        <v/>
      </c>
      <c r="D371" t="str">
        <f>IF(AND('Entry list'!$I371=5,'Entry list'!$J371=5),'Entry list'!D371,"")</f>
        <v/>
      </c>
      <c r="E371" t="str">
        <f>IF(AND('Entry list'!$I371=5,'Entry list'!$J371=5),'Entry list'!E371,"")</f>
        <v/>
      </c>
      <c r="F371" t="str">
        <f>IF(AND('Entry list'!$I371=5,'Entry list'!$J371=5),'Entry list'!F371,"")</f>
        <v/>
      </c>
      <c r="G371" t="str">
        <f>IF(AND('Entry list'!$I371=5,'Entry list'!$J371=5),'Entry list'!G371,"")</f>
        <v/>
      </c>
      <c r="H371" t="str">
        <f>IF(AND('Entry list'!$I371=5,'Entry list'!$J371=5),'Entry list'!H371,"")</f>
        <v/>
      </c>
      <c r="I371" t="str">
        <f>IF(AND('Entry list'!$I371=5,'Entry list'!$J371=5),'Entry list'!K371,"")</f>
        <v/>
      </c>
      <c r="J371" t="str">
        <f>IF(AND('Entry list'!$I371=5,'Entry list'!$J371=5),'Entry list'!L371,"")</f>
        <v/>
      </c>
      <c r="K371" t="str">
        <f>IF(AND('Entry list'!$I371=5,'Entry list'!$J371=5),'Entry list'!M371,"")</f>
        <v/>
      </c>
      <c r="L371" t="str">
        <f>IF(AND('Entry list'!$I371=5,'Entry list'!$J371=5),'Entry list'!N371,"")</f>
        <v/>
      </c>
      <c r="M371" t="str">
        <f t="shared" si="15"/>
        <v/>
      </c>
      <c r="N371" t="str">
        <f t="shared" si="16"/>
        <v/>
      </c>
      <c r="O371" t="str">
        <f t="shared" si="17"/>
        <v/>
      </c>
    </row>
    <row r="372" spans="1:15" x14ac:dyDescent="0.25">
      <c r="A372" t="str">
        <f>IF(AND('Entry list'!$I372=5,'Entry list'!$J372=5),'Entry list'!A372,"")</f>
        <v/>
      </c>
      <c r="B372" t="str">
        <f>IF(AND('Entry list'!$I372=5,'Entry list'!$J372=5),'Entry list'!B372,"")</f>
        <v/>
      </c>
      <c r="C372" t="str">
        <f>IF(AND('Entry list'!$I372=5,'Entry list'!$J372=5),'Entry list'!C372,"")</f>
        <v/>
      </c>
      <c r="D372" t="str">
        <f>IF(AND('Entry list'!$I372=5,'Entry list'!$J372=5),'Entry list'!D372,"")</f>
        <v/>
      </c>
      <c r="E372" t="str">
        <f>IF(AND('Entry list'!$I372=5,'Entry list'!$J372=5),'Entry list'!E372,"")</f>
        <v/>
      </c>
      <c r="F372" t="str">
        <f>IF(AND('Entry list'!$I372=5,'Entry list'!$J372=5),'Entry list'!F372,"")</f>
        <v/>
      </c>
      <c r="G372" t="str">
        <f>IF(AND('Entry list'!$I372=5,'Entry list'!$J372=5),'Entry list'!G372,"")</f>
        <v/>
      </c>
      <c r="H372" t="str">
        <f>IF(AND('Entry list'!$I372=5,'Entry list'!$J372=5),'Entry list'!H372,"")</f>
        <v/>
      </c>
      <c r="I372" t="str">
        <f>IF(AND('Entry list'!$I372=5,'Entry list'!$J372=5),'Entry list'!K372,"")</f>
        <v/>
      </c>
      <c r="J372" t="str">
        <f>IF(AND('Entry list'!$I372=5,'Entry list'!$J372=5),'Entry list'!L372,"")</f>
        <v/>
      </c>
      <c r="K372" t="str">
        <f>IF(AND('Entry list'!$I372=5,'Entry list'!$J372=5),'Entry list'!M372,"")</f>
        <v/>
      </c>
      <c r="L372" t="str">
        <f>IF(AND('Entry list'!$I372=5,'Entry list'!$J372=5),'Entry list'!N372,"")</f>
        <v/>
      </c>
      <c r="M372" t="str">
        <f t="shared" si="15"/>
        <v/>
      </c>
      <c r="N372" t="str">
        <f t="shared" si="16"/>
        <v/>
      </c>
      <c r="O372" t="str">
        <f t="shared" si="17"/>
        <v/>
      </c>
    </row>
    <row r="373" spans="1:15" x14ac:dyDescent="0.25">
      <c r="A373">
        <f>IF(AND('Entry list'!$I373=5,'Entry list'!$J373=5),'Entry list'!A373,"")</f>
        <v>3</v>
      </c>
      <c r="B373">
        <f>IF(AND('Entry list'!$I373=5,'Entry list'!$J373=5),'Entry list'!B373,"")</f>
        <v>0.44791666666666669</v>
      </c>
      <c r="C373" t="str">
        <f>IF(AND('Entry list'!$I373=5,'Entry list'!$J373=5),'Entry list'!C373,"")</f>
        <v>D</v>
      </c>
      <c r="D373" t="str">
        <f>IF(AND('Entry list'!$I373=5,'Entry list'!$J373=5),'Entry list'!D373,"")</f>
        <v>76NSH</v>
      </c>
      <c r="E373" t="str">
        <f>IF(AND('Entry list'!$I373=5,'Entry list'!$J373=5),'Entry list'!E373,"")</f>
        <v>N</v>
      </c>
      <c r="F373" t="str">
        <f>IF(AND('Entry list'!$I373=5,'Entry list'!$J373=5),'Entry list'!F373,"")</f>
        <v/>
      </c>
      <c r="G373" t="str">
        <f>IF(AND('Entry list'!$I373=5,'Entry list'!$J373=5),'Entry list'!G373,"")</f>
        <v>R</v>
      </c>
      <c r="H373" t="str">
        <f>IF(AND('Entry list'!$I373=5,'Entry list'!$J373=5),'Entry list'!H373,"")</f>
        <v>18NSH</v>
      </c>
      <c r="I373" t="str">
        <f>IF(AND('Entry list'!$I373=5,'Entry list'!$J373=5),'Entry list'!K373,"")</f>
        <v/>
      </c>
      <c r="J373">
        <f>IF(AND('Entry list'!$I373=5,'Entry list'!$J373=5),'Entry list'!L373,"")</f>
        <v>1</v>
      </c>
      <c r="K373">
        <f>IF(AND('Entry list'!$I373=5,'Entry list'!$J373=5),'Entry list'!M373,"")</f>
        <v>0</v>
      </c>
      <c r="L373" t="str">
        <f>IF(AND('Entry list'!$I373=5,'Entry list'!$J373=5),'Entry list'!N373,"")</f>
        <v/>
      </c>
      <c r="M373">
        <f t="shared" si="15"/>
        <v>0</v>
      </c>
      <c r="N373" t="str">
        <f t="shared" si="16"/>
        <v/>
      </c>
      <c r="O373" t="str">
        <f t="shared" si="17"/>
        <v/>
      </c>
    </row>
    <row r="374" spans="1:15" x14ac:dyDescent="0.25">
      <c r="A374" t="str">
        <f>IF(AND('Entry list'!$I374=5,'Entry list'!$J374=5),'Entry list'!A374,"")</f>
        <v/>
      </c>
      <c r="B374" t="str">
        <f>IF(AND('Entry list'!$I374=5,'Entry list'!$J374=5),'Entry list'!B374,"")</f>
        <v/>
      </c>
      <c r="C374" t="str">
        <f>IF(AND('Entry list'!$I374=5,'Entry list'!$J374=5),'Entry list'!C374,"")</f>
        <v/>
      </c>
      <c r="D374" t="str">
        <f>IF(AND('Entry list'!$I374=5,'Entry list'!$J374=5),'Entry list'!D374,"")</f>
        <v/>
      </c>
      <c r="E374" t="str">
        <f>IF(AND('Entry list'!$I374=5,'Entry list'!$J374=5),'Entry list'!E374,"")</f>
        <v/>
      </c>
      <c r="F374" t="str">
        <f>IF(AND('Entry list'!$I374=5,'Entry list'!$J374=5),'Entry list'!F374,"")</f>
        <v/>
      </c>
      <c r="G374" t="str">
        <f>IF(AND('Entry list'!$I374=5,'Entry list'!$J374=5),'Entry list'!G374,"")</f>
        <v/>
      </c>
      <c r="H374" t="str">
        <f>IF(AND('Entry list'!$I374=5,'Entry list'!$J374=5),'Entry list'!H374,"")</f>
        <v/>
      </c>
      <c r="I374" t="str">
        <f>IF(AND('Entry list'!$I374=5,'Entry list'!$J374=5),'Entry list'!K374,"")</f>
        <v/>
      </c>
      <c r="J374" t="str">
        <f>IF(AND('Entry list'!$I374=5,'Entry list'!$J374=5),'Entry list'!L374,"")</f>
        <v/>
      </c>
      <c r="K374" t="str">
        <f>IF(AND('Entry list'!$I374=5,'Entry list'!$J374=5),'Entry list'!M374,"")</f>
        <v/>
      </c>
      <c r="L374" t="str">
        <f>IF(AND('Entry list'!$I374=5,'Entry list'!$J374=5),'Entry list'!N374,"")</f>
        <v/>
      </c>
      <c r="M374" t="str">
        <f t="shared" si="15"/>
        <v/>
      </c>
      <c r="N374" t="str">
        <f t="shared" si="16"/>
        <v/>
      </c>
      <c r="O374" t="str">
        <f t="shared" si="17"/>
        <v/>
      </c>
    </row>
    <row r="375" spans="1:15" x14ac:dyDescent="0.25">
      <c r="A375" t="str">
        <f>IF(AND('Entry list'!$I375=5,'Entry list'!$J375=5),'Entry list'!A375,"")</f>
        <v/>
      </c>
      <c r="B375" t="str">
        <f>IF(AND('Entry list'!$I375=5,'Entry list'!$J375=5),'Entry list'!B375,"")</f>
        <v/>
      </c>
      <c r="C375" t="str">
        <f>IF(AND('Entry list'!$I375=5,'Entry list'!$J375=5),'Entry list'!C375,"")</f>
        <v/>
      </c>
      <c r="D375" t="str">
        <f>IF(AND('Entry list'!$I375=5,'Entry list'!$J375=5),'Entry list'!D375,"")</f>
        <v/>
      </c>
      <c r="E375" t="str">
        <f>IF(AND('Entry list'!$I375=5,'Entry list'!$J375=5),'Entry list'!E375,"")</f>
        <v/>
      </c>
      <c r="F375" t="str">
        <f>IF(AND('Entry list'!$I375=5,'Entry list'!$J375=5),'Entry list'!F375,"")</f>
        <v/>
      </c>
      <c r="G375" t="str">
        <f>IF(AND('Entry list'!$I375=5,'Entry list'!$J375=5),'Entry list'!G375,"")</f>
        <v/>
      </c>
      <c r="H375" t="str">
        <f>IF(AND('Entry list'!$I375=5,'Entry list'!$J375=5),'Entry list'!H375,"")</f>
        <v/>
      </c>
      <c r="I375" t="str">
        <f>IF(AND('Entry list'!$I375=5,'Entry list'!$J375=5),'Entry list'!K375,"")</f>
        <v/>
      </c>
      <c r="J375" t="str">
        <f>IF(AND('Entry list'!$I375=5,'Entry list'!$J375=5),'Entry list'!L375,"")</f>
        <v/>
      </c>
      <c r="K375" t="str">
        <f>IF(AND('Entry list'!$I375=5,'Entry list'!$J375=5),'Entry list'!M375,"")</f>
        <v/>
      </c>
      <c r="L375" t="str">
        <f>IF(AND('Entry list'!$I375=5,'Entry list'!$J375=5),'Entry list'!N375,"")</f>
        <v/>
      </c>
      <c r="M375" t="str">
        <f t="shared" si="15"/>
        <v/>
      </c>
      <c r="N375" t="str">
        <f t="shared" si="16"/>
        <v/>
      </c>
      <c r="O375" t="str">
        <f t="shared" si="17"/>
        <v/>
      </c>
    </row>
    <row r="376" spans="1:15" x14ac:dyDescent="0.25">
      <c r="A376">
        <f>IF(AND('Entry list'!$I376=5,'Entry list'!$J376=5),'Entry list'!A376,"")</f>
        <v>3</v>
      </c>
      <c r="B376">
        <f>IF(AND('Entry list'!$I376=5,'Entry list'!$J376=5),'Entry list'!B376,"")</f>
        <v>0.42291666666666666</v>
      </c>
      <c r="C376" t="str">
        <f>IF(AND('Entry list'!$I376=5,'Entry list'!$J376=5),'Entry list'!C376,"")</f>
        <v>C</v>
      </c>
      <c r="D376" t="str">
        <f>IF(AND('Entry list'!$I376=5,'Entry list'!$J376=5),'Entry list'!D376,"")</f>
        <v>38NSH</v>
      </c>
      <c r="E376" t="str">
        <f>IF(AND('Entry list'!$I376=5,'Entry list'!$J376=5),'Entry list'!E376,"")</f>
        <v>65DET</v>
      </c>
      <c r="F376" t="str">
        <f>IF(AND('Entry list'!$I376=5,'Entry list'!$J376=5),'Entry list'!F376,"")</f>
        <v>N</v>
      </c>
      <c r="G376" t="str">
        <f>IF(AND('Entry list'!$I376=5,'Entry list'!$J376=5),'Entry list'!G376,"")</f>
        <v>R</v>
      </c>
      <c r="H376" t="str">
        <f>IF(AND('Entry list'!$I376=5,'Entry list'!$J376=5),'Entry list'!H376,"")</f>
        <v>N</v>
      </c>
      <c r="I376" t="str">
        <f>IF(AND('Entry list'!$I376=5,'Entry list'!$J376=5),'Entry list'!K376,"")</f>
        <v>38NSH</v>
      </c>
      <c r="J376">
        <f>IF(AND('Entry list'!$I376=5,'Entry list'!$J376=5),'Entry list'!L376,"")</f>
        <v>0</v>
      </c>
      <c r="K376">
        <f>IF(AND('Entry list'!$I376=5,'Entry list'!$J376=5),'Entry list'!M376,"")</f>
        <v>0</v>
      </c>
      <c r="L376" t="str">
        <f>IF(AND('Entry list'!$I376=5,'Entry list'!$J376=5),'Entry list'!N376,"")</f>
        <v/>
      </c>
      <c r="M376">
        <f t="shared" si="15"/>
        <v>0</v>
      </c>
      <c r="N376">
        <f t="shared" si="16"/>
        <v>0</v>
      </c>
      <c r="O376" t="str">
        <f t="shared" si="17"/>
        <v/>
      </c>
    </row>
    <row r="377" spans="1:15" x14ac:dyDescent="0.25">
      <c r="A377">
        <f>IF(AND('Entry list'!$I377=5,'Entry list'!$J377=5),'Entry list'!A377,"")</f>
        <v>3</v>
      </c>
      <c r="B377">
        <f>IF(AND('Entry list'!$I377=5,'Entry list'!$J377=5),'Entry list'!B377,"")</f>
        <v>0.40902777777777777</v>
      </c>
      <c r="C377" t="str">
        <f>IF(AND('Entry list'!$I377=5,'Entry list'!$J377=5),'Entry list'!C377,"")</f>
        <v>D</v>
      </c>
      <c r="D377" t="str">
        <f>IF(AND('Entry list'!$I377=5,'Entry list'!$J377=5),'Entry list'!D377,"")</f>
        <v>71DET</v>
      </c>
      <c r="E377" t="str">
        <f>IF(AND('Entry list'!$I377=5,'Entry list'!$J377=5),'Entry list'!E377,"")</f>
        <v>38NSH</v>
      </c>
      <c r="F377" t="str">
        <f>IF(AND('Entry list'!$I377=5,'Entry list'!$J377=5),'Entry list'!F377,"")</f>
        <v/>
      </c>
      <c r="G377" t="str">
        <f>IF(AND('Entry list'!$I377=5,'Entry list'!$J377=5),'Entry list'!G377,"")</f>
        <v>L</v>
      </c>
      <c r="H377" t="str">
        <f>IF(AND('Entry list'!$I377=5,'Entry list'!$J377=5),'Entry list'!H377,"")</f>
        <v>N</v>
      </c>
      <c r="I377" t="str">
        <f>IF(AND('Entry list'!$I377=5,'Entry list'!$J377=5),'Entry list'!K377,"")</f>
        <v/>
      </c>
      <c r="J377">
        <f>IF(AND('Entry list'!$I377=5,'Entry list'!$J377=5),'Entry list'!L377,"")</f>
        <v>0</v>
      </c>
      <c r="K377">
        <f>IF(AND('Entry list'!$I377=5,'Entry list'!$J377=5),'Entry list'!M377,"")</f>
        <v>0</v>
      </c>
      <c r="L377" t="str">
        <f>IF(AND('Entry list'!$I377=5,'Entry list'!$J377=5),'Entry list'!N377,"")</f>
        <v/>
      </c>
      <c r="M377">
        <f t="shared" si="15"/>
        <v>0</v>
      </c>
      <c r="N377" t="str">
        <f t="shared" si="16"/>
        <v/>
      </c>
      <c r="O377" t="str">
        <f t="shared" si="17"/>
        <v/>
      </c>
    </row>
    <row r="378" spans="1:15" x14ac:dyDescent="0.25">
      <c r="A378">
        <f>IF(AND('Entry list'!$I378=5,'Entry list'!$J378=5),'Entry list'!A378,"")</f>
        <v>3</v>
      </c>
      <c r="B378">
        <f>IF(AND('Entry list'!$I378=5,'Entry list'!$J378=5),'Entry list'!B378,"")</f>
        <v>0.39583333333333331</v>
      </c>
      <c r="C378" t="str">
        <f>IF(AND('Entry list'!$I378=5,'Entry list'!$J378=5),'Entry list'!C378,"")</f>
        <v>D</v>
      </c>
      <c r="D378" t="str">
        <f>IF(AND('Entry list'!$I378=5,'Entry list'!$J378=5),'Entry list'!D378,"")</f>
        <v>8DET</v>
      </c>
      <c r="E378" t="str">
        <f>IF(AND('Entry list'!$I378=5,'Entry list'!$J378=5),'Entry list'!E378,"")</f>
        <v>56NSH</v>
      </c>
      <c r="F378" t="str">
        <f>IF(AND('Entry list'!$I378=5,'Entry list'!$J378=5),'Entry list'!F378,"")</f>
        <v/>
      </c>
      <c r="G378" t="str">
        <f>IF(AND('Entry list'!$I378=5,'Entry list'!$J378=5),'Entry list'!G378,"")</f>
        <v>R</v>
      </c>
      <c r="H378" t="str">
        <f>IF(AND('Entry list'!$I378=5,'Entry list'!$J378=5),'Entry list'!H378,"")</f>
        <v>N</v>
      </c>
      <c r="I378" t="str">
        <f>IF(AND('Entry list'!$I378=5,'Entry list'!$J378=5),'Entry list'!K378,"")</f>
        <v/>
      </c>
      <c r="J378">
        <f>IF(AND('Entry list'!$I378=5,'Entry list'!$J378=5),'Entry list'!L378,"")</f>
        <v>0</v>
      </c>
      <c r="K378">
        <f>IF(AND('Entry list'!$I378=5,'Entry list'!$J378=5),'Entry list'!M378,"")</f>
        <v>0</v>
      </c>
      <c r="L378" t="str">
        <f>IF(AND('Entry list'!$I378=5,'Entry list'!$J378=5),'Entry list'!N378,"")</f>
        <v/>
      </c>
      <c r="M378">
        <f t="shared" si="15"/>
        <v>0</v>
      </c>
      <c r="N378" t="str">
        <f t="shared" si="16"/>
        <v/>
      </c>
      <c r="O378" t="str">
        <f t="shared" si="17"/>
        <v/>
      </c>
    </row>
    <row r="379" spans="1:15" x14ac:dyDescent="0.25">
      <c r="A379">
        <f>IF(AND('Entry list'!$I379=5,'Entry list'!$J379=5),'Entry list'!A379,"")</f>
        <v>3</v>
      </c>
      <c r="B379">
        <f>IF(AND('Entry list'!$I379=5,'Entry list'!$J379=5),'Entry list'!B379,"")</f>
        <v>0.37222222222222223</v>
      </c>
      <c r="C379" t="str">
        <f>IF(AND('Entry list'!$I379=5,'Entry list'!$J379=5),'Entry list'!C379,"")</f>
        <v>C</v>
      </c>
      <c r="D379" t="str">
        <f>IF(AND('Entry list'!$I379=5,'Entry list'!$J379=5),'Entry list'!D379,"")</f>
        <v>19NSH</v>
      </c>
      <c r="E379" t="str">
        <f>IF(AND('Entry list'!$I379=5,'Entry list'!$J379=5),'Entry list'!E379,"")</f>
        <v>N</v>
      </c>
      <c r="F379" t="str">
        <f>IF(AND('Entry list'!$I379=5,'Entry list'!$J379=5),'Entry list'!F379,"")</f>
        <v>N</v>
      </c>
      <c r="G379" t="str">
        <f>IF(AND('Entry list'!$I379=5,'Entry list'!$J379=5),'Entry list'!G379,"")</f>
        <v>L</v>
      </c>
      <c r="H379" t="str">
        <f>IF(AND('Entry list'!$I379=5,'Entry list'!$J379=5),'Entry list'!H379,"")</f>
        <v>N</v>
      </c>
      <c r="I379" t="str">
        <f>IF(AND('Entry list'!$I379=5,'Entry list'!$J379=5),'Entry list'!K379,"")</f>
        <v>19NSH</v>
      </c>
      <c r="J379">
        <f>IF(AND('Entry list'!$I379=5,'Entry list'!$J379=5),'Entry list'!L379,"")</f>
        <v>0</v>
      </c>
      <c r="K379">
        <f>IF(AND('Entry list'!$I379=5,'Entry list'!$J379=5),'Entry list'!M379,"")</f>
        <v>0</v>
      </c>
      <c r="L379" t="str">
        <f>IF(AND('Entry list'!$I379=5,'Entry list'!$J379=5),'Entry list'!N379,"")</f>
        <v/>
      </c>
      <c r="M379">
        <f t="shared" si="15"/>
        <v>0</v>
      </c>
      <c r="N379">
        <f t="shared" si="16"/>
        <v>0</v>
      </c>
      <c r="O379" t="str">
        <f t="shared" si="17"/>
        <v/>
      </c>
    </row>
    <row r="380" spans="1:15" x14ac:dyDescent="0.25">
      <c r="A380" t="str">
        <f>IF(AND('Entry list'!$I380=5,'Entry list'!$J380=5),'Entry list'!A380,"")</f>
        <v/>
      </c>
      <c r="B380" t="str">
        <f>IF(AND('Entry list'!$I380=5,'Entry list'!$J380=5),'Entry list'!B380,"")</f>
        <v/>
      </c>
      <c r="C380" t="str">
        <f>IF(AND('Entry list'!$I380=5,'Entry list'!$J380=5),'Entry list'!C380,"")</f>
        <v/>
      </c>
      <c r="D380" t="str">
        <f>IF(AND('Entry list'!$I380=5,'Entry list'!$J380=5),'Entry list'!D380,"")</f>
        <v/>
      </c>
      <c r="E380" t="str">
        <f>IF(AND('Entry list'!$I380=5,'Entry list'!$J380=5),'Entry list'!E380,"")</f>
        <v/>
      </c>
      <c r="F380" t="str">
        <f>IF(AND('Entry list'!$I380=5,'Entry list'!$J380=5),'Entry list'!F380,"")</f>
        <v/>
      </c>
      <c r="G380" t="str">
        <f>IF(AND('Entry list'!$I380=5,'Entry list'!$J380=5),'Entry list'!G380,"")</f>
        <v/>
      </c>
      <c r="H380" t="str">
        <f>IF(AND('Entry list'!$I380=5,'Entry list'!$J380=5),'Entry list'!H380,"")</f>
        <v/>
      </c>
      <c r="I380" t="str">
        <f>IF(AND('Entry list'!$I380=5,'Entry list'!$J380=5),'Entry list'!K380,"")</f>
        <v/>
      </c>
      <c r="J380" t="str">
        <f>IF(AND('Entry list'!$I380=5,'Entry list'!$J380=5),'Entry list'!L380,"")</f>
        <v/>
      </c>
      <c r="K380" t="str">
        <f>IF(AND('Entry list'!$I380=5,'Entry list'!$J380=5),'Entry list'!M380,"")</f>
        <v/>
      </c>
      <c r="L380" t="str">
        <f>IF(AND('Entry list'!$I380=5,'Entry list'!$J380=5),'Entry list'!N380,"")</f>
        <v/>
      </c>
      <c r="M380" t="str">
        <f t="shared" si="15"/>
        <v/>
      </c>
      <c r="N380" t="str">
        <f t="shared" si="16"/>
        <v/>
      </c>
      <c r="O380" t="str">
        <f t="shared" si="17"/>
        <v/>
      </c>
    </row>
    <row r="381" spans="1:15" x14ac:dyDescent="0.25">
      <c r="A381">
        <f>IF(AND('Entry list'!$I381=5,'Entry list'!$J381=5),'Entry list'!A381,"")</f>
        <v>3</v>
      </c>
      <c r="B381">
        <f>IF(AND('Entry list'!$I381=5,'Entry list'!$J381=5),'Entry list'!B381,"")</f>
        <v>0.36736111111111108</v>
      </c>
      <c r="C381" t="str">
        <f>IF(AND('Entry list'!$I381=5,'Entry list'!$J381=5),'Entry list'!C381,"")</f>
        <v>C</v>
      </c>
      <c r="D381" t="str">
        <f>IF(AND('Entry list'!$I381=5,'Entry list'!$J381=5),'Entry list'!D381,"")</f>
        <v>43DET</v>
      </c>
      <c r="E381" t="str">
        <f>IF(AND('Entry list'!$I381=5,'Entry list'!$J381=5),'Entry list'!E381,"")</f>
        <v>25NSH</v>
      </c>
      <c r="F381" t="str">
        <f>IF(AND('Entry list'!$I381=5,'Entry list'!$J381=5),'Entry list'!F381,"")</f>
        <v>N</v>
      </c>
      <c r="G381" t="str">
        <f>IF(AND('Entry list'!$I381=5,'Entry list'!$J381=5),'Entry list'!G381,"")</f>
        <v>C</v>
      </c>
      <c r="H381" t="str">
        <f>IF(AND('Entry list'!$I381=5,'Entry list'!$J381=5),'Entry list'!H381,"")</f>
        <v>N</v>
      </c>
      <c r="I381" t="str">
        <f>IF(AND('Entry list'!$I381=5,'Entry list'!$J381=5),'Entry list'!K381,"")</f>
        <v>43DET</v>
      </c>
      <c r="J381">
        <f>IF(AND('Entry list'!$I381=5,'Entry list'!$J381=5),'Entry list'!L381,"")</f>
        <v>1</v>
      </c>
      <c r="K381">
        <f>IF(AND('Entry list'!$I381=5,'Entry list'!$J381=5),'Entry list'!M381,"")</f>
        <v>1</v>
      </c>
      <c r="L381" t="str">
        <f>IF(AND('Entry list'!$I381=5,'Entry list'!$J381=5),'Entry list'!N381,"")</f>
        <v/>
      </c>
      <c r="M381">
        <f t="shared" si="15"/>
        <v>0</v>
      </c>
      <c r="N381">
        <f t="shared" si="16"/>
        <v>0</v>
      </c>
      <c r="O381" t="str">
        <f t="shared" si="17"/>
        <v/>
      </c>
    </row>
    <row r="382" spans="1:15" x14ac:dyDescent="0.25">
      <c r="A382" t="str">
        <f>IF(AND('Entry list'!$I382=5,'Entry list'!$J382=5),'Entry list'!A382,"")</f>
        <v/>
      </c>
      <c r="B382" t="str">
        <f>IF(AND('Entry list'!$I382=5,'Entry list'!$J382=5),'Entry list'!B382,"")</f>
        <v/>
      </c>
      <c r="C382" t="str">
        <f>IF(AND('Entry list'!$I382=5,'Entry list'!$J382=5),'Entry list'!C382,"")</f>
        <v/>
      </c>
      <c r="D382" t="str">
        <f>IF(AND('Entry list'!$I382=5,'Entry list'!$J382=5),'Entry list'!D382,"")</f>
        <v/>
      </c>
      <c r="E382" t="str">
        <f>IF(AND('Entry list'!$I382=5,'Entry list'!$J382=5),'Entry list'!E382,"")</f>
        <v/>
      </c>
      <c r="F382" t="str">
        <f>IF(AND('Entry list'!$I382=5,'Entry list'!$J382=5),'Entry list'!F382,"")</f>
        <v/>
      </c>
      <c r="G382" t="str">
        <f>IF(AND('Entry list'!$I382=5,'Entry list'!$J382=5),'Entry list'!G382,"")</f>
        <v/>
      </c>
      <c r="H382" t="str">
        <f>IF(AND('Entry list'!$I382=5,'Entry list'!$J382=5),'Entry list'!H382,"")</f>
        <v/>
      </c>
      <c r="I382" t="str">
        <f>IF(AND('Entry list'!$I382=5,'Entry list'!$J382=5),'Entry list'!K382,"")</f>
        <v/>
      </c>
      <c r="J382" t="str">
        <f>IF(AND('Entry list'!$I382=5,'Entry list'!$J382=5),'Entry list'!L382,"")</f>
        <v/>
      </c>
      <c r="K382" t="str">
        <f>IF(AND('Entry list'!$I382=5,'Entry list'!$J382=5),'Entry list'!M382,"")</f>
        <v/>
      </c>
      <c r="L382" t="str">
        <f>IF(AND('Entry list'!$I382=5,'Entry list'!$J382=5),'Entry list'!N382,"")</f>
        <v/>
      </c>
      <c r="M382" t="str">
        <f t="shared" si="15"/>
        <v/>
      </c>
      <c r="N382" t="str">
        <f t="shared" si="16"/>
        <v/>
      </c>
      <c r="O382" t="str">
        <f t="shared" si="17"/>
        <v/>
      </c>
    </row>
    <row r="383" spans="1:15" x14ac:dyDescent="0.25">
      <c r="A383" t="str">
        <f>IF(AND('Entry list'!$I383=5,'Entry list'!$J383=5),'Entry list'!A383,"")</f>
        <v/>
      </c>
      <c r="B383" t="str">
        <f>IF(AND('Entry list'!$I383=5,'Entry list'!$J383=5),'Entry list'!B383,"")</f>
        <v/>
      </c>
      <c r="C383" t="str">
        <f>IF(AND('Entry list'!$I383=5,'Entry list'!$J383=5),'Entry list'!C383,"")</f>
        <v/>
      </c>
      <c r="D383" t="str">
        <f>IF(AND('Entry list'!$I383=5,'Entry list'!$J383=5),'Entry list'!D383,"")</f>
        <v/>
      </c>
      <c r="E383" t="str">
        <f>IF(AND('Entry list'!$I383=5,'Entry list'!$J383=5),'Entry list'!E383,"")</f>
        <v/>
      </c>
      <c r="F383" t="str">
        <f>IF(AND('Entry list'!$I383=5,'Entry list'!$J383=5),'Entry list'!F383,"")</f>
        <v/>
      </c>
      <c r="G383" t="str">
        <f>IF(AND('Entry list'!$I383=5,'Entry list'!$J383=5),'Entry list'!G383,"")</f>
        <v/>
      </c>
      <c r="H383" t="str">
        <f>IF(AND('Entry list'!$I383=5,'Entry list'!$J383=5),'Entry list'!H383,"")</f>
        <v/>
      </c>
      <c r="I383" t="str">
        <f>IF(AND('Entry list'!$I383=5,'Entry list'!$J383=5),'Entry list'!K383,"")</f>
        <v/>
      </c>
      <c r="J383" t="str">
        <f>IF(AND('Entry list'!$I383=5,'Entry list'!$J383=5),'Entry list'!L383,"")</f>
        <v/>
      </c>
      <c r="K383" t="str">
        <f>IF(AND('Entry list'!$I383=5,'Entry list'!$J383=5),'Entry list'!M383,"")</f>
        <v/>
      </c>
      <c r="L383" t="str">
        <f>IF(AND('Entry list'!$I383=5,'Entry list'!$J383=5),'Entry list'!N383,"")</f>
        <v/>
      </c>
      <c r="M383" t="str">
        <f t="shared" si="15"/>
        <v/>
      </c>
      <c r="N383" t="str">
        <f t="shared" si="16"/>
        <v/>
      </c>
      <c r="O383" t="str">
        <f t="shared" si="17"/>
        <v/>
      </c>
    </row>
    <row r="384" spans="1:15" x14ac:dyDescent="0.25">
      <c r="A384">
        <f>IF(AND('Entry list'!$I384=5,'Entry list'!$J384=5),'Entry list'!A384,"")</f>
        <v>3</v>
      </c>
      <c r="B384">
        <f>IF(AND('Entry list'!$I384=5,'Entry list'!$J384=5),'Entry list'!B384,"")</f>
        <v>0.35347222222222219</v>
      </c>
      <c r="C384" t="str">
        <f>IF(AND('Entry list'!$I384=5,'Entry list'!$J384=5),'Entry list'!C384,"")</f>
        <v>D</v>
      </c>
      <c r="D384" t="str">
        <f>IF(AND('Entry list'!$I384=5,'Entry list'!$J384=5),'Entry list'!D384,"")</f>
        <v>38NSH</v>
      </c>
      <c r="E384" t="str">
        <f>IF(AND('Entry list'!$I384=5,'Entry list'!$J384=5),'Entry list'!E384,"")</f>
        <v>65DET</v>
      </c>
      <c r="F384" t="str">
        <f>IF(AND('Entry list'!$I384=5,'Entry list'!$J384=5),'Entry list'!F384,"")</f>
        <v/>
      </c>
      <c r="G384" t="str">
        <f>IF(AND('Entry list'!$I384=5,'Entry list'!$J384=5),'Entry list'!G384,"")</f>
        <v>R</v>
      </c>
      <c r="H384" t="str">
        <f>IF(AND('Entry list'!$I384=5,'Entry list'!$J384=5),'Entry list'!H384,"")</f>
        <v>N</v>
      </c>
      <c r="I384" t="str">
        <f>IF(AND('Entry list'!$I384=5,'Entry list'!$J384=5),'Entry list'!K384,"")</f>
        <v/>
      </c>
      <c r="J384">
        <f>IF(AND('Entry list'!$I384=5,'Entry list'!$J384=5),'Entry list'!L384,"")</f>
        <v>0</v>
      </c>
      <c r="K384">
        <f>IF(AND('Entry list'!$I384=5,'Entry list'!$J384=5),'Entry list'!M384,"")</f>
        <v>0</v>
      </c>
      <c r="L384" t="str">
        <f>IF(AND('Entry list'!$I384=5,'Entry list'!$J384=5),'Entry list'!N384,"")</f>
        <v/>
      </c>
      <c r="M384">
        <f t="shared" si="15"/>
        <v>0</v>
      </c>
      <c r="N384" t="str">
        <f t="shared" si="16"/>
        <v/>
      </c>
      <c r="O384" t="str">
        <f t="shared" si="17"/>
        <v/>
      </c>
    </row>
    <row r="385" spans="1:15" x14ac:dyDescent="0.25">
      <c r="A385" t="str">
        <f>IF(AND('Entry list'!$I385=5,'Entry list'!$J385=5),'Entry list'!A385,"")</f>
        <v/>
      </c>
      <c r="B385" t="str">
        <f>IF(AND('Entry list'!$I385=5,'Entry list'!$J385=5),'Entry list'!B385,"")</f>
        <v/>
      </c>
      <c r="C385" t="str">
        <f>IF(AND('Entry list'!$I385=5,'Entry list'!$J385=5),'Entry list'!C385,"")</f>
        <v/>
      </c>
      <c r="D385" t="str">
        <f>IF(AND('Entry list'!$I385=5,'Entry list'!$J385=5),'Entry list'!D385,"")</f>
        <v/>
      </c>
      <c r="E385" t="str">
        <f>IF(AND('Entry list'!$I385=5,'Entry list'!$J385=5),'Entry list'!E385,"")</f>
        <v/>
      </c>
      <c r="F385" t="str">
        <f>IF(AND('Entry list'!$I385=5,'Entry list'!$J385=5),'Entry list'!F385,"")</f>
        <v/>
      </c>
      <c r="G385" t="str">
        <f>IF(AND('Entry list'!$I385=5,'Entry list'!$J385=5),'Entry list'!G385,"")</f>
        <v/>
      </c>
      <c r="H385" t="str">
        <f>IF(AND('Entry list'!$I385=5,'Entry list'!$J385=5),'Entry list'!H385,"")</f>
        <v/>
      </c>
      <c r="I385" t="str">
        <f>IF(AND('Entry list'!$I385=5,'Entry list'!$J385=5),'Entry list'!K385,"")</f>
        <v/>
      </c>
      <c r="J385" t="str">
        <f>IF(AND('Entry list'!$I385=5,'Entry list'!$J385=5),'Entry list'!L385,"")</f>
        <v/>
      </c>
      <c r="K385" t="str">
        <f>IF(AND('Entry list'!$I385=5,'Entry list'!$J385=5),'Entry list'!M385,"")</f>
        <v/>
      </c>
      <c r="L385" t="str">
        <f>IF(AND('Entry list'!$I385=5,'Entry list'!$J385=5),'Entry list'!N385,"")</f>
        <v/>
      </c>
      <c r="M385" t="str">
        <f t="shared" si="15"/>
        <v/>
      </c>
      <c r="N385" t="str">
        <f t="shared" si="16"/>
        <v/>
      </c>
      <c r="O385" t="str">
        <f t="shared" si="17"/>
        <v/>
      </c>
    </row>
    <row r="386" spans="1:15" x14ac:dyDescent="0.25">
      <c r="A386" t="str">
        <f>IF(AND('Entry list'!$I386=5,'Entry list'!$J386=5),'Entry list'!A386,"")</f>
        <v/>
      </c>
      <c r="B386" t="str">
        <f>IF(AND('Entry list'!$I386=5,'Entry list'!$J386=5),'Entry list'!B386,"")</f>
        <v/>
      </c>
      <c r="C386" t="str">
        <f>IF(AND('Entry list'!$I386=5,'Entry list'!$J386=5),'Entry list'!C386,"")</f>
        <v/>
      </c>
      <c r="D386" t="str">
        <f>IF(AND('Entry list'!$I386=5,'Entry list'!$J386=5),'Entry list'!D386,"")</f>
        <v/>
      </c>
      <c r="E386" t="str">
        <f>IF(AND('Entry list'!$I386=5,'Entry list'!$J386=5),'Entry list'!E386,"")</f>
        <v/>
      </c>
      <c r="F386" t="str">
        <f>IF(AND('Entry list'!$I386=5,'Entry list'!$J386=5),'Entry list'!F386,"")</f>
        <v/>
      </c>
      <c r="G386" t="str">
        <f>IF(AND('Entry list'!$I386=5,'Entry list'!$J386=5),'Entry list'!G386,"")</f>
        <v/>
      </c>
      <c r="H386" t="str">
        <f>IF(AND('Entry list'!$I386=5,'Entry list'!$J386=5),'Entry list'!H386,"")</f>
        <v/>
      </c>
      <c r="I386" t="str">
        <f>IF(AND('Entry list'!$I386=5,'Entry list'!$J386=5),'Entry list'!K386,"")</f>
        <v/>
      </c>
      <c r="J386" t="str">
        <f>IF(AND('Entry list'!$I386=5,'Entry list'!$J386=5),'Entry list'!L386,"")</f>
        <v/>
      </c>
      <c r="K386" t="str">
        <f>IF(AND('Entry list'!$I386=5,'Entry list'!$J386=5),'Entry list'!M386,"")</f>
        <v/>
      </c>
      <c r="L386" t="str">
        <f>IF(AND('Entry list'!$I386=5,'Entry list'!$J386=5),'Entry list'!N386,"")</f>
        <v/>
      </c>
      <c r="M386" t="str">
        <f t="shared" si="15"/>
        <v/>
      </c>
      <c r="N386" t="str">
        <f t="shared" si="16"/>
        <v/>
      </c>
      <c r="O386" t="str">
        <f t="shared" si="17"/>
        <v/>
      </c>
    </row>
    <row r="387" spans="1:15" x14ac:dyDescent="0.25">
      <c r="A387">
        <f>IF(AND('Entry list'!$I387=5,'Entry list'!$J387=5),'Entry list'!A387,"")</f>
        <v>3</v>
      </c>
      <c r="B387">
        <f>IF(AND('Entry list'!$I387=5,'Entry list'!$J387=5),'Entry list'!B387,"")</f>
        <v>0.33819444444444446</v>
      </c>
      <c r="C387" t="str">
        <f>IF(AND('Entry list'!$I387=5,'Entry list'!$J387=5),'Entry list'!C387,"")</f>
        <v>F</v>
      </c>
      <c r="D387" t="str">
        <f>IF(AND('Entry list'!$I387=5,'Entry list'!$J387=5),'Entry list'!D387,"")</f>
        <v>76NSH</v>
      </c>
      <c r="E387" t="str">
        <f>IF(AND('Entry list'!$I387=5,'Entry list'!$J387=5),'Entry list'!E387,"")</f>
        <v>40DET</v>
      </c>
      <c r="F387" t="str">
        <f>IF(AND('Entry list'!$I387=5,'Entry list'!$J387=5),'Entry list'!F387,"")</f>
        <v/>
      </c>
      <c r="G387" t="str">
        <f>IF(AND('Entry list'!$I387=5,'Entry list'!$J387=5),'Entry list'!G387,"")</f>
        <v>C</v>
      </c>
      <c r="H387" t="str">
        <f>IF(AND('Entry list'!$I387=5,'Entry list'!$J387=5),'Entry list'!H387,"")</f>
        <v>N</v>
      </c>
      <c r="I387" t="str">
        <f>IF(AND('Entry list'!$I387=5,'Entry list'!$J387=5),'Entry list'!K387,"")</f>
        <v/>
      </c>
      <c r="J387">
        <f>IF(AND('Entry list'!$I387=5,'Entry list'!$J387=5),'Entry list'!L387,"")</f>
        <v>0</v>
      </c>
      <c r="K387">
        <f>IF(AND('Entry list'!$I387=5,'Entry list'!$J387=5),'Entry list'!M387,"")</f>
        <v>0</v>
      </c>
      <c r="L387" t="str">
        <f>IF(AND('Entry list'!$I387=5,'Entry list'!$J387=5),'Entry list'!N387,"")</f>
        <v>76NSH</v>
      </c>
      <c r="M387">
        <f t="shared" ref="M387:M450" si="18">IF(EXACT(D387,""),"",IF(EXACT(LEFT(D387,3),"WSH"),1,0))</f>
        <v>0</v>
      </c>
      <c r="N387" t="str">
        <f t="shared" ref="N387:N450" si="19">IF(EXACT(I387,""),"",IF(EXACT(LEFT(I387,3),"WSH"),1,0))</f>
        <v/>
      </c>
      <c r="O387">
        <f t="shared" ref="O387:O450" si="20">IF(EXACT(L387,""),"",IF(EXACT(LEFT(L387,3),"WSH"),1,0))</f>
        <v>0</v>
      </c>
    </row>
    <row r="388" spans="1:15" x14ac:dyDescent="0.25">
      <c r="A388">
        <f>IF(AND('Entry list'!$I388=5,'Entry list'!$J388=5),'Entry list'!A388,"")</f>
        <v>3</v>
      </c>
      <c r="B388">
        <f>IF(AND('Entry list'!$I388=5,'Entry list'!$J388=5),'Entry list'!B388,"")</f>
        <v>0.33055555555555555</v>
      </c>
      <c r="C388" t="str">
        <f>IF(AND('Entry list'!$I388=5,'Entry list'!$J388=5),'Entry list'!C388,"")</f>
        <v>C</v>
      </c>
      <c r="D388" t="str">
        <f>IF(AND('Entry list'!$I388=5,'Entry list'!$J388=5),'Entry list'!D388,"")</f>
        <v>38NSH</v>
      </c>
      <c r="E388" t="str">
        <f>IF(AND('Entry list'!$I388=5,'Entry list'!$J388=5),'Entry list'!E388,"")</f>
        <v>N</v>
      </c>
      <c r="F388" t="str">
        <f>IF(AND('Entry list'!$I388=5,'Entry list'!$J388=5),'Entry list'!F388,"")</f>
        <v>N</v>
      </c>
      <c r="G388" t="str">
        <f>IF(AND('Entry list'!$I388=5,'Entry list'!$J388=5),'Entry list'!G388,"")</f>
        <v>R</v>
      </c>
      <c r="H388" t="str">
        <f>IF(AND('Entry list'!$I388=5,'Entry list'!$J388=5),'Entry list'!H388,"")</f>
        <v>N</v>
      </c>
      <c r="I388" t="str">
        <f>IF(AND('Entry list'!$I388=5,'Entry list'!$J388=5),'Entry list'!K388,"")</f>
        <v>38NSH</v>
      </c>
      <c r="J388">
        <f>IF(AND('Entry list'!$I388=5,'Entry list'!$J388=5),'Entry list'!L388,"")</f>
        <v>1</v>
      </c>
      <c r="K388">
        <f>IF(AND('Entry list'!$I388=5,'Entry list'!$J388=5),'Entry list'!M388,"")</f>
        <v>0</v>
      </c>
      <c r="L388" t="str">
        <f>IF(AND('Entry list'!$I388=5,'Entry list'!$J388=5),'Entry list'!N388,"")</f>
        <v/>
      </c>
      <c r="M388">
        <f t="shared" si="18"/>
        <v>0</v>
      </c>
      <c r="N388">
        <f t="shared" si="19"/>
        <v>0</v>
      </c>
      <c r="O388" t="str">
        <f t="shared" si="20"/>
        <v/>
      </c>
    </row>
    <row r="389" spans="1:15" x14ac:dyDescent="0.25">
      <c r="A389" t="str">
        <f>IF(AND('Entry list'!$I389=5,'Entry list'!$J389=5),'Entry list'!A389,"")</f>
        <v/>
      </c>
      <c r="B389" t="str">
        <f>IF(AND('Entry list'!$I389=5,'Entry list'!$J389=5),'Entry list'!B389,"")</f>
        <v/>
      </c>
      <c r="C389" t="str">
        <f>IF(AND('Entry list'!$I389=5,'Entry list'!$J389=5),'Entry list'!C389,"")</f>
        <v/>
      </c>
      <c r="D389" t="str">
        <f>IF(AND('Entry list'!$I389=5,'Entry list'!$J389=5),'Entry list'!D389,"")</f>
        <v/>
      </c>
      <c r="E389" t="str">
        <f>IF(AND('Entry list'!$I389=5,'Entry list'!$J389=5),'Entry list'!E389,"")</f>
        <v/>
      </c>
      <c r="F389" t="str">
        <f>IF(AND('Entry list'!$I389=5,'Entry list'!$J389=5),'Entry list'!F389,"")</f>
        <v/>
      </c>
      <c r="G389" t="str">
        <f>IF(AND('Entry list'!$I389=5,'Entry list'!$J389=5),'Entry list'!G389,"")</f>
        <v/>
      </c>
      <c r="H389" t="str">
        <f>IF(AND('Entry list'!$I389=5,'Entry list'!$J389=5),'Entry list'!H389,"")</f>
        <v/>
      </c>
      <c r="I389" t="str">
        <f>IF(AND('Entry list'!$I389=5,'Entry list'!$J389=5),'Entry list'!K389,"")</f>
        <v/>
      </c>
      <c r="J389" t="str">
        <f>IF(AND('Entry list'!$I389=5,'Entry list'!$J389=5),'Entry list'!L389,"")</f>
        <v/>
      </c>
      <c r="K389" t="str">
        <f>IF(AND('Entry list'!$I389=5,'Entry list'!$J389=5),'Entry list'!M389,"")</f>
        <v/>
      </c>
      <c r="L389" t="str">
        <f>IF(AND('Entry list'!$I389=5,'Entry list'!$J389=5),'Entry list'!N389,"")</f>
        <v/>
      </c>
      <c r="M389" t="str">
        <f t="shared" si="18"/>
        <v/>
      </c>
      <c r="N389" t="str">
        <f t="shared" si="19"/>
        <v/>
      </c>
      <c r="O389" t="str">
        <f t="shared" si="20"/>
        <v/>
      </c>
    </row>
    <row r="390" spans="1:15" x14ac:dyDescent="0.25">
      <c r="A390" t="str">
        <f>IF(AND('Entry list'!$I390=5,'Entry list'!$J390=5),'Entry list'!A390,"")</f>
        <v/>
      </c>
      <c r="B390" t="str">
        <f>IF(AND('Entry list'!$I390=5,'Entry list'!$J390=5),'Entry list'!B390,"")</f>
        <v/>
      </c>
      <c r="C390" t="str">
        <f>IF(AND('Entry list'!$I390=5,'Entry list'!$J390=5),'Entry list'!C390,"")</f>
        <v/>
      </c>
      <c r="D390" t="str">
        <f>IF(AND('Entry list'!$I390=5,'Entry list'!$J390=5),'Entry list'!D390,"")</f>
        <v/>
      </c>
      <c r="E390" t="str">
        <f>IF(AND('Entry list'!$I390=5,'Entry list'!$J390=5),'Entry list'!E390,"")</f>
        <v/>
      </c>
      <c r="F390" t="str">
        <f>IF(AND('Entry list'!$I390=5,'Entry list'!$J390=5),'Entry list'!F390,"")</f>
        <v/>
      </c>
      <c r="G390" t="str">
        <f>IF(AND('Entry list'!$I390=5,'Entry list'!$J390=5),'Entry list'!G390,"")</f>
        <v/>
      </c>
      <c r="H390" t="str">
        <f>IF(AND('Entry list'!$I390=5,'Entry list'!$J390=5),'Entry list'!H390,"")</f>
        <v/>
      </c>
      <c r="I390" t="str">
        <f>IF(AND('Entry list'!$I390=5,'Entry list'!$J390=5),'Entry list'!K390,"")</f>
        <v/>
      </c>
      <c r="J390" t="str">
        <f>IF(AND('Entry list'!$I390=5,'Entry list'!$J390=5),'Entry list'!L390,"")</f>
        <v/>
      </c>
      <c r="K390" t="str">
        <f>IF(AND('Entry list'!$I390=5,'Entry list'!$J390=5),'Entry list'!M390,"")</f>
        <v/>
      </c>
      <c r="L390" t="str">
        <f>IF(AND('Entry list'!$I390=5,'Entry list'!$J390=5),'Entry list'!N390,"")</f>
        <v/>
      </c>
      <c r="M390" t="str">
        <f t="shared" si="18"/>
        <v/>
      </c>
      <c r="N390" t="str">
        <f t="shared" si="19"/>
        <v/>
      </c>
      <c r="O390" t="str">
        <f t="shared" si="20"/>
        <v/>
      </c>
    </row>
    <row r="391" spans="1:15" x14ac:dyDescent="0.25">
      <c r="A391" t="str">
        <f>IF(AND('Entry list'!$I391=5,'Entry list'!$J391=5),'Entry list'!A391,"")</f>
        <v/>
      </c>
      <c r="B391" t="str">
        <f>IF(AND('Entry list'!$I391=5,'Entry list'!$J391=5),'Entry list'!B391,"")</f>
        <v/>
      </c>
      <c r="C391" t="str">
        <f>IF(AND('Entry list'!$I391=5,'Entry list'!$J391=5),'Entry list'!C391,"")</f>
        <v/>
      </c>
      <c r="D391" t="str">
        <f>IF(AND('Entry list'!$I391=5,'Entry list'!$J391=5),'Entry list'!D391,"")</f>
        <v/>
      </c>
      <c r="E391" t="str">
        <f>IF(AND('Entry list'!$I391=5,'Entry list'!$J391=5),'Entry list'!E391,"")</f>
        <v/>
      </c>
      <c r="F391" t="str">
        <f>IF(AND('Entry list'!$I391=5,'Entry list'!$J391=5),'Entry list'!F391,"")</f>
        <v/>
      </c>
      <c r="G391" t="str">
        <f>IF(AND('Entry list'!$I391=5,'Entry list'!$J391=5),'Entry list'!G391,"")</f>
        <v/>
      </c>
      <c r="H391" t="str">
        <f>IF(AND('Entry list'!$I391=5,'Entry list'!$J391=5),'Entry list'!H391,"")</f>
        <v/>
      </c>
      <c r="I391" t="str">
        <f>IF(AND('Entry list'!$I391=5,'Entry list'!$J391=5),'Entry list'!K391,"")</f>
        <v/>
      </c>
      <c r="J391" t="str">
        <f>IF(AND('Entry list'!$I391=5,'Entry list'!$J391=5),'Entry list'!L391,"")</f>
        <v/>
      </c>
      <c r="K391" t="str">
        <f>IF(AND('Entry list'!$I391=5,'Entry list'!$J391=5),'Entry list'!M391,"")</f>
        <v/>
      </c>
      <c r="L391" t="str">
        <f>IF(AND('Entry list'!$I391=5,'Entry list'!$J391=5),'Entry list'!N391,"")</f>
        <v/>
      </c>
      <c r="M391" t="str">
        <f t="shared" si="18"/>
        <v/>
      </c>
      <c r="N391" t="str">
        <f t="shared" si="19"/>
        <v/>
      </c>
      <c r="O391" t="str">
        <f t="shared" si="20"/>
        <v/>
      </c>
    </row>
    <row r="392" spans="1:15" x14ac:dyDescent="0.25">
      <c r="A392">
        <f>IF(AND('Entry list'!$I392=5,'Entry list'!$J392=5),'Entry list'!A392,"")</f>
        <v>3</v>
      </c>
      <c r="B392">
        <f>IF(AND('Entry list'!$I392=5,'Entry list'!$J392=5),'Entry list'!B392,"")</f>
        <v>0.32083333333333336</v>
      </c>
      <c r="C392" t="str">
        <f>IF(AND('Entry list'!$I392=5,'Entry list'!$J392=5),'Entry list'!C392,"")</f>
        <v>D</v>
      </c>
      <c r="D392" t="str">
        <f>IF(AND('Entry list'!$I392=5,'Entry list'!$J392=5),'Entry list'!D392,"")</f>
        <v>19NSH</v>
      </c>
      <c r="E392" t="str">
        <f>IF(AND('Entry list'!$I392=5,'Entry list'!$J392=5),'Entry list'!E392,"")</f>
        <v>15DET</v>
      </c>
      <c r="F392" t="str">
        <f>IF(AND('Entry list'!$I392=5,'Entry list'!$J392=5),'Entry list'!F392,"")</f>
        <v/>
      </c>
      <c r="G392" t="str">
        <f>IF(AND('Entry list'!$I392=5,'Entry list'!$J392=5),'Entry list'!G392,"")</f>
        <v>L</v>
      </c>
      <c r="H392" t="str">
        <f>IF(AND('Entry list'!$I392=5,'Entry list'!$J392=5),'Entry list'!H392,"")</f>
        <v>N</v>
      </c>
      <c r="I392" t="str">
        <f>IF(AND('Entry list'!$I392=5,'Entry list'!$J392=5),'Entry list'!K392,"")</f>
        <v/>
      </c>
      <c r="J392">
        <f>IF(AND('Entry list'!$I392=5,'Entry list'!$J392=5),'Entry list'!L392,"")</f>
        <v>1</v>
      </c>
      <c r="K392">
        <f>IF(AND('Entry list'!$I392=5,'Entry list'!$J392=5),'Entry list'!M392,"")</f>
        <v>0</v>
      </c>
      <c r="L392" t="str">
        <f>IF(AND('Entry list'!$I392=5,'Entry list'!$J392=5),'Entry list'!N392,"")</f>
        <v/>
      </c>
      <c r="M392">
        <f t="shared" si="18"/>
        <v>0</v>
      </c>
      <c r="N392" t="str">
        <f t="shared" si="19"/>
        <v/>
      </c>
      <c r="O392" t="str">
        <f t="shared" si="20"/>
        <v/>
      </c>
    </row>
    <row r="393" spans="1:15" x14ac:dyDescent="0.25">
      <c r="A393" t="str">
        <f>IF(AND('Entry list'!$I393=5,'Entry list'!$J393=5),'Entry list'!A393,"")</f>
        <v/>
      </c>
      <c r="B393" t="str">
        <f>IF(AND('Entry list'!$I393=5,'Entry list'!$J393=5),'Entry list'!B393,"")</f>
        <v/>
      </c>
      <c r="C393" t="str">
        <f>IF(AND('Entry list'!$I393=5,'Entry list'!$J393=5),'Entry list'!C393,"")</f>
        <v/>
      </c>
      <c r="D393" t="str">
        <f>IF(AND('Entry list'!$I393=5,'Entry list'!$J393=5),'Entry list'!D393,"")</f>
        <v/>
      </c>
      <c r="E393" t="str">
        <f>IF(AND('Entry list'!$I393=5,'Entry list'!$J393=5),'Entry list'!E393,"")</f>
        <v/>
      </c>
      <c r="F393" t="str">
        <f>IF(AND('Entry list'!$I393=5,'Entry list'!$J393=5),'Entry list'!F393,"")</f>
        <v/>
      </c>
      <c r="G393" t="str">
        <f>IF(AND('Entry list'!$I393=5,'Entry list'!$J393=5),'Entry list'!G393,"")</f>
        <v/>
      </c>
      <c r="H393" t="str">
        <f>IF(AND('Entry list'!$I393=5,'Entry list'!$J393=5),'Entry list'!H393,"")</f>
        <v/>
      </c>
      <c r="I393" t="str">
        <f>IF(AND('Entry list'!$I393=5,'Entry list'!$J393=5),'Entry list'!K393,"")</f>
        <v/>
      </c>
      <c r="J393" t="str">
        <f>IF(AND('Entry list'!$I393=5,'Entry list'!$J393=5),'Entry list'!L393,"")</f>
        <v/>
      </c>
      <c r="K393" t="str">
        <f>IF(AND('Entry list'!$I393=5,'Entry list'!$J393=5),'Entry list'!M393,"")</f>
        <v/>
      </c>
      <c r="L393" t="str">
        <f>IF(AND('Entry list'!$I393=5,'Entry list'!$J393=5),'Entry list'!N393,"")</f>
        <v/>
      </c>
      <c r="M393" t="str">
        <f t="shared" si="18"/>
        <v/>
      </c>
      <c r="N393" t="str">
        <f t="shared" si="19"/>
        <v/>
      </c>
      <c r="O393" t="str">
        <f t="shared" si="20"/>
        <v/>
      </c>
    </row>
    <row r="394" spans="1:15" x14ac:dyDescent="0.25">
      <c r="A394" t="str">
        <f>IF(AND('Entry list'!$I394=5,'Entry list'!$J394=5),'Entry list'!A394,"")</f>
        <v/>
      </c>
      <c r="B394" t="str">
        <f>IF(AND('Entry list'!$I394=5,'Entry list'!$J394=5),'Entry list'!B394,"")</f>
        <v/>
      </c>
      <c r="C394" t="str">
        <f>IF(AND('Entry list'!$I394=5,'Entry list'!$J394=5),'Entry list'!C394,"")</f>
        <v/>
      </c>
      <c r="D394" t="str">
        <f>IF(AND('Entry list'!$I394=5,'Entry list'!$J394=5),'Entry list'!D394,"")</f>
        <v/>
      </c>
      <c r="E394" t="str">
        <f>IF(AND('Entry list'!$I394=5,'Entry list'!$J394=5),'Entry list'!E394,"")</f>
        <v/>
      </c>
      <c r="F394" t="str">
        <f>IF(AND('Entry list'!$I394=5,'Entry list'!$J394=5),'Entry list'!F394,"")</f>
        <v/>
      </c>
      <c r="G394" t="str">
        <f>IF(AND('Entry list'!$I394=5,'Entry list'!$J394=5),'Entry list'!G394,"")</f>
        <v/>
      </c>
      <c r="H394" t="str">
        <f>IF(AND('Entry list'!$I394=5,'Entry list'!$J394=5),'Entry list'!H394,"")</f>
        <v/>
      </c>
      <c r="I394" t="str">
        <f>IF(AND('Entry list'!$I394=5,'Entry list'!$J394=5),'Entry list'!K394,"")</f>
        <v/>
      </c>
      <c r="J394" t="str">
        <f>IF(AND('Entry list'!$I394=5,'Entry list'!$J394=5),'Entry list'!L394,"")</f>
        <v/>
      </c>
      <c r="K394" t="str">
        <f>IF(AND('Entry list'!$I394=5,'Entry list'!$J394=5),'Entry list'!M394,"")</f>
        <v/>
      </c>
      <c r="L394" t="str">
        <f>IF(AND('Entry list'!$I394=5,'Entry list'!$J394=5),'Entry list'!N394,"")</f>
        <v/>
      </c>
      <c r="M394" t="str">
        <f t="shared" si="18"/>
        <v/>
      </c>
      <c r="N394" t="str">
        <f t="shared" si="19"/>
        <v/>
      </c>
      <c r="O394" t="str">
        <f t="shared" si="20"/>
        <v/>
      </c>
    </row>
    <row r="395" spans="1:15" x14ac:dyDescent="0.25">
      <c r="A395" t="str">
        <f>IF(AND('Entry list'!$I395=5,'Entry list'!$J395=5),'Entry list'!A395,"")</f>
        <v/>
      </c>
      <c r="B395" t="str">
        <f>IF(AND('Entry list'!$I395=5,'Entry list'!$J395=5),'Entry list'!B395,"")</f>
        <v/>
      </c>
      <c r="C395" t="str">
        <f>IF(AND('Entry list'!$I395=5,'Entry list'!$J395=5),'Entry list'!C395,"")</f>
        <v/>
      </c>
      <c r="D395" t="str">
        <f>IF(AND('Entry list'!$I395=5,'Entry list'!$J395=5),'Entry list'!D395,"")</f>
        <v/>
      </c>
      <c r="E395" t="str">
        <f>IF(AND('Entry list'!$I395=5,'Entry list'!$J395=5),'Entry list'!E395,"")</f>
        <v/>
      </c>
      <c r="F395" t="str">
        <f>IF(AND('Entry list'!$I395=5,'Entry list'!$J395=5),'Entry list'!F395,"")</f>
        <v/>
      </c>
      <c r="G395" t="str">
        <f>IF(AND('Entry list'!$I395=5,'Entry list'!$J395=5),'Entry list'!G395,"")</f>
        <v/>
      </c>
      <c r="H395" t="str">
        <f>IF(AND('Entry list'!$I395=5,'Entry list'!$J395=5),'Entry list'!H395,"")</f>
        <v/>
      </c>
      <c r="I395" t="str">
        <f>IF(AND('Entry list'!$I395=5,'Entry list'!$J395=5),'Entry list'!K395,"")</f>
        <v/>
      </c>
      <c r="J395" t="str">
        <f>IF(AND('Entry list'!$I395=5,'Entry list'!$J395=5),'Entry list'!L395,"")</f>
        <v/>
      </c>
      <c r="K395" t="str">
        <f>IF(AND('Entry list'!$I395=5,'Entry list'!$J395=5),'Entry list'!M395,"")</f>
        <v/>
      </c>
      <c r="L395" t="str">
        <f>IF(AND('Entry list'!$I395=5,'Entry list'!$J395=5),'Entry list'!N395,"")</f>
        <v/>
      </c>
      <c r="M395" t="str">
        <f t="shared" si="18"/>
        <v/>
      </c>
      <c r="N395" t="str">
        <f t="shared" si="19"/>
        <v/>
      </c>
      <c r="O395" t="str">
        <f t="shared" si="20"/>
        <v/>
      </c>
    </row>
    <row r="396" spans="1:15" x14ac:dyDescent="0.25">
      <c r="A396">
        <f>IF(AND('Entry list'!$I396=5,'Entry list'!$J396=5),'Entry list'!A396,"")</f>
        <v>3</v>
      </c>
      <c r="B396">
        <f>IF(AND('Entry list'!$I396=5,'Entry list'!$J396=5),'Entry list'!B396,"")</f>
        <v>0.29583333333333334</v>
      </c>
      <c r="C396" t="str">
        <f>IF(AND('Entry list'!$I396=5,'Entry list'!$J396=5),'Entry list'!C396,"")</f>
        <v>D</v>
      </c>
      <c r="D396" t="str">
        <f>IF(AND('Entry list'!$I396=5,'Entry list'!$J396=5),'Entry list'!D396,"")</f>
        <v>56NSH</v>
      </c>
      <c r="E396" t="str">
        <f>IF(AND('Entry list'!$I396=5,'Entry list'!$J396=5),'Entry list'!E396,"")</f>
        <v>N</v>
      </c>
      <c r="F396" t="str">
        <f>IF(AND('Entry list'!$I396=5,'Entry list'!$J396=5),'Entry list'!F396,"")</f>
        <v/>
      </c>
      <c r="G396" t="str">
        <f>IF(AND('Entry list'!$I396=5,'Entry list'!$J396=5),'Entry list'!G396,"")</f>
        <v>R</v>
      </c>
      <c r="H396" t="str">
        <f>IF(AND('Entry list'!$I396=5,'Entry list'!$J396=5),'Entry list'!H396,"")</f>
        <v>N</v>
      </c>
      <c r="I396" t="str">
        <f>IF(AND('Entry list'!$I396=5,'Entry list'!$J396=5),'Entry list'!K396,"")</f>
        <v/>
      </c>
      <c r="J396">
        <f>IF(AND('Entry list'!$I396=5,'Entry list'!$J396=5),'Entry list'!L396,"")</f>
        <v>0</v>
      </c>
      <c r="K396">
        <f>IF(AND('Entry list'!$I396=5,'Entry list'!$J396=5),'Entry list'!M396,"")</f>
        <v>0</v>
      </c>
      <c r="L396" t="str">
        <f>IF(AND('Entry list'!$I396=5,'Entry list'!$J396=5),'Entry list'!N396,"")</f>
        <v/>
      </c>
      <c r="M396">
        <f t="shared" si="18"/>
        <v>0</v>
      </c>
      <c r="N396" t="str">
        <f t="shared" si="19"/>
        <v/>
      </c>
      <c r="O396" t="str">
        <f t="shared" si="20"/>
        <v/>
      </c>
    </row>
    <row r="397" spans="1:15" x14ac:dyDescent="0.25">
      <c r="A397">
        <f>IF(AND('Entry list'!$I397=5,'Entry list'!$J397=5),'Entry list'!A397,"")</f>
        <v>3</v>
      </c>
      <c r="B397">
        <f>IF(AND('Entry list'!$I397=5,'Entry list'!$J397=5),'Entry list'!B397,"")</f>
        <v>0.29097222222222224</v>
      </c>
      <c r="C397" t="str">
        <f>IF(AND('Entry list'!$I397=5,'Entry list'!$J397=5),'Entry list'!C397,"")</f>
        <v>C</v>
      </c>
      <c r="D397" t="str">
        <f>IF(AND('Entry list'!$I397=5,'Entry list'!$J397=5),'Entry list'!D397,"")</f>
        <v>71DET</v>
      </c>
      <c r="E397" t="str">
        <f>IF(AND('Entry list'!$I397=5,'Entry list'!$J397=5),'Entry list'!E397,"")</f>
        <v>59NSH</v>
      </c>
      <c r="F397" t="str">
        <f>IF(AND('Entry list'!$I397=5,'Entry list'!$J397=5),'Entry list'!F397,"")</f>
        <v>Y</v>
      </c>
      <c r="G397" t="str">
        <f>IF(AND('Entry list'!$I397=5,'Entry list'!$J397=5),'Entry list'!G397,"")</f>
        <v>R</v>
      </c>
      <c r="H397" t="str">
        <f>IF(AND('Entry list'!$I397=5,'Entry list'!$J397=5),'Entry list'!H397,"")</f>
        <v>N</v>
      </c>
      <c r="I397" t="str">
        <f>IF(AND('Entry list'!$I397=5,'Entry list'!$J397=5),'Entry list'!K397,"")</f>
        <v>71DET</v>
      </c>
      <c r="J397">
        <f>IF(AND('Entry list'!$I397=5,'Entry list'!$J397=5),'Entry list'!L397,"")</f>
        <v>2</v>
      </c>
      <c r="K397">
        <f>IF(AND('Entry list'!$I397=5,'Entry list'!$J397=5),'Entry list'!M397,"")</f>
        <v>0</v>
      </c>
      <c r="L397" t="str">
        <f>IF(AND('Entry list'!$I397=5,'Entry list'!$J397=5),'Entry list'!N397,"")</f>
        <v/>
      </c>
      <c r="M397">
        <f t="shared" si="18"/>
        <v>0</v>
      </c>
      <c r="N397">
        <f t="shared" si="19"/>
        <v>0</v>
      </c>
      <c r="O397" t="str">
        <f t="shared" si="20"/>
        <v/>
      </c>
    </row>
    <row r="398" spans="1:15" x14ac:dyDescent="0.25">
      <c r="A398" t="str">
        <f>IF(AND('Entry list'!$I398=5,'Entry list'!$J398=5),'Entry list'!A398,"")</f>
        <v/>
      </c>
      <c r="B398" t="str">
        <f>IF(AND('Entry list'!$I398=5,'Entry list'!$J398=5),'Entry list'!B398,"")</f>
        <v/>
      </c>
      <c r="C398" t="str">
        <f>IF(AND('Entry list'!$I398=5,'Entry list'!$J398=5),'Entry list'!C398,"")</f>
        <v/>
      </c>
      <c r="D398" t="str">
        <f>IF(AND('Entry list'!$I398=5,'Entry list'!$J398=5),'Entry list'!D398,"")</f>
        <v/>
      </c>
      <c r="E398" t="str">
        <f>IF(AND('Entry list'!$I398=5,'Entry list'!$J398=5),'Entry list'!E398,"")</f>
        <v/>
      </c>
      <c r="F398" t="str">
        <f>IF(AND('Entry list'!$I398=5,'Entry list'!$J398=5),'Entry list'!F398,"")</f>
        <v/>
      </c>
      <c r="G398" t="str">
        <f>IF(AND('Entry list'!$I398=5,'Entry list'!$J398=5),'Entry list'!G398,"")</f>
        <v/>
      </c>
      <c r="H398" t="str">
        <f>IF(AND('Entry list'!$I398=5,'Entry list'!$J398=5),'Entry list'!H398,"")</f>
        <v/>
      </c>
      <c r="I398" t="str">
        <f>IF(AND('Entry list'!$I398=5,'Entry list'!$J398=5),'Entry list'!K398,"")</f>
        <v/>
      </c>
      <c r="J398" t="str">
        <f>IF(AND('Entry list'!$I398=5,'Entry list'!$J398=5),'Entry list'!L398,"")</f>
        <v/>
      </c>
      <c r="K398" t="str">
        <f>IF(AND('Entry list'!$I398=5,'Entry list'!$J398=5),'Entry list'!M398,"")</f>
        <v/>
      </c>
      <c r="L398" t="str">
        <f>IF(AND('Entry list'!$I398=5,'Entry list'!$J398=5),'Entry list'!N398,"")</f>
        <v/>
      </c>
      <c r="M398" t="str">
        <f t="shared" si="18"/>
        <v/>
      </c>
      <c r="N398" t="str">
        <f t="shared" si="19"/>
        <v/>
      </c>
      <c r="O398" t="str">
        <f t="shared" si="20"/>
        <v/>
      </c>
    </row>
    <row r="399" spans="1:15" x14ac:dyDescent="0.25">
      <c r="A399" t="str">
        <f>IF(AND('Entry list'!$I399=5,'Entry list'!$J399=5),'Entry list'!A399,"")</f>
        <v/>
      </c>
      <c r="B399" t="str">
        <f>IF(AND('Entry list'!$I399=5,'Entry list'!$J399=5),'Entry list'!B399,"")</f>
        <v/>
      </c>
      <c r="C399" t="str">
        <f>IF(AND('Entry list'!$I399=5,'Entry list'!$J399=5),'Entry list'!C399,"")</f>
        <v/>
      </c>
      <c r="D399" t="str">
        <f>IF(AND('Entry list'!$I399=5,'Entry list'!$J399=5),'Entry list'!D399,"")</f>
        <v/>
      </c>
      <c r="E399" t="str">
        <f>IF(AND('Entry list'!$I399=5,'Entry list'!$J399=5),'Entry list'!E399,"")</f>
        <v/>
      </c>
      <c r="F399" t="str">
        <f>IF(AND('Entry list'!$I399=5,'Entry list'!$J399=5),'Entry list'!F399,"")</f>
        <v/>
      </c>
      <c r="G399" t="str">
        <f>IF(AND('Entry list'!$I399=5,'Entry list'!$J399=5),'Entry list'!G399,"")</f>
        <v/>
      </c>
      <c r="H399" t="str">
        <f>IF(AND('Entry list'!$I399=5,'Entry list'!$J399=5),'Entry list'!H399,"")</f>
        <v/>
      </c>
      <c r="I399" t="str">
        <f>IF(AND('Entry list'!$I399=5,'Entry list'!$J399=5),'Entry list'!K399,"")</f>
        <v/>
      </c>
      <c r="J399" t="str">
        <f>IF(AND('Entry list'!$I399=5,'Entry list'!$J399=5),'Entry list'!L399,"")</f>
        <v/>
      </c>
      <c r="K399" t="str">
        <f>IF(AND('Entry list'!$I399=5,'Entry list'!$J399=5),'Entry list'!M399,"")</f>
        <v/>
      </c>
      <c r="L399" t="str">
        <f>IF(AND('Entry list'!$I399=5,'Entry list'!$J399=5),'Entry list'!N399,"")</f>
        <v/>
      </c>
      <c r="M399" t="str">
        <f t="shared" si="18"/>
        <v/>
      </c>
      <c r="N399" t="str">
        <f t="shared" si="19"/>
        <v/>
      </c>
      <c r="O399" t="str">
        <f t="shared" si="20"/>
        <v/>
      </c>
    </row>
    <row r="400" spans="1:15" x14ac:dyDescent="0.25">
      <c r="A400" t="str">
        <f>IF(AND('Entry list'!$I400=5,'Entry list'!$J400=5),'Entry list'!A400,"")</f>
        <v/>
      </c>
      <c r="B400" t="str">
        <f>IF(AND('Entry list'!$I400=5,'Entry list'!$J400=5),'Entry list'!B400,"")</f>
        <v/>
      </c>
      <c r="C400" t="str">
        <f>IF(AND('Entry list'!$I400=5,'Entry list'!$J400=5),'Entry list'!C400,"")</f>
        <v/>
      </c>
      <c r="D400" t="str">
        <f>IF(AND('Entry list'!$I400=5,'Entry list'!$J400=5),'Entry list'!D400,"")</f>
        <v/>
      </c>
      <c r="E400" t="str">
        <f>IF(AND('Entry list'!$I400=5,'Entry list'!$J400=5),'Entry list'!E400,"")</f>
        <v/>
      </c>
      <c r="F400" t="str">
        <f>IF(AND('Entry list'!$I400=5,'Entry list'!$J400=5),'Entry list'!F400,"")</f>
        <v/>
      </c>
      <c r="G400" t="str">
        <f>IF(AND('Entry list'!$I400=5,'Entry list'!$J400=5),'Entry list'!G400,"")</f>
        <v/>
      </c>
      <c r="H400" t="str">
        <f>IF(AND('Entry list'!$I400=5,'Entry list'!$J400=5),'Entry list'!H400,"")</f>
        <v/>
      </c>
      <c r="I400" t="str">
        <f>IF(AND('Entry list'!$I400=5,'Entry list'!$J400=5),'Entry list'!K400,"")</f>
        <v/>
      </c>
      <c r="J400" t="str">
        <f>IF(AND('Entry list'!$I400=5,'Entry list'!$J400=5),'Entry list'!L400,"")</f>
        <v/>
      </c>
      <c r="K400" t="str">
        <f>IF(AND('Entry list'!$I400=5,'Entry list'!$J400=5),'Entry list'!M400,"")</f>
        <v/>
      </c>
      <c r="L400" t="str">
        <f>IF(AND('Entry list'!$I400=5,'Entry list'!$J400=5),'Entry list'!N400,"")</f>
        <v/>
      </c>
      <c r="M400" t="str">
        <f t="shared" si="18"/>
        <v/>
      </c>
      <c r="N400" t="str">
        <f t="shared" si="19"/>
        <v/>
      </c>
      <c r="O400" t="str">
        <f t="shared" si="20"/>
        <v/>
      </c>
    </row>
    <row r="401" spans="1:15" x14ac:dyDescent="0.25">
      <c r="A401" t="str">
        <f>IF(AND('Entry list'!$I401=5,'Entry list'!$J401=5),'Entry list'!A401,"")</f>
        <v/>
      </c>
      <c r="B401" t="str">
        <f>IF(AND('Entry list'!$I401=5,'Entry list'!$J401=5),'Entry list'!B401,"")</f>
        <v/>
      </c>
      <c r="C401" t="str">
        <f>IF(AND('Entry list'!$I401=5,'Entry list'!$J401=5),'Entry list'!C401,"")</f>
        <v/>
      </c>
      <c r="D401" t="str">
        <f>IF(AND('Entry list'!$I401=5,'Entry list'!$J401=5),'Entry list'!D401,"")</f>
        <v/>
      </c>
      <c r="E401" t="str">
        <f>IF(AND('Entry list'!$I401=5,'Entry list'!$J401=5),'Entry list'!E401,"")</f>
        <v/>
      </c>
      <c r="F401" t="str">
        <f>IF(AND('Entry list'!$I401=5,'Entry list'!$J401=5),'Entry list'!F401,"")</f>
        <v/>
      </c>
      <c r="G401" t="str">
        <f>IF(AND('Entry list'!$I401=5,'Entry list'!$J401=5),'Entry list'!G401,"")</f>
        <v/>
      </c>
      <c r="H401" t="str">
        <f>IF(AND('Entry list'!$I401=5,'Entry list'!$J401=5),'Entry list'!H401,"")</f>
        <v/>
      </c>
      <c r="I401" t="str">
        <f>IF(AND('Entry list'!$I401=5,'Entry list'!$J401=5),'Entry list'!K401,"")</f>
        <v/>
      </c>
      <c r="J401" t="str">
        <f>IF(AND('Entry list'!$I401=5,'Entry list'!$J401=5),'Entry list'!L401,"")</f>
        <v/>
      </c>
      <c r="K401" t="str">
        <f>IF(AND('Entry list'!$I401=5,'Entry list'!$J401=5),'Entry list'!M401,"")</f>
        <v/>
      </c>
      <c r="L401" t="str">
        <f>IF(AND('Entry list'!$I401=5,'Entry list'!$J401=5),'Entry list'!N401,"")</f>
        <v/>
      </c>
      <c r="M401" t="str">
        <f t="shared" si="18"/>
        <v/>
      </c>
      <c r="N401" t="str">
        <f t="shared" si="19"/>
        <v/>
      </c>
      <c r="O401" t="str">
        <f t="shared" si="20"/>
        <v/>
      </c>
    </row>
    <row r="402" spans="1:15" x14ac:dyDescent="0.25">
      <c r="A402" t="str">
        <f>IF(AND('Entry list'!$I402=5,'Entry list'!$J402=5),'Entry list'!A402,"")</f>
        <v/>
      </c>
      <c r="B402" t="str">
        <f>IF(AND('Entry list'!$I402=5,'Entry list'!$J402=5),'Entry list'!B402,"")</f>
        <v/>
      </c>
      <c r="C402" t="str">
        <f>IF(AND('Entry list'!$I402=5,'Entry list'!$J402=5),'Entry list'!C402,"")</f>
        <v/>
      </c>
      <c r="D402" t="str">
        <f>IF(AND('Entry list'!$I402=5,'Entry list'!$J402=5),'Entry list'!D402,"")</f>
        <v/>
      </c>
      <c r="E402" t="str">
        <f>IF(AND('Entry list'!$I402=5,'Entry list'!$J402=5),'Entry list'!E402,"")</f>
        <v/>
      </c>
      <c r="F402" t="str">
        <f>IF(AND('Entry list'!$I402=5,'Entry list'!$J402=5),'Entry list'!F402,"")</f>
        <v/>
      </c>
      <c r="G402" t="str">
        <f>IF(AND('Entry list'!$I402=5,'Entry list'!$J402=5),'Entry list'!G402,"")</f>
        <v/>
      </c>
      <c r="H402" t="str">
        <f>IF(AND('Entry list'!$I402=5,'Entry list'!$J402=5),'Entry list'!H402,"")</f>
        <v/>
      </c>
      <c r="I402" t="str">
        <f>IF(AND('Entry list'!$I402=5,'Entry list'!$J402=5),'Entry list'!K402,"")</f>
        <v/>
      </c>
      <c r="J402" t="str">
        <f>IF(AND('Entry list'!$I402=5,'Entry list'!$J402=5),'Entry list'!L402,"")</f>
        <v/>
      </c>
      <c r="K402" t="str">
        <f>IF(AND('Entry list'!$I402=5,'Entry list'!$J402=5),'Entry list'!M402,"")</f>
        <v/>
      </c>
      <c r="L402" t="str">
        <f>IF(AND('Entry list'!$I402=5,'Entry list'!$J402=5),'Entry list'!N402,"")</f>
        <v/>
      </c>
      <c r="M402" t="str">
        <f t="shared" si="18"/>
        <v/>
      </c>
      <c r="N402" t="str">
        <f t="shared" si="19"/>
        <v/>
      </c>
      <c r="O402" t="str">
        <f t="shared" si="20"/>
        <v/>
      </c>
    </row>
    <row r="403" spans="1:15" x14ac:dyDescent="0.25">
      <c r="A403" t="str">
        <f>IF(AND('Entry list'!$I403=5,'Entry list'!$J403=5),'Entry list'!A403,"")</f>
        <v/>
      </c>
      <c r="B403" t="str">
        <f>IF(AND('Entry list'!$I403=5,'Entry list'!$J403=5),'Entry list'!B403,"")</f>
        <v/>
      </c>
      <c r="C403" t="str">
        <f>IF(AND('Entry list'!$I403=5,'Entry list'!$J403=5),'Entry list'!C403,"")</f>
        <v/>
      </c>
      <c r="D403" t="str">
        <f>IF(AND('Entry list'!$I403=5,'Entry list'!$J403=5),'Entry list'!D403,"")</f>
        <v/>
      </c>
      <c r="E403" t="str">
        <f>IF(AND('Entry list'!$I403=5,'Entry list'!$J403=5),'Entry list'!E403,"")</f>
        <v/>
      </c>
      <c r="F403" t="str">
        <f>IF(AND('Entry list'!$I403=5,'Entry list'!$J403=5),'Entry list'!F403,"")</f>
        <v/>
      </c>
      <c r="G403" t="str">
        <f>IF(AND('Entry list'!$I403=5,'Entry list'!$J403=5),'Entry list'!G403,"")</f>
        <v/>
      </c>
      <c r="H403" t="str">
        <f>IF(AND('Entry list'!$I403=5,'Entry list'!$J403=5),'Entry list'!H403,"")</f>
        <v/>
      </c>
      <c r="I403" t="str">
        <f>IF(AND('Entry list'!$I403=5,'Entry list'!$J403=5),'Entry list'!K403,"")</f>
        <v/>
      </c>
      <c r="J403" t="str">
        <f>IF(AND('Entry list'!$I403=5,'Entry list'!$J403=5),'Entry list'!L403,"")</f>
        <v/>
      </c>
      <c r="K403" t="str">
        <f>IF(AND('Entry list'!$I403=5,'Entry list'!$J403=5),'Entry list'!M403,"")</f>
        <v/>
      </c>
      <c r="L403" t="str">
        <f>IF(AND('Entry list'!$I403=5,'Entry list'!$J403=5),'Entry list'!N403,"")</f>
        <v/>
      </c>
      <c r="M403" t="str">
        <f t="shared" si="18"/>
        <v/>
      </c>
      <c r="N403" t="str">
        <f t="shared" si="19"/>
        <v/>
      </c>
      <c r="O403" t="str">
        <f t="shared" si="20"/>
        <v/>
      </c>
    </row>
    <row r="404" spans="1:15" x14ac:dyDescent="0.25">
      <c r="A404" t="str">
        <f>IF(AND('Entry list'!$I404=5,'Entry list'!$J404=5),'Entry list'!A404,"")</f>
        <v/>
      </c>
      <c r="B404" t="str">
        <f>IF(AND('Entry list'!$I404=5,'Entry list'!$J404=5),'Entry list'!B404,"")</f>
        <v/>
      </c>
      <c r="C404" t="str">
        <f>IF(AND('Entry list'!$I404=5,'Entry list'!$J404=5),'Entry list'!C404,"")</f>
        <v/>
      </c>
      <c r="D404" t="str">
        <f>IF(AND('Entry list'!$I404=5,'Entry list'!$J404=5),'Entry list'!D404,"")</f>
        <v/>
      </c>
      <c r="E404" t="str">
        <f>IF(AND('Entry list'!$I404=5,'Entry list'!$J404=5),'Entry list'!E404,"")</f>
        <v/>
      </c>
      <c r="F404" t="str">
        <f>IF(AND('Entry list'!$I404=5,'Entry list'!$J404=5),'Entry list'!F404,"")</f>
        <v/>
      </c>
      <c r="G404" t="str">
        <f>IF(AND('Entry list'!$I404=5,'Entry list'!$J404=5),'Entry list'!G404,"")</f>
        <v/>
      </c>
      <c r="H404" t="str">
        <f>IF(AND('Entry list'!$I404=5,'Entry list'!$J404=5),'Entry list'!H404,"")</f>
        <v/>
      </c>
      <c r="I404" t="str">
        <f>IF(AND('Entry list'!$I404=5,'Entry list'!$J404=5),'Entry list'!K404,"")</f>
        <v/>
      </c>
      <c r="J404" t="str">
        <f>IF(AND('Entry list'!$I404=5,'Entry list'!$J404=5),'Entry list'!L404,"")</f>
        <v/>
      </c>
      <c r="K404" t="str">
        <f>IF(AND('Entry list'!$I404=5,'Entry list'!$J404=5),'Entry list'!M404,"")</f>
        <v/>
      </c>
      <c r="L404" t="str">
        <f>IF(AND('Entry list'!$I404=5,'Entry list'!$J404=5),'Entry list'!N404,"")</f>
        <v/>
      </c>
      <c r="M404" t="str">
        <f t="shared" si="18"/>
        <v/>
      </c>
      <c r="N404" t="str">
        <f t="shared" si="19"/>
        <v/>
      </c>
      <c r="O404" t="str">
        <f t="shared" si="20"/>
        <v/>
      </c>
    </row>
    <row r="405" spans="1:15" x14ac:dyDescent="0.25">
      <c r="A405" t="str">
        <f>IF(AND('Entry list'!$I405=5,'Entry list'!$J405=5),'Entry list'!A405,"")</f>
        <v/>
      </c>
      <c r="B405" t="str">
        <f>IF(AND('Entry list'!$I405=5,'Entry list'!$J405=5),'Entry list'!B405,"")</f>
        <v/>
      </c>
      <c r="C405" t="str">
        <f>IF(AND('Entry list'!$I405=5,'Entry list'!$J405=5),'Entry list'!C405,"")</f>
        <v/>
      </c>
      <c r="D405" t="str">
        <f>IF(AND('Entry list'!$I405=5,'Entry list'!$J405=5),'Entry list'!D405,"")</f>
        <v/>
      </c>
      <c r="E405" t="str">
        <f>IF(AND('Entry list'!$I405=5,'Entry list'!$J405=5),'Entry list'!E405,"")</f>
        <v/>
      </c>
      <c r="F405" t="str">
        <f>IF(AND('Entry list'!$I405=5,'Entry list'!$J405=5),'Entry list'!F405,"")</f>
        <v/>
      </c>
      <c r="G405" t="str">
        <f>IF(AND('Entry list'!$I405=5,'Entry list'!$J405=5),'Entry list'!G405,"")</f>
        <v/>
      </c>
      <c r="H405" t="str">
        <f>IF(AND('Entry list'!$I405=5,'Entry list'!$J405=5),'Entry list'!H405,"")</f>
        <v/>
      </c>
      <c r="I405" t="str">
        <f>IF(AND('Entry list'!$I405=5,'Entry list'!$J405=5),'Entry list'!K405,"")</f>
        <v/>
      </c>
      <c r="J405" t="str">
        <f>IF(AND('Entry list'!$I405=5,'Entry list'!$J405=5),'Entry list'!L405,"")</f>
        <v/>
      </c>
      <c r="K405" t="str">
        <f>IF(AND('Entry list'!$I405=5,'Entry list'!$J405=5),'Entry list'!M405,"")</f>
        <v/>
      </c>
      <c r="L405" t="str">
        <f>IF(AND('Entry list'!$I405=5,'Entry list'!$J405=5),'Entry list'!N405,"")</f>
        <v/>
      </c>
      <c r="M405" t="str">
        <f t="shared" si="18"/>
        <v/>
      </c>
      <c r="N405" t="str">
        <f t="shared" si="19"/>
        <v/>
      </c>
      <c r="O405" t="str">
        <f t="shared" si="20"/>
        <v/>
      </c>
    </row>
    <row r="406" spans="1:15" x14ac:dyDescent="0.25">
      <c r="A406" t="str">
        <f>IF(AND('Entry list'!$I406=5,'Entry list'!$J406=5),'Entry list'!A406,"")</f>
        <v/>
      </c>
      <c r="B406" t="str">
        <f>IF(AND('Entry list'!$I406=5,'Entry list'!$J406=5),'Entry list'!B406,"")</f>
        <v/>
      </c>
      <c r="C406" t="str">
        <f>IF(AND('Entry list'!$I406=5,'Entry list'!$J406=5),'Entry list'!C406,"")</f>
        <v/>
      </c>
      <c r="D406" t="str">
        <f>IF(AND('Entry list'!$I406=5,'Entry list'!$J406=5),'Entry list'!D406,"")</f>
        <v/>
      </c>
      <c r="E406" t="str">
        <f>IF(AND('Entry list'!$I406=5,'Entry list'!$J406=5),'Entry list'!E406,"")</f>
        <v/>
      </c>
      <c r="F406" t="str">
        <f>IF(AND('Entry list'!$I406=5,'Entry list'!$J406=5),'Entry list'!F406,"")</f>
        <v/>
      </c>
      <c r="G406" t="str">
        <f>IF(AND('Entry list'!$I406=5,'Entry list'!$J406=5),'Entry list'!G406,"")</f>
        <v/>
      </c>
      <c r="H406" t="str">
        <f>IF(AND('Entry list'!$I406=5,'Entry list'!$J406=5),'Entry list'!H406,"")</f>
        <v/>
      </c>
      <c r="I406" t="str">
        <f>IF(AND('Entry list'!$I406=5,'Entry list'!$J406=5),'Entry list'!K406,"")</f>
        <v/>
      </c>
      <c r="J406" t="str">
        <f>IF(AND('Entry list'!$I406=5,'Entry list'!$J406=5),'Entry list'!L406,"")</f>
        <v/>
      </c>
      <c r="K406" t="str">
        <f>IF(AND('Entry list'!$I406=5,'Entry list'!$J406=5),'Entry list'!M406,"")</f>
        <v/>
      </c>
      <c r="L406" t="str">
        <f>IF(AND('Entry list'!$I406=5,'Entry list'!$J406=5),'Entry list'!N406,"")</f>
        <v/>
      </c>
      <c r="M406" t="str">
        <f t="shared" si="18"/>
        <v/>
      </c>
      <c r="N406" t="str">
        <f t="shared" si="19"/>
        <v/>
      </c>
      <c r="O406" t="str">
        <f t="shared" si="20"/>
        <v/>
      </c>
    </row>
    <row r="407" spans="1:15" x14ac:dyDescent="0.25">
      <c r="A407" t="str">
        <f>IF(AND('Entry list'!$I407=5,'Entry list'!$J407=5),'Entry list'!A407,"")</f>
        <v/>
      </c>
      <c r="B407" t="str">
        <f>IF(AND('Entry list'!$I407=5,'Entry list'!$J407=5),'Entry list'!B407,"")</f>
        <v/>
      </c>
      <c r="C407" t="str">
        <f>IF(AND('Entry list'!$I407=5,'Entry list'!$J407=5),'Entry list'!C407,"")</f>
        <v/>
      </c>
      <c r="D407" t="str">
        <f>IF(AND('Entry list'!$I407=5,'Entry list'!$J407=5),'Entry list'!D407,"")</f>
        <v/>
      </c>
      <c r="E407" t="str">
        <f>IF(AND('Entry list'!$I407=5,'Entry list'!$J407=5),'Entry list'!E407,"")</f>
        <v/>
      </c>
      <c r="F407" t="str">
        <f>IF(AND('Entry list'!$I407=5,'Entry list'!$J407=5),'Entry list'!F407,"")</f>
        <v/>
      </c>
      <c r="G407" t="str">
        <f>IF(AND('Entry list'!$I407=5,'Entry list'!$J407=5),'Entry list'!G407,"")</f>
        <v/>
      </c>
      <c r="H407" t="str">
        <f>IF(AND('Entry list'!$I407=5,'Entry list'!$J407=5),'Entry list'!H407,"")</f>
        <v/>
      </c>
      <c r="I407" t="str">
        <f>IF(AND('Entry list'!$I407=5,'Entry list'!$J407=5),'Entry list'!K407,"")</f>
        <v/>
      </c>
      <c r="J407" t="str">
        <f>IF(AND('Entry list'!$I407=5,'Entry list'!$J407=5),'Entry list'!L407,"")</f>
        <v/>
      </c>
      <c r="K407" t="str">
        <f>IF(AND('Entry list'!$I407=5,'Entry list'!$J407=5),'Entry list'!M407,"")</f>
        <v/>
      </c>
      <c r="L407" t="str">
        <f>IF(AND('Entry list'!$I407=5,'Entry list'!$J407=5),'Entry list'!N407,"")</f>
        <v/>
      </c>
      <c r="M407" t="str">
        <f t="shared" si="18"/>
        <v/>
      </c>
      <c r="N407" t="str">
        <f t="shared" si="19"/>
        <v/>
      </c>
      <c r="O407" t="str">
        <f t="shared" si="20"/>
        <v/>
      </c>
    </row>
    <row r="408" spans="1:15" x14ac:dyDescent="0.25">
      <c r="A408" t="str">
        <f>IF(AND('Entry list'!$I408=5,'Entry list'!$J408=5),'Entry list'!A408,"")</f>
        <v/>
      </c>
      <c r="B408" t="str">
        <f>IF(AND('Entry list'!$I408=5,'Entry list'!$J408=5),'Entry list'!B408,"")</f>
        <v/>
      </c>
      <c r="C408" t="str">
        <f>IF(AND('Entry list'!$I408=5,'Entry list'!$J408=5),'Entry list'!C408,"")</f>
        <v/>
      </c>
      <c r="D408" t="str">
        <f>IF(AND('Entry list'!$I408=5,'Entry list'!$J408=5),'Entry list'!D408,"")</f>
        <v/>
      </c>
      <c r="E408" t="str">
        <f>IF(AND('Entry list'!$I408=5,'Entry list'!$J408=5),'Entry list'!E408,"")</f>
        <v/>
      </c>
      <c r="F408" t="str">
        <f>IF(AND('Entry list'!$I408=5,'Entry list'!$J408=5),'Entry list'!F408,"")</f>
        <v/>
      </c>
      <c r="G408" t="str">
        <f>IF(AND('Entry list'!$I408=5,'Entry list'!$J408=5),'Entry list'!G408,"")</f>
        <v/>
      </c>
      <c r="H408" t="str">
        <f>IF(AND('Entry list'!$I408=5,'Entry list'!$J408=5),'Entry list'!H408,"")</f>
        <v/>
      </c>
      <c r="I408" t="str">
        <f>IF(AND('Entry list'!$I408=5,'Entry list'!$J408=5),'Entry list'!K408,"")</f>
        <v/>
      </c>
      <c r="J408" t="str">
        <f>IF(AND('Entry list'!$I408=5,'Entry list'!$J408=5),'Entry list'!L408,"")</f>
        <v/>
      </c>
      <c r="K408" t="str">
        <f>IF(AND('Entry list'!$I408=5,'Entry list'!$J408=5),'Entry list'!M408,"")</f>
        <v/>
      </c>
      <c r="L408" t="str">
        <f>IF(AND('Entry list'!$I408=5,'Entry list'!$J408=5),'Entry list'!N408,"")</f>
        <v/>
      </c>
      <c r="M408" t="str">
        <f t="shared" si="18"/>
        <v/>
      </c>
      <c r="N408" t="str">
        <f t="shared" si="19"/>
        <v/>
      </c>
      <c r="O408" t="str">
        <f t="shared" si="20"/>
        <v/>
      </c>
    </row>
    <row r="409" spans="1:15" x14ac:dyDescent="0.25">
      <c r="A409" t="str">
        <f>IF(AND('Entry list'!$I409=5,'Entry list'!$J409=5),'Entry list'!A409,"")</f>
        <v/>
      </c>
      <c r="B409" t="str">
        <f>IF(AND('Entry list'!$I409=5,'Entry list'!$J409=5),'Entry list'!B409,"")</f>
        <v/>
      </c>
      <c r="C409" t="str">
        <f>IF(AND('Entry list'!$I409=5,'Entry list'!$J409=5),'Entry list'!C409,"")</f>
        <v/>
      </c>
      <c r="D409" t="str">
        <f>IF(AND('Entry list'!$I409=5,'Entry list'!$J409=5),'Entry list'!D409,"")</f>
        <v/>
      </c>
      <c r="E409" t="str">
        <f>IF(AND('Entry list'!$I409=5,'Entry list'!$J409=5),'Entry list'!E409,"")</f>
        <v/>
      </c>
      <c r="F409" t="str">
        <f>IF(AND('Entry list'!$I409=5,'Entry list'!$J409=5),'Entry list'!F409,"")</f>
        <v/>
      </c>
      <c r="G409" t="str">
        <f>IF(AND('Entry list'!$I409=5,'Entry list'!$J409=5),'Entry list'!G409,"")</f>
        <v/>
      </c>
      <c r="H409" t="str">
        <f>IF(AND('Entry list'!$I409=5,'Entry list'!$J409=5),'Entry list'!H409,"")</f>
        <v/>
      </c>
      <c r="I409" t="str">
        <f>IF(AND('Entry list'!$I409=5,'Entry list'!$J409=5),'Entry list'!K409,"")</f>
        <v/>
      </c>
      <c r="J409" t="str">
        <f>IF(AND('Entry list'!$I409=5,'Entry list'!$J409=5),'Entry list'!L409,"")</f>
        <v/>
      </c>
      <c r="K409" t="str">
        <f>IF(AND('Entry list'!$I409=5,'Entry list'!$J409=5),'Entry list'!M409,"")</f>
        <v/>
      </c>
      <c r="L409" t="str">
        <f>IF(AND('Entry list'!$I409=5,'Entry list'!$J409=5),'Entry list'!N409,"")</f>
        <v/>
      </c>
      <c r="M409" t="str">
        <f t="shared" si="18"/>
        <v/>
      </c>
      <c r="N409" t="str">
        <f t="shared" si="19"/>
        <v/>
      </c>
      <c r="O409" t="str">
        <f t="shared" si="20"/>
        <v/>
      </c>
    </row>
    <row r="410" spans="1:15" x14ac:dyDescent="0.25">
      <c r="A410" t="str">
        <f>IF(AND('Entry list'!$I410=5,'Entry list'!$J410=5),'Entry list'!A410,"")</f>
        <v/>
      </c>
      <c r="B410" t="str">
        <f>IF(AND('Entry list'!$I410=5,'Entry list'!$J410=5),'Entry list'!B410,"")</f>
        <v/>
      </c>
      <c r="C410" t="str">
        <f>IF(AND('Entry list'!$I410=5,'Entry list'!$J410=5),'Entry list'!C410,"")</f>
        <v/>
      </c>
      <c r="D410" t="str">
        <f>IF(AND('Entry list'!$I410=5,'Entry list'!$J410=5),'Entry list'!D410,"")</f>
        <v/>
      </c>
      <c r="E410" t="str">
        <f>IF(AND('Entry list'!$I410=5,'Entry list'!$J410=5),'Entry list'!E410,"")</f>
        <v/>
      </c>
      <c r="F410" t="str">
        <f>IF(AND('Entry list'!$I410=5,'Entry list'!$J410=5),'Entry list'!F410,"")</f>
        <v/>
      </c>
      <c r="G410" t="str">
        <f>IF(AND('Entry list'!$I410=5,'Entry list'!$J410=5),'Entry list'!G410,"")</f>
        <v/>
      </c>
      <c r="H410" t="str">
        <f>IF(AND('Entry list'!$I410=5,'Entry list'!$J410=5),'Entry list'!H410,"")</f>
        <v/>
      </c>
      <c r="I410" t="str">
        <f>IF(AND('Entry list'!$I410=5,'Entry list'!$J410=5),'Entry list'!K410,"")</f>
        <v/>
      </c>
      <c r="J410" t="str">
        <f>IF(AND('Entry list'!$I410=5,'Entry list'!$J410=5),'Entry list'!L410,"")</f>
        <v/>
      </c>
      <c r="K410" t="str">
        <f>IF(AND('Entry list'!$I410=5,'Entry list'!$J410=5),'Entry list'!M410,"")</f>
        <v/>
      </c>
      <c r="L410" t="str">
        <f>IF(AND('Entry list'!$I410=5,'Entry list'!$J410=5),'Entry list'!N410,"")</f>
        <v/>
      </c>
      <c r="M410" t="str">
        <f t="shared" si="18"/>
        <v/>
      </c>
      <c r="N410" t="str">
        <f t="shared" si="19"/>
        <v/>
      </c>
      <c r="O410" t="str">
        <f t="shared" si="20"/>
        <v/>
      </c>
    </row>
    <row r="411" spans="1:15" x14ac:dyDescent="0.25">
      <c r="A411" t="str">
        <f>IF(AND('Entry list'!$I411=5,'Entry list'!$J411=5),'Entry list'!A411,"")</f>
        <v/>
      </c>
      <c r="B411" t="str">
        <f>IF(AND('Entry list'!$I411=5,'Entry list'!$J411=5),'Entry list'!B411,"")</f>
        <v/>
      </c>
      <c r="C411" t="str">
        <f>IF(AND('Entry list'!$I411=5,'Entry list'!$J411=5),'Entry list'!C411,"")</f>
        <v/>
      </c>
      <c r="D411" t="str">
        <f>IF(AND('Entry list'!$I411=5,'Entry list'!$J411=5),'Entry list'!D411,"")</f>
        <v/>
      </c>
      <c r="E411" t="str">
        <f>IF(AND('Entry list'!$I411=5,'Entry list'!$J411=5),'Entry list'!E411,"")</f>
        <v/>
      </c>
      <c r="F411" t="str">
        <f>IF(AND('Entry list'!$I411=5,'Entry list'!$J411=5),'Entry list'!F411,"")</f>
        <v/>
      </c>
      <c r="G411" t="str">
        <f>IF(AND('Entry list'!$I411=5,'Entry list'!$J411=5),'Entry list'!G411,"")</f>
        <v/>
      </c>
      <c r="H411" t="str">
        <f>IF(AND('Entry list'!$I411=5,'Entry list'!$J411=5),'Entry list'!H411,"")</f>
        <v/>
      </c>
      <c r="I411" t="str">
        <f>IF(AND('Entry list'!$I411=5,'Entry list'!$J411=5),'Entry list'!K411,"")</f>
        <v/>
      </c>
      <c r="J411" t="str">
        <f>IF(AND('Entry list'!$I411=5,'Entry list'!$J411=5),'Entry list'!L411,"")</f>
        <v/>
      </c>
      <c r="K411" t="str">
        <f>IF(AND('Entry list'!$I411=5,'Entry list'!$J411=5),'Entry list'!M411,"")</f>
        <v/>
      </c>
      <c r="L411" t="str">
        <f>IF(AND('Entry list'!$I411=5,'Entry list'!$J411=5),'Entry list'!N411,"")</f>
        <v/>
      </c>
      <c r="M411" t="str">
        <f t="shared" si="18"/>
        <v/>
      </c>
      <c r="N411" t="str">
        <f t="shared" si="19"/>
        <v/>
      </c>
      <c r="O411" t="str">
        <f t="shared" si="20"/>
        <v/>
      </c>
    </row>
    <row r="412" spans="1:15" x14ac:dyDescent="0.25">
      <c r="A412" t="str">
        <f>IF(AND('Entry list'!$I412=5,'Entry list'!$J412=5),'Entry list'!A412,"")</f>
        <v/>
      </c>
      <c r="B412" t="str">
        <f>IF(AND('Entry list'!$I412=5,'Entry list'!$J412=5),'Entry list'!B412,"")</f>
        <v/>
      </c>
      <c r="C412" t="str">
        <f>IF(AND('Entry list'!$I412=5,'Entry list'!$J412=5),'Entry list'!C412,"")</f>
        <v/>
      </c>
      <c r="D412" t="str">
        <f>IF(AND('Entry list'!$I412=5,'Entry list'!$J412=5),'Entry list'!D412,"")</f>
        <v/>
      </c>
      <c r="E412" t="str">
        <f>IF(AND('Entry list'!$I412=5,'Entry list'!$J412=5),'Entry list'!E412,"")</f>
        <v/>
      </c>
      <c r="F412" t="str">
        <f>IF(AND('Entry list'!$I412=5,'Entry list'!$J412=5),'Entry list'!F412,"")</f>
        <v/>
      </c>
      <c r="G412" t="str">
        <f>IF(AND('Entry list'!$I412=5,'Entry list'!$J412=5),'Entry list'!G412,"")</f>
        <v/>
      </c>
      <c r="H412" t="str">
        <f>IF(AND('Entry list'!$I412=5,'Entry list'!$J412=5),'Entry list'!H412,"")</f>
        <v/>
      </c>
      <c r="I412" t="str">
        <f>IF(AND('Entry list'!$I412=5,'Entry list'!$J412=5),'Entry list'!K412,"")</f>
        <v/>
      </c>
      <c r="J412" t="str">
        <f>IF(AND('Entry list'!$I412=5,'Entry list'!$J412=5),'Entry list'!L412,"")</f>
        <v/>
      </c>
      <c r="K412" t="str">
        <f>IF(AND('Entry list'!$I412=5,'Entry list'!$J412=5),'Entry list'!M412,"")</f>
        <v/>
      </c>
      <c r="L412" t="str">
        <f>IF(AND('Entry list'!$I412=5,'Entry list'!$J412=5),'Entry list'!N412,"")</f>
        <v/>
      </c>
      <c r="M412" t="str">
        <f t="shared" si="18"/>
        <v/>
      </c>
      <c r="N412" t="str">
        <f t="shared" si="19"/>
        <v/>
      </c>
      <c r="O412" t="str">
        <f t="shared" si="20"/>
        <v/>
      </c>
    </row>
    <row r="413" spans="1:15" x14ac:dyDescent="0.25">
      <c r="A413" t="str">
        <f>IF(AND('Entry list'!$I413=5,'Entry list'!$J413=5),'Entry list'!A413,"")</f>
        <v/>
      </c>
      <c r="B413" t="str">
        <f>IF(AND('Entry list'!$I413=5,'Entry list'!$J413=5),'Entry list'!B413,"")</f>
        <v/>
      </c>
      <c r="C413" t="str">
        <f>IF(AND('Entry list'!$I413=5,'Entry list'!$J413=5),'Entry list'!C413,"")</f>
        <v/>
      </c>
      <c r="D413" t="str">
        <f>IF(AND('Entry list'!$I413=5,'Entry list'!$J413=5),'Entry list'!D413,"")</f>
        <v/>
      </c>
      <c r="E413" t="str">
        <f>IF(AND('Entry list'!$I413=5,'Entry list'!$J413=5),'Entry list'!E413,"")</f>
        <v/>
      </c>
      <c r="F413" t="str">
        <f>IF(AND('Entry list'!$I413=5,'Entry list'!$J413=5),'Entry list'!F413,"")</f>
        <v/>
      </c>
      <c r="G413" t="str">
        <f>IF(AND('Entry list'!$I413=5,'Entry list'!$J413=5),'Entry list'!G413,"")</f>
        <v/>
      </c>
      <c r="H413" t="str">
        <f>IF(AND('Entry list'!$I413=5,'Entry list'!$J413=5),'Entry list'!H413,"")</f>
        <v/>
      </c>
      <c r="I413" t="str">
        <f>IF(AND('Entry list'!$I413=5,'Entry list'!$J413=5),'Entry list'!K413,"")</f>
        <v/>
      </c>
      <c r="J413" t="str">
        <f>IF(AND('Entry list'!$I413=5,'Entry list'!$J413=5),'Entry list'!L413,"")</f>
        <v/>
      </c>
      <c r="K413" t="str">
        <f>IF(AND('Entry list'!$I413=5,'Entry list'!$J413=5),'Entry list'!M413,"")</f>
        <v/>
      </c>
      <c r="L413" t="str">
        <f>IF(AND('Entry list'!$I413=5,'Entry list'!$J413=5),'Entry list'!N413,"")</f>
        <v/>
      </c>
      <c r="M413" t="str">
        <f t="shared" si="18"/>
        <v/>
      </c>
      <c r="N413" t="str">
        <f t="shared" si="19"/>
        <v/>
      </c>
      <c r="O413" t="str">
        <f t="shared" si="20"/>
        <v/>
      </c>
    </row>
    <row r="414" spans="1:15" x14ac:dyDescent="0.25">
      <c r="A414" t="str">
        <f>IF(AND('Entry list'!$I414=5,'Entry list'!$J414=5),'Entry list'!A414,"")</f>
        <v/>
      </c>
      <c r="B414" t="str">
        <f>IF(AND('Entry list'!$I414=5,'Entry list'!$J414=5),'Entry list'!B414,"")</f>
        <v/>
      </c>
      <c r="C414" t="str">
        <f>IF(AND('Entry list'!$I414=5,'Entry list'!$J414=5),'Entry list'!C414,"")</f>
        <v/>
      </c>
      <c r="D414" t="str">
        <f>IF(AND('Entry list'!$I414=5,'Entry list'!$J414=5),'Entry list'!D414,"")</f>
        <v/>
      </c>
      <c r="E414" t="str">
        <f>IF(AND('Entry list'!$I414=5,'Entry list'!$J414=5),'Entry list'!E414,"")</f>
        <v/>
      </c>
      <c r="F414" t="str">
        <f>IF(AND('Entry list'!$I414=5,'Entry list'!$J414=5),'Entry list'!F414,"")</f>
        <v/>
      </c>
      <c r="G414" t="str">
        <f>IF(AND('Entry list'!$I414=5,'Entry list'!$J414=5),'Entry list'!G414,"")</f>
        <v/>
      </c>
      <c r="H414" t="str">
        <f>IF(AND('Entry list'!$I414=5,'Entry list'!$J414=5),'Entry list'!H414,"")</f>
        <v/>
      </c>
      <c r="I414" t="str">
        <f>IF(AND('Entry list'!$I414=5,'Entry list'!$J414=5),'Entry list'!K414,"")</f>
        <v/>
      </c>
      <c r="J414" t="str">
        <f>IF(AND('Entry list'!$I414=5,'Entry list'!$J414=5),'Entry list'!L414,"")</f>
        <v/>
      </c>
      <c r="K414" t="str">
        <f>IF(AND('Entry list'!$I414=5,'Entry list'!$J414=5),'Entry list'!M414,"")</f>
        <v/>
      </c>
      <c r="L414" t="str">
        <f>IF(AND('Entry list'!$I414=5,'Entry list'!$J414=5),'Entry list'!N414,"")</f>
        <v/>
      </c>
      <c r="M414" t="str">
        <f t="shared" si="18"/>
        <v/>
      </c>
      <c r="N414" t="str">
        <f t="shared" si="19"/>
        <v/>
      </c>
      <c r="O414" t="str">
        <f t="shared" si="20"/>
        <v/>
      </c>
    </row>
    <row r="415" spans="1:15" x14ac:dyDescent="0.25">
      <c r="A415" t="str">
        <f>IF(AND('Entry list'!$I415=5,'Entry list'!$J415=5),'Entry list'!A415,"")</f>
        <v/>
      </c>
      <c r="B415" t="str">
        <f>IF(AND('Entry list'!$I415=5,'Entry list'!$J415=5),'Entry list'!B415,"")</f>
        <v/>
      </c>
      <c r="C415" t="str">
        <f>IF(AND('Entry list'!$I415=5,'Entry list'!$J415=5),'Entry list'!C415,"")</f>
        <v/>
      </c>
      <c r="D415" t="str">
        <f>IF(AND('Entry list'!$I415=5,'Entry list'!$J415=5),'Entry list'!D415,"")</f>
        <v/>
      </c>
      <c r="E415" t="str">
        <f>IF(AND('Entry list'!$I415=5,'Entry list'!$J415=5),'Entry list'!E415,"")</f>
        <v/>
      </c>
      <c r="F415" t="str">
        <f>IF(AND('Entry list'!$I415=5,'Entry list'!$J415=5),'Entry list'!F415,"")</f>
        <v/>
      </c>
      <c r="G415" t="str">
        <f>IF(AND('Entry list'!$I415=5,'Entry list'!$J415=5),'Entry list'!G415,"")</f>
        <v/>
      </c>
      <c r="H415" t="str">
        <f>IF(AND('Entry list'!$I415=5,'Entry list'!$J415=5),'Entry list'!H415,"")</f>
        <v/>
      </c>
      <c r="I415" t="str">
        <f>IF(AND('Entry list'!$I415=5,'Entry list'!$J415=5),'Entry list'!K415,"")</f>
        <v/>
      </c>
      <c r="J415" t="str">
        <f>IF(AND('Entry list'!$I415=5,'Entry list'!$J415=5),'Entry list'!L415,"")</f>
        <v/>
      </c>
      <c r="K415" t="str">
        <f>IF(AND('Entry list'!$I415=5,'Entry list'!$J415=5),'Entry list'!M415,"")</f>
        <v/>
      </c>
      <c r="L415" t="str">
        <f>IF(AND('Entry list'!$I415=5,'Entry list'!$J415=5),'Entry list'!N415,"")</f>
        <v/>
      </c>
      <c r="M415" t="str">
        <f t="shared" si="18"/>
        <v/>
      </c>
      <c r="N415" t="str">
        <f t="shared" si="19"/>
        <v/>
      </c>
      <c r="O415" t="str">
        <f t="shared" si="20"/>
        <v/>
      </c>
    </row>
    <row r="416" spans="1:15" x14ac:dyDescent="0.25">
      <c r="A416">
        <f>IF(AND('Entry list'!$I416=5,'Entry list'!$J416=5),'Entry list'!A416,"")</f>
        <v>3</v>
      </c>
      <c r="B416">
        <f>IF(AND('Entry list'!$I416=5,'Entry list'!$J416=5),'Entry list'!B416,"")</f>
        <v>0.18124999999999999</v>
      </c>
      <c r="C416" t="str">
        <f>IF(AND('Entry list'!$I416=5,'Entry list'!$J416=5),'Entry list'!C416,"")</f>
        <v>C</v>
      </c>
      <c r="D416" t="str">
        <f>IF(AND('Entry list'!$I416=5,'Entry list'!$J416=5),'Entry list'!D416,"")</f>
        <v>25DET</v>
      </c>
      <c r="E416" t="str">
        <f>IF(AND('Entry list'!$I416=5,'Entry list'!$J416=5),'Entry list'!E416,"")</f>
        <v>14NSH</v>
      </c>
      <c r="F416" t="str">
        <f>IF(AND('Entry list'!$I416=5,'Entry list'!$J416=5),'Entry list'!F416,"")</f>
        <v>N</v>
      </c>
      <c r="G416" t="str">
        <f>IF(AND('Entry list'!$I416=5,'Entry list'!$J416=5),'Entry list'!G416,"")</f>
        <v>R</v>
      </c>
      <c r="H416" t="str">
        <f>IF(AND('Entry list'!$I416=5,'Entry list'!$J416=5),'Entry list'!H416,"")</f>
        <v>N</v>
      </c>
      <c r="I416" t="str">
        <f>IF(AND('Entry list'!$I416=5,'Entry list'!$J416=5),'Entry list'!K416,"")</f>
        <v>25DET</v>
      </c>
      <c r="J416">
        <f>IF(AND('Entry list'!$I416=5,'Entry list'!$J416=5),'Entry list'!L416,"")</f>
        <v>0</v>
      </c>
      <c r="K416">
        <f>IF(AND('Entry list'!$I416=5,'Entry list'!$J416=5),'Entry list'!M416,"")</f>
        <v>0</v>
      </c>
      <c r="L416" t="str">
        <f>IF(AND('Entry list'!$I416=5,'Entry list'!$J416=5),'Entry list'!N416,"")</f>
        <v/>
      </c>
      <c r="M416">
        <f t="shared" si="18"/>
        <v>0</v>
      </c>
      <c r="N416">
        <f t="shared" si="19"/>
        <v>0</v>
      </c>
      <c r="O416" t="str">
        <f t="shared" si="20"/>
        <v/>
      </c>
    </row>
    <row r="417" spans="1:15" x14ac:dyDescent="0.25">
      <c r="A417" t="str">
        <f>IF(AND('Entry list'!$I417=5,'Entry list'!$J417=5),'Entry list'!A417,"")</f>
        <v/>
      </c>
      <c r="B417" t="str">
        <f>IF(AND('Entry list'!$I417=5,'Entry list'!$J417=5),'Entry list'!B417,"")</f>
        <v/>
      </c>
      <c r="C417" t="str">
        <f>IF(AND('Entry list'!$I417=5,'Entry list'!$J417=5),'Entry list'!C417,"")</f>
        <v/>
      </c>
      <c r="D417" t="str">
        <f>IF(AND('Entry list'!$I417=5,'Entry list'!$J417=5),'Entry list'!D417,"")</f>
        <v/>
      </c>
      <c r="E417" t="str">
        <f>IF(AND('Entry list'!$I417=5,'Entry list'!$J417=5),'Entry list'!E417,"")</f>
        <v/>
      </c>
      <c r="F417" t="str">
        <f>IF(AND('Entry list'!$I417=5,'Entry list'!$J417=5),'Entry list'!F417,"")</f>
        <v/>
      </c>
      <c r="G417" t="str">
        <f>IF(AND('Entry list'!$I417=5,'Entry list'!$J417=5),'Entry list'!G417,"")</f>
        <v/>
      </c>
      <c r="H417" t="str">
        <f>IF(AND('Entry list'!$I417=5,'Entry list'!$J417=5),'Entry list'!H417,"")</f>
        <v/>
      </c>
      <c r="I417" t="str">
        <f>IF(AND('Entry list'!$I417=5,'Entry list'!$J417=5),'Entry list'!K417,"")</f>
        <v/>
      </c>
      <c r="J417" t="str">
        <f>IF(AND('Entry list'!$I417=5,'Entry list'!$J417=5),'Entry list'!L417,"")</f>
        <v/>
      </c>
      <c r="K417" t="str">
        <f>IF(AND('Entry list'!$I417=5,'Entry list'!$J417=5),'Entry list'!M417,"")</f>
        <v/>
      </c>
      <c r="L417" t="str">
        <f>IF(AND('Entry list'!$I417=5,'Entry list'!$J417=5),'Entry list'!N417,"")</f>
        <v/>
      </c>
      <c r="M417" t="str">
        <f t="shared" si="18"/>
        <v/>
      </c>
      <c r="N417" t="str">
        <f t="shared" si="19"/>
        <v/>
      </c>
      <c r="O417" t="str">
        <f t="shared" si="20"/>
        <v/>
      </c>
    </row>
    <row r="418" spans="1:15" x14ac:dyDescent="0.25">
      <c r="A418">
        <f>IF(AND('Entry list'!$I418=5,'Entry list'!$J418=5),'Entry list'!A418,"")</f>
        <v>3</v>
      </c>
      <c r="B418">
        <f>IF(AND('Entry list'!$I418=5,'Entry list'!$J418=5),'Entry list'!B418,"")</f>
        <v>0.16597222222222222</v>
      </c>
      <c r="C418" t="str">
        <f>IF(AND('Entry list'!$I418=5,'Entry list'!$J418=5),'Entry list'!C418,"")</f>
        <v>C</v>
      </c>
      <c r="D418" t="str">
        <f>IF(AND('Entry list'!$I418=5,'Entry list'!$J418=5),'Entry list'!D418,"")</f>
        <v>40DET</v>
      </c>
      <c r="E418" t="str">
        <f>IF(AND('Entry list'!$I418=5,'Entry list'!$J418=5),'Entry list'!E418,"")</f>
        <v>4NSH</v>
      </c>
      <c r="F418" t="str">
        <f>IF(AND('Entry list'!$I418=5,'Entry list'!$J418=5),'Entry list'!F418,"")</f>
        <v>N</v>
      </c>
      <c r="G418" t="str">
        <f>IF(AND('Entry list'!$I418=5,'Entry list'!$J418=5),'Entry list'!G418,"")</f>
        <v>L</v>
      </c>
      <c r="H418" t="str">
        <f>IF(AND('Entry list'!$I418=5,'Entry list'!$J418=5),'Entry list'!H418,"")</f>
        <v>N</v>
      </c>
      <c r="I418" t="str">
        <f>IF(AND('Entry list'!$I418=5,'Entry list'!$J418=5),'Entry list'!K418,"")</f>
        <v>40DET</v>
      </c>
      <c r="J418">
        <f>IF(AND('Entry list'!$I418=5,'Entry list'!$J418=5),'Entry list'!L418,"")</f>
        <v>0</v>
      </c>
      <c r="K418">
        <f>IF(AND('Entry list'!$I418=5,'Entry list'!$J418=5),'Entry list'!M418,"")</f>
        <v>0</v>
      </c>
      <c r="L418" t="str">
        <f>IF(AND('Entry list'!$I418=5,'Entry list'!$J418=5),'Entry list'!N418,"")</f>
        <v/>
      </c>
      <c r="M418">
        <f t="shared" si="18"/>
        <v>0</v>
      </c>
      <c r="N418">
        <f t="shared" si="19"/>
        <v>0</v>
      </c>
      <c r="O418" t="str">
        <f t="shared" si="20"/>
        <v/>
      </c>
    </row>
    <row r="419" spans="1:15" x14ac:dyDescent="0.25">
      <c r="A419">
        <f>IF(AND('Entry list'!$I419=5,'Entry list'!$J419=5),'Entry list'!A419,"")</f>
        <v>3</v>
      </c>
      <c r="B419">
        <f>IF(AND('Entry list'!$I419=5,'Entry list'!$J419=5),'Entry list'!B419,"")</f>
        <v>0.15972222222222224</v>
      </c>
      <c r="C419" t="str">
        <f>IF(AND('Entry list'!$I419=5,'Entry list'!$J419=5),'Entry list'!C419,"")</f>
        <v>C</v>
      </c>
      <c r="D419" t="str">
        <f>IF(AND('Entry list'!$I419=5,'Entry list'!$J419=5),'Entry list'!D419,"")</f>
        <v>38NSH</v>
      </c>
      <c r="E419" t="str">
        <f>IF(AND('Entry list'!$I419=5,'Entry list'!$J419=5),'Entry list'!E419,"")</f>
        <v>65DET</v>
      </c>
      <c r="F419" t="str">
        <f>IF(AND('Entry list'!$I419=5,'Entry list'!$J419=5),'Entry list'!F419,"")</f>
        <v>N</v>
      </c>
      <c r="G419" t="str">
        <f>IF(AND('Entry list'!$I419=5,'Entry list'!$J419=5),'Entry list'!G419,"")</f>
        <v>R</v>
      </c>
      <c r="H419" t="str">
        <f>IF(AND('Entry list'!$I419=5,'Entry list'!$J419=5),'Entry list'!H419,"")</f>
        <v>N</v>
      </c>
      <c r="I419" t="str">
        <f>IF(AND('Entry list'!$I419=5,'Entry list'!$J419=5),'Entry list'!K419,"")</f>
        <v>38NSH</v>
      </c>
      <c r="J419">
        <f>IF(AND('Entry list'!$I419=5,'Entry list'!$J419=5),'Entry list'!L419,"")</f>
        <v>0</v>
      </c>
      <c r="K419">
        <f>IF(AND('Entry list'!$I419=5,'Entry list'!$J419=5),'Entry list'!M419,"")</f>
        <v>0</v>
      </c>
      <c r="L419" t="str">
        <f>IF(AND('Entry list'!$I419=5,'Entry list'!$J419=5),'Entry list'!N419,"")</f>
        <v/>
      </c>
      <c r="M419">
        <f t="shared" si="18"/>
        <v>0</v>
      </c>
      <c r="N419">
        <f t="shared" si="19"/>
        <v>0</v>
      </c>
      <c r="O419" t="str">
        <f t="shared" si="20"/>
        <v/>
      </c>
    </row>
    <row r="420" spans="1:15" x14ac:dyDescent="0.25">
      <c r="A420" t="str">
        <f>IF(AND('Entry list'!$I420=5,'Entry list'!$J420=5),'Entry list'!A420,"")</f>
        <v/>
      </c>
      <c r="B420" t="str">
        <f>IF(AND('Entry list'!$I420=5,'Entry list'!$J420=5),'Entry list'!B420,"")</f>
        <v/>
      </c>
      <c r="C420" t="str">
        <f>IF(AND('Entry list'!$I420=5,'Entry list'!$J420=5),'Entry list'!C420,"")</f>
        <v/>
      </c>
      <c r="D420" t="str">
        <f>IF(AND('Entry list'!$I420=5,'Entry list'!$J420=5),'Entry list'!D420,"")</f>
        <v/>
      </c>
      <c r="E420" t="str">
        <f>IF(AND('Entry list'!$I420=5,'Entry list'!$J420=5),'Entry list'!E420,"")</f>
        <v/>
      </c>
      <c r="F420" t="str">
        <f>IF(AND('Entry list'!$I420=5,'Entry list'!$J420=5),'Entry list'!F420,"")</f>
        <v/>
      </c>
      <c r="G420" t="str">
        <f>IF(AND('Entry list'!$I420=5,'Entry list'!$J420=5),'Entry list'!G420,"")</f>
        <v/>
      </c>
      <c r="H420" t="str">
        <f>IF(AND('Entry list'!$I420=5,'Entry list'!$J420=5),'Entry list'!H420,"")</f>
        <v/>
      </c>
      <c r="I420" t="str">
        <f>IF(AND('Entry list'!$I420=5,'Entry list'!$J420=5),'Entry list'!K420,"")</f>
        <v/>
      </c>
      <c r="J420" t="str">
        <f>IF(AND('Entry list'!$I420=5,'Entry list'!$J420=5),'Entry list'!L420,"")</f>
        <v/>
      </c>
      <c r="K420" t="str">
        <f>IF(AND('Entry list'!$I420=5,'Entry list'!$J420=5),'Entry list'!M420,"")</f>
        <v/>
      </c>
      <c r="L420" t="str">
        <f>IF(AND('Entry list'!$I420=5,'Entry list'!$J420=5),'Entry list'!N420,"")</f>
        <v/>
      </c>
      <c r="M420" t="str">
        <f t="shared" si="18"/>
        <v/>
      </c>
      <c r="N420" t="str">
        <f t="shared" si="19"/>
        <v/>
      </c>
      <c r="O420" t="str">
        <f t="shared" si="20"/>
        <v/>
      </c>
    </row>
    <row r="421" spans="1:15" x14ac:dyDescent="0.25">
      <c r="A421">
        <f>IF(AND('Entry list'!$I421=5,'Entry list'!$J421=5),'Entry list'!A421,"")</f>
        <v>3</v>
      </c>
      <c r="B421">
        <f>IF(AND('Entry list'!$I421=5,'Entry list'!$J421=5),'Entry list'!B421,"")</f>
        <v>0.14652777777777778</v>
      </c>
      <c r="C421" t="str">
        <f>IF(AND('Entry list'!$I421=5,'Entry list'!$J421=5),'Entry list'!C421,"")</f>
        <v>C</v>
      </c>
      <c r="D421" t="str">
        <f>IF(AND('Entry list'!$I421=5,'Entry list'!$J421=5),'Entry list'!D421,"")</f>
        <v>15DET</v>
      </c>
      <c r="E421" t="str">
        <f>IF(AND('Entry list'!$I421=5,'Entry list'!$J421=5),'Entry list'!E421,"")</f>
        <v>76NSH</v>
      </c>
      <c r="F421" t="str">
        <f>IF(AND('Entry list'!$I421=5,'Entry list'!$J421=5),'Entry list'!F421,"")</f>
        <v>Y</v>
      </c>
      <c r="G421" t="str">
        <f>IF(AND('Entry list'!$I421=5,'Entry list'!$J421=5),'Entry list'!G421,"")</f>
        <v>L</v>
      </c>
      <c r="H421" t="str">
        <f>IF(AND('Entry list'!$I421=5,'Entry list'!$J421=5),'Entry list'!H421,"")</f>
        <v>N</v>
      </c>
      <c r="I421" t="str">
        <f>IF(AND('Entry list'!$I421=5,'Entry list'!$J421=5),'Entry list'!K421,"")</f>
        <v>15DET</v>
      </c>
      <c r="J421">
        <f>IF(AND('Entry list'!$I421=5,'Entry list'!$J421=5),'Entry list'!L421,"")</f>
        <v>0</v>
      </c>
      <c r="K421">
        <f>IF(AND('Entry list'!$I421=5,'Entry list'!$J421=5),'Entry list'!M421,"")</f>
        <v>0</v>
      </c>
      <c r="L421" t="str">
        <f>IF(AND('Entry list'!$I421=5,'Entry list'!$J421=5),'Entry list'!N421,"")</f>
        <v/>
      </c>
      <c r="M421">
        <f t="shared" si="18"/>
        <v>0</v>
      </c>
      <c r="N421">
        <f t="shared" si="19"/>
        <v>0</v>
      </c>
      <c r="O421" t="str">
        <f t="shared" si="20"/>
        <v/>
      </c>
    </row>
    <row r="422" spans="1:15" x14ac:dyDescent="0.25">
      <c r="A422" t="str">
        <f>IF(AND('Entry list'!$I422=5,'Entry list'!$J422=5),'Entry list'!A422,"")</f>
        <v/>
      </c>
      <c r="B422" t="str">
        <f>IF(AND('Entry list'!$I422=5,'Entry list'!$J422=5),'Entry list'!B422,"")</f>
        <v/>
      </c>
      <c r="C422" t="str">
        <f>IF(AND('Entry list'!$I422=5,'Entry list'!$J422=5),'Entry list'!C422,"")</f>
        <v/>
      </c>
      <c r="D422" t="str">
        <f>IF(AND('Entry list'!$I422=5,'Entry list'!$J422=5),'Entry list'!D422,"")</f>
        <v/>
      </c>
      <c r="E422" t="str">
        <f>IF(AND('Entry list'!$I422=5,'Entry list'!$J422=5),'Entry list'!E422,"")</f>
        <v/>
      </c>
      <c r="F422" t="str">
        <f>IF(AND('Entry list'!$I422=5,'Entry list'!$J422=5),'Entry list'!F422,"")</f>
        <v/>
      </c>
      <c r="G422" t="str">
        <f>IF(AND('Entry list'!$I422=5,'Entry list'!$J422=5),'Entry list'!G422,"")</f>
        <v/>
      </c>
      <c r="H422" t="str">
        <f>IF(AND('Entry list'!$I422=5,'Entry list'!$J422=5),'Entry list'!H422,"")</f>
        <v/>
      </c>
      <c r="I422" t="str">
        <f>IF(AND('Entry list'!$I422=5,'Entry list'!$J422=5),'Entry list'!K422,"")</f>
        <v/>
      </c>
      <c r="J422" t="str">
        <f>IF(AND('Entry list'!$I422=5,'Entry list'!$J422=5),'Entry list'!L422,"")</f>
        <v/>
      </c>
      <c r="K422" t="str">
        <f>IF(AND('Entry list'!$I422=5,'Entry list'!$J422=5),'Entry list'!M422,"")</f>
        <v/>
      </c>
      <c r="L422" t="str">
        <f>IF(AND('Entry list'!$I422=5,'Entry list'!$J422=5),'Entry list'!N422,"")</f>
        <v/>
      </c>
      <c r="M422" t="str">
        <f t="shared" si="18"/>
        <v/>
      </c>
      <c r="N422" t="str">
        <f t="shared" si="19"/>
        <v/>
      </c>
      <c r="O422" t="str">
        <f t="shared" si="20"/>
        <v/>
      </c>
    </row>
    <row r="423" spans="1:15" x14ac:dyDescent="0.25">
      <c r="A423">
        <f>IF(AND('Entry list'!$I423=5,'Entry list'!$J423=5),'Entry list'!A423,"")</f>
        <v>3</v>
      </c>
      <c r="B423">
        <f>IF(AND('Entry list'!$I423=5,'Entry list'!$J423=5),'Entry list'!B423,"")</f>
        <v>0.13680555555555554</v>
      </c>
      <c r="C423" t="str">
        <f>IF(AND('Entry list'!$I423=5,'Entry list'!$J423=5),'Entry list'!C423,"")</f>
        <v>C</v>
      </c>
      <c r="D423" t="str">
        <f>IF(AND('Entry list'!$I423=5,'Entry list'!$J423=5),'Entry list'!D423,"")</f>
        <v>59NSH</v>
      </c>
      <c r="E423" t="str">
        <f>IF(AND('Entry list'!$I423=5,'Entry list'!$J423=5),'Entry list'!E423,"")</f>
        <v>25DET</v>
      </c>
      <c r="F423" t="str">
        <f>IF(AND('Entry list'!$I423=5,'Entry list'!$J423=5),'Entry list'!F423,"")</f>
        <v>Y</v>
      </c>
      <c r="G423" t="str">
        <f>IF(AND('Entry list'!$I423=5,'Entry list'!$J423=5),'Entry list'!G423,"")</f>
        <v>L</v>
      </c>
      <c r="H423" t="str">
        <f>IF(AND('Entry list'!$I423=5,'Entry list'!$J423=5),'Entry list'!H423,"")</f>
        <v>N</v>
      </c>
      <c r="I423" t="str">
        <f>IF(AND('Entry list'!$I423=5,'Entry list'!$J423=5),'Entry list'!K423,"")</f>
        <v>59NSH</v>
      </c>
      <c r="J423">
        <f>IF(AND('Entry list'!$I423=5,'Entry list'!$J423=5),'Entry list'!L423,"")</f>
        <v>0</v>
      </c>
      <c r="K423">
        <f>IF(AND('Entry list'!$I423=5,'Entry list'!$J423=5),'Entry list'!M423,"")</f>
        <v>0</v>
      </c>
      <c r="L423" t="str">
        <f>IF(AND('Entry list'!$I423=5,'Entry list'!$J423=5),'Entry list'!N423,"")</f>
        <v/>
      </c>
      <c r="M423">
        <f t="shared" si="18"/>
        <v>0</v>
      </c>
      <c r="N423">
        <f t="shared" si="19"/>
        <v>0</v>
      </c>
      <c r="O423" t="str">
        <f t="shared" si="20"/>
        <v/>
      </c>
    </row>
    <row r="424" spans="1:15" x14ac:dyDescent="0.25">
      <c r="A424">
        <f>IF(AND('Entry list'!$I424=5,'Entry list'!$J424=5),'Entry list'!A424,"")</f>
        <v>3</v>
      </c>
      <c r="B424">
        <f>IF(AND('Entry list'!$I424=5,'Entry list'!$J424=5),'Entry list'!B424,"")</f>
        <v>0.12847222222222224</v>
      </c>
      <c r="C424" t="str">
        <f>IF(AND('Entry list'!$I424=5,'Entry list'!$J424=5),'Entry list'!C424,"")</f>
        <v>C</v>
      </c>
      <c r="D424" t="str">
        <f>IF(AND('Entry list'!$I424=5,'Entry list'!$J424=5),'Entry list'!D424,"")</f>
        <v>41DET</v>
      </c>
      <c r="E424" t="str">
        <f>IF(AND('Entry list'!$I424=5,'Entry list'!$J424=5),'Entry list'!E424,"")</f>
        <v>59NSH</v>
      </c>
      <c r="F424" t="str">
        <f>IF(AND('Entry list'!$I424=5,'Entry list'!$J424=5),'Entry list'!F424,"")</f>
        <v>N</v>
      </c>
      <c r="G424" t="str">
        <f>IF(AND('Entry list'!$I424=5,'Entry list'!$J424=5),'Entry list'!G424,"")</f>
        <v>R</v>
      </c>
      <c r="H424" t="str">
        <f>IF(AND('Entry list'!$I424=5,'Entry list'!$J424=5),'Entry list'!H424,"")</f>
        <v>N</v>
      </c>
      <c r="I424" t="str">
        <f>IF(AND('Entry list'!$I424=5,'Entry list'!$J424=5),'Entry list'!K424,"")</f>
        <v>41DET</v>
      </c>
      <c r="J424">
        <f>IF(AND('Entry list'!$I424=5,'Entry list'!$J424=5),'Entry list'!L424,"")</f>
        <v>1</v>
      </c>
      <c r="K424">
        <f>IF(AND('Entry list'!$I424=5,'Entry list'!$J424=5),'Entry list'!M424,"")</f>
        <v>0</v>
      </c>
      <c r="L424" t="str">
        <f>IF(AND('Entry list'!$I424=5,'Entry list'!$J424=5),'Entry list'!N424,"")</f>
        <v/>
      </c>
      <c r="M424">
        <f t="shared" si="18"/>
        <v>0</v>
      </c>
      <c r="N424">
        <f t="shared" si="19"/>
        <v>0</v>
      </c>
      <c r="O424" t="str">
        <f t="shared" si="20"/>
        <v/>
      </c>
    </row>
    <row r="425" spans="1:15" x14ac:dyDescent="0.25">
      <c r="A425" t="str">
        <f>IF(AND('Entry list'!$I425=5,'Entry list'!$J425=5),'Entry list'!A425,"")</f>
        <v/>
      </c>
      <c r="B425" t="str">
        <f>IF(AND('Entry list'!$I425=5,'Entry list'!$J425=5),'Entry list'!B425,"")</f>
        <v/>
      </c>
      <c r="C425" t="str">
        <f>IF(AND('Entry list'!$I425=5,'Entry list'!$J425=5),'Entry list'!C425,"")</f>
        <v/>
      </c>
      <c r="D425" t="str">
        <f>IF(AND('Entry list'!$I425=5,'Entry list'!$J425=5),'Entry list'!D425,"")</f>
        <v/>
      </c>
      <c r="E425" t="str">
        <f>IF(AND('Entry list'!$I425=5,'Entry list'!$J425=5),'Entry list'!E425,"")</f>
        <v/>
      </c>
      <c r="F425" t="str">
        <f>IF(AND('Entry list'!$I425=5,'Entry list'!$J425=5),'Entry list'!F425,"")</f>
        <v/>
      </c>
      <c r="G425" t="str">
        <f>IF(AND('Entry list'!$I425=5,'Entry list'!$J425=5),'Entry list'!G425,"")</f>
        <v/>
      </c>
      <c r="H425" t="str">
        <f>IF(AND('Entry list'!$I425=5,'Entry list'!$J425=5),'Entry list'!H425,"")</f>
        <v/>
      </c>
      <c r="I425" t="str">
        <f>IF(AND('Entry list'!$I425=5,'Entry list'!$J425=5),'Entry list'!K425,"")</f>
        <v/>
      </c>
      <c r="J425" t="str">
        <f>IF(AND('Entry list'!$I425=5,'Entry list'!$J425=5),'Entry list'!L425,"")</f>
        <v/>
      </c>
      <c r="K425" t="str">
        <f>IF(AND('Entry list'!$I425=5,'Entry list'!$J425=5),'Entry list'!M425,"")</f>
        <v/>
      </c>
      <c r="L425" t="str">
        <f>IF(AND('Entry list'!$I425=5,'Entry list'!$J425=5),'Entry list'!N425,"")</f>
        <v/>
      </c>
      <c r="M425" t="str">
        <f t="shared" si="18"/>
        <v/>
      </c>
      <c r="N425" t="str">
        <f t="shared" si="19"/>
        <v/>
      </c>
      <c r="O425" t="str">
        <f t="shared" si="20"/>
        <v/>
      </c>
    </row>
    <row r="426" spans="1:15" x14ac:dyDescent="0.25">
      <c r="A426">
        <f>IF(AND('Entry list'!$I426=5,'Entry list'!$J426=5),'Entry list'!A426,"")</f>
        <v>3</v>
      </c>
      <c r="B426">
        <f>IF(AND('Entry list'!$I426=5,'Entry list'!$J426=5),'Entry list'!B426,"")</f>
        <v>0.12152777777777778</v>
      </c>
      <c r="C426" t="str">
        <f>IF(AND('Entry list'!$I426=5,'Entry list'!$J426=5),'Entry list'!C426,"")</f>
        <v>D</v>
      </c>
      <c r="D426" t="str">
        <f>IF(AND('Entry list'!$I426=5,'Entry list'!$J426=5),'Entry list'!D426,"")</f>
        <v>63NSH</v>
      </c>
      <c r="E426" t="str">
        <f>IF(AND('Entry list'!$I426=5,'Entry list'!$J426=5),'Entry list'!E426,"")</f>
        <v>N</v>
      </c>
      <c r="F426" t="str">
        <f>IF(AND('Entry list'!$I426=5,'Entry list'!$J426=5),'Entry list'!F426,"")</f>
        <v/>
      </c>
      <c r="G426" t="str">
        <f>IF(AND('Entry list'!$I426=5,'Entry list'!$J426=5),'Entry list'!G426,"")</f>
        <v>R</v>
      </c>
      <c r="H426" t="str">
        <f>IF(AND('Entry list'!$I426=5,'Entry list'!$J426=5),'Entry list'!H426,"")</f>
        <v>N</v>
      </c>
      <c r="I426" t="str">
        <f>IF(AND('Entry list'!$I426=5,'Entry list'!$J426=5),'Entry list'!K426,"")</f>
        <v/>
      </c>
      <c r="J426">
        <f>IF(AND('Entry list'!$I426=5,'Entry list'!$J426=5),'Entry list'!L426,"")</f>
        <v>0</v>
      </c>
      <c r="K426">
        <f>IF(AND('Entry list'!$I426=5,'Entry list'!$J426=5),'Entry list'!M426,"")</f>
        <v>0</v>
      </c>
      <c r="L426" t="str">
        <f>IF(AND('Entry list'!$I426=5,'Entry list'!$J426=5),'Entry list'!N426,"")</f>
        <v/>
      </c>
      <c r="M426">
        <f t="shared" si="18"/>
        <v>0</v>
      </c>
      <c r="N426" t="str">
        <f t="shared" si="19"/>
        <v/>
      </c>
      <c r="O426" t="str">
        <f t="shared" si="20"/>
        <v/>
      </c>
    </row>
    <row r="427" spans="1:15" x14ac:dyDescent="0.25">
      <c r="A427">
        <f>IF(AND('Entry list'!$I427=5,'Entry list'!$J427=5),'Entry list'!A427,"")</f>
        <v>3</v>
      </c>
      <c r="B427">
        <f>IF(AND('Entry list'!$I427=5,'Entry list'!$J427=5),'Entry list'!B427,"")</f>
        <v>0.11319444444444444</v>
      </c>
      <c r="C427" t="str">
        <f>IF(AND('Entry list'!$I427=5,'Entry list'!$J427=5),'Entry list'!C427,"")</f>
        <v>D</v>
      </c>
      <c r="D427" t="str">
        <f>IF(AND('Entry list'!$I427=5,'Entry list'!$J427=5),'Entry list'!D427,"")</f>
        <v>4NSH</v>
      </c>
      <c r="E427" t="str">
        <f>IF(AND('Entry list'!$I427=5,'Entry list'!$J427=5),'Entry list'!E427,"")</f>
        <v>N</v>
      </c>
      <c r="F427" t="str">
        <f>IF(AND('Entry list'!$I427=5,'Entry list'!$J427=5),'Entry list'!F427,"")</f>
        <v/>
      </c>
      <c r="G427" t="str">
        <f>IF(AND('Entry list'!$I427=5,'Entry list'!$J427=5),'Entry list'!G427,"")</f>
        <v>R</v>
      </c>
      <c r="H427" t="str">
        <f>IF(AND('Entry list'!$I427=5,'Entry list'!$J427=5),'Entry list'!H427,"")</f>
        <v>N</v>
      </c>
      <c r="I427" t="str">
        <f>IF(AND('Entry list'!$I427=5,'Entry list'!$J427=5),'Entry list'!K427,"")</f>
        <v/>
      </c>
      <c r="J427">
        <f>IF(AND('Entry list'!$I427=5,'Entry list'!$J427=5),'Entry list'!L427,"")</f>
        <v>0</v>
      </c>
      <c r="K427">
        <f>IF(AND('Entry list'!$I427=5,'Entry list'!$J427=5),'Entry list'!M427,"")</f>
        <v>0</v>
      </c>
      <c r="L427" t="str">
        <f>IF(AND('Entry list'!$I427=5,'Entry list'!$J427=5),'Entry list'!N427,"")</f>
        <v/>
      </c>
      <c r="M427">
        <f t="shared" si="18"/>
        <v>0</v>
      </c>
      <c r="N427" t="str">
        <f t="shared" si="19"/>
        <v/>
      </c>
      <c r="O427" t="str">
        <f t="shared" si="20"/>
        <v/>
      </c>
    </row>
    <row r="428" spans="1:15" x14ac:dyDescent="0.25">
      <c r="A428" t="str">
        <f>IF(AND('Entry list'!$I428=5,'Entry list'!$J428=5),'Entry list'!A428,"")</f>
        <v/>
      </c>
      <c r="B428" t="str">
        <f>IF(AND('Entry list'!$I428=5,'Entry list'!$J428=5),'Entry list'!B428,"")</f>
        <v/>
      </c>
      <c r="C428" t="str">
        <f>IF(AND('Entry list'!$I428=5,'Entry list'!$J428=5),'Entry list'!C428,"")</f>
        <v/>
      </c>
      <c r="D428" t="str">
        <f>IF(AND('Entry list'!$I428=5,'Entry list'!$J428=5),'Entry list'!D428,"")</f>
        <v/>
      </c>
      <c r="E428" t="str">
        <f>IF(AND('Entry list'!$I428=5,'Entry list'!$J428=5),'Entry list'!E428,"")</f>
        <v/>
      </c>
      <c r="F428" t="str">
        <f>IF(AND('Entry list'!$I428=5,'Entry list'!$J428=5),'Entry list'!F428,"")</f>
        <v/>
      </c>
      <c r="G428" t="str">
        <f>IF(AND('Entry list'!$I428=5,'Entry list'!$J428=5),'Entry list'!G428,"")</f>
        <v/>
      </c>
      <c r="H428" t="str">
        <f>IF(AND('Entry list'!$I428=5,'Entry list'!$J428=5),'Entry list'!H428,"")</f>
        <v/>
      </c>
      <c r="I428" t="str">
        <f>IF(AND('Entry list'!$I428=5,'Entry list'!$J428=5),'Entry list'!K428,"")</f>
        <v/>
      </c>
      <c r="J428" t="str">
        <f>IF(AND('Entry list'!$I428=5,'Entry list'!$J428=5),'Entry list'!L428,"")</f>
        <v/>
      </c>
      <c r="K428" t="str">
        <f>IF(AND('Entry list'!$I428=5,'Entry list'!$J428=5),'Entry list'!M428,"")</f>
        <v/>
      </c>
      <c r="L428" t="str">
        <f>IF(AND('Entry list'!$I428=5,'Entry list'!$J428=5),'Entry list'!N428,"")</f>
        <v/>
      </c>
      <c r="M428" t="str">
        <f t="shared" si="18"/>
        <v/>
      </c>
      <c r="N428" t="str">
        <f t="shared" si="19"/>
        <v/>
      </c>
      <c r="O428" t="str">
        <f t="shared" si="20"/>
        <v/>
      </c>
    </row>
    <row r="429" spans="1:15" x14ac:dyDescent="0.25">
      <c r="A429" t="str">
        <f>IF(AND('Entry list'!$I429=5,'Entry list'!$J429=5),'Entry list'!A429,"")</f>
        <v/>
      </c>
      <c r="B429" t="str">
        <f>IF(AND('Entry list'!$I429=5,'Entry list'!$J429=5),'Entry list'!B429,"")</f>
        <v/>
      </c>
      <c r="C429" t="str">
        <f>IF(AND('Entry list'!$I429=5,'Entry list'!$J429=5),'Entry list'!C429,"")</f>
        <v/>
      </c>
      <c r="D429" t="str">
        <f>IF(AND('Entry list'!$I429=5,'Entry list'!$J429=5),'Entry list'!D429,"")</f>
        <v/>
      </c>
      <c r="E429" t="str">
        <f>IF(AND('Entry list'!$I429=5,'Entry list'!$J429=5),'Entry list'!E429,"")</f>
        <v/>
      </c>
      <c r="F429" t="str">
        <f>IF(AND('Entry list'!$I429=5,'Entry list'!$J429=5),'Entry list'!F429,"")</f>
        <v/>
      </c>
      <c r="G429" t="str">
        <f>IF(AND('Entry list'!$I429=5,'Entry list'!$J429=5),'Entry list'!G429,"")</f>
        <v/>
      </c>
      <c r="H429" t="str">
        <f>IF(AND('Entry list'!$I429=5,'Entry list'!$J429=5),'Entry list'!H429,"")</f>
        <v/>
      </c>
      <c r="I429" t="str">
        <f>IF(AND('Entry list'!$I429=5,'Entry list'!$J429=5),'Entry list'!K429,"")</f>
        <v/>
      </c>
      <c r="J429" t="str">
        <f>IF(AND('Entry list'!$I429=5,'Entry list'!$J429=5),'Entry list'!L429,"")</f>
        <v/>
      </c>
      <c r="K429" t="str">
        <f>IF(AND('Entry list'!$I429=5,'Entry list'!$J429=5),'Entry list'!M429,"")</f>
        <v/>
      </c>
      <c r="L429" t="str">
        <f>IF(AND('Entry list'!$I429=5,'Entry list'!$J429=5),'Entry list'!N429,"")</f>
        <v/>
      </c>
      <c r="M429" t="str">
        <f t="shared" si="18"/>
        <v/>
      </c>
      <c r="N429" t="str">
        <f t="shared" si="19"/>
        <v/>
      </c>
      <c r="O429" t="str">
        <f t="shared" si="20"/>
        <v/>
      </c>
    </row>
    <row r="430" spans="1:15" x14ac:dyDescent="0.25">
      <c r="A430" t="str">
        <f>IF(AND('Entry list'!$I430=5,'Entry list'!$J430=5),'Entry list'!A430,"")</f>
        <v/>
      </c>
      <c r="B430" t="str">
        <f>IF(AND('Entry list'!$I430=5,'Entry list'!$J430=5),'Entry list'!B430,"")</f>
        <v/>
      </c>
      <c r="C430" t="str">
        <f>IF(AND('Entry list'!$I430=5,'Entry list'!$J430=5),'Entry list'!C430,"")</f>
        <v/>
      </c>
      <c r="D430" t="str">
        <f>IF(AND('Entry list'!$I430=5,'Entry list'!$J430=5),'Entry list'!D430,"")</f>
        <v/>
      </c>
      <c r="E430" t="str">
        <f>IF(AND('Entry list'!$I430=5,'Entry list'!$J430=5),'Entry list'!E430,"")</f>
        <v/>
      </c>
      <c r="F430" t="str">
        <f>IF(AND('Entry list'!$I430=5,'Entry list'!$J430=5),'Entry list'!F430,"")</f>
        <v/>
      </c>
      <c r="G430" t="str">
        <f>IF(AND('Entry list'!$I430=5,'Entry list'!$J430=5),'Entry list'!G430,"")</f>
        <v/>
      </c>
      <c r="H430" t="str">
        <f>IF(AND('Entry list'!$I430=5,'Entry list'!$J430=5),'Entry list'!H430,"")</f>
        <v/>
      </c>
      <c r="I430" t="str">
        <f>IF(AND('Entry list'!$I430=5,'Entry list'!$J430=5),'Entry list'!K430,"")</f>
        <v/>
      </c>
      <c r="J430" t="str">
        <f>IF(AND('Entry list'!$I430=5,'Entry list'!$J430=5),'Entry list'!L430,"")</f>
        <v/>
      </c>
      <c r="K430" t="str">
        <f>IF(AND('Entry list'!$I430=5,'Entry list'!$J430=5),'Entry list'!M430,"")</f>
        <v/>
      </c>
      <c r="L430" t="str">
        <f>IF(AND('Entry list'!$I430=5,'Entry list'!$J430=5),'Entry list'!N430,"")</f>
        <v/>
      </c>
      <c r="M430" t="str">
        <f t="shared" si="18"/>
        <v/>
      </c>
      <c r="N430" t="str">
        <f t="shared" si="19"/>
        <v/>
      </c>
      <c r="O430" t="str">
        <f t="shared" si="20"/>
        <v/>
      </c>
    </row>
    <row r="431" spans="1:15" x14ac:dyDescent="0.25">
      <c r="A431" t="str">
        <f>IF(AND('Entry list'!$I431=5,'Entry list'!$J431=5),'Entry list'!A431,"")</f>
        <v/>
      </c>
      <c r="B431" t="str">
        <f>IF(AND('Entry list'!$I431=5,'Entry list'!$J431=5),'Entry list'!B431,"")</f>
        <v/>
      </c>
      <c r="C431" t="str">
        <f>IF(AND('Entry list'!$I431=5,'Entry list'!$J431=5),'Entry list'!C431,"")</f>
        <v/>
      </c>
      <c r="D431" t="str">
        <f>IF(AND('Entry list'!$I431=5,'Entry list'!$J431=5),'Entry list'!D431,"")</f>
        <v/>
      </c>
      <c r="E431" t="str">
        <f>IF(AND('Entry list'!$I431=5,'Entry list'!$J431=5),'Entry list'!E431,"")</f>
        <v/>
      </c>
      <c r="F431" t="str">
        <f>IF(AND('Entry list'!$I431=5,'Entry list'!$J431=5),'Entry list'!F431,"")</f>
        <v/>
      </c>
      <c r="G431" t="str">
        <f>IF(AND('Entry list'!$I431=5,'Entry list'!$J431=5),'Entry list'!G431,"")</f>
        <v/>
      </c>
      <c r="H431" t="str">
        <f>IF(AND('Entry list'!$I431=5,'Entry list'!$J431=5),'Entry list'!H431,"")</f>
        <v/>
      </c>
      <c r="I431" t="str">
        <f>IF(AND('Entry list'!$I431=5,'Entry list'!$J431=5),'Entry list'!K431,"")</f>
        <v/>
      </c>
      <c r="J431" t="str">
        <f>IF(AND('Entry list'!$I431=5,'Entry list'!$J431=5),'Entry list'!L431,"")</f>
        <v/>
      </c>
      <c r="K431" t="str">
        <f>IF(AND('Entry list'!$I431=5,'Entry list'!$J431=5),'Entry list'!M431,"")</f>
        <v/>
      </c>
      <c r="L431" t="str">
        <f>IF(AND('Entry list'!$I431=5,'Entry list'!$J431=5),'Entry list'!N431,"")</f>
        <v/>
      </c>
      <c r="M431" t="str">
        <f t="shared" si="18"/>
        <v/>
      </c>
      <c r="N431" t="str">
        <f t="shared" si="19"/>
        <v/>
      </c>
      <c r="O431" t="str">
        <f t="shared" si="20"/>
        <v/>
      </c>
    </row>
    <row r="432" spans="1:15" x14ac:dyDescent="0.25">
      <c r="A432" t="str">
        <f>IF(AND('Entry list'!$I432=5,'Entry list'!$J432=5),'Entry list'!A432,"")</f>
        <v/>
      </c>
      <c r="B432" t="str">
        <f>IF(AND('Entry list'!$I432=5,'Entry list'!$J432=5),'Entry list'!B432,"")</f>
        <v/>
      </c>
      <c r="C432" t="str">
        <f>IF(AND('Entry list'!$I432=5,'Entry list'!$J432=5),'Entry list'!C432,"")</f>
        <v/>
      </c>
      <c r="D432" t="str">
        <f>IF(AND('Entry list'!$I432=5,'Entry list'!$J432=5),'Entry list'!D432,"")</f>
        <v/>
      </c>
      <c r="E432" t="str">
        <f>IF(AND('Entry list'!$I432=5,'Entry list'!$J432=5),'Entry list'!E432,"")</f>
        <v/>
      </c>
      <c r="F432" t="str">
        <f>IF(AND('Entry list'!$I432=5,'Entry list'!$J432=5),'Entry list'!F432,"")</f>
        <v/>
      </c>
      <c r="G432" t="str">
        <f>IF(AND('Entry list'!$I432=5,'Entry list'!$J432=5),'Entry list'!G432,"")</f>
        <v/>
      </c>
      <c r="H432" t="str">
        <f>IF(AND('Entry list'!$I432=5,'Entry list'!$J432=5),'Entry list'!H432,"")</f>
        <v/>
      </c>
      <c r="I432" t="str">
        <f>IF(AND('Entry list'!$I432=5,'Entry list'!$J432=5),'Entry list'!K432,"")</f>
        <v/>
      </c>
      <c r="J432" t="str">
        <f>IF(AND('Entry list'!$I432=5,'Entry list'!$J432=5),'Entry list'!L432,"")</f>
        <v/>
      </c>
      <c r="K432" t="str">
        <f>IF(AND('Entry list'!$I432=5,'Entry list'!$J432=5),'Entry list'!M432,"")</f>
        <v/>
      </c>
      <c r="L432" t="str">
        <f>IF(AND('Entry list'!$I432=5,'Entry list'!$J432=5),'Entry list'!N432,"")</f>
        <v/>
      </c>
      <c r="M432" t="str">
        <f t="shared" si="18"/>
        <v/>
      </c>
      <c r="N432" t="str">
        <f t="shared" si="19"/>
        <v/>
      </c>
      <c r="O432" t="str">
        <f t="shared" si="20"/>
        <v/>
      </c>
    </row>
    <row r="433" spans="1:15" x14ac:dyDescent="0.25">
      <c r="A433" t="str">
        <f>IF(AND('Entry list'!$I433=5,'Entry list'!$J433=5),'Entry list'!A433,"")</f>
        <v/>
      </c>
      <c r="B433" t="str">
        <f>IF(AND('Entry list'!$I433=5,'Entry list'!$J433=5),'Entry list'!B433,"")</f>
        <v/>
      </c>
      <c r="C433" t="str">
        <f>IF(AND('Entry list'!$I433=5,'Entry list'!$J433=5),'Entry list'!C433,"")</f>
        <v/>
      </c>
      <c r="D433" t="str">
        <f>IF(AND('Entry list'!$I433=5,'Entry list'!$J433=5),'Entry list'!D433,"")</f>
        <v/>
      </c>
      <c r="E433" t="str">
        <f>IF(AND('Entry list'!$I433=5,'Entry list'!$J433=5),'Entry list'!E433,"")</f>
        <v/>
      </c>
      <c r="F433" t="str">
        <f>IF(AND('Entry list'!$I433=5,'Entry list'!$J433=5),'Entry list'!F433,"")</f>
        <v/>
      </c>
      <c r="G433" t="str">
        <f>IF(AND('Entry list'!$I433=5,'Entry list'!$J433=5),'Entry list'!G433,"")</f>
        <v/>
      </c>
      <c r="H433" t="str">
        <f>IF(AND('Entry list'!$I433=5,'Entry list'!$J433=5),'Entry list'!H433,"")</f>
        <v/>
      </c>
      <c r="I433" t="str">
        <f>IF(AND('Entry list'!$I433=5,'Entry list'!$J433=5),'Entry list'!K433,"")</f>
        <v/>
      </c>
      <c r="J433" t="str">
        <f>IF(AND('Entry list'!$I433=5,'Entry list'!$J433=5),'Entry list'!L433,"")</f>
        <v/>
      </c>
      <c r="K433" t="str">
        <f>IF(AND('Entry list'!$I433=5,'Entry list'!$J433=5),'Entry list'!M433,"")</f>
        <v/>
      </c>
      <c r="L433" t="str">
        <f>IF(AND('Entry list'!$I433=5,'Entry list'!$J433=5),'Entry list'!N433,"")</f>
        <v/>
      </c>
      <c r="M433" t="str">
        <f t="shared" si="18"/>
        <v/>
      </c>
      <c r="N433" t="str">
        <f t="shared" si="19"/>
        <v/>
      </c>
      <c r="O433" t="str">
        <f t="shared" si="20"/>
        <v/>
      </c>
    </row>
    <row r="434" spans="1:15" x14ac:dyDescent="0.25">
      <c r="A434" t="str">
        <f>IF(AND('Entry list'!$I434=5,'Entry list'!$J434=5),'Entry list'!A434,"")</f>
        <v/>
      </c>
      <c r="B434" t="str">
        <f>IF(AND('Entry list'!$I434=5,'Entry list'!$J434=5),'Entry list'!B434,"")</f>
        <v/>
      </c>
      <c r="C434" t="str">
        <f>IF(AND('Entry list'!$I434=5,'Entry list'!$J434=5),'Entry list'!C434,"")</f>
        <v/>
      </c>
      <c r="D434" t="str">
        <f>IF(AND('Entry list'!$I434=5,'Entry list'!$J434=5),'Entry list'!D434,"")</f>
        <v/>
      </c>
      <c r="E434" t="str">
        <f>IF(AND('Entry list'!$I434=5,'Entry list'!$J434=5),'Entry list'!E434,"")</f>
        <v/>
      </c>
      <c r="F434" t="str">
        <f>IF(AND('Entry list'!$I434=5,'Entry list'!$J434=5),'Entry list'!F434,"")</f>
        <v/>
      </c>
      <c r="G434" t="str">
        <f>IF(AND('Entry list'!$I434=5,'Entry list'!$J434=5),'Entry list'!G434,"")</f>
        <v/>
      </c>
      <c r="H434" t="str">
        <f>IF(AND('Entry list'!$I434=5,'Entry list'!$J434=5),'Entry list'!H434,"")</f>
        <v/>
      </c>
      <c r="I434" t="str">
        <f>IF(AND('Entry list'!$I434=5,'Entry list'!$J434=5),'Entry list'!K434,"")</f>
        <v/>
      </c>
      <c r="J434" t="str">
        <f>IF(AND('Entry list'!$I434=5,'Entry list'!$J434=5),'Entry list'!L434,"")</f>
        <v/>
      </c>
      <c r="K434" t="str">
        <f>IF(AND('Entry list'!$I434=5,'Entry list'!$J434=5),'Entry list'!M434,"")</f>
        <v/>
      </c>
      <c r="L434" t="str">
        <f>IF(AND('Entry list'!$I434=5,'Entry list'!$J434=5),'Entry list'!N434,"")</f>
        <v/>
      </c>
      <c r="M434" t="str">
        <f t="shared" si="18"/>
        <v/>
      </c>
      <c r="N434" t="str">
        <f t="shared" si="19"/>
        <v/>
      </c>
      <c r="O434" t="str">
        <f t="shared" si="20"/>
        <v/>
      </c>
    </row>
    <row r="435" spans="1:15" x14ac:dyDescent="0.25">
      <c r="A435" t="str">
        <f>IF(AND('Entry list'!$I435=5,'Entry list'!$J435=5),'Entry list'!A435,"")</f>
        <v/>
      </c>
      <c r="B435" t="str">
        <f>IF(AND('Entry list'!$I435=5,'Entry list'!$J435=5),'Entry list'!B435,"")</f>
        <v/>
      </c>
      <c r="C435" t="str">
        <f>IF(AND('Entry list'!$I435=5,'Entry list'!$J435=5),'Entry list'!C435,"")</f>
        <v/>
      </c>
      <c r="D435" t="str">
        <f>IF(AND('Entry list'!$I435=5,'Entry list'!$J435=5),'Entry list'!D435,"")</f>
        <v/>
      </c>
      <c r="E435" t="str">
        <f>IF(AND('Entry list'!$I435=5,'Entry list'!$J435=5),'Entry list'!E435,"")</f>
        <v/>
      </c>
      <c r="F435" t="str">
        <f>IF(AND('Entry list'!$I435=5,'Entry list'!$J435=5),'Entry list'!F435,"")</f>
        <v/>
      </c>
      <c r="G435" t="str">
        <f>IF(AND('Entry list'!$I435=5,'Entry list'!$J435=5),'Entry list'!G435,"")</f>
        <v/>
      </c>
      <c r="H435" t="str">
        <f>IF(AND('Entry list'!$I435=5,'Entry list'!$J435=5),'Entry list'!H435,"")</f>
        <v/>
      </c>
      <c r="I435" t="str">
        <f>IF(AND('Entry list'!$I435=5,'Entry list'!$J435=5),'Entry list'!K435,"")</f>
        <v/>
      </c>
      <c r="J435" t="str">
        <f>IF(AND('Entry list'!$I435=5,'Entry list'!$J435=5),'Entry list'!L435,"")</f>
        <v/>
      </c>
      <c r="K435" t="str">
        <f>IF(AND('Entry list'!$I435=5,'Entry list'!$J435=5),'Entry list'!M435,"")</f>
        <v/>
      </c>
      <c r="L435" t="str">
        <f>IF(AND('Entry list'!$I435=5,'Entry list'!$J435=5),'Entry list'!N435,"")</f>
        <v/>
      </c>
      <c r="M435" t="str">
        <f t="shared" si="18"/>
        <v/>
      </c>
      <c r="N435" t="str">
        <f t="shared" si="19"/>
        <v/>
      </c>
      <c r="O435" t="str">
        <f t="shared" si="20"/>
        <v/>
      </c>
    </row>
    <row r="436" spans="1:15" x14ac:dyDescent="0.25">
      <c r="A436" t="str">
        <f>IF(AND('Entry list'!$I436=5,'Entry list'!$J436=5),'Entry list'!A436,"")</f>
        <v/>
      </c>
      <c r="B436" t="str">
        <f>IF(AND('Entry list'!$I436=5,'Entry list'!$J436=5),'Entry list'!B436,"")</f>
        <v/>
      </c>
      <c r="C436" t="str">
        <f>IF(AND('Entry list'!$I436=5,'Entry list'!$J436=5),'Entry list'!C436,"")</f>
        <v/>
      </c>
      <c r="D436" t="str">
        <f>IF(AND('Entry list'!$I436=5,'Entry list'!$J436=5),'Entry list'!D436,"")</f>
        <v/>
      </c>
      <c r="E436" t="str">
        <f>IF(AND('Entry list'!$I436=5,'Entry list'!$J436=5),'Entry list'!E436,"")</f>
        <v/>
      </c>
      <c r="F436" t="str">
        <f>IF(AND('Entry list'!$I436=5,'Entry list'!$J436=5),'Entry list'!F436,"")</f>
        <v/>
      </c>
      <c r="G436" t="str">
        <f>IF(AND('Entry list'!$I436=5,'Entry list'!$J436=5),'Entry list'!G436,"")</f>
        <v/>
      </c>
      <c r="H436" t="str">
        <f>IF(AND('Entry list'!$I436=5,'Entry list'!$J436=5),'Entry list'!H436,"")</f>
        <v/>
      </c>
      <c r="I436" t="str">
        <f>IF(AND('Entry list'!$I436=5,'Entry list'!$J436=5),'Entry list'!K436,"")</f>
        <v/>
      </c>
      <c r="J436" t="str">
        <f>IF(AND('Entry list'!$I436=5,'Entry list'!$J436=5),'Entry list'!L436,"")</f>
        <v/>
      </c>
      <c r="K436" t="str">
        <f>IF(AND('Entry list'!$I436=5,'Entry list'!$J436=5),'Entry list'!M436,"")</f>
        <v/>
      </c>
      <c r="L436" t="str">
        <f>IF(AND('Entry list'!$I436=5,'Entry list'!$J436=5),'Entry list'!N436,"")</f>
        <v/>
      </c>
      <c r="M436" t="str">
        <f t="shared" si="18"/>
        <v/>
      </c>
      <c r="N436" t="str">
        <f t="shared" si="19"/>
        <v/>
      </c>
      <c r="O436" t="str">
        <f t="shared" si="20"/>
        <v/>
      </c>
    </row>
    <row r="437" spans="1:15" x14ac:dyDescent="0.25">
      <c r="A437" t="str">
        <f>IF(AND('Entry list'!$I437=5,'Entry list'!$J437=5),'Entry list'!A437,"")</f>
        <v/>
      </c>
      <c r="B437" t="str">
        <f>IF(AND('Entry list'!$I437=5,'Entry list'!$J437=5),'Entry list'!B437,"")</f>
        <v/>
      </c>
      <c r="C437" t="str">
        <f>IF(AND('Entry list'!$I437=5,'Entry list'!$J437=5),'Entry list'!C437,"")</f>
        <v/>
      </c>
      <c r="D437" t="str">
        <f>IF(AND('Entry list'!$I437=5,'Entry list'!$J437=5),'Entry list'!D437,"")</f>
        <v/>
      </c>
      <c r="E437" t="str">
        <f>IF(AND('Entry list'!$I437=5,'Entry list'!$J437=5),'Entry list'!E437,"")</f>
        <v/>
      </c>
      <c r="F437" t="str">
        <f>IF(AND('Entry list'!$I437=5,'Entry list'!$J437=5),'Entry list'!F437,"")</f>
        <v/>
      </c>
      <c r="G437" t="str">
        <f>IF(AND('Entry list'!$I437=5,'Entry list'!$J437=5),'Entry list'!G437,"")</f>
        <v/>
      </c>
      <c r="H437" t="str">
        <f>IF(AND('Entry list'!$I437=5,'Entry list'!$J437=5),'Entry list'!H437,"")</f>
        <v/>
      </c>
      <c r="I437" t="str">
        <f>IF(AND('Entry list'!$I437=5,'Entry list'!$J437=5),'Entry list'!K437,"")</f>
        <v/>
      </c>
      <c r="J437" t="str">
        <f>IF(AND('Entry list'!$I437=5,'Entry list'!$J437=5),'Entry list'!L437,"")</f>
        <v/>
      </c>
      <c r="K437" t="str">
        <f>IF(AND('Entry list'!$I437=5,'Entry list'!$J437=5),'Entry list'!M437,"")</f>
        <v/>
      </c>
      <c r="L437" t="str">
        <f>IF(AND('Entry list'!$I437=5,'Entry list'!$J437=5),'Entry list'!N437,"")</f>
        <v/>
      </c>
      <c r="M437" t="str">
        <f t="shared" si="18"/>
        <v/>
      </c>
      <c r="N437" t="str">
        <f t="shared" si="19"/>
        <v/>
      </c>
      <c r="O437" t="str">
        <f t="shared" si="20"/>
        <v/>
      </c>
    </row>
    <row r="438" spans="1:15" x14ac:dyDescent="0.25">
      <c r="A438" t="str">
        <f>IF(AND('Entry list'!$I438=5,'Entry list'!$J438=5),'Entry list'!A438,"")</f>
        <v/>
      </c>
      <c r="B438" t="str">
        <f>IF(AND('Entry list'!$I438=5,'Entry list'!$J438=5),'Entry list'!B438,"")</f>
        <v/>
      </c>
      <c r="C438" t="str">
        <f>IF(AND('Entry list'!$I438=5,'Entry list'!$J438=5),'Entry list'!C438,"")</f>
        <v/>
      </c>
      <c r="D438" t="str">
        <f>IF(AND('Entry list'!$I438=5,'Entry list'!$J438=5),'Entry list'!D438,"")</f>
        <v/>
      </c>
      <c r="E438" t="str">
        <f>IF(AND('Entry list'!$I438=5,'Entry list'!$J438=5),'Entry list'!E438,"")</f>
        <v/>
      </c>
      <c r="F438" t="str">
        <f>IF(AND('Entry list'!$I438=5,'Entry list'!$J438=5),'Entry list'!F438,"")</f>
        <v/>
      </c>
      <c r="G438" t="str">
        <f>IF(AND('Entry list'!$I438=5,'Entry list'!$J438=5),'Entry list'!G438,"")</f>
        <v/>
      </c>
      <c r="H438" t="str">
        <f>IF(AND('Entry list'!$I438=5,'Entry list'!$J438=5),'Entry list'!H438,"")</f>
        <v/>
      </c>
      <c r="I438" t="str">
        <f>IF(AND('Entry list'!$I438=5,'Entry list'!$J438=5),'Entry list'!K438,"")</f>
        <v/>
      </c>
      <c r="J438" t="str">
        <f>IF(AND('Entry list'!$I438=5,'Entry list'!$J438=5),'Entry list'!L438,"")</f>
        <v/>
      </c>
      <c r="K438" t="str">
        <f>IF(AND('Entry list'!$I438=5,'Entry list'!$J438=5),'Entry list'!M438,"")</f>
        <v/>
      </c>
      <c r="L438" t="str">
        <f>IF(AND('Entry list'!$I438=5,'Entry list'!$J438=5),'Entry list'!N438,"")</f>
        <v/>
      </c>
      <c r="M438" t="str">
        <f t="shared" si="18"/>
        <v/>
      </c>
      <c r="N438" t="str">
        <f t="shared" si="19"/>
        <v/>
      </c>
      <c r="O438" t="str">
        <f t="shared" si="20"/>
        <v/>
      </c>
    </row>
    <row r="439" spans="1:15" x14ac:dyDescent="0.25">
      <c r="A439" t="str">
        <f>IF(AND('Entry list'!$I439=5,'Entry list'!$J439=5),'Entry list'!A439,"")</f>
        <v/>
      </c>
      <c r="B439" t="str">
        <f>IF(AND('Entry list'!$I439=5,'Entry list'!$J439=5),'Entry list'!B439,"")</f>
        <v/>
      </c>
      <c r="C439" t="str">
        <f>IF(AND('Entry list'!$I439=5,'Entry list'!$J439=5),'Entry list'!C439,"")</f>
        <v/>
      </c>
      <c r="D439" t="str">
        <f>IF(AND('Entry list'!$I439=5,'Entry list'!$J439=5),'Entry list'!D439,"")</f>
        <v/>
      </c>
      <c r="E439" t="str">
        <f>IF(AND('Entry list'!$I439=5,'Entry list'!$J439=5),'Entry list'!E439,"")</f>
        <v/>
      </c>
      <c r="F439" t="str">
        <f>IF(AND('Entry list'!$I439=5,'Entry list'!$J439=5),'Entry list'!F439,"")</f>
        <v/>
      </c>
      <c r="G439" t="str">
        <f>IF(AND('Entry list'!$I439=5,'Entry list'!$J439=5),'Entry list'!G439,"")</f>
        <v/>
      </c>
      <c r="H439" t="str">
        <f>IF(AND('Entry list'!$I439=5,'Entry list'!$J439=5),'Entry list'!H439,"")</f>
        <v/>
      </c>
      <c r="I439" t="str">
        <f>IF(AND('Entry list'!$I439=5,'Entry list'!$J439=5),'Entry list'!K439,"")</f>
        <v/>
      </c>
      <c r="J439" t="str">
        <f>IF(AND('Entry list'!$I439=5,'Entry list'!$J439=5),'Entry list'!L439,"")</f>
        <v/>
      </c>
      <c r="K439" t="str">
        <f>IF(AND('Entry list'!$I439=5,'Entry list'!$J439=5),'Entry list'!M439,"")</f>
        <v/>
      </c>
      <c r="L439" t="str">
        <f>IF(AND('Entry list'!$I439=5,'Entry list'!$J439=5),'Entry list'!N439,"")</f>
        <v/>
      </c>
      <c r="M439" t="str">
        <f t="shared" si="18"/>
        <v/>
      </c>
      <c r="N439" t="str">
        <f t="shared" si="19"/>
        <v/>
      </c>
      <c r="O439" t="str">
        <f t="shared" si="20"/>
        <v/>
      </c>
    </row>
    <row r="440" spans="1:15" x14ac:dyDescent="0.25">
      <c r="A440" t="str">
        <f>IF(AND('Entry list'!$I440=5,'Entry list'!$J440=5),'Entry list'!A440,"")</f>
        <v/>
      </c>
      <c r="B440" t="str">
        <f>IF(AND('Entry list'!$I440=5,'Entry list'!$J440=5),'Entry list'!B440,"")</f>
        <v/>
      </c>
      <c r="C440" t="str">
        <f>IF(AND('Entry list'!$I440=5,'Entry list'!$J440=5),'Entry list'!C440,"")</f>
        <v/>
      </c>
      <c r="D440" t="str">
        <f>IF(AND('Entry list'!$I440=5,'Entry list'!$J440=5),'Entry list'!D440,"")</f>
        <v/>
      </c>
      <c r="E440" t="str">
        <f>IF(AND('Entry list'!$I440=5,'Entry list'!$J440=5),'Entry list'!E440,"")</f>
        <v/>
      </c>
      <c r="F440" t="str">
        <f>IF(AND('Entry list'!$I440=5,'Entry list'!$J440=5),'Entry list'!F440,"")</f>
        <v/>
      </c>
      <c r="G440" t="str">
        <f>IF(AND('Entry list'!$I440=5,'Entry list'!$J440=5),'Entry list'!G440,"")</f>
        <v/>
      </c>
      <c r="H440" t="str">
        <f>IF(AND('Entry list'!$I440=5,'Entry list'!$J440=5),'Entry list'!H440,"")</f>
        <v/>
      </c>
      <c r="I440" t="str">
        <f>IF(AND('Entry list'!$I440=5,'Entry list'!$J440=5),'Entry list'!K440,"")</f>
        <v/>
      </c>
      <c r="J440" t="str">
        <f>IF(AND('Entry list'!$I440=5,'Entry list'!$J440=5),'Entry list'!L440,"")</f>
        <v/>
      </c>
      <c r="K440" t="str">
        <f>IF(AND('Entry list'!$I440=5,'Entry list'!$J440=5),'Entry list'!M440,"")</f>
        <v/>
      </c>
      <c r="L440" t="str">
        <f>IF(AND('Entry list'!$I440=5,'Entry list'!$J440=5),'Entry list'!N440,"")</f>
        <v/>
      </c>
      <c r="M440" t="str">
        <f t="shared" si="18"/>
        <v/>
      </c>
      <c r="N440" t="str">
        <f t="shared" si="19"/>
        <v/>
      </c>
      <c r="O440" t="str">
        <f t="shared" si="20"/>
        <v/>
      </c>
    </row>
    <row r="441" spans="1:15" x14ac:dyDescent="0.25">
      <c r="A441" t="str">
        <f>IF(AND('Entry list'!$I441=5,'Entry list'!$J441=5),'Entry list'!A441,"")</f>
        <v/>
      </c>
      <c r="B441" t="str">
        <f>IF(AND('Entry list'!$I441=5,'Entry list'!$J441=5),'Entry list'!B441,"")</f>
        <v/>
      </c>
      <c r="C441" t="str">
        <f>IF(AND('Entry list'!$I441=5,'Entry list'!$J441=5),'Entry list'!C441,"")</f>
        <v/>
      </c>
      <c r="D441" t="str">
        <f>IF(AND('Entry list'!$I441=5,'Entry list'!$J441=5),'Entry list'!D441,"")</f>
        <v/>
      </c>
      <c r="E441" t="str">
        <f>IF(AND('Entry list'!$I441=5,'Entry list'!$J441=5),'Entry list'!E441,"")</f>
        <v/>
      </c>
      <c r="F441" t="str">
        <f>IF(AND('Entry list'!$I441=5,'Entry list'!$J441=5),'Entry list'!F441,"")</f>
        <v/>
      </c>
      <c r="G441" t="str">
        <f>IF(AND('Entry list'!$I441=5,'Entry list'!$J441=5),'Entry list'!G441,"")</f>
        <v/>
      </c>
      <c r="H441" t="str">
        <f>IF(AND('Entry list'!$I441=5,'Entry list'!$J441=5),'Entry list'!H441,"")</f>
        <v/>
      </c>
      <c r="I441" t="str">
        <f>IF(AND('Entry list'!$I441=5,'Entry list'!$J441=5),'Entry list'!K441,"")</f>
        <v/>
      </c>
      <c r="J441" t="str">
        <f>IF(AND('Entry list'!$I441=5,'Entry list'!$J441=5),'Entry list'!L441,"")</f>
        <v/>
      </c>
      <c r="K441" t="str">
        <f>IF(AND('Entry list'!$I441=5,'Entry list'!$J441=5),'Entry list'!M441,"")</f>
        <v/>
      </c>
      <c r="L441" t="str">
        <f>IF(AND('Entry list'!$I441=5,'Entry list'!$J441=5),'Entry list'!N441,"")</f>
        <v/>
      </c>
      <c r="M441" t="str">
        <f t="shared" si="18"/>
        <v/>
      </c>
      <c r="N441" t="str">
        <f t="shared" si="19"/>
        <v/>
      </c>
      <c r="O441" t="str">
        <f t="shared" si="20"/>
        <v/>
      </c>
    </row>
    <row r="442" spans="1:15" x14ac:dyDescent="0.25">
      <c r="A442" t="str">
        <f>IF(AND('Entry list'!$I442=5,'Entry list'!$J442=5),'Entry list'!A442,"")</f>
        <v/>
      </c>
      <c r="B442" t="str">
        <f>IF(AND('Entry list'!$I442=5,'Entry list'!$J442=5),'Entry list'!B442,"")</f>
        <v/>
      </c>
      <c r="C442" t="str">
        <f>IF(AND('Entry list'!$I442=5,'Entry list'!$J442=5),'Entry list'!C442,"")</f>
        <v/>
      </c>
      <c r="D442" t="str">
        <f>IF(AND('Entry list'!$I442=5,'Entry list'!$J442=5),'Entry list'!D442,"")</f>
        <v/>
      </c>
      <c r="E442" t="str">
        <f>IF(AND('Entry list'!$I442=5,'Entry list'!$J442=5),'Entry list'!E442,"")</f>
        <v/>
      </c>
      <c r="F442" t="str">
        <f>IF(AND('Entry list'!$I442=5,'Entry list'!$J442=5),'Entry list'!F442,"")</f>
        <v/>
      </c>
      <c r="G442" t="str">
        <f>IF(AND('Entry list'!$I442=5,'Entry list'!$J442=5),'Entry list'!G442,"")</f>
        <v/>
      </c>
      <c r="H442" t="str">
        <f>IF(AND('Entry list'!$I442=5,'Entry list'!$J442=5),'Entry list'!H442,"")</f>
        <v/>
      </c>
      <c r="I442" t="str">
        <f>IF(AND('Entry list'!$I442=5,'Entry list'!$J442=5),'Entry list'!K442,"")</f>
        <v/>
      </c>
      <c r="J442" t="str">
        <f>IF(AND('Entry list'!$I442=5,'Entry list'!$J442=5),'Entry list'!L442,"")</f>
        <v/>
      </c>
      <c r="K442" t="str">
        <f>IF(AND('Entry list'!$I442=5,'Entry list'!$J442=5),'Entry list'!M442,"")</f>
        <v/>
      </c>
      <c r="L442" t="str">
        <f>IF(AND('Entry list'!$I442=5,'Entry list'!$J442=5),'Entry list'!N442,"")</f>
        <v/>
      </c>
      <c r="M442" t="str">
        <f t="shared" si="18"/>
        <v/>
      </c>
      <c r="N442" t="str">
        <f t="shared" si="19"/>
        <v/>
      </c>
      <c r="O442" t="str">
        <f t="shared" si="20"/>
        <v/>
      </c>
    </row>
    <row r="443" spans="1:15" x14ac:dyDescent="0.25">
      <c r="A443" t="str">
        <f>IF(AND('Entry list'!$I443=5,'Entry list'!$J443=5),'Entry list'!A443,"")</f>
        <v/>
      </c>
      <c r="B443" t="str">
        <f>IF(AND('Entry list'!$I443=5,'Entry list'!$J443=5),'Entry list'!B443,"")</f>
        <v/>
      </c>
      <c r="C443" t="str">
        <f>IF(AND('Entry list'!$I443=5,'Entry list'!$J443=5),'Entry list'!C443,"")</f>
        <v/>
      </c>
      <c r="D443" t="str">
        <f>IF(AND('Entry list'!$I443=5,'Entry list'!$J443=5),'Entry list'!D443,"")</f>
        <v/>
      </c>
      <c r="E443" t="str">
        <f>IF(AND('Entry list'!$I443=5,'Entry list'!$J443=5),'Entry list'!E443,"")</f>
        <v/>
      </c>
      <c r="F443" t="str">
        <f>IF(AND('Entry list'!$I443=5,'Entry list'!$J443=5),'Entry list'!F443,"")</f>
        <v/>
      </c>
      <c r="G443" t="str">
        <f>IF(AND('Entry list'!$I443=5,'Entry list'!$J443=5),'Entry list'!G443,"")</f>
        <v/>
      </c>
      <c r="H443" t="str">
        <f>IF(AND('Entry list'!$I443=5,'Entry list'!$J443=5),'Entry list'!H443,"")</f>
        <v/>
      </c>
      <c r="I443" t="str">
        <f>IF(AND('Entry list'!$I443=5,'Entry list'!$J443=5),'Entry list'!K443,"")</f>
        <v/>
      </c>
      <c r="J443" t="str">
        <f>IF(AND('Entry list'!$I443=5,'Entry list'!$J443=5),'Entry list'!L443,"")</f>
        <v/>
      </c>
      <c r="K443" t="str">
        <f>IF(AND('Entry list'!$I443=5,'Entry list'!$J443=5),'Entry list'!M443,"")</f>
        <v/>
      </c>
      <c r="L443" t="str">
        <f>IF(AND('Entry list'!$I443=5,'Entry list'!$J443=5),'Entry list'!N443,"")</f>
        <v/>
      </c>
      <c r="M443" t="str">
        <f t="shared" si="18"/>
        <v/>
      </c>
      <c r="N443" t="str">
        <f t="shared" si="19"/>
        <v/>
      </c>
      <c r="O443" t="str">
        <f t="shared" si="20"/>
        <v/>
      </c>
    </row>
    <row r="444" spans="1:15" x14ac:dyDescent="0.25">
      <c r="A444" t="str">
        <f>IF(AND('Entry list'!$I444=5,'Entry list'!$J444=5),'Entry list'!A444,"")</f>
        <v/>
      </c>
      <c r="B444" t="str">
        <f>IF(AND('Entry list'!$I444=5,'Entry list'!$J444=5),'Entry list'!B444,"")</f>
        <v/>
      </c>
      <c r="C444" t="str">
        <f>IF(AND('Entry list'!$I444=5,'Entry list'!$J444=5),'Entry list'!C444,"")</f>
        <v/>
      </c>
      <c r="D444" t="str">
        <f>IF(AND('Entry list'!$I444=5,'Entry list'!$J444=5),'Entry list'!D444,"")</f>
        <v/>
      </c>
      <c r="E444" t="str">
        <f>IF(AND('Entry list'!$I444=5,'Entry list'!$J444=5),'Entry list'!E444,"")</f>
        <v/>
      </c>
      <c r="F444" t="str">
        <f>IF(AND('Entry list'!$I444=5,'Entry list'!$J444=5),'Entry list'!F444,"")</f>
        <v/>
      </c>
      <c r="G444" t="str">
        <f>IF(AND('Entry list'!$I444=5,'Entry list'!$J444=5),'Entry list'!G444,"")</f>
        <v/>
      </c>
      <c r="H444" t="str">
        <f>IF(AND('Entry list'!$I444=5,'Entry list'!$J444=5),'Entry list'!H444,"")</f>
        <v/>
      </c>
      <c r="I444" t="str">
        <f>IF(AND('Entry list'!$I444=5,'Entry list'!$J444=5),'Entry list'!K444,"")</f>
        <v/>
      </c>
      <c r="J444" t="str">
        <f>IF(AND('Entry list'!$I444=5,'Entry list'!$J444=5),'Entry list'!L444,"")</f>
        <v/>
      </c>
      <c r="K444" t="str">
        <f>IF(AND('Entry list'!$I444=5,'Entry list'!$J444=5),'Entry list'!M444,"")</f>
        <v/>
      </c>
      <c r="L444" t="str">
        <f>IF(AND('Entry list'!$I444=5,'Entry list'!$J444=5),'Entry list'!N444,"")</f>
        <v/>
      </c>
      <c r="M444" t="str">
        <f t="shared" si="18"/>
        <v/>
      </c>
      <c r="N444" t="str">
        <f t="shared" si="19"/>
        <v/>
      </c>
      <c r="O444" t="str">
        <f t="shared" si="20"/>
        <v/>
      </c>
    </row>
    <row r="445" spans="1:15" x14ac:dyDescent="0.25">
      <c r="A445" t="str">
        <f>IF(AND('Entry list'!$I445=5,'Entry list'!$J445=5),'Entry list'!A445,"")</f>
        <v/>
      </c>
      <c r="B445" t="str">
        <f>IF(AND('Entry list'!$I445=5,'Entry list'!$J445=5),'Entry list'!B445,"")</f>
        <v/>
      </c>
      <c r="C445" t="str">
        <f>IF(AND('Entry list'!$I445=5,'Entry list'!$J445=5),'Entry list'!C445,"")</f>
        <v/>
      </c>
      <c r="D445" t="str">
        <f>IF(AND('Entry list'!$I445=5,'Entry list'!$J445=5),'Entry list'!D445,"")</f>
        <v/>
      </c>
      <c r="E445" t="str">
        <f>IF(AND('Entry list'!$I445=5,'Entry list'!$J445=5),'Entry list'!E445,"")</f>
        <v/>
      </c>
      <c r="F445" t="str">
        <f>IF(AND('Entry list'!$I445=5,'Entry list'!$J445=5),'Entry list'!F445,"")</f>
        <v/>
      </c>
      <c r="G445" t="str">
        <f>IF(AND('Entry list'!$I445=5,'Entry list'!$J445=5),'Entry list'!G445,"")</f>
        <v/>
      </c>
      <c r="H445" t="str">
        <f>IF(AND('Entry list'!$I445=5,'Entry list'!$J445=5),'Entry list'!H445,"")</f>
        <v/>
      </c>
      <c r="I445" t="str">
        <f>IF(AND('Entry list'!$I445=5,'Entry list'!$J445=5),'Entry list'!K445,"")</f>
        <v/>
      </c>
      <c r="J445" t="str">
        <f>IF(AND('Entry list'!$I445=5,'Entry list'!$J445=5),'Entry list'!L445,"")</f>
        <v/>
      </c>
      <c r="K445" t="str">
        <f>IF(AND('Entry list'!$I445=5,'Entry list'!$J445=5),'Entry list'!M445,"")</f>
        <v/>
      </c>
      <c r="L445" t="str">
        <f>IF(AND('Entry list'!$I445=5,'Entry list'!$J445=5),'Entry list'!N445,"")</f>
        <v/>
      </c>
      <c r="M445" t="str">
        <f t="shared" si="18"/>
        <v/>
      </c>
      <c r="N445" t="str">
        <f t="shared" si="19"/>
        <v/>
      </c>
      <c r="O445" t="str">
        <f t="shared" si="20"/>
        <v/>
      </c>
    </row>
    <row r="446" spans="1:15" x14ac:dyDescent="0.25">
      <c r="A446" t="str">
        <f>IF(AND('Entry list'!$I446=5,'Entry list'!$J446=5),'Entry list'!A446,"")</f>
        <v/>
      </c>
      <c r="B446" t="str">
        <f>IF(AND('Entry list'!$I446=5,'Entry list'!$J446=5),'Entry list'!B446,"")</f>
        <v/>
      </c>
      <c r="C446" t="str">
        <f>IF(AND('Entry list'!$I446=5,'Entry list'!$J446=5),'Entry list'!C446,"")</f>
        <v/>
      </c>
      <c r="D446" t="str">
        <f>IF(AND('Entry list'!$I446=5,'Entry list'!$J446=5),'Entry list'!D446,"")</f>
        <v/>
      </c>
      <c r="E446" t="str">
        <f>IF(AND('Entry list'!$I446=5,'Entry list'!$J446=5),'Entry list'!E446,"")</f>
        <v/>
      </c>
      <c r="F446" t="str">
        <f>IF(AND('Entry list'!$I446=5,'Entry list'!$J446=5),'Entry list'!F446,"")</f>
        <v/>
      </c>
      <c r="G446" t="str">
        <f>IF(AND('Entry list'!$I446=5,'Entry list'!$J446=5),'Entry list'!G446,"")</f>
        <v/>
      </c>
      <c r="H446" t="str">
        <f>IF(AND('Entry list'!$I446=5,'Entry list'!$J446=5),'Entry list'!H446,"")</f>
        <v/>
      </c>
      <c r="I446" t="str">
        <f>IF(AND('Entry list'!$I446=5,'Entry list'!$J446=5),'Entry list'!K446,"")</f>
        <v/>
      </c>
      <c r="J446" t="str">
        <f>IF(AND('Entry list'!$I446=5,'Entry list'!$J446=5),'Entry list'!L446,"")</f>
        <v/>
      </c>
      <c r="K446" t="str">
        <f>IF(AND('Entry list'!$I446=5,'Entry list'!$J446=5),'Entry list'!M446,"")</f>
        <v/>
      </c>
      <c r="L446" t="str">
        <f>IF(AND('Entry list'!$I446=5,'Entry list'!$J446=5),'Entry list'!N446,"")</f>
        <v/>
      </c>
      <c r="M446" t="str">
        <f t="shared" si="18"/>
        <v/>
      </c>
      <c r="N446" t="str">
        <f t="shared" si="19"/>
        <v/>
      </c>
      <c r="O446" t="str">
        <f t="shared" si="20"/>
        <v/>
      </c>
    </row>
    <row r="447" spans="1:15" x14ac:dyDescent="0.25">
      <c r="A447" t="str">
        <f>IF(AND('Entry list'!$I447=5,'Entry list'!$J447=5),'Entry list'!A447,"")</f>
        <v/>
      </c>
      <c r="B447" t="str">
        <f>IF(AND('Entry list'!$I447=5,'Entry list'!$J447=5),'Entry list'!B447,"")</f>
        <v/>
      </c>
      <c r="C447" t="str">
        <f>IF(AND('Entry list'!$I447=5,'Entry list'!$J447=5),'Entry list'!C447,"")</f>
        <v/>
      </c>
      <c r="D447" t="str">
        <f>IF(AND('Entry list'!$I447=5,'Entry list'!$J447=5),'Entry list'!D447,"")</f>
        <v/>
      </c>
      <c r="E447" t="str">
        <f>IF(AND('Entry list'!$I447=5,'Entry list'!$J447=5),'Entry list'!E447,"")</f>
        <v/>
      </c>
      <c r="F447" t="str">
        <f>IF(AND('Entry list'!$I447=5,'Entry list'!$J447=5),'Entry list'!F447,"")</f>
        <v/>
      </c>
      <c r="G447" t="str">
        <f>IF(AND('Entry list'!$I447=5,'Entry list'!$J447=5),'Entry list'!G447,"")</f>
        <v/>
      </c>
      <c r="H447" t="str">
        <f>IF(AND('Entry list'!$I447=5,'Entry list'!$J447=5),'Entry list'!H447,"")</f>
        <v/>
      </c>
      <c r="I447" t="str">
        <f>IF(AND('Entry list'!$I447=5,'Entry list'!$J447=5),'Entry list'!K447,"")</f>
        <v/>
      </c>
      <c r="J447" t="str">
        <f>IF(AND('Entry list'!$I447=5,'Entry list'!$J447=5),'Entry list'!L447,"")</f>
        <v/>
      </c>
      <c r="K447" t="str">
        <f>IF(AND('Entry list'!$I447=5,'Entry list'!$J447=5),'Entry list'!M447,"")</f>
        <v/>
      </c>
      <c r="L447" t="str">
        <f>IF(AND('Entry list'!$I447=5,'Entry list'!$J447=5),'Entry list'!N447,"")</f>
        <v/>
      </c>
      <c r="M447" t="str">
        <f t="shared" si="18"/>
        <v/>
      </c>
      <c r="N447" t="str">
        <f t="shared" si="19"/>
        <v/>
      </c>
      <c r="O447" t="str">
        <f t="shared" si="20"/>
        <v/>
      </c>
    </row>
    <row r="448" spans="1:15" x14ac:dyDescent="0.25">
      <c r="A448" t="str">
        <f>IF(AND('Entry list'!$I448=5,'Entry list'!$J448=5),'Entry list'!A448,"")</f>
        <v/>
      </c>
      <c r="B448" t="str">
        <f>IF(AND('Entry list'!$I448=5,'Entry list'!$J448=5),'Entry list'!B448,"")</f>
        <v/>
      </c>
      <c r="C448" t="str">
        <f>IF(AND('Entry list'!$I448=5,'Entry list'!$J448=5),'Entry list'!C448,"")</f>
        <v/>
      </c>
      <c r="D448" t="str">
        <f>IF(AND('Entry list'!$I448=5,'Entry list'!$J448=5),'Entry list'!D448,"")</f>
        <v/>
      </c>
      <c r="E448" t="str">
        <f>IF(AND('Entry list'!$I448=5,'Entry list'!$J448=5),'Entry list'!E448,"")</f>
        <v/>
      </c>
      <c r="F448" t="str">
        <f>IF(AND('Entry list'!$I448=5,'Entry list'!$J448=5),'Entry list'!F448,"")</f>
        <v/>
      </c>
      <c r="G448" t="str">
        <f>IF(AND('Entry list'!$I448=5,'Entry list'!$J448=5),'Entry list'!G448,"")</f>
        <v/>
      </c>
      <c r="H448" t="str">
        <f>IF(AND('Entry list'!$I448=5,'Entry list'!$J448=5),'Entry list'!H448,"")</f>
        <v/>
      </c>
      <c r="I448" t="str">
        <f>IF(AND('Entry list'!$I448=5,'Entry list'!$J448=5),'Entry list'!K448,"")</f>
        <v/>
      </c>
      <c r="J448" t="str">
        <f>IF(AND('Entry list'!$I448=5,'Entry list'!$J448=5),'Entry list'!L448,"")</f>
        <v/>
      </c>
      <c r="K448" t="str">
        <f>IF(AND('Entry list'!$I448=5,'Entry list'!$J448=5),'Entry list'!M448,"")</f>
        <v/>
      </c>
      <c r="L448" t="str">
        <f>IF(AND('Entry list'!$I448=5,'Entry list'!$J448=5),'Entry list'!N448,"")</f>
        <v/>
      </c>
      <c r="M448" t="str">
        <f t="shared" si="18"/>
        <v/>
      </c>
      <c r="N448" t="str">
        <f t="shared" si="19"/>
        <v/>
      </c>
      <c r="O448" t="str">
        <f t="shared" si="20"/>
        <v/>
      </c>
    </row>
    <row r="449" spans="1:15" x14ac:dyDescent="0.25">
      <c r="A449" t="str">
        <f>IF(AND('Entry list'!$I449=5,'Entry list'!$J449=5),'Entry list'!A449,"")</f>
        <v/>
      </c>
      <c r="B449" t="str">
        <f>IF(AND('Entry list'!$I449=5,'Entry list'!$J449=5),'Entry list'!B449,"")</f>
        <v/>
      </c>
      <c r="C449" t="str">
        <f>IF(AND('Entry list'!$I449=5,'Entry list'!$J449=5),'Entry list'!C449,"")</f>
        <v/>
      </c>
      <c r="D449" t="str">
        <f>IF(AND('Entry list'!$I449=5,'Entry list'!$J449=5),'Entry list'!D449,"")</f>
        <v/>
      </c>
      <c r="E449" t="str">
        <f>IF(AND('Entry list'!$I449=5,'Entry list'!$J449=5),'Entry list'!E449,"")</f>
        <v/>
      </c>
      <c r="F449" t="str">
        <f>IF(AND('Entry list'!$I449=5,'Entry list'!$J449=5),'Entry list'!F449,"")</f>
        <v/>
      </c>
      <c r="G449" t="str">
        <f>IF(AND('Entry list'!$I449=5,'Entry list'!$J449=5),'Entry list'!G449,"")</f>
        <v/>
      </c>
      <c r="H449" t="str">
        <f>IF(AND('Entry list'!$I449=5,'Entry list'!$J449=5),'Entry list'!H449,"")</f>
        <v/>
      </c>
      <c r="I449" t="str">
        <f>IF(AND('Entry list'!$I449=5,'Entry list'!$J449=5),'Entry list'!K449,"")</f>
        <v/>
      </c>
      <c r="J449" t="str">
        <f>IF(AND('Entry list'!$I449=5,'Entry list'!$J449=5),'Entry list'!L449,"")</f>
        <v/>
      </c>
      <c r="K449" t="str">
        <f>IF(AND('Entry list'!$I449=5,'Entry list'!$J449=5),'Entry list'!M449,"")</f>
        <v/>
      </c>
      <c r="L449" t="str">
        <f>IF(AND('Entry list'!$I449=5,'Entry list'!$J449=5),'Entry list'!N449,"")</f>
        <v/>
      </c>
      <c r="M449" t="str">
        <f t="shared" si="18"/>
        <v/>
      </c>
      <c r="N449" t="str">
        <f t="shared" si="19"/>
        <v/>
      </c>
      <c r="O449" t="str">
        <f t="shared" si="20"/>
        <v/>
      </c>
    </row>
    <row r="450" spans="1:15" x14ac:dyDescent="0.25">
      <c r="A450" t="str">
        <f>IF(AND('Entry list'!$I450=5,'Entry list'!$J450=5),'Entry list'!A450,"")</f>
        <v/>
      </c>
      <c r="B450" t="str">
        <f>IF(AND('Entry list'!$I450=5,'Entry list'!$J450=5),'Entry list'!B450,"")</f>
        <v/>
      </c>
      <c r="C450" t="str">
        <f>IF(AND('Entry list'!$I450=5,'Entry list'!$J450=5),'Entry list'!C450,"")</f>
        <v/>
      </c>
      <c r="D450" t="str">
        <f>IF(AND('Entry list'!$I450=5,'Entry list'!$J450=5),'Entry list'!D450,"")</f>
        <v/>
      </c>
      <c r="E450" t="str">
        <f>IF(AND('Entry list'!$I450=5,'Entry list'!$J450=5),'Entry list'!E450,"")</f>
        <v/>
      </c>
      <c r="F450" t="str">
        <f>IF(AND('Entry list'!$I450=5,'Entry list'!$J450=5),'Entry list'!F450,"")</f>
        <v/>
      </c>
      <c r="G450" t="str">
        <f>IF(AND('Entry list'!$I450=5,'Entry list'!$J450=5),'Entry list'!G450,"")</f>
        <v/>
      </c>
      <c r="H450" t="str">
        <f>IF(AND('Entry list'!$I450=5,'Entry list'!$J450=5),'Entry list'!H450,"")</f>
        <v/>
      </c>
      <c r="I450" t="str">
        <f>IF(AND('Entry list'!$I450=5,'Entry list'!$J450=5),'Entry list'!K450,"")</f>
        <v/>
      </c>
      <c r="J450" t="str">
        <f>IF(AND('Entry list'!$I450=5,'Entry list'!$J450=5),'Entry list'!L450,"")</f>
        <v/>
      </c>
      <c r="K450" t="str">
        <f>IF(AND('Entry list'!$I450=5,'Entry list'!$J450=5),'Entry list'!M450,"")</f>
        <v/>
      </c>
      <c r="L450" t="str">
        <f>IF(AND('Entry list'!$I450=5,'Entry list'!$J450=5),'Entry list'!N450,"")</f>
        <v/>
      </c>
      <c r="M450" t="str">
        <f t="shared" si="18"/>
        <v/>
      </c>
      <c r="N450" t="str">
        <f t="shared" si="19"/>
        <v/>
      </c>
      <c r="O450" t="str">
        <f t="shared" si="20"/>
        <v/>
      </c>
    </row>
    <row r="451" spans="1:15" x14ac:dyDescent="0.25">
      <c r="A451" t="str">
        <f>IF(AND('Entry list'!$I451=5,'Entry list'!$J451=5),'Entry list'!A451,"")</f>
        <v/>
      </c>
      <c r="B451" t="str">
        <f>IF(AND('Entry list'!$I451=5,'Entry list'!$J451=5),'Entry list'!B451,"")</f>
        <v/>
      </c>
      <c r="C451" t="str">
        <f>IF(AND('Entry list'!$I451=5,'Entry list'!$J451=5),'Entry list'!C451,"")</f>
        <v/>
      </c>
      <c r="D451" t="str">
        <f>IF(AND('Entry list'!$I451=5,'Entry list'!$J451=5),'Entry list'!D451,"")</f>
        <v/>
      </c>
      <c r="E451" t="str">
        <f>IF(AND('Entry list'!$I451=5,'Entry list'!$J451=5),'Entry list'!E451,"")</f>
        <v/>
      </c>
      <c r="F451" t="str">
        <f>IF(AND('Entry list'!$I451=5,'Entry list'!$J451=5),'Entry list'!F451,"")</f>
        <v/>
      </c>
      <c r="G451" t="str">
        <f>IF(AND('Entry list'!$I451=5,'Entry list'!$J451=5),'Entry list'!G451,"")</f>
        <v/>
      </c>
      <c r="H451" t="str">
        <f>IF(AND('Entry list'!$I451=5,'Entry list'!$J451=5),'Entry list'!H451,"")</f>
        <v/>
      </c>
      <c r="I451" t="str">
        <f>IF(AND('Entry list'!$I451=5,'Entry list'!$J451=5),'Entry list'!K451,"")</f>
        <v/>
      </c>
      <c r="J451" t="str">
        <f>IF(AND('Entry list'!$I451=5,'Entry list'!$J451=5),'Entry list'!L451,"")</f>
        <v/>
      </c>
      <c r="K451" t="str">
        <f>IF(AND('Entry list'!$I451=5,'Entry list'!$J451=5),'Entry list'!M451,"")</f>
        <v/>
      </c>
      <c r="L451" t="str">
        <f>IF(AND('Entry list'!$I451=5,'Entry list'!$J451=5),'Entry list'!N451,"")</f>
        <v/>
      </c>
      <c r="M451" t="str">
        <f t="shared" ref="M451:M514" si="21">IF(EXACT(D451,""),"",IF(EXACT(LEFT(D451,3),"WSH"),1,0))</f>
        <v/>
      </c>
      <c r="N451" t="str">
        <f t="shared" ref="N451:N514" si="22">IF(EXACT(I451,""),"",IF(EXACT(LEFT(I451,3),"WSH"),1,0))</f>
        <v/>
      </c>
      <c r="O451" t="str">
        <f t="shared" ref="O451:O514" si="23">IF(EXACT(L451,""),"",IF(EXACT(LEFT(L451,3),"WSH"),1,0))</f>
        <v/>
      </c>
    </row>
    <row r="452" spans="1:15" x14ac:dyDescent="0.25">
      <c r="A452" t="str">
        <f>IF(AND('Entry list'!$I452=5,'Entry list'!$J452=5),'Entry list'!A452,"")</f>
        <v/>
      </c>
      <c r="B452" t="str">
        <f>IF(AND('Entry list'!$I452=5,'Entry list'!$J452=5),'Entry list'!B452,"")</f>
        <v/>
      </c>
      <c r="C452" t="str">
        <f>IF(AND('Entry list'!$I452=5,'Entry list'!$J452=5),'Entry list'!C452,"")</f>
        <v/>
      </c>
      <c r="D452" t="str">
        <f>IF(AND('Entry list'!$I452=5,'Entry list'!$J452=5),'Entry list'!D452,"")</f>
        <v/>
      </c>
      <c r="E452" t="str">
        <f>IF(AND('Entry list'!$I452=5,'Entry list'!$J452=5),'Entry list'!E452,"")</f>
        <v/>
      </c>
      <c r="F452" t="str">
        <f>IF(AND('Entry list'!$I452=5,'Entry list'!$J452=5),'Entry list'!F452,"")</f>
        <v/>
      </c>
      <c r="G452" t="str">
        <f>IF(AND('Entry list'!$I452=5,'Entry list'!$J452=5),'Entry list'!G452,"")</f>
        <v/>
      </c>
      <c r="H452" t="str">
        <f>IF(AND('Entry list'!$I452=5,'Entry list'!$J452=5),'Entry list'!H452,"")</f>
        <v/>
      </c>
      <c r="I452" t="str">
        <f>IF(AND('Entry list'!$I452=5,'Entry list'!$J452=5),'Entry list'!K452,"")</f>
        <v/>
      </c>
      <c r="J452" t="str">
        <f>IF(AND('Entry list'!$I452=5,'Entry list'!$J452=5),'Entry list'!L452,"")</f>
        <v/>
      </c>
      <c r="K452" t="str">
        <f>IF(AND('Entry list'!$I452=5,'Entry list'!$J452=5),'Entry list'!M452,"")</f>
        <v/>
      </c>
      <c r="L452" t="str">
        <f>IF(AND('Entry list'!$I452=5,'Entry list'!$J452=5),'Entry list'!N452,"")</f>
        <v/>
      </c>
      <c r="M452" t="str">
        <f t="shared" si="21"/>
        <v/>
      </c>
      <c r="N452" t="str">
        <f t="shared" si="22"/>
        <v/>
      </c>
      <c r="O452" t="str">
        <f t="shared" si="23"/>
        <v/>
      </c>
    </row>
    <row r="453" spans="1:15" x14ac:dyDescent="0.25">
      <c r="A453" t="str">
        <f>IF(AND('Entry list'!$I453=5,'Entry list'!$J453=5),'Entry list'!A453,"")</f>
        <v/>
      </c>
      <c r="B453" t="str">
        <f>IF(AND('Entry list'!$I453=5,'Entry list'!$J453=5),'Entry list'!B453,"")</f>
        <v/>
      </c>
      <c r="C453" t="str">
        <f>IF(AND('Entry list'!$I453=5,'Entry list'!$J453=5),'Entry list'!C453,"")</f>
        <v/>
      </c>
      <c r="D453" t="str">
        <f>IF(AND('Entry list'!$I453=5,'Entry list'!$J453=5),'Entry list'!D453,"")</f>
        <v/>
      </c>
      <c r="E453" t="str">
        <f>IF(AND('Entry list'!$I453=5,'Entry list'!$J453=5),'Entry list'!E453,"")</f>
        <v/>
      </c>
      <c r="F453" t="str">
        <f>IF(AND('Entry list'!$I453=5,'Entry list'!$J453=5),'Entry list'!F453,"")</f>
        <v/>
      </c>
      <c r="G453" t="str">
        <f>IF(AND('Entry list'!$I453=5,'Entry list'!$J453=5),'Entry list'!G453,"")</f>
        <v/>
      </c>
      <c r="H453" t="str">
        <f>IF(AND('Entry list'!$I453=5,'Entry list'!$J453=5),'Entry list'!H453,"")</f>
        <v/>
      </c>
      <c r="I453" t="str">
        <f>IF(AND('Entry list'!$I453=5,'Entry list'!$J453=5),'Entry list'!K453,"")</f>
        <v/>
      </c>
      <c r="J453" t="str">
        <f>IF(AND('Entry list'!$I453=5,'Entry list'!$J453=5),'Entry list'!L453,"")</f>
        <v/>
      </c>
      <c r="K453" t="str">
        <f>IF(AND('Entry list'!$I453=5,'Entry list'!$J453=5),'Entry list'!M453,"")</f>
        <v/>
      </c>
      <c r="L453" t="str">
        <f>IF(AND('Entry list'!$I453=5,'Entry list'!$J453=5),'Entry list'!N453,"")</f>
        <v/>
      </c>
      <c r="M453" t="str">
        <f t="shared" si="21"/>
        <v/>
      </c>
      <c r="N453" t="str">
        <f t="shared" si="22"/>
        <v/>
      </c>
      <c r="O453" t="str">
        <f t="shared" si="23"/>
        <v/>
      </c>
    </row>
    <row r="454" spans="1:15" x14ac:dyDescent="0.25">
      <c r="A454" t="str">
        <f>IF(AND('Entry list'!$I454=5,'Entry list'!$J454=5),'Entry list'!A454,"")</f>
        <v/>
      </c>
      <c r="B454" t="str">
        <f>IF(AND('Entry list'!$I454=5,'Entry list'!$J454=5),'Entry list'!B454,"")</f>
        <v/>
      </c>
      <c r="C454" t="str">
        <f>IF(AND('Entry list'!$I454=5,'Entry list'!$J454=5),'Entry list'!C454,"")</f>
        <v/>
      </c>
      <c r="D454" t="str">
        <f>IF(AND('Entry list'!$I454=5,'Entry list'!$J454=5),'Entry list'!D454,"")</f>
        <v/>
      </c>
      <c r="E454" t="str">
        <f>IF(AND('Entry list'!$I454=5,'Entry list'!$J454=5),'Entry list'!E454,"")</f>
        <v/>
      </c>
      <c r="F454" t="str">
        <f>IF(AND('Entry list'!$I454=5,'Entry list'!$J454=5),'Entry list'!F454,"")</f>
        <v/>
      </c>
      <c r="G454" t="str">
        <f>IF(AND('Entry list'!$I454=5,'Entry list'!$J454=5),'Entry list'!G454,"")</f>
        <v/>
      </c>
      <c r="H454" t="str">
        <f>IF(AND('Entry list'!$I454=5,'Entry list'!$J454=5),'Entry list'!H454,"")</f>
        <v/>
      </c>
      <c r="I454" t="str">
        <f>IF(AND('Entry list'!$I454=5,'Entry list'!$J454=5),'Entry list'!K454,"")</f>
        <v/>
      </c>
      <c r="J454" t="str">
        <f>IF(AND('Entry list'!$I454=5,'Entry list'!$J454=5),'Entry list'!L454,"")</f>
        <v/>
      </c>
      <c r="K454" t="str">
        <f>IF(AND('Entry list'!$I454=5,'Entry list'!$J454=5),'Entry list'!M454,"")</f>
        <v/>
      </c>
      <c r="L454" t="str">
        <f>IF(AND('Entry list'!$I454=5,'Entry list'!$J454=5),'Entry list'!N454,"")</f>
        <v/>
      </c>
      <c r="M454" t="str">
        <f t="shared" si="21"/>
        <v/>
      </c>
      <c r="N454" t="str">
        <f t="shared" si="22"/>
        <v/>
      </c>
      <c r="O454" t="str">
        <f t="shared" si="23"/>
        <v/>
      </c>
    </row>
    <row r="455" spans="1:15" x14ac:dyDescent="0.25">
      <c r="A455" t="str">
        <f>IF(AND('Entry list'!$I455=5,'Entry list'!$J455=5),'Entry list'!A455,"")</f>
        <v/>
      </c>
      <c r="B455" t="str">
        <f>IF(AND('Entry list'!$I455=5,'Entry list'!$J455=5),'Entry list'!B455,"")</f>
        <v/>
      </c>
      <c r="C455" t="str">
        <f>IF(AND('Entry list'!$I455=5,'Entry list'!$J455=5),'Entry list'!C455,"")</f>
        <v/>
      </c>
      <c r="D455" t="str">
        <f>IF(AND('Entry list'!$I455=5,'Entry list'!$J455=5),'Entry list'!D455,"")</f>
        <v/>
      </c>
      <c r="E455" t="str">
        <f>IF(AND('Entry list'!$I455=5,'Entry list'!$J455=5),'Entry list'!E455,"")</f>
        <v/>
      </c>
      <c r="F455" t="str">
        <f>IF(AND('Entry list'!$I455=5,'Entry list'!$J455=5),'Entry list'!F455,"")</f>
        <v/>
      </c>
      <c r="G455" t="str">
        <f>IF(AND('Entry list'!$I455=5,'Entry list'!$J455=5),'Entry list'!G455,"")</f>
        <v/>
      </c>
      <c r="H455" t="str">
        <f>IF(AND('Entry list'!$I455=5,'Entry list'!$J455=5),'Entry list'!H455,"")</f>
        <v/>
      </c>
      <c r="I455" t="str">
        <f>IF(AND('Entry list'!$I455=5,'Entry list'!$J455=5),'Entry list'!K455,"")</f>
        <v/>
      </c>
      <c r="J455" t="str">
        <f>IF(AND('Entry list'!$I455=5,'Entry list'!$J455=5),'Entry list'!L455,"")</f>
        <v/>
      </c>
      <c r="K455" t="str">
        <f>IF(AND('Entry list'!$I455=5,'Entry list'!$J455=5),'Entry list'!M455,"")</f>
        <v/>
      </c>
      <c r="L455" t="str">
        <f>IF(AND('Entry list'!$I455=5,'Entry list'!$J455=5),'Entry list'!N455,"")</f>
        <v/>
      </c>
      <c r="M455" t="str">
        <f t="shared" si="21"/>
        <v/>
      </c>
      <c r="N455" t="str">
        <f t="shared" si="22"/>
        <v/>
      </c>
      <c r="O455" t="str">
        <f t="shared" si="23"/>
        <v/>
      </c>
    </row>
    <row r="456" spans="1:15" x14ac:dyDescent="0.25">
      <c r="A456" t="str">
        <f>IF(AND('Entry list'!$I456=5,'Entry list'!$J456=5),'Entry list'!A456,"")</f>
        <v/>
      </c>
      <c r="B456" t="str">
        <f>IF(AND('Entry list'!$I456=5,'Entry list'!$J456=5),'Entry list'!B456,"")</f>
        <v/>
      </c>
      <c r="C456" t="str">
        <f>IF(AND('Entry list'!$I456=5,'Entry list'!$J456=5),'Entry list'!C456,"")</f>
        <v/>
      </c>
      <c r="D456" t="str">
        <f>IF(AND('Entry list'!$I456=5,'Entry list'!$J456=5),'Entry list'!D456,"")</f>
        <v/>
      </c>
      <c r="E456" t="str">
        <f>IF(AND('Entry list'!$I456=5,'Entry list'!$J456=5),'Entry list'!E456,"")</f>
        <v/>
      </c>
      <c r="F456" t="str">
        <f>IF(AND('Entry list'!$I456=5,'Entry list'!$J456=5),'Entry list'!F456,"")</f>
        <v/>
      </c>
      <c r="G456" t="str">
        <f>IF(AND('Entry list'!$I456=5,'Entry list'!$J456=5),'Entry list'!G456,"")</f>
        <v/>
      </c>
      <c r="H456" t="str">
        <f>IF(AND('Entry list'!$I456=5,'Entry list'!$J456=5),'Entry list'!H456,"")</f>
        <v/>
      </c>
      <c r="I456" t="str">
        <f>IF(AND('Entry list'!$I456=5,'Entry list'!$J456=5),'Entry list'!K456,"")</f>
        <v/>
      </c>
      <c r="J456" t="str">
        <f>IF(AND('Entry list'!$I456=5,'Entry list'!$J456=5),'Entry list'!L456,"")</f>
        <v/>
      </c>
      <c r="K456" t="str">
        <f>IF(AND('Entry list'!$I456=5,'Entry list'!$J456=5),'Entry list'!M456,"")</f>
        <v/>
      </c>
      <c r="L456" t="str">
        <f>IF(AND('Entry list'!$I456=5,'Entry list'!$J456=5),'Entry list'!N456,"")</f>
        <v/>
      </c>
      <c r="M456" t="str">
        <f t="shared" si="21"/>
        <v/>
      </c>
      <c r="N456" t="str">
        <f t="shared" si="22"/>
        <v/>
      </c>
      <c r="O456" t="str">
        <f t="shared" si="23"/>
        <v/>
      </c>
    </row>
    <row r="457" spans="1:15" x14ac:dyDescent="0.25">
      <c r="A457" t="str">
        <f>IF(AND('Entry list'!$I457=5,'Entry list'!$J457=5),'Entry list'!A457,"")</f>
        <v/>
      </c>
      <c r="B457" t="str">
        <f>IF(AND('Entry list'!$I457=5,'Entry list'!$J457=5),'Entry list'!B457,"")</f>
        <v/>
      </c>
      <c r="C457" t="str">
        <f>IF(AND('Entry list'!$I457=5,'Entry list'!$J457=5),'Entry list'!C457,"")</f>
        <v/>
      </c>
      <c r="D457" t="str">
        <f>IF(AND('Entry list'!$I457=5,'Entry list'!$J457=5),'Entry list'!D457,"")</f>
        <v/>
      </c>
      <c r="E457" t="str">
        <f>IF(AND('Entry list'!$I457=5,'Entry list'!$J457=5),'Entry list'!E457,"")</f>
        <v/>
      </c>
      <c r="F457" t="str">
        <f>IF(AND('Entry list'!$I457=5,'Entry list'!$J457=5),'Entry list'!F457,"")</f>
        <v/>
      </c>
      <c r="G457" t="str">
        <f>IF(AND('Entry list'!$I457=5,'Entry list'!$J457=5),'Entry list'!G457,"")</f>
        <v/>
      </c>
      <c r="H457" t="str">
        <f>IF(AND('Entry list'!$I457=5,'Entry list'!$J457=5),'Entry list'!H457,"")</f>
        <v/>
      </c>
      <c r="I457" t="str">
        <f>IF(AND('Entry list'!$I457=5,'Entry list'!$J457=5),'Entry list'!K457,"")</f>
        <v/>
      </c>
      <c r="J457" t="str">
        <f>IF(AND('Entry list'!$I457=5,'Entry list'!$J457=5),'Entry list'!L457,"")</f>
        <v/>
      </c>
      <c r="K457" t="str">
        <f>IF(AND('Entry list'!$I457=5,'Entry list'!$J457=5),'Entry list'!M457,"")</f>
        <v/>
      </c>
      <c r="L457" t="str">
        <f>IF(AND('Entry list'!$I457=5,'Entry list'!$J457=5),'Entry list'!N457,"")</f>
        <v/>
      </c>
      <c r="M457" t="str">
        <f t="shared" si="21"/>
        <v/>
      </c>
      <c r="N457" t="str">
        <f t="shared" si="22"/>
        <v/>
      </c>
      <c r="O457" t="str">
        <f t="shared" si="23"/>
        <v/>
      </c>
    </row>
    <row r="458" spans="1:15" x14ac:dyDescent="0.25">
      <c r="A458" t="str">
        <f>IF(AND('Entry list'!$I458=5,'Entry list'!$J458=5),'Entry list'!A458,"")</f>
        <v/>
      </c>
      <c r="B458" t="str">
        <f>IF(AND('Entry list'!$I458=5,'Entry list'!$J458=5),'Entry list'!B458,"")</f>
        <v/>
      </c>
      <c r="C458" t="str">
        <f>IF(AND('Entry list'!$I458=5,'Entry list'!$J458=5),'Entry list'!C458,"")</f>
        <v/>
      </c>
      <c r="D458" t="str">
        <f>IF(AND('Entry list'!$I458=5,'Entry list'!$J458=5),'Entry list'!D458,"")</f>
        <v/>
      </c>
      <c r="E458" t="str">
        <f>IF(AND('Entry list'!$I458=5,'Entry list'!$J458=5),'Entry list'!E458,"")</f>
        <v/>
      </c>
      <c r="F458" t="str">
        <f>IF(AND('Entry list'!$I458=5,'Entry list'!$J458=5),'Entry list'!F458,"")</f>
        <v/>
      </c>
      <c r="G458" t="str">
        <f>IF(AND('Entry list'!$I458=5,'Entry list'!$J458=5),'Entry list'!G458,"")</f>
        <v/>
      </c>
      <c r="H458" t="str">
        <f>IF(AND('Entry list'!$I458=5,'Entry list'!$J458=5),'Entry list'!H458,"")</f>
        <v/>
      </c>
      <c r="I458" t="str">
        <f>IF(AND('Entry list'!$I458=5,'Entry list'!$J458=5),'Entry list'!K458,"")</f>
        <v/>
      </c>
      <c r="J458" t="str">
        <f>IF(AND('Entry list'!$I458=5,'Entry list'!$J458=5),'Entry list'!L458,"")</f>
        <v/>
      </c>
      <c r="K458" t="str">
        <f>IF(AND('Entry list'!$I458=5,'Entry list'!$J458=5),'Entry list'!M458,"")</f>
        <v/>
      </c>
      <c r="L458" t="str">
        <f>IF(AND('Entry list'!$I458=5,'Entry list'!$J458=5),'Entry list'!N458,"")</f>
        <v/>
      </c>
      <c r="M458" t="str">
        <f t="shared" si="21"/>
        <v/>
      </c>
      <c r="N458" t="str">
        <f t="shared" si="22"/>
        <v/>
      </c>
      <c r="O458" t="str">
        <f t="shared" si="23"/>
        <v/>
      </c>
    </row>
    <row r="459" spans="1:15" x14ac:dyDescent="0.25">
      <c r="A459" t="str">
        <f>IF(AND('Entry list'!$I459=5,'Entry list'!$J459=5),'Entry list'!A459,"")</f>
        <v/>
      </c>
      <c r="B459" t="str">
        <f>IF(AND('Entry list'!$I459=5,'Entry list'!$J459=5),'Entry list'!B459,"")</f>
        <v/>
      </c>
      <c r="C459" t="str">
        <f>IF(AND('Entry list'!$I459=5,'Entry list'!$J459=5),'Entry list'!C459,"")</f>
        <v/>
      </c>
      <c r="D459" t="str">
        <f>IF(AND('Entry list'!$I459=5,'Entry list'!$J459=5),'Entry list'!D459,"")</f>
        <v/>
      </c>
      <c r="E459" t="str">
        <f>IF(AND('Entry list'!$I459=5,'Entry list'!$J459=5),'Entry list'!E459,"")</f>
        <v/>
      </c>
      <c r="F459" t="str">
        <f>IF(AND('Entry list'!$I459=5,'Entry list'!$J459=5),'Entry list'!F459,"")</f>
        <v/>
      </c>
      <c r="G459" t="str">
        <f>IF(AND('Entry list'!$I459=5,'Entry list'!$J459=5),'Entry list'!G459,"")</f>
        <v/>
      </c>
      <c r="H459" t="str">
        <f>IF(AND('Entry list'!$I459=5,'Entry list'!$J459=5),'Entry list'!H459,"")</f>
        <v/>
      </c>
      <c r="I459" t="str">
        <f>IF(AND('Entry list'!$I459=5,'Entry list'!$J459=5),'Entry list'!K459,"")</f>
        <v/>
      </c>
      <c r="J459" t="str">
        <f>IF(AND('Entry list'!$I459=5,'Entry list'!$J459=5),'Entry list'!L459,"")</f>
        <v/>
      </c>
      <c r="K459" t="str">
        <f>IF(AND('Entry list'!$I459=5,'Entry list'!$J459=5),'Entry list'!M459,"")</f>
        <v/>
      </c>
      <c r="L459" t="str">
        <f>IF(AND('Entry list'!$I459=5,'Entry list'!$J459=5),'Entry list'!N459,"")</f>
        <v/>
      </c>
      <c r="M459" t="str">
        <f t="shared" si="21"/>
        <v/>
      </c>
      <c r="N459" t="str">
        <f t="shared" si="22"/>
        <v/>
      </c>
      <c r="O459" t="str">
        <f t="shared" si="23"/>
        <v/>
      </c>
    </row>
    <row r="460" spans="1:15" x14ac:dyDescent="0.25">
      <c r="A460" t="str">
        <f>IF(AND('Entry list'!$I460=5,'Entry list'!$J460=5),'Entry list'!A460,"")</f>
        <v/>
      </c>
      <c r="B460" t="str">
        <f>IF(AND('Entry list'!$I460=5,'Entry list'!$J460=5),'Entry list'!B460,"")</f>
        <v/>
      </c>
      <c r="C460" t="str">
        <f>IF(AND('Entry list'!$I460=5,'Entry list'!$J460=5),'Entry list'!C460,"")</f>
        <v/>
      </c>
      <c r="D460" t="str">
        <f>IF(AND('Entry list'!$I460=5,'Entry list'!$J460=5),'Entry list'!D460,"")</f>
        <v/>
      </c>
      <c r="E460" t="str">
        <f>IF(AND('Entry list'!$I460=5,'Entry list'!$J460=5),'Entry list'!E460,"")</f>
        <v/>
      </c>
      <c r="F460" t="str">
        <f>IF(AND('Entry list'!$I460=5,'Entry list'!$J460=5),'Entry list'!F460,"")</f>
        <v/>
      </c>
      <c r="G460" t="str">
        <f>IF(AND('Entry list'!$I460=5,'Entry list'!$J460=5),'Entry list'!G460,"")</f>
        <v/>
      </c>
      <c r="H460" t="str">
        <f>IF(AND('Entry list'!$I460=5,'Entry list'!$J460=5),'Entry list'!H460,"")</f>
        <v/>
      </c>
      <c r="I460" t="str">
        <f>IF(AND('Entry list'!$I460=5,'Entry list'!$J460=5),'Entry list'!K460,"")</f>
        <v/>
      </c>
      <c r="J460" t="str">
        <f>IF(AND('Entry list'!$I460=5,'Entry list'!$J460=5),'Entry list'!L460,"")</f>
        <v/>
      </c>
      <c r="K460" t="str">
        <f>IF(AND('Entry list'!$I460=5,'Entry list'!$J460=5),'Entry list'!M460,"")</f>
        <v/>
      </c>
      <c r="L460" t="str">
        <f>IF(AND('Entry list'!$I460=5,'Entry list'!$J460=5),'Entry list'!N460,"")</f>
        <v/>
      </c>
      <c r="M460" t="str">
        <f t="shared" si="21"/>
        <v/>
      </c>
      <c r="N460" t="str">
        <f t="shared" si="22"/>
        <v/>
      </c>
      <c r="O460" t="str">
        <f t="shared" si="23"/>
        <v/>
      </c>
    </row>
    <row r="461" spans="1:15" x14ac:dyDescent="0.25">
      <c r="A461" t="str">
        <f>IF(AND('Entry list'!$I461=5,'Entry list'!$J461=5),'Entry list'!A461,"")</f>
        <v/>
      </c>
      <c r="B461" t="str">
        <f>IF(AND('Entry list'!$I461=5,'Entry list'!$J461=5),'Entry list'!B461,"")</f>
        <v/>
      </c>
      <c r="C461" t="str">
        <f>IF(AND('Entry list'!$I461=5,'Entry list'!$J461=5),'Entry list'!C461,"")</f>
        <v/>
      </c>
      <c r="D461" t="str">
        <f>IF(AND('Entry list'!$I461=5,'Entry list'!$J461=5),'Entry list'!D461,"")</f>
        <v/>
      </c>
      <c r="E461" t="str">
        <f>IF(AND('Entry list'!$I461=5,'Entry list'!$J461=5),'Entry list'!E461,"")</f>
        <v/>
      </c>
      <c r="F461" t="str">
        <f>IF(AND('Entry list'!$I461=5,'Entry list'!$J461=5),'Entry list'!F461,"")</f>
        <v/>
      </c>
      <c r="G461" t="str">
        <f>IF(AND('Entry list'!$I461=5,'Entry list'!$J461=5),'Entry list'!G461,"")</f>
        <v/>
      </c>
      <c r="H461" t="str">
        <f>IF(AND('Entry list'!$I461=5,'Entry list'!$J461=5),'Entry list'!H461,"")</f>
        <v/>
      </c>
      <c r="I461" t="str">
        <f>IF(AND('Entry list'!$I461=5,'Entry list'!$J461=5),'Entry list'!K461,"")</f>
        <v/>
      </c>
      <c r="J461" t="str">
        <f>IF(AND('Entry list'!$I461=5,'Entry list'!$J461=5),'Entry list'!L461,"")</f>
        <v/>
      </c>
      <c r="K461" t="str">
        <f>IF(AND('Entry list'!$I461=5,'Entry list'!$J461=5),'Entry list'!M461,"")</f>
        <v/>
      </c>
      <c r="L461" t="str">
        <f>IF(AND('Entry list'!$I461=5,'Entry list'!$J461=5),'Entry list'!N461,"")</f>
        <v/>
      </c>
      <c r="M461" t="str">
        <f t="shared" si="21"/>
        <v/>
      </c>
      <c r="N461" t="str">
        <f t="shared" si="22"/>
        <v/>
      </c>
      <c r="O461" t="str">
        <f t="shared" si="23"/>
        <v/>
      </c>
    </row>
    <row r="462" spans="1:15" x14ac:dyDescent="0.25">
      <c r="A462" t="str">
        <f>IF(AND('Entry list'!$I462=5,'Entry list'!$J462=5),'Entry list'!A462,"")</f>
        <v/>
      </c>
      <c r="B462" t="str">
        <f>IF(AND('Entry list'!$I462=5,'Entry list'!$J462=5),'Entry list'!B462,"")</f>
        <v/>
      </c>
      <c r="C462" t="str">
        <f>IF(AND('Entry list'!$I462=5,'Entry list'!$J462=5),'Entry list'!C462,"")</f>
        <v/>
      </c>
      <c r="D462" t="str">
        <f>IF(AND('Entry list'!$I462=5,'Entry list'!$J462=5),'Entry list'!D462,"")</f>
        <v/>
      </c>
      <c r="E462" t="str">
        <f>IF(AND('Entry list'!$I462=5,'Entry list'!$J462=5),'Entry list'!E462,"")</f>
        <v/>
      </c>
      <c r="F462" t="str">
        <f>IF(AND('Entry list'!$I462=5,'Entry list'!$J462=5),'Entry list'!F462,"")</f>
        <v/>
      </c>
      <c r="G462" t="str">
        <f>IF(AND('Entry list'!$I462=5,'Entry list'!$J462=5),'Entry list'!G462,"")</f>
        <v/>
      </c>
      <c r="H462" t="str">
        <f>IF(AND('Entry list'!$I462=5,'Entry list'!$J462=5),'Entry list'!H462,"")</f>
        <v/>
      </c>
      <c r="I462" t="str">
        <f>IF(AND('Entry list'!$I462=5,'Entry list'!$J462=5),'Entry list'!K462,"")</f>
        <v/>
      </c>
      <c r="J462" t="str">
        <f>IF(AND('Entry list'!$I462=5,'Entry list'!$J462=5),'Entry list'!L462,"")</f>
        <v/>
      </c>
      <c r="K462" t="str">
        <f>IF(AND('Entry list'!$I462=5,'Entry list'!$J462=5),'Entry list'!M462,"")</f>
        <v/>
      </c>
      <c r="L462" t="str">
        <f>IF(AND('Entry list'!$I462=5,'Entry list'!$J462=5),'Entry list'!N462,"")</f>
        <v/>
      </c>
      <c r="M462" t="str">
        <f t="shared" si="21"/>
        <v/>
      </c>
      <c r="N462" t="str">
        <f t="shared" si="22"/>
        <v/>
      </c>
      <c r="O462" t="str">
        <f t="shared" si="23"/>
        <v/>
      </c>
    </row>
    <row r="463" spans="1:15" x14ac:dyDescent="0.25">
      <c r="A463" t="str">
        <f>IF(AND('Entry list'!$I463=5,'Entry list'!$J463=5),'Entry list'!A463,"")</f>
        <v/>
      </c>
      <c r="B463" t="str">
        <f>IF(AND('Entry list'!$I463=5,'Entry list'!$J463=5),'Entry list'!B463,"")</f>
        <v/>
      </c>
      <c r="C463" t="str">
        <f>IF(AND('Entry list'!$I463=5,'Entry list'!$J463=5),'Entry list'!C463,"")</f>
        <v/>
      </c>
      <c r="D463" t="str">
        <f>IF(AND('Entry list'!$I463=5,'Entry list'!$J463=5),'Entry list'!D463,"")</f>
        <v/>
      </c>
      <c r="E463" t="str">
        <f>IF(AND('Entry list'!$I463=5,'Entry list'!$J463=5),'Entry list'!E463,"")</f>
        <v/>
      </c>
      <c r="F463" t="str">
        <f>IF(AND('Entry list'!$I463=5,'Entry list'!$J463=5),'Entry list'!F463,"")</f>
        <v/>
      </c>
      <c r="G463" t="str">
        <f>IF(AND('Entry list'!$I463=5,'Entry list'!$J463=5),'Entry list'!G463,"")</f>
        <v/>
      </c>
      <c r="H463" t="str">
        <f>IF(AND('Entry list'!$I463=5,'Entry list'!$J463=5),'Entry list'!H463,"")</f>
        <v/>
      </c>
      <c r="I463" t="str">
        <f>IF(AND('Entry list'!$I463=5,'Entry list'!$J463=5),'Entry list'!K463,"")</f>
        <v/>
      </c>
      <c r="J463" t="str">
        <f>IF(AND('Entry list'!$I463=5,'Entry list'!$J463=5),'Entry list'!L463,"")</f>
        <v/>
      </c>
      <c r="K463" t="str">
        <f>IF(AND('Entry list'!$I463=5,'Entry list'!$J463=5),'Entry list'!M463,"")</f>
        <v/>
      </c>
      <c r="L463" t="str">
        <f>IF(AND('Entry list'!$I463=5,'Entry list'!$J463=5),'Entry list'!N463,"")</f>
        <v/>
      </c>
      <c r="M463" t="str">
        <f t="shared" si="21"/>
        <v/>
      </c>
      <c r="N463" t="str">
        <f t="shared" si="22"/>
        <v/>
      </c>
      <c r="O463" t="str">
        <f t="shared" si="23"/>
        <v/>
      </c>
    </row>
    <row r="464" spans="1:15" x14ac:dyDescent="0.25">
      <c r="A464" t="str">
        <f>IF(AND('Entry list'!$I464=5,'Entry list'!$J464=5),'Entry list'!A464,"")</f>
        <v/>
      </c>
      <c r="B464" t="str">
        <f>IF(AND('Entry list'!$I464=5,'Entry list'!$J464=5),'Entry list'!B464,"")</f>
        <v/>
      </c>
      <c r="C464" t="str">
        <f>IF(AND('Entry list'!$I464=5,'Entry list'!$J464=5),'Entry list'!C464,"")</f>
        <v/>
      </c>
      <c r="D464" t="str">
        <f>IF(AND('Entry list'!$I464=5,'Entry list'!$J464=5),'Entry list'!D464,"")</f>
        <v/>
      </c>
      <c r="E464" t="str">
        <f>IF(AND('Entry list'!$I464=5,'Entry list'!$J464=5),'Entry list'!E464,"")</f>
        <v/>
      </c>
      <c r="F464" t="str">
        <f>IF(AND('Entry list'!$I464=5,'Entry list'!$J464=5),'Entry list'!F464,"")</f>
        <v/>
      </c>
      <c r="G464" t="str">
        <f>IF(AND('Entry list'!$I464=5,'Entry list'!$J464=5),'Entry list'!G464,"")</f>
        <v/>
      </c>
      <c r="H464" t="str">
        <f>IF(AND('Entry list'!$I464=5,'Entry list'!$J464=5),'Entry list'!H464,"")</f>
        <v/>
      </c>
      <c r="I464" t="str">
        <f>IF(AND('Entry list'!$I464=5,'Entry list'!$J464=5),'Entry list'!K464,"")</f>
        <v/>
      </c>
      <c r="J464" t="str">
        <f>IF(AND('Entry list'!$I464=5,'Entry list'!$J464=5),'Entry list'!L464,"")</f>
        <v/>
      </c>
      <c r="K464" t="str">
        <f>IF(AND('Entry list'!$I464=5,'Entry list'!$J464=5),'Entry list'!M464,"")</f>
        <v/>
      </c>
      <c r="L464" t="str">
        <f>IF(AND('Entry list'!$I464=5,'Entry list'!$J464=5),'Entry list'!N464,"")</f>
        <v/>
      </c>
      <c r="M464" t="str">
        <f t="shared" si="21"/>
        <v/>
      </c>
      <c r="N464" t="str">
        <f t="shared" si="22"/>
        <v/>
      </c>
      <c r="O464" t="str">
        <f t="shared" si="23"/>
        <v/>
      </c>
    </row>
    <row r="465" spans="1:15" x14ac:dyDescent="0.25">
      <c r="A465" t="str">
        <f>IF(AND('Entry list'!$I465=5,'Entry list'!$J465=5),'Entry list'!A465,"")</f>
        <v/>
      </c>
      <c r="B465" t="str">
        <f>IF(AND('Entry list'!$I465=5,'Entry list'!$J465=5),'Entry list'!B465,"")</f>
        <v/>
      </c>
      <c r="C465" t="str">
        <f>IF(AND('Entry list'!$I465=5,'Entry list'!$J465=5),'Entry list'!C465,"")</f>
        <v/>
      </c>
      <c r="D465" t="str">
        <f>IF(AND('Entry list'!$I465=5,'Entry list'!$J465=5),'Entry list'!D465,"")</f>
        <v/>
      </c>
      <c r="E465" t="str">
        <f>IF(AND('Entry list'!$I465=5,'Entry list'!$J465=5),'Entry list'!E465,"")</f>
        <v/>
      </c>
      <c r="F465" t="str">
        <f>IF(AND('Entry list'!$I465=5,'Entry list'!$J465=5),'Entry list'!F465,"")</f>
        <v/>
      </c>
      <c r="G465" t="str">
        <f>IF(AND('Entry list'!$I465=5,'Entry list'!$J465=5),'Entry list'!G465,"")</f>
        <v/>
      </c>
      <c r="H465" t="str">
        <f>IF(AND('Entry list'!$I465=5,'Entry list'!$J465=5),'Entry list'!H465,"")</f>
        <v/>
      </c>
      <c r="I465" t="str">
        <f>IF(AND('Entry list'!$I465=5,'Entry list'!$J465=5),'Entry list'!K465,"")</f>
        <v/>
      </c>
      <c r="J465" t="str">
        <f>IF(AND('Entry list'!$I465=5,'Entry list'!$J465=5),'Entry list'!L465,"")</f>
        <v/>
      </c>
      <c r="K465" t="str">
        <f>IF(AND('Entry list'!$I465=5,'Entry list'!$J465=5),'Entry list'!M465,"")</f>
        <v/>
      </c>
      <c r="L465" t="str">
        <f>IF(AND('Entry list'!$I465=5,'Entry list'!$J465=5),'Entry list'!N465,"")</f>
        <v/>
      </c>
      <c r="M465" t="str">
        <f t="shared" si="21"/>
        <v/>
      </c>
      <c r="N465" t="str">
        <f t="shared" si="22"/>
        <v/>
      </c>
      <c r="O465" t="str">
        <f t="shared" si="23"/>
        <v/>
      </c>
    </row>
    <row r="466" spans="1:15" x14ac:dyDescent="0.25">
      <c r="A466" t="str">
        <f>IF(AND('Entry list'!$I466=5,'Entry list'!$J466=5),'Entry list'!A466,"")</f>
        <v/>
      </c>
      <c r="B466" t="str">
        <f>IF(AND('Entry list'!$I466=5,'Entry list'!$J466=5),'Entry list'!B466,"")</f>
        <v/>
      </c>
      <c r="C466" t="str">
        <f>IF(AND('Entry list'!$I466=5,'Entry list'!$J466=5),'Entry list'!C466,"")</f>
        <v/>
      </c>
      <c r="D466" t="str">
        <f>IF(AND('Entry list'!$I466=5,'Entry list'!$J466=5),'Entry list'!D466,"")</f>
        <v/>
      </c>
      <c r="E466" t="str">
        <f>IF(AND('Entry list'!$I466=5,'Entry list'!$J466=5),'Entry list'!E466,"")</f>
        <v/>
      </c>
      <c r="F466" t="str">
        <f>IF(AND('Entry list'!$I466=5,'Entry list'!$J466=5),'Entry list'!F466,"")</f>
        <v/>
      </c>
      <c r="G466" t="str">
        <f>IF(AND('Entry list'!$I466=5,'Entry list'!$J466=5),'Entry list'!G466,"")</f>
        <v/>
      </c>
      <c r="H466" t="str">
        <f>IF(AND('Entry list'!$I466=5,'Entry list'!$J466=5),'Entry list'!H466,"")</f>
        <v/>
      </c>
      <c r="I466" t="str">
        <f>IF(AND('Entry list'!$I466=5,'Entry list'!$J466=5),'Entry list'!K466,"")</f>
        <v/>
      </c>
      <c r="J466" t="str">
        <f>IF(AND('Entry list'!$I466=5,'Entry list'!$J466=5),'Entry list'!L466,"")</f>
        <v/>
      </c>
      <c r="K466" t="str">
        <f>IF(AND('Entry list'!$I466=5,'Entry list'!$J466=5),'Entry list'!M466,"")</f>
        <v/>
      </c>
      <c r="L466" t="str">
        <f>IF(AND('Entry list'!$I466=5,'Entry list'!$J466=5),'Entry list'!N466,"")</f>
        <v/>
      </c>
      <c r="M466" t="str">
        <f t="shared" si="21"/>
        <v/>
      </c>
      <c r="N466" t="str">
        <f t="shared" si="22"/>
        <v/>
      </c>
      <c r="O466" t="str">
        <f t="shared" si="23"/>
        <v/>
      </c>
    </row>
    <row r="467" spans="1:15" x14ac:dyDescent="0.25">
      <c r="A467" t="str">
        <f>IF(AND('Entry list'!$I467=5,'Entry list'!$J467=5),'Entry list'!A467,"")</f>
        <v/>
      </c>
      <c r="B467" t="str">
        <f>IF(AND('Entry list'!$I467=5,'Entry list'!$J467=5),'Entry list'!B467,"")</f>
        <v/>
      </c>
      <c r="C467" t="str">
        <f>IF(AND('Entry list'!$I467=5,'Entry list'!$J467=5),'Entry list'!C467,"")</f>
        <v/>
      </c>
      <c r="D467" t="str">
        <f>IF(AND('Entry list'!$I467=5,'Entry list'!$J467=5),'Entry list'!D467,"")</f>
        <v/>
      </c>
      <c r="E467" t="str">
        <f>IF(AND('Entry list'!$I467=5,'Entry list'!$J467=5),'Entry list'!E467,"")</f>
        <v/>
      </c>
      <c r="F467" t="str">
        <f>IF(AND('Entry list'!$I467=5,'Entry list'!$J467=5),'Entry list'!F467,"")</f>
        <v/>
      </c>
      <c r="G467" t="str">
        <f>IF(AND('Entry list'!$I467=5,'Entry list'!$J467=5),'Entry list'!G467,"")</f>
        <v/>
      </c>
      <c r="H467" t="str">
        <f>IF(AND('Entry list'!$I467=5,'Entry list'!$J467=5),'Entry list'!H467,"")</f>
        <v/>
      </c>
      <c r="I467" t="str">
        <f>IF(AND('Entry list'!$I467=5,'Entry list'!$J467=5),'Entry list'!K467,"")</f>
        <v/>
      </c>
      <c r="J467" t="str">
        <f>IF(AND('Entry list'!$I467=5,'Entry list'!$J467=5),'Entry list'!L467,"")</f>
        <v/>
      </c>
      <c r="K467" t="str">
        <f>IF(AND('Entry list'!$I467=5,'Entry list'!$J467=5),'Entry list'!M467,"")</f>
        <v/>
      </c>
      <c r="L467" t="str">
        <f>IF(AND('Entry list'!$I467=5,'Entry list'!$J467=5),'Entry list'!N467,"")</f>
        <v/>
      </c>
      <c r="M467" t="str">
        <f t="shared" si="21"/>
        <v/>
      </c>
      <c r="N467" t="str">
        <f t="shared" si="22"/>
        <v/>
      </c>
      <c r="O467" t="str">
        <f t="shared" si="23"/>
        <v/>
      </c>
    </row>
    <row r="468" spans="1:15" x14ac:dyDescent="0.25">
      <c r="A468" t="str">
        <f>IF(AND('Entry list'!$I468=5,'Entry list'!$J468=5),'Entry list'!A468,"")</f>
        <v/>
      </c>
      <c r="B468" t="str">
        <f>IF(AND('Entry list'!$I468=5,'Entry list'!$J468=5),'Entry list'!B468,"")</f>
        <v/>
      </c>
      <c r="C468" t="str">
        <f>IF(AND('Entry list'!$I468=5,'Entry list'!$J468=5),'Entry list'!C468,"")</f>
        <v/>
      </c>
      <c r="D468" t="str">
        <f>IF(AND('Entry list'!$I468=5,'Entry list'!$J468=5),'Entry list'!D468,"")</f>
        <v/>
      </c>
      <c r="E468" t="str">
        <f>IF(AND('Entry list'!$I468=5,'Entry list'!$J468=5),'Entry list'!E468,"")</f>
        <v/>
      </c>
      <c r="F468" t="str">
        <f>IF(AND('Entry list'!$I468=5,'Entry list'!$J468=5),'Entry list'!F468,"")</f>
        <v/>
      </c>
      <c r="G468" t="str">
        <f>IF(AND('Entry list'!$I468=5,'Entry list'!$J468=5),'Entry list'!G468,"")</f>
        <v/>
      </c>
      <c r="H468" t="str">
        <f>IF(AND('Entry list'!$I468=5,'Entry list'!$J468=5),'Entry list'!H468,"")</f>
        <v/>
      </c>
      <c r="I468" t="str">
        <f>IF(AND('Entry list'!$I468=5,'Entry list'!$J468=5),'Entry list'!K468,"")</f>
        <v/>
      </c>
      <c r="J468" t="str">
        <f>IF(AND('Entry list'!$I468=5,'Entry list'!$J468=5),'Entry list'!L468,"")</f>
        <v/>
      </c>
      <c r="K468" t="str">
        <f>IF(AND('Entry list'!$I468=5,'Entry list'!$J468=5),'Entry list'!M468,"")</f>
        <v/>
      </c>
      <c r="L468" t="str">
        <f>IF(AND('Entry list'!$I468=5,'Entry list'!$J468=5),'Entry list'!N468,"")</f>
        <v/>
      </c>
      <c r="M468" t="str">
        <f t="shared" si="21"/>
        <v/>
      </c>
      <c r="N468" t="str">
        <f t="shared" si="22"/>
        <v/>
      </c>
      <c r="O468" t="str">
        <f t="shared" si="23"/>
        <v/>
      </c>
    </row>
    <row r="469" spans="1:15" x14ac:dyDescent="0.25">
      <c r="A469" t="str">
        <f>IF(AND('Entry list'!$I469=5,'Entry list'!$J469=5),'Entry list'!A469,"")</f>
        <v/>
      </c>
      <c r="B469" t="str">
        <f>IF(AND('Entry list'!$I469=5,'Entry list'!$J469=5),'Entry list'!B469,"")</f>
        <v/>
      </c>
      <c r="C469" t="str">
        <f>IF(AND('Entry list'!$I469=5,'Entry list'!$J469=5),'Entry list'!C469,"")</f>
        <v/>
      </c>
      <c r="D469" t="str">
        <f>IF(AND('Entry list'!$I469=5,'Entry list'!$J469=5),'Entry list'!D469,"")</f>
        <v/>
      </c>
      <c r="E469" t="str">
        <f>IF(AND('Entry list'!$I469=5,'Entry list'!$J469=5),'Entry list'!E469,"")</f>
        <v/>
      </c>
      <c r="F469" t="str">
        <f>IF(AND('Entry list'!$I469=5,'Entry list'!$J469=5),'Entry list'!F469,"")</f>
        <v/>
      </c>
      <c r="G469" t="str">
        <f>IF(AND('Entry list'!$I469=5,'Entry list'!$J469=5),'Entry list'!G469,"")</f>
        <v/>
      </c>
      <c r="H469" t="str">
        <f>IF(AND('Entry list'!$I469=5,'Entry list'!$J469=5),'Entry list'!H469,"")</f>
        <v/>
      </c>
      <c r="I469" t="str">
        <f>IF(AND('Entry list'!$I469=5,'Entry list'!$J469=5),'Entry list'!K469,"")</f>
        <v/>
      </c>
      <c r="J469" t="str">
        <f>IF(AND('Entry list'!$I469=5,'Entry list'!$J469=5),'Entry list'!L469,"")</f>
        <v/>
      </c>
      <c r="K469" t="str">
        <f>IF(AND('Entry list'!$I469=5,'Entry list'!$J469=5),'Entry list'!M469,"")</f>
        <v/>
      </c>
      <c r="L469" t="str">
        <f>IF(AND('Entry list'!$I469=5,'Entry list'!$J469=5),'Entry list'!N469,"")</f>
        <v/>
      </c>
      <c r="M469" t="str">
        <f t="shared" si="21"/>
        <v/>
      </c>
      <c r="N469" t="str">
        <f t="shared" si="22"/>
        <v/>
      </c>
      <c r="O469" t="str">
        <f t="shared" si="23"/>
        <v/>
      </c>
    </row>
    <row r="470" spans="1:15" x14ac:dyDescent="0.25">
      <c r="A470" t="str">
        <f>IF(AND('Entry list'!$I470=5,'Entry list'!$J470=5),'Entry list'!A470,"")</f>
        <v/>
      </c>
      <c r="B470" t="str">
        <f>IF(AND('Entry list'!$I470=5,'Entry list'!$J470=5),'Entry list'!B470,"")</f>
        <v/>
      </c>
      <c r="C470" t="str">
        <f>IF(AND('Entry list'!$I470=5,'Entry list'!$J470=5),'Entry list'!C470,"")</f>
        <v/>
      </c>
      <c r="D470" t="str">
        <f>IF(AND('Entry list'!$I470=5,'Entry list'!$J470=5),'Entry list'!D470,"")</f>
        <v/>
      </c>
      <c r="E470" t="str">
        <f>IF(AND('Entry list'!$I470=5,'Entry list'!$J470=5),'Entry list'!E470,"")</f>
        <v/>
      </c>
      <c r="F470" t="str">
        <f>IF(AND('Entry list'!$I470=5,'Entry list'!$J470=5),'Entry list'!F470,"")</f>
        <v/>
      </c>
      <c r="G470" t="str">
        <f>IF(AND('Entry list'!$I470=5,'Entry list'!$J470=5),'Entry list'!G470,"")</f>
        <v/>
      </c>
      <c r="H470" t="str">
        <f>IF(AND('Entry list'!$I470=5,'Entry list'!$J470=5),'Entry list'!H470,"")</f>
        <v/>
      </c>
      <c r="I470" t="str">
        <f>IF(AND('Entry list'!$I470=5,'Entry list'!$J470=5),'Entry list'!K470,"")</f>
        <v/>
      </c>
      <c r="J470" t="str">
        <f>IF(AND('Entry list'!$I470=5,'Entry list'!$J470=5),'Entry list'!L470,"")</f>
        <v/>
      </c>
      <c r="K470" t="str">
        <f>IF(AND('Entry list'!$I470=5,'Entry list'!$J470=5),'Entry list'!M470,"")</f>
        <v/>
      </c>
      <c r="L470" t="str">
        <f>IF(AND('Entry list'!$I470=5,'Entry list'!$J470=5),'Entry list'!N470,"")</f>
        <v/>
      </c>
      <c r="M470" t="str">
        <f t="shared" si="21"/>
        <v/>
      </c>
      <c r="N470" t="str">
        <f t="shared" si="22"/>
        <v/>
      </c>
      <c r="O470" t="str">
        <f t="shared" si="23"/>
        <v/>
      </c>
    </row>
    <row r="471" spans="1:15" x14ac:dyDescent="0.25">
      <c r="A471" t="str">
        <f>IF(AND('Entry list'!$I471=5,'Entry list'!$J471=5),'Entry list'!A471,"")</f>
        <v/>
      </c>
      <c r="B471" t="str">
        <f>IF(AND('Entry list'!$I471=5,'Entry list'!$J471=5),'Entry list'!B471,"")</f>
        <v/>
      </c>
      <c r="C471" t="str">
        <f>IF(AND('Entry list'!$I471=5,'Entry list'!$J471=5),'Entry list'!C471,"")</f>
        <v/>
      </c>
      <c r="D471" t="str">
        <f>IF(AND('Entry list'!$I471=5,'Entry list'!$J471=5),'Entry list'!D471,"")</f>
        <v/>
      </c>
      <c r="E471" t="str">
        <f>IF(AND('Entry list'!$I471=5,'Entry list'!$J471=5),'Entry list'!E471,"")</f>
        <v/>
      </c>
      <c r="F471" t="str">
        <f>IF(AND('Entry list'!$I471=5,'Entry list'!$J471=5),'Entry list'!F471,"")</f>
        <v/>
      </c>
      <c r="G471" t="str">
        <f>IF(AND('Entry list'!$I471=5,'Entry list'!$J471=5),'Entry list'!G471,"")</f>
        <v/>
      </c>
      <c r="H471" t="str">
        <f>IF(AND('Entry list'!$I471=5,'Entry list'!$J471=5),'Entry list'!H471,"")</f>
        <v/>
      </c>
      <c r="I471" t="str">
        <f>IF(AND('Entry list'!$I471=5,'Entry list'!$J471=5),'Entry list'!K471,"")</f>
        <v/>
      </c>
      <c r="J471" t="str">
        <f>IF(AND('Entry list'!$I471=5,'Entry list'!$J471=5),'Entry list'!L471,"")</f>
        <v/>
      </c>
      <c r="K471" t="str">
        <f>IF(AND('Entry list'!$I471=5,'Entry list'!$J471=5),'Entry list'!M471,"")</f>
        <v/>
      </c>
      <c r="L471" t="str">
        <f>IF(AND('Entry list'!$I471=5,'Entry list'!$J471=5),'Entry list'!N471,"")</f>
        <v/>
      </c>
      <c r="M471" t="str">
        <f t="shared" si="21"/>
        <v/>
      </c>
      <c r="N471" t="str">
        <f t="shared" si="22"/>
        <v/>
      </c>
      <c r="O471" t="str">
        <f t="shared" si="23"/>
        <v/>
      </c>
    </row>
    <row r="472" spans="1:15" x14ac:dyDescent="0.25">
      <c r="A472" t="str">
        <f>IF(AND('Entry list'!$I472=5,'Entry list'!$J472=5),'Entry list'!A472,"")</f>
        <v/>
      </c>
      <c r="B472" t="str">
        <f>IF(AND('Entry list'!$I472=5,'Entry list'!$J472=5),'Entry list'!B472,"")</f>
        <v/>
      </c>
      <c r="C472" t="str">
        <f>IF(AND('Entry list'!$I472=5,'Entry list'!$J472=5),'Entry list'!C472,"")</f>
        <v/>
      </c>
      <c r="D472" t="str">
        <f>IF(AND('Entry list'!$I472=5,'Entry list'!$J472=5),'Entry list'!D472,"")</f>
        <v/>
      </c>
      <c r="E472" t="str">
        <f>IF(AND('Entry list'!$I472=5,'Entry list'!$J472=5),'Entry list'!E472,"")</f>
        <v/>
      </c>
      <c r="F472" t="str">
        <f>IF(AND('Entry list'!$I472=5,'Entry list'!$J472=5),'Entry list'!F472,"")</f>
        <v/>
      </c>
      <c r="G472" t="str">
        <f>IF(AND('Entry list'!$I472=5,'Entry list'!$J472=5),'Entry list'!G472,"")</f>
        <v/>
      </c>
      <c r="H472" t="str">
        <f>IF(AND('Entry list'!$I472=5,'Entry list'!$J472=5),'Entry list'!H472,"")</f>
        <v/>
      </c>
      <c r="I472" t="str">
        <f>IF(AND('Entry list'!$I472=5,'Entry list'!$J472=5),'Entry list'!K472,"")</f>
        <v/>
      </c>
      <c r="J472" t="str">
        <f>IF(AND('Entry list'!$I472=5,'Entry list'!$J472=5),'Entry list'!L472,"")</f>
        <v/>
      </c>
      <c r="K472" t="str">
        <f>IF(AND('Entry list'!$I472=5,'Entry list'!$J472=5),'Entry list'!M472,"")</f>
        <v/>
      </c>
      <c r="L472" t="str">
        <f>IF(AND('Entry list'!$I472=5,'Entry list'!$J472=5),'Entry list'!N472,"")</f>
        <v/>
      </c>
      <c r="M472" t="str">
        <f t="shared" si="21"/>
        <v/>
      </c>
      <c r="N472" t="str">
        <f t="shared" si="22"/>
        <v/>
      </c>
      <c r="O472" t="str">
        <f t="shared" si="23"/>
        <v/>
      </c>
    </row>
    <row r="473" spans="1:15" x14ac:dyDescent="0.25">
      <c r="A473" t="str">
        <f>IF(AND('Entry list'!$I473=5,'Entry list'!$J473=5),'Entry list'!A473,"")</f>
        <v/>
      </c>
      <c r="B473" t="str">
        <f>IF(AND('Entry list'!$I473=5,'Entry list'!$J473=5),'Entry list'!B473,"")</f>
        <v/>
      </c>
      <c r="C473" t="str">
        <f>IF(AND('Entry list'!$I473=5,'Entry list'!$J473=5),'Entry list'!C473,"")</f>
        <v/>
      </c>
      <c r="D473" t="str">
        <f>IF(AND('Entry list'!$I473=5,'Entry list'!$J473=5),'Entry list'!D473,"")</f>
        <v/>
      </c>
      <c r="E473" t="str">
        <f>IF(AND('Entry list'!$I473=5,'Entry list'!$J473=5),'Entry list'!E473,"")</f>
        <v/>
      </c>
      <c r="F473" t="str">
        <f>IF(AND('Entry list'!$I473=5,'Entry list'!$J473=5),'Entry list'!F473,"")</f>
        <v/>
      </c>
      <c r="G473" t="str">
        <f>IF(AND('Entry list'!$I473=5,'Entry list'!$J473=5),'Entry list'!G473,"")</f>
        <v/>
      </c>
      <c r="H473" t="str">
        <f>IF(AND('Entry list'!$I473=5,'Entry list'!$J473=5),'Entry list'!H473,"")</f>
        <v/>
      </c>
      <c r="I473" t="str">
        <f>IF(AND('Entry list'!$I473=5,'Entry list'!$J473=5),'Entry list'!K473,"")</f>
        <v/>
      </c>
      <c r="J473" t="str">
        <f>IF(AND('Entry list'!$I473=5,'Entry list'!$J473=5),'Entry list'!L473,"")</f>
        <v/>
      </c>
      <c r="K473" t="str">
        <f>IF(AND('Entry list'!$I473=5,'Entry list'!$J473=5),'Entry list'!M473,"")</f>
        <v/>
      </c>
      <c r="L473" t="str">
        <f>IF(AND('Entry list'!$I473=5,'Entry list'!$J473=5),'Entry list'!N473,"")</f>
        <v/>
      </c>
      <c r="M473" t="str">
        <f t="shared" si="21"/>
        <v/>
      </c>
      <c r="N473" t="str">
        <f t="shared" si="22"/>
        <v/>
      </c>
      <c r="O473" t="str">
        <f t="shared" si="23"/>
        <v/>
      </c>
    </row>
    <row r="474" spans="1:15" x14ac:dyDescent="0.25">
      <c r="A474" t="str">
        <f>IF(AND('Entry list'!$I474=5,'Entry list'!$J474=5),'Entry list'!A474,"")</f>
        <v/>
      </c>
      <c r="B474" t="str">
        <f>IF(AND('Entry list'!$I474=5,'Entry list'!$J474=5),'Entry list'!B474,"")</f>
        <v/>
      </c>
      <c r="C474" t="str">
        <f>IF(AND('Entry list'!$I474=5,'Entry list'!$J474=5),'Entry list'!C474,"")</f>
        <v/>
      </c>
      <c r="D474" t="str">
        <f>IF(AND('Entry list'!$I474=5,'Entry list'!$J474=5),'Entry list'!D474,"")</f>
        <v/>
      </c>
      <c r="E474" t="str">
        <f>IF(AND('Entry list'!$I474=5,'Entry list'!$J474=5),'Entry list'!E474,"")</f>
        <v/>
      </c>
      <c r="F474" t="str">
        <f>IF(AND('Entry list'!$I474=5,'Entry list'!$J474=5),'Entry list'!F474,"")</f>
        <v/>
      </c>
      <c r="G474" t="str">
        <f>IF(AND('Entry list'!$I474=5,'Entry list'!$J474=5),'Entry list'!G474,"")</f>
        <v/>
      </c>
      <c r="H474" t="str">
        <f>IF(AND('Entry list'!$I474=5,'Entry list'!$J474=5),'Entry list'!H474,"")</f>
        <v/>
      </c>
      <c r="I474" t="str">
        <f>IF(AND('Entry list'!$I474=5,'Entry list'!$J474=5),'Entry list'!K474,"")</f>
        <v/>
      </c>
      <c r="J474" t="str">
        <f>IF(AND('Entry list'!$I474=5,'Entry list'!$J474=5),'Entry list'!L474,"")</f>
        <v/>
      </c>
      <c r="K474" t="str">
        <f>IF(AND('Entry list'!$I474=5,'Entry list'!$J474=5),'Entry list'!M474,"")</f>
        <v/>
      </c>
      <c r="L474" t="str">
        <f>IF(AND('Entry list'!$I474=5,'Entry list'!$J474=5),'Entry list'!N474,"")</f>
        <v/>
      </c>
      <c r="M474" t="str">
        <f t="shared" si="21"/>
        <v/>
      </c>
      <c r="N474" t="str">
        <f t="shared" si="22"/>
        <v/>
      </c>
      <c r="O474" t="str">
        <f t="shared" si="23"/>
        <v/>
      </c>
    </row>
    <row r="475" spans="1:15" x14ac:dyDescent="0.25">
      <c r="A475" t="str">
        <f>IF(AND('Entry list'!$I475=5,'Entry list'!$J475=5),'Entry list'!A475,"")</f>
        <v/>
      </c>
      <c r="B475" t="str">
        <f>IF(AND('Entry list'!$I475=5,'Entry list'!$J475=5),'Entry list'!B475,"")</f>
        <v/>
      </c>
      <c r="C475" t="str">
        <f>IF(AND('Entry list'!$I475=5,'Entry list'!$J475=5),'Entry list'!C475,"")</f>
        <v/>
      </c>
      <c r="D475" t="str">
        <f>IF(AND('Entry list'!$I475=5,'Entry list'!$J475=5),'Entry list'!D475,"")</f>
        <v/>
      </c>
      <c r="E475" t="str">
        <f>IF(AND('Entry list'!$I475=5,'Entry list'!$J475=5),'Entry list'!E475,"")</f>
        <v/>
      </c>
      <c r="F475" t="str">
        <f>IF(AND('Entry list'!$I475=5,'Entry list'!$J475=5),'Entry list'!F475,"")</f>
        <v/>
      </c>
      <c r="G475" t="str">
        <f>IF(AND('Entry list'!$I475=5,'Entry list'!$J475=5),'Entry list'!G475,"")</f>
        <v/>
      </c>
      <c r="H475" t="str">
        <f>IF(AND('Entry list'!$I475=5,'Entry list'!$J475=5),'Entry list'!H475,"")</f>
        <v/>
      </c>
      <c r="I475" t="str">
        <f>IF(AND('Entry list'!$I475=5,'Entry list'!$J475=5),'Entry list'!K475,"")</f>
        <v/>
      </c>
      <c r="J475" t="str">
        <f>IF(AND('Entry list'!$I475=5,'Entry list'!$J475=5),'Entry list'!L475,"")</f>
        <v/>
      </c>
      <c r="K475" t="str">
        <f>IF(AND('Entry list'!$I475=5,'Entry list'!$J475=5),'Entry list'!M475,"")</f>
        <v/>
      </c>
      <c r="L475" t="str">
        <f>IF(AND('Entry list'!$I475=5,'Entry list'!$J475=5),'Entry list'!N475,"")</f>
        <v/>
      </c>
      <c r="M475" t="str">
        <f t="shared" si="21"/>
        <v/>
      </c>
      <c r="N475" t="str">
        <f t="shared" si="22"/>
        <v/>
      </c>
      <c r="O475" t="str">
        <f t="shared" si="23"/>
        <v/>
      </c>
    </row>
    <row r="476" spans="1:15" x14ac:dyDescent="0.25">
      <c r="A476" t="str">
        <f>IF(AND('Entry list'!$I476=5,'Entry list'!$J476=5),'Entry list'!A476,"")</f>
        <v/>
      </c>
      <c r="B476" t="str">
        <f>IF(AND('Entry list'!$I476=5,'Entry list'!$J476=5),'Entry list'!B476,"")</f>
        <v/>
      </c>
      <c r="C476" t="str">
        <f>IF(AND('Entry list'!$I476=5,'Entry list'!$J476=5),'Entry list'!C476,"")</f>
        <v/>
      </c>
      <c r="D476" t="str">
        <f>IF(AND('Entry list'!$I476=5,'Entry list'!$J476=5),'Entry list'!D476,"")</f>
        <v/>
      </c>
      <c r="E476" t="str">
        <f>IF(AND('Entry list'!$I476=5,'Entry list'!$J476=5),'Entry list'!E476,"")</f>
        <v/>
      </c>
      <c r="F476" t="str">
        <f>IF(AND('Entry list'!$I476=5,'Entry list'!$J476=5),'Entry list'!F476,"")</f>
        <v/>
      </c>
      <c r="G476" t="str">
        <f>IF(AND('Entry list'!$I476=5,'Entry list'!$J476=5),'Entry list'!G476,"")</f>
        <v/>
      </c>
      <c r="H476" t="str">
        <f>IF(AND('Entry list'!$I476=5,'Entry list'!$J476=5),'Entry list'!H476,"")</f>
        <v/>
      </c>
      <c r="I476" t="str">
        <f>IF(AND('Entry list'!$I476=5,'Entry list'!$J476=5),'Entry list'!K476,"")</f>
        <v/>
      </c>
      <c r="J476" t="str">
        <f>IF(AND('Entry list'!$I476=5,'Entry list'!$J476=5),'Entry list'!L476,"")</f>
        <v/>
      </c>
      <c r="K476" t="str">
        <f>IF(AND('Entry list'!$I476=5,'Entry list'!$J476=5),'Entry list'!M476,"")</f>
        <v/>
      </c>
      <c r="L476" t="str">
        <f>IF(AND('Entry list'!$I476=5,'Entry list'!$J476=5),'Entry list'!N476,"")</f>
        <v/>
      </c>
      <c r="M476" t="str">
        <f t="shared" si="21"/>
        <v/>
      </c>
      <c r="N476" t="str">
        <f t="shared" si="22"/>
        <v/>
      </c>
      <c r="O476" t="str">
        <f t="shared" si="23"/>
        <v/>
      </c>
    </row>
    <row r="477" spans="1:15" x14ac:dyDescent="0.25">
      <c r="A477" t="str">
        <f>IF(AND('Entry list'!$I477=5,'Entry list'!$J477=5),'Entry list'!A477,"")</f>
        <v/>
      </c>
      <c r="B477" t="str">
        <f>IF(AND('Entry list'!$I477=5,'Entry list'!$J477=5),'Entry list'!B477,"")</f>
        <v/>
      </c>
      <c r="C477" t="str">
        <f>IF(AND('Entry list'!$I477=5,'Entry list'!$J477=5),'Entry list'!C477,"")</f>
        <v/>
      </c>
      <c r="D477" t="str">
        <f>IF(AND('Entry list'!$I477=5,'Entry list'!$J477=5),'Entry list'!D477,"")</f>
        <v/>
      </c>
      <c r="E477" t="str">
        <f>IF(AND('Entry list'!$I477=5,'Entry list'!$J477=5),'Entry list'!E477,"")</f>
        <v/>
      </c>
      <c r="F477" t="str">
        <f>IF(AND('Entry list'!$I477=5,'Entry list'!$J477=5),'Entry list'!F477,"")</f>
        <v/>
      </c>
      <c r="G477" t="str">
        <f>IF(AND('Entry list'!$I477=5,'Entry list'!$J477=5),'Entry list'!G477,"")</f>
        <v/>
      </c>
      <c r="H477" t="str">
        <f>IF(AND('Entry list'!$I477=5,'Entry list'!$J477=5),'Entry list'!H477,"")</f>
        <v/>
      </c>
      <c r="I477" t="str">
        <f>IF(AND('Entry list'!$I477=5,'Entry list'!$J477=5),'Entry list'!K477,"")</f>
        <v/>
      </c>
      <c r="J477" t="str">
        <f>IF(AND('Entry list'!$I477=5,'Entry list'!$J477=5),'Entry list'!L477,"")</f>
        <v/>
      </c>
      <c r="K477" t="str">
        <f>IF(AND('Entry list'!$I477=5,'Entry list'!$J477=5),'Entry list'!M477,"")</f>
        <v/>
      </c>
      <c r="L477" t="str">
        <f>IF(AND('Entry list'!$I477=5,'Entry list'!$J477=5),'Entry list'!N477,"")</f>
        <v/>
      </c>
      <c r="M477" t="str">
        <f t="shared" si="21"/>
        <v/>
      </c>
      <c r="N477" t="str">
        <f t="shared" si="22"/>
        <v/>
      </c>
      <c r="O477" t="str">
        <f t="shared" si="23"/>
        <v/>
      </c>
    </row>
    <row r="478" spans="1:15" x14ac:dyDescent="0.25">
      <c r="A478" t="str">
        <f>IF(AND('Entry list'!$I478=5,'Entry list'!$J478=5),'Entry list'!A478,"")</f>
        <v/>
      </c>
      <c r="B478" t="str">
        <f>IF(AND('Entry list'!$I478=5,'Entry list'!$J478=5),'Entry list'!B478,"")</f>
        <v/>
      </c>
      <c r="C478" t="str">
        <f>IF(AND('Entry list'!$I478=5,'Entry list'!$J478=5),'Entry list'!C478,"")</f>
        <v/>
      </c>
      <c r="D478" t="str">
        <f>IF(AND('Entry list'!$I478=5,'Entry list'!$J478=5),'Entry list'!D478,"")</f>
        <v/>
      </c>
      <c r="E478" t="str">
        <f>IF(AND('Entry list'!$I478=5,'Entry list'!$J478=5),'Entry list'!E478,"")</f>
        <v/>
      </c>
      <c r="F478" t="str">
        <f>IF(AND('Entry list'!$I478=5,'Entry list'!$J478=5),'Entry list'!F478,"")</f>
        <v/>
      </c>
      <c r="G478" t="str">
        <f>IF(AND('Entry list'!$I478=5,'Entry list'!$J478=5),'Entry list'!G478,"")</f>
        <v/>
      </c>
      <c r="H478" t="str">
        <f>IF(AND('Entry list'!$I478=5,'Entry list'!$J478=5),'Entry list'!H478,"")</f>
        <v/>
      </c>
      <c r="I478" t="str">
        <f>IF(AND('Entry list'!$I478=5,'Entry list'!$J478=5),'Entry list'!K478,"")</f>
        <v/>
      </c>
      <c r="J478" t="str">
        <f>IF(AND('Entry list'!$I478=5,'Entry list'!$J478=5),'Entry list'!L478,"")</f>
        <v/>
      </c>
      <c r="K478" t="str">
        <f>IF(AND('Entry list'!$I478=5,'Entry list'!$J478=5),'Entry list'!M478,"")</f>
        <v/>
      </c>
      <c r="L478" t="str">
        <f>IF(AND('Entry list'!$I478=5,'Entry list'!$J478=5),'Entry list'!N478,"")</f>
        <v/>
      </c>
      <c r="M478" t="str">
        <f t="shared" si="21"/>
        <v/>
      </c>
      <c r="N478" t="str">
        <f t="shared" si="22"/>
        <v/>
      </c>
      <c r="O478" t="str">
        <f t="shared" si="23"/>
        <v/>
      </c>
    </row>
    <row r="479" spans="1:15" x14ac:dyDescent="0.25">
      <c r="A479" t="str">
        <f>IF(AND('Entry list'!$I479=5,'Entry list'!$J479=5),'Entry list'!A479,"")</f>
        <v/>
      </c>
      <c r="B479" t="str">
        <f>IF(AND('Entry list'!$I479=5,'Entry list'!$J479=5),'Entry list'!B479,"")</f>
        <v/>
      </c>
      <c r="C479" t="str">
        <f>IF(AND('Entry list'!$I479=5,'Entry list'!$J479=5),'Entry list'!C479,"")</f>
        <v/>
      </c>
      <c r="D479" t="str">
        <f>IF(AND('Entry list'!$I479=5,'Entry list'!$J479=5),'Entry list'!D479,"")</f>
        <v/>
      </c>
      <c r="E479" t="str">
        <f>IF(AND('Entry list'!$I479=5,'Entry list'!$J479=5),'Entry list'!E479,"")</f>
        <v/>
      </c>
      <c r="F479" t="str">
        <f>IF(AND('Entry list'!$I479=5,'Entry list'!$J479=5),'Entry list'!F479,"")</f>
        <v/>
      </c>
      <c r="G479" t="str">
        <f>IF(AND('Entry list'!$I479=5,'Entry list'!$J479=5),'Entry list'!G479,"")</f>
        <v/>
      </c>
      <c r="H479" t="str">
        <f>IF(AND('Entry list'!$I479=5,'Entry list'!$J479=5),'Entry list'!H479,"")</f>
        <v/>
      </c>
      <c r="I479" t="str">
        <f>IF(AND('Entry list'!$I479=5,'Entry list'!$J479=5),'Entry list'!K479,"")</f>
        <v/>
      </c>
      <c r="J479" t="str">
        <f>IF(AND('Entry list'!$I479=5,'Entry list'!$J479=5),'Entry list'!L479,"")</f>
        <v/>
      </c>
      <c r="K479" t="str">
        <f>IF(AND('Entry list'!$I479=5,'Entry list'!$J479=5),'Entry list'!M479,"")</f>
        <v/>
      </c>
      <c r="L479" t="str">
        <f>IF(AND('Entry list'!$I479=5,'Entry list'!$J479=5),'Entry list'!N479,"")</f>
        <v/>
      </c>
      <c r="M479" t="str">
        <f t="shared" si="21"/>
        <v/>
      </c>
      <c r="N479" t="str">
        <f t="shared" si="22"/>
        <v/>
      </c>
      <c r="O479" t="str">
        <f t="shared" si="23"/>
        <v/>
      </c>
    </row>
    <row r="480" spans="1:15" x14ac:dyDescent="0.25">
      <c r="A480" t="str">
        <f>IF(AND('Entry list'!$I480=5,'Entry list'!$J480=5),'Entry list'!A480,"")</f>
        <v/>
      </c>
      <c r="B480" t="str">
        <f>IF(AND('Entry list'!$I480=5,'Entry list'!$J480=5),'Entry list'!B480,"")</f>
        <v/>
      </c>
      <c r="C480" t="str">
        <f>IF(AND('Entry list'!$I480=5,'Entry list'!$J480=5),'Entry list'!C480,"")</f>
        <v/>
      </c>
      <c r="D480" t="str">
        <f>IF(AND('Entry list'!$I480=5,'Entry list'!$J480=5),'Entry list'!D480,"")</f>
        <v/>
      </c>
      <c r="E480" t="str">
        <f>IF(AND('Entry list'!$I480=5,'Entry list'!$J480=5),'Entry list'!E480,"")</f>
        <v/>
      </c>
      <c r="F480" t="str">
        <f>IF(AND('Entry list'!$I480=5,'Entry list'!$J480=5),'Entry list'!F480,"")</f>
        <v/>
      </c>
      <c r="G480" t="str">
        <f>IF(AND('Entry list'!$I480=5,'Entry list'!$J480=5),'Entry list'!G480,"")</f>
        <v/>
      </c>
      <c r="H480" t="str">
        <f>IF(AND('Entry list'!$I480=5,'Entry list'!$J480=5),'Entry list'!H480,"")</f>
        <v/>
      </c>
      <c r="I480" t="str">
        <f>IF(AND('Entry list'!$I480=5,'Entry list'!$J480=5),'Entry list'!K480,"")</f>
        <v/>
      </c>
      <c r="J480" t="str">
        <f>IF(AND('Entry list'!$I480=5,'Entry list'!$J480=5),'Entry list'!L480,"")</f>
        <v/>
      </c>
      <c r="K480" t="str">
        <f>IF(AND('Entry list'!$I480=5,'Entry list'!$J480=5),'Entry list'!M480,"")</f>
        <v/>
      </c>
      <c r="L480" t="str">
        <f>IF(AND('Entry list'!$I480=5,'Entry list'!$J480=5),'Entry list'!N480,"")</f>
        <v/>
      </c>
      <c r="M480" t="str">
        <f t="shared" si="21"/>
        <v/>
      </c>
      <c r="N480" t="str">
        <f t="shared" si="22"/>
        <v/>
      </c>
      <c r="O480" t="str">
        <f t="shared" si="23"/>
        <v/>
      </c>
    </row>
    <row r="481" spans="1:15" x14ac:dyDescent="0.25">
      <c r="A481" t="str">
        <f>IF(AND('Entry list'!$I481=5,'Entry list'!$J481=5),'Entry list'!A481,"")</f>
        <v/>
      </c>
      <c r="B481" t="str">
        <f>IF(AND('Entry list'!$I481=5,'Entry list'!$J481=5),'Entry list'!B481,"")</f>
        <v/>
      </c>
      <c r="C481" t="str">
        <f>IF(AND('Entry list'!$I481=5,'Entry list'!$J481=5),'Entry list'!C481,"")</f>
        <v/>
      </c>
      <c r="D481" t="str">
        <f>IF(AND('Entry list'!$I481=5,'Entry list'!$J481=5),'Entry list'!D481,"")</f>
        <v/>
      </c>
      <c r="E481" t="str">
        <f>IF(AND('Entry list'!$I481=5,'Entry list'!$J481=5),'Entry list'!E481,"")</f>
        <v/>
      </c>
      <c r="F481" t="str">
        <f>IF(AND('Entry list'!$I481=5,'Entry list'!$J481=5),'Entry list'!F481,"")</f>
        <v/>
      </c>
      <c r="G481" t="str">
        <f>IF(AND('Entry list'!$I481=5,'Entry list'!$J481=5),'Entry list'!G481,"")</f>
        <v/>
      </c>
      <c r="H481" t="str">
        <f>IF(AND('Entry list'!$I481=5,'Entry list'!$J481=5),'Entry list'!H481,"")</f>
        <v/>
      </c>
      <c r="I481" t="str">
        <f>IF(AND('Entry list'!$I481=5,'Entry list'!$J481=5),'Entry list'!K481,"")</f>
        <v/>
      </c>
      <c r="J481" t="str">
        <f>IF(AND('Entry list'!$I481=5,'Entry list'!$J481=5),'Entry list'!L481,"")</f>
        <v/>
      </c>
      <c r="K481" t="str">
        <f>IF(AND('Entry list'!$I481=5,'Entry list'!$J481=5),'Entry list'!M481,"")</f>
        <v/>
      </c>
      <c r="L481" t="str">
        <f>IF(AND('Entry list'!$I481=5,'Entry list'!$J481=5),'Entry list'!N481,"")</f>
        <v/>
      </c>
      <c r="M481" t="str">
        <f t="shared" si="21"/>
        <v/>
      </c>
      <c r="N481" t="str">
        <f t="shared" si="22"/>
        <v/>
      </c>
      <c r="O481" t="str">
        <f t="shared" si="23"/>
        <v/>
      </c>
    </row>
    <row r="482" spans="1:15" x14ac:dyDescent="0.25">
      <c r="A482" t="str">
        <f>IF(AND('Entry list'!$I482=5,'Entry list'!$J482=5),'Entry list'!A482,"")</f>
        <v/>
      </c>
      <c r="B482" t="str">
        <f>IF(AND('Entry list'!$I482=5,'Entry list'!$J482=5),'Entry list'!B482,"")</f>
        <v/>
      </c>
      <c r="C482" t="str">
        <f>IF(AND('Entry list'!$I482=5,'Entry list'!$J482=5),'Entry list'!C482,"")</f>
        <v/>
      </c>
      <c r="D482" t="str">
        <f>IF(AND('Entry list'!$I482=5,'Entry list'!$J482=5),'Entry list'!D482,"")</f>
        <v/>
      </c>
      <c r="E482" t="str">
        <f>IF(AND('Entry list'!$I482=5,'Entry list'!$J482=5),'Entry list'!E482,"")</f>
        <v/>
      </c>
      <c r="F482" t="str">
        <f>IF(AND('Entry list'!$I482=5,'Entry list'!$J482=5),'Entry list'!F482,"")</f>
        <v/>
      </c>
      <c r="G482" t="str">
        <f>IF(AND('Entry list'!$I482=5,'Entry list'!$J482=5),'Entry list'!G482,"")</f>
        <v/>
      </c>
      <c r="H482" t="str">
        <f>IF(AND('Entry list'!$I482=5,'Entry list'!$J482=5),'Entry list'!H482,"")</f>
        <v/>
      </c>
      <c r="I482" t="str">
        <f>IF(AND('Entry list'!$I482=5,'Entry list'!$J482=5),'Entry list'!K482,"")</f>
        <v/>
      </c>
      <c r="J482" t="str">
        <f>IF(AND('Entry list'!$I482=5,'Entry list'!$J482=5),'Entry list'!L482,"")</f>
        <v/>
      </c>
      <c r="K482" t="str">
        <f>IF(AND('Entry list'!$I482=5,'Entry list'!$J482=5),'Entry list'!M482,"")</f>
        <v/>
      </c>
      <c r="L482" t="str">
        <f>IF(AND('Entry list'!$I482=5,'Entry list'!$J482=5),'Entry list'!N482,"")</f>
        <v/>
      </c>
      <c r="M482" t="str">
        <f t="shared" si="21"/>
        <v/>
      </c>
      <c r="N482" t="str">
        <f t="shared" si="22"/>
        <v/>
      </c>
      <c r="O482" t="str">
        <f t="shared" si="23"/>
        <v/>
      </c>
    </row>
    <row r="483" spans="1:15" x14ac:dyDescent="0.25">
      <c r="A483" t="str">
        <f>IF(AND('Entry list'!$I483=5,'Entry list'!$J483=5),'Entry list'!A483,"")</f>
        <v/>
      </c>
      <c r="B483" t="str">
        <f>IF(AND('Entry list'!$I483=5,'Entry list'!$J483=5),'Entry list'!B483,"")</f>
        <v/>
      </c>
      <c r="C483" t="str">
        <f>IF(AND('Entry list'!$I483=5,'Entry list'!$J483=5),'Entry list'!C483,"")</f>
        <v/>
      </c>
      <c r="D483" t="str">
        <f>IF(AND('Entry list'!$I483=5,'Entry list'!$J483=5),'Entry list'!D483,"")</f>
        <v/>
      </c>
      <c r="E483" t="str">
        <f>IF(AND('Entry list'!$I483=5,'Entry list'!$J483=5),'Entry list'!E483,"")</f>
        <v/>
      </c>
      <c r="F483" t="str">
        <f>IF(AND('Entry list'!$I483=5,'Entry list'!$J483=5),'Entry list'!F483,"")</f>
        <v/>
      </c>
      <c r="G483" t="str">
        <f>IF(AND('Entry list'!$I483=5,'Entry list'!$J483=5),'Entry list'!G483,"")</f>
        <v/>
      </c>
      <c r="H483" t="str">
        <f>IF(AND('Entry list'!$I483=5,'Entry list'!$J483=5),'Entry list'!H483,"")</f>
        <v/>
      </c>
      <c r="I483" t="str">
        <f>IF(AND('Entry list'!$I483=5,'Entry list'!$J483=5),'Entry list'!K483,"")</f>
        <v/>
      </c>
      <c r="J483" t="str">
        <f>IF(AND('Entry list'!$I483=5,'Entry list'!$J483=5),'Entry list'!L483,"")</f>
        <v/>
      </c>
      <c r="K483" t="str">
        <f>IF(AND('Entry list'!$I483=5,'Entry list'!$J483=5),'Entry list'!M483,"")</f>
        <v/>
      </c>
      <c r="L483" t="str">
        <f>IF(AND('Entry list'!$I483=5,'Entry list'!$J483=5),'Entry list'!N483,"")</f>
        <v/>
      </c>
      <c r="M483" t="str">
        <f t="shared" si="21"/>
        <v/>
      </c>
      <c r="N483" t="str">
        <f t="shared" si="22"/>
        <v/>
      </c>
      <c r="O483" t="str">
        <f t="shared" si="23"/>
        <v/>
      </c>
    </row>
    <row r="484" spans="1:15" x14ac:dyDescent="0.25">
      <c r="A484" t="str">
        <f>IF(AND('Entry list'!$I484=5,'Entry list'!$J484=5),'Entry list'!A484,"")</f>
        <v/>
      </c>
      <c r="B484" t="str">
        <f>IF(AND('Entry list'!$I484=5,'Entry list'!$J484=5),'Entry list'!B484,"")</f>
        <v/>
      </c>
      <c r="C484" t="str">
        <f>IF(AND('Entry list'!$I484=5,'Entry list'!$J484=5),'Entry list'!C484,"")</f>
        <v/>
      </c>
      <c r="D484" t="str">
        <f>IF(AND('Entry list'!$I484=5,'Entry list'!$J484=5),'Entry list'!D484,"")</f>
        <v/>
      </c>
      <c r="E484" t="str">
        <f>IF(AND('Entry list'!$I484=5,'Entry list'!$J484=5),'Entry list'!E484,"")</f>
        <v/>
      </c>
      <c r="F484" t="str">
        <f>IF(AND('Entry list'!$I484=5,'Entry list'!$J484=5),'Entry list'!F484,"")</f>
        <v/>
      </c>
      <c r="G484" t="str">
        <f>IF(AND('Entry list'!$I484=5,'Entry list'!$J484=5),'Entry list'!G484,"")</f>
        <v/>
      </c>
      <c r="H484" t="str">
        <f>IF(AND('Entry list'!$I484=5,'Entry list'!$J484=5),'Entry list'!H484,"")</f>
        <v/>
      </c>
      <c r="I484" t="str">
        <f>IF(AND('Entry list'!$I484=5,'Entry list'!$J484=5),'Entry list'!K484,"")</f>
        <v/>
      </c>
      <c r="J484" t="str">
        <f>IF(AND('Entry list'!$I484=5,'Entry list'!$J484=5),'Entry list'!L484,"")</f>
        <v/>
      </c>
      <c r="K484" t="str">
        <f>IF(AND('Entry list'!$I484=5,'Entry list'!$J484=5),'Entry list'!M484,"")</f>
        <v/>
      </c>
      <c r="L484" t="str">
        <f>IF(AND('Entry list'!$I484=5,'Entry list'!$J484=5),'Entry list'!N484,"")</f>
        <v/>
      </c>
      <c r="M484" t="str">
        <f t="shared" si="21"/>
        <v/>
      </c>
      <c r="N484" t="str">
        <f t="shared" si="22"/>
        <v/>
      </c>
      <c r="O484" t="str">
        <f t="shared" si="23"/>
        <v/>
      </c>
    </row>
    <row r="485" spans="1:15" x14ac:dyDescent="0.25">
      <c r="A485" t="str">
        <f>IF(AND('Entry list'!$I485=5,'Entry list'!$J485=5),'Entry list'!A485,"")</f>
        <v/>
      </c>
      <c r="B485" t="str">
        <f>IF(AND('Entry list'!$I485=5,'Entry list'!$J485=5),'Entry list'!B485,"")</f>
        <v/>
      </c>
      <c r="C485" t="str">
        <f>IF(AND('Entry list'!$I485=5,'Entry list'!$J485=5),'Entry list'!C485,"")</f>
        <v/>
      </c>
      <c r="D485" t="str">
        <f>IF(AND('Entry list'!$I485=5,'Entry list'!$J485=5),'Entry list'!D485,"")</f>
        <v/>
      </c>
      <c r="E485" t="str">
        <f>IF(AND('Entry list'!$I485=5,'Entry list'!$J485=5),'Entry list'!E485,"")</f>
        <v/>
      </c>
      <c r="F485" t="str">
        <f>IF(AND('Entry list'!$I485=5,'Entry list'!$J485=5),'Entry list'!F485,"")</f>
        <v/>
      </c>
      <c r="G485" t="str">
        <f>IF(AND('Entry list'!$I485=5,'Entry list'!$J485=5),'Entry list'!G485,"")</f>
        <v/>
      </c>
      <c r="H485" t="str">
        <f>IF(AND('Entry list'!$I485=5,'Entry list'!$J485=5),'Entry list'!H485,"")</f>
        <v/>
      </c>
      <c r="I485" t="str">
        <f>IF(AND('Entry list'!$I485=5,'Entry list'!$J485=5),'Entry list'!K485,"")</f>
        <v/>
      </c>
      <c r="J485" t="str">
        <f>IF(AND('Entry list'!$I485=5,'Entry list'!$J485=5),'Entry list'!L485,"")</f>
        <v/>
      </c>
      <c r="K485" t="str">
        <f>IF(AND('Entry list'!$I485=5,'Entry list'!$J485=5),'Entry list'!M485,"")</f>
        <v/>
      </c>
      <c r="L485" t="str">
        <f>IF(AND('Entry list'!$I485=5,'Entry list'!$J485=5),'Entry list'!N485,"")</f>
        <v/>
      </c>
      <c r="M485" t="str">
        <f t="shared" si="21"/>
        <v/>
      </c>
      <c r="N485" t="str">
        <f t="shared" si="22"/>
        <v/>
      </c>
      <c r="O485" t="str">
        <f t="shared" si="23"/>
        <v/>
      </c>
    </row>
    <row r="486" spans="1:15" x14ac:dyDescent="0.25">
      <c r="A486" t="str">
        <f>IF(AND('Entry list'!$I486=5,'Entry list'!$J486=5),'Entry list'!A486,"")</f>
        <v/>
      </c>
      <c r="B486" t="str">
        <f>IF(AND('Entry list'!$I486=5,'Entry list'!$J486=5),'Entry list'!B486,"")</f>
        <v/>
      </c>
      <c r="C486" t="str">
        <f>IF(AND('Entry list'!$I486=5,'Entry list'!$J486=5),'Entry list'!C486,"")</f>
        <v/>
      </c>
      <c r="D486" t="str">
        <f>IF(AND('Entry list'!$I486=5,'Entry list'!$J486=5),'Entry list'!D486,"")</f>
        <v/>
      </c>
      <c r="E486" t="str">
        <f>IF(AND('Entry list'!$I486=5,'Entry list'!$J486=5),'Entry list'!E486,"")</f>
        <v/>
      </c>
      <c r="F486" t="str">
        <f>IF(AND('Entry list'!$I486=5,'Entry list'!$J486=5),'Entry list'!F486,"")</f>
        <v/>
      </c>
      <c r="G486" t="str">
        <f>IF(AND('Entry list'!$I486=5,'Entry list'!$J486=5),'Entry list'!G486,"")</f>
        <v/>
      </c>
      <c r="H486" t="str">
        <f>IF(AND('Entry list'!$I486=5,'Entry list'!$J486=5),'Entry list'!H486,"")</f>
        <v/>
      </c>
      <c r="I486" t="str">
        <f>IF(AND('Entry list'!$I486=5,'Entry list'!$J486=5),'Entry list'!K486,"")</f>
        <v/>
      </c>
      <c r="J486" t="str">
        <f>IF(AND('Entry list'!$I486=5,'Entry list'!$J486=5),'Entry list'!L486,"")</f>
        <v/>
      </c>
      <c r="K486" t="str">
        <f>IF(AND('Entry list'!$I486=5,'Entry list'!$J486=5),'Entry list'!M486,"")</f>
        <v/>
      </c>
      <c r="L486" t="str">
        <f>IF(AND('Entry list'!$I486=5,'Entry list'!$J486=5),'Entry list'!N486,"")</f>
        <v/>
      </c>
      <c r="M486" t="str">
        <f t="shared" si="21"/>
        <v/>
      </c>
      <c r="N486" t="str">
        <f t="shared" si="22"/>
        <v/>
      </c>
      <c r="O486" t="str">
        <f t="shared" si="23"/>
        <v/>
      </c>
    </row>
    <row r="487" spans="1:15" x14ac:dyDescent="0.25">
      <c r="A487" t="str">
        <f>IF(AND('Entry list'!$I487=5,'Entry list'!$J487=5),'Entry list'!A487,"")</f>
        <v/>
      </c>
      <c r="B487" t="str">
        <f>IF(AND('Entry list'!$I487=5,'Entry list'!$J487=5),'Entry list'!B487,"")</f>
        <v/>
      </c>
      <c r="C487" t="str">
        <f>IF(AND('Entry list'!$I487=5,'Entry list'!$J487=5),'Entry list'!C487,"")</f>
        <v/>
      </c>
      <c r="D487" t="str">
        <f>IF(AND('Entry list'!$I487=5,'Entry list'!$J487=5),'Entry list'!D487,"")</f>
        <v/>
      </c>
      <c r="E487" t="str">
        <f>IF(AND('Entry list'!$I487=5,'Entry list'!$J487=5),'Entry list'!E487,"")</f>
        <v/>
      </c>
      <c r="F487" t="str">
        <f>IF(AND('Entry list'!$I487=5,'Entry list'!$J487=5),'Entry list'!F487,"")</f>
        <v/>
      </c>
      <c r="G487" t="str">
        <f>IF(AND('Entry list'!$I487=5,'Entry list'!$J487=5),'Entry list'!G487,"")</f>
        <v/>
      </c>
      <c r="H487" t="str">
        <f>IF(AND('Entry list'!$I487=5,'Entry list'!$J487=5),'Entry list'!H487,"")</f>
        <v/>
      </c>
      <c r="I487" t="str">
        <f>IF(AND('Entry list'!$I487=5,'Entry list'!$J487=5),'Entry list'!K487,"")</f>
        <v/>
      </c>
      <c r="J487" t="str">
        <f>IF(AND('Entry list'!$I487=5,'Entry list'!$J487=5),'Entry list'!L487,"")</f>
        <v/>
      </c>
      <c r="K487" t="str">
        <f>IF(AND('Entry list'!$I487=5,'Entry list'!$J487=5),'Entry list'!M487,"")</f>
        <v/>
      </c>
      <c r="L487" t="str">
        <f>IF(AND('Entry list'!$I487=5,'Entry list'!$J487=5),'Entry list'!N487,"")</f>
        <v/>
      </c>
      <c r="M487" t="str">
        <f t="shared" si="21"/>
        <v/>
      </c>
      <c r="N487" t="str">
        <f t="shared" si="22"/>
        <v/>
      </c>
      <c r="O487" t="str">
        <f t="shared" si="23"/>
        <v/>
      </c>
    </row>
    <row r="488" spans="1:15" x14ac:dyDescent="0.25">
      <c r="A488" t="str">
        <f>IF(AND('Entry list'!$I488=5,'Entry list'!$J488=5),'Entry list'!A488,"")</f>
        <v/>
      </c>
      <c r="B488" t="str">
        <f>IF(AND('Entry list'!$I488=5,'Entry list'!$J488=5),'Entry list'!B488,"")</f>
        <v/>
      </c>
      <c r="C488" t="str">
        <f>IF(AND('Entry list'!$I488=5,'Entry list'!$J488=5),'Entry list'!C488,"")</f>
        <v/>
      </c>
      <c r="D488" t="str">
        <f>IF(AND('Entry list'!$I488=5,'Entry list'!$J488=5),'Entry list'!D488,"")</f>
        <v/>
      </c>
      <c r="E488" t="str">
        <f>IF(AND('Entry list'!$I488=5,'Entry list'!$J488=5),'Entry list'!E488,"")</f>
        <v/>
      </c>
      <c r="F488" t="str">
        <f>IF(AND('Entry list'!$I488=5,'Entry list'!$J488=5),'Entry list'!F488,"")</f>
        <v/>
      </c>
      <c r="G488" t="str">
        <f>IF(AND('Entry list'!$I488=5,'Entry list'!$J488=5),'Entry list'!G488,"")</f>
        <v/>
      </c>
      <c r="H488" t="str">
        <f>IF(AND('Entry list'!$I488=5,'Entry list'!$J488=5),'Entry list'!H488,"")</f>
        <v/>
      </c>
      <c r="I488" t="str">
        <f>IF(AND('Entry list'!$I488=5,'Entry list'!$J488=5),'Entry list'!K488,"")</f>
        <v/>
      </c>
      <c r="J488" t="str">
        <f>IF(AND('Entry list'!$I488=5,'Entry list'!$J488=5),'Entry list'!L488,"")</f>
        <v/>
      </c>
      <c r="K488" t="str">
        <f>IF(AND('Entry list'!$I488=5,'Entry list'!$J488=5),'Entry list'!M488,"")</f>
        <v/>
      </c>
      <c r="L488" t="str">
        <f>IF(AND('Entry list'!$I488=5,'Entry list'!$J488=5),'Entry list'!N488,"")</f>
        <v/>
      </c>
      <c r="M488" t="str">
        <f t="shared" si="21"/>
        <v/>
      </c>
      <c r="N488" t="str">
        <f t="shared" si="22"/>
        <v/>
      </c>
      <c r="O488" t="str">
        <f t="shared" si="23"/>
        <v/>
      </c>
    </row>
    <row r="489" spans="1:15" x14ac:dyDescent="0.25">
      <c r="A489" t="str">
        <f>IF(AND('Entry list'!$I489=5,'Entry list'!$J489=5),'Entry list'!A489,"")</f>
        <v/>
      </c>
      <c r="B489" t="str">
        <f>IF(AND('Entry list'!$I489=5,'Entry list'!$J489=5),'Entry list'!B489,"")</f>
        <v/>
      </c>
      <c r="C489" t="str">
        <f>IF(AND('Entry list'!$I489=5,'Entry list'!$J489=5),'Entry list'!C489,"")</f>
        <v/>
      </c>
      <c r="D489" t="str">
        <f>IF(AND('Entry list'!$I489=5,'Entry list'!$J489=5),'Entry list'!D489,"")</f>
        <v/>
      </c>
      <c r="E489" t="str">
        <f>IF(AND('Entry list'!$I489=5,'Entry list'!$J489=5),'Entry list'!E489,"")</f>
        <v/>
      </c>
      <c r="F489" t="str">
        <f>IF(AND('Entry list'!$I489=5,'Entry list'!$J489=5),'Entry list'!F489,"")</f>
        <v/>
      </c>
      <c r="G489" t="str">
        <f>IF(AND('Entry list'!$I489=5,'Entry list'!$J489=5),'Entry list'!G489,"")</f>
        <v/>
      </c>
      <c r="H489" t="str">
        <f>IF(AND('Entry list'!$I489=5,'Entry list'!$J489=5),'Entry list'!H489,"")</f>
        <v/>
      </c>
      <c r="I489" t="str">
        <f>IF(AND('Entry list'!$I489=5,'Entry list'!$J489=5),'Entry list'!K489,"")</f>
        <v/>
      </c>
      <c r="J489" t="str">
        <f>IF(AND('Entry list'!$I489=5,'Entry list'!$J489=5),'Entry list'!L489,"")</f>
        <v/>
      </c>
      <c r="K489" t="str">
        <f>IF(AND('Entry list'!$I489=5,'Entry list'!$J489=5),'Entry list'!M489,"")</f>
        <v/>
      </c>
      <c r="L489" t="str">
        <f>IF(AND('Entry list'!$I489=5,'Entry list'!$J489=5),'Entry list'!N489,"")</f>
        <v/>
      </c>
      <c r="M489" t="str">
        <f t="shared" si="21"/>
        <v/>
      </c>
      <c r="N489" t="str">
        <f t="shared" si="22"/>
        <v/>
      </c>
      <c r="O489" t="str">
        <f t="shared" si="23"/>
        <v/>
      </c>
    </row>
    <row r="490" spans="1:15" x14ac:dyDescent="0.25">
      <c r="A490" t="str">
        <f>IF(AND('Entry list'!$I490=5,'Entry list'!$J490=5),'Entry list'!A490,"")</f>
        <v/>
      </c>
      <c r="B490" t="str">
        <f>IF(AND('Entry list'!$I490=5,'Entry list'!$J490=5),'Entry list'!B490,"")</f>
        <v/>
      </c>
      <c r="C490" t="str">
        <f>IF(AND('Entry list'!$I490=5,'Entry list'!$J490=5),'Entry list'!C490,"")</f>
        <v/>
      </c>
      <c r="D490" t="str">
        <f>IF(AND('Entry list'!$I490=5,'Entry list'!$J490=5),'Entry list'!D490,"")</f>
        <v/>
      </c>
      <c r="E490" t="str">
        <f>IF(AND('Entry list'!$I490=5,'Entry list'!$J490=5),'Entry list'!E490,"")</f>
        <v/>
      </c>
      <c r="F490" t="str">
        <f>IF(AND('Entry list'!$I490=5,'Entry list'!$J490=5),'Entry list'!F490,"")</f>
        <v/>
      </c>
      <c r="G490" t="str">
        <f>IF(AND('Entry list'!$I490=5,'Entry list'!$J490=5),'Entry list'!G490,"")</f>
        <v/>
      </c>
      <c r="H490" t="str">
        <f>IF(AND('Entry list'!$I490=5,'Entry list'!$J490=5),'Entry list'!H490,"")</f>
        <v/>
      </c>
      <c r="I490" t="str">
        <f>IF(AND('Entry list'!$I490=5,'Entry list'!$J490=5),'Entry list'!K490,"")</f>
        <v/>
      </c>
      <c r="J490" t="str">
        <f>IF(AND('Entry list'!$I490=5,'Entry list'!$J490=5),'Entry list'!L490,"")</f>
        <v/>
      </c>
      <c r="K490" t="str">
        <f>IF(AND('Entry list'!$I490=5,'Entry list'!$J490=5),'Entry list'!M490,"")</f>
        <v/>
      </c>
      <c r="L490" t="str">
        <f>IF(AND('Entry list'!$I490=5,'Entry list'!$J490=5),'Entry list'!N490,"")</f>
        <v/>
      </c>
      <c r="M490" t="str">
        <f t="shared" si="21"/>
        <v/>
      </c>
      <c r="N490" t="str">
        <f t="shared" si="22"/>
        <v/>
      </c>
      <c r="O490" t="str">
        <f t="shared" si="23"/>
        <v/>
      </c>
    </row>
    <row r="491" spans="1:15" x14ac:dyDescent="0.25">
      <c r="A491" t="str">
        <f>IF(AND('Entry list'!$I491=5,'Entry list'!$J491=5),'Entry list'!A491,"")</f>
        <v/>
      </c>
      <c r="B491" t="str">
        <f>IF(AND('Entry list'!$I491=5,'Entry list'!$J491=5),'Entry list'!B491,"")</f>
        <v/>
      </c>
      <c r="C491" t="str">
        <f>IF(AND('Entry list'!$I491=5,'Entry list'!$J491=5),'Entry list'!C491,"")</f>
        <v/>
      </c>
      <c r="D491" t="str">
        <f>IF(AND('Entry list'!$I491=5,'Entry list'!$J491=5),'Entry list'!D491,"")</f>
        <v/>
      </c>
      <c r="E491" t="str">
        <f>IF(AND('Entry list'!$I491=5,'Entry list'!$J491=5),'Entry list'!E491,"")</f>
        <v/>
      </c>
      <c r="F491" t="str">
        <f>IF(AND('Entry list'!$I491=5,'Entry list'!$J491=5),'Entry list'!F491,"")</f>
        <v/>
      </c>
      <c r="G491" t="str">
        <f>IF(AND('Entry list'!$I491=5,'Entry list'!$J491=5),'Entry list'!G491,"")</f>
        <v/>
      </c>
      <c r="H491" t="str">
        <f>IF(AND('Entry list'!$I491=5,'Entry list'!$J491=5),'Entry list'!H491,"")</f>
        <v/>
      </c>
      <c r="I491" t="str">
        <f>IF(AND('Entry list'!$I491=5,'Entry list'!$J491=5),'Entry list'!K491,"")</f>
        <v/>
      </c>
      <c r="J491" t="str">
        <f>IF(AND('Entry list'!$I491=5,'Entry list'!$J491=5),'Entry list'!L491,"")</f>
        <v/>
      </c>
      <c r="K491" t="str">
        <f>IF(AND('Entry list'!$I491=5,'Entry list'!$J491=5),'Entry list'!M491,"")</f>
        <v/>
      </c>
      <c r="L491" t="str">
        <f>IF(AND('Entry list'!$I491=5,'Entry list'!$J491=5),'Entry list'!N491,"")</f>
        <v/>
      </c>
      <c r="M491" t="str">
        <f t="shared" si="21"/>
        <v/>
      </c>
      <c r="N491" t="str">
        <f t="shared" si="22"/>
        <v/>
      </c>
      <c r="O491" t="str">
        <f t="shared" si="23"/>
        <v/>
      </c>
    </row>
    <row r="492" spans="1:15" x14ac:dyDescent="0.25">
      <c r="A492" t="str">
        <f>IF(AND('Entry list'!$I492=5,'Entry list'!$J492=5),'Entry list'!A492,"")</f>
        <v/>
      </c>
      <c r="B492" t="str">
        <f>IF(AND('Entry list'!$I492=5,'Entry list'!$J492=5),'Entry list'!B492,"")</f>
        <v/>
      </c>
      <c r="C492" t="str">
        <f>IF(AND('Entry list'!$I492=5,'Entry list'!$J492=5),'Entry list'!C492,"")</f>
        <v/>
      </c>
      <c r="D492" t="str">
        <f>IF(AND('Entry list'!$I492=5,'Entry list'!$J492=5),'Entry list'!D492,"")</f>
        <v/>
      </c>
      <c r="E492" t="str">
        <f>IF(AND('Entry list'!$I492=5,'Entry list'!$J492=5),'Entry list'!E492,"")</f>
        <v/>
      </c>
      <c r="F492" t="str">
        <f>IF(AND('Entry list'!$I492=5,'Entry list'!$J492=5),'Entry list'!F492,"")</f>
        <v/>
      </c>
      <c r="G492" t="str">
        <f>IF(AND('Entry list'!$I492=5,'Entry list'!$J492=5),'Entry list'!G492,"")</f>
        <v/>
      </c>
      <c r="H492" t="str">
        <f>IF(AND('Entry list'!$I492=5,'Entry list'!$J492=5),'Entry list'!H492,"")</f>
        <v/>
      </c>
      <c r="I492" t="str">
        <f>IF(AND('Entry list'!$I492=5,'Entry list'!$J492=5),'Entry list'!K492,"")</f>
        <v/>
      </c>
      <c r="J492" t="str">
        <f>IF(AND('Entry list'!$I492=5,'Entry list'!$J492=5),'Entry list'!L492,"")</f>
        <v/>
      </c>
      <c r="K492" t="str">
        <f>IF(AND('Entry list'!$I492=5,'Entry list'!$J492=5),'Entry list'!M492,"")</f>
        <v/>
      </c>
      <c r="L492" t="str">
        <f>IF(AND('Entry list'!$I492=5,'Entry list'!$J492=5),'Entry list'!N492,"")</f>
        <v/>
      </c>
      <c r="M492" t="str">
        <f t="shared" si="21"/>
        <v/>
      </c>
      <c r="N492" t="str">
        <f t="shared" si="22"/>
        <v/>
      </c>
      <c r="O492" t="str">
        <f t="shared" si="23"/>
        <v/>
      </c>
    </row>
    <row r="493" spans="1:15" x14ac:dyDescent="0.25">
      <c r="A493" t="str">
        <f>IF(AND('Entry list'!$I493=5,'Entry list'!$J493=5),'Entry list'!A493,"")</f>
        <v/>
      </c>
      <c r="B493" t="str">
        <f>IF(AND('Entry list'!$I493=5,'Entry list'!$J493=5),'Entry list'!B493,"")</f>
        <v/>
      </c>
      <c r="C493" t="str">
        <f>IF(AND('Entry list'!$I493=5,'Entry list'!$J493=5),'Entry list'!C493,"")</f>
        <v/>
      </c>
      <c r="D493" t="str">
        <f>IF(AND('Entry list'!$I493=5,'Entry list'!$J493=5),'Entry list'!D493,"")</f>
        <v/>
      </c>
      <c r="E493" t="str">
        <f>IF(AND('Entry list'!$I493=5,'Entry list'!$J493=5),'Entry list'!E493,"")</f>
        <v/>
      </c>
      <c r="F493" t="str">
        <f>IF(AND('Entry list'!$I493=5,'Entry list'!$J493=5),'Entry list'!F493,"")</f>
        <v/>
      </c>
      <c r="G493" t="str">
        <f>IF(AND('Entry list'!$I493=5,'Entry list'!$J493=5),'Entry list'!G493,"")</f>
        <v/>
      </c>
      <c r="H493" t="str">
        <f>IF(AND('Entry list'!$I493=5,'Entry list'!$J493=5),'Entry list'!H493,"")</f>
        <v/>
      </c>
      <c r="I493" t="str">
        <f>IF(AND('Entry list'!$I493=5,'Entry list'!$J493=5),'Entry list'!K493,"")</f>
        <v/>
      </c>
      <c r="J493" t="str">
        <f>IF(AND('Entry list'!$I493=5,'Entry list'!$J493=5),'Entry list'!L493,"")</f>
        <v/>
      </c>
      <c r="K493" t="str">
        <f>IF(AND('Entry list'!$I493=5,'Entry list'!$J493=5),'Entry list'!M493,"")</f>
        <v/>
      </c>
      <c r="L493" t="str">
        <f>IF(AND('Entry list'!$I493=5,'Entry list'!$J493=5),'Entry list'!N493,"")</f>
        <v/>
      </c>
      <c r="M493" t="str">
        <f t="shared" si="21"/>
        <v/>
      </c>
      <c r="N493" t="str">
        <f t="shared" si="22"/>
        <v/>
      </c>
      <c r="O493" t="str">
        <f t="shared" si="23"/>
        <v/>
      </c>
    </row>
    <row r="494" spans="1:15" x14ac:dyDescent="0.25">
      <c r="A494" t="str">
        <f>IF(AND('Entry list'!$I494=5,'Entry list'!$J494=5),'Entry list'!A494,"")</f>
        <v/>
      </c>
      <c r="B494" t="str">
        <f>IF(AND('Entry list'!$I494=5,'Entry list'!$J494=5),'Entry list'!B494,"")</f>
        <v/>
      </c>
      <c r="C494" t="str">
        <f>IF(AND('Entry list'!$I494=5,'Entry list'!$J494=5),'Entry list'!C494,"")</f>
        <v/>
      </c>
      <c r="D494" t="str">
        <f>IF(AND('Entry list'!$I494=5,'Entry list'!$J494=5),'Entry list'!D494,"")</f>
        <v/>
      </c>
      <c r="E494" t="str">
        <f>IF(AND('Entry list'!$I494=5,'Entry list'!$J494=5),'Entry list'!E494,"")</f>
        <v/>
      </c>
      <c r="F494" t="str">
        <f>IF(AND('Entry list'!$I494=5,'Entry list'!$J494=5),'Entry list'!F494,"")</f>
        <v/>
      </c>
      <c r="G494" t="str">
        <f>IF(AND('Entry list'!$I494=5,'Entry list'!$J494=5),'Entry list'!G494,"")</f>
        <v/>
      </c>
      <c r="H494" t="str">
        <f>IF(AND('Entry list'!$I494=5,'Entry list'!$J494=5),'Entry list'!H494,"")</f>
        <v/>
      </c>
      <c r="I494" t="str">
        <f>IF(AND('Entry list'!$I494=5,'Entry list'!$J494=5),'Entry list'!K494,"")</f>
        <v/>
      </c>
      <c r="J494" t="str">
        <f>IF(AND('Entry list'!$I494=5,'Entry list'!$J494=5),'Entry list'!L494,"")</f>
        <v/>
      </c>
      <c r="K494" t="str">
        <f>IF(AND('Entry list'!$I494=5,'Entry list'!$J494=5),'Entry list'!M494,"")</f>
        <v/>
      </c>
      <c r="L494" t="str">
        <f>IF(AND('Entry list'!$I494=5,'Entry list'!$J494=5),'Entry list'!N494,"")</f>
        <v/>
      </c>
      <c r="M494" t="str">
        <f t="shared" si="21"/>
        <v/>
      </c>
      <c r="N494" t="str">
        <f t="shared" si="22"/>
        <v/>
      </c>
      <c r="O494" t="str">
        <f t="shared" si="23"/>
        <v/>
      </c>
    </row>
    <row r="495" spans="1:15" x14ac:dyDescent="0.25">
      <c r="A495" t="str">
        <f>IF(AND('Entry list'!$I495=5,'Entry list'!$J495=5),'Entry list'!A495,"")</f>
        <v/>
      </c>
      <c r="B495" t="str">
        <f>IF(AND('Entry list'!$I495=5,'Entry list'!$J495=5),'Entry list'!B495,"")</f>
        <v/>
      </c>
      <c r="C495" t="str">
        <f>IF(AND('Entry list'!$I495=5,'Entry list'!$J495=5),'Entry list'!C495,"")</f>
        <v/>
      </c>
      <c r="D495" t="str">
        <f>IF(AND('Entry list'!$I495=5,'Entry list'!$J495=5),'Entry list'!D495,"")</f>
        <v/>
      </c>
      <c r="E495" t="str">
        <f>IF(AND('Entry list'!$I495=5,'Entry list'!$J495=5),'Entry list'!E495,"")</f>
        <v/>
      </c>
      <c r="F495" t="str">
        <f>IF(AND('Entry list'!$I495=5,'Entry list'!$J495=5),'Entry list'!F495,"")</f>
        <v/>
      </c>
      <c r="G495" t="str">
        <f>IF(AND('Entry list'!$I495=5,'Entry list'!$J495=5),'Entry list'!G495,"")</f>
        <v/>
      </c>
      <c r="H495" t="str">
        <f>IF(AND('Entry list'!$I495=5,'Entry list'!$J495=5),'Entry list'!H495,"")</f>
        <v/>
      </c>
      <c r="I495" t="str">
        <f>IF(AND('Entry list'!$I495=5,'Entry list'!$J495=5),'Entry list'!K495,"")</f>
        <v/>
      </c>
      <c r="J495" t="str">
        <f>IF(AND('Entry list'!$I495=5,'Entry list'!$J495=5),'Entry list'!L495,"")</f>
        <v/>
      </c>
      <c r="K495" t="str">
        <f>IF(AND('Entry list'!$I495=5,'Entry list'!$J495=5),'Entry list'!M495,"")</f>
        <v/>
      </c>
      <c r="L495" t="str">
        <f>IF(AND('Entry list'!$I495=5,'Entry list'!$J495=5),'Entry list'!N495,"")</f>
        <v/>
      </c>
      <c r="M495" t="str">
        <f t="shared" si="21"/>
        <v/>
      </c>
      <c r="N495" t="str">
        <f t="shared" si="22"/>
        <v/>
      </c>
      <c r="O495" t="str">
        <f t="shared" si="23"/>
        <v/>
      </c>
    </row>
    <row r="496" spans="1:15" x14ac:dyDescent="0.25">
      <c r="A496" t="str">
        <f>IF(AND('Entry list'!$I496=5,'Entry list'!$J496=5),'Entry list'!A496,"")</f>
        <v/>
      </c>
      <c r="B496" t="str">
        <f>IF(AND('Entry list'!$I496=5,'Entry list'!$J496=5),'Entry list'!B496,"")</f>
        <v/>
      </c>
      <c r="C496" t="str">
        <f>IF(AND('Entry list'!$I496=5,'Entry list'!$J496=5),'Entry list'!C496,"")</f>
        <v/>
      </c>
      <c r="D496" t="str">
        <f>IF(AND('Entry list'!$I496=5,'Entry list'!$J496=5),'Entry list'!D496,"")</f>
        <v/>
      </c>
      <c r="E496" t="str">
        <f>IF(AND('Entry list'!$I496=5,'Entry list'!$J496=5),'Entry list'!E496,"")</f>
        <v/>
      </c>
      <c r="F496" t="str">
        <f>IF(AND('Entry list'!$I496=5,'Entry list'!$J496=5),'Entry list'!F496,"")</f>
        <v/>
      </c>
      <c r="G496" t="str">
        <f>IF(AND('Entry list'!$I496=5,'Entry list'!$J496=5),'Entry list'!G496,"")</f>
        <v/>
      </c>
      <c r="H496" t="str">
        <f>IF(AND('Entry list'!$I496=5,'Entry list'!$J496=5),'Entry list'!H496,"")</f>
        <v/>
      </c>
      <c r="I496" t="str">
        <f>IF(AND('Entry list'!$I496=5,'Entry list'!$J496=5),'Entry list'!K496,"")</f>
        <v/>
      </c>
      <c r="J496" t="str">
        <f>IF(AND('Entry list'!$I496=5,'Entry list'!$J496=5),'Entry list'!L496,"")</f>
        <v/>
      </c>
      <c r="K496" t="str">
        <f>IF(AND('Entry list'!$I496=5,'Entry list'!$J496=5),'Entry list'!M496,"")</f>
        <v/>
      </c>
      <c r="L496" t="str">
        <f>IF(AND('Entry list'!$I496=5,'Entry list'!$J496=5),'Entry list'!N496,"")</f>
        <v/>
      </c>
      <c r="M496" t="str">
        <f t="shared" si="21"/>
        <v/>
      </c>
      <c r="N496" t="str">
        <f t="shared" si="22"/>
        <v/>
      </c>
      <c r="O496" t="str">
        <f t="shared" si="23"/>
        <v/>
      </c>
    </row>
    <row r="497" spans="1:15" x14ac:dyDescent="0.25">
      <c r="A497" t="str">
        <f>IF(AND('Entry list'!$I497=5,'Entry list'!$J497=5),'Entry list'!A497,"")</f>
        <v/>
      </c>
      <c r="B497" t="str">
        <f>IF(AND('Entry list'!$I497=5,'Entry list'!$J497=5),'Entry list'!B497,"")</f>
        <v/>
      </c>
      <c r="C497" t="str">
        <f>IF(AND('Entry list'!$I497=5,'Entry list'!$J497=5),'Entry list'!C497,"")</f>
        <v/>
      </c>
      <c r="D497" t="str">
        <f>IF(AND('Entry list'!$I497=5,'Entry list'!$J497=5),'Entry list'!D497,"")</f>
        <v/>
      </c>
      <c r="E497" t="str">
        <f>IF(AND('Entry list'!$I497=5,'Entry list'!$J497=5),'Entry list'!E497,"")</f>
        <v/>
      </c>
      <c r="F497" t="str">
        <f>IF(AND('Entry list'!$I497=5,'Entry list'!$J497=5),'Entry list'!F497,"")</f>
        <v/>
      </c>
      <c r="G497" t="str">
        <f>IF(AND('Entry list'!$I497=5,'Entry list'!$J497=5),'Entry list'!G497,"")</f>
        <v/>
      </c>
      <c r="H497" t="str">
        <f>IF(AND('Entry list'!$I497=5,'Entry list'!$J497=5),'Entry list'!H497,"")</f>
        <v/>
      </c>
      <c r="I497" t="str">
        <f>IF(AND('Entry list'!$I497=5,'Entry list'!$J497=5),'Entry list'!K497,"")</f>
        <v/>
      </c>
      <c r="J497" t="str">
        <f>IF(AND('Entry list'!$I497=5,'Entry list'!$J497=5),'Entry list'!L497,"")</f>
        <v/>
      </c>
      <c r="K497" t="str">
        <f>IF(AND('Entry list'!$I497=5,'Entry list'!$J497=5),'Entry list'!M497,"")</f>
        <v/>
      </c>
      <c r="L497" t="str">
        <f>IF(AND('Entry list'!$I497=5,'Entry list'!$J497=5),'Entry list'!N497,"")</f>
        <v/>
      </c>
      <c r="M497" t="str">
        <f t="shared" si="21"/>
        <v/>
      </c>
      <c r="N497" t="str">
        <f t="shared" si="22"/>
        <v/>
      </c>
      <c r="O497" t="str">
        <f t="shared" si="23"/>
        <v/>
      </c>
    </row>
    <row r="498" spans="1:15" x14ac:dyDescent="0.25">
      <c r="A498" t="str">
        <f>IF(AND('Entry list'!$I498=5,'Entry list'!$J498=5),'Entry list'!A498,"")</f>
        <v/>
      </c>
      <c r="B498" t="str">
        <f>IF(AND('Entry list'!$I498=5,'Entry list'!$J498=5),'Entry list'!B498,"")</f>
        <v/>
      </c>
      <c r="C498" t="str">
        <f>IF(AND('Entry list'!$I498=5,'Entry list'!$J498=5),'Entry list'!C498,"")</f>
        <v/>
      </c>
      <c r="D498" t="str">
        <f>IF(AND('Entry list'!$I498=5,'Entry list'!$J498=5),'Entry list'!D498,"")</f>
        <v/>
      </c>
      <c r="E498" t="str">
        <f>IF(AND('Entry list'!$I498=5,'Entry list'!$J498=5),'Entry list'!E498,"")</f>
        <v/>
      </c>
      <c r="F498" t="str">
        <f>IF(AND('Entry list'!$I498=5,'Entry list'!$J498=5),'Entry list'!F498,"")</f>
        <v/>
      </c>
      <c r="G498" t="str">
        <f>IF(AND('Entry list'!$I498=5,'Entry list'!$J498=5),'Entry list'!G498,"")</f>
        <v/>
      </c>
      <c r="H498" t="str">
        <f>IF(AND('Entry list'!$I498=5,'Entry list'!$J498=5),'Entry list'!H498,"")</f>
        <v/>
      </c>
      <c r="I498" t="str">
        <f>IF(AND('Entry list'!$I498=5,'Entry list'!$J498=5),'Entry list'!K498,"")</f>
        <v/>
      </c>
      <c r="J498" t="str">
        <f>IF(AND('Entry list'!$I498=5,'Entry list'!$J498=5),'Entry list'!L498,"")</f>
        <v/>
      </c>
      <c r="K498" t="str">
        <f>IF(AND('Entry list'!$I498=5,'Entry list'!$J498=5),'Entry list'!M498,"")</f>
        <v/>
      </c>
      <c r="L498" t="str">
        <f>IF(AND('Entry list'!$I498=5,'Entry list'!$J498=5),'Entry list'!N498,"")</f>
        <v/>
      </c>
      <c r="M498" t="str">
        <f t="shared" si="21"/>
        <v/>
      </c>
      <c r="N498" t="str">
        <f t="shared" si="22"/>
        <v/>
      </c>
      <c r="O498" t="str">
        <f t="shared" si="23"/>
        <v/>
      </c>
    </row>
    <row r="499" spans="1:15" x14ac:dyDescent="0.25">
      <c r="A499" t="str">
        <f>IF(AND('Entry list'!$I499=5,'Entry list'!$J499=5),'Entry list'!A499,"")</f>
        <v/>
      </c>
      <c r="B499" t="str">
        <f>IF(AND('Entry list'!$I499=5,'Entry list'!$J499=5),'Entry list'!B499,"")</f>
        <v/>
      </c>
      <c r="C499" t="str">
        <f>IF(AND('Entry list'!$I499=5,'Entry list'!$J499=5),'Entry list'!C499,"")</f>
        <v/>
      </c>
      <c r="D499" t="str">
        <f>IF(AND('Entry list'!$I499=5,'Entry list'!$J499=5),'Entry list'!D499,"")</f>
        <v/>
      </c>
      <c r="E499" t="str">
        <f>IF(AND('Entry list'!$I499=5,'Entry list'!$J499=5),'Entry list'!E499,"")</f>
        <v/>
      </c>
      <c r="F499" t="str">
        <f>IF(AND('Entry list'!$I499=5,'Entry list'!$J499=5),'Entry list'!F499,"")</f>
        <v/>
      </c>
      <c r="G499" t="str">
        <f>IF(AND('Entry list'!$I499=5,'Entry list'!$J499=5),'Entry list'!G499,"")</f>
        <v/>
      </c>
      <c r="H499" t="str">
        <f>IF(AND('Entry list'!$I499=5,'Entry list'!$J499=5),'Entry list'!H499,"")</f>
        <v/>
      </c>
      <c r="I499" t="str">
        <f>IF(AND('Entry list'!$I499=5,'Entry list'!$J499=5),'Entry list'!K499,"")</f>
        <v/>
      </c>
      <c r="J499" t="str">
        <f>IF(AND('Entry list'!$I499=5,'Entry list'!$J499=5),'Entry list'!L499,"")</f>
        <v/>
      </c>
      <c r="K499" t="str">
        <f>IF(AND('Entry list'!$I499=5,'Entry list'!$J499=5),'Entry list'!M499,"")</f>
        <v/>
      </c>
      <c r="L499" t="str">
        <f>IF(AND('Entry list'!$I499=5,'Entry list'!$J499=5),'Entry list'!N499,"")</f>
        <v/>
      </c>
      <c r="M499" t="str">
        <f t="shared" si="21"/>
        <v/>
      </c>
      <c r="N499" t="str">
        <f t="shared" si="22"/>
        <v/>
      </c>
      <c r="O499" t="str">
        <f t="shared" si="23"/>
        <v/>
      </c>
    </row>
    <row r="500" spans="1:15" x14ac:dyDescent="0.25">
      <c r="A500" t="str">
        <f>IF(AND('Entry list'!$I500=5,'Entry list'!$J500=5),'Entry list'!A500,"")</f>
        <v/>
      </c>
      <c r="B500" t="str">
        <f>IF(AND('Entry list'!$I500=5,'Entry list'!$J500=5),'Entry list'!B500,"")</f>
        <v/>
      </c>
      <c r="C500" t="str">
        <f>IF(AND('Entry list'!$I500=5,'Entry list'!$J500=5),'Entry list'!C500,"")</f>
        <v/>
      </c>
      <c r="D500" t="str">
        <f>IF(AND('Entry list'!$I500=5,'Entry list'!$J500=5),'Entry list'!D500,"")</f>
        <v/>
      </c>
      <c r="E500" t="str">
        <f>IF(AND('Entry list'!$I500=5,'Entry list'!$J500=5),'Entry list'!E500,"")</f>
        <v/>
      </c>
      <c r="F500" t="str">
        <f>IF(AND('Entry list'!$I500=5,'Entry list'!$J500=5),'Entry list'!F500,"")</f>
        <v/>
      </c>
      <c r="G500" t="str">
        <f>IF(AND('Entry list'!$I500=5,'Entry list'!$J500=5),'Entry list'!G500,"")</f>
        <v/>
      </c>
      <c r="H500" t="str">
        <f>IF(AND('Entry list'!$I500=5,'Entry list'!$J500=5),'Entry list'!H500,"")</f>
        <v/>
      </c>
      <c r="I500" t="str">
        <f>IF(AND('Entry list'!$I500=5,'Entry list'!$J500=5),'Entry list'!K500,"")</f>
        <v/>
      </c>
      <c r="J500" t="str">
        <f>IF(AND('Entry list'!$I500=5,'Entry list'!$J500=5),'Entry list'!L500,"")</f>
        <v/>
      </c>
      <c r="K500" t="str">
        <f>IF(AND('Entry list'!$I500=5,'Entry list'!$J500=5),'Entry list'!M500,"")</f>
        <v/>
      </c>
      <c r="L500" t="str">
        <f>IF(AND('Entry list'!$I500=5,'Entry list'!$J500=5),'Entry list'!N500,"")</f>
        <v/>
      </c>
      <c r="M500" t="str">
        <f t="shared" si="21"/>
        <v/>
      </c>
      <c r="N500" t="str">
        <f t="shared" si="22"/>
        <v/>
      </c>
      <c r="O500" t="str">
        <f t="shared" si="23"/>
        <v/>
      </c>
    </row>
    <row r="501" spans="1:15" x14ac:dyDescent="0.25">
      <c r="A501" t="str">
        <f>IF(AND('Entry list'!$I501=5,'Entry list'!$J501=5),'Entry list'!A501,"")</f>
        <v/>
      </c>
      <c r="B501" t="str">
        <f>IF(AND('Entry list'!$I501=5,'Entry list'!$J501=5),'Entry list'!B501,"")</f>
        <v/>
      </c>
      <c r="C501" t="str">
        <f>IF(AND('Entry list'!$I501=5,'Entry list'!$J501=5),'Entry list'!C501,"")</f>
        <v/>
      </c>
      <c r="D501" t="str">
        <f>IF(AND('Entry list'!$I501=5,'Entry list'!$J501=5),'Entry list'!D501,"")</f>
        <v/>
      </c>
      <c r="E501" t="str">
        <f>IF(AND('Entry list'!$I501=5,'Entry list'!$J501=5),'Entry list'!E501,"")</f>
        <v/>
      </c>
      <c r="F501" t="str">
        <f>IF(AND('Entry list'!$I501=5,'Entry list'!$J501=5),'Entry list'!F501,"")</f>
        <v/>
      </c>
      <c r="G501" t="str">
        <f>IF(AND('Entry list'!$I501=5,'Entry list'!$J501=5),'Entry list'!G501,"")</f>
        <v/>
      </c>
      <c r="H501" t="str">
        <f>IF(AND('Entry list'!$I501=5,'Entry list'!$J501=5),'Entry list'!H501,"")</f>
        <v/>
      </c>
      <c r="I501" t="str">
        <f>IF(AND('Entry list'!$I501=5,'Entry list'!$J501=5),'Entry list'!K501,"")</f>
        <v/>
      </c>
      <c r="J501" t="str">
        <f>IF(AND('Entry list'!$I501=5,'Entry list'!$J501=5),'Entry list'!L501,"")</f>
        <v/>
      </c>
      <c r="K501" t="str">
        <f>IF(AND('Entry list'!$I501=5,'Entry list'!$J501=5),'Entry list'!M501,"")</f>
        <v/>
      </c>
      <c r="L501" t="str">
        <f>IF(AND('Entry list'!$I501=5,'Entry list'!$J501=5),'Entry list'!N501,"")</f>
        <v/>
      </c>
      <c r="M501" t="str">
        <f t="shared" si="21"/>
        <v/>
      </c>
      <c r="N501" t="str">
        <f t="shared" si="22"/>
        <v/>
      </c>
      <c r="O501" t="str">
        <f t="shared" si="23"/>
        <v/>
      </c>
    </row>
    <row r="502" spans="1:15" x14ac:dyDescent="0.25">
      <c r="A502" t="str">
        <f>IF(AND('Entry list'!$I502=5,'Entry list'!$J502=5),'Entry list'!A502,"")</f>
        <v/>
      </c>
      <c r="B502" t="str">
        <f>IF(AND('Entry list'!$I502=5,'Entry list'!$J502=5),'Entry list'!B502,"")</f>
        <v/>
      </c>
      <c r="C502" t="str">
        <f>IF(AND('Entry list'!$I502=5,'Entry list'!$J502=5),'Entry list'!C502,"")</f>
        <v/>
      </c>
      <c r="D502" t="str">
        <f>IF(AND('Entry list'!$I502=5,'Entry list'!$J502=5),'Entry list'!D502,"")</f>
        <v/>
      </c>
      <c r="E502" t="str">
        <f>IF(AND('Entry list'!$I502=5,'Entry list'!$J502=5),'Entry list'!E502,"")</f>
        <v/>
      </c>
      <c r="F502" t="str">
        <f>IF(AND('Entry list'!$I502=5,'Entry list'!$J502=5),'Entry list'!F502,"")</f>
        <v/>
      </c>
      <c r="G502" t="str">
        <f>IF(AND('Entry list'!$I502=5,'Entry list'!$J502=5),'Entry list'!G502,"")</f>
        <v/>
      </c>
      <c r="H502" t="str">
        <f>IF(AND('Entry list'!$I502=5,'Entry list'!$J502=5),'Entry list'!H502,"")</f>
        <v/>
      </c>
      <c r="I502" t="str">
        <f>IF(AND('Entry list'!$I502=5,'Entry list'!$J502=5),'Entry list'!K502,"")</f>
        <v/>
      </c>
      <c r="J502" t="str">
        <f>IF(AND('Entry list'!$I502=5,'Entry list'!$J502=5),'Entry list'!L502,"")</f>
        <v/>
      </c>
      <c r="K502" t="str">
        <f>IF(AND('Entry list'!$I502=5,'Entry list'!$J502=5),'Entry list'!M502,"")</f>
        <v/>
      </c>
      <c r="L502" t="str">
        <f>IF(AND('Entry list'!$I502=5,'Entry list'!$J502=5),'Entry list'!N502,"")</f>
        <v/>
      </c>
      <c r="M502" t="str">
        <f t="shared" si="21"/>
        <v/>
      </c>
      <c r="N502" t="str">
        <f t="shared" si="22"/>
        <v/>
      </c>
      <c r="O502" t="str">
        <f t="shared" si="23"/>
        <v/>
      </c>
    </row>
    <row r="503" spans="1:15" x14ac:dyDescent="0.25">
      <c r="A503" t="str">
        <f>IF(AND('Entry list'!$I503=5,'Entry list'!$J503=5),'Entry list'!A503,"")</f>
        <v/>
      </c>
      <c r="B503" t="str">
        <f>IF(AND('Entry list'!$I503=5,'Entry list'!$J503=5),'Entry list'!B503,"")</f>
        <v/>
      </c>
      <c r="C503" t="str">
        <f>IF(AND('Entry list'!$I503=5,'Entry list'!$J503=5),'Entry list'!C503,"")</f>
        <v/>
      </c>
      <c r="D503" t="str">
        <f>IF(AND('Entry list'!$I503=5,'Entry list'!$J503=5),'Entry list'!D503,"")</f>
        <v/>
      </c>
      <c r="E503" t="str">
        <f>IF(AND('Entry list'!$I503=5,'Entry list'!$J503=5),'Entry list'!E503,"")</f>
        <v/>
      </c>
      <c r="F503" t="str">
        <f>IF(AND('Entry list'!$I503=5,'Entry list'!$J503=5),'Entry list'!F503,"")</f>
        <v/>
      </c>
      <c r="G503" t="str">
        <f>IF(AND('Entry list'!$I503=5,'Entry list'!$J503=5),'Entry list'!G503,"")</f>
        <v/>
      </c>
      <c r="H503" t="str">
        <f>IF(AND('Entry list'!$I503=5,'Entry list'!$J503=5),'Entry list'!H503,"")</f>
        <v/>
      </c>
      <c r="I503" t="str">
        <f>IF(AND('Entry list'!$I503=5,'Entry list'!$J503=5),'Entry list'!K503,"")</f>
        <v/>
      </c>
      <c r="J503" t="str">
        <f>IF(AND('Entry list'!$I503=5,'Entry list'!$J503=5),'Entry list'!L503,"")</f>
        <v/>
      </c>
      <c r="K503" t="str">
        <f>IF(AND('Entry list'!$I503=5,'Entry list'!$J503=5),'Entry list'!M503,"")</f>
        <v/>
      </c>
      <c r="L503" t="str">
        <f>IF(AND('Entry list'!$I503=5,'Entry list'!$J503=5),'Entry list'!N503,"")</f>
        <v/>
      </c>
      <c r="M503" t="str">
        <f t="shared" si="21"/>
        <v/>
      </c>
      <c r="N503" t="str">
        <f t="shared" si="22"/>
        <v/>
      </c>
      <c r="O503" t="str">
        <f t="shared" si="23"/>
        <v/>
      </c>
    </row>
    <row r="504" spans="1:15" x14ac:dyDescent="0.25">
      <c r="A504" t="str">
        <f>IF(AND('Entry list'!$I504=5,'Entry list'!$J504=5),'Entry list'!A504,"")</f>
        <v/>
      </c>
      <c r="B504" t="str">
        <f>IF(AND('Entry list'!$I504=5,'Entry list'!$J504=5),'Entry list'!B504,"")</f>
        <v/>
      </c>
      <c r="C504" t="str">
        <f>IF(AND('Entry list'!$I504=5,'Entry list'!$J504=5),'Entry list'!C504,"")</f>
        <v/>
      </c>
      <c r="D504" t="str">
        <f>IF(AND('Entry list'!$I504=5,'Entry list'!$J504=5),'Entry list'!D504,"")</f>
        <v/>
      </c>
      <c r="E504" t="str">
        <f>IF(AND('Entry list'!$I504=5,'Entry list'!$J504=5),'Entry list'!E504,"")</f>
        <v/>
      </c>
      <c r="F504" t="str">
        <f>IF(AND('Entry list'!$I504=5,'Entry list'!$J504=5),'Entry list'!F504,"")</f>
        <v/>
      </c>
      <c r="G504" t="str">
        <f>IF(AND('Entry list'!$I504=5,'Entry list'!$J504=5),'Entry list'!G504,"")</f>
        <v/>
      </c>
      <c r="H504" t="str">
        <f>IF(AND('Entry list'!$I504=5,'Entry list'!$J504=5),'Entry list'!H504,"")</f>
        <v/>
      </c>
      <c r="I504" t="str">
        <f>IF(AND('Entry list'!$I504=5,'Entry list'!$J504=5),'Entry list'!K504,"")</f>
        <v/>
      </c>
      <c r="J504" t="str">
        <f>IF(AND('Entry list'!$I504=5,'Entry list'!$J504=5),'Entry list'!L504,"")</f>
        <v/>
      </c>
      <c r="K504" t="str">
        <f>IF(AND('Entry list'!$I504=5,'Entry list'!$J504=5),'Entry list'!M504,"")</f>
        <v/>
      </c>
      <c r="L504" t="str">
        <f>IF(AND('Entry list'!$I504=5,'Entry list'!$J504=5),'Entry list'!N504,"")</f>
        <v/>
      </c>
      <c r="M504" t="str">
        <f t="shared" si="21"/>
        <v/>
      </c>
      <c r="N504" t="str">
        <f t="shared" si="22"/>
        <v/>
      </c>
      <c r="O504" t="str">
        <f t="shared" si="23"/>
        <v/>
      </c>
    </row>
    <row r="505" spans="1:15" x14ac:dyDescent="0.25">
      <c r="A505" t="str">
        <f>IF(AND('Entry list'!$I505=5,'Entry list'!$J505=5),'Entry list'!A505,"")</f>
        <v/>
      </c>
      <c r="B505" t="str">
        <f>IF(AND('Entry list'!$I505=5,'Entry list'!$J505=5),'Entry list'!B505,"")</f>
        <v/>
      </c>
      <c r="C505" t="str">
        <f>IF(AND('Entry list'!$I505=5,'Entry list'!$J505=5),'Entry list'!C505,"")</f>
        <v/>
      </c>
      <c r="D505" t="str">
        <f>IF(AND('Entry list'!$I505=5,'Entry list'!$J505=5),'Entry list'!D505,"")</f>
        <v/>
      </c>
      <c r="E505" t="str">
        <f>IF(AND('Entry list'!$I505=5,'Entry list'!$J505=5),'Entry list'!E505,"")</f>
        <v/>
      </c>
      <c r="F505" t="str">
        <f>IF(AND('Entry list'!$I505=5,'Entry list'!$J505=5),'Entry list'!F505,"")</f>
        <v/>
      </c>
      <c r="G505" t="str">
        <f>IF(AND('Entry list'!$I505=5,'Entry list'!$J505=5),'Entry list'!G505,"")</f>
        <v/>
      </c>
      <c r="H505" t="str">
        <f>IF(AND('Entry list'!$I505=5,'Entry list'!$J505=5),'Entry list'!H505,"")</f>
        <v/>
      </c>
      <c r="I505" t="str">
        <f>IF(AND('Entry list'!$I505=5,'Entry list'!$J505=5),'Entry list'!K505,"")</f>
        <v/>
      </c>
      <c r="J505" t="str">
        <f>IF(AND('Entry list'!$I505=5,'Entry list'!$J505=5),'Entry list'!L505,"")</f>
        <v/>
      </c>
      <c r="K505" t="str">
        <f>IF(AND('Entry list'!$I505=5,'Entry list'!$J505=5),'Entry list'!M505,"")</f>
        <v/>
      </c>
      <c r="L505" t="str">
        <f>IF(AND('Entry list'!$I505=5,'Entry list'!$J505=5),'Entry list'!N505,"")</f>
        <v/>
      </c>
      <c r="M505" t="str">
        <f t="shared" si="21"/>
        <v/>
      </c>
      <c r="N505" t="str">
        <f t="shared" si="22"/>
        <v/>
      </c>
      <c r="O505" t="str">
        <f t="shared" si="23"/>
        <v/>
      </c>
    </row>
    <row r="506" spans="1:15" x14ac:dyDescent="0.25">
      <c r="A506" t="str">
        <f>IF(AND('Entry list'!$I506=5,'Entry list'!$J506=5),'Entry list'!A506,"")</f>
        <v/>
      </c>
      <c r="B506" t="str">
        <f>IF(AND('Entry list'!$I506=5,'Entry list'!$J506=5),'Entry list'!B506,"")</f>
        <v/>
      </c>
      <c r="C506" t="str">
        <f>IF(AND('Entry list'!$I506=5,'Entry list'!$J506=5),'Entry list'!C506,"")</f>
        <v/>
      </c>
      <c r="D506" t="str">
        <f>IF(AND('Entry list'!$I506=5,'Entry list'!$J506=5),'Entry list'!D506,"")</f>
        <v/>
      </c>
      <c r="E506" t="str">
        <f>IF(AND('Entry list'!$I506=5,'Entry list'!$J506=5),'Entry list'!E506,"")</f>
        <v/>
      </c>
      <c r="F506" t="str">
        <f>IF(AND('Entry list'!$I506=5,'Entry list'!$J506=5),'Entry list'!F506,"")</f>
        <v/>
      </c>
      <c r="G506" t="str">
        <f>IF(AND('Entry list'!$I506=5,'Entry list'!$J506=5),'Entry list'!G506,"")</f>
        <v/>
      </c>
      <c r="H506" t="str">
        <f>IF(AND('Entry list'!$I506=5,'Entry list'!$J506=5),'Entry list'!H506,"")</f>
        <v/>
      </c>
      <c r="I506" t="str">
        <f>IF(AND('Entry list'!$I506=5,'Entry list'!$J506=5),'Entry list'!K506,"")</f>
        <v/>
      </c>
      <c r="J506" t="str">
        <f>IF(AND('Entry list'!$I506=5,'Entry list'!$J506=5),'Entry list'!L506,"")</f>
        <v/>
      </c>
      <c r="K506" t="str">
        <f>IF(AND('Entry list'!$I506=5,'Entry list'!$J506=5),'Entry list'!M506,"")</f>
        <v/>
      </c>
      <c r="L506" t="str">
        <f>IF(AND('Entry list'!$I506=5,'Entry list'!$J506=5),'Entry list'!N506,"")</f>
        <v/>
      </c>
      <c r="M506" t="str">
        <f t="shared" si="21"/>
        <v/>
      </c>
      <c r="N506" t="str">
        <f t="shared" si="22"/>
        <v/>
      </c>
      <c r="O506" t="str">
        <f t="shared" si="23"/>
        <v/>
      </c>
    </row>
    <row r="507" spans="1:15" x14ac:dyDescent="0.25">
      <c r="A507" t="str">
        <f>IF(AND('Entry list'!$I507=5,'Entry list'!$J507=5),'Entry list'!A507,"")</f>
        <v/>
      </c>
      <c r="B507" t="str">
        <f>IF(AND('Entry list'!$I507=5,'Entry list'!$J507=5),'Entry list'!B507,"")</f>
        <v/>
      </c>
      <c r="C507" t="str">
        <f>IF(AND('Entry list'!$I507=5,'Entry list'!$J507=5),'Entry list'!C507,"")</f>
        <v/>
      </c>
      <c r="D507" t="str">
        <f>IF(AND('Entry list'!$I507=5,'Entry list'!$J507=5),'Entry list'!D507,"")</f>
        <v/>
      </c>
      <c r="E507" t="str">
        <f>IF(AND('Entry list'!$I507=5,'Entry list'!$J507=5),'Entry list'!E507,"")</f>
        <v/>
      </c>
      <c r="F507" t="str">
        <f>IF(AND('Entry list'!$I507=5,'Entry list'!$J507=5),'Entry list'!F507,"")</f>
        <v/>
      </c>
      <c r="G507" t="str">
        <f>IF(AND('Entry list'!$I507=5,'Entry list'!$J507=5),'Entry list'!G507,"")</f>
        <v/>
      </c>
      <c r="H507" t="str">
        <f>IF(AND('Entry list'!$I507=5,'Entry list'!$J507=5),'Entry list'!H507,"")</f>
        <v/>
      </c>
      <c r="I507" t="str">
        <f>IF(AND('Entry list'!$I507=5,'Entry list'!$J507=5),'Entry list'!K507,"")</f>
        <v/>
      </c>
      <c r="J507" t="str">
        <f>IF(AND('Entry list'!$I507=5,'Entry list'!$J507=5),'Entry list'!L507,"")</f>
        <v/>
      </c>
      <c r="K507" t="str">
        <f>IF(AND('Entry list'!$I507=5,'Entry list'!$J507=5),'Entry list'!M507,"")</f>
        <v/>
      </c>
      <c r="L507" t="str">
        <f>IF(AND('Entry list'!$I507=5,'Entry list'!$J507=5),'Entry list'!N507,"")</f>
        <v/>
      </c>
      <c r="M507" t="str">
        <f t="shared" si="21"/>
        <v/>
      </c>
      <c r="N507" t="str">
        <f t="shared" si="22"/>
        <v/>
      </c>
      <c r="O507" t="str">
        <f t="shared" si="23"/>
        <v/>
      </c>
    </row>
    <row r="508" spans="1:15" x14ac:dyDescent="0.25">
      <c r="A508" t="str">
        <f>IF(AND('Entry list'!$I508=5,'Entry list'!$J508=5),'Entry list'!A508,"")</f>
        <v/>
      </c>
      <c r="B508" t="str">
        <f>IF(AND('Entry list'!$I508=5,'Entry list'!$J508=5),'Entry list'!B508,"")</f>
        <v/>
      </c>
      <c r="C508" t="str">
        <f>IF(AND('Entry list'!$I508=5,'Entry list'!$J508=5),'Entry list'!C508,"")</f>
        <v/>
      </c>
      <c r="D508" t="str">
        <f>IF(AND('Entry list'!$I508=5,'Entry list'!$J508=5),'Entry list'!D508,"")</f>
        <v/>
      </c>
      <c r="E508" t="str">
        <f>IF(AND('Entry list'!$I508=5,'Entry list'!$J508=5),'Entry list'!E508,"")</f>
        <v/>
      </c>
      <c r="F508" t="str">
        <f>IF(AND('Entry list'!$I508=5,'Entry list'!$J508=5),'Entry list'!F508,"")</f>
        <v/>
      </c>
      <c r="G508" t="str">
        <f>IF(AND('Entry list'!$I508=5,'Entry list'!$J508=5),'Entry list'!G508,"")</f>
        <v/>
      </c>
      <c r="H508" t="str">
        <f>IF(AND('Entry list'!$I508=5,'Entry list'!$J508=5),'Entry list'!H508,"")</f>
        <v/>
      </c>
      <c r="I508" t="str">
        <f>IF(AND('Entry list'!$I508=5,'Entry list'!$J508=5),'Entry list'!K508,"")</f>
        <v/>
      </c>
      <c r="J508" t="str">
        <f>IF(AND('Entry list'!$I508=5,'Entry list'!$J508=5),'Entry list'!L508,"")</f>
        <v/>
      </c>
      <c r="K508" t="str">
        <f>IF(AND('Entry list'!$I508=5,'Entry list'!$J508=5),'Entry list'!M508,"")</f>
        <v/>
      </c>
      <c r="L508" t="str">
        <f>IF(AND('Entry list'!$I508=5,'Entry list'!$J508=5),'Entry list'!N508,"")</f>
        <v/>
      </c>
      <c r="M508" t="str">
        <f t="shared" si="21"/>
        <v/>
      </c>
      <c r="N508" t="str">
        <f t="shared" si="22"/>
        <v/>
      </c>
      <c r="O508" t="str">
        <f t="shared" si="23"/>
        <v/>
      </c>
    </row>
    <row r="509" spans="1:15" x14ac:dyDescent="0.25">
      <c r="A509" t="str">
        <f>IF(AND('Entry list'!$I509=5,'Entry list'!$J509=5),'Entry list'!A509,"")</f>
        <v/>
      </c>
      <c r="B509" t="str">
        <f>IF(AND('Entry list'!$I509=5,'Entry list'!$J509=5),'Entry list'!B509,"")</f>
        <v/>
      </c>
      <c r="C509" t="str">
        <f>IF(AND('Entry list'!$I509=5,'Entry list'!$J509=5),'Entry list'!C509,"")</f>
        <v/>
      </c>
      <c r="D509" t="str">
        <f>IF(AND('Entry list'!$I509=5,'Entry list'!$J509=5),'Entry list'!D509,"")</f>
        <v/>
      </c>
      <c r="E509" t="str">
        <f>IF(AND('Entry list'!$I509=5,'Entry list'!$J509=5),'Entry list'!E509,"")</f>
        <v/>
      </c>
      <c r="F509" t="str">
        <f>IF(AND('Entry list'!$I509=5,'Entry list'!$J509=5),'Entry list'!F509,"")</f>
        <v/>
      </c>
      <c r="G509" t="str">
        <f>IF(AND('Entry list'!$I509=5,'Entry list'!$J509=5),'Entry list'!G509,"")</f>
        <v/>
      </c>
      <c r="H509" t="str">
        <f>IF(AND('Entry list'!$I509=5,'Entry list'!$J509=5),'Entry list'!H509,"")</f>
        <v/>
      </c>
      <c r="I509" t="str">
        <f>IF(AND('Entry list'!$I509=5,'Entry list'!$J509=5),'Entry list'!K509,"")</f>
        <v/>
      </c>
      <c r="J509" t="str">
        <f>IF(AND('Entry list'!$I509=5,'Entry list'!$J509=5),'Entry list'!L509,"")</f>
        <v/>
      </c>
      <c r="K509" t="str">
        <f>IF(AND('Entry list'!$I509=5,'Entry list'!$J509=5),'Entry list'!M509,"")</f>
        <v/>
      </c>
      <c r="L509" t="str">
        <f>IF(AND('Entry list'!$I509=5,'Entry list'!$J509=5),'Entry list'!N509,"")</f>
        <v/>
      </c>
      <c r="M509" t="str">
        <f t="shared" si="21"/>
        <v/>
      </c>
      <c r="N509" t="str">
        <f t="shared" si="22"/>
        <v/>
      </c>
      <c r="O509" t="str">
        <f t="shared" si="23"/>
        <v/>
      </c>
    </row>
    <row r="510" spans="1:15" x14ac:dyDescent="0.25">
      <c r="A510" t="str">
        <f>IF(AND('Entry list'!$I510=5,'Entry list'!$J510=5),'Entry list'!A510,"")</f>
        <v/>
      </c>
      <c r="B510" t="str">
        <f>IF(AND('Entry list'!$I510=5,'Entry list'!$J510=5),'Entry list'!B510,"")</f>
        <v/>
      </c>
      <c r="C510" t="str">
        <f>IF(AND('Entry list'!$I510=5,'Entry list'!$J510=5),'Entry list'!C510,"")</f>
        <v/>
      </c>
      <c r="D510" t="str">
        <f>IF(AND('Entry list'!$I510=5,'Entry list'!$J510=5),'Entry list'!D510,"")</f>
        <v/>
      </c>
      <c r="E510" t="str">
        <f>IF(AND('Entry list'!$I510=5,'Entry list'!$J510=5),'Entry list'!E510,"")</f>
        <v/>
      </c>
      <c r="F510" t="str">
        <f>IF(AND('Entry list'!$I510=5,'Entry list'!$J510=5),'Entry list'!F510,"")</f>
        <v/>
      </c>
      <c r="G510" t="str">
        <f>IF(AND('Entry list'!$I510=5,'Entry list'!$J510=5),'Entry list'!G510,"")</f>
        <v/>
      </c>
      <c r="H510" t="str">
        <f>IF(AND('Entry list'!$I510=5,'Entry list'!$J510=5),'Entry list'!H510,"")</f>
        <v/>
      </c>
      <c r="I510" t="str">
        <f>IF(AND('Entry list'!$I510=5,'Entry list'!$J510=5),'Entry list'!K510,"")</f>
        <v/>
      </c>
      <c r="J510" t="str">
        <f>IF(AND('Entry list'!$I510=5,'Entry list'!$J510=5),'Entry list'!L510,"")</f>
        <v/>
      </c>
      <c r="K510" t="str">
        <f>IF(AND('Entry list'!$I510=5,'Entry list'!$J510=5),'Entry list'!M510,"")</f>
        <v/>
      </c>
      <c r="L510" t="str">
        <f>IF(AND('Entry list'!$I510=5,'Entry list'!$J510=5),'Entry list'!N510,"")</f>
        <v/>
      </c>
      <c r="M510" t="str">
        <f t="shared" si="21"/>
        <v/>
      </c>
      <c r="N510" t="str">
        <f t="shared" si="22"/>
        <v/>
      </c>
      <c r="O510" t="str">
        <f t="shared" si="23"/>
        <v/>
      </c>
    </row>
    <row r="511" spans="1:15" x14ac:dyDescent="0.25">
      <c r="A511" t="str">
        <f>IF(AND('Entry list'!$I511=5,'Entry list'!$J511=5),'Entry list'!A511,"")</f>
        <v/>
      </c>
      <c r="B511" t="str">
        <f>IF(AND('Entry list'!$I511=5,'Entry list'!$J511=5),'Entry list'!B511,"")</f>
        <v/>
      </c>
      <c r="C511" t="str">
        <f>IF(AND('Entry list'!$I511=5,'Entry list'!$J511=5),'Entry list'!C511,"")</f>
        <v/>
      </c>
      <c r="D511" t="str">
        <f>IF(AND('Entry list'!$I511=5,'Entry list'!$J511=5),'Entry list'!D511,"")</f>
        <v/>
      </c>
      <c r="E511" t="str">
        <f>IF(AND('Entry list'!$I511=5,'Entry list'!$J511=5),'Entry list'!E511,"")</f>
        <v/>
      </c>
      <c r="F511" t="str">
        <f>IF(AND('Entry list'!$I511=5,'Entry list'!$J511=5),'Entry list'!F511,"")</f>
        <v/>
      </c>
      <c r="G511" t="str">
        <f>IF(AND('Entry list'!$I511=5,'Entry list'!$J511=5),'Entry list'!G511,"")</f>
        <v/>
      </c>
      <c r="H511" t="str">
        <f>IF(AND('Entry list'!$I511=5,'Entry list'!$J511=5),'Entry list'!H511,"")</f>
        <v/>
      </c>
      <c r="I511" t="str">
        <f>IF(AND('Entry list'!$I511=5,'Entry list'!$J511=5),'Entry list'!K511,"")</f>
        <v/>
      </c>
      <c r="J511" t="str">
        <f>IF(AND('Entry list'!$I511=5,'Entry list'!$J511=5),'Entry list'!L511,"")</f>
        <v/>
      </c>
      <c r="K511" t="str">
        <f>IF(AND('Entry list'!$I511=5,'Entry list'!$J511=5),'Entry list'!M511,"")</f>
        <v/>
      </c>
      <c r="L511" t="str">
        <f>IF(AND('Entry list'!$I511=5,'Entry list'!$J511=5),'Entry list'!N511,"")</f>
        <v/>
      </c>
      <c r="M511" t="str">
        <f t="shared" si="21"/>
        <v/>
      </c>
      <c r="N511" t="str">
        <f t="shared" si="22"/>
        <v/>
      </c>
      <c r="O511" t="str">
        <f t="shared" si="23"/>
        <v/>
      </c>
    </row>
    <row r="512" spans="1:15" x14ac:dyDescent="0.25">
      <c r="A512" t="str">
        <f>IF(AND('Entry list'!$I512=5,'Entry list'!$J512=5),'Entry list'!A512,"")</f>
        <v/>
      </c>
      <c r="B512" t="str">
        <f>IF(AND('Entry list'!$I512=5,'Entry list'!$J512=5),'Entry list'!B512,"")</f>
        <v/>
      </c>
      <c r="C512" t="str">
        <f>IF(AND('Entry list'!$I512=5,'Entry list'!$J512=5),'Entry list'!C512,"")</f>
        <v/>
      </c>
      <c r="D512" t="str">
        <f>IF(AND('Entry list'!$I512=5,'Entry list'!$J512=5),'Entry list'!D512,"")</f>
        <v/>
      </c>
      <c r="E512" t="str">
        <f>IF(AND('Entry list'!$I512=5,'Entry list'!$J512=5),'Entry list'!E512,"")</f>
        <v/>
      </c>
      <c r="F512" t="str">
        <f>IF(AND('Entry list'!$I512=5,'Entry list'!$J512=5),'Entry list'!F512,"")</f>
        <v/>
      </c>
      <c r="G512" t="str">
        <f>IF(AND('Entry list'!$I512=5,'Entry list'!$J512=5),'Entry list'!G512,"")</f>
        <v/>
      </c>
      <c r="H512" t="str">
        <f>IF(AND('Entry list'!$I512=5,'Entry list'!$J512=5),'Entry list'!H512,"")</f>
        <v/>
      </c>
      <c r="I512" t="str">
        <f>IF(AND('Entry list'!$I512=5,'Entry list'!$J512=5),'Entry list'!K512,"")</f>
        <v/>
      </c>
      <c r="J512" t="str">
        <f>IF(AND('Entry list'!$I512=5,'Entry list'!$J512=5),'Entry list'!L512,"")</f>
        <v/>
      </c>
      <c r="K512" t="str">
        <f>IF(AND('Entry list'!$I512=5,'Entry list'!$J512=5),'Entry list'!M512,"")</f>
        <v/>
      </c>
      <c r="L512" t="str">
        <f>IF(AND('Entry list'!$I512=5,'Entry list'!$J512=5),'Entry list'!N512,"")</f>
        <v/>
      </c>
      <c r="M512" t="str">
        <f t="shared" si="21"/>
        <v/>
      </c>
      <c r="N512" t="str">
        <f t="shared" si="22"/>
        <v/>
      </c>
      <c r="O512" t="str">
        <f t="shared" si="23"/>
        <v/>
      </c>
    </row>
    <row r="513" spans="1:15" x14ac:dyDescent="0.25">
      <c r="A513" t="str">
        <f>IF(AND('Entry list'!$I513=5,'Entry list'!$J513=5),'Entry list'!A513,"")</f>
        <v/>
      </c>
      <c r="B513" t="str">
        <f>IF(AND('Entry list'!$I513=5,'Entry list'!$J513=5),'Entry list'!B513,"")</f>
        <v/>
      </c>
      <c r="C513" t="str">
        <f>IF(AND('Entry list'!$I513=5,'Entry list'!$J513=5),'Entry list'!C513,"")</f>
        <v/>
      </c>
      <c r="D513" t="str">
        <f>IF(AND('Entry list'!$I513=5,'Entry list'!$J513=5),'Entry list'!D513,"")</f>
        <v/>
      </c>
      <c r="E513" t="str">
        <f>IF(AND('Entry list'!$I513=5,'Entry list'!$J513=5),'Entry list'!E513,"")</f>
        <v/>
      </c>
      <c r="F513" t="str">
        <f>IF(AND('Entry list'!$I513=5,'Entry list'!$J513=5),'Entry list'!F513,"")</f>
        <v/>
      </c>
      <c r="G513" t="str">
        <f>IF(AND('Entry list'!$I513=5,'Entry list'!$J513=5),'Entry list'!G513,"")</f>
        <v/>
      </c>
      <c r="H513" t="str">
        <f>IF(AND('Entry list'!$I513=5,'Entry list'!$J513=5),'Entry list'!H513,"")</f>
        <v/>
      </c>
      <c r="I513" t="str">
        <f>IF(AND('Entry list'!$I513=5,'Entry list'!$J513=5),'Entry list'!K513,"")</f>
        <v/>
      </c>
      <c r="J513" t="str">
        <f>IF(AND('Entry list'!$I513=5,'Entry list'!$J513=5),'Entry list'!L513,"")</f>
        <v/>
      </c>
      <c r="K513" t="str">
        <f>IF(AND('Entry list'!$I513=5,'Entry list'!$J513=5),'Entry list'!M513,"")</f>
        <v/>
      </c>
      <c r="L513" t="str">
        <f>IF(AND('Entry list'!$I513=5,'Entry list'!$J513=5),'Entry list'!N513,"")</f>
        <v/>
      </c>
      <c r="M513" t="str">
        <f t="shared" si="21"/>
        <v/>
      </c>
      <c r="N513" t="str">
        <f t="shared" si="22"/>
        <v/>
      </c>
      <c r="O513" t="str">
        <f t="shared" si="23"/>
        <v/>
      </c>
    </row>
    <row r="514" spans="1:15" x14ac:dyDescent="0.25">
      <c r="A514" t="str">
        <f>IF(AND('Entry list'!$I514=5,'Entry list'!$J514=5),'Entry list'!A514,"")</f>
        <v/>
      </c>
      <c r="B514" t="str">
        <f>IF(AND('Entry list'!$I514=5,'Entry list'!$J514=5),'Entry list'!B514,"")</f>
        <v/>
      </c>
      <c r="C514" t="str">
        <f>IF(AND('Entry list'!$I514=5,'Entry list'!$J514=5),'Entry list'!C514,"")</f>
        <v/>
      </c>
      <c r="D514" t="str">
        <f>IF(AND('Entry list'!$I514=5,'Entry list'!$J514=5),'Entry list'!D514,"")</f>
        <v/>
      </c>
      <c r="E514" t="str">
        <f>IF(AND('Entry list'!$I514=5,'Entry list'!$J514=5),'Entry list'!E514,"")</f>
        <v/>
      </c>
      <c r="F514" t="str">
        <f>IF(AND('Entry list'!$I514=5,'Entry list'!$J514=5),'Entry list'!F514,"")</f>
        <v/>
      </c>
      <c r="G514" t="str">
        <f>IF(AND('Entry list'!$I514=5,'Entry list'!$J514=5),'Entry list'!G514,"")</f>
        <v/>
      </c>
      <c r="H514" t="str">
        <f>IF(AND('Entry list'!$I514=5,'Entry list'!$J514=5),'Entry list'!H514,"")</f>
        <v/>
      </c>
      <c r="I514" t="str">
        <f>IF(AND('Entry list'!$I514=5,'Entry list'!$J514=5),'Entry list'!K514,"")</f>
        <v/>
      </c>
      <c r="J514" t="str">
        <f>IF(AND('Entry list'!$I514=5,'Entry list'!$J514=5),'Entry list'!L514,"")</f>
        <v/>
      </c>
      <c r="K514" t="str">
        <f>IF(AND('Entry list'!$I514=5,'Entry list'!$J514=5),'Entry list'!M514,"")</f>
        <v/>
      </c>
      <c r="L514" t="str">
        <f>IF(AND('Entry list'!$I514=5,'Entry list'!$J514=5),'Entry list'!N514,"")</f>
        <v/>
      </c>
      <c r="M514" t="str">
        <f t="shared" si="21"/>
        <v/>
      </c>
      <c r="N514" t="str">
        <f t="shared" si="22"/>
        <v/>
      </c>
      <c r="O514" t="str">
        <f t="shared" si="23"/>
        <v/>
      </c>
    </row>
    <row r="515" spans="1:15" x14ac:dyDescent="0.25">
      <c r="A515" t="str">
        <f>IF(AND('Entry list'!$I515=5,'Entry list'!$J515=5),'Entry list'!A515,"")</f>
        <v/>
      </c>
      <c r="B515" t="str">
        <f>IF(AND('Entry list'!$I515=5,'Entry list'!$J515=5),'Entry list'!B515,"")</f>
        <v/>
      </c>
      <c r="C515" t="str">
        <f>IF(AND('Entry list'!$I515=5,'Entry list'!$J515=5),'Entry list'!C515,"")</f>
        <v/>
      </c>
      <c r="D515" t="str">
        <f>IF(AND('Entry list'!$I515=5,'Entry list'!$J515=5),'Entry list'!D515,"")</f>
        <v/>
      </c>
      <c r="E515" t="str">
        <f>IF(AND('Entry list'!$I515=5,'Entry list'!$J515=5),'Entry list'!E515,"")</f>
        <v/>
      </c>
      <c r="F515" t="str">
        <f>IF(AND('Entry list'!$I515=5,'Entry list'!$J515=5),'Entry list'!F515,"")</f>
        <v/>
      </c>
      <c r="G515" t="str">
        <f>IF(AND('Entry list'!$I515=5,'Entry list'!$J515=5),'Entry list'!G515,"")</f>
        <v/>
      </c>
      <c r="H515" t="str">
        <f>IF(AND('Entry list'!$I515=5,'Entry list'!$J515=5),'Entry list'!H515,"")</f>
        <v/>
      </c>
      <c r="I515" t="str">
        <f>IF(AND('Entry list'!$I515=5,'Entry list'!$J515=5),'Entry list'!K515,"")</f>
        <v/>
      </c>
      <c r="J515" t="str">
        <f>IF(AND('Entry list'!$I515=5,'Entry list'!$J515=5),'Entry list'!L515,"")</f>
        <v/>
      </c>
      <c r="K515" t="str">
        <f>IF(AND('Entry list'!$I515=5,'Entry list'!$J515=5),'Entry list'!M515,"")</f>
        <v/>
      </c>
      <c r="L515" t="str">
        <f>IF(AND('Entry list'!$I515=5,'Entry list'!$J515=5),'Entry list'!N515,"")</f>
        <v/>
      </c>
      <c r="M515" t="str">
        <f t="shared" ref="M515:M578" si="24">IF(EXACT(D515,""),"",IF(EXACT(LEFT(D515,3),"WSH"),1,0))</f>
        <v/>
      </c>
      <c r="N515" t="str">
        <f t="shared" ref="N515:N578" si="25">IF(EXACT(I515,""),"",IF(EXACT(LEFT(I515,3),"WSH"),1,0))</f>
        <v/>
      </c>
      <c r="O515" t="str">
        <f t="shared" ref="O515:O578" si="26">IF(EXACT(L515,""),"",IF(EXACT(LEFT(L515,3),"WSH"),1,0))</f>
        <v/>
      </c>
    </row>
    <row r="516" spans="1:15" x14ac:dyDescent="0.25">
      <c r="A516" t="str">
        <f>IF(AND('Entry list'!$I516=5,'Entry list'!$J516=5),'Entry list'!A516,"")</f>
        <v/>
      </c>
      <c r="B516" t="str">
        <f>IF(AND('Entry list'!$I516=5,'Entry list'!$J516=5),'Entry list'!B516,"")</f>
        <v/>
      </c>
      <c r="C516" t="str">
        <f>IF(AND('Entry list'!$I516=5,'Entry list'!$J516=5),'Entry list'!C516,"")</f>
        <v/>
      </c>
      <c r="D516" t="str">
        <f>IF(AND('Entry list'!$I516=5,'Entry list'!$J516=5),'Entry list'!D516,"")</f>
        <v/>
      </c>
      <c r="E516" t="str">
        <f>IF(AND('Entry list'!$I516=5,'Entry list'!$J516=5),'Entry list'!E516,"")</f>
        <v/>
      </c>
      <c r="F516" t="str">
        <f>IF(AND('Entry list'!$I516=5,'Entry list'!$J516=5),'Entry list'!F516,"")</f>
        <v/>
      </c>
      <c r="G516" t="str">
        <f>IF(AND('Entry list'!$I516=5,'Entry list'!$J516=5),'Entry list'!G516,"")</f>
        <v/>
      </c>
      <c r="H516" t="str">
        <f>IF(AND('Entry list'!$I516=5,'Entry list'!$J516=5),'Entry list'!H516,"")</f>
        <v/>
      </c>
      <c r="I516" t="str">
        <f>IF(AND('Entry list'!$I516=5,'Entry list'!$J516=5),'Entry list'!K516,"")</f>
        <v/>
      </c>
      <c r="J516" t="str">
        <f>IF(AND('Entry list'!$I516=5,'Entry list'!$J516=5),'Entry list'!L516,"")</f>
        <v/>
      </c>
      <c r="K516" t="str">
        <f>IF(AND('Entry list'!$I516=5,'Entry list'!$J516=5),'Entry list'!M516,"")</f>
        <v/>
      </c>
      <c r="L516" t="str">
        <f>IF(AND('Entry list'!$I516=5,'Entry list'!$J516=5),'Entry list'!N516,"")</f>
        <v/>
      </c>
      <c r="M516" t="str">
        <f t="shared" si="24"/>
        <v/>
      </c>
      <c r="N516" t="str">
        <f t="shared" si="25"/>
        <v/>
      </c>
      <c r="O516" t="str">
        <f t="shared" si="26"/>
        <v/>
      </c>
    </row>
    <row r="517" spans="1:15" x14ac:dyDescent="0.25">
      <c r="A517" t="str">
        <f>IF(AND('Entry list'!$I517=5,'Entry list'!$J517=5),'Entry list'!A517,"")</f>
        <v/>
      </c>
      <c r="B517" t="str">
        <f>IF(AND('Entry list'!$I517=5,'Entry list'!$J517=5),'Entry list'!B517,"")</f>
        <v/>
      </c>
      <c r="C517" t="str">
        <f>IF(AND('Entry list'!$I517=5,'Entry list'!$J517=5),'Entry list'!C517,"")</f>
        <v/>
      </c>
      <c r="D517" t="str">
        <f>IF(AND('Entry list'!$I517=5,'Entry list'!$J517=5),'Entry list'!D517,"")</f>
        <v/>
      </c>
      <c r="E517" t="str">
        <f>IF(AND('Entry list'!$I517=5,'Entry list'!$J517=5),'Entry list'!E517,"")</f>
        <v/>
      </c>
      <c r="F517" t="str">
        <f>IF(AND('Entry list'!$I517=5,'Entry list'!$J517=5),'Entry list'!F517,"")</f>
        <v/>
      </c>
      <c r="G517" t="str">
        <f>IF(AND('Entry list'!$I517=5,'Entry list'!$J517=5),'Entry list'!G517,"")</f>
        <v/>
      </c>
      <c r="H517" t="str">
        <f>IF(AND('Entry list'!$I517=5,'Entry list'!$J517=5),'Entry list'!H517,"")</f>
        <v/>
      </c>
      <c r="I517" t="str">
        <f>IF(AND('Entry list'!$I517=5,'Entry list'!$J517=5),'Entry list'!K517,"")</f>
        <v/>
      </c>
      <c r="J517" t="str">
        <f>IF(AND('Entry list'!$I517=5,'Entry list'!$J517=5),'Entry list'!L517,"")</f>
        <v/>
      </c>
      <c r="K517" t="str">
        <f>IF(AND('Entry list'!$I517=5,'Entry list'!$J517=5),'Entry list'!M517,"")</f>
        <v/>
      </c>
      <c r="L517" t="str">
        <f>IF(AND('Entry list'!$I517=5,'Entry list'!$J517=5),'Entry list'!N517,"")</f>
        <v/>
      </c>
      <c r="M517" t="str">
        <f t="shared" si="24"/>
        <v/>
      </c>
      <c r="N517" t="str">
        <f t="shared" si="25"/>
        <v/>
      </c>
      <c r="O517" t="str">
        <f t="shared" si="26"/>
        <v/>
      </c>
    </row>
    <row r="518" spans="1:15" x14ac:dyDescent="0.25">
      <c r="A518" t="str">
        <f>IF(AND('Entry list'!$I518=5,'Entry list'!$J518=5),'Entry list'!A518,"")</f>
        <v/>
      </c>
      <c r="B518" t="str">
        <f>IF(AND('Entry list'!$I518=5,'Entry list'!$J518=5),'Entry list'!B518,"")</f>
        <v/>
      </c>
      <c r="C518" t="str">
        <f>IF(AND('Entry list'!$I518=5,'Entry list'!$J518=5),'Entry list'!C518,"")</f>
        <v/>
      </c>
      <c r="D518" t="str">
        <f>IF(AND('Entry list'!$I518=5,'Entry list'!$J518=5),'Entry list'!D518,"")</f>
        <v/>
      </c>
      <c r="E518" t="str">
        <f>IF(AND('Entry list'!$I518=5,'Entry list'!$J518=5),'Entry list'!E518,"")</f>
        <v/>
      </c>
      <c r="F518" t="str">
        <f>IF(AND('Entry list'!$I518=5,'Entry list'!$J518=5),'Entry list'!F518,"")</f>
        <v/>
      </c>
      <c r="G518" t="str">
        <f>IF(AND('Entry list'!$I518=5,'Entry list'!$J518=5),'Entry list'!G518,"")</f>
        <v/>
      </c>
      <c r="H518" t="str">
        <f>IF(AND('Entry list'!$I518=5,'Entry list'!$J518=5),'Entry list'!H518,"")</f>
        <v/>
      </c>
      <c r="I518" t="str">
        <f>IF(AND('Entry list'!$I518=5,'Entry list'!$J518=5),'Entry list'!K518,"")</f>
        <v/>
      </c>
      <c r="J518" t="str">
        <f>IF(AND('Entry list'!$I518=5,'Entry list'!$J518=5),'Entry list'!L518,"")</f>
        <v/>
      </c>
      <c r="K518" t="str">
        <f>IF(AND('Entry list'!$I518=5,'Entry list'!$J518=5),'Entry list'!M518,"")</f>
        <v/>
      </c>
      <c r="L518" t="str">
        <f>IF(AND('Entry list'!$I518=5,'Entry list'!$J518=5),'Entry list'!N518,"")</f>
        <v/>
      </c>
      <c r="M518" t="str">
        <f t="shared" si="24"/>
        <v/>
      </c>
      <c r="N518" t="str">
        <f t="shared" si="25"/>
        <v/>
      </c>
      <c r="O518" t="str">
        <f t="shared" si="26"/>
        <v/>
      </c>
    </row>
    <row r="519" spans="1:15" x14ac:dyDescent="0.25">
      <c r="A519" t="str">
        <f>IF(AND('Entry list'!$I519=5,'Entry list'!$J519=5),'Entry list'!A519,"")</f>
        <v/>
      </c>
      <c r="B519" t="str">
        <f>IF(AND('Entry list'!$I519=5,'Entry list'!$J519=5),'Entry list'!B519,"")</f>
        <v/>
      </c>
      <c r="C519" t="str">
        <f>IF(AND('Entry list'!$I519=5,'Entry list'!$J519=5),'Entry list'!C519,"")</f>
        <v/>
      </c>
      <c r="D519" t="str">
        <f>IF(AND('Entry list'!$I519=5,'Entry list'!$J519=5),'Entry list'!D519,"")</f>
        <v/>
      </c>
      <c r="E519" t="str">
        <f>IF(AND('Entry list'!$I519=5,'Entry list'!$J519=5),'Entry list'!E519,"")</f>
        <v/>
      </c>
      <c r="F519" t="str">
        <f>IF(AND('Entry list'!$I519=5,'Entry list'!$J519=5),'Entry list'!F519,"")</f>
        <v/>
      </c>
      <c r="G519" t="str">
        <f>IF(AND('Entry list'!$I519=5,'Entry list'!$J519=5),'Entry list'!G519,"")</f>
        <v/>
      </c>
      <c r="H519" t="str">
        <f>IF(AND('Entry list'!$I519=5,'Entry list'!$J519=5),'Entry list'!H519,"")</f>
        <v/>
      </c>
      <c r="I519" t="str">
        <f>IF(AND('Entry list'!$I519=5,'Entry list'!$J519=5),'Entry list'!K519,"")</f>
        <v/>
      </c>
      <c r="J519" t="str">
        <f>IF(AND('Entry list'!$I519=5,'Entry list'!$J519=5),'Entry list'!L519,"")</f>
        <v/>
      </c>
      <c r="K519" t="str">
        <f>IF(AND('Entry list'!$I519=5,'Entry list'!$J519=5),'Entry list'!M519,"")</f>
        <v/>
      </c>
      <c r="L519" t="str">
        <f>IF(AND('Entry list'!$I519=5,'Entry list'!$J519=5),'Entry list'!N519,"")</f>
        <v/>
      </c>
      <c r="M519" t="str">
        <f t="shared" si="24"/>
        <v/>
      </c>
      <c r="N519" t="str">
        <f t="shared" si="25"/>
        <v/>
      </c>
      <c r="O519" t="str">
        <f t="shared" si="26"/>
        <v/>
      </c>
    </row>
    <row r="520" spans="1:15" x14ac:dyDescent="0.25">
      <c r="A520" t="str">
        <f>IF(AND('Entry list'!$I520=5,'Entry list'!$J520=5),'Entry list'!A520,"")</f>
        <v/>
      </c>
      <c r="B520" t="str">
        <f>IF(AND('Entry list'!$I520=5,'Entry list'!$J520=5),'Entry list'!B520,"")</f>
        <v/>
      </c>
      <c r="C520" t="str">
        <f>IF(AND('Entry list'!$I520=5,'Entry list'!$J520=5),'Entry list'!C520,"")</f>
        <v/>
      </c>
      <c r="D520" t="str">
        <f>IF(AND('Entry list'!$I520=5,'Entry list'!$J520=5),'Entry list'!D520,"")</f>
        <v/>
      </c>
      <c r="E520" t="str">
        <f>IF(AND('Entry list'!$I520=5,'Entry list'!$J520=5),'Entry list'!E520,"")</f>
        <v/>
      </c>
      <c r="F520" t="str">
        <f>IF(AND('Entry list'!$I520=5,'Entry list'!$J520=5),'Entry list'!F520,"")</f>
        <v/>
      </c>
      <c r="G520" t="str">
        <f>IF(AND('Entry list'!$I520=5,'Entry list'!$J520=5),'Entry list'!G520,"")</f>
        <v/>
      </c>
      <c r="H520" t="str">
        <f>IF(AND('Entry list'!$I520=5,'Entry list'!$J520=5),'Entry list'!H520,"")</f>
        <v/>
      </c>
      <c r="I520" t="str">
        <f>IF(AND('Entry list'!$I520=5,'Entry list'!$J520=5),'Entry list'!K520,"")</f>
        <v/>
      </c>
      <c r="J520" t="str">
        <f>IF(AND('Entry list'!$I520=5,'Entry list'!$J520=5),'Entry list'!L520,"")</f>
        <v/>
      </c>
      <c r="K520" t="str">
        <f>IF(AND('Entry list'!$I520=5,'Entry list'!$J520=5),'Entry list'!M520,"")</f>
        <v/>
      </c>
      <c r="L520" t="str">
        <f>IF(AND('Entry list'!$I520=5,'Entry list'!$J520=5),'Entry list'!N520,"")</f>
        <v/>
      </c>
      <c r="M520" t="str">
        <f t="shared" si="24"/>
        <v/>
      </c>
      <c r="N520" t="str">
        <f t="shared" si="25"/>
        <v/>
      </c>
      <c r="O520" t="str">
        <f t="shared" si="26"/>
        <v/>
      </c>
    </row>
    <row r="521" spans="1:15" x14ac:dyDescent="0.25">
      <c r="A521" t="str">
        <f>IF(AND('Entry list'!$I521=5,'Entry list'!$J521=5),'Entry list'!A521,"")</f>
        <v/>
      </c>
      <c r="B521" t="str">
        <f>IF(AND('Entry list'!$I521=5,'Entry list'!$J521=5),'Entry list'!B521,"")</f>
        <v/>
      </c>
      <c r="C521" t="str">
        <f>IF(AND('Entry list'!$I521=5,'Entry list'!$J521=5),'Entry list'!C521,"")</f>
        <v/>
      </c>
      <c r="D521" t="str">
        <f>IF(AND('Entry list'!$I521=5,'Entry list'!$J521=5),'Entry list'!D521,"")</f>
        <v/>
      </c>
      <c r="E521" t="str">
        <f>IF(AND('Entry list'!$I521=5,'Entry list'!$J521=5),'Entry list'!E521,"")</f>
        <v/>
      </c>
      <c r="F521" t="str">
        <f>IF(AND('Entry list'!$I521=5,'Entry list'!$J521=5),'Entry list'!F521,"")</f>
        <v/>
      </c>
      <c r="G521" t="str">
        <f>IF(AND('Entry list'!$I521=5,'Entry list'!$J521=5),'Entry list'!G521,"")</f>
        <v/>
      </c>
      <c r="H521" t="str">
        <f>IF(AND('Entry list'!$I521=5,'Entry list'!$J521=5),'Entry list'!H521,"")</f>
        <v/>
      </c>
      <c r="I521" t="str">
        <f>IF(AND('Entry list'!$I521=5,'Entry list'!$J521=5),'Entry list'!K521,"")</f>
        <v/>
      </c>
      <c r="J521" t="str">
        <f>IF(AND('Entry list'!$I521=5,'Entry list'!$J521=5),'Entry list'!L521,"")</f>
        <v/>
      </c>
      <c r="K521" t="str">
        <f>IF(AND('Entry list'!$I521=5,'Entry list'!$J521=5),'Entry list'!M521,"")</f>
        <v/>
      </c>
      <c r="L521" t="str">
        <f>IF(AND('Entry list'!$I521=5,'Entry list'!$J521=5),'Entry list'!N521,"")</f>
        <v/>
      </c>
      <c r="M521" t="str">
        <f t="shared" si="24"/>
        <v/>
      </c>
      <c r="N521" t="str">
        <f t="shared" si="25"/>
        <v/>
      </c>
      <c r="O521" t="str">
        <f t="shared" si="26"/>
        <v/>
      </c>
    </row>
    <row r="522" spans="1:15" x14ac:dyDescent="0.25">
      <c r="A522" t="str">
        <f>IF(AND('Entry list'!$I522=5,'Entry list'!$J522=5),'Entry list'!A522,"")</f>
        <v/>
      </c>
      <c r="B522" t="str">
        <f>IF(AND('Entry list'!$I522=5,'Entry list'!$J522=5),'Entry list'!B522,"")</f>
        <v/>
      </c>
      <c r="C522" t="str">
        <f>IF(AND('Entry list'!$I522=5,'Entry list'!$J522=5),'Entry list'!C522,"")</f>
        <v/>
      </c>
      <c r="D522" t="str">
        <f>IF(AND('Entry list'!$I522=5,'Entry list'!$J522=5),'Entry list'!D522,"")</f>
        <v/>
      </c>
      <c r="E522" t="str">
        <f>IF(AND('Entry list'!$I522=5,'Entry list'!$J522=5),'Entry list'!E522,"")</f>
        <v/>
      </c>
      <c r="F522" t="str">
        <f>IF(AND('Entry list'!$I522=5,'Entry list'!$J522=5),'Entry list'!F522,"")</f>
        <v/>
      </c>
      <c r="G522" t="str">
        <f>IF(AND('Entry list'!$I522=5,'Entry list'!$J522=5),'Entry list'!G522,"")</f>
        <v/>
      </c>
      <c r="H522" t="str">
        <f>IF(AND('Entry list'!$I522=5,'Entry list'!$J522=5),'Entry list'!H522,"")</f>
        <v/>
      </c>
      <c r="I522" t="str">
        <f>IF(AND('Entry list'!$I522=5,'Entry list'!$J522=5),'Entry list'!K522,"")</f>
        <v/>
      </c>
      <c r="J522" t="str">
        <f>IF(AND('Entry list'!$I522=5,'Entry list'!$J522=5),'Entry list'!L522,"")</f>
        <v/>
      </c>
      <c r="K522" t="str">
        <f>IF(AND('Entry list'!$I522=5,'Entry list'!$J522=5),'Entry list'!M522,"")</f>
        <v/>
      </c>
      <c r="L522" t="str">
        <f>IF(AND('Entry list'!$I522=5,'Entry list'!$J522=5),'Entry list'!N522,"")</f>
        <v/>
      </c>
      <c r="M522" t="str">
        <f t="shared" si="24"/>
        <v/>
      </c>
      <c r="N522" t="str">
        <f t="shared" si="25"/>
        <v/>
      </c>
      <c r="O522" t="str">
        <f t="shared" si="26"/>
        <v/>
      </c>
    </row>
    <row r="523" spans="1:15" x14ac:dyDescent="0.25">
      <c r="A523" t="str">
        <f>IF(AND('Entry list'!$I523=5,'Entry list'!$J523=5),'Entry list'!A523,"")</f>
        <v/>
      </c>
      <c r="B523" t="str">
        <f>IF(AND('Entry list'!$I523=5,'Entry list'!$J523=5),'Entry list'!B523,"")</f>
        <v/>
      </c>
      <c r="C523" t="str">
        <f>IF(AND('Entry list'!$I523=5,'Entry list'!$J523=5),'Entry list'!C523,"")</f>
        <v/>
      </c>
      <c r="D523" t="str">
        <f>IF(AND('Entry list'!$I523=5,'Entry list'!$J523=5),'Entry list'!D523,"")</f>
        <v/>
      </c>
      <c r="E523" t="str">
        <f>IF(AND('Entry list'!$I523=5,'Entry list'!$J523=5),'Entry list'!E523,"")</f>
        <v/>
      </c>
      <c r="F523" t="str">
        <f>IF(AND('Entry list'!$I523=5,'Entry list'!$J523=5),'Entry list'!F523,"")</f>
        <v/>
      </c>
      <c r="G523" t="str">
        <f>IF(AND('Entry list'!$I523=5,'Entry list'!$J523=5),'Entry list'!G523,"")</f>
        <v/>
      </c>
      <c r="H523" t="str">
        <f>IF(AND('Entry list'!$I523=5,'Entry list'!$J523=5),'Entry list'!H523,"")</f>
        <v/>
      </c>
      <c r="I523" t="str">
        <f>IF(AND('Entry list'!$I523=5,'Entry list'!$J523=5),'Entry list'!K523,"")</f>
        <v/>
      </c>
      <c r="J523" t="str">
        <f>IF(AND('Entry list'!$I523=5,'Entry list'!$J523=5),'Entry list'!L523,"")</f>
        <v/>
      </c>
      <c r="K523" t="str">
        <f>IF(AND('Entry list'!$I523=5,'Entry list'!$J523=5),'Entry list'!M523,"")</f>
        <v/>
      </c>
      <c r="L523" t="str">
        <f>IF(AND('Entry list'!$I523=5,'Entry list'!$J523=5),'Entry list'!N523,"")</f>
        <v/>
      </c>
      <c r="M523" t="str">
        <f t="shared" si="24"/>
        <v/>
      </c>
      <c r="N523" t="str">
        <f t="shared" si="25"/>
        <v/>
      </c>
      <c r="O523" t="str">
        <f t="shared" si="26"/>
        <v/>
      </c>
    </row>
    <row r="524" spans="1:15" x14ac:dyDescent="0.25">
      <c r="A524" t="str">
        <f>IF(AND('Entry list'!$I524=5,'Entry list'!$J524=5),'Entry list'!A524,"")</f>
        <v/>
      </c>
      <c r="B524" t="str">
        <f>IF(AND('Entry list'!$I524=5,'Entry list'!$J524=5),'Entry list'!B524,"")</f>
        <v/>
      </c>
      <c r="C524" t="str">
        <f>IF(AND('Entry list'!$I524=5,'Entry list'!$J524=5),'Entry list'!C524,"")</f>
        <v/>
      </c>
      <c r="D524" t="str">
        <f>IF(AND('Entry list'!$I524=5,'Entry list'!$J524=5),'Entry list'!D524,"")</f>
        <v/>
      </c>
      <c r="E524" t="str">
        <f>IF(AND('Entry list'!$I524=5,'Entry list'!$J524=5),'Entry list'!E524,"")</f>
        <v/>
      </c>
      <c r="F524" t="str">
        <f>IF(AND('Entry list'!$I524=5,'Entry list'!$J524=5),'Entry list'!F524,"")</f>
        <v/>
      </c>
      <c r="G524" t="str">
        <f>IF(AND('Entry list'!$I524=5,'Entry list'!$J524=5),'Entry list'!G524,"")</f>
        <v/>
      </c>
      <c r="H524" t="str">
        <f>IF(AND('Entry list'!$I524=5,'Entry list'!$J524=5),'Entry list'!H524,"")</f>
        <v/>
      </c>
      <c r="I524" t="str">
        <f>IF(AND('Entry list'!$I524=5,'Entry list'!$J524=5),'Entry list'!K524,"")</f>
        <v/>
      </c>
      <c r="J524" t="str">
        <f>IF(AND('Entry list'!$I524=5,'Entry list'!$J524=5),'Entry list'!L524,"")</f>
        <v/>
      </c>
      <c r="K524" t="str">
        <f>IF(AND('Entry list'!$I524=5,'Entry list'!$J524=5),'Entry list'!M524,"")</f>
        <v/>
      </c>
      <c r="L524" t="str">
        <f>IF(AND('Entry list'!$I524=5,'Entry list'!$J524=5),'Entry list'!N524,"")</f>
        <v/>
      </c>
      <c r="M524" t="str">
        <f t="shared" si="24"/>
        <v/>
      </c>
      <c r="N524" t="str">
        <f t="shared" si="25"/>
        <v/>
      </c>
      <c r="O524" t="str">
        <f t="shared" si="26"/>
        <v/>
      </c>
    </row>
    <row r="525" spans="1:15" x14ac:dyDescent="0.25">
      <c r="A525" t="str">
        <f>IF(AND('Entry list'!$I525=5,'Entry list'!$J525=5),'Entry list'!A525,"")</f>
        <v/>
      </c>
      <c r="B525" t="str">
        <f>IF(AND('Entry list'!$I525=5,'Entry list'!$J525=5),'Entry list'!B525,"")</f>
        <v/>
      </c>
      <c r="C525" t="str">
        <f>IF(AND('Entry list'!$I525=5,'Entry list'!$J525=5),'Entry list'!C525,"")</f>
        <v/>
      </c>
      <c r="D525" t="str">
        <f>IF(AND('Entry list'!$I525=5,'Entry list'!$J525=5),'Entry list'!D525,"")</f>
        <v/>
      </c>
      <c r="E525" t="str">
        <f>IF(AND('Entry list'!$I525=5,'Entry list'!$J525=5),'Entry list'!E525,"")</f>
        <v/>
      </c>
      <c r="F525" t="str">
        <f>IF(AND('Entry list'!$I525=5,'Entry list'!$J525=5),'Entry list'!F525,"")</f>
        <v/>
      </c>
      <c r="G525" t="str">
        <f>IF(AND('Entry list'!$I525=5,'Entry list'!$J525=5),'Entry list'!G525,"")</f>
        <v/>
      </c>
      <c r="H525" t="str">
        <f>IF(AND('Entry list'!$I525=5,'Entry list'!$J525=5),'Entry list'!H525,"")</f>
        <v/>
      </c>
      <c r="I525" t="str">
        <f>IF(AND('Entry list'!$I525=5,'Entry list'!$J525=5),'Entry list'!K525,"")</f>
        <v/>
      </c>
      <c r="J525" t="str">
        <f>IF(AND('Entry list'!$I525=5,'Entry list'!$J525=5),'Entry list'!L525,"")</f>
        <v/>
      </c>
      <c r="K525" t="str">
        <f>IF(AND('Entry list'!$I525=5,'Entry list'!$J525=5),'Entry list'!M525,"")</f>
        <v/>
      </c>
      <c r="L525" t="str">
        <f>IF(AND('Entry list'!$I525=5,'Entry list'!$J525=5),'Entry list'!N525,"")</f>
        <v/>
      </c>
      <c r="M525" t="str">
        <f t="shared" si="24"/>
        <v/>
      </c>
      <c r="N525" t="str">
        <f t="shared" si="25"/>
        <v/>
      </c>
      <c r="O525" t="str">
        <f t="shared" si="26"/>
        <v/>
      </c>
    </row>
    <row r="526" spans="1:15" x14ac:dyDescent="0.25">
      <c r="A526" t="str">
        <f>IF(AND('Entry list'!$I526=5,'Entry list'!$J526=5),'Entry list'!A526,"")</f>
        <v/>
      </c>
      <c r="B526" t="str">
        <f>IF(AND('Entry list'!$I526=5,'Entry list'!$J526=5),'Entry list'!B526,"")</f>
        <v/>
      </c>
      <c r="C526" t="str">
        <f>IF(AND('Entry list'!$I526=5,'Entry list'!$J526=5),'Entry list'!C526,"")</f>
        <v/>
      </c>
      <c r="D526" t="str">
        <f>IF(AND('Entry list'!$I526=5,'Entry list'!$J526=5),'Entry list'!D526,"")</f>
        <v/>
      </c>
      <c r="E526" t="str">
        <f>IF(AND('Entry list'!$I526=5,'Entry list'!$J526=5),'Entry list'!E526,"")</f>
        <v/>
      </c>
      <c r="F526" t="str">
        <f>IF(AND('Entry list'!$I526=5,'Entry list'!$J526=5),'Entry list'!F526,"")</f>
        <v/>
      </c>
      <c r="G526" t="str">
        <f>IF(AND('Entry list'!$I526=5,'Entry list'!$J526=5),'Entry list'!G526,"")</f>
        <v/>
      </c>
      <c r="H526" t="str">
        <f>IF(AND('Entry list'!$I526=5,'Entry list'!$J526=5),'Entry list'!H526,"")</f>
        <v/>
      </c>
      <c r="I526" t="str">
        <f>IF(AND('Entry list'!$I526=5,'Entry list'!$J526=5),'Entry list'!K526,"")</f>
        <v/>
      </c>
      <c r="J526" t="str">
        <f>IF(AND('Entry list'!$I526=5,'Entry list'!$J526=5),'Entry list'!L526,"")</f>
        <v/>
      </c>
      <c r="K526" t="str">
        <f>IF(AND('Entry list'!$I526=5,'Entry list'!$J526=5),'Entry list'!M526,"")</f>
        <v/>
      </c>
      <c r="L526" t="str">
        <f>IF(AND('Entry list'!$I526=5,'Entry list'!$J526=5),'Entry list'!N526,"")</f>
        <v/>
      </c>
      <c r="M526" t="str">
        <f t="shared" si="24"/>
        <v/>
      </c>
      <c r="N526" t="str">
        <f t="shared" si="25"/>
        <v/>
      </c>
      <c r="O526" t="str">
        <f t="shared" si="26"/>
        <v/>
      </c>
    </row>
    <row r="527" spans="1:15" x14ac:dyDescent="0.25">
      <c r="A527" t="str">
        <f>IF(AND('Entry list'!$I527=5,'Entry list'!$J527=5),'Entry list'!A527,"")</f>
        <v/>
      </c>
      <c r="B527" t="str">
        <f>IF(AND('Entry list'!$I527=5,'Entry list'!$J527=5),'Entry list'!B527,"")</f>
        <v/>
      </c>
      <c r="C527" t="str">
        <f>IF(AND('Entry list'!$I527=5,'Entry list'!$J527=5),'Entry list'!C527,"")</f>
        <v/>
      </c>
      <c r="D527" t="str">
        <f>IF(AND('Entry list'!$I527=5,'Entry list'!$J527=5),'Entry list'!D527,"")</f>
        <v/>
      </c>
      <c r="E527" t="str">
        <f>IF(AND('Entry list'!$I527=5,'Entry list'!$J527=5),'Entry list'!E527,"")</f>
        <v/>
      </c>
      <c r="F527" t="str">
        <f>IF(AND('Entry list'!$I527=5,'Entry list'!$J527=5),'Entry list'!F527,"")</f>
        <v/>
      </c>
      <c r="G527" t="str">
        <f>IF(AND('Entry list'!$I527=5,'Entry list'!$J527=5),'Entry list'!G527,"")</f>
        <v/>
      </c>
      <c r="H527" t="str">
        <f>IF(AND('Entry list'!$I527=5,'Entry list'!$J527=5),'Entry list'!H527,"")</f>
        <v/>
      </c>
      <c r="I527" t="str">
        <f>IF(AND('Entry list'!$I527=5,'Entry list'!$J527=5),'Entry list'!K527,"")</f>
        <v/>
      </c>
      <c r="J527" t="str">
        <f>IF(AND('Entry list'!$I527=5,'Entry list'!$J527=5),'Entry list'!L527,"")</f>
        <v/>
      </c>
      <c r="K527" t="str">
        <f>IF(AND('Entry list'!$I527=5,'Entry list'!$J527=5),'Entry list'!M527,"")</f>
        <v/>
      </c>
      <c r="L527" t="str">
        <f>IF(AND('Entry list'!$I527=5,'Entry list'!$J527=5),'Entry list'!N527,"")</f>
        <v/>
      </c>
      <c r="M527" t="str">
        <f t="shared" si="24"/>
        <v/>
      </c>
      <c r="N527" t="str">
        <f t="shared" si="25"/>
        <v/>
      </c>
      <c r="O527" t="str">
        <f t="shared" si="26"/>
        <v/>
      </c>
    </row>
    <row r="528" spans="1:15" x14ac:dyDescent="0.25">
      <c r="A528" t="str">
        <f>IF(AND('Entry list'!$I528=5,'Entry list'!$J528=5),'Entry list'!A528,"")</f>
        <v/>
      </c>
      <c r="B528" t="str">
        <f>IF(AND('Entry list'!$I528=5,'Entry list'!$J528=5),'Entry list'!B528,"")</f>
        <v/>
      </c>
      <c r="C528" t="str">
        <f>IF(AND('Entry list'!$I528=5,'Entry list'!$J528=5),'Entry list'!C528,"")</f>
        <v/>
      </c>
      <c r="D528" t="str">
        <f>IF(AND('Entry list'!$I528=5,'Entry list'!$J528=5),'Entry list'!D528,"")</f>
        <v/>
      </c>
      <c r="E528" t="str">
        <f>IF(AND('Entry list'!$I528=5,'Entry list'!$J528=5),'Entry list'!E528,"")</f>
        <v/>
      </c>
      <c r="F528" t="str">
        <f>IF(AND('Entry list'!$I528=5,'Entry list'!$J528=5),'Entry list'!F528,"")</f>
        <v/>
      </c>
      <c r="G528" t="str">
        <f>IF(AND('Entry list'!$I528=5,'Entry list'!$J528=5),'Entry list'!G528,"")</f>
        <v/>
      </c>
      <c r="H528" t="str">
        <f>IF(AND('Entry list'!$I528=5,'Entry list'!$J528=5),'Entry list'!H528,"")</f>
        <v/>
      </c>
      <c r="I528" t="str">
        <f>IF(AND('Entry list'!$I528=5,'Entry list'!$J528=5),'Entry list'!K528,"")</f>
        <v/>
      </c>
      <c r="J528" t="str">
        <f>IF(AND('Entry list'!$I528=5,'Entry list'!$J528=5),'Entry list'!L528,"")</f>
        <v/>
      </c>
      <c r="K528" t="str">
        <f>IF(AND('Entry list'!$I528=5,'Entry list'!$J528=5),'Entry list'!M528,"")</f>
        <v/>
      </c>
      <c r="L528" t="str">
        <f>IF(AND('Entry list'!$I528=5,'Entry list'!$J528=5),'Entry list'!N528,"")</f>
        <v/>
      </c>
      <c r="M528" t="str">
        <f t="shared" si="24"/>
        <v/>
      </c>
      <c r="N528" t="str">
        <f t="shared" si="25"/>
        <v/>
      </c>
      <c r="O528" t="str">
        <f t="shared" si="26"/>
        <v/>
      </c>
    </row>
    <row r="529" spans="1:15" x14ac:dyDescent="0.25">
      <c r="A529" t="str">
        <f>IF(AND('Entry list'!$I529=5,'Entry list'!$J529=5),'Entry list'!A529,"")</f>
        <v/>
      </c>
      <c r="B529" t="str">
        <f>IF(AND('Entry list'!$I529=5,'Entry list'!$J529=5),'Entry list'!B529,"")</f>
        <v/>
      </c>
      <c r="C529" t="str">
        <f>IF(AND('Entry list'!$I529=5,'Entry list'!$J529=5),'Entry list'!C529,"")</f>
        <v/>
      </c>
      <c r="D529" t="str">
        <f>IF(AND('Entry list'!$I529=5,'Entry list'!$J529=5),'Entry list'!D529,"")</f>
        <v/>
      </c>
      <c r="E529" t="str">
        <f>IF(AND('Entry list'!$I529=5,'Entry list'!$J529=5),'Entry list'!E529,"")</f>
        <v/>
      </c>
      <c r="F529" t="str">
        <f>IF(AND('Entry list'!$I529=5,'Entry list'!$J529=5),'Entry list'!F529,"")</f>
        <v/>
      </c>
      <c r="G529" t="str">
        <f>IF(AND('Entry list'!$I529=5,'Entry list'!$J529=5),'Entry list'!G529,"")</f>
        <v/>
      </c>
      <c r="H529" t="str">
        <f>IF(AND('Entry list'!$I529=5,'Entry list'!$J529=5),'Entry list'!H529,"")</f>
        <v/>
      </c>
      <c r="I529" t="str">
        <f>IF(AND('Entry list'!$I529=5,'Entry list'!$J529=5),'Entry list'!K529,"")</f>
        <v/>
      </c>
      <c r="J529" t="str">
        <f>IF(AND('Entry list'!$I529=5,'Entry list'!$J529=5),'Entry list'!L529,"")</f>
        <v/>
      </c>
      <c r="K529" t="str">
        <f>IF(AND('Entry list'!$I529=5,'Entry list'!$J529=5),'Entry list'!M529,"")</f>
        <v/>
      </c>
      <c r="L529" t="str">
        <f>IF(AND('Entry list'!$I529=5,'Entry list'!$J529=5),'Entry list'!N529,"")</f>
        <v/>
      </c>
      <c r="M529" t="str">
        <f t="shared" si="24"/>
        <v/>
      </c>
      <c r="N529" t="str">
        <f t="shared" si="25"/>
        <v/>
      </c>
      <c r="O529" t="str">
        <f t="shared" si="26"/>
        <v/>
      </c>
    </row>
    <row r="530" spans="1:15" x14ac:dyDescent="0.25">
      <c r="A530" t="str">
        <f>IF(AND('Entry list'!$I530=5,'Entry list'!$J530=5),'Entry list'!A530,"")</f>
        <v/>
      </c>
      <c r="B530" t="str">
        <f>IF(AND('Entry list'!$I530=5,'Entry list'!$J530=5),'Entry list'!B530,"")</f>
        <v/>
      </c>
      <c r="C530" t="str">
        <f>IF(AND('Entry list'!$I530=5,'Entry list'!$J530=5),'Entry list'!C530,"")</f>
        <v/>
      </c>
      <c r="D530" t="str">
        <f>IF(AND('Entry list'!$I530=5,'Entry list'!$J530=5),'Entry list'!D530,"")</f>
        <v/>
      </c>
      <c r="E530" t="str">
        <f>IF(AND('Entry list'!$I530=5,'Entry list'!$J530=5),'Entry list'!E530,"")</f>
        <v/>
      </c>
      <c r="F530" t="str">
        <f>IF(AND('Entry list'!$I530=5,'Entry list'!$J530=5),'Entry list'!F530,"")</f>
        <v/>
      </c>
      <c r="G530" t="str">
        <f>IF(AND('Entry list'!$I530=5,'Entry list'!$J530=5),'Entry list'!G530,"")</f>
        <v/>
      </c>
      <c r="H530" t="str">
        <f>IF(AND('Entry list'!$I530=5,'Entry list'!$J530=5),'Entry list'!H530,"")</f>
        <v/>
      </c>
      <c r="I530" t="str">
        <f>IF(AND('Entry list'!$I530=5,'Entry list'!$J530=5),'Entry list'!K530,"")</f>
        <v/>
      </c>
      <c r="J530" t="str">
        <f>IF(AND('Entry list'!$I530=5,'Entry list'!$J530=5),'Entry list'!L530,"")</f>
        <v/>
      </c>
      <c r="K530" t="str">
        <f>IF(AND('Entry list'!$I530=5,'Entry list'!$J530=5),'Entry list'!M530,"")</f>
        <v/>
      </c>
      <c r="L530" t="str">
        <f>IF(AND('Entry list'!$I530=5,'Entry list'!$J530=5),'Entry list'!N530,"")</f>
        <v/>
      </c>
      <c r="M530" t="str">
        <f t="shared" si="24"/>
        <v/>
      </c>
      <c r="N530" t="str">
        <f t="shared" si="25"/>
        <v/>
      </c>
      <c r="O530" t="str">
        <f t="shared" si="26"/>
        <v/>
      </c>
    </row>
    <row r="531" spans="1:15" x14ac:dyDescent="0.25">
      <c r="A531" t="str">
        <f>IF(AND('Entry list'!$I531=5,'Entry list'!$J531=5),'Entry list'!A531,"")</f>
        <v/>
      </c>
      <c r="B531" t="str">
        <f>IF(AND('Entry list'!$I531=5,'Entry list'!$J531=5),'Entry list'!B531,"")</f>
        <v/>
      </c>
      <c r="C531" t="str">
        <f>IF(AND('Entry list'!$I531=5,'Entry list'!$J531=5),'Entry list'!C531,"")</f>
        <v/>
      </c>
      <c r="D531" t="str">
        <f>IF(AND('Entry list'!$I531=5,'Entry list'!$J531=5),'Entry list'!D531,"")</f>
        <v/>
      </c>
      <c r="E531" t="str">
        <f>IF(AND('Entry list'!$I531=5,'Entry list'!$J531=5),'Entry list'!E531,"")</f>
        <v/>
      </c>
      <c r="F531" t="str">
        <f>IF(AND('Entry list'!$I531=5,'Entry list'!$J531=5),'Entry list'!F531,"")</f>
        <v/>
      </c>
      <c r="G531" t="str">
        <f>IF(AND('Entry list'!$I531=5,'Entry list'!$J531=5),'Entry list'!G531,"")</f>
        <v/>
      </c>
      <c r="H531" t="str">
        <f>IF(AND('Entry list'!$I531=5,'Entry list'!$J531=5),'Entry list'!H531,"")</f>
        <v/>
      </c>
      <c r="I531" t="str">
        <f>IF(AND('Entry list'!$I531=5,'Entry list'!$J531=5),'Entry list'!K531,"")</f>
        <v/>
      </c>
      <c r="J531" t="str">
        <f>IF(AND('Entry list'!$I531=5,'Entry list'!$J531=5),'Entry list'!L531,"")</f>
        <v/>
      </c>
      <c r="K531" t="str">
        <f>IF(AND('Entry list'!$I531=5,'Entry list'!$J531=5),'Entry list'!M531,"")</f>
        <v/>
      </c>
      <c r="L531" t="str">
        <f>IF(AND('Entry list'!$I531=5,'Entry list'!$J531=5),'Entry list'!N531,"")</f>
        <v/>
      </c>
      <c r="M531" t="str">
        <f t="shared" si="24"/>
        <v/>
      </c>
      <c r="N531" t="str">
        <f t="shared" si="25"/>
        <v/>
      </c>
      <c r="O531" t="str">
        <f t="shared" si="26"/>
        <v/>
      </c>
    </row>
    <row r="532" spans="1:15" x14ac:dyDescent="0.25">
      <c r="A532" t="str">
        <f>IF(AND('Entry list'!$I532=5,'Entry list'!$J532=5),'Entry list'!A532,"")</f>
        <v/>
      </c>
      <c r="B532" t="str">
        <f>IF(AND('Entry list'!$I532=5,'Entry list'!$J532=5),'Entry list'!B532,"")</f>
        <v/>
      </c>
      <c r="C532" t="str">
        <f>IF(AND('Entry list'!$I532=5,'Entry list'!$J532=5),'Entry list'!C532,"")</f>
        <v/>
      </c>
      <c r="D532" t="str">
        <f>IF(AND('Entry list'!$I532=5,'Entry list'!$J532=5),'Entry list'!D532,"")</f>
        <v/>
      </c>
      <c r="E532" t="str">
        <f>IF(AND('Entry list'!$I532=5,'Entry list'!$J532=5),'Entry list'!E532,"")</f>
        <v/>
      </c>
      <c r="F532" t="str">
        <f>IF(AND('Entry list'!$I532=5,'Entry list'!$J532=5),'Entry list'!F532,"")</f>
        <v/>
      </c>
      <c r="G532" t="str">
        <f>IF(AND('Entry list'!$I532=5,'Entry list'!$J532=5),'Entry list'!G532,"")</f>
        <v/>
      </c>
      <c r="H532" t="str">
        <f>IF(AND('Entry list'!$I532=5,'Entry list'!$J532=5),'Entry list'!H532,"")</f>
        <v/>
      </c>
      <c r="I532" t="str">
        <f>IF(AND('Entry list'!$I532=5,'Entry list'!$J532=5),'Entry list'!K532,"")</f>
        <v/>
      </c>
      <c r="J532" t="str">
        <f>IF(AND('Entry list'!$I532=5,'Entry list'!$J532=5),'Entry list'!L532,"")</f>
        <v/>
      </c>
      <c r="K532" t="str">
        <f>IF(AND('Entry list'!$I532=5,'Entry list'!$J532=5),'Entry list'!M532,"")</f>
        <v/>
      </c>
      <c r="L532" t="str">
        <f>IF(AND('Entry list'!$I532=5,'Entry list'!$J532=5),'Entry list'!N532,"")</f>
        <v/>
      </c>
      <c r="M532" t="str">
        <f t="shared" si="24"/>
        <v/>
      </c>
      <c r="N532" t="str">
        <f t="shared" si="25"/>
        <v/>
      </c>
      <c r="O532" t="str">
        <f t="shared" si="26"/>
        <v/>
      </c>
    </row>
    <row r="533" spans="1:15" x14ac:dyDescent="0.25">
      <c r="A533" t="str">
        <f>IF(AND('Entry list'!$I533=5,'Entry list'!$J533=5),'Entry list'!A533,"")</f>
        <v/>
      </c>
      <c r="B533" t="str">
        <f>IF(AND('Entry list'!$I533=5,'Entry list'!$J533=5),'Entry list'!B533,"")</f>
        <v/>
      </c>
      <c r="C533" t="str">
        <f>IF(AND('Entry list'!$I533=5,'Entry list'!$J533=5),'Entry list'!C533,"")</f>
        <v/>
      </c>
      <c r="D533" t="str">
        <f>IF(AND('Entry list'!$I533=5,'Entry list'!$J533=5),'Entry list'!D533,"")</f>
        <v/>
      </c>
      <c r="E533" t="str">
        <f>IF(AND('Entry list'!$I533=5,'Entry list'!$J533=5),'Entry list'!E533,"")</f>
        <v/>
      </c>
      <c r="F533" t="str">
        <f>IF(AND('Entry list'!$I533=5,'Entry list'!$J533=5),'Entry list'!F533,"")</f>
        <v/>
      </c>
      <c r="G533" t="str">
        <f>IF(AND('Entry list'!$I533=5,'Entry list'!$J533=5),'Entry list'!G533,"")</f>
        <v/>
      </c>
      <c r="H533" t="str">
        <f>IF(AND('Entry list'!$I533=5,'Entry list'!$J533=5),'Entry list'!H533,"")</f>
        <v/>
      </c>
      <c r="I533" t="str">
        <f>IF(AND('Entry list'!$I533=5,'Entry list'!$J533=5),'Entry list'!K533,"")</f>
        <v/>
      </c>
      <c r="J533" t="str">
        <f>IF(AND('Entry list'!$I533=5,'Entry list'!$J533=5),'Entry list'!L533,"")</f>
        <v/>
      </c>
      <c r="K533" t="str">
        <f>IF(AND('Entry list'!$I533=5,'Entry list'!$J533=5),'Entry list'!M533,"")</f>
        <v/>
      </c>
      <c r="L533" t="str">
        <f>IF(AND('Entry list'!$I533=5,'Entry list'!$J533=5),'Entry list'!N533,"")</f>
        <v/>
      </c>
      <c r="M533" t="str">
        <f t="shared" si="24"/>
        <v/>
      </c>
      <c r="N533" t="str">
        <f t="shared" si="25"/>
        <v/>
      </c>
      <c r="O533" t="str">
        <f t="shared" si="26"/>
        <v/>
      </c>
    </row>
    <row r="534" spans="1:15" x14ac:dyDescent="0.25">
      <c r="A534" t="str">
        <f>IF(AND('Entry list'!$I534=5,'Entry list'!$J534=5),'Entry list'!A534,"")</f>
        <v/>
      </c>
      <c r="B534" t="str">
        <f>IF(AND('Entry list'!$I534=5,'Entry list'!$J534=5),'Entry list'!B534,"")</f>
        <v/>
      </c>
      <c r="C534" t="str">
        <f>IF(AND('Entry list'!$I534=5,'Entry list'!$J534=5),'Entry list'!C534,"")</f>
        <v/>
      </c>
      <c r="D534" t="str">
        <f>IF(AND('Entry list'!$I534=5,'Entry list'!$J534=5),'Entry list'!D534,"")</f>
        <v/>
      </c>
      <c r="E534" t="str">
        <f>IF(AND('Entry list'!$I534=5,'Entry list'!$J534=5),'Entry list'!E534,"")</f>
        <v/>
      </c>
      <c r="F534" t="str">
        <f>IF(AND('Entry list'!$I534=5,'Entry list'!$J534=5),'Entry list'!F534,"")</f>
        <v/>
      </c>
      <c r="G534" t="str">
        <f>IF(AND('Entry list'!$I534=5,'Entry list'!$J534=5),'Entry list'!G534,"")</f>
        <v/>
      </c>
      <c r="H534" t="str">
        <f>IF(AND('Entry list'!$I534=5,'Entry list'!$J534=5),'Entry list'!H534,"")</f>
        <v/>
      </c>
      <c r="I534" t="str">
        <f>IF(AND('Entry list'!$I534=5,'Entry list'!$J534=5),'Entry list'!K534,"")</f>
        <v/>
      </c>
      <c r="J534" t="str">
        <f>IF(AND('Entry list'!$I534=5,'Entry list'!$J534=5),'Entry list'!L534,"")</f>
        <v/>
      </c>
      <c r="K534" t="str">
        <f>IF(AND('Entry list'!$I534=5,'Entry list'!$J534=5),'Entry list'!M534,"")</f>
        <v/>
      </c>
      <c r="L534" t="str">
        <f>IF(AND('Entry list'!$I534=5,'Entry list'!$J534=5),'Entry list'!N534,"")</f>
        <v/>
      </c>
      <c r="M534" t="str">
        <f t="shared" si="24"/>
        <v/>
      </c>
      <c r="N534" t="str">
        <f t="shared" si="25"/>
        <v/>
      </c>
      <c r="O534" t="str">
        <f t="shared" si="26"/>
        <v/>
      </c>
    </row>
    <row r="535" spans="1:15" x14ac:dyDescent="0.25">
      <c r="A535" t="str">
        <f>IF(AND('Entry list'!$I535=5,'Entry list'!$J535=5),'Entry list'!A535,"")</f>
        <v/>
      </c>
      <c r="B535" t="str">
        <f>IF(AND('Entry list'!$I535=5,'Entry list'!$J535=5),'Entry list'!B535,"")</f>
        <v/>
      </c>
      <c r="C535" t="str">
        <f>IF(AND('Entry list'!$I535=5,'Entry list'!$J535=5),'Entry list'!C535,"")</f>
        <v/>
      </c>
      <c r="D535" t="str">
        <f>IF(AND('Entry list'!$I535=5,'Entry list'!$J535=5),'Entry list'!D535,"")</f>
        <v/>
      </c>
      <c r="E535" t="str">
        <f>IF(AND('Entry list'!$I535=5,'Entry list'!$J535=5),'Entry list'!E535,"")</f>
        <v/>
      </c>
      <c r="F535" t="str">
        <f>IF(AND('Entry list'!$I535=5,'Entry list'!$J535=5),'Entry list'!F535,"")</f>
        <v/>
      </c>
      <c r="G535" t="str">
        <f>IF(AND('Entry list'!$I535=5,'Entry list'!$J535=5),'Entry list'!G535,"")</f>
        <v/>
      </c>
      <c r="H535" t="str">
        <f>IF(AND('Entry list'!$I535=5,'Entry list'!$J535=5),'Entry list'!H535,"")</f>
        <v/>
      </c>
      <c r="I535" t="str">
        <f>IF(AND('Entry list'!$I535=5,'Entry list'!$J535=5),'Entry list'!K535,"")</f>
        <v/>
      </c>
      <c r="J535" t="str">
        <f>IF(AND('Entry list'!$I535=5,'Entry list'!$J535=5),'Entry list'!L535,"")</f>
        <v/>
      </c>
      <c r="K535" t="str">
        <f>IF(AND('Entry list'!$I535=5,'Entry list'!$J535=5),'Entry list'!M535,"")</f>
        <v/>
      </c>
      <c r="L535" t="str">
        <f>IF(AND('Entry list'!$I535=5,'Entry list'!$J535=5),'Entry list'!N535,"")</f>
        <v/>
      </c>
      <c r="M535" t="str">
        <f t="shared" si="24"/>
        <v/>
      </c>
      <c r="N535" t="str">
        <f t="shared" si="25"/>
        <v/>
      </c>
      <c r="O535" t="str">
        <f t="shared" si="26"/>
        <v/>
      </c>
    </row>
    <row r="536" spans="1:15" x14ac:dyDescent="0.25">
      <c r="A536" t="str">
        <f>IF(AND('Entry list'!$I536=5,'Entry list'!$J536=5),'Entry list'!A536,"")</f>
        <v/>
      </c>
      <c r="B536" t="str">
        <f>IF(AND('Entry list'!$I536=5,'Entry list'!$J536=5),'Entry list'!B536,"")</f>
        <v/>
      </c>
      <c r="C536" t="str">
        <f>IF(AND('Entry list'!$I536=5,'Entry list'!$J536=5),'Entry list'!C536,"")</f>
        <v/>
      </c>
      <c r="D536" t="str">
        <f>IF(AND('Entry list'!$I536=5,'Entry list'!$J536=5),'Entry list'!D536,"")</f>
        <v/>
      </c>
      <c r="E536" t="str">
        <f>IF(AND('Entry list'!$I536=5,'Entry list'!$J536=5),'Entry list'!E536,"")</f>
        <v/>
      </c>
      <c r="F536" t="str">
        <f>IF(AND('Entry list'!$I536=5,'Entry list'!$J536=5),'Entry list'!F536,"")</f>
        <v/>
      </c>
      <c r="G536" t="str">
        <f>IF(AND('Entry list'!$I536=5,'Entry list'!$J536=5),'Entry list'!G536,"")</f>
        <v/>
      </c>
      <c r="H536" t="str">
        <f>IF(AND('Entry list'!$I536=5,'Entry list'!$J536=5),'Entry list'!H536,"")</f>
        <v/>
      </c>
      <c r="I536" t="str">
        <f>IF(AND('Entry list'!$I536=5,'Entry list'!$J536=5),'Entry list'!K536,"")</f>
        <v/>
      </c>
      <c r="J536" t="str">
        <f>IF(AND('Entry list'!$I536=5,'Entry list'!$J536=5),'Entry list'!L536,"")</f>
        <v/>
      </c>
      <c r="K536" t="str">
        <f>IF(AND('Entry list'!$I536=5,'Entry list'!$J536=5),'Entry list'!M536,"")</f>
        <v/>
      </c>
      <c r="L536" t="str">
        <f>IF(AND('Entry list'!$I536=5,'Entry list'!$J536=5),'Entry list'!N536,"")</f>
        <v/>
      </c>
      <c r="M536" t="str">
        <f t="shared" si="24"/>
        <v/>
      </c>
      <c r="N536" t="str">
        <f t="shared" si="25"/>
        <v/>
      </c>
      <c r="O536" t="str">
        <f t="shared" si="26"/>
        <v/>
      </c>
    </row>
    <row r="537" spans="1:15" x14ac:dyDescent="0.25">
      <c r="A537" t="str">
        <f>IF(AND('Entry list'!$I537=5,'Entry list'!$J537=5),'Entry list'!A537,"")</f>
        <v/>
      </c>
      <c r="B537" t="str">
        <f>IF(AND('Entry list'!$I537=5,'Entry list'!$J537=5),'Entry list'!B537,"")</f>
        <v/>
      </c>
      <c r="C537" t="str">
        <f>IF(AND('Entry list'!$I537=5,'Entry list'!$J537=5),'Entry list'!C537,"")</f>
        <v/>
      </c>
      <c r="D537" t="str">
        <f>IF(AND('Entry list'!$I537=5,'Entry list'!$J537=5),'Entry list'!D537,"")</f>
        <v/>
      </c>
      <c r="E537" t="str">
        <f>IF(AND('Entry list'!$I537=5,'Entry list'!$J537=5),'Entry list'!E537,"")</f>
        <v/>
      </c>
      <c r="F537" t="str">
        <f>IF(AND('Entry list'!$I537=5,'Entry list'!$J537=5),'Entry list'!F537,"")</f>
        <v/>
      </c>
      <c r="G537" t="str">
        <f>IF(AND('Entry list'!$I537=5,'Entry list'!$J537=5),'Entry list'!G537,"")</f>
        <v/>
      </c>
      <c r="H537" t="str">
        <f>IF(AND('Entry list'!$I537=5,'Entry list'!$J537=5),'Entry list'!H537,"")</f>
        <v/>
      </c>
      <c r="I537" t="str">
        <f>IF(AND('Entry list'!$I537=5,'Entry list'!$J537=5),'Entry list'!K537,"")</f>
        <v/>
      </c>
      <c r="J537" t="str">
        <f>IF(AND('Entry list'!$I537=5,'Entry list'!$J537=5),'Entry list'!L537,"")</f>
        <v/>
      </c>
      <c r="K537" t="str">
        <f>IF(AND('Entry list'!$I537=5,'Entry list'!$J537=5),'Entry list'!M537,"")</f>
        <v/>
      </c>
      <c r="L537" t="str">
        <f>IF(AND('Entry list'!$I537=5,'Entry list'!$J537=5),'Entry list'!N537,"")</f>
        <v/>
      </c>
      <c r="M537" t="str">
        <f t="shared" si="24"/>
        <v/>
      </c>
      <c r="N537" t="str">
        <f t="shared" si="25"/>
        <v/>
      </c>
      <c r="O537" t="str">
        <f t="shared" si="26"/>
        <v/>
      </c>
    </row>
    <row r="538" spans="1:15" x14ac:dyDescent="0.25">
      <c r="A538" t="str">
        <f>IF(AND('Entry list'!$I538=5,'Entry list'!$J538=5),'Entry list'!A538,"")</f>
        <v/>
      </c>
      <c r="B538" t="str">
        <f>IF(AND('Entry list'!$I538=5,'Entry list'!$J538=5),'Entry list'!B538,"")</f>
        <v/>
      </c>
      <c r="C538" t="str">
        <f>IF(AND('Entry list'!$I538=5,'Entry list'!$J538=5),'Entry list'!C538,"")</f>
        <v/>
      </c>
      <c r="D538" t="str">
        <f>IF(AND('Entry list'!$I538=5,'Entry list'!$J538=5),'Entry list'!D538,"")</f>
        <v/>
      </c>
      <c r="E538" t="str">
        <f>IF(AND('Entry list'!$I538=5,'Entry list'!$J538=5),'Entry list'!E538,"")</f>
        <v/>
      </c>
      <c r="F538" t="str">
        <f>IF(AND('Entry list'!$I538=5,'Entry list'!$J538=5),'Entry list'!F538,"")</f>
        <v/>
      </c>
      <c r="G538" t="str">
        <f>IF(AND('Entry list'!$I538=5,'Entry list'!$J538=5),'Entry list'!G538,"")</f>
        <v/>
      </c>
      <c r="H538" t="str">
        <f>IF(AND('Entry list'!$I538=5,'Entry list'!$J538=5),'Entry list'!H538,"")</f>
        <v/>
      </c>
      <c r="I538" t="str">
        <f>IF(AND('Entry list'!$I538=5,'Entry list'!$J538=5),'Entry list'!K538,"")</f>
        <v/>
      </c>
      <c r="J538" t="str">
        <f>IF(AND('Entry list'!$I538=5,'Entry list'!$J538=5),'Entry list'!L538,"")</f>
        <v/>
      </c>
      <c r="K538" t="str">
        <f>IF(AND('Entry list'!$I538=5,'Entry list'!$J538=5),'Entry list'!M538,"")</f>
        <v/>
      </c>
      <c r="L538" t="str">
        <f>IF(AND('Entry list'!$I538=5,'Entry list'!$J538=5),'Entry list'!N538,"")</f>
        <v/>
      </c>
      <c r="M538" t="str">
        <f t="shared" si="24"/>
        <v/>
      </c>
      <c r="N538" t="str">
        <f t="shared" si="25"/>
        <v/>
      </c>
      <c r="O538" t="str">
        <f t="shared" si="26"/>
        <v/>
      </c>
    </row>
    <row r="539" spans="1:15" x14ac:dyDescent="0.25">
      <c r="A539" t="str">
        <f>IF(AND('Entry list'!$I539=5,'Entry list'!$J539=5),'Entry list'!A539,"")</f>
        <v/>
      </c>
      <c r="B539" t="str">
        <f>IF(AND('Entry list'!$I539=5,'Entry list'!$J539=5),'Entry list'!B539,"")</f>
        <v/>
      </c>
      <c r="C539" t="str">
        <f>IF(AND('Entry list'!$I539=5,'Entry list'!$J539=5),'Entry list'!C539,"")</f>
        <v/>
      </c>
      <c r="D539" t="str">
        <f>IF(AND('Entry list'!$I539=5,'Entry list'!$J539=5),'Entry list'!D539,"")</f>
        <v/>
      </c>
      <c r="E539" t="str">
        <f>IF(AND('Entry list'!$I539=5,'Entry list'!$J539=5),'Entry list'!E539,"")</f>
        <v/>
      </c>
      <c r="F539" t="str">
        <f>IF(AND('Entry list'!$I539=5,'Entry list'!$J539=5),'Entry list'!F539,"")</f>
        <v/>
      </c>
      <c r="G539" t="str">
        <f>IF(AND('Entry list'!$I539=5,'Entry list'!$J539=5),'Entry list'!G539,"")</f>
        <v/>
      </c>
      <c r="H539" t="str">
        <f>IF(AND('Entry list'!$I539=5,'Entry list'!$J539=5),'Entry list'!H539,"")</f>
        <v/>
      </c>
      <c r="I539" t="str">
        <f>IF(AND('Entry list'!$I539=5,'Entry list'!$J539=5),'Entry list'!K539,"")</f>
        <v/>
      </c>
      <c r="J539" t="str">
        <f>IF(AND('Entry list'!$I539=5,'Entry list'!$J539=5),'Entry list'!L539,"")</f>
        <v/>
      </c>
      <c r="K539" t="str">
        <f>IF(AND('Entry list'!$I539=5,'Entry list'!$J539=5),'Entry list'!M539,"")</f>
        <v/>
      </c>
      <c r="L539" t="str">
        <f>IF(AND('Entry list'!$I539=5,'Entry list'!$J539=5),'Entry list'!N539,"")</f>
        <v/>
      </c>
      <c r="M539" t="str">
        <f t="shared" si="24"/>
        <v/>
      </c>
      <c r="N539" t="str">
        <f t="shared" si="25"/>
        <v/>
      </c>
      <c r="O539" t="str">
        <f t="shared" si="26"/>
        <v/>
      </c>
    </row>
    <row r="540" spans="1:15" x14ac:dyDescent="0.25">
      <c r="A540" t="str">
        <f>IF(AND('Entry list'!$I540=5,'Entry list'!$J540=5),'Entry list'!A540,"")</f>
        <v/>
      </c>
      <c r="B540" t="str">
        <f>IF(AND('Entry list'!$I540=5,'Entry list'!$J540=5),'Entry list'!B540,"")</f>
        <v/>
      </c>
      <c r="C540" t="str">
        <f>IF(AND('Entry list'!$I540=5,'Entry list'!$J540=5),'Entry list'!C540,"")</f>
        <v/>
      </c>
      <c r="D540" t="str">
        <f>IF(AND('Entry list'!$I540=5,'Entry list'!$J540=5),'Entry list'!D540,"")</f>
        <v/>
      </c>
      <c r="E540" t="str">
        <f>IF(AND('Entry list'!$I540=5,'Entry list'!$J540=5),'Entry list'!E540,"")</f>
        <v/>
      </c>
      <c r="F540" t="str">
        <f>IF(AND('Entry list'!$I540=5,'Entry list'!$J540=5),'Entry list'!F540,"")</f>
        <v/>
      </c>
      <c r="G540" t="str">
        <f>IF(AND('Entry list'!$I540=5,'Entry list'!$J540=5),'Entry list'!G540,"")</f>
        <v/>
      </c>
      <c r="H540" t="str">
        <f>IF(AND('Entry list'!$I540=5,'Entry list'!$J540=5),'Entry list'!H540,"")</f>
        <v/>
      </c>
      <c r="I540" t="str">
        <f>IF(AND('Entry list'!$I540=5,'Entry list'!$J540=5),'Entry list'!K540,"")</f>
        <v/>
      </c>
      <c r="J540" t="str">
        <f>IF(AND('Entry list'!$I540=5,'Entry list'!$J540=5),'Entry list'!L540,"")</f>
        <v/>
      </c>
      <c r="K540" t="str">
        <f>IF(AND('Entry list'!$I540=5,'Entry list'!$J540=5),'Entry list'!M540,"")</f>
        <v/>
      </c>
      <c r="L540" t="str">
        <f>IF(AND('Entry list'!$I540=5,'Entry list'!$J540=5),'Entry list'!N540,"")</f>
        <v/>
      </c>
      <c r="M540" t="str">
        <f t="shared" si="24"/>
        <v/>
      </c>
      <c r="N540" t="str">
        <f t="shared" si="25"/>
        <v/>
      </c>
      <c r="O540" t="str">
        <f t="shared" si="26"/>
        <v/>
      </c>
    </row>
    <row r="541" spans="1:15" x14ac:dyDescent="0.25">
      <c r="A541" t="str">
        <f>IF(AND('Entry list'!$I541=5,'Entry list'!$J541=5),'Entry list'!A541,"")</f>
        <v/>
      </c>
      <c r="B541" t="str">
        <f>IF(AND('Entry list'!$I541=5,'Entry list'!$J541=5),'Entry list'!B541,"")</f>
        <v/>
      </c>
      <c r="C541" t="str">
        <f>IF(AND('Entry list'!$I541=5,'Entry list'!$J541=5),'Entry list'!C541,"")</f>
        <v/>
      </c>
      <c r="D541" t="str">
        <f>IF(AND('Entry list'!$I541=5,'Entry list'!$J541=5),'Entry list'!D541,"")</f>
        <v/>
      </c>
      <c r="E541" t="str">
        <f>IF(AND('Entry list'!$I541=5,'Entry list'!$J541=5),'Entry list'!E541,"")</f>
        <v/>
      </c>
      <c r="F541" t="str">
        <f>IF(AND('Entry list'!$I541=5,'Entry list'!$J541=5),'Entry list'!F541,"")</f>
        <v/>
      </c>
      <c r="G541" t="str">
        <f>IF(AND('Entry list'!$I541=5,'Entry list'!$J541=5),'Entry list'!G541,"")</f>
        <v/>
      </c>
      <c r="H541" t="str">
        <f>IF(AND('Entry list'!$I541=5,'Entry list'!$J541=5),'Entry list'!H541,"")</f>
        <v/>
      </c>
      <c r="I541" t="str">
        <f>IF(AND('Entry list'!$I541=5,'Entry list'!$J541=5),'Entry list'!K541,"")</f>
        <v/>
      </c>
      <c r="J541" t="str">
        <f>IF(AND('Entry list'!$I541=5,'Entry list'!$J541=5),'Entry list'!L541,"")</f>
        <v/>
      </c>
      <c r="K541" t="str">
        <f>IF(AND('Entry list'!$I541=5,'Entry list'!$J541=5),'Entry list'!M541,"")</f>
        <v/>
      </c>
      <c r="L541" t="str">
        <f>IF(AND('Entry list'!$I541=5,'Entry list'!$J541=5),'Entry list'!N541,"")</f>
        <v/>
      </c>
      <c r="M541" t="str">
        <f t="shared" si="24"/>
        <v/>
      </c>
      <c r="N541" t="str">
        <f t="shared" si="25"/>
        <v/>
      </c>
      <c r="O541" t="str">
        <f t="shared" si="26"/>
        <v/>
      </c>
    </row>
    <row r="542" spans="1:15" x14ac:dyDescent="0.25">
      <c r="A542" t="str">
        <f>IF(AND('Entry list'!$I542=5,'Entry list'!$J542=5),'Entry list'!A542,"")</f>
        <v/>
      </c>
      <c r="B542" t="str">
        <f>IF(AND('Entry list'!$I542=5,'Entry list'!$J542=5),'Entry list'!B542,"")</f>
        <v/>
      </c>
      <c r="C542" t="str">
        <f>IF(AND('Entry list'!$I542=5,'Entry list'!$J542=5),'Entry list'!C542,"")</f>
        <v/>
      </c>
      <c r="D542" t="str">
        <f>IF(AND('Entry list'!$I542=5,'Entry list'!$J542=5),'Entry list'!D542,"")</f>
        <v/>
      </c>
      <c r="E542" t="str">
        <f>IF(AND('Entry list'!$I542=5,'Entry list'!$J542=5),'Entry list'!E542,"")</f>
        <v/>
      </c>
      <c r="F542" t="str">
        <f>IF(AND('Entry list'!$I542=5,'Entry list'!$J542=5),'Entry list'!F542,"")</f>
        <v/>
      </c>
      <c r="G542" t="str">
        <f>IF(AND('Entry list'!$I542=5,'Entry list'!$J542=5),'Entry list'!G542,"")</f>
        <v/>
      </c>
      <c r="H542" t="str">
        <f>IF(AND('Entry list'!$I542=5,'Entry list'!$J542=5),'Entry list'!H542,"")</f>
        <v/>
      </c>
      <c r="I542" t="str">
        <f>IF(AND('Entry list'!$I542=5,'Entry list'!$J542=5),'Entry list'!K542,"")</f>
        <v/>
      </c>
      <c r="J542" t="str">
        <f>IF(AND('Entry list'!$I542=5,'Entry list'!$J542=5),'Entry list'!L542,"")</f>
        <v/>
      </c>
      <c r="K542" t="str">
        <f>IF(AND('Entry list'!$I542=5,'Entry list'!$J542=5),'Entry list'!M542,"")</f>
        <v/>
      </c>
      <c r="L542" t="str">
        <f>IF(AND('Entry list'!$I542=5,'Entry list'!$J542=5),'Entry list'!N542,"")</f>
        <v/>
      </c>
      <c r="M542" t="str">
        <f t="shared" si="24"/>
        <v/>
      </c>
      <c r="N542" t="str">
        <f t="shared" si="25"/>
        <v/>
      </c>
      <c r="O542" t="str">
        <f t="shared" si="26"/>
        <v/>
      </c>
    </row>
    <row r="543" spans="1:15" x14ac:dyDescent="0.25">
      <c r="A543" t="str">
        <f>IF(AND('Entry list'!$I543=5,'Entry list'!$J543=5),'Entry list'!A543,"")</f>
        <v/>
      </c>
      <c r="B543" t="str">
        <f>IF(AND('Entry list'!$I543=5,'Entry list'!$J543=5),'Entry list'!B543,"")</f>
        <v/>
      </c>
      <c r="C543" t="str">
        <f>IF(AND('Entry list'!$I543=5,'Entry list'!$J543=5),'Entry list'!C543,"")</f>
        <v/>
      </c>
      <c r="D543" t="str">
        <f>IF(AND('Entry list'!$I543=5,'Entry list'!$J543=5),'Entry list'!D543,"")</f>
        <v/>
      </c>
      <c r="E543" t="str">
        <f>IF(AND('Entry list'!$I543=5,'Entry list'!$J543=5),'Entry list'!E543,"")</f>
        <v/>
      </c>
      <c r="F543" t="str">
        <f>IF(AND('Entry list'!$I543=5,'Entry list'!$J543=5),'Entry list'!F543,"")</f>
        <v/>
      </c>
      <c r="G543" t="str">
        <f>IF(AND('Entry list'!$I543=5,'Entry list'!$J543=5),'Entry list'!G543,"")</f>
        <v/>
      </c>
      <c r="H543" t="str">
        <f>IF(AND('Entry list'!$I543=5,'Entry list'!$J543=5),'Entry list'!H543,"")</f>
        <v/>
      </c>
      <c r="I543" t="str">
        <f>IF(AND('Entry list'!$I543=5,'Entry list'!$J543=5),'Entry list'!K543,"")</f>
        <v/>
      </c>
      <c r="J543" t="str">
        <f>IF(AND('Entry list'!$I543=5,'Entry list'!$J543=5),'Entry list'!L543,"")</f>
        <v/>
      </c>
      <c r="K543" t="str">
        <f>IF(AND('Entry list'!$I543=5,'Entry list'!$J543=5),'Entry list'!M543,"")</f>
        <v/>
      </c>
      <c r="L543" t="str">
        <f>IF(AND('Entry list'!$I543=5,'Entry list'!$J543=5),'Entry list'!N543,"")</f>
        <v/>
      </c>
      <c r="M543" t="str">
        <f t="shared" si="24"/>
        <v/>
      </c>
      <c r="N543" t="str">
        <f t="shared" si="25"/>
        <v/>
      </c>
      <c r="O543" t="str">
        <f t="shared" si="26"/>
        <v/>
      </c>
    </row>
    <row r="544" spans="1:15" x14ac:dyDescent="0.25">
      <c r="A544" t="str">
        <f>IF(AND('Entry list'!$I544=5,'Entry list'!$J544=5),'Entry list'!A544,"")</f>
        <v/>
      </c>
      <c r="B544" t="str">
        <f>IF(AND('Entry list'!$I544=5,'Entry list'!$J544=5),'Entry list'!B544,"")</f>
        <v/>
      </c>
      <c r="C544" t="str">
        <f>IF(AND('Entry list'!$I544=5,'Entry list'!$J544=5),'Entry list'!C544,"")</f>
        <v/>
      </c>
      <c r="D544" t="str">
        <f>IF(AND('Entry list'!$I544=5,'Entry list'!$J544=5),'Entry list'!D544,"")</f>
        <v/>
      </c>
      <c r="E544" t="str">
        <f>IF(AND('Entry list'!$I544=5,'Entry list'!$J544=5),'Entry list'!E544,"")</f>
        <v/>
      </c>
      <c r="F544" t="str">
        <f>IF(AND('Entry list'!$I544=5,'Entry list'!$J544=5),'Entry list'!F544,"")</f>
        <v/>
      </c>
      <c r="G544" t="str">
        <f>IF(AND('Entry list'!$I544=5,'Entry list'!$J544=5),'Entry list'!G544,"")</f>
        <v/>
      </c>
      <c r="H544" t="str">
        <f>IF(AND('Entry list'!$I544=5,'Entry list'!$J544=5),'Entry list'!H544,"")</f>
        <v/>
      </c>
      <c r="I544" t="str">
        <f>IF(AND('Entry list'!$I544=5,'Entry list'!$J544=5),'Entry list'!K544,"")</f>
        <v/>
      </c>
      <c r="J544" t="str">
        <f>IF(AND('Entry list'!$I544=5,'Entry list'!$J544=5),'Entry list'!L544,"")</f>
        <v/>
      </c>
      <c r="K544" t="str">
        <f>IF(AND('Entry list'!$I544=5,'Entry list'!$J544=5),'Entry list'!M544,"")</f>
        <v/>
      </c>
      <c r="L544" t="str">
        <f>IF(AND('Entry list'!$I544=5,'Entry list'!$J544=5),'Entry list'!N544,"")</f>
        <v/>
      </c>
      <c r="M544" t="str">
        <f t="shared" si="24"/>
        <v/>
      </c>
      <c r="N544" t="str">
        <f t="shared" si="25"/>
        <v/>
      </c>
      <c r="O544" t="str">
        <f t="shared" si="26"/>
        <v/>
      </c>
    </row>
    <row r="545" spans="1:15" x14ac:dyDescent="0.25">
      <c r="A545" t="str">
        <f>IF(AND('Entry list'!$I545=5,'Entry list'!$J545=5),'Entry list'!A545,"")</f>
        <v/>
      </c>
      <c r="B545" t="str">
        <f>IF(AND('Entry list'!$I545=5,'Entry list'!$J545=5),'Entry list'!B545,"")</f>
        <v/>
      </c>
      <c r="C545" t="str">
        <f>IF(AND('Entry list'!$I545=5,'Entry list'!$J545=5),'Entry list'!C545,"")</f>
        <v/>
      </c>
      <c r="D545" t="str">
        <f>IF(AND('Entry list'!$I545=5,'Entry list'!$J545=5),'Entry list'!D545,"")</f>
        <v/>
      </c>
      <c r="E545" t="str">
        <f>IF(AND('Entry list'!$I545=5,'Entry list'!$J545=5),'Entry list'!E545,"")</f>
        <v/>
      </c>
      <c r="F545" t="str">
        <f>IF(AND('Entry list'!$I545=5,'Entry list'!$J545=5),'Entry list'!F545,"")</f>
        <v/>
      </c>
      <c r="G545" t="str">
        <f>IF(AND('Entry list'!$I545=5,'Entry list'!$J545=5),'Entry list'!G545,"")</f>
        <v/>
      </c>
      <c r="H545" t="str">
        <f>IF(AND('Entry list'!$I545=5,'Entry list'!$J545=5),'Entry list'!H545,"")</f>
        <v/>
      </c>
      <c r="I545" t="str">
        <f>IF(AND('Entry list'!$I545=5,'Entry list'!$J545=5),'Entry list'!K545,"")</f>
        <v/>
      </c>
      <c r="J545" t="str">
        <f>IF(AND('Entry list'!$I545=5,'Entry list'!$J545=5),'Entry list'!L545,"")</f>
        <v/>
      </c>
      <c r="K545" t="str">
        <f>IF(AND('Entry list'!$I545=5,'Entry list'!$J545=5),'Entry list'!M545,"")</f>
        <v/>
      </c>
      <c r="L545" t="str">
        <f>IF(AND('Entry list'!$I545=5,'Entry list'!$J545=5),'Entry list'!N545,"")</f>
        <v/>
      </c>
      <c r="M545" t="str">
        <f t="shared" si="24"/>
        <v/>
      </c>
      <c r="N545" t="str">
        <f t="shared" si="25"/>
        <v/>
      </c>
      <c r="O545" t="str">
        <f t="shared" si="26"/>
        <v/>
      </c>
    </row>
    <row r="546" spans="1:15" x14ac:dyDescent="0.25">
      <c r="A546" t="str">
        <f>IF(AND('Entry list'!$I546=5,'Entry list'!$J546=5),'Entry list'!A546,"")</f>
        <v/>
      </c>
      <c r="B546" t="str">
        <f>IF(AND('Entry list'!$I546=5,'Entry list'!$J546=5),'Entry list'!B546,"")</f>
        <v/>
      </c>
      <c r="C546" t="str">
        <f>IF(AND('Entry list'!$I546=5,'Entry list'!$J546=5),'Entry list'!C546,"")</f>
        <v/>
      </c>
      <c r="D546" t="str">
        <f>IF(AND('Entry list'!$I546=5,'Entry list'!$J546=5),'Entry list'!D546,"")</f>
        <v/>
      </c>
      <c r="E546" t="str">
        <f>IF(AND('Entry list'!$I546=5,'Entry list'!$J546=5),'Entry list'!E546,"")</f>
        <v/>
      </c>
      <c r="F546" t="str">
        <f>IF(AND('Entry list'!$I546=5,'Entry list'!$J546=5),'Entry list'!F546,"")</f>
        <v/>
      </c>
      <c r="G546" t="str">
        <f>IF(AND('Entry list'!$I546=5,'Entry list'!$J546=5),'Entry list'!G546,"")</f>
        <v/>
      </c>
      <c r="H546" t="str">
        <f>IF(AND('Entry list'!$I546=5,'Entry list'!$J546=5),'Entry list'!H546,"")</f>
        <v/>
      </c>
      <c r="I546" t="str">
        <f>IF(AND('Entry list'!$I546=5,'Entry list'!$J546=5),'Entry list'!K546,"")</f>
        <v/>
      </c>
      <c r="J546" t="str">
        <f>IF(AND('Entry list'!$I546=5,'Entry list'!$J546=5),'Entry list'!L546,"")</f>
        <v/>
      </c>
      <c r="K546" t="str">
        <f>IF(AND('Entry list'!$I546=5,'Entry list'!$J546=5),'Entry list'!M546,"")</f>
        <v/>
      </c>
      <c r="L546" t="str">
        <f>IF(AND('Entry list'!$I546=5,'Entry list'!$J546=5),'Entry list'!N546,"")</f>
        <v/>
      </c>
      <c r="M546" t="str">
        <f t="shared" si="24"/>
        <v/>
      </c>
      <c r="N546" t="str">
        <f t="shared" si="25"/>
        <v/>
      </c>
      <c r="O546" t="str">
        <f t="shared" si="26"/>
        <v/>
      </c>
    </row>
    <row r="547" spans="1:15" x14ac:dyDescent="0.25">
      <c r="A547" t="str">
        <f>IF(AND('Entry list'!$I547=5,'Entry list'!$J547=5),'Entry list'!A547,"")</f>
        <v/>
      </c>
      <c r="B547" t="str">
        <f>IF(AND('Entry list'!$I547=5,'Entry list'!$J547=5),'Entry list'!B547,"")</f>
        <v/>
      </c>
      <c r="C547" t="str">
        <f>IF(AND('Entry list'!$I547=5,'Entry list'!$J547=5),'Entry list'!C547,"")</f>
        <v/>
      </c>
      <c r="D547" t="str">
        <f>IF(AND('Entry list'!$I547=5,'Entry list'!$J547=5),'Entry list'!D547,"")</f>
        <v/>
      </c>
      <c r="E547" t="str">
        <f>IF(AND('Entry list'!$I547=5,'Entry list'!$J547=5),'Entry list'!E547,"")</f>
        <v/>
      </c>
      <c r="F547" t="str">
        <f>IF(AND('Entry list'!$I547=5,'Entry list'!$J547=5),'Entry list'!F547,"")</f>
        <v/>
      </c>
      <c r="G547" t="str">
        <f>IF(AND('Entry list'!$I547=5,'Entry list'!$J547=5),'Entry list'!G547,"")</f>
        <v/>
      </c>
      <c r="H547" t="str">
        <f>IF(AND('Entry list'!$I547=5,'Entry list'!$J547=5),'Entry list'!H547,"")</f>
        <v/>
      </c>
      <c r="I547" t="str">
        <f>IF(AND('Entry list'!$I547=5,'Entry list'!$J547=5),'Entry list'!K547,"")</f>
        <v/>
      </c>
      <c r="J547" t="str">
        <f>IF(AND('Entry list'!$I547=5,'Entry list'!$J547=5),'Entry list'!L547,"")</f>
        <v/>
      </c>
      <c r="K547" t="str">
        <f>IF(AND('Entry list'!$I547=5,'Entry list'!$J547=5),'Entry list'!M547,"")</f>
        <v/>
      </c>
      <c r="L547" t="str">
        <f>IF(AND('Entry list'!$I547=5,'Entry list'!$J547=5),'Entry list'!N547,"")</f>
        <v/>
      </c>
      <c r="M547" t="str">
        <f t="shared" si="24"/>
        <v/>
      </c>
      <c r="N547" t="str">
        <f t="shared" si="25"/>
        <v/>
      </c>
      <c r="O547" t="str">
        <f t="shared" si="26"/>
        <v/>
      </c>
    </row>
    <row r="548" spans="1:15" x14ac:dyDescent="0.25">
      <c r="A548" t="str">
        <f>IF(AND('Entry list'!$I548=5,'Entry list'!$J548=5),'Entry list'!A548,"")</f>
        <v/>
      </c>
      <c r="B548" t="str">
        <f>IF(AND('Entry list'!$I548=5,'Entry list'!$J548=5),'Entry list'!B548,"")</f>
        <v/>
      </c>
      <c r="C548" t="str">
        <f>IF(AND('Entry list'!$I548=5,'Entry list'!$J548=5),'Entry list'!C548,"")</f>
        <v/>
      </c>
      <c r="D548" t="str">
        <f>IF(AND('Entry list'!$I548=5,'Entry list'!$J548=5),'Entry list'!D548,"")</f>
        <v/>
      </c>
      <c r="E548" t="str">
        <f>IF(AND('Entry list'!$I548=5,'Entry list'!$J548=5),'Entry list'!E548,"")</f>
        <v/>
      </c>
      <c r="F548" t="str">
        <f>IF(AND('Entry list'!$I548=5,'Entry list'!$J548=5),'Entry list'!F548,"")</f>
        <v/>
      </c>
      <c r="G548" t="str">
        <f>IF(AND('Entry list'!$I548=5,'Entry list'!$J548=5),'Entry list'!G548,"")</f>
        <v/>
      </c>
      <c r="H548" t="str">
        <f>IF(AND('Entry list'!$I548=5,'Entry list'!$J548=5),'Entry list'!H548,"")</f>
        <v/>
      </c>
      <c r="I548" t="str">
        <f>IF(AND('Entry list'!$I548=5,'Entry list'!$J548=5),'Entry list'!K548,"")</f>
        <v/>
      </c>
      <c r="J548" t="str">
        <f>IF(AND('Entry list'!$I548=5,'Entry list'!$J548=5),'Entry list'!L548,"")</f>
        <v/>
      </c>
      <c r="K548" t="str">
        <f>IF(AND('Entry list'!$I548=5,'Entry list'!$J548=5),'Entry list'!M548,"")</f>
        <v/>
      </c>
      <c r="L548" t="str">
        <f>IF(AND('Entry list'!$I548=5,'Entry list'!$J548=5),'Entry list'!N548,"")</f>
        <v/>
      </c>
      <c r="M548" t="str">
        <f t="shared" si="24"/>
        <v/>
      </c>
      <c r="N548" t="str">
        <f t="shared" si="25"/>
        <v/>
      </c>
      <c r="O548" t="str">
        <f t="shared" si="26"/>
        <v/>
      </c>
    </row>
    <row r="549" spans="1:15" x14ac:dyDescent="0.25">
      <c r="A549" t="str">
        <f>IF(AND('Entry list'!$I549=5,'Entry list'!$J549=5),'Entry list'!A549,"")</f>
        <v/>
      </c>
      <c r="B549" t="str">
        <f>IF(AND('Entry list'!$I549=5,'Entry list'!$J549=5),'Entry list'!B549,"")</f>
        <v/>
      </c>
      <c r="C549" t="str">
        <f>IF(AND('Entry list'!$I549=5,'Entry list'!$J549=5),'Entry list'!C549,"")</f>
        <v/>
      </c>
      <c r="D549" t="str">
        <f>IF(AND('Entry list'!$I549=5,'Entry list'!$J549=5),'Entry list'!D549,"")</f>
        <v/>
      </c>
      <c r="E549" t="str">
        <f>IF(AND('Entry list'!$I549=5,'Entry list'!$J549=5),'Entry list'!E549,"")</f>
        <v/>
      </c>
      <c r="F549" t="str">
        <f>IF(AND('Entry list'!$I549=5,'Entry list'!$J549=5),'Entry list'!F549,"")</f>
        <v/>
      </c>
      <c r="G549" t="str">
        <f>IF(AND('Entry list'!$I549=5,'Entry list'!$J549=5),'Entry list'!G549,"")</f>
        <v/>
      </c>
      <c r="H549" t="str">
        <f>IF(AND('Entry list'!$I549=5,'Entry list'!$J549=5),'Entry list'!H549,"")</f>
        <v/>
      </c>
      <c r="I549" t="str">
        <f>IF(AND('Entry list'!$I549=5,'Entry list'!$J549=5),'Entry list'!K549,"")</f>
        <v/>
      </c>
      <c r="J549" t="str">
        <f>IF(AND('Entry list'!$I549=5,'Entry list'!$J549=5),'Entry list'!L549,"")</f>
        <v/>
      </c>
      <c r="K549" t="str">
        <f>IF(AND('Entry list'!$I549=5,'Entry list'!$J549=5),'Entry list'!M549,"")</f>
        <v/>
      </c>
      <c r="L549" t="str">
        <f>IF(AND('Entry list'!$I549=5,'Entry list'!$J549=5),'Entry list'!N549,"")</f>
        <v/>
      </c>
      <c r="M549" t="str">
        <f t="shared" si="24"/>
        <v/>
      </c>
      <c r="N549" t="str">
        <f t="shared" si="25"/>
        <v/>
      </c>
      <c r="O549" t="str">
        <f t="shared" si="26"/>
        <v/>
      </c>
    </row>
    <row r="550" spans="1:15" x14ac:dyDescent="0.25">
      <c r="A550" t="str">
        <f>IF(AND('Entry list'!$I550=5,'Entry list'!$J550=5),'Entry list'!A550,"")</f>
        <v/>
      </c>
      <c r="B550" t="str">
        <f>IF(AND('Entry list'!$I550=5,'Entry list'!$J550=5),'Entry list'!B550,"")</f>
        <v/>
      </c>
      <c r="C550" t="str">
        <f>IF(AND('Entry list'!$I550=5,'Entry list'!$J550=5),'Entry list'!C550,"")</f>
        <v/>
      </c>
      <c r="D550" t="str">
        <f>IF(AND('Entry list'!$I550=5,'Entry list'!$J550=5),'Entry list'!D550,"")</f>
        <v/>
      </c>
      <c r="E550" t="str">
        <f>IF(AND('Entry list'!$I550=5,'Entry list'!$J550=5),'Entry list'!E550,"")</f>
        <v/>
      </c>
      <c r="F550" t="str">
        <f>IF(AND('Entry list'!$I550=5,'Entry list'!$J550=5),'Entry list'!F550,"")</f>
        <v/>
      </c>
      <c r="G550" t="str">
        <f>IF(AND('Entry list'!$I550=5,'Entry list'!$J550=5),'Entry list'!G550,"")</f>
        <v/>
      </c>
      <c r="H550" t="str">
        <f>IF(AND('Entry list'!$I550=5,'Entry list'!$J550=5),'Entry list'!H550,"")</f>
        <v/>
      </c>
      <c r="I550" t="str">
        <f>IF(AND('Entry list'!$I550=5,'Entry list'!$J550=5),'Entry list'!K550,"")</f>
        <v/>
      </c>
      <c r="J550" t="str">
        <f>IF(AND('Entry list'!$I550=5,'Entry list'!$J550=5),'Entry list'!L550,"")</f>
        <v/>
      </c>
      <c r="K550" t="str">
        <f>IF(AND('Entry list'!$I550=5,'Entry list'!$J550=5),'Entry list'!M550,"")</f>
        <v/>
      </c>
      <c r="L550" t="str">
        <f>IF(AND('Entry list'!$I550=5,'Entry list'!$J550=5),'Entry list'!N550,"")</f>
        <v/>
      </c>
      <c r="M550" t="str">
        <f t="shared" si="24"/>
        <v/>
      </c>
      <c r="N550" t="str">
        <f t="shared" si="25"/>
        <v/>
      </c>
      <c r="O550" t="str">
        <f t="shared" si="26"/>
        <v/>
      </c>
    </row>
    <row r="551" spans="1:15" x14ac:dyDescent="0.25">
      <c r="A551" t="str">
        <f>IF(AND('Entry list'!$I551=5,'Entry list'!$J551=5),'Entry list'!A551,"")</f>
        <v/>
      </c>
      <c r="B551" t="str">
        <f>IF(AND('Entry list'!$I551=5,'Entry list'!$J551=5),'Entry list'!B551,"")</f>
        <v/>
      </c>
      <c r="C551" t="str">
        <f>IF(AND('Entry list'!$I551=5,'Entry list'!$J551=5),'Entry list'!C551,"")</f>
        <v/>
      </c>
      <c r="D551" t="str">
        <f>IF(AND('Entry list'!$I551=5,'Entry list'!$J551=5),'Entry list'!D551,"")</f>
        <v/>
      </c>
      <c r="E551" t="str">
        <f>IF(AND('Entry list'!$I551=5,'Entry list'!$J551=5),'Entry list'!E551,"")</f>
        <v/>
      </c>
      <c r="F551" t="str">
        <f>IF(AND('Entry list'!$I551=5,'Entry list'!$J551=5),'Entry list'!F551,"")</f>
        <v/>
      </c>
      <c r="G551" t="str">
        <f>IF(AND('Entry list'!$I551=5,'Entry list'!$J551=5),'Entry list'!G551,"")</f>
        <v/>
      </c>
      <c r="H551" t="str">
        <f>IF(AND('Entry list'!$I551=5,'Entry list'!$J551=5),'Entry list'!H551,"")</f>
        <v/>
      </c>
      <c r="I551" t="str">
        <f>IF(AND('Entry list'!$I551=5,'Entry list'!$J551=5),'Entry list'!K551,"")</f>
        <v/>
      </c>
      <c r="J551" t="str">
        <f>IF(AND('Entry list'!$I551=5,'Entry list'!$J551=5),'Entry list'!L551,"")</f>
        <v/>
      </c>
      <c r="K551" t="str">
        <f>IF(AND('Entry list'!$I551=5,'Entry list'!$J551=5),'Entry list'!M551,"")</f>
        <v/>
      </c>
      <c r="L551" t="str">
        <f>IF(AND('Entry list'!$I551=5,'Entry list'!$J551=5),'Entry list'!N551,"")</f>
        <v/>
      </c>
      <c r="M551" t="str">
        <f t="shared" si="24"/>
        <v/>
      </c>
      <c r="N551" t="str">
        <f t="shared" si="25"/>
        <v/>
      </c>
      <c r="O551" t="str">
        <f t="shared" si="26"/>
        <v/>
      </c>
    </row>
    <row r="552" spans="1:15" x14ac:dyDescent="0.25">
      <c r="A552" t="str">
        <f>IF(AND('Entry list'!$I552=5,'Entry list'!$J552=5),'Entry list'!A552,"")</f>
        <v/>
      </c>
      <c r="B552" t="str">
        <f>IF(AND('Entry list'!$I552=5,'Entry list'!$J552=5),'Entry list'!B552,"")</f>
        <v/>
      </c>
      <c r="C552" t="str">
        <f>IF(AND('Entry list'!$I552=5,'Entry list'!$J552=5),'Entry list'!C552,"")</f>
        <v/>
      </c>
      <c r="D552" t="str">
        <f>IF(AND('Entry list'!$I552=5,'Entry list'!$J552=5),'Entry list'!D552,"")</f>
        <v/>
      </c>
      <c r="E552" t="str">
        <f>IF(AND('Entry list'!$I552=5,'Entry list'!$J552=5),'Entry list'!E552,"")</f>
        <v/>
      </c>
      <c r="F552" t="str">
        <f>IF(AND('Entry list'!$I552=5,'Entry list'!$J552=5),'Entry list'!F552,"")</f>
        <v/>
      </c>
      <c r="G552" t="str">
        <f>IF(AND('Entry list'!$I552=5,'Entry list'!$J552=5),'Entry list'!G552,"")</f>
        <v/>
      </c>
      <c r="H552" t="str">
        <f>IF(AND('Entry list'!$I552=5,'Entry list'!$J552=5),'Entry list'!H552,"")</f>
        <v/>
      </c>
      <c r="I552" t="str">
        <f>IF(AND('Entry list'!$I552=5,'Entry list'!$J552=5),'Entry list'!K552,"")</f>
        <v/>
      </c>
      <c r="J552" t="str">
        <f>IF(AND('Entry list'!$I552=5,'Entry list'!$J552=5),'Entry list'!L552,"")</f>
        <v/>
      </c>
      <c r="K552" t="str">
        <f>IF(AND('Entry list'!$I552=5,'Entry list'!$J552=5),'Entry list'!M552,"")</f>
        <v/>
      </c>
      <c r="L552" t="str">
        <f>IF(AND('Entry list'!$I552=5,'Entry list'!$J552=5),'Entry list'!N552,"")</f>
        <v/>
      </c>
      <c r="M552" t="str">
        <f t="shared" si="24"/>
        <v/>
      </c>
      <c r="N552" t="str">
        <f t="shared" si="25"/>
        <v/>
      </c>
      <c r="O552" t="str">
        <f t="shared" si="26"/>
        <v/>
      </c>
    </row>
    <row r="553" spans="1:15" x14ac:dyDescent="0.25">
      <c r="A553" t="str">
        <f>IF(AND('Entry list'!$I553=5,'Entry list'!$J553=5),'Entry list'!A553,"")</f>
        <v/>
      </c>
      <c r="B553" t="str">
        <f>IF(AND('Entry list'!$I553=5,'Entry list'!$J553=5),'Entry list'!B553,"")</f>
        <v/>
      </c>
      <c r="C553" t="str">
        <f>IF(AND('Entry list'!$I553=5,'Entry list'!$J553=5),'Entry list'!C553,"")</f>
        <v/>
      </c>
      <c r="D553" t="str">
        <f>IF(AND('Entry list'!$I553=5,'Entry list'!$J553=5),'Entry list'!D553,"")</f>
        <v/>
      </c>
      <c r="E553" t="str">
        <f>IF(AND('Entry list'!$I553=5,'Entry list'!$J553=5),'Entry list'!E553,"")</f>
        <v/>
      </c>
      <c r="F553" t="str">
        <f>IF(AND('Entry list'!$I553=5,'Entry list'!$J553=5),'Entry list'!F553,"")</f>
        <v/>
      </c>
      <c r="G553" t="str">
        <f>IF(AND('Entry list'!$I553=5,'Entry list'!$J553=5),'Entry list'!G553,"")</f>
        <v/>
      </c>
      <c r="H553" t="str">
        <f>IF(AND('Entry list'!$I553=5,'Entry list'!$J553=5),'Entry list'!H553,"")</f>
        <v/>
      </c>
      <c r="I553" t="str">
        <f>IF(AND('Entry list'!$I553=5,'Entry list'!$J553=5),'Entry list'!K553,"")</f>
        <v/>
      </c>
      <c r="J553" t="str">
        <f>IF(AND('Entry list'!$I553=5,'Entry list'!$J553=5),'Entry list'!L553,"")</f>
        <v/>
      </c>
      <c r="K553" t="str">
        <f>IF(AND('Entry list'!$I553=5,'Entry list'!$J553=5),'Entry list'!M553,"")</f>
        <v/>
      </c>
      <c r="L553" t="str">
        <f>IF(AND('Entry list'!$I553=5,'Entry list'!$J553=5),'Entry list'!N553,"")</f>
        <v/>
      </c>
      <c r="M553" t="str">
        <f t="shared" si="24"/>
        <v/>
      </c>
      <c r="N553" t="str">
        <f t="shared" si="25"/>
        <v/>
      </c>
      <c r="O553" t="str">
        <f t="shared" si="26"/>
        <v/>
      </c>
    </row>
    <row r="554" spans="1:15" x14ac:dyDescent="0.25">
      <c r="A554" t="str">
        <f>IF(AND('Entry list'!$I554=5,'Entry list'!$J554=5),'Entry list'!A554,"")</f>
        <v/>
      </c>
      <c r="B554" t="str">
        <f>IF(AND('Entry list'!$I554=5,'Entry list'!$J554=5),'Entry list'!B554,"")</f>
        <v/>
      </c>
      <c r="C554" t="str">
        <f>IF(AND('Entry list'!$I554=5,'Entry list'!$J554=5),'Entry list'!C554,"")</f>
        <v/>
      </c>
      <c r="D554" t="str">
        <f>IF(AND('Entry list'!$I554=5,'Entry list'!$J554=5),'Entry list'!D554,"")</f>
        <v/>
      </c>
      <c r="E554" t="str">
        <f>IF(AND('Entry list'!$I554=5,'Entry list'!$J554=5),'Entry list'!E554,"")</f>
        <v/>
      </c>
      <c r="F554" t="str">
        <f>IF(AND('Entry list'!$I554=5,'Entry list'!$J554=5),'Entry list'!F554,"")</f>
        <v/>
      </c>
      <c r="G554" t="str">
        <f>IF(AND('Entry list'!$I554=5,'Entry list'!$J554=5),'Entry list'!G554,"")</f>
        <v/>
      </c>
      <c r="H554" t="str">
        <f>IF(AND('Entry list'!$I554=5,'Entry list'!$J554=5),'Entry list'!H554,"")</f>
        <v/>
      </c>
      <c r="I554" t="str">
        <f>IF(AND('Entry list'!$I554=5,'Entry list'!$J554=5),'Entry list'!K554,"")</f>
        <v/>
      </c>
      <c r="J554" t="str">
        <f>IF(AND('Entry list'!$I554=5,'Entry list'!$J554=5),'Entry list'!L554,"")</f>
        <v/>
      </c>
      <c r="K554" t="str">
        <f>IF(AND('Entry list'!$I554=5,'Entry list'!$J554=5),'Entry list'!M554,"")</f>
        <v/>
      </c>
      <c r="L554" t="str">
        <f>IF(AND('Entry list'!$I554=5,'Entry list'!$J554=5),'Entry list'!N554,"")</f>
        <v/>
      </c>
      <c r="M554" t="str">
        <f t="shared" si="24"/>
        <v/>
      </c>
      <c r="N554" t="str">
        <f t="shared" si="25"/>
        <v/>
      </c>
      <c r="O554" t="str">
        <f t="shared" si="26"/>
        <v/>
      </c>
    </row>
    <row r="555" spans="1:15" x14ac:dyDescent="0.25">
      <c r="A555" t="str">
        <f>IF(AND('Entry list'!$I555=5,'Entry list'!$J555=5),'Entry list'!A555,"")</f>
        <v/>
      </c>
      <c r="B555" t="str">
        <f>IF(AND('Entry list'!$I555=5,'Entry list'!$J555=5),'Entry list'!B555,"")</f>
        <v/>
      </c>
      <c r="C555" t="str">
        <f>IF(AND('Entry list'!$I555=5,'Entry list'!$J555=5),'Entry list'!C555,"")</f>
        <v/>
      </c>
      <c r="D555" t="str">
        <f>IF(AND('Entry list'!$I555=5,'Entry list'!$J555=5),'Entry list'!D555,"")</f>
        <v/>
      </c>
      <c r="E555" t="str">
        <f>IF(AND('Entry list'!$I555=5,'Entry list'!$J555=5),'Entry list'!E555,"")</f>
        <v/>
      </c>
      <c r="F555" t="str">
        <f>IF(AND('Entry list'!$I555=5,'Entry list'!$J555=5),'Entry list'!F555,"")</f>
        <v/>
      </c>
      <c r="G555" t="str">
        <f>IF(AND('Entry list'!$I555=5,'Entry list'!$J555=5),'Entry list'!G555,"")</f>
        <v/>
      </c>
      <c r="H555" t="str">
        <f>IF(AND('Entry list'!$I555=5,'Entry list'!$J555=5),'Entry list'!H555,"")</f>
        <v/>
      </c>
      <c r="I555" t="str">
        <f>IF(AND('Entry list'!$I555=5,'Entry list'!$J555=5),'Entry list'!K555,"")</f>
        <v/>
      </c>
      <c r="J555" t="str">
        <f>IF(AND('Entry list'!$I555=5,'Entry list'!$J555=5),'Entry list'!L555,"")</f>
        <v/>
      </c>
      <c r="K555" t="str">
        <f>IF(AND('Entry list'!$I555=5,'Entry list'!$J555=5),'Entry list'!M555,"")</f>
        <v/>
      </c>
      <c r="L555" t="str">
        <f>IF(AND('Entry list'!$I555=5,'Entry list'!$J555=5),'Entry list'!N555,"")</f>
        <v/>
      </c>
      <c r="M555" t="str">
        <f t="shared" si="24"/>
        <v/>
      </c>
      <c r="N555" t="str">
        <f t="shared" si="25"/>
        <v/>
      </c>
      <c r="O555" t="str">
        <f t="shared" si="26"/>
        <v/>
      </c>
    </row>
    <row r="556" spans="1:15" x14ac:dyDescent="0.25">
      <c r="A556" t="str">
        <f>IF(AND('Entry list'!$I556=5,'Entry list'!$J556=5),'Entry list'!A556,"")</f>
        <v/>
      </c>
      <c r="B556" t="str">
        <f>IF(AND('Entry list'!$I556=5,'Entry list'!$J556=5),'Entry list'!B556,"")</f>
        <v/>
      </c>
      <c r="C556" t="str">
        <f>IF(AND('Entry list'!$I556=5,'Entry list'!$J556=5),'Entry list'!C556,"")</f>
        <v/>
      </c>
      <c r="D556" t="str">
        <f>IF(AND('Entry list'!$I556=5,'Entry list'!$J556=5),'Entry list'!D556,"")</f>
        <v/>
      </c>
      <c r="E556" t="str">
        <f>IF(AND('Entry list'!$I556=5,'Entry list'!$J556=5),'Entry list'!E556,"")</f>
        <v/>
      </c>
      <c r="F556" t="str">
        <f>IF(AND('Entry list'!$I556=5,'Entry list'!$J556=5),'Entry list'!F556,"")</f>
        <v/>
      </c>
      <c r="G556" t="str">
        <f>IF(AND('Entry list'!$I556=5,'Entry list'!$J556=5),'Entry list'!G556,"")</f>
        <v/>
      </c>
      <c r="H556" t="str">
        <f>IF(AND('Entry list'!$I556=5,'Entry list'!$J556=5),'Entry list'!H556,"")</f>
        <v/>
      </c>
      <c r="I556" t="str">
        <f>IF(AND('Entry list'!$I556=5,'Entry list'!$J556=5),'Entry list'!K556,"")</f>
        <v/>
      </c>
      <c r="J556" t="str">
        <f>IF(AND('Entry list'!$I556=5,'Entry list'!$J556=5),'Entry list'!L556,"")</f>
        <v/>
      </c>
      <c r="K556" t="str">
        <f>IF(AND('Entry list'!$I556=5,'Entry list'!$J556=5),'Entry list'!M556,"")</f>
        <v/>
      </c>
      <c r="L556" t="str">
        <f>IF(AND('Entry list'!$I556=5,'Entry list'!$J556=5),'Entry list'!N556,"")</f>
        <v/>
      </c>
      <c r="M556" t="str">
        <f t="shared" si="24"/>
        <v/>
      </c>
      <c r="N556" t="str">
        <f t="shared" si="25"/>
        <v/>
      </c>
      <c r="O556" t="str">
        <f t="shared" si="26"/>
        <v/>
      </c>
    </row>
    <row r="557" spans="1:15" x14ac:dyDescent="0.25">
      <c r="A557" t="str">
        <f>IF(AND('Entry list'!$I557=5,'Entry list'!$J557=5),'Entry list'!A557,"")</f>
        <v/>
      </c>
      <c r="B557" t="str">
        <f>IF(AND('Entry list'!$I557=5,'Entry list'!$J557=5),'Entry list'!B557,"")</f>
        <v/>
      </c>
      <c r="C557" t="str">
        <f>IF(AND('Entry list'!$I557=5,'Entry list'!$J557=5),'Entry list'!C557,"")</f>
        <v/>
      </c>
      <c r="D557" t="str">
        <f>IF(AND('Entry list'!$I557=5,'Entry list'!$J557=5),'Entry list'!D557,"")</f>
        <v/>
      </c>
      <c r="E557" t="str">
        <f>IF(AND('Entry list'!$I557=5,'Entry list'!$J557=5),'Entry list'!E557,"")</f>
        <v/>
      </c>
      <c r="F557" t="str">
        <f>IF(AND('Entry list'!$I557=5,'Entry list'!$J557=5),'Entry list'!F557,"")</f>
        <v/>
      </c>
      <c r="G557" t="str">
        <f>IF(AND('Entry list'!$I557=5,'Entry list'!$J557=5),'Entry list'!G557,"")</f>
        <v/>
      </c>
      <c r="H557" t="str">
        <f>IF(AND('Entry list'!$I557=5,'Entry list'!$J557=5),'Entry list'!H557,"")</f>
        <v/>
      </c>
      <c r="I557" t="str">
        <f>IF(AND('Entry list'!$I557=5,'Entry list'!$J557=5),'Entry list'!K557,"")</f>
        <v/>
      </c>
      <c r="J557" t="str">
        <f>IF(AND('Entry list'!$I557=5,'Entry list'!$J557=5),'Entry list'!L557,"")</f>
        <v/>
      </c>
      <c r="K557" t="str">
        <f>IF(AND('Entry list'!$I557=5,'Entry list'!$J557=5),'Entry list'!M557,"")</f>
        <v/>
      </c>
      <c r="L557" t="str">
        <f>IF(AND('Entry list'!$I557=5,'Entry list'!$J557=5),'Entry list'!N557,"")</f>
        <v/>
      </c>
      <c r="M557" t="str">
        <f t="shared" si="24"/>
        <v/>
      </c>
      <c r="N557" t="str">
        <f t="shared" si="25"/>
        <v/>
      </c>
      <c r="O557" t="str">
        <f t="shared" si="26"/>
        <v/>
      </c>
    </row>
    <row r="558" spans="1:15" x14ac:dyDescent="0.25">
      <c r="A558" t="str">
        <f>IF(AND('Entry list'!$I558=5,'Entry list'!$J558=5),'Entry list'!A558,"")</f>
        <v/>
      </c>
      <c r="B558" t="str">
        <f>IF(AND('Entry list'!$I558=5,'Entry list'!$J558=5),'Entry list'!B558,"")</f>
        <v/>
      </c>
      <c r="C558" t="str">
        <f>IF(AND('Entry list'!$I558=5,'Entry list'!$J558=5),'Entry list'!C558,"")</f>
        <v/>
      </c>
      <c r="D558" t="str">
        <f>IF(AND('Entry list'!$I558=5,'Entry list'!$J558=5),'Entry list'!D558,"")</f>
        <v/>
      </c>
      <c r="E558" t="str">
        <f>IF(AND('Entry list'!$I558=5,'Entry list'!$J558=5),'Entry list'!E558,"")</f>
        <v/>
      </c>
      <c r="F558" t="str">
        <f>IF(AND('Entry list'!$I558=5,'Entry list'!$J558=5),'Entry list'!F558,"")</f>
        <v/>
      </c>
      <c r="G558" t="str">
        <f>IF(AND('Entry list'!$I558=5,'Entry list'!$J558=5),'Entry list'!G558,"")</f>
        <v/>
      </c>
      <c r="H558" t="str">
        <f>IF(AND('Entry list'!$I558=5,'Entry list'!$J558=5),'Entry list'!H558,"")</f>
        <v/>
      </c>
      <c r="I558" t="str">
        <f>IF(AND('Entry list'!$I558=5,'Entry list'!$J558=5),'Entry list'!K558,"")</f>
        <v/>
      </c>
      <c r="J558" t="str">
        <f>IF(AND('Entry list'!$I558=5,'Entry list'!$J558=5),'Entry list'!L558,"")</f>
        <v/>
      </c>
      <c r="K558" t="str">
        <f>IF(AND('Entry list'!$I558=5,'Entry list'!$J558=5),'Entry list'!M558,"")</f>
        <v/>
      </c>
      <c r="L558" t="str">
        <f>IF(AND('Entry list'!$I558=5,'Entry list'!$J558=5),'Entry list'!N558,"")</f>
        <v/>
      </c>
      <c r="M558" t="str">
        <f t="shared" si="24"/>
        <v/>
      </c>
      <c r="N558" t="str">
        <f t="shared" si="25"/>
        <v/>
      </c>
      <c r="O558" t="str">
        <f t="shared" si="26"/>
        <v/>
      </c>
    </row>
    <row r="559" spans="1:15" x14ac:dyDescent="0.25">
      <c r="A559" t="str">
        <f>IF(AND('Entry list'!$I559=5,'Entry list'!$J559=5),'Entry list'!A559,"")</f>
        <v/>
      </c>
      <c r="B559" t="str">
        <f>IF(AND('Entry list'!$I559=5,'Entry list'!$J559=5),'Entry list'!B559,"")</f>
        <v/>
      </c>
      <c r="C559" t="str">
        <f>IF(AND('Entry list'!$I559=5,'Entry list'!$J559=5),'Entry list'!C559,"")</f>
        <v/>
      </c>
      <c r="D559" t="str">
        <f>IF(AND('Entry list'!$I559=5,'Entry list'!$J559=5),'Entry list'!D559,"")</f>
        <v/>
      </c>
      <c r="E559" t="str">
        <f>IF(AND('Entry list'!$I559=5,'Entry list'!$J559=5),'Entry list'!E559,"")</f>
        <v/>
      </c>
      <c r="F559" t="str">
        <f>IF(AND('Entry list'!$I559=5,'Entry list'!$J559=5),'Entry list'!F559,"")</f>
        <v/>
      </c>
      <c r="G559" t="str">
        <f>IF(AND('Entry list'!$I559=5,'Entry list'!$J559=5),'Entry list'!G559,"")</f>
        <v/>
      </c>
      <c r="H559" t="str">
        <f>IF(AND('Entry list'!$I559=5,'Entry list'!$J559=5),'Entry list'!H559,"")</f>
        <v/>
      </c>
      <c r="I559" t="str">
        <f>IF(AND('Entry list'!$I559=5,'Entry list'!$J559=5),'Entry list'!K559,"")</f>
        <v/>
      </c>
      <c r="J559" t="str">
        <f>IF(AND('Entry list'!$I559=5,'Entry list'!$J559=5),'Entry list'!L559,"")</f>
        <v/>
      </c>
      <c r="K559" t="str">
        <f>IF(AND('Entry list'!$I559=5,'Entry list'!$J559=5),'Entry list'!M559,"")</f>
        <v/>
      </c>
      <c r="L559" t="str">
        <f>IF(AND('Entry list'!$I559=5,'Entry list'!$J559=5),'Entry list'!N559,"")</f>
        <v/>
      </c>
      <c r="M559" t="str">
        <f t="shared" si="24"/>
        <v/>
      </c>
      <c r="N559" t="str">
        <f t="shared" si="25"/>
        <v/>
      </c>
      <c r="O559" t="str">
        <f t="shared" si="26"/>
        <v/>
      </c>
    </row>
    <row r="560" spans="1:15" x14ac:dyDescent="0.25">
      <c r="A560" t="str">
        <f>IF(AND('Entry list'!$I560=5,'Entry list'!$J560=5),'Entry list'!A560,"")</f>
        <v/>
      </c>
      <c r="B560" t="str">
        <f>IF(AND('Entry list'!$I560=5,'Entry list'!$J560=5),'Entry list'!B560,"")</f>
        <v/>
      </c>
      <c r="C560" t="str">
        <f>IF(AND('Entry list'!$I560=5,'Entry list'!$J560=5),'Entry list'!C560,"")</f>
        <v/>
      </c>
      <c r="D560" t="str">
        <f>IF(AND('Entry list'!$I560=5,'Entry list'!$J560=5),'Entry list'!D560,"")</f>
        <v/>
      </c>
      <c r="E560" t="str">
        <f>IF(AND('Entry list'!$I560=5,'Entry list'!$J560=5),'Entry list'!E560,"")</f>
        <v/>
      </c>
      <c r="F560" t="str">
        <f>IF(AND('Entry list'!$I560=5,'Entry list'!$J560=5),'Entry list'!F560,"")</f>
        <v/>
      </c>
      <c r="G560" t="str">
        <f>IF(AND('Entry list'!$I560=5,'Entry list'!$J560=5),'Entry list'!G560,"")</f>
        <v/>
      </c>
      <c r="H560" t="str">
        <f>IF(AND('Entry list'!$I560=5,'Entry list'!$J560=5),'Entry list'!H560,"")</f>
        <v/>
      </c>
      <c r="I560" t="str">
        <f>IF(AND('Entry list'!$I560=5,'Entry list'!$J560=5),'Entry list'!K560,"")</f>
        <v/>
      </c>
      <c r="J560" t="str">
        <f>IF(AND('Entry list'!$I560=5,'Entry list'!$J560=5),'Entry list'!L560,"")</f>
        <v/>
      </c>
      <c r="K560" t="str">
        <f>IF(AND('Entry list'!$I560=5,'Entry list'!$J560=5),'Entry list'!M560,"")</f>
        <v/>
      </c>
      <c r="L560" t="str">
        <f>IF(AND('Entry list'!$I560=5,'Entry list'!$J560=5),'Entry list'!N560,"")</f>
        <v/>
      </c>
      <c r="M560" t="str">
        <f t="shared" si="24"/>
        <v/>
      </c>
      <c r="N560" t="str">
        <f t="shared" si="25"/>
        <v/>
      </c>
      <c r="O560" t="str">
        <f t="shared" si="26"/>
        <v/>
      </c>
    </row>
    <row r="561" spans="1:15" x14ac:dyDescent="0.25">
      <c r="A561" t="str">
        <f>IF(AND('Entry list'!$I561=5,'Entry list'!$J561=5),'Entry list'!A561,"")</f>
        <v/>
      </c>
      <c r="B561" t="str">
        <f>IF(AND('Entry list'!$I561=5,'Entry list'!$J561=5),'Entry list'!B561,"")</f>
        <v/>
      </c>
      <c r="C561" t="str">
        <f>IF(AND('Entry list'!$I561=5,'Entry list'!$J561=5),'Entry list'!C561,"")</f>
        <v/>
      </c>
      <c r="D561" t="str">
        <f>IF(AND('Entry list'!$I561=5,'Entry list'!$J561=5),'Entry list'!D561,"")</f>
        <v/>
      </c>
      <c r="E561" t="str">
        <f>IF(AND('Entry list'!$I561=5,'Entry list'!$J561=5),'Entry list'!E561,"")</f>
        <v/>
      </c>
      <c r="F561" t="str">
        <f>IF(AND('Entry list'!$I561=5,'Entry list'!$J561=5),'Entry list'!F561,"")</f>
        <v/>
      </c>
      <c r="G561" t="str">
        <f>IF(AND('Entry list'!$I561=5,'Entry list'!$J561=5),'Entry list'!G561,"")</f>
        <v/>
      </c>
      <c r="H561" t="str">
        <f>IF(AND('Entry list'!$I561=5,'Entry list'!$J561=5),'Entry list'!H561,"")</f>
        <v/>
      </c>
      <c r="I561" t="str">
        <f>IF(AND('Entry list'!$I561=5,'Entry list'!$J561=5),'Entry list'!K561,"")</f>
        <v/>
      </c>
      <c r="J561" t="str">
        <f>IF(AND('Entry list'!$I561=5,'Entry list'!$J561=5),'Entry list'!L561,"")</f>
        <v/>
      </c>
      <c r="K561" t="str">
        <f>IF(AND('Entry list'!$I561=5,'Entry list'!$J561=5),'Entry list'!M561,"")</f>
        <v/>
      </c>
      <c r="L561" t="str">
        <f>IF(AND('Entry list'!$I561=5,'Entry list'!$J561=5),'Entry list'!N561,"")</f>
        <v/>
      </c>
      <c r="M561" t="str">
        <f t="shared" si="24"/>
        <v/>
      </c>
      <c r="N561" t="str">
        <f t="shared" si="25"/>
        <v/>
      </c>
      <c r="O561" t="str">
        <f t="shared" si="26"/>
        <v/>
      </c>
    </row>
    <row r="562" spans="1:15" x14ac:dyDescent="0.25">
      <c r="A562" t="str">
        <f>IF(AND('Entry list'!$I562=5,'Entry list'!$J562=5),'Entry list'!A562,"")</f>
        <v/>
      </c>
      <c r="B562" t="str">
        <f>IF(AND('Entry list'!$I562=5,'Entry list'!$J562=5),'Entry list'!B562,"")</f>
        <v/>
      </c>
      <c r="C562" t="str">
        <f>IF(AND('Entry list'!$I562=5,'Entry list'!$J562=5),'Entry list'!C562,"")</f>
        <v/>
      </c>
      <c r="D562" t="str">
        <f>IF(AND('Entry list'!$I562=5,'Entry list'!$J562=5),'Entry list'!D562,"")</f>
        <v/>
      </c>
      <c r="E562" t="str">
        <f>IF(AND('Entry list'!$I562=5,'Entry list'!$J562=5),'Entry list'!E562,"")</f>
        <v/>
      </c>
      <c r="F562" t="str">
        <f>IF(AND('Entry list'!$I562=5,'Entry list'!$J562=5),'Entry list'!F562,"")</f>
        <v/>
      </c>
      <c r="G562" t="str">
        <f>IF(AND('Entry list'!$I562=5,'Entry list'!$J562=5),'Entry list'!G562,"")</f>
        <v/>
      </c>
      <c r="H562" t="str">
        <f>IF(AND('Entry list'!$I562=5,'Entry list'!$J562=5),'Entry list'!H562,"")</f>
        <v/>
      </c>
      <c r="I562" t="str">
        <f>IF(AND('Entry list'!$I562=5,'Entry list'!$J562=5),'Entry list'!K562,"")</f>
        <v/>
      </c>
      <c r="J562" t="str">
        <f>IF(AND('Entry list'!$I562=5,'Entry list'!$J562=5),'Entry list'!L562,"")</f>
        <v/>
      </c>
      <c r="K562" t="str">
        <f>IF(AND('Entry list'!$I562=5,'Entry list'!$J562=5),'Entry list'!M562,"")</f>
        <v/>
      </c>
      <c r="L562" t="str">
        <f>IF(AND('Entry list'!$I562=5,'Entry list'!$J562=5),'Entry list'!N562,"")</f>
        <v/>
      </c>
      <c r="M562" t="str">
        <f t="shared" si="24"/>
        <v/>
      </c>
      <c r="N562" t="str">
        <f t="shared" si="25"/>
        <v/>
      </c>
      <c r="O562" t="str">
        <f t="shared" si="26"/>
        <v/>
      </c>
    </row>
    <row r="563" spans="1:15" x14ac:dyDescent="0.25">
      <c r="A563" t="str">
        <f>IF(AND('Entry list'!$I563=5,'Entry list'!$J563=5),'Entry list'!A563,"")</f>
        <v/>
      </c>
      <c r="B563" t="str">
        <f>IF(AND('Entry list'!$I563=5,'Entry list'!$J563=5),'Entry list'!B563,"")</f>
        <v/>
      </c>
      <c r="C563" t="str">
        <f>IF(AND('Entry list'!$I563=5,'Entry list'!$J563=5),'Entry list'!C563,"")</f>
        <v/>
      </c>
      <c r="D563" t="str">
        <f>IF(AND('Entry list'!$I563=5,'Entry list'!$J563=5),'Entry list'!D563,"")</f>
        <v/>
      </c>
      <c r="E563" t="str">
        <f>IF(AND('Entry list'!$I563=5,'Entry list'!$J563=5),'Entry list'!E563,"")</f>
        <v/>
      </c>
      <c r="F563" t="str">
        <f>IF(AND('Entry list'!$I563=5,'Entry list'!$J563=5),'Entry list'!F563,"")</f>
        <v/>
      </c>
      <c r="G563" t="str">
        <f>IF(AND('Entry list'!$I563=5,'Entry list'!$J563=5),'Entry list'!G563,"")</f>
        <v/>
      </c>
      <c r="H563" t="str">
        <f>IF(AND('Entry list'!$I563=5,'Entry list'!$J563=5),'Entry list'!H563,"")</f>
        <v/>
      </c>
      <c r="I563" t="str">
        <f>IF(AND('Entry list'!$I563=5,'Entry list'!$J563=5),'Entry list'!K563,"")</f>
        <v/>
      </c>
      <c r="J563" t="str">
        <f>IF(AND('Entry list'!$I563=5,'Entry list'!$J563=5),'Entry list'!L563,"")</f>
        <v/>
      </c>
      <c r="K563" t="str">
        <f>IF(AND('Entry list'!$I563=5,'Entry list'!$J563=5),'Entry list'!M563,"")</f>
        <v/>
      </c>
      <c r="L563" t="str">
        <f>IF(AND('Entry list'!$I563=5,'Entry list'!$J563=5),'Entry list'!N563,"")</f>
        <v/>
      </c>
      <c r="M563" t="str">
        <f t="shared" si="24"/>
        <v/>
      </c>
      <c r="N563" t="str">
        <f t="shared" si="25"/>
        <v/>
      </c>
      <c r="O563" t="str">
        <f t="shared" si="26"/>
        <v/>
      </c>
    </row>
    <row r="564" spans="1:15" x14ac:dyDescent="0.25">
      <c r="A564" t="str">
        <f>IF(AND('Entry list'!$I564=5,'Entry list'!$J564=5),'Entry list'!A564,"")</f>
        <v/>
      </c>
      <c r="B564" t="str">
        <f>IF(AND('Entry list'!$I564=5,'Entry list'!$J564=5),'Entry list'!B564,"")</f>
        <v/>
      </c>
      <c r="C564" t="str">
        <f>IF(AND('Entry list'!$I564=5,'Entry list'!$J564=5),'Entry list'!C564,"")</f>
        <v/>
      </c>
      <c r="D564" t="str">
        <f>IF(AND('Entry list'!$I564=5,'Entry list'!$J564=5),'Entry list'!D564,"")</f>
        <v/>
      </c>
      <c r="E564" t="str">
        <f>IF(AND('Entry list'!$I564=5,'Entry list'!$J564=5),'Entry list'!E564,"")</f>
        <v/>
      </c>
      <c r="F564" t="str">
        <f>IF(AND('Entry list'!$I564=5,'Entry list'!$J564=5),'Entry list'!F564,"")</f>
        <v/>
      </c>
      <c r="G564" t="str">
        <f>IF(AND('Entry list'!$I564=5,'Entry list'!$J564=5),'Entry list'!G564,"")</f>
        <v/>
      </c>
      <c r="H564" t="str">
        <f>IF(AND('Entry list'!$I564=5,'Entry list'!$J564=5),'Entry list'!H564,"")</f>
        <v/>
      </c>
      <c r="I564" t="str">
        <f>IF(AND('Entry list'!$I564=5,'Entry list'!$J564=5),'Entry list'!K564,"")</f>
        <v/>
      </c>
      <c r="J564" t="str">
        <f>IF(AND('Entry list'!$I564=5,'Entry list'!$J564=5),'Entry list'!L564,"")</f>
        <v/>
      </c>
      <c r="K564" t="str">
        <f>IF(AND('Entry list'!$I564=5,'Entry list'!$J564=5),'Entry list'!M564,"")</f>
        <v/>
      </c>
      <c r="L564" t="str">
        <f>IF(AND('Entry list'!$I564=5,'Entry list'!$J564=5),'Entry list'!N564,"")</f>
        <v/>
      </c>
      <c r="M564" t="str">
        <f t="shared" si="24"/>
        <v/>
      </c>
      <c r="N564" t="str">
        <f t="shared" si="25"/>
        <v/>
      </c>
      <c r="O564" t="str">
        <f t="shared" si="26"/>
        <v/>
      </c>
    </row>
    <row r="565" spans="1:15" x14ac:dyDescent="0.25">
      <c r="A565" t="str">
        <f>IF(AND('Entry list'!$I565=5,'Entry list'!$J565=5),'Entry list'!A565,"")</f>
        <v/>
      </c>
      <c r="B565" t="str">
        <f>IF(AND('Entry list'!$I565=5,'Entry list'!$J565=5),'Entry list'!B565,"")</f>
        <v/>
      </c>
      <c r="C565" t="str">
        <f>IF(AND('Entry list'!$I565=5,'Entry list'!$J565=5),'Entry list'!C565,"")</f>
        <v/>
      </c>
      <c r="D565" t="str">
        <f>IF(AND('Entry list'!$I565=5,'Entry list'!$J565=5),'Entry list'!D565,"")</f>
        <v/>
      </c>
      <c r="E565" t="str">
        <f>IF(AND('Entry list'!$I565=5,'Entry list'!$J565=5),'Entry list'!E565,"")</f>
        <v/>
      </c>
      <c r="F565" t="str">
        <f>IF(AND('Entry list'!$I565=5,'Entry list'!$J565=5),'Entry list'!F565,"")</f>
        <v/>
      </c>
      <c r="G565" t="str">
        <f>IF(AND('Entry list'!$I565=5,'Entry list'!$J565=5),'Entry list'!G565,"")</f>
        <v/>
      </c>
      <c r="H565" t="str">
        <f>IF(AND('Entry list'!$I565=5,'Entry list'!$J565=5),'Entry list'!H565,"")</f>
        <v/>
      </c>
      <c r="I565" t="str">
        <f>IF(AND('Entry list'!$I565=5,'Entry list'!$J565=5),'Entry list'!K565,"")</f>
        <v/>
      </c>
      <c r="J565" t="str">
        <f>IF(AND('Entry list'!$I565=5,'Entry list'!$J565=5),'Entry list'!L565,"")</f>
        <v/>
      </c>
      <c r="K565" t="str">
        <f>IF(AND('Entry list'!$I565=5,'Entry list'!$J565=5),'Entry list'!M565,"")</f>
        <v/>
      </c>
      <c r="L565" t="str">
        <f>IF(AND('Entry list'!$I565=5,'Entry list'!$J565=5),'Entry list'!N565,"")</f>
        <v/>
      </c>
      <c r="M565" t="str">
        <f t="shared" si="24"/>
        <v/>
      </c>
      <c r="N565" t="str">
        <f t="shared" si="25"/>
        <v/>
      </c>
      <c r="O565" t="str">
        <f t="shared" si="26"/>
        <v/>
      </c>
    </row>
    <row r="566" spans="1:15" x14ac:dyDescent="0.25">
      <c r="A566" t="str">
        <f>IF(AND('Entry list'!$I566=5,'Entry list'!$J566=5),'Entry list'!A566,"")</f>
        <v/>
      </c>
      <c r="B566" t="str">
        <f>IF(AND('Entry list'!$I566=5,'Entry list'!$J566=5),'Entry list'!B566,"")</f>
        <v/>
      </c>
      <c r="C566" t="str">
        <f>IF(AND('Entry list'!$I566=5,'Entry list'!$J566=5),'Entry list'!C566,"")</f>
        <v/>
      </c>
      <c r="D566" t="str">
        <f>IF(AND('Entry list'!$I566=5,'Entry list'!$J566=5),'Entry list'!D566,"")</f>
        <v/>
      </c>
      <c r="E566" t="str">
        <f>IF(AND('Entry list'!$I566=5,'Entry list'!$J566=5),'Entry list'!E566,"")</f>
        <v/>
      </c>
      <c r="F566" t="str">
        <f>IF(AND('Entry list'!$I566=5,'Entry list'!$J566=5),'Entry list'!F566,"")</f>
        <v/>
      </c>
      <c r="G566" t="str">
        <f>IF(AND('Entry list'!$I566=5,'Entry list'!$J566=5),'Entry list'!G566,"")</f>
        <v/>
      </c>
      <c r="H566" t="str">
        <f>IF(AND('Entry list'!$I566=5,'Entry list'!$J566=5),'Entry list'!H566,"")</f>
        <v/>
      </c>
      <c r="I566" t="str">
        <f>IF(AND('Entry list'!$I566=5,'Entry list'!$J566=5),'Entry list'!K566,"")</f>
        <v/>
      </c>
      <c r="J566" t="str">
        <f>IF(AND('Entry list'!$I566=5,'Entry list'!$J566=5),'Entry list'!L566,"")</f>
        <v/>
      </c>
      <c r="K566" t="str">
        <f>IF(AND('Entry list'!$I566=5,'Entry list'!$J566=5),'Entry list'!M566,"")</f>
        <v/>
      </c>
      <c r="L566" t="str">
        <f>IF(AND('Entry list'!$I566=5,'Entry list'!$J566=5),'Entry list'!N566,"")</f>
        <v/>
      </c>
      <c r="M566" t="str">
        <f t="shared" si="24"/>
        <v/>
      </c>
      <c r="N566" t="str">
        <f t="shared" si="25"/>
        <v/>
      </c>
      <c r="O566" t="str">
        <f t="shared" si="26"/>
        <v/>
      </c>
    </row>
    <row r="567" spans="1:15" x14ac:dyDescent="0.25">
      <c r="A567" t="str">
        <f>IF(AND('Entry list'!$I567=5,'Entry list'!$J567=5),'Entry list'!A567,"")</f>
        <v/>
      </c>
      <c r="B567" t="str">
        <f>IF(AND('Entry list'!$I567=5,'Entry list'!$J567=5),'Entry list'!B567,"")</f>
        <v/>
      </c>
      <c r="C567" t="str">
        <f>IF(AND('Entry list'!$I567=5,'Entry list'!$J567=5),'Entry list'!C567,"")</f>
        <v/>
      </c>
      <c r="D567" t="str">
        <f>IF(AND('Entry list'!$I567=5,'Entry list'!$J567=5),'Entry list'!D567,"")</f>
        <v/>
      </c>
      <c r="E567" t="str">
        <f>IF(AND('Entry list'!$I567=5,'Entry list'!$J567=5),'Entry list'!E567,"")</f>
        <v/>
      </c>
      <c r="F567" t="str">
        <f>IF(AND('Entry list'!$I567=5,'Entry list'!$J567=5),'Entry list'!F567,"")</f>
        <v/>
      </c>
      <c r="G567" t="str">
        <f>IF(AND('Entry list'!$I567=5,'Entry list'!$J567=5),'Entry list'!G567,"")</f>
        <v/>
      </c>
      <c r="H567" t="str">
        <f>IF(AND('Entry list'!$I567=5,'Entry list'!$J567=5),'Entry list'!H567,"")</f>
        <v/>
      </c>
      <c r="I567" t="str">
        <f>IF(AND('Entry list'!$I567=5,'Entry list'!$J567=5),'Entry list'!K567,"")</f>
        <v/>
      </c>
      <c r="J567" t="str">
        <f>IF(AND('Entry list'!$I567=5,'Entry list'!$J567=5),'Entry list'!L567,"")</f>
        <v/>
      </c>
      <c r="K567" t="str">
        <f>IF(AND('Entry list'!$I567=5,'Entry list'!$J567=5),'Entry list'!M567,"")</f>
        <v/>
      </c>
      <c r="L567" t="str">
        <f>IF(AND('Entry list'!$I567=5,'Entry list'!$J567=5),'Entry list'!N567,"")</f>
        <v/>
      </c>
      <c r="M567" t="str">
        <f t="shared" si="24"/>
        <v/>
      </c>
      <c r="N567" t="str">
        <f t="shared" si="25"/>
        <v/>
      </c>
      <c r="O567" t="str">
        <f t="shared" si="26"/>
        <v/>
      </c>
    </row>
    <row r="568" spans="1:15" x14ac:dyDescent="0.25">
      <c r="A568" t="str">
        <f>IF(AND('Entry list'!$I568=5,'Entry list'!$J568=5),'Entry list'!A568,"")</f>
        <v/>
      </c>
      <c r="B568" t="str">
        <f>IF(AND('Entry list'!$I568=5,'Entry list'!$J568=5),'Entry list'!B568,"")</f>
        <v/>
      </c>
      <c r="C568" t="str">
        <f>IF(AND('Entry list'!$I568=5,'Entry list'!$J568=5),'Entry list'!C568,"")</f>
        <v/>
      </c>
      <c r="D568" t="str">
        <f>IF(AND('Entry list'!$I568=5,'Entry list'!$J568=5),'Entry list'!D568,"")</f>
        <v/>
      </c>
      <c r="E568" t="str">
        <f>IF(AND('Entry list'!$I568=5,'Entry list'!$J568=5),'Entry list'!E568,"")</f>
        <v/>
      </c>
      <c r="F568" t="str">
        <f>IF(AND('Entry list'!$I568=5,'Entry list'!$J568=5),'Entry list'!F568,"")</f>
        <v/>
      </c>
      <c r="G568" t="str">
        <f>IF(AND('Entry list'!$I568=5,'Entry list'!$J568=5),'Entry list'!G568,"")</f>
        <v/>
      </c>
      <c r="H568" t="str">
        <f>IF(AND('Entry list'!$I568=5,'Entry list'!$J568=5),'Entry list'!H568,"")</f>
        <v/>
      </c>
      <c r="I568" t="str">
        <f>IF(AND('Entry list'!$I568=5,'Entry list'!$J568=5),'Entry list'!K568,"")</f>
        <v/>
      </c>
      <c r="J568" t="str">
        <f>IF(AND('Entry list'!$I568=5,'Entry list'!$J568=5),'Entry list'!L568,"")</f>
        <v/>
      </c>
      <c r="K568" t="str">
        <f>IF(AND('Entry list'!$I568=5,'Entry list'!$J568=5),'Entry list'!M568,"")</f>
        <v/>
      </c>
      <c r="L568" t="str">
        <f>IF(AND('Entry list'!$I568=5,'Entry list'!$J568=5),'Entry list'!N568,"")</f>
        <v/>
      </c>
      <c r="M568" t="str">
        <f t="shared" si="24"/>
        <v/>
      </c>
      <c r="N568" t="str">
        <f t="shared" si="25"/>
        <v/>
      </c>
      <c r="O568" t="str">
        <f t="shared" si="26"/>
        <v/>
      </c>
    </row>
    <row r="569" spans="1:15" x14ac:dyDescent="0.25">
      <c r="A569" t="str">
        <f>IF(AND('Entry list'!$I569=5,'Entry list'!$J569=5),'Entry list'!A569,"")</f>
        <v/>
      </c>
      <c r="B569" t="str">
        <f>IF(AND('Entry list'!$I569=5,'Entry list'!$J569=5),'Entry list'!B569,"")</f>
        <v/>
      </c>
      <c r="C569" t="str">
        <f>IF(AND('Entry list'!$I569=5,'Entry list'!$J569=5),'Entry list'!C569,"")</f>
        <v/>
      </c>
      <c r="D569" t="str">
        <f>IF(AND('Entry list'!$I569=5,'Entry list'!$J569=5),'Entry list'!D569,"")</f>
        <v/>
      </c>
      <c r="E569" t="str">
        <f>IF(AND('Entry list'!$I569=5,'Entry list'!$J569=5),'Entry list'!E569,"")</f>
        <v/>
      </c>
      <c r="F569" t="str">
        <f>IF(AND('Entry list'!$I569=5,'Entry list'!$J569=5),'Entry list'!F569,"")</f>
        <v/>
      </c>
      <c r="G569" t="str">
        <f>IF(AND('Entry list'!$I569=5,'Entry list'!$J569=5),'Entry list'!G569,"")</f>
        <v/>
      </c>
      <c r="H569" t="str">
        <f>IF(AND('Entry list'!$I569=5,'Entry list'!$J569=5),'Entry list'!H569,"")</f>
        <v/>
      </c>
      <c r="I569" t="str">
        <f>IF(AND('Entry list'!$I569=5,'Entry list'!$J569=5),'Entry list'!K569,"")</f>
        <v/>
      </c>
      <c r="J569" t="str">
        <f>IF(AND('Entry list'!$I569=5,'Entry list'!$J569=5),'Entry list'!L569,"")</f>
        <v/>
      </c>
      <c r="K569" t="str">
        <f>IF(AND('Entry list'!$I569=5,'Entry list'!$J569=5),'Entry list'!M569,"")</f>
        <v/>
      </c>
      <c r="L569" t="str">
        <f>IF(AND('Entry list'!$I569=5,'Entry list'!$J569=5),'Entry list'!N569,"")</f>
        <v/>
      </c>
      <c r="M569" t="str">
        <f t="shared" si="24"/>
        <v/>
      </c>
      <c r="N569" t="str">
        <f t="shared" si="25"/>
        <v/>
      </c>
      <c r="O569" t="str">
        <f t="shared" si="26"/>
        <v/>
      </c>
    </row>
    <row r="570" spans="1:15" x14ac:dyDescent="0.25">
      <c r="A570" t="str">
        <f>IF(AND('Entry list'!$I570=5,'Entry list'!$J570=5),'Entry list'!A570,"")</f>
        <v/>
      </c>
      <c r="B570" t="str">
        <f>IF(AND('Entry list'!$I570=5,'Entry list'!$J570=5),'Entry list'!B570,"")</f>
        <v/>
      </c>
      <c r="C570" t="str">
        <f>IF(AND('Entry list'!$I570=5,'Entry list'!$J570=5),'Entry list'!C570,"")</f>
        <v/>
      </c>
      <c r="D570" t="str">
        <f>IF(AND('Entry list'!$I570=5,'Entry list'!$J570=5),'Entry list'!D570,"")</f>
        <v/>
      </c>
      <c r="E570" t="str">
        <f>IF(AND('Entry list'!$I570=5,'Entry list'!$J570=5),'Entry list'!E570,"")</f>
        <v/>
      </c>
      <c r="F570" t="str">
        <f>IF(AND('Entry list'!$I570=5,'Entry list'!$J570=5),'Entry list'!F570,"")</f>
        <v/>
      </c>
      <c r="G570" t="str">
        <f>IF(AND('Entry list'!$I570=5,'Entry list'!$J570=5),'Entry list'!G570,"")</f>
        <v/>
      </c>
      <c r="H570" t="str">
        <f>IF(AND('Entry list'!$I570=5,'Entry list'!$J570=5),'Entry list'!H570,"")</f>
        <v/>
      </c>
      <c r="I570" t="str">
        <f>IF(AND('Entry list'!$I570=5,'Entry list'!$J570=5),'Entry list'!K570,"")</f>
        <v/>
      </c>
      <c r="J570" t="str">
        <f>IF(AND('Entry list'!$I570=5,'Entry list'!$J570=5),'Entry list'!L570,"")</f>
        <v/>
      </c>
      <c r="K570" t="str">
        <f>IF(AND('Entry list'!$I570=5,'Entry list'!$J570=5),'Entry list'!M570,"")</f>
        <v/>
      </c>
      <c r="L570" t="str">
        <f>IF(AND('Entry list'!$I570=5,'Entry list'!$J570=5),'Entry list'!N570,"")</f>
        <v/>
      </c>
      <c r="M570" t="str">
        <f t="shared" si="24"/>
        <v/>
      </c>
      <c r="N570" t="str">
        <f t="shared" si="25"/>
        <v/>
      </c>
      <c r="O570" t="str">
        <f t="shared" si="26"/>
        <v/>
      </c>
    </row>
    <row r="571" spans="1:15" x14ac:dyDescent="0.25">
      <c r="A571" t="str">
        <f>IF(AND('Entry list'!$I571=5,'Entry list'!$J571=5),'Entry list'!A571,"")</f>
        <v/>
      </c>
      <c r="B571" t="str">
        <f>IF(AND('Entry list'!$I571=5,'Entry list'!$J571=5),'Entry list'!B571,"")</f>
        <v/>
      </c>
      <c r="C571" t="str">
        <f>IF(AND('Entry list'!$I571=5,'Entry list'!$J571=5),'Entry list'!C571,"")</f>
        <v/>
      </c>
      <c r="D571" t="str">
        <f>IF(AND('Entry list'!$I571=5,'Entry list'!$J571=5),'Entry list'!D571,"")</f>
        <v/>
      </c>
      <c r="E571" t="str">
        <f>IF(AND('Entry list'!$I571=5,'Entry list'!$J571=5),'Entry list'!E571,"")</f>
        <v/>
      </c>
      <c r="F571" t="str">
        <f>IF(AND('Entry list'!$I571=5,'Entry list'!$J571=5),'Entry list'!F571,"")</f>
        <v/>
      </c>
      <c r="G571" t="str">
        <f>IF(AND('Entry list'!$I571=5,'Entry list'!$J571=5),'Entry list'!G571,"")</f>
        <v/>
      </c>
      <c r="H571" t="str">
        <f>IF(AND('Entry list'!$I571=5,'Entry list'!$J571=5),'Entry list'!H571,"")</f>
        <v/>
      </c>
      <c r="I571" t="str">
        <f>IF(AND('Entry list'!$I571=5,'Entry list'!$J571=5),'Entry list'!K571,"")</f>
        <v/>
      </c>
      <c r="J571" t="str">
        <f>IF(AND('Entry list'!$I571=5,'Entry list'!$J571=5),'Entry list'!L571,"")</f>
        <v/>
      </c>
      <c r="K571" t="str">
        <f>IF(AND('Entry list'!$I571=5,'Entry list'!$J571=5),'Entry list'!M571,"")</f>
        <v/>
      </c>
      <c r="L571" t="str">
        <f>IF(AND('Entry list'!$I571=5,'Entry list'!$J571=5),'Entry list'!N571,"")</f>
        <v/>
      </c>
      <c r="M571" t="str">
        <f t="shared" si="24"/>
        <v/>
      </c>
      <c r="N571" t="str">
        <f t="shared" si="25"/>
        <v/>
      </c>
      <c r="O571" t="str">
        <f t="shared" si="26"/>
        <v/>
      </c>
    </row>
    <row r="572" spans="1:15" x14ac:dyDescent="0.25">
      <c r="A572" t="str">
        <f>IF(AND('Entry list'!$I572=5,'Entry list'!$J572=5),'Entry list'!A572,"")</f>
        <v/>
      </c>
      <c r="B572" t="str">
        <f>IF(AND('Entry list'!$I572=5,'Entry list'!$J572=5),'Entry list'!B572,"")</f>
        <v/>
      </c>
      <c r="C572" t="str">
        <f>IF(AND('Entry list'!$I572=5,'Entry list'!$J572=5),'Entry list'!C572,"")</f>
        <v/>
      </c>
      <c r="D572" t="str">
        <f>IF(AND('Entry list'!$I572=5,'Entry list'!$J572=5),'Entry list'!D572,"")</f>
        <v/>
      </c>
      <c r="E572" t="str">
        <f>IF(AND('Entry list'!$I572=5,'Entry list'!$J572=5),'Entry list'!E572,"")</f>
        <v/>
      </c>
      <c r="F572" t="str">
        <f>IF(AND('Entry list'!$I572=5,'Entry list'!$J572=5),'Entry list'!F572,"")</f>
        <v/>
      </c>
      <c r="G572" t="str">
        <f>IF(AND('Entry list'!$I572=5,'Entry list'!$J572=5),'Entry list'!G572,"")</f>
        <v/>
      </c>
      <c r="H572" t="str">
        <f>IF(AND('Entry list'!$I572=5,'Entry list'!$J572=5),'Entry list'!H572,"")</f>
        <v/>
      </c>
      <c r="I572" t="str">
        <f>IF(AND('Entry list'!$I572=5,'Entry list'!$J572=5),'Entry list'!K572,"")</f>
        <v/>
      </c>
      <c r="J572" t="str">
        <f>IF(AND('Entry list'!$I572=5,'Entry list'!$J572=5),'Entry list'!L572,"")</f>
        <v/>
      </c>
      <c r="K572" t="str">
        <f>IF(AND('Entry list'!$I572=5,'Entry list'!$J572=5),'Entry list'!M572,"")</f>
        <v/>
      </c>
      <c r="L572" t="str">
        <f>IF(AND('Entry list'!$I572=5,'Entry list'!$J572=5),'Entry list'!N572,"")</f>
        <v/>
      </c>
      <c r="M572" t="str">
        <f t="shared" si="24"/>
        <v/>
      </c>
      <c r="N572" t="str">
        <f t="shared" si="25"/>
        <v/>
      </c>
      <c r="O572" t="str">
        <f t="shared" si="26"/>
        <v/>
      </c>
    </row>
    <row r="573" spans="1:15" x14ac:dyDescent="0.25">
      <c r="A573" t="str">
        <f>IF(AND('Entry list'!$I573=5,'Entry list'!$J573=5),'Entry list'!A573,"")</f>
        <v/>
      </c>
      <c r="B573" t="str">
        <f>IF(AND('Entry list'!$I573=5,'Entry list'!$J573=5),'Entry list'!B573,"")</f>
        <v/>
      </c>
      <c r="C573" t="str">
        <f>IF(AND('Entry list'!$I573=5,'Entry list'!$J573=5),'Entry list'!C573,"")</f>
        <v/>
      </c>
      <c r="D573" t="str">
        <f>IF(AND('Entry list'!$I573=5,'Entry list'!$J573=5),'Entry list'!D573,"")</f>
        <v/>
      </c>
      <c r="E573" t="str">
        <f>IF(AND('Entry list'!$I573=5,'Entry list'!$J573=5),'Entry list'!E573,"")</f>
        <v/>
      </c>
      <c r="F573" t="str">
        <f>IF(AND('Entry list'!$I573=5,'Entry list'!$J573=5),'Entry list'!F573,"")</f>
        <v/>
      </c>
      <c r="G573" t="str">
        <f>IF(AND('Entry list'!$I573=5,'Entry list'!$J573=5),'Entry list'!G573,"")</f>
        <v/>
      </c>
      <c r="H573" t="str">
        <f>IF(AND('Entry list'!$I573=5,'Entry list'!$J573=5),'Entry list'!H573,"")</f>
        <v/>
      </c>
      <c r="I573" t="str">
        <f>IF(AND('Entry list'!$I573=5,'Entry list'!$J573=5),'Entry list'!K573,"")</f>
        <v/>
      </c>
      <c r="J573" t="str">
        <f>IF(AND('Entry list'!$I573=5,'Entry list'!$J573=5),'Entry list'!L573,"")</f>
        <v/>
      </c>
      <c r="K573" t="str">
        <f>IF(AND('Entry list'!$I573=5,'Entry list'!$J573=5),'Entry list'!M573,"")</f>
        <v/>
      </c>
      <c r="L573" t="str">
        <f>IF(AND('Entry list'!$I573=5,'Entry list'!$J573=5),'Entry list'!N573,"")</f>
        <v/>
      </c>
      <c r="M573" t="str">
        <f t="shared" si="24"/>
        <v/>
      </c>
      <c r="N573" t="str">
        <f t="shared" si="25"/>
        <v/>
      </c>
      <c r="O573" t="str">
        <f t="shared" si="26"/>
        <v/>
      </c>
    </row>
    <row r="574" spans="1:15" x14ac:dyDescent="0.25">
      <c r="A574" t="str">
        <f>IF(AND('Entry list'!$I574=5,'Entry list'!$J574=5),'Entry list'!A574,"")</f>
        <v/>
      </c>
      <c r="B574" t="str">
        <f>IF(AND('Entry list'!$I574=5,'Entry list'!$J574=5),'Entry list'!B574,"")</f>
        <v/>
      </c>
      <c r="C574" t="str">
        <f>IF(AND('Entry list'!$I574=5,'Entry list'!$J574=5),'Entry list'!C574,"")</f>
        <v/>
      </c>
      <c r="D574" t="str">
        <f>IF(AND('Entry list'!$I574=5,'Entry list'!$J574=5),'Entry list'!D574,"")</f>
        <v/>
      </c>
      <c r="E574" t="str">
        <f>IF(AND('Entry list'!$I574=5,'Entry list'!$J574=5),'Entry list'!E574,"")</f>
        <v/>
      </c>
      <c r="F574" t="str">
        <f>IF(AND('Entry list'!$I574=5,'Entry list'!$J574=5),'Entry list'!F574,"")</f>
        <v/>
      </c>
      <c r="G574" t="str">
        <f>IF(AND('Entry list'!$I574=5,'Entry list'!$J574=5),'Entry list'!G574,"")</f>
        <v/>
      </c>
      <c r="H574" t="str">
        <f>IF(AND('Entry list'!$I574=5,'Entry list'!$J574=5),'Entry list'!H574,"")</f>
        <v/>
      </c>
      <c r="I574" t="str">
        <f>IF(AND('Entry list'!$I574=5,'Entry list'!$J574=5),'Entry list'!K574,"")</f>
        <v/>
      </c>
      <c r="J574" t="str">
        <f>IF(AND('Entry list'!$I574=5,'Entry list'!$J574=5),'Entry list'!L574,"")</f>
        <v/>
      </c>
      <c r="K574" t="str">
        <f>IF(AND('Entry list'!$I574=5,'Entry list'!$J574=5),'Entry list'!M574,"")</f>
        <v/>
      </c>
      <c r="L574" t="str">
        <f>IF(AND('Entry list'!$I574=5,'Entry list'!$J574=5),'Entry list'!N574,"")</f>
        <v/>
      </c>
      <c r="M574" t="str">
        <f t="shared" si="24"/>
        <v/>
      </c>
      <c r="N574" t="str">
        <f t="shared" si="25"/>
        <v/>
      </c>
      <c r="O574" t="str">
        <f t="shared" si="26"/>
        <v/>
      </c>
    </row>
    <row r="575" spans="1:15" x14ac:dyDescent="0.25">
      <c r="A575" t="str">
        <f>IF(AND('Entry list'!$I575=5,'Entry list'!$J575=5),'Entry list'!A575,"")</f>
        <v/>
      </c>
      <c r="B575" t="str">
        <f>IF(AND('Entry list'!$I575=5,'Entry list'!$J575=5),'Entry list'!B575,"")</f>
        <v/>
      </c>
      <c r="C575" t="str">
        <f>IF(AND('Entry list'!$I575=5,'Entry list'!$J575=5),'Entry list'!C575,"")</f>
        <v/>
      </c>
      <c r="D575" t="str">
        <f>IF(AND('Entry list'!$I575=5,'Entry list'!$J575=5),'Entry list'!D575,"")</f>
        <v/>
      </c>
      <c r="E575" t="str">
        <f>IF(AND('Entry list'!$I575=5,'Entry list'!$J575=5),'Entry list'!E575,"")</f>
        <v/>
      </c>
      <c r="F575" t="str">
        <f>IF(AND('Entry list'!$I575=5,'Entry list'!$J575=5),'Entry list'!F575,"")</f>
        <v/>
      </c>
      <c r="G575" t="str">
        <f>IF(AND('Entry list'!$I575=5,'Entry list'!$J575=5),'Entry list'!G575,"")</f>
        <v/>
      </c>
      <c r="H575" t="str">
        <f>IF(AND('Entry list'!$I575=5,'Entry list'!$J575=5),'Entry list'!H575,"")</f>
        <v/>
      </c>
      <c r="I575" t="str">
        <f>IF(AND('Entry list'!$I575=5,'Entry list'!$J575=5),'Entry list'!K575,"")</f>
        <v/>
      </c>
      <c r="J575" t="str">
        <f>IF(AND('Entry list'!$I575=5,'Entry list'!$J575=5),'Entry list'!L575,"")</f>
        <v/>
      </c>
      <c r="K575" t="str">
        <f>IF(AND('Entry list'!$I575=5,'Entry list'!$J575=5),'Entry list'!M575,"")</f>
        <v/>
      </c>
      <c r="L575" t="str">
        <f>IF(AND('Entry list'!$I575=5,'Entry list'!$J575=5),'Entry list'!N575,"")</f>
        <v/>
      </c>
      <c r="M575" t="str">
        <f t="shared" si="24"/>
        <v/>
      </c>
      <c r="N575" t="str">
        <f t="shared" si="25"/>
        <v/>
      </c>
      <c r="O575" t="str">
        <f t="shared" si="26"/>
        <v/>
      </c>
    </row>
    <row r="576" spans="1:15" x14ac:dyDescent="0.25">
      <c r="A576" t="str">
        <f>IF(AND('Entry list'!$I576=5,'Entry list'!$J576=5),'Entry list'!A576,"")</f>
        <v/>
      </c>
      <c r="B576" t="str">
        <f>IF(AND('Entry list'!$I576=5,'Entry list'!$J576=5),'Entry list'!B576,"")</f>
        <v/>
      </c>
      <c r="C576" t="str">
        <f>IF(AND('Entry list'!$I576=5,'Entry list'!$J576=5),'Entry list'!C576,"")</f>
        <v/>
      </c>
      <c r="D576" t="str">
        <f>IF(AND('Entry list'!$I576=5,'Entry list'!$J576=5),'Entry list'!D576,"")</f>
        <v/>
      </c>
      <c r="E576" t="str">
        <f>IF(AND('Entry list'!$I576=5,'Entry list'!$J576=5),'Entry list'!E576,"")</f>
        <v/>
      </c>
      <c r="F576" t="str">
        <f>IF(AND('Entry list'!$I576=5,'Entry list'!$J576=5),'Entry list'!F576,"")</f>
        <v/>
      </c>
      <c r="G576" t="str">
        <f>IF(AND('Entry list'!$I576=5,'Entry list'!$J576=5),'Entry list'!G576,"")</f>
        <v/>
      </c>
      <c r="H576" t="str">
        <f>IF(AND('Entry list'!$I576=5,'Entry list'!$J576=5),'Entry list'!H576,"")</f>
        <v/>
      </c>
      <c r="I576" t="str">
        <f>IF(AND('Entry list'!$I576=5,'Entry list'!$J576=5),'Entry list'!K576,"")</f>
        <v/>
      </c>
      <c r="J576" t="str">
        <f>IF(AND('Entry list'!$I576=5,'Entry list'!$J576=5),'Entry list'!L576,"")</f>
        <v/>
      </c>
      <c r="K576" t="str">
        <f>IF(AND('Entry list'!$I576=5,'Entry list'!$J576=5),'Entry list'!M576,"")</f>
        <v/>
      </c>
      <c r="L576" t="str">
        <f>IF(AND('Entry list'!$I576=5,'Entry list'!$J576=5),'Entry list'!N576,"")</f>
        <v/>
      </c>
      <c r="M576" t="str">
        <f t="shared" si="24"/>
        <v/>
      </c>
      <c r="N576" t="str">
        <f t="shared" si="25"/>
        <v/>
      </c>
      <c r="O576" t="str">
        <f t="shared" si="26"/>
        <v/>
      </c>
    </row>
    <row r="577" spans="1:15" x14ac:dyDescent="0.25">
      <c r="A577" t="str">
        <f>IF(AND('Entry list'!$I577=5,'Entry list'!$J577=5),'Entry list'!A577,"")</f>
        <v/>
      </c>
      <c r="B577" t="str">
        <f>IF(AND('Entry list'!$I577=5,'Entry list'!$J577=5),'Entry list'!B577,"")</f>
        <v/>
      </c>
      <c r="C577" t="str">
        <f>IF(AND('Entry list'!$I577=5,'Entry list'!$J577=5),'Entry list'!C577,"")</f>
        <v/>
      </c>
      <c r="D577" t="str">
        <f>IF(AND('Entry list'!$I577=5,'Entry list'!$J577=5),'Entry list'!D577,"")</f>
        <v/>
      </c>
      <c r="E577" t="str">
        <f>IF(AND('Entry list'!$I577=5,'Entry list'!$J577=5),'Entry list'!E577,"")</f>
        <v/>
      </c>
      <c r="F577" t="str">
        <f>IF(AND('Entry list'!$I577=5,'Entry list'!$J577=5),'Entry list'!F577,"")</f>
        <v/>
      </c>
      <c r="G577" t="str">
        <f>IF(AND('Entry list'!$I577=5,'Entry list'!$J577=5),'Entry list'!G577,"")</f>
        <v/>
      </c>
      <c r="H577" t="str">
        <f>IF(AND('Entry list'!$I577=5,'Entry list'!$J577=5),'Entry list'!H577,"")</f>
        <v/>
      </c>
      <c r="I577" t="str">
        <f>IF(AND('Entry list'!$I577=5,'Entry list'!$J577=5),'Entry list'!K577,"")</f>
        <v/>
      </c>
      <c r="J577" t="str">
        <f>IF(AND('Entry list'!$I577=5,'Entry list'!$J577=5),'Entry list'!L577,"")</f>
        <v/>
      </c>
      <c r="K577" t="str">
        <f>IF(AND('Entry list'!$I577=5,'Entry list'!$J577=5),'Entry list'!M577,"")</f>
        <v/>
      </c>
      <c r="L577" t="str">
        <f>IF(AND('Entry list'!$I577=5,'Entry list'!$J577=5),'Entry list'!N577,"")</f>
        <v/>
      </c>
      <c r="M577" t="str">
        <f t="shared" si="24"/>
        <v/>
      </c>
      <c r="N577" t="str">
        <f t="shared" si="25"/>
        <v/>
      </c>
      <c r="O577" t="str">
        <f t="shared" si="26"/>
        <v/>
      </c>
    </row>
    <row r="578" spans="1:15" x14ac:dyDescent="0.25">
      <c r="A578" t="str">
        <f>IF(AND('Entry list'!$I578=5,'Entry list'!$J578=5),'Entry list'!A578,"")</f>
        <v/>
      </c>
      <c r="B578" t="str">
        <f>IF(AND('Entry list'!$I578=5,'Entry list'!$J578=5),'Entry list'!B578,"")</f>
        <v/>
      </c>
      <c r="C578" t="str">
        <f>IF(AND('Entry list'!$I578=5,'Entry list'!$J578=5),'Entry list'!C578,"")</f>
        <v/>
      </c>
      <c r="D578" t="str">
        <f>IF(AND('Entry list'!$I578=5,'Entry list'!$J578=5),'Entry list'!D578,"")</f>
        <v/>
      </c>
      <c r="E578" t="str">
        <f>IF(AND('Entry list'!$I578=5,'Entry list'!$J578=5),'Entry list'!E578,"")</f>
        <v/>
      </c>
      <c r="F578" t="str">
        <f>IF(AND('Entry list'!$I578=5,'Entry list'!$J578=5),'Entry list'!F578,"")</f>
        <v/>
      </c>
      <c r="G578" t="str">
        <f>IF(AND('Entry list'!$I578=5,'Entry list'!$J578=5),'Entry list'!G578,"")</f>
        <v/>
      </c>
      <c r="H578" t="str">
        <f>IF(AND('Entry list'!$I578=5,'Entry list'!$J578=5),'Entry list'!H578,"")</f>
        <v/>
      </c>
      <c r="I578" t="str">
        <f>IF(AND('Entry list'!$I578=5,'Entry list'!$J578=5),'Entry list'!K578,"")</f>
        <v/>
      </c>
      <c r="J578" t="str">
        <f>IF(AND('Entry list'!$I578=5,'Entry list'!$J578=5),'Entry list'!L578,"")</f>
        <v/>
      </c>
      <c r="K578" t="str">
        <f>IF(AND('Entry list'!$I578=5,'Entry list'!$J578=5),'Entry list'!M578,"")</f>
        <v/>
      </c>
      <c r="L578" t="str">
        <f>IF(AND('Entry list'!$I578=5,'Entry list'!$J578=5),'Entry list'!N578,"")</f>
        <v/>
      </c>
      <c r="M578" t="str">
        <f t="shared" si="24"/>
        <v/>
      </c>
      <c r="N578" t="str">
        <f t="shared" si="25"/>
        <v/>
      </c>
      <c r="O578" t="str">
        <f t="shared" si="26"/>
        <v/>
      </c>
    </row>
    <row r="579" spans="1:15" x14ac:dyDescent="0.25">
      <c r="A579" t="str">
        <f>IF(AND('Entry list'!$I579=5,'Entry list'!$J579=5),'Entry list'!A579,"")</f>
        <v/>
      </c>
      <c r="B579" t="str">
        <f>IF(AND('Entry list'!$I579=5,'Entry list'!$J579=5),'Entry list'!B579,"")</f>
        <v/>
      </c>
      <c r="C579" t="str">
        <f>IF(AND('Entry list'!$I579=5,'Entry list'!$J579=5),'Entry list'!C579,"")</f>
        <v/>
      </c>
      <c r="D579" t="str">
        <f>IF(AND('Entry list'!$I579=5,'Entry list'!$J579=5),'Entry list'!D579,"")</f>
        <v/>
      </c>
      <c r="E579" t="str">
        <f>IF(AND('Entry list'!$I579=5,'Entry list'!$J579=5),'Entry list'!E579,"")</f>
        <v/>
      </c>
      <c r="F579" t="str">
        <f>IF(AND('Entry list'!$I579=5,'Entry list'!$J579=5),'Entry list'!F579,"")</f>
        <v/>
      </c>
      <c r="G579" t="str">
        <f>IF(AND('Entry list'!$I579=5,'Entry list'!$J579=5),'Entry list'!G579,"")</f>
        <v/>
      </c>
      <c r="H579" t="str">
        <f>IF(AND('Entry list'!$I579=5,'Entry list'!$J579=5),'Entry list'!H579,"")</f>
        <v/>
      </c>
      <c r="I579" t="str">
        <f>IF(AND('Entry list'!$I579=5,'Entry list'!$J579=5),'Entry list'!K579,"")</f>
        <v/>
      </c>
      <c r="J579" t="str">
        <f>IF(AND('Entry list'!$I579=5,'Entry list'!$J579=5),'Entry list'!L579,"")</f>
        <v/>
      </c>
      <c r="K579" t="str">
        <f>IF(AND('Entry list'!$I579=5,'Entry list'!$J579=5),'Entry list'!M579,"")</f>
        <v/>
      </c>
      <c r="L579" t="str">
        <f>IF(AND('Entry list'!$I579=5,'Entry list'!$J579=5),'Entry list'!N579,"")</f>
        <v/>
      </c>
      <c r="M579" t="str">
        <f t="shared" ref="M579:M601" si="27">IF(EXACT(D579,""),"",IF(EXACT(LEFT(D579,3),"WSH"),1,0))</f>
        <v/>
      </c>
      <c r="N579" t="str">
        <f t="shared" ref="N579:N601" si="28">IF(EXACT(I579,""),"",IF(EXACT(LEFT(I579,3),"WSH"),1,0))</f>
        <v/>
      </c>
      <c r="O579" t="str">
        <f t="shared" ref="O579:O601" si="29">IF(EXACT(L579,""),"",IF(EXACT(LEFT(L579,3),"WSH"),1,0))</f>
        <v/>
      </c>
    </row>
    <row r="580" spans="1:15" x14ac:dyDescent="0.25">
      <c r="A580" t="str">
        <f>IF(AND('Entry list'!$I580=5,'Entry list'!$J580=5),'Entry list'!A580,"")</f>
        <v/>
      </c>
      <c r="B580" t="str">
        <f>IF(AND('Entry list'!$I580=5,'Entry list'!$J580=5),'Entry list'!B580,"")</f>
        <v/>
      </c>
      <c r="C580" t="str">
        <f>IF(AND('Entry list'!$I580=5,'Entry list'!$J580=5),'Entry list'!C580,"")</f>
        <v/>
      </c>
      <c r="D580" t="str">
        <f>IF(AND('Entry list'!$I580=5,'Entry list'!$J580=5),'Entry list'!D580,"")</f>
        <v/>
      </c>
      <c r="E580" t="str">
        <f>IF(AND('Entry list'!$I580=5,'Entry list'!$J580=5),'Entry list'!E580,"")</f>
        <v/>
      </c>
      <c r="F580" t="str">
        <f>IF(AND('Entry list'!$I580=5,'Entry list'!$J580=5),'Entry list'!F580,"")</f>
        <v/>
      </c>
      <c r="G580" t="str">
        <f>IF(AND('Entry list'!$I580=5,'Entry list'!$J580=5),'Entry list'!G580,"")</f>
        <v/>
      </c>
      <c r="H580" t="str">
        <f>IF(AND('Entry list'!$I580=5,'Entry list'!$J580=5),'Entry list'!H580,"")</f>
        <v/>
      </c>
      <c r="I580" t="str">
        <f>IF(AND('Entry list'!$I580=5,'Entry list'!$J580=5),'Entry list'!K580,"")</f>
        <v/>
      </c>
      <c r="J580" t="str">
        <f>IF(AND('Entry list'!$I580=5,'Entry list'!$J580=5),'Entry list'!L580,"")</f>
        <v/>
      </c>
      <c r="K580" t="str">
        <f>IF(AND('Entry list'!$I580=5,'Entry list'!$J580=5),'Entry list'!M580,"")</f>
        <v/>
      </c>
      <c r="L580" t="str">
        <f>IF(AND('Entry list'!$I580=5,'Entry list'!$J580=5),'Entry list'!N580,"")</f>
        <v/>
      </c>
      <c r="M580" t="str">
        <f t="shared" si="27"/>
        <v/>
      </c>
      <c r="N580" t="str">
        <f t="shared" si="28"/>
        <v/>
      </c>
      <c r="O580" t="str">
        <f t="shared" si="29"/>
        <v/>
      </c>
    </row>
    <row r="581" spans="1:15" x14ac:dyDescent="0.25">
      <c r="A581" t="str">
        <f>IF(AND('Entry list'!$I581=5,'Entry list'!$J581=5),'Entry list'!A581,"")</f>
        <v/>
      </c>
      <c r="B581" t="str">
        <f>IF(AND('Entry list'!$I581=5,'Entry list'!$J581=5),'Entry list'!B581,"")</f>
        <v/>
      </c>
      <c r="C581" t="str">
        <f>IF(AND('Entry list'!$I581=5,'Entry list'!$J581=5),'Entry list'!C581,"")</f>
        <v/>
      </c>
      <c r="D581" t="str">
        <f>IF(AND('Entry list'!$I581=5,'Entry list'!$J581=5),'Entry list'!D581,"")</f>
        <v/>
      </c>
      <c r="E581" t="str">
        <f>IF(AND('Entry list'!$I581=5,'Entry list'!$J581=5),'Entry list'!E581,"")</f>
        <v/>
      </c>
      <c r="F581" t="str">
        <f>IF(AND('Entry list'!$I581=5,'Entry list'!$J581=5),'Entry list'!F581,"")</f>
        <v/>
      </c>
      <c r="G581" t="str">
        <f>IF(AND('Entry list'!$I581=5,'Entry list'!$J581=5),'Entry list'!G581,"")</f>
        <v/>
      </c>
      <c r="H581" t="str">
        <f>IF(AND('Entry list'!$I581=5,'Entry list'!$J581=5),'Entry list'!H581,"")</f>
        <v/>
      </c>
      <c r="I581" t="str">
        <f>IF(AND('Entry list'!$I581=5,'Entry list'!$J581=5),'Entry list'!K581,"")</f>
        <v/>
      </c>
      <c r="J581" t="str">
        <f>IF(AND('Entry list'!$I581=5,'Entry list'!$J581=5),'Entry list'!L581,"")</f>
        <v/>
      </c>
      <c r="K581" t="str">
        <f>IF(AND('Entry list'!$I581=5,'Entry list'!$J581=5),'Entry list'!M581,"")</f>
        <v/>
      </c>
      <c r="L581" t="str">
        <f>IF(AND('Entry list'!$I581=5,'Entry list'!$J581=5),'Entry list'!N581,"")</f>
        <v/>
      </c>
      <c r="M581" t="str">
        <f t="shared" si="27"/>
        <v/>
      </c>
      <c r="N581" t="str">
        <f t="shared" si="28"/>
        <v/>
      </c>
      <c r="O581" t="str">
        <f t="shared" si="29"/>
        <v/>
      </c>
    </row>
    <row r="582" spans="1:15" x14ac:dyDescent="0.25">
      <c r="A582" t="str">
        <f>IF(AND('Entry list'!$I582=5,'Entry list'!$J582=5),'Entry list'!A582,"")</f>
        <v/>
      </c>
      <c r="B582" t="str">
        <f>IF(AND('Entry list'!$I582=5,'Entry list'!$J582=5),'Entry list'!B582,"")</f>
        <v/>
      </c>
      <c r="C582" t="str">
        <f>IF(AND('Entry list'!$I582=5,'Entry list'!$J582=5),'Entry list'!C582,"")</f>
        <v/>
      </c>
      <c r="D582" t="str">
        <f>IF(AND('Entry list'!$I582=5,'Entry list'!$J582=5),'Entry list'!D582,"")</f>
        <v/>
      </c>
      <c r="E582" t="str">
        <f>IF(AND('Entry list'!$I582=5,'Entry list'!$J582=5),'Entry list'!E582,"")</f>
        <v/>
      </c>
      <c r="F582" t="str">
        <f>IF(AND('Entry list'!$I582=5,'Entry list'!$J582=5),'Entry list'!F582,"")</f>
        <v/>
      </c>
      <c r="G582" t="str">
        <f>IF(AND('Entry list'!$I582=5,'Entry list'!$J582=5),'Entry list'!G582,"")</f>
        <v/>
      </c>
      <c r="H582" t="str">
        <f>IF(AND('Entry list'!$I582=5,'Entry list'!$J582=5),'Entry list'!H582,"")</f>
        <v/>
      </c>
      <c r="I582" t="str">
        <f>IF(AND('Entry list'!$I582=5,'Entry list'!$J582=5),'Entry list'!K582,"")</f>
        <v/>
      </c>
      <c r="J582" t="str">
        <f>IF(AND('Entry list'!$I582=5,'Entry list'!$J582=5),'Entry list'!L582,"")</f>
        <v/>
      </c>
      <c r="K582" t="str">
        <f>IF(AND('Entry list'!$I582=5,'Entry list'!$J582=5),'Entry list'!M582,"")</f>
        <v/>
      </c>
      <c r="L582" t="str">
        <f>IF(AND('Entry list'!$I582=5,'Entry list'!$J582=5),'Entry list'!N582,"")</f>
        <v/>
      </c>
      <c r="M582" t="str">
        <f t="shared" si="27"/>
        <v/>
      </c>
      <c r="N582" t="str">
        <f t="shared" si="28"/>
        <v/>
      </c>
      <c r="O582" t="str">
        <f t="shared" si="29"/>
        <v/>
      </c>
    </row>
    <row r="583" spans="1:15" x14ac:dyDescent="0.25">
      <c r="A583" t="str">
        <f>IF(AND('Entry list'!$I583=5,'Entry list'!$J583=5),'Entry list'!A583,"")</f>
        <v/>
      </c>
      <c r="B583" t="str">
        <f>IF(AND('Entry list'!$I583=5,'Entry list'!$J583=5),'Entry list'!B583,"")</f>
        <v/>
      </c>
      <c r="C583" t="str">
        <f>IF(AND('Entry list'!$I583=5,'Entry list'!$J583=5),'Entry list'!C583,"")</f>
        <v/>
      </c>
      <c r="D583" t="str">
        <f>IF(AND('Entry list'!$I583=5,'Entry list'!$J583=5),'Entry list'!D583,"")</f>
        <v/>
      </c>
      <c r="E583" t="str">
        <f>IF(AND('Entry list'!$I583=5,'Entry list'!$J583=5),'Entry list'!E583,"")</f>
        <v/>
      </c>
      <c r="F583" t="str">
        <f>IF(AND('Entry list'!$I583=5,'Entry list'!$J583=5),'Entry list'!F583,"")</f>
        <v/>
      </c>
      <c r="G583" t="str">
        <f>IF(AND('Entry list'!$I583=5,'Entry list'!$J583=5),'Entry list'!G583,"")</f>
        <v/>
      </c>
      <c r="H583" t="str">
        <f>IF(AND('Entry list'!$I583=5,'Entry list'!$J583=5),'Entry list'!H583,"")</f>
        <v/>
      </c>
      <c r="I583" t="str">
        <f>IF(AND('Entry list'!$I583=5,'Entry list'!$J583=5),'Entry list'!K583,"")</f>
        <v/>
      </c>
      <c r="J583" t="str">
        <f>IF(AND('Entry list'!$I583=5,'Entry list'!$J583=5),'Entry list'!L583,"")</f>
        <v/>
      </c>
      <c r="K583" t="str">
        <f>IF(AND('Entry list'!$I583=5,'Entry list'!$J583=5),'Entry list'!M583,"")</f>
        <v/>
      </c>
      <c r="L583" t="str">
        <f>IF(AND('Entry list'!$I583=5,'Entry list'!$J583=5),'Entry list'!N583,"")</f>
        <v/>
      </c>
      <c r="M583" t="str">
        <f t="shared" si="27"/>
        <v/>
      </c>
      <c r="N583" t="str">
        <f t="shared" si="28"/>
        <v/>
      </c>
      <c r="O583" t="str">
        <f t="shared" si="29"/>
        <v/>
      </c>
    </row>
    <row r="584" spans="1:15" x14ac:dyDescent="0.25">
      <c r="A584" t="str">
        <f>IF(AND('Entry list'!$I584=5,'Entry list'!$J584=5),'Entry list'!A584,"")</f>
        <v/>
      </c>
      <c r="B584" t="str">
        <f>IF(AND('Entry list'!$I584=5,'Entry list'!$J584=5),'Entry list'!B584,"")</f>
        <v/>
      </c>
      <c r="C584" t="str">
        <f>IF(AND('Entry list'!$I584=5,'Entry list'!$J584=5),'Entry list'!C584,"")</f>
        <v/>
      </c>
      <c r="D584" t="str">
        <f>IF(AND('Entry list'!$I584=5,'Entry list'!$J584=5),'Entry list'!D584,"")</f>
        <v/>
      </c>
      <c r="E584" t="str">
        <f>IF(AND('Entry list'!$I584=5,'Entry list'!$J584=5),'Entry list'!E584,"")</f>
        <v/>
      </c>
      <c r="F584" t="str">
        <f>IF(AND('Entry list'!$I584=5,'Entry list'!$J584=5),'Entry list'!F584,"")</f>
        <v/>
      </c>
      <c r="G584" t="str">
        <f>IF(AND('Entry list'!$I584=5,'Entry list'!$J584=5),'Entry list'!G584,"")</f>
        <v/>
      </c>
      <c r="H584" t="str">
        <f>IF(AND('Entry list'!$I584=5,'Entry list'!$J584=5),'Entry list'!H584,"")</f>
        <v/>
      </c>
      <c r="I584" t="str">
        <f>IF(AND('Entry list'!$I584=5,'Entry list'!$J584=5),'Entry list'!K584,"")</f>
        <v/>
      </c>
      <c r="J584" t="str">
        <f>IF(AND('Entry list'!$I584=5,'Entry list'!$J584=5),'Entry list'!L584,"")</f>
        <v/>
      </c>
      <c r="K584" t="str">
        <f>IF(AND('Entry list'!$I584=5,'Entry list'!$J584=5),'Entry list'!M584,"")</f>
        <v/>
      </c>
      <c r="L584" t="str">
        <f>IF(AND('Entry list'!$I584=5,'Entry list'!$J584=5),'Entry list'!N584,"")</f>
        <v/>
      </c>
      <c r="M584" t="str">
        <f t="shared" si="27"/>
        <v/>
      </c>
      <c r="N584" t="str">
        <f t="shared" si="28"/>
        <v/>
      </c>
      <c r="O584" t="str">
        <f t="shared" si="29"/>
        <v/>
      </c>
    </row>
    <row r="585" spans="1:15" x14ac:dyDescent="0.25">
      <c r="A585" t="str">
        <f>IF(AND('Entry list'!$I585=5,'Entry list'!$J585=5),'Entry list'!A585,"")</f>
        <v/>
      </c>
      <c r="B585" t="str">
        <f>IF(AND('Entry list'!$I585=5,'Entry list'!$J585=5),'Entry list'!B585,"")</f>
        <v/>
      </c>
      <c r="C585" t="str">
        <f>IF(AND('Entry list'!$I585=5,'Entry list'!$J585=5),'Entry list'!C585,"")</f>
        <v/>
      </c>
      <c r="D585" t="str">
        <f>IF(AND('Entry list'!$I585=5,'Entry list'!$J585=5),'Entry list'!D585,"")</f>
        <v/>
      </c>
      <c r="E585" t="str">
        <f>IF(AND('Entry list'!$I585=5,'Entry list'!$J585=5),'Entry list'!E585,"")</f>
        <v/>
      </c>
      <c r="F585" t="str">
        <f>IF(AND('Entry list'!$I585=5,'Entry list'!$J585=5),'Entry list'!F585,"")</f>
        <v/>
      </c>
      <c r="G585" t="str">
        <f>IF(AND('Entry list'!$I585=5,'Entry list'!$J585=5),'Entry list'!G585,"")</f>
        <v/>
      </c>
      <c r="H585" t="str">
        <f>IF(AND('Entry list'!$I585=5,'Entry list'!$J585=5),'Entry list'!H585,"")</f>
        <v/>
      </c>
      <c r="I585" t="str">
        <f>IF(AND('Entry list'!$I585=5,'Entry list'!$J585=5),'Entry list'!K585,"")</f>
        <v/>
      </c>
      <c r="J585" t="str">
        <f>IF(AND('Entry list'!$I585=5,'Entry list'!$J585=5),'Entry list'!L585,"")</f>
        <v/>
      </c>
      <c r="K585" t="str">
        <f>IF(AND('Entry list'!$I585=5,'Entry list'!$J585=5),'Entry list'!M585,"")</f>
        <v/>
      </c>
      <c r="L585" t="str">
        <f>IF(AND('Entry list'!$I585=5,'Entry list'!$J585=5),'Entry list'!N585,"")</f>
        <v/>
      </c>
      <c r="M585" t="str">
        <f t="shared" si="27"/>
        <v/>
      </c>
      <c r="N585" t="str">
        <f t="shared" si="28"/>
        <v/>
      </c>
      <c r="O585" t="str">
        <f t="shared" si="29"/>
        <v/>
      </c>
    </row>
    <row r="586" spans="1:15" x14ac:dyDescent="0.25">
      <c r="A586" t="str">
        <f>IF(AND('Entry list'!$I586=5,'Entry list'!$J586=5),'Entry list'!A586,"")</f>
        <v/>
      </c>
      <c r="B586" t="str">
        <f>IF(AND('Entry list'!$I586=5,'Entry list'!$J586=5),'Entry list'!B586,"")</f>
        <v/>
      </c>
      <c r="C586" t="str">
        <f>IF(AND('Entry list'!$I586=5,'Entry list'!$J586=5),'Entry list'!C586,"")</f>
        <v/>
      </c>
      <c r="D586" t="str">
        <f>IF(AND('Entry list'!$I586=5,'Entry list'!$J586=5),'Entry list'!D586,"")</f>
        <v/>
      </c>
      <c r="E586" t="str">
        <f>IF(AND('Entry list'!$I586=5,'Entry list'!$J586=5),'Entry list'!E586,"")</f>
        <v/>
      </c>
      <c r="F586" t="str">
        <f>IF(AND('Entry list'!$I586=5,'Entry list'!$J586=5),'Entry list'!F586,"")</f>
        <v/>
      </c>
      <c r="G586" t="str">
        <f>IF(AND('Entry list'!$I586=5,'Entry list'!$J586=5),'Entry list'!G586,"")</f>
        <v/>
      </c>
      <c r="H586" t="str">
        <f>IF(AND('Entry list'!$I586=5,'Entry list'!$J586=5),'Entry list'!H586,"")</f>
        <v/>
      </c>
      <c r="I586" t="str">
        <f>IF(AND('Entry list'!$I586=5,'Entry list'!$J586=5),'Entry list'!K586,"")</f>
        <v/>
      </c>
      <c r="J586" t="str">
        <f>IF(AND('Entry list'!$I586=5,'Entry list'!$J586=5),'Entry list'!L586,"")</f>
        <v/>
      </c>
      <c r="K586" t="str">
        <f>IF(AND('Entry list'!$I586=5,'Entry list'!$J586=5),'Entry list'!M586,"")</f>
        <v/>
      </c>
      <c r="L586" t="str">
        <f>IF(AND('Entry list'!$I586=5,'Entry list'!$J586=5),'Entry list'!N586,"")</f>
        <v/>
      </c>
      <c r="M586" t="str">
        <f t="shared" si="27"/>
        <v/>
      </c>
      <c r="N586" t="str">
        <f t="shared" si="28"/>
        <v/>
      </c>
      <c r="O586" t="str">
        <f t="shared" si="29"/>
        <v/>
      </c>
    </row>
    <row r="587" spans="1:15" x14ac:dyDescent="0.25">
      <c r="A587" t="str">
        <f>IF(AND('Entry list'!$I587=5,'Entry list'!$J587=5),'Entry list'!A587,"")</f>
        <v/>
      </c>
      <c r="B587" t="str">
        <f>IF(AND('Entry list'!$I587=5,'Entry list'!$J587=5),'Entry list'!B587,"")</f>
        <v/>
      </c>
      <c r="C587" t="str">
        <f>IF(AND('Entry list'!$I587=5,'Entry list'!$J587=5),'Entry list'!C587,"")</f>
        <v/>
      </c>
      <c r="D587" t="str">
        <f>IF(AND('Entry list'!$I587=5,'Entry list'!$J587=5),'Entry list'!D587,"")</f>
        <v/>
      </c>
      <c r="E587" t="str">
        <f>IF(AND('Entry list'!$I587=5,'Entry list'!$J587=5),'Entry list'!E587,"")</f>
        <v/>
      </c>
      <c r="F587" t="str">
        <f>IF(AND('Entry list'!$I587=5,'Entry list'!$J587=5),'Entry list'!F587,"")</f>
        <v/>
      </c>
      <c r="G587" t="str">
        <f>IF(AND('Entry list'!$I587=5,'Entry list'!$J587=5),'Entry list'!G587,"")</f>
        <v/>
      </c>
      <c r="H587" t="str">
        <f>IF(AND('Entry list'!$I587=5,'Entry list'!$J587=5),'Entry list'!H587,"")</f>
        <v/>
      </c>
      <c r="I587" t="str">
        <f>IF(AND('Entry list'!$I587=5,'Entry list'!$J587=5),'Entry list'!K587,"")</f>
        <v/>
      </c>
      <c r="J587" t="str">
        <f>IF(AND('Entry list'!$I587=5,'Entry list'!$J587=5),'Entry list'!L587,"")</f>
        <v/>
      </c>
      <c r="K587" t="str">
        <f>IF(AND('Entry list'!$I587=5,'Entry list'!$J587=5),'Entry list'!M587,"")</f>
        <v/>
      </c>
      <c r="L587" t="str">
        <f>IF(AND('Entry list'!$I587=5,'Entry list'!$J587=5),'Entry list'!N587,"")</f>
        <v/>
      </c>
      <c r="M587" t="str">
        <f t="shared" si="27"/>
        <v/>
      </c>
      <c r="N587" t="str">
        <f t="shared" si="28"/>
        <v/>
      </c>
      <c r="O587" t="str">
        <f t="shared" si="29"/>
        <v/>
      </c>
    </row>
    <row r="588" spans="1:15" x14ac:dyDescent="0.25">
      <c r="A588" t="str">
        <f>IF(AND('Entry list'!$I588=5,'Entry list'!$J588=5),'Entry list'!A588,"")</f>
        <v/>
      </c>
      <c r="B588" t="str">
        <f>IF(AND('Entry list'!$I588=5,'Entry list'!$J588=5),'Entry list'!B588,"")</f>
        <v/>
      </c>
      <c r="C588" t="str">
        <f>IF(AND('Entry list'!$I588=5,'Entry list'!$J588=5),'Entry list'!C588,"")</f>
        <v/>
      </c>
      <c r="D588" t="str">
        <f>IF(AND('Entry list'!$I588=5,'Entry list'!$J588=5),'Entry list'!D588,"")</f>
        <v/>
      </c>
      <c r="E588" t="str">
        <f>IF(AND('Entry list'!$I588=5,'Entry list'!$J588=5),'Entry list'!E588,"")</f>
        <v/>
      </c>
      <c r="F588" t="str">
        <f>IF(AND('Entry list'!$I588=5,'Entry list'!$J588=5),'Entry list'!F588,"")</f>
        <v/>
      </c>
      <c r="G588" t="str">
        <f>IF(AND('Entry list'!$I588=5,'Entry list'!$J588=5),'Entry list'!G588,"")</f>
        <v/>
      </c>
      <c r="H588" t="str">
        <f>IF(AND('Entry list'!$I588=5,'Entry list'!$J588=5),'Entry list'!H588,"")</f>
        <v/>
      </c>
      <c r="I588" t="str">
        <f>IF(AND('Entry list'!$I588=5,'Entry list'!$J588=5),'Entry list'!K588,"")</f>
        <v/>
      </c>
      <c r="J588" t="str">
        <f>IF(AND('Entry list'!$I588=5,'Entry list'!$J588=5),'Entry list'!L588,"")</f>
        <v/>
      </c>
      <c r="K588" t="str">
        <f>IF(AND('Entry list'!$I588=5,'Entry list'!$J588=5),'Entry list'!M588,"")</f>
        <v/>
      </c>
      <c r="L588" t="str">
        <f>IF(AND('Entry list'!$I588=5,'Entry list'!$J588=5),'Entry list'!N588,"")</f>
        <v/>
      </c>
      <c r="M588" t="str">
        <f t="shared" si="27"/>
        <v/>
      </c>
      <c r="N588" t="str">
        <f t="shared" si="28"/>
        <v/>
      </c>
      <c r="O588" t="str">
        <f t="shared" si="29"/>
        <v/>
      </c>
    </row>
    <row r="589" spans="1:15" x14ac:dyDescent="0.25">
      <c r="A589" t="str">
        <f>IF(AND('Entry list'!$I589=5,'Entry list'!$J589=5),'Entry list'!A589,"")</f>
        <v/>
      </c>
      <c r="B589" t="str">
        <f>IF(AND('Entry list'!$I589=5,'Entry list'!$J589=5),'Entry list'!B589,"")</f>
        <v/>
      </c>
      <c r="C589" t="str">
        <f>IF(AND('Entry list'!$I589=5,'Entry list'!$J589=5),'Entry list'!C589,"")</f>
        <v/>
      </c>
      <c r="D589" t="str">
        <f>IF(AND('Entry list'!$I589=5,'Entry list'!$J589=5),'Entry list'!D589,"")</f>
        <v/>
      </c>
      <c r="E589" t="str">
        <f>IF(AND('Entry list'!$I589=5,'Entry list'!$J589=5),'Entry list'!E589,"")</f>
        <v/>
      </c>
      <c r="F589" t="str">
        <f>IF(AND('Entry list'!$I589=5,'Entry list'!$J589=5),'Entry list'!F589,"")</f>
        <v/>
      </c>
      <c r="G589" t="str">
        <f>IF(AND('Entry list'!$I589=5,'Entry list'!$J589=5),'Entry list'!G589,"")</f>
        <v/>
      </c>
      <c r="H589" t="str">
        <f>IF(AND('Entry list'!$I589=5,'Entry list'!$J589=5),'Entry list'!H589,"")</f>
        <v/>
      </c>
      <c r="I589" t="str">
        <f>IF(AND('Entry list'!$I589=5,'Entry list'!$J589=5),'Entry list'!K589,"")</f>
        <v/>
      </c>
      <c r="J589" t="str">
        <f>IF(AND('Entry list'!$I589=5,'Entry list'!$J589=5),'Entry list'!L589,"")</f>
        <v/>
      </c>
      <c r="K589" t="str">
        <f>IF(AND('Entry list'!$I589=5,'Entry list'!$J589=5),'Entry list'!M589,"")</f>
        <v/>
      </c>
      <c r="L589" t="str">
        <f>IF(AND('Entry list'!$I589=5,'Entry list'!$J589=5),'Entry list'!N589,"")</f>
        <v/>
      </c>
      <c r="M589" t="str">
        <f t="shared" si="27"/>
        <v/>
      </c>
      <c r="N589" t="str">
        <f t="shared" si="28"/>
        <v/>
      </c>
      <c r="O589" t="str">
        <f t="shared" si="29"/>
        <v/>
      </c>
    </row>
    <row r="590" spans="1:15" x14ac:dyDescent="0.25">
      <c r="A590" t="str">
        <f>IF(AND('Entry list'!$I590=5,'Entry list'!$J590=5),'Entry list'!A590,"")</f>
        <v/>
      </c>
      <c r="B590" t="str">
        <f>IF(AND('Entry list'!$I590=5,'Entry list'!$J590=5),'Entry list'!B590,"")</f>
        <v/>
      </c>
      <c r="C590" t="str">
        <f>IF(AND('Entry list'!$I590=5,'Entry list'!$J590=5),'Entry list'!C590,"")</f>
        <v/>
      </c>
      <c r="D590" t="str">
        <f>IF(AND('Entry list'!$I590=5,'Entry list'!$J590=5),'Entry list'!D590,"")</f>
        <v/>
      </c>
      <c r="E590" t="str">
        <f>IF(AND('Entry list'!$I590=5,'Entry list'!$J590=5),'Entry list'!E590,"")</f>
        <v/>
      </c>
      <c r="F590" t="str">
        <f>IF(AND('Entry list'!$I590=5,'Entry list'!$J590=5),'Entry list'!F590,"")</f>
        <v/>
      </c>
      <c r="G590" t="str">
        <f>IF(AND('Entry list'!$I590=5,'Entry list'!$J590=5),'Entry list'!G590,"")</f>
        <v/>
      </c>
      <c r="H590" t="str">
        <f>IF(AND('Entry list'!$I590=5,'Entry list'!$J590=5),'Entry list'!H590,"")</f>
        <v/>
      </c>
      <c r="I590" t="str">
        <f>IF(AND('Entry list'!$I590=5,'Entry list'!$J590=5),'Entry list'!K590,"")</f>
        <v/>
      </c>
      <c r="J590" t="str">
        <f>IF(AND('Entry list'!$I590=5,'Entry list'!$J590=5),'Entry list'!L590,"")</f>
        <v/>
      </c>
      <c r="K590" t="str">
        <f>IF(AND('Entry list'!$I590=5,'Entry list'!$J590=5),'Entry list'!M590,"")</f>
        <v/>
      </c>
      <c r="L590" t="str">
        <f>IF(AND('Entry list'!$I590=5,'Entry list'!$J590=5),'Entry list'!N590,"")</f>
        <v/>
      </c>
      <c r="M590" t="str">
        <f t="shared" si="27"/>
        <v/>
      </c>
      <c r="N590" t="str">
        <f t="shared" si="28"/>
        <v/>
      </c>
      <c r="O590" t="str">
        <f t="shared" si="29"/>
        <v/>
      </c>
    </row>
    <row r="591" spans="1:15" x14ac:dyDescent="0.25">
      <c r="A591" t="str">
        <f>IF(AND('Entry list'!$I591=5,'Entry list'!$J591=5),'Entry list'!A591,"")</f>
        <v/>
      </c>
      <c r="B591" t="str">
        <f>IF(AND('Entry list'!$I591=5,'Entry list'!$J591=5),'Entry list'!B591,"")</f>
        <v/>
      </c>
      <c r="C591" t="str">
        <f>IF(AND('Entry list'!$I591=5,'Entry list'!$J591=5),'Entry list'!C591,"")</f>
        <v/>
      </c>
      <c r="D591" t="str">
        <f>IF(AND('Entry list'!$I591=5,'Entry list'!$J591=5),'Entry list'!D591,"")</f>
        <v/>
      </c>
      <c r="E591" t="str">
        <f>IF(AND('Entry list'!$I591=5,'Entry list'!$J591=5),'Entry list'!E591,"")</f>
        <v/>
      </c>
      <c r="F591" t="str">
        <f>IF(AND('Entry list'!$I591=5,'Entry list'!$J591=5),'Entry list'!F591,"")</f>
        <v/>
      </c>
      <c r="G591" t="str">
        <f>IF(AND('Entry list'!$I591=5,'Entry list'!$J591=5),'Entry list'!G591,"")</f>
        <v/>
      </c>
      <c r="H591" t="str">
        <f>IF(AND('Entry list'!$I591=5,'Entry list'!$J591=5),'Entry list'!H591,"")</f>
        <v/>
      </c>
      <c r="I591" t="str">
        <f>IF(AND('Entry list'!$I591=5,'Entry list'!$J591=5),'Entry list'!K591,"")</f>
        <v/>
      </c>
      <c r="J591" t="str">
        <f>IF(AND('Entry list'!$I591=5,'Entry list'!$J591=5),'Entry list'!L591,"")</f>
        <v/>
      </c>
      <c r="K591" t="str">
        <f>IF(AND('Entry list'!$I591=5,'Entry list'!$J591=5),'Entry list'!M591,"")</f>
        <v/>
      </c>
      <c r="L591" t="str">
        <f>IF(AND('Entry list'!$I591=5,'Entry list'!$J591=5),'Entry list'!N591,"")</f>
        <v/>
      </c>
      <c r="M591" t="str">
        <f t="shared" si="27"/>
        <v/>
      </c>
      <c r="N591" t="str">
        <f t="shared" si="28"/>
        <v/>
      </c>
      <c r="O591" t="str">
        <f t="shared" si="29"/>
        <v/>
      </c>
    </row>
    <row r="592" spans="1:15" x14ac:dyDescent="0.25">
      <c r="A592" t="str">
        <f>IF(AND('Entry list'!$I592=5,'Entry list'!$J592=5),'Entry list'!A592,"")</f>
        <v/>
      </c>
      <c r="B592" t="str">
        <f>IF(AND('Entry list'!$I592=5,'Entry list'!$J592=5),'Entry list'!B592,"")</f>
        <v/>
      </c>
      <c r="C592" t="str">
        <f>IF(AND('Entry list'!$I592=5,'Entry list'!$J592=5),'Entry list'!C592,"")</f>
        <v/>
      </c>
      <c r="D592" t="str">
        <f>IF(AND('Entry list'!$I592=5,'Entry list'!$J592=5),'Entry list'!D592,"")</f>
        <v/>
      </c>
      <c r="E592" t="str">
        <f>IF(AND('Entry list'!$I592=5,'Entry list'!$J592=5),'Entry list'!E592,"")</f>
        <v/>
      </c>
      <c r="F592" t="str">
        <f>IF(AND('Entry list'!$I592=5,'Entry list'!$J592=5),'Entry list'!F592,"")</f>
        <v/>
      </c>
      <c r="G592" t="str">
        <f>IF(AND('Entry list'!$I592=5,'Entry list'!$J592=5),'Entry list'!G592,"")</f>
        <v/>
      </c>
      <c r="H592" t="str">
        <f>IF(AND('Entry list'!$I592=5,'Entry list'!$J592=5),'Entry list'!H592,"")</f>
        <v/>
      </c>
      <c r="I592" t="str">
        <f>IF(AND('Entry list'!$I592=5,'Entry list'!$J592=5),'Entry list'!K592,"")</f>
        <v/>
      </c>
      <c r="J592" t="str">
        <f>IF(AND('Entry list'!$I592=5,'Entry list'!$J592=5),'Entry list'!L592,"")</f>
        <v/>
      </c>
      <c r="K592" t="str">
        <f>IF(AND('Entry list'!$I592=5,'Entry list'!$J592=5),'Entry list'!M592,"")</f>
        <v/>
      </c>
      <c r="L592" t="str">
        <f>IF(AND('Entry list'!$I592=5,'Entry list'!$J592=5),'Entry list'!N592,"")</f>
        <v/>
      </c>
      <c r="M592" t="str">
        <f t="shared" si="27"/>
        <v/>
      </c>
      <c r="N592" t="str">
        <f t="shared" si="28"/>
        <v/>
      </c>
      <c r="O592" t="str">
        <f t="shared" si="29"/>
        <v/>
      </c>
    </row>
    <row r="593" spans="1:15" x14ac:dyDescent="0.25">
      <c r="A593" t="str">
        <f>IF(AND('Entry list'!$I593=5,'Entry list'!$J593=5),'Entry list'!A593,"")</f>
        <v/>
      </c>
      <c r="B593" t="str">
        <f>IF(AND('Entry list'!$I593=5,'Entry list'!$J593=5),'Entry list'!B593,"")</f>
        <v/>
      </c>
      <c r="C593" t="str">
        <f>IF(AND('Entry list'!$I593=5,'Entry list'!$J593=5),'Entry list'!C593,"")</f>
        <v/>
      </c>
      <c r="D593" t="str">
        <f>IF(AND('Entry list'!$I593=5,'Entry list'!$J593=5),'Entry list'!D593,"")</f>
        <v/>
      </c>
      <c r="E593" t="str">
        <f>IF(AND('Entry list'!$I593=5,'Entry list'!$J593=5),'Entry list'!E593,"")</f>
        <v/>
      </c>
      <c r="F593" t="str">
        <f>IF(AND('Entry list'!$I593=5,'Entry list'!$J593=5),'Entry list'!F593,"")</f>
        <v/>
      </c>
      <c r="G593" t="str">
        <f>IF(AND('Entry list'!$I593=5,'Entry list'!$J593=5),'Entry list'!G593,"")</f>
        <v/>
      </c>
      <c r="H593" t="str">
        <f>IF(AND('Entry list'!$I593=5,'Entry list'!$J593=5),'Entry list'!H593,"")</f>
        <v/>
      </c>
      <c r="I593" t="str">
        <f>IF(AND('Entry list'!$I593=5,'Entry list'!$J593=5),'Entry list'!K593,"")</f>
        <v/>
      </c>
      <c r="J593" t="str">
        <f>IF(AND('Entry list'!$I593=5,'Entry list'!$J593=5),'Entry list'!L593,"")</f>
        <v/>
      </c>
      <c r="K593" t="str">
        <f>IF(AND('Entry list'!$I593=5,'Entry list'!$J593=5),'Entry list'!M593,"")</f>
        <v/>
      </c>
      <c r="L593" t="str">
        <f>IF(AND('Entry list'!$I593=5,'Entry list'!$J593=5),'Entry list'!N593,"")</f>
        <v/>
      </c>
      <c r="M593" t="str">
        <f t="shared" si="27"/>
        <v/>
      </c>
      <c r="N593" t="str">
        <f t="shared" si="28"/>
        <v/>
      </c>
      <c r="O593" t="str">
        <f t="shared" si="29"/>
        <v/>
      </c>
    </row>
    <row r="594" spans="1:15" x14ac:dyDescent="0.25">
      <c r="A594" t="str">
        <f>IF(AND('Entry list'!$I594=5,'Entry list'!$J594=5),'Entry list'!A594,"")</f>
        <v/>
      </c>
      <c r="B594" t="str">
        <f>IF(AND('Entry list'!$I594=5,'Entry list'!$J594=5),'Entry list'!B594,"")</f>
        <v/>
      </c>
      <c r="C594" t="str">
        <f>IF(AND('Entry list'!$I594=5,'Entry list'!$J594=5),'Entry list'!C594,"")</f>
        <v/>
      </c>
      <c r="D594" t="str">
        <f>IF(AND('Entry list'!$I594=5,'Entry list'!$J594=5),'Entry list'!D594,"")</f>
        <v/>
      </c>
      <c r="E594" t="str">
        <f>IF(AND('Entry list'!$I594=5,'Entry list'!$J594=5),'Entry list'!E594,"")</f>
        <v/>
      </c>
      <c r="F594" t="str">
        <f>IF(AND('Entry list'!$I594=5,'Entry list'!$J594=5),'Entry list'!F594,"")</f>
        <v/>
      </c>
      <c r="G594" t="str">
        <f>IF(AND('Entry list'!$I594=5,'Entry list'!$J594=5),'Entry list'!G594,"")</f>
        <v/>
      </c>
      <c r="H594" t="str">
        <f>IF(AND('Entry list'!$I594=5,'Entry list'!$J594=5),'Entry list'!H594,"")</f>
        <v/>
      </c>
      <c r="I594" t="str">
        <f>IF(AND('Entry list'!$I594=5,'Entry list'!$J594=5),'Entry list'!K594,"")</f>
        <v/>
      </c>
      <c r="J594" t="str">
        <f>IF(AND('Entry list'!$I594=5,'Entry list'!$J594=5),'Entry list'!L594,"")</f>
        <v/>
      </c>
      <c r="K594" t="str">
        <f>IF(AND('Entry list'!$I594=5,'Entry list'!$J594=5),'Entry list'!M594,"")</f>
        <v/>
      </c>
      <c r="L594" t="str">
        <f>IF(AND('Entry list'!$I594=5,'Entry list'!$J594=5),'Entry list'!N594,"")</f>
        <v/>
      </c>
      <c r="M594" t="str">
        <f t="shared" si="27"/>
        <v/>
      </c>
      <c r="N594" t="str">
        <f t="shared" si="28"/>
        <v/>
      </c>
      <c r="O594" t="str">
        <f t="shared" si="29"/>
        <v/>
      </c>
    </row>
    <row r="595" spans="1:15" x14ac:dyDescent="0.25">
      <c r="A595" t="str">
        <f>IF(AND('Entry list'!$I595=5,'Entry list'!$J595=5),'Entry list'!A595,"")</f>
        <v/>
      </c>
      <c r="B595" t="str">
        <f>IF(AND('Entry list'!$I595=5,'Entry list'!$J595=5),'Entry list'!B595,"")</f>
        <v/>
      </c>
      <c r="C595" t="str">
        <f>IF(AND('Entry list'!$I595=5,'Entry list'!$J595=5),'Entry list'!C595,"")</f>
        <v/>
      </c>
      <c r="D595" t="str">
        <f>IF(AND('Entry list'!$I595=5,'Entry list'!$J595=5),'Entry list'!D595,"")</f>
        <v/>
      </c>
      <c r="E595" t="str">
        <f>IF(AND('Entry list'!$I595=5,'Entry list'!$J595=5),'Entry list'!E595,"")</f>
        <v/>
      </c>
      <c r="F595" t="str">
        <f>IF(AND('Entry list'!$I595=5,'Entry list'!$J595=5),'Entry list'!F595,"")</f>
        <v/>
      </c>
      <c r="G595" t="str">
        <f>IF(AND('Entry list'!$I595=5,'Entry list'!$J595=5),'Entry list'!G595,"")</f>
        <v/>
      </c>
      <c r="H595" t="str">
        <f>IF(AND('Entry list'!$I595=5,'Entry list'!$J595=5),'Entry list'!H595,"")</f>
        <v/>
      </c>
      <c r="I595" t="str">
        <f>IF(AND('Entry list'!$I595=5,'Entry list'!$J595=5),'Entry list'!K595,"")</f>
        <v/>
      </c>
      <c r="J595" t="str">
        <f>IF(AND('Entry list'!$I595=5,'Entry list'!$J595=5),'Entry list'!L595,"")</f>
        <v/>
      </c>
      <c r="K595" t="str">
        <f>IF(AND('Entry list'!$I595=5,'Entry list'!$J595=5),'Entry list'!M595,"")</f>
        <v/>
      </c>
      <c r="L595" t="str">
        <f>IF(AND('Entry list'!$I595=5,'Entry list'!$J595=5),'Entry list'!N595,"")</f>
        <v/>
      </c>
      <c r="M595" t="str">
        <f t="shared" si="27"/>
        <v/>
      </c>
      <c r="N595" t="str">
        <f t="shared" si="28"/>
        <v/>
      </c>
      <c r="O595" t="str">
        <f t="shared" si="29"/>
        <v/>
      </c>
    </row>
    <row r="596" spans="1:15" x14ac:dyDescent="0.25">
      <c r="A596" t="str">
        <f>IF(AND('Entry list'!$I596=5,'Entry list'!$J596=5),'Entry list'!A596,"")</f>
        <v/>
      </c>
      <c r="B596" t="str">
        <f>IF(AND('Entry list'!$I596=5,'Entry list'!$J596=5),'Entry list'!B596,"")</f>
        <v/>
      </c>
      <c r="C596" t="str">
        <f>IF(AND('Entry list'!$I596=5,'Entry list'!$J596=5),'Entry list'!C596,"")</f>
        <v/>
      </c>
      <c r="D596" t="str">
        <f>IF(AND('Entry list'!$I596=5,'Entry list'!$J596=5),'Entry list'!D596,"")</f>
        <v/>
      </c>
      <c r="E596" t="str">
        <f>IF(AND('Entry list'!$I596=5,'Entry list'!$J596=5),'Entry list'!E596,"")</f>
        <v/>
      </c>
      <c r="F596" t="str">
        <f>IF(AND('Entry list'!$I596=5,'Entry list'!$J596=5),'Entry list'!F596,"")</f>
        <v/>
      </c>
      <c r="G596" t="str">
        <f>IF(AND('Entry list'!$I596=5,'Entry list'!$J596=5),'Entry list'!G596,"")</f>
        <v/>
      </c>
      <c r="H596" t="str">
        <f>IF(AND('Entry list'!$I596=5,'Entry list'!$J596=5),'Entry list'!H596,"")</f>
        <v/>
      </c>
      <c r="I596" t="str">
        <f>IF(AND('Entry list'!$I596=5,'Entry list'!$J596=5),'Entry list'!K596,"")</f>
        <v/>
      </c>
      <c r="J596" t="str">
        <f>IF(AND('Entry list'!$I596=5,'Entry list'!$J596=5),'Entry list'!L596,"")</f>
        <v/>
      </c>
      <c r="K596" t="str">
        <f>IF(AND('Entry list'!$I596=5,'Entry list'!$J596=5),'Entry list'!M596,"")</f>
        <v/>
      </c>
      <c r="L596" t="str">
        <f>IF(AND('Entry list'!$I596=5,'Entry list'!$J596=5),'Entry list'!N596,"")</f>
        <v/>
      </c>
      <c r="M596" t="str">
        <f t="shared" si="27"/>
        <v/>
      </c>
      <c r="N596" t="str">
        <f t="shared" si="28"/>
        <v/>
      </c>
      <c r="O596" t="str">
        <f t="shared" si="29"/>
        <v/>
      </c>
    </row>
    <row r="597" spans="1:15" x14ac:dyDescent="0.25">
      <c r="A597" t="str">
        <f>IF(AND('Entry list'!$I597=5,'Entry list'!$J597=5),'Entry list'!A597,"")</f>
        <v/>
      </c>
      <c r="B597" t="str">
        <f>IF(AND('Entry list'!$I597=5,'Entry list'!$J597=5),'Entry list'!B597,"")</f>
        <v/>
      </c>
      <c r="C597" t="str">
        <f>IF(AND('Entry list'!$I597=5,'Entry list'!$J597=5),'Entry list'!C597,"")</f>
        <v/>
      </c>
      <c r="D597" t="str">
        <f>IF(AND('Entry list'!$I597=5,'Entry list'!$J597=5),'Entry list'!D597,"")</f>
        <v/>
      </c>
      <c r="E597" t="str">
        <f>IF(AND('Entry list'!$I597=5,'Entry list'!$J597=5),'Entry list'!E597,"")</f>
        <v/>
      </c>
      <c r="F597" t="str">
        <f>IF(AND('Entry list'!$I597=5,'Entry list'!$J597=5),'Entry list'!F597,"")</f>
        <v/>
      </c>
      <c r="G597" t="str">
        <f>IF(AND('Entry list'!$I597=5,'Entry list'!$J597=5),'Entry list'!G597,"")</f>
        <v/>
      </c>
      <c r="H597" t="str">
        <f>IF(AND('Entry list'!$I597=5,'Entry list'!$J597=5),'Entry list'!H597,"")</f>
        <v/>
      </c>
      <c r="I597" t="str">
        <f>IF(AND('Entry list'!$I597=5,'Entry list'!$J597=5),'Entry list'!K597,"")</f>
        <v/>
      </c>
      <c r="J597" t="str">
        <f>IF(AND('Entry list'!$I597=5,'Entry list'!$J597=5),'Entry list'!L597,"")</f>
        <v/>
      </c>
      <c r="K597" t="str">
        <f>IF(AND('Entry list'!$I597=5,'Entry list'!$J597=5),'Entry list'!M597,"")</f>
        <v/>
      </c>
      <c r="L597" t="str">
        <f>IF(AND('Entry list'!$I597=5,'Entry list'!$J597=5),'Entry list'!N597,"")</f>
        <v/>
      </c>
      <c r="M597" t="str">
        <f t="shared" si="27"/>
        <v/>
      </c>
      <c r="N597" t="str">
        <f t="shared" si="28"/>
        <v/>
      </c>
      <c r="O597" t="str">
        <f t="shared" si="29"/>
        <v/>
      </c>
    </row>
    <row r="598" spans="1:15" x14ac:dyDescent="0.25">
      <c r="A598" t="str">
        <f>IF(AND('Entry list'!$I598=5,'Entry list'!$J598=5),'Entry list'!A598,"")</f>
        <v/>
      </c>
      <c r="B598" t="str">
        <f>IF(AND('Entry list'!$I598=5,'Entry list'!$J598=5),'Entry list'!B598,"")</f>
        <v/>
      </c>
      <c r="C598" t="str">
        <f>IF(AND('Entry list'!$I598=5,'Entry list'!$J598=5),'Entry list'!C598,"")</f>
        <v/>
      </c>
      <c r="D598" t="str">
        <f>IF(AND('Entry list'!$I598=5,'Entry list'!$J598=5),'Entry list'!D598,"")</f>
        <v/>
      </c>
      <c r="E598" t="str">
        <f>IF(AND('Entry list'!$I598=5,'Entry list'!$J598=5),'Entry list'!E598,"")</f>
        <v/>
      </c>
      <c r="F598" t="str">
        <f>IF(AND('Entry list'!$I598=5,'Entry list'!$J598=5),'Entry list'!F598,"")</f>
        <v/>
      </c>
      <c r="G598" t="str">
        <f>IF(AND('Entry list'!$I598=5,'Entry list'!$J598=5),'Entry list'!G598,"")</f>
        <v/>
      </c>
      <c r="H598" t="str">
        <f>IF(AND('Entry list'!$I598=5,'Entry list'!$J598=5),'Entry list'!H598,"")</f>
        <v/>
      </c>
      <c r="I598" t="str">
        <f>IF(AND('Entry list'!$I598=5,'Entry list'!$J598=5),'Entry list'!K598,"")</f>
        <v/>
      </c>
      <c r="J598" t="str">
        <f>IF(AND('Entry list'!$I598=5,'Entry list'!$J598=5),'Entry list'!L598,"")</f>
        <v/>
      </c>
      <c r="K598" t="str">
        <f>IF(AND('Entry list'!$I598=5,'Entry list'!$J598=5),'Entry list'!M598,"")</f>
        <v/>
      </c>
      <c r="L598" t="str">
        <f>IF(AND('Entry list'!$I598=5,'Entry list'!$J598=5),'Entry list'!N598,"")</f>
        <v/>
      </c>
      <c r="M598" t="str">
        <f t="shared" si="27"/>
        <v/>
      </c>
      <c r="N598" t="str">
        <f t="shared" si="28"/>
        <v/>
      </c>
      <c r="O598" t="str">
        <f t="shared" si="29"/>
        <v/>
      </c>
    </row>
    <row r="599" spans="1:15" x14ac:dyDescent="0.25">
      <c r="A599" t="str">
        <f>IF(AND('Entry list'!$I599=5,'Entry list'!$J599=5),'Entry list'!A599,"")</f>
        <v/>
      </c>
      <c r="B599" t="str">
        <f>IF(AND('Entry list'!$I599=5,'Entry list'!$J599=5),'Entry list'!B599,"")</f>
        <v/>
      </c>
      <c r="C599" t="str">
        <f>IF(AND('Entry list'!$I599=5,'Entry list'!$J599=5),'Entry list'!C599,"")</f>
        <v/>
      </c>
      <c r="D599" t="str">
        <f>IF(AND('Entry list'!$I599=5,'Entry list'!$J599=5),'Entry list'!D599,"")</f>
        <v/>
      </c>
      <c r="E599" t="str">
        <f>IF(AND('Entry list'!$I599=5,'Entry list'!$J599=5),'Entry list'!E599,"")</f>
        <v/>
      </c>
      <c r="F599" t="str">
        <f>IF(AND('Entry list'!$I599=5,'Entry list'!$J599=5),'Entry list'!F599,"")</f>
        <v/>
      </c>
      <c r="G599" t="str">
        <f>IF(AND('Entry list'!$I599=5,'Entry list'!$J599=5),'Entry list'!G599,"")</f>
        <v/>
      </c>
      <c r="H599" t="str">
        <f>IF(AND('Entry list'!$I599=5,'Entry list'!$J599=5),'Entry list'!H599,"")</f>
        <v/>
      </c>
      <c r="I599" t="str">
        <f>IF(AND('Entry list'!$I599=5,'Entry list'!$J599=5),'Entry list'!K599,"")</f>
        <v/>
      </c>
      <c r="J599" t="str">
        <f>IF(AND('Entry list'!$I599=5,'Entry list'!$J599=5),'Entry list'!L599,"")</f>
        <v/>
      </c>
      <c r="K599" t="str">
        <f>IF(AND('Entry list'!$I599=5,'Entry list'!$J599=5),'Entry list'!M599,"")</f>
        <v/>
      </c>
      <c r="L599" t="str">
        <f>IF(AND('Entry list'!$I599=5,'Entry list'!$J599=5),'Entry list'!N599,"")</f>
        <v/>
      </c>
      <c r="M599" t="str">
        <f t="shared" si="27"/>
        <v/>
      </c>
      <c r="N599" t="str">
        <f t="shared" si="28"/>
        <v/>
      </c>
      <c r="O599" t="str">
        <f t="shared" si="29"/>
        <v/>
      </c>
    </row>
    <row r="600" spans="1:15" x14ac:dyDescent="0.25">
      <c r="A600" t="str">
        <f>IF(AND('Entry list'!$I600=5,'Entry list'!$J600=5),'Entry list'!A600,"")</f>
        <v/>
      </c>
      <c r="B600" t="str">
        <f>IF(AND('Entry list'!$I600=5,'Entry list'!$J600=5),'Entry list'!B600,"")</f>
        <v/>
      </c>
      <c r="C600" t="str">
        <f>IF(AND('Entry list'!$I600=5,'Entry list'!$J600=5),'Entry list'!C600,"")</f>
        <v/>
      </c>
      <c r="D600" t="str">
        <f>IF(AND('Entry list'!$I600=5,'Entry list'!$J600=5),'Entry list'!D600,"")</f>
        <v/>
      </c>
      <c r="E600" t="str">
        <f>IF(AND('Entry list'!$I600=5,'Entry list'!$J600=5),'Entry list'!E600,"")</f>
        <v/>
      </c>
      <c r="F600" t="str">
        <f>IF(AND('Entry list'!$I600=5,'Entry list'!$J600=5),'Entry list'!F600,"")</f>
        <v/>
      </c>
      <c r="G600" t="str">
        <f>IF(AND('Entry list'!$I600=5,'Entry list'!$J600=5),'Entry list'!G600,"")</f>
        <v/>
      </c>
      <c r="H600" t="str">
        <f>IF(AND('Entry list'!$I600=5,'Entry list'!$J600=5),'Entry list'!H600,"")</f>
        <v/>
      </c>
      <c r="I600" t="str">
        <f>IF(AND('Entry list'!$I600=5,'Entry list'!$J600=5),'Entry list'!K600,"")</f>
        <v/>
      </c>
      <c r="J600" t="str">
        <f>IF(AND('Entry list'!$I600=5,'Entry list'!$J600=5),'Entry list'!L600,"")</f>
        <v/>
      </c>
      <c r="K600" t="str">
        <f>IF(AND('Entry list'!$I600=5,'Entry list'!$J600=5),'Entry list'!M600,"")</f>
        <v/>
      </c>
      <c r="L600" t="str">
        <f>IF(AND('Entry list'!$I600=5,'Entry list'!$J600=5),'Entry list'!N600,"")</f>
        <v/>
      </c>
      <c r="M600" t="str">
        <f t="shared" si="27"/>
        <v/>
      </c>
      <c r="N600" t="str">
        <f t="shared" si="28"/>
        <v/>
      </c>
      <c r="O600" t="str">
        <f t="shared" si="29"/>
        <v/>
      </c>
    </row>
    <row r="601" spans="1:15" x14ac:dyDescent="0.25">
      <c r="A601" t="str">
        <f>IF(AND('Entry list'!$I601=5,'Entry list'!$J601=5),'Entry list'!A601,"")</f>
        <v/>
      </c>
      <c r="B601" t="str">
        <f>IF(AND('Entry list'!$I601=5,'Entry list'!$J601=5),'Entry list'!B601,"")</f>
        <v/>
      </c>
      <c r="C601" t="str">
        <f>IF(AND('Entry list'!$I601=5,'Entry list'!$J601=5),'Entry list'!C601,"")</f>
        <v/>
      </c>
      <c r="D601" t="str">
        <f>IF(AND('Entry list'!$I601=5,'Entry list'!$J601=5),'Entry list'!D601,"")</f>
        <v/>
      </c>
      <c r="E601" t="str">
        <f>IF(AND('Entry list'!$I601=5,'Entry list'!$J601=5),'Entry list'!E601,"")</f>
        <v/>
      </c>
      <c r="F601" t="str">
        <f>IF(AND('Entry list'!$I601=5,'Entry list'!$J601=5),'Entry list'!F601,"")</f>
        <v/>
      </c>
      <c r="G601" t="str">
        <f>IF(AND('Entry list'!$I601=5,'Entry list'!$J601=5),'Entry list'!G601,"")</f>
        <v/>
      </c>
      <c r="H601" t="str">
        <f>IF(AND('Entry list'!$I601=5,'Entry list'!$J601=5),'Entry list'!H601,"")</f>
        <v/>
      </c>
      <c r="I601" t="str">
        <f>IF(AND('Entry list'!$I601=5,'Entry list'!$J601=5),'Entry list'!K601,"")</f>
        <v/>
      </c>
      <c r="J601" t="str">
        <f>IF(AND('Entry list'!$I601=5,'Entry list'!$J601=5),'Entry list'!L601,"")</f>
        <v/>
      </c>
      <c r="K601" t="str">
        <f>IF(AND('Entry list'!$I601=5,'Entry list'!$J601=5),'Entry list'!M601,"")</f>
        <v/>
      </c>
      <c r="L601" t="str">
        <f>IF(AND('Entry list'!$I601=5,'Entry list'!$J601=5),'Entry list'!N601,"")</f>
        <v/>
      </c>
      <c r="M601" t="str">
        <f t="shared" si="27"/>
        <v/>
      </c>
      <c r="N601" t="str">
        <f t="shared" si="28"/>
        <v/>
      </c>
      <c r="O601" t="str">
        <f t="shared" si="2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6"/>
  <sheetViews>
    <sheetView workbookViewId="0">
      <selection activeCell="H14" sqref="H14"/>
    </sheetView>
  </sheetViews>
  <sheetFormatPr defaultRowHeight="15" x14ac:dyDescent="0.25"/>
  <cols>
    <col min="1" max="1" width="6.5703125" style="1" bestFit="1" customWidth="1"/>
    <col min="3" max="3" width="15.5703125" customWidth="1"/>
    <col min="5" max="5" width="10.85546875" customWidth="1"/>
    <col min="6" max="6" width="16.5703125" customWidth="1"/>
    <col min="7" max="7" width="10.42578125" customWidth="1"/>
    <col min="8" max="8" width="11.85546875" customWidth="1"/>
    <col min="9" max="9" width="9.140625" style="1"/>
    <col min="10" max="10" width="10.140625" bestFit="1" customWidth="1"/>
    <col min="11" max="11" width="9.140625" style="1"/>
  </cols>
  <sheetData>
    <row r="1" spans="1:17" s="10" customFormat="1" ht="48" customHeight="1" x14ac:dyDescent="0.25">
      <c r="A1" s="9" t="s">
        <v>3</v>
      </c>
      <c r="B1" s="9" t="s">
        <v>52</v>
      </c>
      <c r="C1" s="9" t="s">
        <v>35</v>
      </c>
      <c r="D1" s="9" t="s">
        <v>17</v>
      </c>
      <c r="E1" s="9" t="s">
        <v>26</v>
      </c>
      <c r="F1" s="9" t="s">
        <v>36</v>
      </c>
      <c r="G1" s="9" t="s">
        <v>18</v>
      </c>
      <c r="H1" s="9" t="s">
        <v>37</v>
      </c>
      <c r="I1" s="9" t="s">
        <v>51</v>
      </c>
      <c r="J1" s="10" t="s">
        <v>54</v>
      </c>
      <c r="K1" s="9" t="s">
        <v>88</v>
      </c>
      <c r="L1" s="10" t="s">
        <v>89</v>
      </c>
      <c r="M1" s="10" t="s">
        <v>91</v>
      </c>
      <c r="N1" s="10" t="s">
        <v>90</v>
      </c>
      <c r="O1" s="10" t="s">
        <v>92</v>
      </c>
      <c r="P1" s="10" t="s">
        <v>93</v>
      </c>
      <c r="Q1" s="10" t="s">
        <v>94</v>
      </c>
    </row>
    <row r="2" spans="1:17" x14ac:dyDescent="0.25">
      <c r="A2" s="1">
        <v>5</v>
      </c>
      <c r="B2" s="1">
        <f>COUNTIF('5v5 entries'!D:D,A2)-COUNTIF('5v5 entries'!L:L,A2)</f>
        <v>0</v>
      </c>
      <c r="C2" s="1">
        <f>SUMIF('5v5 entries'!D:D,A2,'5v5 entries'!J:J)</f>
        <v>0</v>
      </c>
      <c r="D2" s="7" t="e">
        <f>C2/B2</f>
        <v>#DIV/0!</v>
      </c>
      <c r="E2" s="1">
        <f>COUNTIF('5v5 entries'!I:I,A2)</f>
        <v>0</v>
      </c>
      <c r="F2" s="1">
        <f>SUMIF('5v5 entries'!I:I,A2,'5v5 entries'!J:J)</f>
        <v>0</v>
      </c>
      <c r="G2" s="7" t="e">
        <f>F2/E2</f>
        <v>#DIV/0!</v>
      </c>
      <c r="H2" s="8" t="e">
        <f>E2/B2</f>
        <v>#DIV/0!</v>
      </c>
      <c r="I2" s="1">
        <f>COUNTIF('5v5 entries'!L:L,A2)</f>
        <v>0</v>
      </c>
      <c r="J2" s="20" t="e">
        <f>I2/(E2+I2)</f>
        <v>#DIV/0!</v>
      </c>
      <c r="K2" s="1">
        <f>B2-E2</f>
        <v>0</v>
      </c>
      <c r="L2">
        <f>COUNTIF('5v5 entries'!H:H,A2)</f>
        <v>0</v>
      </c>
      <c r="M2">
        <f>COUNTIFS('5v5 entries'!D:D,A2,'5v5 entries'!F:F,"Y")</f>
        <v>0</v>
      </c>
      <c r="N2" t="e">
        <f>L2/K2</f>
        <v>#DIV/0!</v>
      </c>
      <c r="O2">
        <f>COUNTIFS('5v5 entries'!D:D,A2,'5v5 entries'!G:G,"L")</f>
        <v>0</v>
      </c>
      <c r="P2">
        <f>COUNTIFS('5v5 entries'!D:D,A2,'5v5 entries'!G:G,"C")</f>
        <v>0</v>
      </c>
      <c r="Q2">
        <f>COUNTIFS('5v5 entries'!D:D,A2,'5v5 entries'!G:G,"R")</f>
        <v>0</v>
      </c>
    </row>
    <row r="3" spans="1:17" x14ac:dyDescent="0.25">
      <c r="A3" s="1">
        <v>6</v>
      </c>
      <c r="B3" s="1">
        <f>COUNTIF('5v5 entries'!D:D,A3)-COUNTIF('5v5 entries'!L:L,A3)</f>
        <v>0</v>
      </c>
      <c r="C3" s="1">
        <f>SUMIF('5v5 entries'!D:D,A3,'5v5 entries'!J:J)</f>
        <v>0</v>
      </c>
      <c r="D3" s="7" t="e">
        <f t="shared" ref="D3:D23" si="0">C3/B3</f>
        <v>#DIV/0!</v>
      </c>
      <c r="E3" s="1">
        <f>COUNTIF('5v5 entries'!I:I,A3)</f>
        <v>0</v>
      </c>
      <c r="F3" s="1">
        <f>SUMIF('5v5 entries'!I:I,A3,'5v5 entries'!J:J)</f>
        <v>0</v>
      </c>
      <c r="G3" s="7" t="e">
        <f t="shared" ref="G3:G21" si="1">F3/E3</f>
        <v>#DIV/0!</v>
      </c>
      <c r="H3" s="8" t="e">
        <f t="shared" ref="H3:H21" si="2">E3/B3</f>
        <v>#DIV/0!</v>
      </c>
      <c r="I3" s="1">
        <f>COUNTIF('5v5 entries'!L:L,A3)</f>
        <v>0</v>
      </c>
      <c r="J3" s="20" t="e">
        <f t="shared" ref="J3:J23" si="3">I3/(E3+I3)</f>
        <v>#DIV/0!</v>
      </c>
      <c r="K3" s="35">
        <f t="shared" ref="K3:K19" si="4">B3-E3</f>
        <v>0</v>
      </c>
      <c r="L3" s="42">
        <f>COUNTIF('5v5 entries'!H:H,A3)</f>
        <v>0</v>
      </c>
      <c r="M3" s="42">
        <f>COUNTIFS('5v5 entries'!D:D,A3,'5v5 entries'!F:F,"Y")</f>
        <v>0</v>
      </c>
      <c r="N3" s="34" t="e">
        <f t="shared" ref="N3:N20" si="5">L3/K3</f>
        <v>#DIV/0!</v>
      </c>
      <c r="O3" s="42">
        <f>COUNTIFS('5v5 entries'!D:D,A3,'5v5 entries'!G:G,"L")</f>
        <v>0</v>
      </c>
      <c r="P3" s="42">
        <f>COUNTIFS('5v5 entries'!D:D,A3,'5v5 entries'!G:G,"C")</f>
        <v>0</v>
      </c>
      <c r="Q3" s="42">
        <f>COUNTIFS('5v5 entries'!D:D,A3,'5v5 entries'!G:G,"R")</f>
        <v>0</v>
      </c>
    </row>
    <row r="4" spans="1:17" x14ac:dyDescent="0.25">
      <c r="A4" s="1">
        <v>14</v>
      </c>
      <c r="B4" s="1">
        <f>COUNTIF('5v5 entries'!D:D,A4)-COUNTIF('5v5 entries'!L:L,A4)</f>
        <v>0</v>
      </c>
      <c r="C4" s="1">
        <f>SUMIF('5v5 entries'!D:D,A4,'5v5 entries'!J:J)</f>
        <v>0</v>
      </c>
      <c r="D4" s="7" t="e">
        <f t="shared" si="0"/>
        <v>#DIV/0!</v>
      </c>
      <c r="E4" s="1">
        <f>COUNTIF('5v5 entries'!I:I,A4)</f>
        <v>0</v>
      </c>
      <c r="F4" s="1">
        <f>SUMIF('5v5 entries'!I:I,A4,'5v5 entries'!J:J)</f>
        <v>0</v>
      </c>
      <c r="G4" s="7" t="e">
        <f t="shared" si="1"/>
        <v>#DIV/0!</v>
      </c>
      <c r="H4" s="8" t="e">
        <f t="shared" si="2"/>
        <v>#DIV/0!</v>
      </c>
      <c r="I4" s="1">
        <f>COUNTIF('5v5 entries'!L:L,A4)</f>
        <v>0</v>
      </c>
      <c r="J4" s="20" t="e">
        <f t="shared" si="3"/>
        <v>#DIV/0!</v>
      </c>
      <c r="K4" s="35">
        <f t="shared" si="4"/>
        <v>0</v>
      </c>
      <c r="L4" s="42">
        <f>COUNTIF('5v5 entries'!H:H,A4)</f>
        <v>0</v>
      </c>
      <c r="M4" s="42">
        <f>COUNTIFS('5v5 entries'!D:D,A4,'5v5 entries'!F:F,"Y")</f>
        <v>0</v>
      </c>
      <c r="N4" s="34" t="e">
        <f t="shared" si="5"/>
        <v>#DIV/0!</v>
      </c>
      <c r="O4" s="42">
        <f>COUNTIFS('5v5 entries'!D:D,A4,'5v5 entries'!G:G,"L")</f>
        <v>0</v>
      </c>
      <c r="P4" s="42">
        <f>COUNTIFS('5v5 entries'!D:D,A4,'5v5 entries'!G:G,"C")</f>
        <v>0</v>
      </c>
      <c r="Q4" s="42">
        <f>COUNTIFS('5v5 entries'!D:D,A4,'5v5 entries'!G:G,"R")</f>
        <v>0</v>
      </c>
    </row>
    <row r="5" spans="1:17" x14ac:dyDescent="0.25">
      <c r="A5" s="1">
        <v>15</v>
      </c>
      <c r="B5" s="1">
        <f>COUNTIF('5v5 entries'!D:D,A5)-COUNTIF('5v5 entries'!L:L,A5)</f>
        <v>0</v>
      </c>
      <c r="C5" s="1">
        <f>SUMIF('5v5 entries'!D:D,A5,'5v5 entries'!J:J)</f>
        <v>0</v>
      </c>
      <c r="D5" s="7" t="e">
        <f t="shared" si="0"/>
        <v>#DIV/0!</v>
      </c>
      <c r="E5" s="1">
        <f>COUNTIF('5v5 entries'!I:I,A5)</f>
        <v>0</v>
      </c>
      <c r="F5" s="1">
        <f>SUMIF('5v5 entries'!I:I,A5,'5v5 entries'!J:J)</f>
        <v>0</v>
      </c>
      <c r="G5" s="7" t="e">
        <f t="shared" si="1"/>
        <v>#DIV/0!</v>
      </c>
      <c r="H5" s="8" t="e">
        <f t="shared" si="2"/>
        <v>#DIV/0!</v>
      </c>
      <c r="I5" s="1">
        <f>COUNTIF('5v5 entries'!L:L,A5)</f>
        <v>0</v>
      </c>
      <c r="J5" s="20" t="e">
        <f t="shared" si="3"/>
        <v>#DIV/0!</v>
      </c>
      <c r="K5" s="35">
        <f t="shared" si="4"/>
        <v>0</v>
      </c>
      <c r="L5" s="42">
        <f>COUNTIF('5v5 entries'!H:H,A5)</f>
        <v>0</v>
      </c>
      <c r="M5" s="42">
        <f>COUNTIFS('5v5 entries'!D:D,A5,'5v5 entries'!F:F,"Y")</f>
        <v>0</v>
      </c>
      <c r="N5" s="34" t="e">
        <f t="shared" si="5"/>
        <v>#DIV/0!</v>
      </c>
      <c r="O5" s="42">
        <f>COUNTIFS('5v5 entries'!D:D,A5,'5v5 entries'!G:G,"L")</f>
        <v>0</v>
      </c>
      <c r="P5" s="42">
        <f>COUNTIFS('5v5 entries'!D:D,A5,'5v5 entries'!G:G,"C")</f>
        <v>0</v>
      </c>
      <c r="Q5" s="42">
        <f>COUNTIFS('5v5 entries'!D:D,A5,'5v5 entries'!G:G,"R")</f>
        <v>0</v>
      </c>
    </row>
    <row r="6" spans="1:17" x14ac:dyDescent="0.25">
      <c r="A6" s="1">
        <v>17</v>
      </c>
      <c r="B6" s="1">
        <f>COUNTIF('5v5 entries'!D:D,A6)-COUNTIF('5v5 entries'!L:L,A6)</f>
        <v>0</v>
      </c>
      <c r="C6" s="1">
        <f>SUMIF('5v5 entries'!D:D,A6,'5v5 entries'!J:J)</f>
        <v>0</v>
      </c>
      <c r="D6" s="7" t="e">
        <f t="shared" si="0"/>
        <v>#DIV/0!</v>
      </c>
      <c r="E6" s="1">
        <f>COUNTIF('5v5 entries'!I:I,A6)</f>
        <v>0</v>
      </c>
      <c r="F6" s="1">
        <f>SUMIF('5v5 entries'!I:I,A6,'5v5 entries'!J:J)</f>
        <v>0</v>
      </c>
      <c r="G6" s="7" t="e">
        <f t="shared" si="1"/>
        <v>#DIV/0!</v>
      </c>
      <c r="H6" s="8" t="e">
        <f t="shared" si="2"/>
        <v>#DIV/0!</v>
      </c>
      <c r="I6" s="1">
        <f>COUNTIF('5v5 entries'!L:L,A6)</f>
        <v>0</v>
      </c>
      <c r="J6" s="20" t="e">
        <f t="shared" si="3"/>
        <v>#DIV/0!</v>
      </c>
      <c r="K6" s="35">
        <f t="shared" si="4"/>
        <v>0</v>
      </c>
      <c r="L6" s="42">
        <f>COUNTIF('5v5 entries'!H:H,A6)</f>
        <v>0</v>
      </c>
      <c r="M6" s="42">
        <f>COUNTIFS('5v5 entries'!D:D,A6,'5v5 entries'!F:F,"Y")</f>
        <v>0</v>
      </c>
      <c r="N6" s="34" t="e">
        <f t="shared" si="5"/>
        <v>#DIV/0!</v>
      </c>
      <c r="O6" s="42">
        <f>COUNTIFS('5v5 entries'!D:D,A6,'5v5 entries'!G:G,"L")</f>
        <v>0</v>
      </c>
      <c r="P6" s="42">
        <f>COUNTIFS('5v5 entries'!D:D,A6,'5v5 entries'!G:G,"C")</f>
        <v>0</v>
      </c>
      <c r="Q6" s="42">
        <f>COUNTIFS('5v5 entries'!D:D,A6,'5v5 entries'!G:G,"R")</f>
        <v>0</v>
      </c>
    </row>
    <row r="7" spans="1:17" x14ac:dyDescent="0.25">
      <c r="A7" s="1">
        <v>19</v>
      </c>
      <c r="B7" s="1">
        <f>COUNTIF('5v5 entries'!D:D,A7)-COUNTIF('5v5 entries'!L:L,A7)</f>
        <v>0</v>
      </c>
      <c r="C7" s="1">
        <f>SUMIF('5v5 entries'!D:D,A7,'5v5 entries'!J:J)</f>
        <v>0</v>
      </c>
      <c r="D7" s="7" t="e">
        <f t="shared" si="0"/>
        <v>#DIV/0!</v>
      </c>
      <c r="E7" s="1">
        <f>COUNTIF('5v5 entries'!I:I,A7)</f>
        <v>0</v>
      </c>
      <c r="F7" s="1">
        <f>SUMIF('5v5 entries'!I:I,A7,'5v5 entries'!J:J)</f>
        <v>0</v>
      </c>
      <c r="G7" s="7" t="e">
        <f t="shared" si="1"/>
        <v>#DIV/0!</v>
      </c>
      <c r="H7" s="8" t="e">
        <f t="shared" si="2"/>
        <v>#DIV/0!</v>
      </c>
      <c r="I7" s="1">
        <f>COUNTIF('5v5 entries'!L:L,A7)</f>
        <v>0</v>
      </c>
      <c r="J7" s="20" t="e">
        <f t="shared" si="3"/>
        <v>#DIV/0!</v>
      </c>
      <c r="K7" s="35">
        <f t="shared" si="4"/>
        <v>0</v>
      </c>
      <c r="L7" s="42">
        <f>COUNTIF('5v5 entries'!H:H,A7)</f>
        <v>0</v>
      </c>
      <c r="M7" s="42">
        <f>COUNTIFS('5v5 entries'!D:D,A7,'5v5 entries'!F:F,"Y")</f>
        <v>0</v>
      </c>
      <c r="N7" s="34" t="e">
        <f t="shared" si="5"/>
        <v>#DIV/0!</v>
      </c>
      <c r="O7" s="42">
        <f>COUNTIFS('5v5 entries'!D:D,A7,'5v5 entries'!G:G,"L")</f>
        <v>0</v>
      </c>
      <c r="P7" s="42">
        <f>COUNTIFS('5v5 entries'!D:D,A7,'5v5 entries'!G:G,"C")</f>
        <v>0</v>
      </c>
      <c r="Q7" s="42">
        <f>COUNTIFS('5v5 entries'!D:D,A7,'5v5 entries'!G:G,"R")</f>
        <v>0</v>
      </c>
    </row>
    <row r="8" spans="1:17" x14ac:dyDescent="0.25">
      <c r="A8" s="1">
        <v>20</v>
      </c>
      <c r="B8" s="1">
        <f>COUNTIF('5v5 entries'!D:D,A8)-COUNTIF('5v5 entries'!L:L,A8)</f>
        <v>0</v>
      </c>
      <c r="C8" s="1">
        <f>SUMIF('5v5 entries'!D:D,A8,'5v5 entries'!J:J)</f>
        <v>0</v>
      </c>
      <c r="D8" s="7" t="e">
        <f t="shared" ref="D8" si="6">C8/B8</f>
        <v>#DIV/0!</v>
      </c>
      <c r="E8" s="1">
        <f>COUNTIF('5v5 entries'!I:I,A8)</f>
        <v>0</v>
      </c>
      <c r="F8" s="1">
        <f>SUMIF('5v5 entries'!I:I,A8,'5v5 entries'!J:J)</f>
        <v>0</v>
      </c>
      <c r="G8" s="7" t="e">
        <f t="shared" ref="G8" si="7">F8/E8</f>
        <v>#DIV/0!</v>
      </c>
      <c r="H8" s="8" t="e">
        <f t="shared" ref="H8" si="8">E8/B8</f>
        <v>#DIV/0!</v>
      </c>
      <c r="I8" s="1">
        <f>COUNTIF('5v5 entries'!L:L,A8)</f>
        <v>0</v>
      </c>
      <c r="J8" s="20" t="e">
        <f t="shared" si="3"/>
        <v>#DIV/0!</v>
      </c>
      <c r="K8" s="35">
        <f t="shared" si="4"/>
        <v>0</v>
      </c>
      <c r="L8" s="42">
        <f>COUNTIF('5v5 entries'!H:H,A8)</f>
        <v>0</v>
      </c>
      <c r="M8" s="42">
        <f>COUNTIFS('5v5 entries'!D:D,A8,'5v5 entries'!F:F,"Y")</f>
        <v>0</v>
      </c>
      <c r="N8" s="34" t="e">
        <f t="shared" si="5"/>
        <v>#DIV/0!</v>
      </c>
      <c r="O8" s="42">
        <f>COUNTIFS('5v5 entries'!D:D,A8,'5v5 entries'!G:G,"L")</f>
        <v>0</v>
      </c>
      <c r="P8" s="42">
        <f>COUNTIFS('5v5 entries'!D:D,A8,'5v5 entries'!G:G,"C")</f>
        <v>0</v>
      </c>
      <c r="Q8" s="42">
        <f>COUNTIFS('5v5 entries'!D:D,A8,'5v5 entries'!G:G,"R")</f>
        <v>0</v>
      </c>
    </row>
    <row r="9" spans="1:17" x14ac:dyDescent="0.25">
      <c r="A9" s="1">
        <v>21</v>
      </c>
      <c r="B9" s="1">
        <f>COUNTIF('5v5 entries'!D:D,A9)-COUNTIF('5v5 entries'!L:L,A9)</f>
        <v>0</v>
      </c>
      <c r="C9" s="1">
        <f>SUMIF('5v5 entries'!D:D,A9,'5v5 entries'!J:J)</f>
        <v>0</v>
      </c>
      <c r="D9" s="7" t="e">
        <f t="shared" si="0"/>
        <v>#DIV/0!</v>
      </c>
      <c r="E9" s="1">
        <f>COUNTIF('5v5 entries'!I:I,A9)</f>
        <v>0</v>
      </c>
      <c r="F9" s="1">
        <f>SUMIF('5v5 entries'!I:I,A9,'5v5 entries'!J:J)</f>
        <v>0</v>
      </c>
      <c r="G9" s="7" t="e">
        <f t="shared" si="1"/>
        <v>#DIV/0!</v>
      </c>
      <c r="H9" s="8" t="e">
        <f t="shared" si="2"/>
        <v>#DIV/0!</v>
      </c>
      <c r="I9" s="1">
        <f>COUNTIF('5v5 entries'!L:L,A9)</f>
        <v>0</v>
      </c>
      <c r="J9" s="20" t="e">
        <f t="shared" si="3"/>
        <v>#DIV/0!</v>
      </c>
      <c r="K9" s="35">
        <f t="shared" si="4"/>
        <v>0</v>
      </c>
      <c r="L9" s="42">
        <f>COUNTIF('5v5 entries'!H:H,A9)</f>
        <v>0</v>
      </c>
      <c r="M9" s="42">
        <f>COUNTIFS('5v5 entries'!D:D,A9,'5v5 entries'!F:F,"Y")</f>
        <v>0</v>
      </c>
      <c r="N9" s="34" t="e">
        <f t="shared" si="5"/>
        <v>#DIV/0!</v>
      </c>
      <c r="O9" s="42">
        <f>COUNTIFS('5v5 entries'!D:D,A9,'5v5 entries'!G:G,"L")</f>
        <v>0</v>
      </c>
      <c r="P9" s="42">
        <f>COUNTIFS('5v5 entries'!D:D,A9,'5v5 entries'!G:G,"C")</f>
        <v>0</v>
      </c>
      <c r="Q9" s="42">
        <f>COUNTIFS('5v5 entries'!D:D,A9,'5v5 entries'!G:G,"R")</f>
        <v>0</v>
      </c>
    </row>
    <row r="10" spans="1:17" x14ac:dyDescent="0.25">
      <c r="A10" s="1">
        <v>24</v>
      </c>
      <c r="B10" s="1">
        <f>COUNTIF('5v5 entries'!D:D,A10)-COUNTIF('5v5 entries'!L:L,A10)</f>
        <v>0</v>
      </c>
      <c r="C10" s="1">
        <f>SUMIF('5v5 entries'!D:D,A10,'5v5 entries'!J:J)</f>
        <v>0</v>
      </c>
      <c r="D10" s="7" t="e">
        <f t="shared" si="0"/>
        <v>#DIV/0!</v>
      </c>
      <c r="E10" s="1">
        <f>COUNTIF('5v5 entries'!I:I,A10)</f>
        <v>0</v>
      </c>
      <c r="F10" s="1">
        <f>SUMIF('5v5 entries'!I:I,A10,'5v5 entries'!J:J)</f>
        <v>0</v>
      </c>
      <c r="G10" s="7" t="e">
        <f t="shared" si="1"/>
        <v>#DIV/0!</v>
      </c>
      <c r="H10" s="8" t="e">
        <f t="shared" si="2"/>
        <v>#DIV/0!</v>
      </c>
      <c r="I10" s="1">
        <f>COUNTIF('5v5 entries'!L:L,A10)</f>
        <v>0</v>
      </c>
      <c r="J10" s="20" t="e">
        <f t="shared" si="3"/>
        <v>#DIV/0!</v>
      </c>
      <c r="K10" s="35">
        <f t="shared" si="4"/>
        <v>0</v>
      </c>
      <c r="L10" s="42">
        <f>COUNTIF('5v5 entries'!H:H,A10)</f>
        <v>0</v>
      </c>
      <c r="M10" s="42">
        <f>COUNTIFS('5v5 entries'!D:D,A10,'5v5 entries'!F:F,"Y")</f>
        <v>0</v>
      </c>
      <c r="N10" s="34" t="e">
        <f t="shared" si="5"/>
        <v>#DIV/0!</v>
      </c>
      <c r="O10" s="42">
        <f>COUNTIFS('5v5 entries'!D:D,A10,'5v5 entries'!G:G,"L")</f>
        <v>0</v>
      </c>
      <c r="P10" s="42">
        <f>COUNTIFS('5v5 entries'!D:D,A10,'5v5 entries'!G:G,"C")</f>
        <v>0</v>
      </c>
      <c r="Q10" s="42">
        <f>COUNTIFS('5v5 entries'!D:D,A10,'5v5 entries'!G:G,"R")</f>
        <v>0</v>
      </c>
    </row>
    <row r="11" spans="1:17" x14ac:dyDescent="0.25">
      <c r="A11" s="1">
        <v>25</v>
      </c>
      <c r="B11" s="1">
        <f>COUNTIF('5v5 entries'!D:D,A11)-COUNTIF('5v5 entries'!L:L,A11)</f>
        <v>0</v>
      </c>
      <c r="C11" s="1">
        <f>SUMIF('5v5 entries'!D:D,A11,'5v5 entries'!J:J)</f>
        <v>0</v>
      </c>
      <c r="D11" s="7" t="e">
        <f t="shared" si="0"/>
        <v>#DIV/0!</v>
      </c>
      <c r="E11" s="1">
        <f>COUNTIF('5v5 entries'!I:I,A11)</f>
        <v>0</v>
      </c>
      <c r="F11" s="1">
        <f>SUMIF('5v5 entries'!I:I,A11,'5v5 entries'!J:J)</f>
        <v>0</v>
      </c>
      <c r="G11" s="7" t="e">
        <f t="shared" si="1"/>
        <v>#DIV/0!</v>
      </c>
      <c r="H11" s="8" t="e">
        <f t="shared" si="2"/>
        <v>#DIV/0!</v>
      </c>
      <c r="I11" s="1">
        <f>COUNTIF('5v5 entries'!L:L,A11)</f>
        <v>0</v>
      </c>
      <c r="J11" s="20" t="e">
        <f t="shared" si="3"/>
        <v>#DIV/0!</v>
      </c>
      <c r="K11" s="35">
        <f t="shared" si="4"/>
        <v>0</v>
      </c>
      <c r="L11" s="42">
        <f>COUNTIF('5v5 entries'!H:H,A11)</f>
        <v>0</v>
      </c>
      <c r="M11" s="42">
        <f>COUNTIFS('5v5 entries'!D:D,A11,'5v5 entries'!F:F,"Y")</f>
        <v>0</v>
      </c>
      <c r="N11" s="34" t="e">
        <f t="shared" si="5"/>
        <v>#DIV/0!</v>
      </c>
      <c r="O11" s="42">
        <f>COUNTIFS('5v5 entries'!D:D,A11,'5v5 entries'!G:G,"L")</f>
        <v>0</v>
      </c>
      <c r="P11" s="42">
        <f>COUNTIFS('5v5 entries'!D:D,A11,'5v5 entries'!G:G,"C")</f>
        <v>0</v>
      </c>
      <c r="Q11" s="42">
        <f>COUNTIFS('5v5 entries'!D:D,A11,'5v5 entries'!G:G,"R")</f>
        <v>0</v>
      </c>
    </row>
    <row r="12" spans="1:17" x14ac:dyDescent="0.25">
      <c r="A12" s="1">
        <v>27</v>
      </c>
      <c r="B12" s="1">
        <f>COUNTIF('5v5 entries'!D:D,A12)-COUNTIF('5v5 entries'!L:L,A12)</f>
        <v>0</v>
      </c>
      <c r="C12" s="1">
        <f>SUMIF('5v5 entries'!D:D,A12,'5v5 entries'!J:J)</f>
        <v>0</v>
      </c>
      <c r="D12" s="7" t="e">
        <f t="shared" si="0"/>
        <v>#DIV/0!</v>
      </c>
      <c r="E12" s="1">
        <f>COUNTIF('5v5 entries'!I:I,A12)</f>
        <v>0</v>
      </c>
      <c r="F12" s="1">
        <f>SUMIF('5v5 entries'!I:I,A12,'5v5 entries'!J:J)</f>
        <v>0</v>
      </c>
      <c r="G12" s="7" t="e">
        <f t="shared" si="1"/>
        <v>#DIV/0!</v>
      </c>
      <c r="H12" s="8" t="e">
        <f t="shared" si="2"/>
        <v>#DIV/0!</v>
      </c>
      <c r="I12" s="1">
        <f>COUNTIF('5v5 entries'!L:L,A12)</f>
        <v>0</v>
      </c>
      <c r="J12" s="20" t="e">
        <f t="shared" si="3"/>
        <v>#DIV/0!</v>
      </c>
      <c r="K12" s="35">
        <f t="shared" si="4"/>
        <v>0</v>
      </c>
      <c r="L12" s="42">
        <f>COUNTIF('5v5 entries'!H:H,A12)</f>
        <v>0</v>
      </c>
      <c r="M12" s="42">
        <f>COUNTIFS('5v5 entries'!D:D,A12,'5v5 entries'!F:F,"Y")</f>
        <v>0</v>
      </c>
      <c r="N12" s="34" t="e">
        <f t="shared" si="5"/>
        <v>#DIV/0!</v>
      </c>
      <c r="O12" s="42">
        <f>COUNTIFS('5v5 entries'!D:D,A12,'5v5 entries'!G:G,"L")</f>
        <v>0</v>
      </c>
      <c r="P12" s="42">
        <f>COUNTIFS('5v5 entries'!D:D,A12,'5v5 entries'!G:G,"C")</f>
        <v>0</v>
      </c>
      <c r="Q12" s="42">
        <f>COUNTIFS('5v5 entries'!D:D,A12,'5v5 entries'!G:G,"R")</f>
        <v>0</v>
      </c>
    </row>
    <row r="13" spans="1:17" x14ac:dyDescent="0.25">
      <c r="A13" s="1">
        <v>28</v>
      </c>
      <c r="B13" s="1">
        <f>COUNTIF('5v5 entries'!D:D,A13)-COUNTIF('5v5 entries'!L:L,A13)</f>
        <v>0</v>
      </c>
      <c r="C13" s="1">
        <f>SUMIF('5v5 entries'!D:D,A13,'5v5 entries'!J:J)</f>
        <v>0</v>
      </c>
      <c r="D13" s="7" t="e">
        <f t="shared" si="0"/>
        <v>#DIV/0!</v>
      </c>
      <c r="E13" s="1">
        <f>COUNTIF('5v5 entries'!I:I,A13)</f>
        <v>0</v>
      </c>
      <c r="F13" s="1">
        <f>SUMIF('5v5 entries'!I:I,A13,'5v5 entries'!J:J)</f>
        <v>0</v>
      </c>
      <c r="G13" s="7" t="e">
        <f t="shared" si="1"/>
        <v>#DIV/0!</v>
      </c>
      <c r="H13" s="8" t="e">
        <f t="shared" si="2"/>
        <v>#DIV/0!</v>
      </c>
      <c r="I13" s="1">
        <f>COUNTIF('5v5 entries'!L:L,A13)</f>
        <v>0</v>
      </c>
      <c r="J13" s="20" t="e">
        <f t="shared" si="3"/>
        <v>#DIV/0!</v>
      </c>
      <c r="K13" s="35">
        <f t="shared" si="4"/>
        <v>0</v>
      </c>
      <c r="L13" s="42">
        <f>COUNTIF('5v5 entries'!H:H,A13)</f>
        <v>0</v>
      </c>
      <c r="M13" s="42">
        <f>COUNTIFS('5v5 entries'!D:D,A13,'5v5 entries'!F:F,"Y")</f>
        <v>0</v>
      </c>
      <c r="N13" s="34" t="e">
        <f t="shared" si="5"/>
        <v>#DIV/0!</v>
      </c>
      <c r="O13" s="42">
        <f>COUNTIFS('5v5 entries'!D:D,A13,'5v5 entries'!G:G,"L")</f>
        <v>0</v>
      </c>
      <c r="P13" s="42">
        <f>COUNTIFS('5v5 entries'!D:D,A13,'5v5 entries'!G:G,"C")</f>
        <v>0</v>
      </c>
      <c r="Q13" s="42">
        <f>COUNTIFS('5v5 entries'!D:D,A13,'5v5 entries'!G:G,"R")</f>
        <v>0</v>
      </c>
    </row>
    <row r="14" spans="1:17" x14ac:dyDescent="0.25">
      <c r="A14" s="1">
        <v>36</v>
      </c>
      <c r="B14" s="1">
        <f>COUNTIF('5v5 entries'!D:D,A14)-COUNTIF('5v5 entries'!L:L,A14)</f>
        <v>0</v>
      </c>
      <c r="C14" s="1">
        <f>SUMIF('5v5 entries'!D:D,A14,'5v5 entries'!J:J)</f>
        <v>0</v>
      </c>
      <c r="D14" s="7" t="e">
        <f t="shared" si="0"/>
        <v>#DIV/0!</v>
      </c>
      <c r="E14" s="1">
        <f>COUNTIF('5v5 entries'!I:I,A14)</f>
        <v>0</v>
      </c>
      <c r="F14" s="1">
        <f>SUMIF('5v5 entries'!I:I,A14,'5v5 entries'!J:J)</f>
        <v>0</v>
      </c>
      <c r="G14" s="7" t="e">
        <f t="shared" si="1"/>
        <v>#DIV/0!</v>
      </c>
      <c r="H14" s="8" t="e">
        <f t="shared" si="2"/>
        <v>#DIV/0!</v>
      </c>
      <c r="I14" s="1">
        <f>COUNTIF('5v5 entries'!L:L,A14)</f>
        <v>0</v>
      </c>
      <c r="J14" s="20" t="e">
        <f t="shared" si="3"/>
        <v>#DIV/0!</v>
      </c>
      <c r="K14" s="35">
        <f t="shared" si="4"/>
        <v>0</v>
      </c>
      <c r="L14" s="42">
        <f>COUNTIF('5v5 entries'!H:H,A14)</f>
        <v>0</v>
      </c>
      <c r="M14" s="42">
        <f>COUNTIFS('5v5 entries'!D:D,A14,'5v5 entries'!F:F,"Y")</f>
        <v>0</v>
      </c>
      <c r="N14" s="34" t="e">
        <f t="shared" si="5"/>
        <v>#DIV/0!</v>
      </c>
      <c r="O14" s="42">
        <f>COUNTIFS('5v5 entries'!D:D,A14,'5v5 entries'!G:G,"L")</f>
        <v>0</v>
      </c>
      <c r="P14" s="42">
        <f>COUNTIFS('5v5 entries'!D:D,A14,'5v5 entries'!G:G,"C")</f>
        <v>0</v>
      </c>
      <c r="Q14" s="42">
        <f>COUNTIFS('5v5 entries'!D:D,A14,'5v5 entries'!G:G,"R")</f>
        <v>0</v>
      </c>
    </row>
    <row r="15" spans="1:17" x14ac:dyDescent="0.25">
      <c r="A15" s="1">
        <v>41</v>
      </c>
      <c r="B15" s="1">
        <f>COUNTIF('5v5 entries'!D:D,A15)-COUNTIF('5v5 entries'!L:L,A15)</f>
        <v>0</v>
      </c>
      <c r="C15" s="1">
        <f>SUMIF('5v5 entries'!D:D,A15,'5v5 entries'!J:J)</f>
        <v>0</v>
      </c>
      <c r="D15" s="7" t="e">
        <f t="shared" si="0"/>
        <v>#DIV/0!</v>
      </c>
      <c r="E15" s="1">
        <f>COUNTIF('5v5 entries'!I:I,A15)</f>
        <v>0</v>
      </c>
      <c r="F15" s="1">
        <f>SUMIF('5v5 entries'!I:I,A15,'5v5 entries'!J:J)</f>
        <v>0</v>
      </c>
      <c r="G15" s="7" t="e">
        <f t="shared" si="1"/>
        <v>#DIV/0!</v>
      </c>
      <c r="H15" s="8" t="e">
        <f t="shared" si="2"/>
        <v>#DIV/0!</v>
      </c>
      <c r="I15" s="1">
        <f>COUNTIF('5v5 entries'!L:L,A15)</f>
        <v>0</v>
      </c>
      <c r="J15" s="20" t="e">
        <f t="shared" si="3"/>
        <v>#DIV/0!</v>
      </c>
      <c r="K15" s="35">
        <f t="shared" si="4"/>
        <v>0</v>
      </c>
      <c r="L15" s="42">
        <f>COUNTIF('5v5 entries'!H:H,A15)</f>
        <v>0</v>
      </c>
      <c r="M15" s="42">
        <f>COUNTIFS('5v5 entries'!D:D,A15,'5v5 entries'!F:F,"Y")</f>
        <v>0</v>
      </c>
      <c r="N15" s="34" t="e">
        <f t="shared" si="5"/>
        <v>#DIV/0!</v>
      </c>
      <c r="O15" s="42">
        <f>COUNTIFS('5v5 entries'!D:D,A15,'5v5 entries'!G:G,"L")</f>
        <v>0</v>
      </c>
      <c r="P15" s="42">
        <f>COUNTIFS('5v5 entries'!D:D,A15,'5v5 entries'!G:G,"C")</f>
        <v>0</v>
      </c>
      <c r="Q15" s="42">
        <f>COUNTIFS('5v5 entries'!D:D,A15,'5v5 entries'!G:G,"R")</f>
        <v>0</v>
      </c>
    </row>
    <row r="16" spans="1:17" x14ac:dyDescent="0.25">
      <c r="A16" s="1">
        <v>44</v>
      </c>
      <c r="B16" s="1">
        <f>COUNTIF('5v5 entries'!D:D,A16)-COUNTIF('5v5 entries'!L:L,A16)</f>
        <v>0</v>
      </c>
      <c r="C16" s="1">
        <f>SUMIF('5v5 entries'!D:D,A16,'5v5 entries'!J:J)</f>
        <v>0</v>
      </c>
      <c r="D16" s="7" t="e">
        <f t="shared" si="0"/>
        <v>#DIV/0!</v>
      </c>
      <c r="E16" s="1">
        <f>COUNTIF('5v5 entries'!I:I,A16)</f>
        <v>0</v>
      </c>
      <c r="F16" s="1">
        <f>SUMIF('5v5 entries'!I:I,A16,'5v5 entries'!J:J)</f>
        <v>0</v>
      </c>
      <c r="G16" s="7" t="e">
        <f t="shared" si="1"/>
        <v>#DIV/0!</v>
      </c>
      <c r="H16" s="8" t="e">
        <f t="shared" si="2"/>
        <v>#DIV/0!</v>
      </c>
      <c r="I16" s="1">
        <f>COUNTIF('5v5 entries'!L:L,A16)</f>
        <v>0</v>
      </c>
      <c r="J16" s="20" t="e">
        <f t="shared" si="3"/>
        <v>#DIV/0!</v>
      </c>
      <c r="K16" s="35">
        <f t="shared" si="4"/>
        <v>0</v>
      </c>
      <c r="L16" s="42">
        <f>COUNTIF('5v5 entries'!H:H,A16)</f>
        <v>0</v>
      </c>
      <c r="M16" s="42">
        <f>COUNTIFS('5v5 entries'!D:D,A16,'5v5 entries'!F:F,"Y")</f>
        <v>0</v>
      </c>
      <c r="N16" s="34" t="e">
        <f t="shared" si="5"/>
        <v>#DIV/0!</v>
      </c>
      <c r="O16" s="42">
        <f>COUNTIFS('5v5 entries'!D:D,A16,'5v5 entries'!G:G,"L")</f>
        <v>0</v>
      </c>
      <c r="P16" s="42">
        <f>COUNTIFS('5v5 entries'!D:D,A16,'5v5 entries'!G:G,"C")</f>
        <v>0</v>
      </c>
      <c r="Q16" s="42">
        <f>COUNTIFS('5v5 entries'!D:D,A16,'5v5 entries'!G:G,"R")</f>
        <v>0</v>
      </c>
    </row>
    <row r="17" spans="1:17" x14ac:dyDescent="0.25">
      <c r="A17" s="1">
        <v>48</v>
      </c>
      <c r="B17" s="1">
        <f>COUNTIF('5v5 entries'!D:D,A17)-COUNTIF('5v5 entries'!L:L,A17)</f>
        <v>0</v>
      </c>
      <c r="C17" s="1">
        <f>SUMIF('5v5 entries'!D:D,A17,'5v5 entries'!J:J)</f>
        <v>0</v>
      </c>
      <c r="D17" s="7" t="e">
        <f t="shared" si="0"/>
        <v>#DIV/0!</v>
      </c>
      <c r="E17" s="1">
        <f>COUNTIF('5v5 entries'!I:I,A17)</f>
        <v>0</v>
      </c>
      <c r="F17" s="1">
        <f>SUMIF('5v5 entries'!I:I,A17,'5v5 entries'!J:J)</f>
        <v>0</v>
      </c>
      <c r="G17" s="7" t="e">
        <f t="shared" si="1"/>
        <v>#DIV/0!</v>
      </c>
      <c r="H17" s="8" t="e">
        <f t="shared" si="2"/>
        <v>#DIV/0!</v>
      </c>
      <c r="I17" s="1">
        <f>COUNTIF('5v5 entries'!L:L,A17)</f>
        <v>0</v>
      </c>
      <c r="J17" s="20" t="e">
        <f t="shared" si="3"/>
        <v>#DIV/0!</v>
      </c>
      <c r="K17" s="35">
        <f t="shared" si="4"/>
        <v>0</v>
      </c>
      <c r="L17" s="42">
        <f>COUNTIF('5v5 entries'!H:H,A17)</f>
        <v>0</v>
      </c>
      <c r="M17" s="42">
        <f>COUNTIFS('5v5 entries'!D:D,A17,'5v5 entries'!F:F,"Y")</f>
        <v>0</v>
      </c>
      <c r="N17" s="34" t="e">
        <f t="shared" si="5"/>
        <v>#DIV/0!</v>
      </c>
      <c r="O17" s="42">
        <f>COUNTIFS('5v5 entries'!D:D,A17,'5v5 entries'!G:G,"L")</f>
        <v>0</v>
      </c>
      <c r="P17" s="42">
        <f>COUNTIFS('5v5 entries'!D:D,A17,'5v5 entries'!G:G,"C")</f>
        <v>0</v>
      </c>
      <c r="Q17" s="42">
        <f>COUNTIFS('5v5 entries'!D:D,A17,'5v5 entries'!G:G,"R")</f>
        <v>0</v>
      </c>
    </row>
    <row r="18" spans="1:17" x14ac:dyDescent="0.25">
      <c r="A18" s="1">
        <v>68</v>
      </c>
      <c r="B18" s="1">
        <f>COUNTIF('5v5 entries'!D:D,A18)-COUNTIF('5v5 entries'!L:L,A18)</f>
        <v>0</v>
      </c>
      <c r="C18" s="1">
        <f>SUMIF('5v5 entries'!D:D,A18,'5v5 entries'!J:J)</f>
        <v>0</v>
      </c>
      <c r="D18" s="7" t="e">
        <f t="shared" si="0"/>
        <v>#DIV/0!</v>
      </c>
      <c r="E18" s="1">
        <f>COUNTIF('5v5 entries'!I:I,A18)</f>
        <v>0</v>
      </c>
      <c r="F18" s="1">
        <f>SUMIF('5v5 entries'!I:I,A18,'5v5 entries'!J:J)</f>
        <v>0</v>
      </c>
      <c r="G18" s="7" t="e">
        <f t="shared" si="1"/>
        <v>#DIV/0!</v>
      </c>
      <c r="H18" s="8" t="e">
        <f t="shared" si="2"/>
        <v>#DIV/0!</v>
      </c>
      <c r="I18" s="1">
        <f>COUNTIF('5v5 entries'!L:L,A18)</f>
        <v>0</v>
      </c>
      <c r="J18" s="20" t="e">
        <f t="shared" si="3"/>
        <v>#DIV/0!</v>
      </c>
      <c r="K18" s="35">
        <f t="shared" si="4"/>
        <v>0</v>
      </c>
      <c r="L18" s="42">
        <f>COUNTIF('5v5 entries'!H:H,A18)</f>
        <v>0</v>
      </c>
      <c r="M18" s="42">
        <f>COUNTIFS('5v5 entries'!D:D,A18,'5v5 entries'!F:F,"Y")</f>
        <v>0</v>
      </c>
      <c r="N18" s="34" t="e">
        <f t="shared" si="5"/>
        <v>#DIV/0!</v>
      </c>
      <c r="O18" s="42">
        <f>COUNTIFS('5v5 entries'!D:D,A18,'5v5 entries'!G:G,"L")</f>
        <v>0</v>
      </c>
      <c r="P18" s="42">
        <f>COUNTIFS('5v5 entries'!D:D,A18,'5v5 entries'!G:G,"C")</f>
        <v>0</v>
      </c>
      <c r="Q18" s="42">
        <f>COUNTIFS('5v5 entries'!D:D,A18,'5v5 entries'!G:G,"R")</f>
        <v>0</v>
      </c>
    </row>
    <row r="19" spans="1:17" x14ac:dyDescent="0.25">
      <c r="A19" s="1">
        <v>93</v>
      </c>
      <c r="B19" s="1">
        <f>COUNTIF('5v5 entries'!D:D,A19)-COUNTIF('5v5 entries'!L:L,A19)</f>
        <v>0</v>
      </c>
      <c r="C19" s="1">
        <f>SUMIF('5v5 entries'!D:D,A19,'5v5 entries'!J:J)</f>
        <v>0</v>
      </c>
      <c r="D19" s="7" t="e">
        <f t="shared" si="0"/>
        <v>#DIV/0!</v>
      </c>
      <c r="E19" s="1">
        <f>COUNTIF('5v5 entries'!I:I,A19)</f>
        <v>0</v>
      </c>
      <c r="F19" s="1">
        <f>SUMIF('5v5 entries'!I:I,A19,'5v5 entries'!J:J)</f>
        <v>0</v>
      </c>
      <c r="G19" s="7" t="e">
        <f t="shared" si="1"/>
        <v>#DIV/0!</v>
      </c>
      <c r="H19" s="8" t="e">
        <f t="shared" si="2"/>
        <v>#DIV/0!</v>
      </c>
      <c r="I19" s="1">
        <f>COUNTIF('5v5 entries'!L:L,A19)</f>
        <v>0</v>
      </c>
      <c r="J19" s="20" t="e">
        <f t="shared" si="3"/>
        <v>#DIV/0!</v>
      </c>
      <c r="K19" s="35">
        <f t="shared" si="4"/>
        <v>0</v>
      </c>
      <c r="L19" s="42">
        <f>COUNTIF('5v5 entries'!H:H,A19)</f>
        <v>0</v>
      </c>
      <c r="M19" s="42">
        <f>COUNTIFS('5v5 entries'!D:D,A19,'5v5 entries'!F:F,"Y")</f>
        <v>0</v>
      </c>
      <c r="N19" s="34" t="e">
        <f t="shared" si="5"/>
        <v>#DIV/0!</v>
      </c>
      <c r="O19" s="42">
        <f>COUNTIFS('5v5 entries'!D:D,A19,'5v5 entries'!G:G,"L")</f>
        <v>0</v>
      </c>
      <c r="P19" s="42">
        <f>COUNTIFS('5v5 entries'!D:D,A19,'5v5 entries'!G:G,"C")</f>
        <v>0</v>
      </c>
      <c r="Q19" s="42">
        <f>COUNTIFS('5v5 entries'!D:D,A19,'5v5 entries'!G:G,"R")</f>
        <v>0</v>
      </c>
    </row>
    <row r="20" spans="1:17" x14ac:dyDescent="0.25">
      <c r="A20" s="1" t="s">
        <v>38</v>
      </c>
      <c r="B20" s="1">
        <f>SUM(B2:B19)</f>
        <v>0</v>
      </c>
      <c r="C20" s="1">
        <f>SUM(C2:C19)</f>
        <v>0</v>
      </c>
      <c r="D20" s="7" t="e">
        <f t="shared" si="0"/>
        <v>#DIV/0!</v>
      </c>
      <c r="E20" s="1">
        <f>SUM(E2:E19)</f>
        <v>0</v>
      </c>
      <c r="F20" s="1">
        <f>SUM(F2:F19)</f>
        <v>0</v>
      </c>
      <c r="G20" s="7" t="e">
        <f t="shared" si="1"/>
        <v>#DIV/0!</v>
      </c>
      <c r="H20" s="8" t="e">
        <f t="shared" si="2"/>
        <v>#DIV/0!</v>
      </c>
      <c r="I20" s="1">
        <f>SUM(I2:I19)</f>
        <v>0</v>
      </c>
      <c r="J20" s="20" t="e">
        <f t="shared" si="3"/>
        <v>#DIV/0!</v>
      </c>
      <c r="K20" s="35">
        <f>B20-E20</f>
        <v>0</v>
      </c>
      <c r="L20" s="34">
        <f>SUM(L2:L19)</f>
        <v>0</v>
      </c>
      <c r="M20" s="34">
        <f t="shared" ref="M20" si="9">SUM(M2:M19)</f>
        <v>0</v>
      </c>
      <c r="N20" s="34" t="e">
        <f t="shared" si="5"/>
        <v>#DIV/0!</v>
      </c>
      <c r="O20" s="34">
        <f>COUNTIFS('5v5 entries'!D:D,A20,'5v5 entries'!G:G,"L")</f>
        <v>0</v>
      </c>
      <c r="P20" s="34">
        <f>COUNTIFS('5v5 entries'!D:D,A20,'5v5 entries'!G:G,"C")</f>
        <v>0</v>
      </c>
      <c r="Q20" s="34">
        <f>COUNTIFS('5v5 entries'!D:D,A20,'5v5 entries'!G:G,"R")</f>
        <v>0</v>
      </c>
    </row>
    <row r="21" spans="1:17" x14ac:dyDescent="0.25">
      <c r="A21" s="1" t="s">
        <v>5</v>
      </c>
      <c r="B21" s="1">
        <f>COUNTIF('5v5 entries'!M:M,0)-COUNTIF('5v5 entries'!L:L,A21)</f>
        <v>152</v>
      </c>
      <c r="C21" s="1">
        <f>SUMIF('5v5 entries'!M:M,0,'5v5 entries'!J:J)</f>
        <v>74</v>
      </c>
      <c r="D21" s="7">
        <f t="shared" si="0"/>
        <v>0.48684210526315791</v>
      </c>
      <c r="E21" s="1">
        <f>COUNTIF('5v5 entries'!N:N,0)</f>
        <v>62</v>
      </c>
      <c r="F21" s="1">
        <f>SUMIF('5v5 entries'!N:N,0,'5v5 entries'!J:J)</f>
        <v>42</v>
      </c>
      <c r="G21" s="7">
        <f t="shared" si="1"/>
        <v>0.67741935483870963</v>
      </c>
      <c r="H21" s="8">
        <f t="shared" si="2"/>
        <v>0.40789473684210525</v>
      </c>
      <c r="I21" s="1">
        <f>COUNTIF('5v5 entries'!O:O,A21)</f>
        <v>0</v>
      </c>
      <c r="J21" s="20">
        <f t="shared" si="3"/>
        <v>0</v>
      </c>
    </row>
    <row r="22" spans="1:17" x14ac:dyDescent="0.25">
      <c r="A22" s="1" t="s">
        <v>14</v>
      </c>
      <c r="B22" s="1">
        <f>COUNTIF('5v5 entries'!D:D,A22)-COUNTIF('5v5 entries'!L:L,A22)</f>
        <v>12</v>
      </c>
      <c r="C22" s="1">
        <f>SUMIF('5v5 entries'!D:D,A22,'5v5 entries'!J:J)</f>
        <v>3</v>
      </c>
      <c r="D22" s="7">
        <f t="shared" si="0"/>
        <v>0.25</v>
      </c>
      <c r="E22" s="1"/>
      <c r="F22" s="1"/>
      <c r="G22" s="7"/>
      <c r="H22" s="8"/>
      <c r="J22" s="20" t="e">
        <f t="shared" si="3"/>
        <v>#DIV/0!</v>
      </c>
    </row>
    <row r="23" spans="1:17" x14ac:dyDescent="0.25">
      <c r="A23" s="1" t="s">
        <v>15</v>
      </c>
      <c r="B23" s="1">
        <f>COUNTIF('5v5 entries'!D:D,A23)-COUNTIF('5v5 entries'!L:L,A23)</f>
        <v>11</v>
      </c>
      <c r="C23" s="1">
        <f>SUMIF('5v5 entries'!D:D,A23,'5v5 entries'!J:J)</f>
        <v>3</v>
      </c>
      <c r="D23" s="7">
        <f t="shared" si="0"/>
        <v>0.27272727272727271</v>
      </c>
      <c r="E23" s="1"/>
      <c r="F23" s="1"/>
      <c r="G23" s="7"/>
      <c r="H23" s="8"/>
      <c r="J23" s="20" t="e">
        <f t="shared" si="3"/>
        <v>#DIV/0!</v>
      </c>
    </row>
    <row r="24" spans="1:17" x14ac:dyDescent="0.25">
      <c r="B24" s="1"/>
      <c r="C24" s="1"/>
      <c r="D24" s="1"/>
      <c r="E24" s="1"/>
      <c r="F24" s="1"/>
      <c r="G24" s="1"/>
      <c r="H24" s="1"/>
    </row>
    <row r="25" spans="1:17" x14ac:dyDescent="0.25">
      <c r="B25" s="1"/>
      <c r="C25" s="1"/>
      <c r="D25" s="1"/>
      <c r="E25" s="1"/>
      <c r="F25" s="1"/>
      <c r="G25" s="1"/>
      <c r="H25" s="1"/>
    </row>
    <row r="26" spans="1:17" x14ac:dyDescent="0.25">
      <c r="A26" s="3" t="s">
        <v>41</v>
      </c>
    </row>
    <row r="27" spans="1:17" x14ac:dyDescent="0.25">
      <c r="A27" s="3" t="s">
        <v>42</v>
      </c>
    </row>
    <row r="29" spans="1:17" x14ac:dyDescent="0.25">
      <c r="A29" s="4" t="s">
        <v>19</v>
      </c>
    </row>
    <row r="30" spans="1:17" x14ac:dyDescent="0.25">
      <c r="A30" s="4" t="s">
        <v>34</v>
      </c>
    </row>
    <row r="31" spans="1:17" x14ac:dyDescent="0.25">
      <c r="A31" s="4" t="s">
        <v>27</v>
      </c>
    </row>
    <row r="32" spans="1:17" x14ac:dyDescent="0.25">
      <c r="A32" s="4" t="s">
        <v>28</v>
      </c>
    </row>
    <row r="33" spans="1:1" x14ac:dyDescent="0.25">
      <c r="A33" s="4" t="s">
        <v>29</v>
      </c>
    </row>
    <row r="34" spans="1:1" x14ac:dyDescent="0.25">
      <c r="A34" s="4" t="s">
        <v>30</v>
      </c>
    </row>
    <row r="35" spans="1:1" x14ac:dyDescent="0.25">
      <c r="A35" s="4" t="s">
        <v>31</v>
      </c>
    </row>
    <row r="36" spans="1:1" x14ac:dyDescent="0.25">
      <c r="A36" s="4" t="s">
        <v>32</v>
      </c>
    </row>
    <row r="37" spans="1:1" x14ac:dyDescent="0.25">
      <c r="A37" s="4" t="s">
        <v>33</v>
      </c>
    </row>
    <row r="38" spans="1:1" x14ac:dyDescent="0.25">
      <c r="A38" s="4"/>
    </row>
    <row r="39" spans="1:1" x14ac:dyDescent="0.25">
      <c r="A39" s="4" t="s">
        <v>25</v>
      </c>
    </row>
    <row r="40" spans="1:1" x14ac:dyDescent="0.25">
      <c r="A40" s="4" t="s">
        <v>22</v>
      </c>
    </row>
    <row r="41" spans="1:1" x14ac:dyDescent="0.25">
      <c r="A41" s="4" t="s">
        <v>23</v>
      </c>
    </row>
    <row r="42" spans="1:1" x14ac:dyDescent="0.25">
      <c r="A42" s="4" t="s">
        <v>20</v>
      </c>
    </row>
    <row r="43" spans="1:1" x14ac:dyDescent="0.25">
      <c r="A43" s="4" t="s">
        <v>21</v>
      </c>
    </row>
    <row r="44" spans="1:1" x14ac:dyDescent="0.25">
      <c r="A44" s="4" t="s">
        <v>24</v>
      </c>
    </row>
    <row r="45" spans="1:1" x14ac:dyDescent="0.25">
      <c r="A45" s="4"/>
    </row>
    <row r="46" spans="1:1" x14ac:dyDescent="0.25">
      <c r="A46" s="4"/>
    </row>
  </sheetData>
  <sortState ref="A2:B195">
    <sortCondition descending="1" ref="B2:B195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93"/>
  <sheetViews>
    <sheetView tabSelected="1" workbookViewId="0">
      <selection sqref="A1:Q600"/>
    </sheetView>
  </sheetViews>
  <sheetFormatPr defaultRowHeight="15" x14ac:dyDescent="0.25"/>
  <cols>
    <col min="1" max="1" width="9.140625" style="1"/>
    <col min="2" max="2" width="9.140625" style="5"/>
    <col min="3" max="16" width="9.140625" style="1"/>
    <col min="17" max="17" width="8.42578125" style="1" customWidth="1"/>
    <col min="18" max="19" width="8.28515625" hidden="1" customWidth="1"/>
  </cols>
  <sheetData>
    <row r="1" spans="1:19" x14ac:dyDescent="0.25">
      <c r="A1" s="1" t="s">
        <v>0</v>
      </c>
      <c r="B1" s="5" t="s">
        <v>1</v>
      </c>
      <c r="C1" s="1" t="s">
        <v>2</v>
      </c>
      <c r="D1" s="1" t="s">
        <v>59</v>
      </c>
      <c r="E1" s="1" t="s">
        <v>60</v>
      </c>
      <c r="F1" s="1" t="s">
        <v>61</v>
      </c>
      <c r="G1" s="1" t="s">
        <v>63</v>
      </c>
      <c r="H1" s="1" t="s">
        <v>62</v>
      </c>
      <c r="I1" s="1" t="s">
        <v>6</v>
      </c>
      <c r="J1" s="1" t="s">
        <v>4</v>
      </c>
      <c r="K1" s="1" t="s">
        <v>16</v>
      </c>
      <c r="L1" s="1" t="s">
        <v>12</v>
      </c>
      <c r="M1" s="1" t="s">
        <v>13</v>
      </c>
      <c r="N1" s="1" t="s">
        <v>50</v>
      </c>
      <c r="O1" s="1" t="s">
        <v>43</v>
      </c>
      <c r="P1" s="1" t="s">
        <v>5</v>
      </c>
      <c r="Q1" s="1" t="s">
        <v>44</v>
      </c>
      <c r="R1" s="1" t="s">
        <v>45</v>
      </c>
      <c r="S1" s="1" t="s">
        <v>46</v>
      </c>
    </row>
    <row r="2" spans="1:19" x14ac:dyDescent="0.25">
      <c r="A2" s="1">
        <v>1</v>
      </c>
      <c r="B2" s="5">
        <v>0.82777777777777783</v>
      </c>
      <c r="C2" s="1" t="s">
        <v>74</v>
      </c>
      <c r="D2" s="1" t="s">
        <v>104</v>
      </c>
      <c r="E2" s="1" t="s">
        <v>105</v>
      </c>
      <c r="F2" s="1" t="s">
        <v>106</v>
      </c>
      <c r="G2" s="1" t="s">
        <v>107</v>
      </c>
      <c r="H2" s="1" t="s">
        <v>106</v>
      </c>
      <c r="I2" s="1">
        <v>5</v>
      </c>
      <c r="J2" s="1">
        <v>5</v>
      </c>
      <c r="K2" s="1" t="s">
        <v>104</v>
      </c>
      <c r="L2" s="1">
        <v>0</v>
      </c>
      <c r="M2" s="1">
        <v>0</v>
      </c>
      <c r="N2" s="1" t="s">
        <v>448</v>
      </c>
      <c r="O2" s="1">
        <v>20064</v>
      </c>
      <c r="P2" s="1" t="s">
        <v>149</v>
      </c>
      <c r="Q2" s="1" t="s">
        <v>150</v>
      </c>
      <c r="R2">
        <f t="shared" ref="R2:R65" si="0">IF(ISNUMBER(B2),INT(B2*24),"")</f>
        <v>19</v>
      </c>
      <c r="S2">
        <f t="shared" ref="S2:S65" si="1">IF(ISNUMBER(B2),ROUND((B2*24-R2)*60,0),"")</f>
        <v>52</v>
      </c>
    </row>
    <row r="3" spans="1:19" x14ac:dyDescent="0.25">
      <c r="A3" s="1">
        <v>1</v>
      </c>
      <c r="B3" s="5">
        <v>0.79722222222222217</v>
      </c>
      <c r="C3" s="1" t="s">
        <v>108</v>
      </c>
      <c r="D3" s="1" t="s">
        <v>109</v>
      </c>
      <c r="E3" s="1" t="s">
        <v>106</v>
      </c>
      <c r="F3" s="1" t="s">
        <v>448</v>
      </c>
      <c r="G3" s="1" t="s">
        <v>110</v>
      </c>
      <c r="H3" s="1" t="s">
        <v>111</v>
      </c>
      <c r="I3" s="1">
        <v>5</v>
      </c>
      <c r="J3" s="1">
        <v>5</v>
      </c>
      <c r="K3" s="1" t="s">
        <v>448</v>
      </c>
      <c r="L3" s="1">
        <v>1</v>
      </c>
      <c r="M3" s="1">
        <v>0</v>
      </c>
      <c r="N3" s="1" t="s">
        <v>448</v>
      </c>
      <c r="O3" s="1">
        <v>20064</v>
      </c>
      <c r="P3" s="1" t="s">
        <v>149</v>
      </c>
      <c r="Q3" s="1" t="s">
        <v>150</v>
      </c>
      <c r="R3">
        <f t="shared" si="0"/>
        <v>19</v>
      </c>
      <c r="S3">
        <f t="shared" si="1"/>
        <v>8</v>
      </c>
    </row>
    <row r="4" spans="1:19" x14ac:dyDescent="0.25">
      <c r="A4" s="1">
        <v>1</v>
      </c>
      <c r="B4" s="5">
        <v>0.79166666666666674</v>
      </c>
      <c r="C4" s="1" t="s">
        <v>176</v>
      </c>
      <c r="D4" s="1" t="s">
        <v>14</v>
      </c>
      <c r="E4" s="1" t="s">
        <v>448</v>
      </c>
      <c r="F4" s="1" t="s">
        <v>448</v>
      </c>
      <c r="G4" s="1" t="s">
        <v>448</v>
      </c>
      <c r="H4" s="1" t="s">
        <v>448</v>
      </c>
      <c r="I4" s="1">
        <v>5</v>
      </c>
      <c r="J4" s="1">
        <v>5</v>
      </c>
      <c r="K4" s="1" t="s">
        <v>448</v>
      </c>
      <c r="L4" s="1">
        <v>0</v>
      </c>
      <c r="M4" s="1">
        <v>0</v>
      </c>
      <c r="N4" s="1" t="s">
        <v>448</v>
      </c>
      <c r="O4" s="1">
        <v>20064</v>
      </c>
      <c r="P4" s="1" t="s">
        <v>149</v>
      </c>
      <c r="Q4" s="1" t="s">
        <v>150</v>
      </c>
      <c r="R4">
        <f t="shared" si="0"/>
        <v>19</v>
      </c>
      <c r="S4">
        <f t="shared" si="1"/>
        <v>0</v>
      </c>
    </row>
    <row r="5" spans="1:19" x14ac:dyDescent="0.25">
      <c r="A5" s="1">
        <v>1</v>
      </c>
      <c r="B5" s="5">
        <v>0.78749999999999998</v>
      </c>
      <c r="C5" s="1" t="s">
        <v>108</v>
      </c>
      <c r="D5" s="1" t="s">
        <v>112</v>
      </c>
      <c r="E5" s="1" t="s">
        <v>113</v>
      </c>
      <c r="F5" s="1" t="s">
        <v>448</v>
      </c>
      <c r="G5" s="1" t="s">
        <v>107</v>
      </c>
      <c r="H5" s="1" t="s">
        <v>106</v>
      </c>
      <c r="I5" s="1">
        <v>5</v>
      </c>
      <c r="J5" s="1">
        <v>5</v>
      </c>
      <c r="K5" s="1" t="s">
        <v>448</v>
      </c>
      <c r="L5" s="1">
        <v>2</v>
      </c>
      <c r="M5" s="1">
        <v>0</v>
      </c>
      <c r="N5" s="1" t="s">
        <v>448</v>
      </c>
      <c r="O5" s="1">
        <v>20064</v>
      </c>
      <c r="P5" s="1" t="s">
        <v>149</v>
      </c>
      <c r="Q5" s="1" t="s">
        <v>150</v>
      </c>
      <c r="R5">
        <f t="shared" si="0"/>
        <v>18</v>
      </c>
      <c r="S5">
        <f t="shared" si="1"/>
        <v>54</v>
      </c>
    </row>
    <row r="6" spans="1:19" x14ac:dyDescent="0.25">
      <c r="A6" s="1">
        <v>1</v>
      </c>
      <c r="B6" s="5">
        <v>0.76666666666666661</v>
      </c>
      <c r="C6" s="1" t="s">
        <v>74</v>
      </c>
      <c r="D6" s="1" t="s">
        <v>109</v>
      </c>
      <c r="E6" s="1" t="s">
        <v>114</v>
      </c>
      <c r="F6" s="1" t="s">
        <v>106</v>
      </c>
      <c r="G6" s="1" t="s">
        <v>74</v>
      </c>
      <c r="H6" s="1" t="s">
        <v>106</v>
      </c>
      <c r="I6" s="1">
        <v>5</v>
      </c>
      <c r="J6" s="1">
        <v>5</v>
      </c>
      <c r="K6" s="1" t="s">
        <v>109</v>
      </c>
      <c r="L6" s="1">
        <v>1</v>
      </c>
      <c r="M6" s="1">
        <v>0</v>
      </c>
      <c r="N6" s="1" t="s">
        <v>448</v>
      </c>
      <c r="O6" s="1">
        <v>20064</v>
      </c>
      <c r="P6" s="1" t="s">
        <v>149</v>
      </c>
      <c r="Q6" s="1" t="s">
        <v>150</v>
      </c>
      <c r="R6">
        <f t="shared" si="0"/>
        <v>18</v>
      </c>
      <c r="S6">
        <f t="shared" si="1"/>
        <v>24</v>
      </c>
    </row>
    <row r="7" spans="1:19" x14ac:dyDescent="0.25">
      <c r="A7" s="1">
        <v>1</v>
      </c>
      <c r="B7" s="5">
        <v>0.75902777777777775</v>
      </c>
      <c r="C7" s="1" t="s">
        <v>108</v>
      </c>
      <c r="D7" s="1" t="s">
        <v>115</v>
      </c>
      <c r="E7" s="1" t="s">
        <v>106</v>
      </c>
      <c r="F7" s="1" t="s">
        <v>448</v>
      </c>
      <c r="G7" s="1" t="s">
        <v>107</v>
      </c>
      <c r="H7" s="1" t="s">
        <v>106</v>
      </c>
      <c r="I7" s="1">
        <v>5</v>
      </c>
      <c r="J7" s="1">
        <v>5</v>
      </c>
      <c r="K7" s="1" t="s">
        <v>448</v>
      </c>
      <c r="L7" s="1">
        <v>2</v>
      </c>
      <c r="M7" s="1">
        <v>0</v>
      </c>
      <c r="N7" s="1" t="s">
        <v>448</v>
      </c>
      <c r="O7" s="1">
        <v>20064</v>
      </c>
      <c r="P7" s="1" t="s">
        <v>149</v>
      </c>
      <c r="Q7" s="1" t="s">
        <v>150</v>
      </c>
      <c r="R7">
        <f t="shared" si="0"/>
        <v>18</v>
      </c>
      <c r="S7">
        <f t="shared" si="1"/>
        <v>13</v>
      </c>
    </row>
    <row r="8" spans="1:19" x14ac:dyDescent="0.25">
      <c r="A8" s="1">
        <v>1</v>
      </c>
      <c r="B8" s="5">
        <v>0.73819444444444449</v>
      </c>
      <c r="C8" s="1" t="s">
        <v>176</v>
      </c>
      <c r="D8" s="1" t="s">
        <v>14</v>
      </c>
      <c r="E8" s="1" t="s">
        <v>448</v>
      </c>
      <c r="F8" s="1" t="s">
        <v>448</v>
      </c>
      <c r="G8" s="1" t="s">
        <v>448</v>
      </c>
      <c r="H8" s="1" t="s">
        <v>448</v>
      </c>
      <c r="I8" s="1">
        <v>5</v>
      </c>
      <c r="J8" s="1">
        <v>5</v>
      </c>
      <c r="K8" s="1" t="s">
        <v>448</v>
      </c>
      <c r="L8" s="1">
        <v>1</v>
      </c>
      <c r="M8" s="1">
        <v>0</v>
      </c>
      <c r="N8" s="1" t="s">
        <v>448</v>
      </c>
      <c r="O8" s="1">
        <v>20064</v>
      </c>
      <c r="P8" s="1" t="s">
        <v>149</v>
      </c>
      <c r="Q8" s="1" t="s">
        <v>150</v>
      </c>
      <c r="R8">
        <f t="shared" si="0"/>
        <v>17</v>
      </c>
      <c r="S8">
        <f t="shared" si="1"/>
        <v>43</v>
      </c>
    </row>
    <row r="9" spans="1:19" x14ac:dyDescent="0.25">
      <c r="A9" s="1">
        <v>1</v>
      </c>
      <c r="B9" s="5">
        <v>0.71458333333333324</v>
      </c>
      <c r="C9" s="1" t="s">
        <v>108</v>
      </c>
      <c r="D9" s="1" t="s">
        <v>116</v>
      </c>
      <c r="E9" s="1" t="s">
        <v>105</v>
      </c>
      <c r="F9" s="1" t="s">
        <v>448</v>
      </c>
      <c r="G9" s="1" t="s">
        <v>74</v>
      </c>
      <c r="H9" s="1" t="s">
        <v>106</v>
      </c>
      <c r="I9" s="1">
        <v>5</v>
      </c>
      <c r="J9" s="1">
        <v>5</v>
      </c>
      <c r="K9" s="1" t="s">
        <v>448</v>
      </c>
      <c r="L9" s="1">
        <v>0</v>
      </c>
      <c r="M9" s="1">
        <v>0</v>
      </c>
      <c r="N9" s="1" t="s">
        <v>448</v>
      </c>
      <c r="O9" s="1">
        <v>20064</v>
      </c>
      <c r="P9" s="1" t="s">
        <v>149</v>
      </c>
      <c r="Q9" s="1" t="s">
        <v>150</v>
      </c>
      <c r="R9">
        <f t="shared" si="0"/>
        <v>17</v>
      </c>
      <c r="S9">
        <f t="shared" si="1"/>
        <v>9</v>
      </c>
    </row>
    <row r="10" spans="1:19" x14ac:dyDescent="0.25">
      <c r="A10" s="1">
        <v>1</v>
      </c>
      <c r="B10" s="5">
        <v>0.70763888888888893</v>
      </c>
      <c r="C10" s="1" t="s">
        <v>108</v>
      </c>
      <c r="D10" s="1" t="s">
        <v>117</v>
      </c>
      <c r="E10" s="1" t="s">
        <v>106</v>
      </c>
      <c r="F10" s="1" t="s">
        <v>448</v>
      </c>
      <c r="G10" s="1" t="s">
        <v>107</v>
      </c>
      <c r="H10" s="1" t="s">
        <v>106</v>
      </c>
      <c r="I10" s="1">
        <v>5</v>
      </c>
      <c r="J10" s="1">
        <v>5</v>
      </c>
      <c r="K10" s="1" t="s">
        <v>448</v>
      </c>
      <c r="L10" s="1">
        <v>0</v>
      </c>
      <c r="M10" s="1">
        <v>0</v>
      </c>
      <c r="N10" s="1" t="s">
        <v>448</v>
      </c>
      <c r="O10" s="1">
        <v>20064</v>
      </c>
      <c r="P10" s="1" t="s">
        <v>149</v>
      </c>
      <c r="Q10" s="1" t="s">
        <v>150</v>
      </c>
      <c r="R10">
        <f t="shared" si="0"/>
        <v>16</v>
      </c>
      <c r="S10">
        <f t="shared" si="1"/>
        <v>59</v>
      </c>
    </row>
    <row r="11" spans="1:19" x14ac:dyDescent="0.25">
      <c r="A11" s="1">
        <v>1</v>
      </c>
      <c r="B11" s="5">
        <v>0.69652777777777775</v>
      </c>
      <c r="C11" s="1" t="s">
        <v>108</v>
      </c>
      <c r="D11" s="1" t="s">
        <v>116</v>
      </c>
      <c r="E11" s="1" t="s">
        <v>105</v>
      </c>
      <c r="F11" s="1" t="s">
        <v>448</v>
      </c>
      <c r="G11" s="1" t="s">
        <v>107</v>
      </c>
      <c r="H11" s="1" t="s">
        <v>106</v>
      </c>
      <c r="I11" s="1">
        <v>5</v>
      </c>
      <c r="J11" s="1">
        <v>5</v>
      </c>
      <c r="K11" s="1" t="s">
        <v>448</v>
      </c>
      <c r="L11" s="1">
        <v>2</v>
      </c>
      <c r="M11" s="1">
        <v>0</v>
      </c>
      <c r="N11" s="1" t="s">
        <v>448</v>
      </c>
      <c r="O11" s="1">
        <v>20064</v>
      </c>
      <c r="P11" s="1" t="s">
        <v>149</v>
      </c>
      <c r="Q11" s="1" t="s">
        <v>150</v>
      </c>
      <c r="R11">
        <f t="shared" si="0"/>
        <v>16</v>
      </c>
      <c r="S11">
        <f t="shared" si="1"/>
        <v>43</v>
      </c>
    </row>
    <row r="12" spans="1:19" x14ac:dyDescent="0.25">
      <c r="A12" s="1">
        <v>1</v>
      </c>
      <c r="B12" s="5">
        <v>0.68472222222222223</v>
      </c>
      <c r="C12" s="1" t="s">
        <v>108</v>
      </c>
      <c r="D12" s="1" t="s">
        <v>118</v>
      </c>
      <c r="E12" s="1" t="s">
        <v>115</v>
      </c>
      <c r="F12" s="1" t="s">
        <v>448</v>
      </c>
      <c r="G12" s="1" t="s">
        <v>110</v>
      </c>
      <c r="H12" s="1" t="s">
        <v>106</v>
      </c>
      <c r="I12" s="1">
        <v>5</v>
      </c>
      <c r="J12" s="1">
        <v>5</v>
      </c>
      <c r="K12" s="1" t="s">
        <v>448</v>
      </c>
      <c r="L12" s="1">
        <v>0</v>
      </c>
      <c r="M12" s="1">
        <v>0</v>
      </c>
      <c r="N12" s="1" t="s">
        <v>448</v>
      </c>
      <c r="O12" s="1">
        <v>20064</v>
      </c>
      <c r="P12" s="1" t="s">
        <v>149</v>
      </c>
      <c r="Q12" s="1" t="s">
        <v>150</v>
      </c>
      <c r="R12">
        <f t="shared" si="0"/>
        <v>16</v>
      </c>
      <c r="S12">
        <f t="shared" si="1"/>
        <v>26</v>
      </c>
    </row>
    <row r="13" spans="1:19" x14ac:dyDescent="0.25">
      <c r="A13" s="1">
        <v>1</v>
      </c>
      <c r="B13" s="5">
        <v>0.67708333333333337</v>
      </c>
      <c r="C13" s="1" t="s">
        <v>74</v>
      </c>
      <c r="D13" s="1" t="s">
        <v>119</v>
      </c>
      <c r="E13" s="1" t="s">
        <v>120</v>
      </c>
      <c r="F13" s="1" t="s">
        <v>121</v>
      </c>
      <c r="G13" s="1" t="s">
        <v>74</v>
      </c>
      <c r="H13" s="1" t="s">
        <v>106</v>
      </c>
      <c r="I13" s="1">
        <v>5</v>
      </c>
      <c r="J13" s="1">
        <v>5</v>
      </c>
      <c r="K13" s="1" t="s">
        <v>119</v>
      </c>
      <c r="L13" s="1">
        <v>0</v>
      </c>
      <c r="M13" s="1">
        <v>0</v>
      </c>
      <c r="N13" s="1" t="s">
        <v>448</v>
      </c>
      <c r="O13" s="1">
        <v>20064</v>
      </c>
      <c r="P13" s="1" t="s">
        <v>149</v>
      </c>
      <c r="Q13" s="1" t="s">
        <v>150</v>
      </c>
      <c r="R13">
        <f t="shared" si="0"/>
        <v>16</v>
      </c>
      <c r="S13">
        <f t="shared" si="1"/>
        <v>15</v>
      </c>
    </row>
    <row r="14" spans="1:19" x14ac:dyDescent="0.25">
      <c r="A14" s="1">
        <v>1</v>
      </c>
      <c r="B14" s="5">
        <v>0.66527777777777775</v>
      </c>
      <c r="C14" s="1" t="s">
        <v>74</v>
      </c>
      <c r="D14" s="1" t="s">
        <v>114</v>
      </c>
      <c r="E14" s="1" t="s">
        <v>122</v>
      </c>
      <c r="F14" s="1" t="s">
        <v>106</v>
      </c>
      <c r="G14" s="1" t="s">
        <v>110</v>
      </c>
      <c r="H14" s="1" t="s">
        <v>106</v>
      </c>
      <c r="I14" s="1">
        <v>5</v>
      </c>
      <c r="J14" s="1">
        <v>5</v>
      </c>
      <c r="K14" s="1" t="s">
        <v>114</v>
      </c>
      <c r="L14" s="1">
        <v>1</v>
      </c>
      <c r="M14" s="1">
        <v>0</v>
      </c>
      <c r="N14" s="1" t="s">
        <v>448</v>
      </c>
      <c r="O14" s="1">
        <v>20064</v>
      </c>
      <c r="P14" s="1" t="s">
        <v>149</v>
      </c>
      <c r="Q14" s="1" t="s">
        <v>150</v>
      </c>
      <c r="R14">
        <f t="shared" si="0"/>
        <v>15</v>
      </c>
      <c r="S14">
        <f t="shared" si="1"/>
        <v>58</v>
      </c>
    </row>
    <row r="15" spans="1:19" x14ac:dyDescent="0.25">
      <c r="A15" s="1">
        <v>1</v>
      </c>
      <c r="B15" s="5">
        <v>0.65625</v>
      </c>
      <c r="C15" s="1" t="s">
        <v>176</v>
      </c>
      <c r="D15" s="1" t="s">
        <v>15</v>
      </c>
      <c r="E15" s="1" t="s">
        <v>448</v>
      </c>
      <c r="F15" s="1" t="s">
        <v>448</v>
      </c>
      <c r="G15" s="1" t="s">
        <v>448</v>
      </c>
      <c r="H15" s="1" t="s">
        <v>448</v>
      </c>
      <c r="I15" s="1">
        <v>5</v>
      </c>
      <c r="J15" s="1">
        <v>5</v>
      </c>
      <c r="K15" s="1" t="s">
        <v>448</v>
      </c>
      <c r="L15" s="1">
        <v>0</v>
      </c>
      <c r="M15" s="1">
        <v>0</v>
      </c>
      <c r="N15" s="1" t="s">
        <v>448</v>
      </c>
      <c r="O15" s="1">
        <v>20064</v>
      </c>
      <c r="P15" s="1" t="s">
        <v>149</v>
      </c>
      <c r="Q15" s="1" t="s">
        <v>150</v>
      </c>
      <c r="R15">
        <f t="shared" si="0"/>
        <v>15</v>
      </c>
      <c r="S15">
        <f t="shared" si="1"/>
        <v>45</v>
      </c>
    </row>
    <row r="16" spans="1:19" x14ac:dyDescent="0.25">
      <c r="A16" s="1">
        <v>1</v>
      </c>
      <c r="B16" s="5">
        <v>0.65138888888888891</v>
      </c>
      <c r="C16" s="1" t="s">
        <v>176</v>
      </c>
      <c r="D16" s="1" t="s">
        <v>15</v>
      </c>
      <c r="E16" s="1" t="s">
        <v>448</v>
      </c>
      <c r="F16" s="1" t="s">
        <v>448</v>
      </c>
      <c r="G16" s="1" t="s">
        <v>448</v>
      </c>
      <c r="H16" s="1" t="s">
        <v>448</v>
      </c>
      <c r="I16" s="1">
        <v>5</v>
      </c>
      <c r="J16" s="1">
        <v>5</v>
      </c>
      <c r="K16" s="1" t="s">
        <v>448</v>
      </c>
      <c r="L16" s="1">
        <v>1</v>
      </c>
      <c r="M16" s="1">
        <v>0</v>
      </c>
      <c r="N16" s="1" t="s">
        <v>448</v>
      </c>
      <c r="O16" s="1">
        <v>20064</v>
      </c>
      <c r="P16" s="1" t="s">
        <v>149</v>
      </c>
      <c r="Q16" s="1" t="s">
        <v>150</v>
      </c>
      <c r="R16">
        <f t="shared" si="0"/>
        <v>15</v>
      </c>
      <c r="S16">
        <f t="shared" si="1"/>
        <v>38</v>
      </c>
    </row>
    <row r="17" spans="1:19" x14ac:dyDescent="0.25">
      <c r="A17" s="1">
        <v>1</v>
      </c>
      <c r="B17" s="5">
        <v>0.62708333333333333</v>
      </c>
      <c r="C17" s="1" t="s">
        <v>108</v>
      </c>
      <c r="D17" s="1" t="s">
        <v>123</v>
      </c>
      <c r="E17" s="1" t="s">
        <v>105</v>
      </c>
      <c r="F17" s="1" t="s">
        <v>448</v>
      </c>
      <c r="G17" s="1" t="s">
        <v>107</v>
      </c>
      <c r="H17" s="1" t="s">
        <v>106</v>
      </c>
      <c r="I17" s="1">
        <v>5</v>
      </c>
      <c r="J17" s="1">
        <v>5</v>
      </c>
      <c r="K17" s="1" t="s">
        <v>448</v>
      </c>
      <c r="L17" s="1">
        <v>0</v>
      </c>
      <c r="M17" s="1">
        <v>0</v>
      </c>
      <c r="N17" s="1" t="s">
        <v>448</v>
      </c>
      <c r="O17" s="1">
        <v>20064</v>
      </c>
      <c r="P17" s="1" t="s">
        <v>149</v>
      </c>
      <c r="Q17" s="1" t="s">
        <v>150</v>
      </c>
      <c r="R17">
        <f t="shared" si="0"/>
        <v>15</v>
      </c>
      <c r="S17">
        <f t="shared" si="1"/>
        <v>3</v>
      </c>
    </row>
    <row r="18" spans="1:19" x14ac:dyDescent="0.25">
      <c r="A18" s="1">
        <v>1</v>
      </c>
      <c r="B18" s="5">
        <v>0.60763888888888895</v>
      </c>
      <c r="C18" s="1" t="s">
        <v>176</v>
      </c>
      <c r="D18" s="1" t="s">
        <v>15</v>
      </c>
      <c r="E18" s="1" t="s">
        <v>448</v>
      </c>
      <c r="F18" s="1" t="s">
        <v>448</v>
      </c>
      <c r="G18" s="1" t="s">
        <v>448</v>
      </c>
      <c r="H18" s="1" t="s">
        <v>448</v>
      </c>
      <c r="I18" s="1">
        <v>5</v>
      </c>
      <c r="J18" s="1">
        <v>5</v>
      </c>
      <c r="K18" s="1" t="s">
        <v>448</v>
      </c>
      <c r="L18" s="1">
        <v>1</v>
      </c>
      <c r="M18" s="1">
        <v>0</v>
      </c>
      <c r="N18" s="1" t="s">
        <v>448</v>
      </c>
      <c r="O18" s="1">
        <v>20064</v>
      </c>
      <c r="P18" s="1" t="s">
        <v>149</v>
      </c>
      <c r="Q18" s="1" t="s">
        <v>150</v>
      </c>
      <c r="R18">
        <f t="shared" si="0"/>
        <v>14</v>
      </c>
      <c r="S18">
        <f t="shared" si="1"/>
        <v>35</v>
      </c>
    </row>
    <row r="19" spans="1:19" x14ac:dyDescent="0.25">
      <c r="A19" s="1">
        <v>1</v>
      </c>
      <c r="B19" s="5">
        <v>0.59722222222222221</v>
      </c>
      <c r="C19" s="1" t="s">
        <v>176</v>
      </c>
      <c r="D19" s="1" t="s">
        <v>15</v>
      </c>
      <c r="E19" s="1" t="s">
        <v>448</v>
      </c>
      <c r="F19" s="1" t="s">
        <v>448</v>
      </c>
      <c r="G19" s="1" t="s">
        <v>448</v>
      </c>
      <c r="H19" s="1" t="s">
        <v>448</v>
      </c>
      <c r="I19" s="1">
        <v>5</v>
      </c>
      <c r="J19" s="1">
        <v>5</v>
      </c>
      <c r="K19" s="1" t="s">
        <v>448</v>
      </c>
      <c r="L19" s="1">
        <v>0</v>
      </c>
      <c r="M19" s="1">
        <v>0</v>
      </c>
      <c r="N19" s="1" t="s">
        <v>448</v>
      </c>
      <c r="O19" s="1">
        <v>20064</v>
      </c>
      <c r="P19" s="1" t="s">
        <v>149</v>
      </c>
      <c r="Q19" s="1" t="s">
        <v>150</v>
      </c>
      <c r="R19">
        <f t="shared" si="0"/>
        <v>14</v>
      </c>
      <c r="S19">
        <f t="shared" si="1"/>
        <v>20</v>
      </c>
    </row>
    <row r="20" spans="1:19" x14ac:dyDescent="0.25">
      <c r="A20" s="1">
        <v>1</v>
      </c>
      <c r="B20" s="5">
        <v>0.5805555555555556</v>
      </c>
      <c r="C20" s="1" t="s">
        <v>108</v>
      </c>
      <c r="D20" s="1" t="s">
        <v>124</v>
      </c>
      <c r="E20" s="1" t="s">
        <v>106</v>
      </c>
      <c r="F20" s="1" t="s">
        <v>448</v>
      </c>
      <c r="G20" s="1" t="s">
        <v>107</v>
      </c>
      <c r="H20" s="1" t="s">
        <v>106</v>
      </c>
      <c r="I20" s="1">
        <v>5</v>
      </c>
      <c r="J20" s="1">
        <v>5</v>
      </c>
      <c r="K20" s="1" t="s">
        <v>448</v>
      </c>
      <c r="L20" s="1">
        <v>0</v>
      </c>
      <c r="M20" s="1">
        <v>0</v>
      </c>
      <c r="N20" s="1" t="s">
        <v>448</v>
      </c>
      <c r="O20" s="1">
        <v>20064</v>
      </c>
      <c r="P20" s="1" t="s">
        <v>149</v>
      </c>
      <c r="Q20" s="1" t="s">
        <v>150</v>
      </c>
      <c r="R20">
        <f t="shared" si="0"/>
        <v>13</v>
      </c>
      <c r="S20">
        <f t="shared" si="1"/>
        <v>56</v>
      </c>
    </row>
    <row r="21" spans="1:19" x14ac:dyDescent="0.25">
      <c r="A21" s="1">
        <v>1</v>
      </c>
      <c r="B21" s="5">
        <v>0.5708333333333333</v>
      </c>
      <c r="C21" s="1" t="s">
        <v>74</v>
      </c>
      <c r="D21" s="1" t="s">
        <v>119</v>
      </c>
      <c r="E21" s="1" t="s">
        <v>125</v>
      </c>
      <c r="F21" s="1" t="s">
        <v>121</v>
      </c>
      <c r="G21" s="1" t="s">
        <v>74</v>
      </c>
      <c r="H21" s="1" t="s">
        <v>106</v>
      </c>
      <c r="I21" s="1">
        <v>5</v>
      </c>
      <c r="J21" s="1">
        <v>5</v>
      </c>
      <c r="K21" s="1" t="s">
        <v>119</v>
      </c>
      <c r="L21" s="1">
        <v>1</v>
      </c>
      <c r="M21" s="1">
        <v>0</v>
      </c>
      <c r="N21" s="1" t="s">
        <v>448</v>
      </c>
      <c r="O21" s="1">
        <v>20064</v>
      </c>
      <c r="P21" s="1" t="s">
        <v>149</v>
      </c>
      <c r="Q21" s="1" t="s">
        <v>150</v>
      </c>
      <c r="R21">
        <f t="shared" si="0"/>
        <v>13</v>
      </c>
      <c r="S21">
        <f t="shared" si="1"/>
        <v>42</v>
      </c>
    </row>
    <row r="22" spans="1:19" x14ac:dyDescent="0.25">
      <c r="A22" s="1">
        <v>1</v>
      </c>
      <c r="B22" s="5">
        <v>0.56805555555555554</v>
      </c>
      <c r="C22" s="1" t="s">
        <v>176</v>
      </c>
      <c r="D22" s="1" t="s">
        <v>14</v>
      </c>
      <c r="E22" s="1" t="s">
        <v>448</v>
      </c>
      <c r="F22" s="1" t="s">
        <v>448</v>
      </c>
      <c r="G22" s="1" t="s">
        <v>448</v>
      </c>
      <c r="H22" s="1" t="s">
        <v>448</v>
      </c>
      <c r="I22" s="1">
        <v>5</v>
      </c>
      <c r="J22" s="1">
        <v>5</v>
      </c>
      <c r="K22" s="1" t="s">
        <v>448</v>
      </c>
      <c r="L22" s="1">
        <v>2</v>
      </c>
      <c r="M22" s="1">
        <v>0</v>
      </c>
      <c r="N22" s="1" t="s">
        <v>448</v>
      </c>
      <c r="O22" s="1">
        <v>20064</v>
      </c>
      <c r="P22" s="1" t="s">
        <v>149</v>
      </c>
      <c r="Q22" s="1" t="s">
        <v>150</v>
      </c>
      <c r="R22">
        <f t="shared" si="0"/>
        <v>13</v>
      </c>
      <c r="S22">
        <f t="shared" si="1"/>
        <v>38</v>
      </c>
    </row>
    <row r="23" spans="1:19" x14ac:dyDescent="0.25">
      <c r="A23" s="1">
        <v>1</v>
      </c>
      <c r="B23" s="5">
        <v>0.55208333333333337</v>
      </c>
      <c r="C23" s="1" t="s">
        <v>176</v>
      </c>
      <c r="D23" s="1" t="s">
        <v>14</v>
      </c>
      <c r="E23" s="1" t="s">
        <v>448</v>
      </c>
      <c r="F23" s="1" t="s">
        <v>448</v>
      </c>
      <c r="G23" s="1" t="s">
        <v>448</v>
      </c>
      <c r="H23" s="1" t="s">
        <v>448</v>
      </c>
      <c r="I23" s="1">
        <v>5</v>
      </c>
      <c r="J23" s="1">
        <v>5</v>
      </c>
      <c r="K23" s="1" t="s">
        <v>448</v>
      </c>
      <c r="L23" s="1">
        <v>0</v>
      </c>
      <c r="M23" s="1">
        <v>0</v>
      </c>
      <c r="N23" s="1" t="s">
        <v>448</v>
      </c>
      <c r="O23" s="1">
        <v>20064</v>
      </c>
      <c r="P23" s="1" t="s">
        <v>149</v>
      </c>
      <c r="Q23" s="1" t="s">
        <v>150</v>
      </c>
      <c r="R23">
        <f t="shared" si="0"/>
        <v>13</v>
      </c>
      <c r="S23">
        <f t="shared" si="1"/>
        <v>15</v>
      </c>
    </row>
    <row r="24" spans="1:19" x14ac:dyDescent="0.25">
      <c r="A24" s="1">
        <v>1</v>
      </c>
      <c r="B24" s="5">
        <v>0.54652777777777783</v>
      </c>
      <c r="C24" s="1" t="s">
        <v>176</v>
      </c>
      <c r="D24" s="1" t="s">
        <v>14</v>
      </c>
      <c r="E24" s="1" t="s">
        <v>448</v>
      </c>
      <c r="F24" s="1" t="s">
        <v>448</v>
      </c>
      <c r="G24" s="1" t="s">
        <v>448</v>
      </c>
      <c r="H24" s="1" t="s">
        <v>448</v>
      </c>
      <c r="I24" s="1">
        <v>5</v>
      </c>
      <c r="J24" s="1">
        <v>4</v>
      </c>
      <c r="K24" s="1" t="s">
        <v>448</v>
      </c>
      <c r="L24" s="1">
        <v>1</v>
      </c>
      <c r="M24" s="1">
        <v>0</v>
      </c>
      <c r="N24" s="1" t="s">
        <v>448</v>
      </c>
      <c r="O24" s="1">
        <v>20064</v>
      </c>
      <c r="P24" s="1" t="s">
        <v>149</v>
      </c>
      <c r="Q24" s="1" t="s">
        <v>150</v>
      </c>
      <c r="R24">
        <f t="shared" si="0"/>
        <v>13</v>
      </c>
      <c r="S24">
        <f t="shared" si="1"/>
        <v>7</v>
      </c>
    </row>
    <row r="25" spans="1:19" x14ac:dyDescent="0.25">
      <c r="A25" s="1">
        <v>1</v>
      </c>
      <c r="B25" s="5">
        <v>0.50138888888888888</v>
      </c>
      <c r="C25" s="1" t="s">
        <v>74</v>
      </c>
      <c r="D25" s="1" t="s">
        <v>109</v>
      </c>
      <c r="E25" s="1" t="s">
        <v>126</v>
      </c>
      <c r="F25" s="1" t="s">
        <v>121</v>
      </c>
      <c r="G25" s="1" t="s">
        <v>110</v>
      </c>
      <c r="H25" s="1" t="s">
        <v>106</v>
      </c>
      <c r="I25" s="1">
        <v>4</v>
      </c>
      <c r="J25" s="1">
        <v>5</v>
      </c>
      <c r="K25" s="1" t="s">
        <v>109</v>
      </c>
      <c r="L25" s="1">
        <v>1</v>
      </c>
      <c r="M25" s="1">
        <v>0</v>
      </c>
      <c r="N25" s="1" t="s">
        <v>448</v>
      </c>
      <c r="O25" s="1">
        <v>20064</v>
      </c>
      <c r="P25" s="1" t="s">
        <v>149</v>
      </c>
      <c r="Q25" s="1" t="s">
        <v>150</v>
      </c>
      <c r="R25">
        <f t="shared" si="0"/>
        <v>12</v>
      </c>
      <c r="S25">
        <f t="shared" si="1"/>
        <v>2</v>
      </c>
    </row>
    <row r="26" spans="1:19" x14ac:dyDescent="0.25">
      <c r="A26" s="1">
        <v>1</v>
      </c>
      <c r="B26" s="5">
        <v>0.46666666666666662</v>
      </c>
      <c r="C26" s="1" t="s">
        <v>108</v>
      </c>
      <c r="D26" s="1" t="s">
        <v>127</v>
      </c>
      <c r="E26" s="1" t="s">
        <v>106</v>
      </c>
      <c r="F26" s="1" t="s">
        <v>448</v>
      </c>
      <c r="G26" s="1" t="s">
        <v>74</v>
      </c>
      <c r="H26" s="1" t="s">
        <v>128</v>
      </c>
      <c r="I26" s="1">
        <v>4</v>
      </c>
      <c r="J26" s="1">
        <v>5</v>
      </c>
      <c r="K26" s="1" t="s">
        <v>448</v>
      </c>
      <c r="L26" s="1">
        <v>1</v>
      </c>
      <c r="M26" s="1">
        <v>0</v>
      </c>
      <c r="N26" s="1" t="s">
        <v>448</v>
      </c>
      <c r="O26" s="1">
        <v>20064</v>
      </c>
      <c r="P26" s="1" t="s">
        <v>149</v>
      </c>
      <c r="Q26" s="1" t="s">
        <v>150</v>
      </c>
      <c r="R26">
        <f t="shared" si="0"/>
        <v>11</v>
      </c>
      <c r="S26">
        <f t="shared" si="1"/>
        <v>12</v>
      </c>
    </row>
    <row r="27" spans="1:19" x14ac:dyDescent="0.25">
      <c r="A27" s="1">
        <v>1</v>
      </c>
      <c r="B27" s="5">
        <v>0.45416666666666666</v>
      </c>
      <c r="C27" s="1" t="s">
        <v>108</v>
      </c>
      <c r="D27" s="1" t="s">
        <v>129</v>
      </c>
      <c r="E27" s="1" t="s">
        <v>130</v>
      </c>
      <c r="F27" s="1" t="s">
        <v>448</v>
      </c>
      <c r="G27" s="1" t="s">
        <v>110</v>
      </c>
      <c r="H27" s="1" t="s">
        <v>112</v>
      </c>
      <c r="I27" s="1">
        <v>5</v>
      </c>
      <c r="J27" s="1">
        <v>5</v>
      </c>
      <c r="K27" s="1" t="s">
        <v>448</v>
      </c>
      <c r="L27" s="1">
        <v>0</v>
      </c>
      <c r="M27" s="1">
        <v>0</v>
      </c>
      <c r="N27" s="1" t="s">
        <v>448</v>
      </c>
      <c r="O27" s="1">
        <v>20064</v>
      </c>
      <c r="P27" s="1" t="s">
        <v>149</v>
      </c>
      <c r="Q27" s="1" t="s">
        <v>150</v>
      </c>
      <c r="R27">
        <f t="shared" si="0"/>
        <v>10</v>
      </c>
      <c r="S27">
        <f t="shared" si="1"/>
        <v>54</v>
      </c>
    </row>
    <row r="28" spans="1:19" x14ac:dyDescent="0.25">
      <c r="A28" s="1">
        <v>1</v>
      </c>
      <c r="B28" s="5">
        <v>0.4458333333333333</v>
      </c>
      <c r="C28" s="1" t="s">
        <v>74</v>
      </c>
      <c r="D28" s="1" t="s">
        <v>131</v>
      </c>
      <c r="E28" s="1" t="s">
        <v>130</v>
      </c>
      <c r="F28" s="1" t="s">
        <v>106</v>
      </c>
      <c r="G28" s="1" t="s">
        <v>110</v>
      </c>
      <c r="H28" s="1" t="s">
        <v>106</v>
      </c>
      <c r="I28" s="1">
        <v>5</v>
      </c>
      <c r="J28" s="1">
        <v>5</v>
      </c>
      <c r="K28" s="1" t="s">
        <v>131</v>
      </c>
      <c r="L28" s="1">
        <v>2</v>
      </c>
      <c r="M28" s="1">
        <v>0</v>
      </c>
      <c r="N28" s="1" t="s">
        <v>448</v>
      </c>
      <c r="O28" s="1">
        <v>20064</v>
      </c>
      <c r="P28" s="1" t="s">
        <v>149</v>
      </c>
      <c r="Q28" s="1" t="s">
        <v>150</v>
      </c>
      <c r="R28">
        <f t="shared" si="0"/>
        <v>10</v>
      </c>
      <c r="S28">
        <f t="shared" si="1"/>
        <v>42</v>
      </c>
    </row>
    <row r="29" spans="1:19" x14ac:dyDescent="0.25">
      <c r="A29" s="1">
        <v>1</v>
      </c>
      <c r="B29" s="5">
        <v>0.44166666666666671</v>
      </c>
      <c r="C29" s="1" t="s">
        <v>176</v>
      </c>
      <c r="D29" s="1" t="s">
        <v>15</v>
      </c>
      <c r="E29" s="1" t="s">
        <v>448</v>
      </c>
      <c r="F29" s="1" t="s">
        <v>448</v>
      </c>
      <c r="G29" s="1" t="s">
        <v>448</v>
      </c>
      <c r="H29" s="1" t="s">
        <v>448</v>
      </c>
      <c r="I29" s="1">
        <v>5</v>
      </c>
      <c r="J29" s="1">
        <v>5</v>
      </c>
      <c r="K29" s="1" t="s">
        <v>448</v>
      </c>
      <c r="L29" s="1">
        <v>1</v>
      </c>
      <c r="M29" s="1">
        <v>0</v>
      </c>
      <c r="N29" s="1" t="s">
        <v>448</v>
      </c>
      <c r="O29" s="1">
        <v>20064</v>
      </c>
      <c r="P29" s="1" t="s">
        <v>149</v>
      </c>
      <c r="Q29" s="1" t="s">
        <v>150</v>
      </c>
      <c r="R29">
        <f t="shared" si="0"/>
        <v>10</v>
      </c>
      <c r="S29">
        <f t="shared" si="1"/>
        <v>36</v>
      </c>
    </row>
    <row r="30" spans="1:19" x14ac:dyDescent="0.25">
      <c r="A30" s="1">
        <v>1</v>
      </c>
      <c r="B30" s="5">
        <v>0.43124999999999997</v>
      </c>
      <c r="C30" s="1" t="s">
        <v>74</v>
      </c>
      <c r="D30" s="1" t="s">
        <v>119</v>
      </c>
      <c r="E30" s="1" t="s">
        <v>105</v>
      </c>
      <c r="F30" s="1" t="s">
        <v>121</v>
      </c>
      <c r="G30" s="1" t="s">
        <v>74</v>
      </c>
      <c r="H30" s="1" t="s">
        <v>106</v>
      </c>
      <c r="I30" s="1">
        <v>5</v>
      </c>
      <c r="J30" s="1">
        <v>5</v>
      </c>
      <c r="K30" s="1" t="s">
        <v>119</v>
      </c>
      <c r="L30" s="1">
        <v>0</v>
      </c>
      <c r="M30" s="1">
        <v>0</v>
      </c>
      <c r="N30" s="1" t="s">
        <v>448</v>
      </c>
      <c r="O30" s="1">
        <v>20064</v>
      </c>
      <c r="P30" s="1" t="s">
        <v>149</v>
      </c>
      <c r="Q30" s="1" t="s">
        <v>150</v>
      </c>
      <c r="R30">
        <f t="shared" si="0"/>
        <v>10</v>
      </c>
      <c r="S30">
        <f t="shared" si="1"/>
        <v>21</v>
      </c>
    </row>
    <row r="31" spans="1:19" x14ac:dyDescent="0.25">
      <c r="A31" s="1">
        <v>1</v>
      </c>
      <c r="B31" s="5">
        <v>0.41388888888888892</v>
      </c>
      <c r="C31" s="1" t="s">
        <v>108</v>
      </c>
      <c r="D31" s="1" t="s">
        <v>118</v>
      </c>
      <c r="E31" s="1" t="s">
        <v>106</v>
      </c>
      <c r="F31" s="1" t="s">
        <v>448</v>
      </c>
      <c r="G31" s="1" t="s">
        <v>107</v>
      </c>
      <c r="H31" s="1" t="s">
        <v>118</v>
      </c>
      <c r="I31" s="1">
        <v>5</v>
      </c>
      <c r="J31" s="1">
        <v>5</v>
      </c>
      <c r="K31" s="1" t="s">
        <v>448</v>
      </c>
      <c r="L31" s="1">
        <v>1</v>
      </c>
      <c r="M31" s="1">
        <v>0</v>
      </c>
      <c r="N31" s="1" t="s">
        <v>448</v>
      </c>
      <c r="O31" s="1">
        <v>20064</v>
      </c>
      <c r="P31" s="1" t="s">
        <v>149</v>
      </c>
      <c r="Q31" s="1" t="s">
        <v>150</v>
      </c>
      <c r="R31">
        <f t="shared" si="0"/>
        <v>9</v>
      </c>
      <c r="S31">
        <f t="shared" si="1"/>
        <v>56</v>
      </c>
    </row>
    <row r="32" spans="1:19" x14ac:dyDescent="0.25">
      <c r="A32" s="1">
        <v>1</v>
      </c>
      <c r="B32" s="5">
        <v>0.4055555555555555</v>
      </c>
      <c r="C32" s="1" t="s">
        <v>74</v>
      </c>
      <c r="D32" s="1" t="s">
        <v>132</v>
      </c>
      <c r="E32" s="1" t="s">
        <v>127</v>
      </c>
      <c r="F32" s="1" t="s">
        <v>106</v>
      </c>
      <c r="G32" s="1" t="s">
        <v>107</v>
      </c>
      <c r="H32" s="1" t="s">
        <v>106</v>
      </c>
      <c r="I32" s="1">
        <v>5</v>
      </c>
      <c r="J32" s="1">
        <v>5</v>
      </c>
      <c r="K32" s="1" t="s">
        <v>132</v>
      </c>
      <c r="L32" s="1">
        <v>1</v>
      </c>
      <c r="M32" s="1">
        <v>0</v>
      </c>
      <c r="N32" s="1" t="s">
        <v>448</v>
      </c>
      <c r="O32" s="1">
        <v>20064</v>
      </c>
      <c r="P32" s="1" t="s">
        <v>149</v>
      </c>
      <c r="Q32" s="1" t="s">
        <v>150</v>
      </c>
      <c r="R32">
        <f t="shared" si="0"/>
        <v>9</v>
      </c>
      <c r="S32">
        <f t="shared" si="1"/>
        <v>44</v>
      </c>
    </row>
    <row r="33" spans="1:19" x14ac:dyDescent="0.25">
      <c r="A33" s="1">
        <v>1</v>
      </c>
      <c r="B33" s="5">
        <v>0.39305555555555555</v>
      </c>
      <c r="C33" s="1" t="s">
        <v>108</v>
      </c>
      <c r="D33" s="1" t="s">
        <v>133</v>
      </c>
      <c r="E33" s="1" t="s">
        <v>106</v>
      </c>
      <c r="F33" s="1" t="s">
        <v>448</v>
      </c>
      <c r="G33" s="1" t="s">
        <v>74</v>
      </c>
      <c r="H33" s="1" t="s">
        <v>106</v>
      </c>
      <c r="I33" s="1">
        <v>5</v>
      </c>
      <c r="J33" s="1">
        <v>5</v>
      </c>
      <c r="K33" s="1" t="s">
        <v>448</v>
      </c>
      <c r="L33" s="1">
        <v>0</v>
      </c>
      <c r="M33" s="1">
        <v>0</v>
      </c>
      <c r="N33" s="1" t="s">
        <v>448</v>
      </c>
      <c r="O33" s="1">
        <v>20064</v>
      </c>
      <c r="P33" s="1" t="s">
        <v>149</v>
      </c>
      <c r="Q33" s="1" t="s">
        <v>150</v>
      </c>
      <c r="R33">
        <f t="shared" si="0"/>
        <v>9</v>
      </c>
      <c r="S33">
        <f t="shared" si="1"/>
        <v>26</v>
      </c>
    </row>
    <row r="34" spans="1:19" x14ac:dyDescent="0.25">
      <c r="A34" s="1">
        <v>1</v>
      </c>
      <c r="B34" s="5">
        <v>0.36527777777777781</v>
      </c>
      <c r="C34" s="1" t="s">
        <v>134</v>
      </c>
      <c r="D34" s="1" t="s">
        <v>135</v>
      </c>
      <c r="E34" s="1" t="s">
        <v>448</v>
      </c>
      <c r="F34" s="1" t="s">
        <v>448</v>
      </c>
      <c r="G34" s="1" t="s">
        <v>448</v>
      </c>
      <c r="H34" s="1" t="s">
        <v>106</v>
      </c>
      <c r="I34" s="1">
        <v>5</v>
      </c>
      <c r="J34" s="1">
        <v>5</v>
      </c>
      <c r="K34" s="1" t="s">
        <v>448</v>
      </c>
      <c r="L34" s="1">
        <v>0</v>
      </c>
      <c r="M34" s="1">
        <v>0</v>
      </c>
      <c r="N34" s="1" t="s">
        <v>448</v>
      </c>
      <c r="O34" s="1">
        <v>20064</v>
      </c>
      <c r="P34" s="1" t="s">
        <v>149</v>
      </c>
      <c r="Q34" s="1" t="s">
        <v>150</v>
      </c>
      <c r="R34">
        <f t="shared" si="0"/>
        <v>8</v>
      </c>
      <c r="S34">
        <f t="shared" si="1"/>
        <v>46</v>
      </c>
    </row>
    <row r="35" spans="1:19" x14ac:dyDescent="0.25">
      <c r="A35" s="1">
        <v>1</v>
      </c>
      <c r="B35" s="5">
        <v>0.35069444444444442</v>
      </c>
      <c r="C35" s="1" t="s">
        <v>134</v>
      </c>
      <c r="D35" s="1" t="s">
        <v>128</v>
      </c>
      <c r="E35" s="1" t="s">
        <v>136</v>
      </c>
      <c r="F35" s="1" t="s">
        <v>121</v>
      </c>
      <c r="G35" s="1" t="s">
        <v>74</v>
      </c>
      <c r="H35" s="1" t="s">
        <v>106</v>
      </c>
      <c r="I35" s="1">
        <v>5</v>
      </c>
      <c r="J35" s="1">
        <v>5</v>
      </c>
      <c r="K35" s="1" t="s">
        <v>448</v>
      </c>
      <c r="L35" s="1">
        <v>1</v>
      </c>
      <c r="M35" s="1">
        <v>0</v>
      </c>
      <c r="N35" s="1" t="s">
        <v>448</v>
      </c>
      <c r="O35" s="1">
        <v>20064</v>
      </c>
      <c r="P35" s="1" t="s">
        <v>149</v>
      </c>
      <c r="Q35" s="1" t="s">
        <v>150</v>
      </c>
      <c r="R35">
        <f t="shared" si="0"/>
        <v>8</v>
      </c>
      <c r="S35">
        <f t="shared" si="1"/>
        <v>25</v>
      </c>
    </row>
    <row r="36" spans="1:19" x14ac:dyDescent="0.25">
      <c r="A36" s="1">
        <v>1</v>
      </c>
      <c r="B36" s="5">
        <v>0.33958333333333335</v>
      </c>
      <c r="C36" s="1" t="s">
        <v>74</v>
      </c>
      <c r="D36" s="1" t="s">
        <v>112</v>
      </c>
      <c r="E36" s="1" t="s">
        <v>130</v>
      </c>
      <c r="F36" s="1" t="s">
        <v>106</v>
      </c>
      <c r="G36" s="1" t="s">
        <v>110</v>
      </c>
      <c r="H36" s="1" t="s">
        <v>106</v>
      </c>
      <c r="I36" s="1">
        <v>5</v>
      </c>
      <c r="J36" s="1">
        <v>5</v>
      </c>
      <c r="K36" s="1" t="s">
        <v>112</v>
      </c>
      <c r="L36" s="1">
        <v>0</v>
      </c>
      <c r="M36" s="1">
        <v>0</v>
      </c>
      <c r="N36" s="1" t="s">
        <v>448</v>
      </c>
      <c r="O36" s="1">
        <v>20064</v>
      </c>
      <c r="P36" s="1" t="s">
        <v>149</v>
      </c>
      <c r="Q36" s="1" t="s">
        <v>150</v>
      </c>
      <c r="R36">
        <f t="shared" si="0"/>
        <v>8</v>
      </c>
      <c r="S36">
        <f t="shared" si="1"/>
        <v>9</v>
      </c>
    </row>
    <row r="37" spans="1:19" x14ac:dyDescent="0.25">
      <c r="A37" s="1">
        <v>1</v>
      </c>
      <c r="B37" s="5">
        <v>0.33333333333333331</v>
      </c>
      <c r="C37" s="1" t="s">
        <v>137</v>
      </c>
      <c r="D37" s="1" t="s">
        <v>138</v>
      </c>
      <c r="E37" s="1" t="s">
        <v>105</v>
      </c>
      <c r="F37" s="1" t="s">
        <v>448</v>
      </c>
      <c r="G37" s="1" t="s">
        <v>107</v>
      </c>
      <c r="H37" s="1" t="s">
        <v>106</v>
      </c>
      <c r="I37" s="1">
        <v>5</v>
      </c>
      <c r="J37" s="1">
        <v>5</v>
      </c>
      <c r="K37" s="1" t="s">
        <v>448</v>
      </c>
      <c r="L37" s="1">
        <v>0</v>
      </c>
      <c r="M37" s="1">
        <v>0</v>
      </c>
      <c r="N37" s="1" t="s">
        <v>138</v>
      </c>
      <c r="O37" s="1">
        <v>20064</v>
      </c>
      <c r="P37" s="1" t="s">
        <v>149</v>
      </c>
      <c r="Q37" s="1" t="s">
        <v>150</v>
      </c>
      <c r="R37">
        <f t="shared" si="0"/>
        <v>8</v>
      </c>
      <c r="S37">
        <f t="shared" si="1"/>
        <v>0</v>
      </c>
    </row>
    <row r="38" spans="1:19" x14ac:dyDescent="0.25">
      <c r="A38" s="1">
        <v>1</v>
      </c>
      <c r="B38" s="5">
        <v>0.32430555555555557</v>
      </c>
      <c r="C38" s="1" t="s">
        <v>108</v>
      </c>
      <c r="D38" s="1" t="s">
        <v>139</v>
      </c>
      <c r="E38" s="1" t="s">
        <v>106</v>
      </c>
      <c r="F38" s="1" t="s">
        <v>448</v>
      </c>
      <c r="G38" s="1" t="s">
        <v>110</v>
      </c>
      <c r="H38" s="1" t="s">
        <v>106</v>
      </c>
      <c r="I38" s="1">
        <v>5</v>
      </c>
      <c r="J38" s="1">
        <v>5</v>
      </c>
      <c r="K38" s="1" t="s">
        <v>448</v>
      </c>
      <c r="L38" s="1">
        <v>0</v>
      </c>
      <c r="M38" s="1">
        <v>0</v>
      </c>
      <c r="N38" s="1" t="s">
        <v>448</v>
      </c>
      <c r="O38" s="1">
        <v>20064</v>
      </c>
      <c r="P38" s="1" t="s">
        <v>149</v>
      </c>
      <c r="Q38" s="1" t="s">
        <v>150</v>
      </c>
      <c r="R38">
        <f t="shared" si="0"/>
        <v>7</v>
      </c>
      <c r="S38">
        <f t="shared" si="1"/>
        <v>47</v>
      </c>
    </row>
    <row r="39" spans="1:19" x14ac:dyDescent="0.25">
      <c r="A39" s="1">
        <v>1</v>
      </c>
      <c r="B39" s="5">
        <v>0.31805555555555554</v>
      </c>
      <c r="C39" s="1" t="s">
        <v>137</v>
      </c>
      <c r="D39" s="1" t="s">
        <v>131</v>
      </c>
      <c r="E39" s="1" t="s">
        <v>115</v>
      </c>
      <c r="F39" s="1" t="s">
        <v>448</v>
      </c>
      <c r="G39" s="1" t="s">
        <v>110</v>
      </c>
      <c r="H39" s="1" t="s">
        <v>106</v>
      </c>
      <c r="I39" s="1">
        <v>5</v>
      </c>
      <c r="J39" s="1">
        <v>5</v>
      </c>
      <c r="K39" s="1" t="s">
        <v>448</v>
      </c>
      <c r="L39" s="1">
        <v>0</v>
      </c>
      <c r="M39" s="1">
        <v>0</v>
      </c>
      <c r="N39" s="1" t="s">
        <v>131</v>
      </c>
      <c r="O39" s="1">
        <v>20064</v>
      </c>
      <c r="P39" s="1" t="s">
        <v>149</v>
      </c>
      <c r="Q39" s="1" t="s">
        <v>150</v>
      </c>
      <c r="R39">
        <f t="shared" si="0"/>
        <v>7</v>
      </c>
      <c r="S39">
        <f t="shared" si="1"/>
        <v>38</v>
      </c>
    </row>
    <row r="40" spans="1:19" x14ac:dyDescent="0.25">
      <c r="A40" s="1">
        <v>1</v>
      </c>
      <c r="B40" s="5">
        <v>0.31527777777777777</v>
      </c>
      <c r="C40" s="1" t="s">
        <v>74</v>
      </c>
      <c r="D40" s="1" t="s">
        <v>140</v>
      </c>
      <c r="E40" s="1" t="s">
        <v>124</v>
      </c>
      <c r="F40" s="1" t="s">
        <v>106</v>
      </c>
      <c r="G40" s="1" t="s">
        <v>110</v>
      </c>
      <c r="H40" s="1" t="s">
        <v>106</v>
      </c>
      <c r="I40" s="1">
        <v>5</v>
      </c>
      <c r="J40" s="1">
        <v>5</v>
      </c>
      <c r="K40" s="1" t="s">
        <v>140</v>
      </c>
      <c r="L40" s="1">
        <v>1</v>
      </c>
      <c r="M40" s="1">
        <v>0</v>
      </c>
      <c r="N40" s="1" t="s">
        <v>448</v>
      </c>
      <c r="O40" s="1">
        <v>20064</v>
      </c>
      <c r="P40" s="1" t="s">
        <v>149</v>
      </c>
      <c r="Q40" s="1" t="s">
        <v>150</v>
      </c>
      <c r="R40">
        <f t="shared" si="0"/>
        <v>7</v>
      </c>
      <c r="S40">
        <f t="shared" si="1"/>
        <v>34</v>
      </c>
    </row>
    <row r="41" spans="1:19" x14ac:dyDescent="0.25">
      <c r="A41" s="1">
        <v>1</v>
      </c>
      <c r="B41" s="5">
        <v>0.30833333333333335</v>
      </c>
      <c r="C41" s="1" t="s">
        <v>108</v>
      </c>
      <c r="D41" s="1" t="s">
        <v>141</v>
      </c>
      <c r="E41" s="1" t="s">
        <v>115</v>
      </c>
      <c r="F41" s="1" t="s">
        <v>448</v>
      </c>
      <c r="G41" s="1" t="s">
        <v>110</v>
      </c>
      <c r="H41" s="1" t="s">
        <v>106</v>
      </c>
      <c r="I41" s="1">
        <v>5</v>
      </c>
      <c r="J41" s="1">
        <v>5</v>
      </c>
      <c r="K41" s="1" t="s">
        <v>448</v>
      </c>
      <c r="L41" s="1">
        <v>0</v>
      </c>
      <c r="M41" s="1">
        <v>0</v>
      </c>
      <c r="N41" s="1" t="s">
        <v>448</v>
      </c>
      <c r="O41" s="1">
        <v>20064</v>
      </c>
      <c r="P41" s="1" t="s">
        <v>149</v>
      </c>
      <c r="Q41" s="1" t="s">
        <v>150</v>
      </c>
      <c r="R41">
        <f t="shared" si="0"/>
        <v>7</v>
      </c>
      <c r="S41">
        <f t="shared" si="1"/>
        <v>24</v>
      </c>
    </row>
    <row r="42" spans="1:19" x14ac:dyDescent="0.25">
      <c r="A42" s="1">
        <v>1</v>
      </c>
      <c r="B42" s="5">
        <v>0.29097222222222224</v>
      </c>
      <c r="C42" s="1" t="s">
        <v>74</v>
      </c>
      <c r="D42" s="1" t="s">
        <v>104</v>
      </c>
      <c r="E42" s="1" t="s">
        <v>120</v>
      </c>
      <c r="F42" s="1" t="s">
        <v>106</v>
      </c>
      <c r="G42" s="1" t="s">
        <v>74</v>
      </c>
      <c r="H42" s="1" t="s">
        <v>106</v>
      </c>
      <c r="I42" s="1">
        <v>5</v>
      </c>
      <c r="J42" s="1">
        <v>5</v>
      </c>
      <c r="K42" s="1" t="s">
        <v>104</v>
      </c>
      <c r="L42" s="1">
        <v>0</v>
      </c>
      <c r="M42" s="1">
        <v>0</v>
      </c>
      <c r="N42" s="1" t="s">
        <v>448</v>
      </c>
      <c r="O42" s="1">
        <v>20064</v>
      </c>
      <c r="P42" s="1" t="s">
        <v>149</v>
      </c>
      <c r="Q42" s="1" t="s">
        <v>150</v>
      </c>
      <c r="R42">
        <f t="shared" si="0"/>
        <v>6</v>
      </c>
      <c r="S42">
        <f t="shared" si="1"/>
        <v>59</v>
      </c>
    </row>
    <row r="43" spans="1:19" x14ac:dyDescent="0.25">
      <c r="A43" s="1">
        <v>1</v>
      </c>
      <c r="B43" s="5">
        <v>0.28402777777777777</v>
      </c>
      <c r="C43" s="1" t="s">
        <v>74</v>
      </c>
      <c r="D43" s="1" t="s">
        <v>142</v>
      </c>
      <c r="E43" s="1" t="s">
        <v>122</v>
      </c>
      <c r="F43" s="1" t="s">
        <v>121</v>
      </c>
      <c r="G43" s="1" t="s">
        <v>110</v>
      </c>
      <c r="H43" s="1" t="s">
        <v>106</v>
      </c>
      <c r="I43" s="1">
        <v>5</v>
      </c>
      <c r="J43" s="1">
        <v>5</v>
      </c>
      <c r="K43" s="1" t="s">
        <v>142</v>
      </c>
      <c r="L43" s="1">
        <v>1</v>
      </c>
      <c r="M43" s="1">
        <v>0</v>
      </c>
      <c r="N43" s="1" t="s">
        <v>448</v>
      </c>
      <c r="O43" s="1">
        <v>20064</v>
      </c>
      <c r="P43" s="1" t="s">
        <v>149</v>
      </c>
      <c r="Q43" s="1" t="s">
        <v>150</v>
      </c>
      <c r="R43">
        <f t="shared" si="0"/>
        <v>6</v>
      </c>
      <c r="S43">
        <f t="shared" si="1"/>
        <v>49</v>
      </c>
    </row>
    <row r="44" spans="1:19" x14ac:dyDescent="0.25">
      <c r="A44" s="1">
        <v>1</v>
      </c>
      <c r="B44" s="5">
        <v>0.27847222222222223</v>
      </c>
      <c r="C44" s="1" t="s">
        <v>74</v>
      </c>
      <c r="D44" s="1" t="s">
        <v>104</v>
      </c>
      <c r="E44" s="1" t="s">
        <v>120</v>
      </c>
      <c r="F44" s="1" t="s">
        <v>106</v>
      </c>
      <c r="G44" s="1" t="s">
        <v>107</v>
      </c>
      <c r="H44" s="1" t="s">
        <v>106</v>
      </c>
      <c r="I44" s="1">
        <v>5</v>
      </c>
      <c r="J44" s="1">
        <v>5</v>
      </c>
      <c r="K44" s="1" t="s">
        <v>104</v>
      </c>
      <c r="L44" s="1">
        <v>0</v>
      </c>
      <c r="M44" s="1">
        <v>0</v>
      </c>
      <c r="N44" s="1" t="s">
        <v>448</v>
      </c>
      <c r="O44" s="1">
        <v>20064</v>
      </c>
      <c r="P44" s="1" t="s">
        <v>149</v>
      </c>
      <c r="Q44" s="1" t="s">
        <v>150</v>
      </c>
      <c r="R44">
        <f t="shared" si="0"/>
        <v>6</v>
      </c>
      <c r="S44">
        <f t="shared" si="1"/>
        <v>41</v>
      </c>
    </row>
    <row r="45" spans="1:19" x14ac:dyDescent="0.25">
      <c r="A45" s="1">
        <v>1</v>
      </c>
      <c r="B45" s="5">
        <v>0.27152777777777776</v>
      </c>
      <c r="C45" s="1" t="s">
        <v>108</v>
      </c>
      <c r="D45" s="1" t="s">
        <v>133</v>
      </c>
      <c r="E45" s="1" t="s">
        <v>143</v>
      </c>
      <c r="F45" s="1" t="s">
        <v>448</v>
      </c>
      <c r="G45" s="1" t="s">
        <v>74</v>
      </c>
      <c r="H45" s="1" t="s">
        <v>106</v>
      </c>
      <c r="I45" s="1">
        <v>5</v>
      </c>
      <c r="J45" s="1">
        <v>5</v>
      </c>
      <c r="K45" s="1" t="s">
        <v>448</v>
      </c>
      <c r="L45" s="1">
        <v>0</v>
      </c>
      <c r="M45" s="1">
        <v>0</v>
      </c>
      <c r="N45" s="1" t="s">
        <v>448</v>
      </c>
      <c r="O45" s="1">
        <v>20064</v>
      </c>
      <c r="P45" s="1" t="s">
        <v>149</v>
      </c>
      <c r="Q45" s="1" t="s">
        <v>150</v>
      </c>
      <c r="R45">
        <f t="shared" si="0"/>
        <v>6</v>
      </c>
      <c r="S45">
        <f t="shared" si="1"/>
        <v>31</v>
      </c>
    </row>
    <row r="46" spans="1:19" x14ac:dyDescent="0.25">
      <c r="A46" s="1">
        <v>1</v>
      </c>
      <c r="B46" s="5">
        <v>0.26666666666666666</v>
      </c>
      <c r="C46" s="1" t="s">
        <v>108</v>
      </c>
      <c r="D46" s="1" t="s">
        <v>143</v>
      </c>
      <c r="E46" s="1" t="s">
        <v>139</v>
      </c>
      <c r="F46" s="1" t="s">
        <v>448</v>
      </c>
      <c r="G46" s="1" t="s">
        <v>107</v>
      </c>
      <c r="H46" s="1" t="s">
        <v>106</v>
      </c>
      <c r="I46" s="1">
        <v>5</v>
      </c>
      <c r="J46" s="1">
        <v>5</v>
      </c>
      <c r="K46" s="1" t="s">
        <v>448</v>
      </c>
      <c r="L46" s="1">
        <v>1</v>
      </c>
      <c r="M46" s="1">
        <v>0</v>
      </c>
      <c r="N46" s="1" t="s">
        <v>448</v>
      </c>
      <c r="O46" s="1">
        <v>20064</v>
      </c>
      <c r="P46" s="1" t="s">
        <v>149</v>
      </c>
      <c r="Q46" s="1" t="s">
        <v>150</v>
      </c>
      <c r="R46">
        <f t="shared" si="0"/>
        <v>6</v>
      </c>
      <c r="S46">
        <f t="shared" si="1"/>
        <v>24</v>
      </c>
    </row>
    <row r="47" spans="1:19" x14ac:dyDescent="0.25">
      <c r="A47" s="1">
        <v>1</v>
      </c>
      <c r="B47" s="5">
        <v>0.25833333333333336</v>
      </c>
      <c r="C47" s="1" t="s">
        <v>108</v>
      </c>
      <c r="D47" s="1" t="s">
        <v>123</v>
      </c>
      <c r="E47" s="1" t="s">
        <v>106</v>
      </c>
      <c r="F47" s="1" t="s">
        <v>448</v>
      </c>
      <c r="G47" s="1" t="s">
        <v>110</v>
      </c>
      <c r="H47" s="1" t="s">
        <v>106</v>
      </c>
      <c r="I47" s="1">
        <v>5</v>
      </c>
      <c r="J47" s="1">
        <v>5</v>
      </c>
      <c r="K47" s="1" t="s">
        <v>448</v>
      </c>
      <c r="L47" s="1">
        <v>0</v>
      </c>
      <c r="M47" s="1">
        <v>0</v>
      </c>
      <c r="N47" s="1" t="s">
        <v>448</v>
      </c>
      <c r="O47" s="1">
        <v>20064</v>
      </c>
      <c r="P47" s="1" t="s">
        <v>149</v>
      </c>
      <c r="Q47" s="1" t="s">
        <v>150</v>
      </c>
      <c r="R47">
        <f t="shared" si="0"/>
        <v>6</v>
      </c>
      <c r="S47">
        <f t="shared" si="1"/>
        <v>12</v>
      </c>
    </row>
    <row r="48" spans="1:19" x14ac:dyDescent="0.25">
      <c r="A48" s="1">
        <v>1</v>
      </c>
      <c r="B48" s="5">
        <v>0.23541666666666669</v>
      </c>
      <c r="C48" s="1" t="s">
        <v>74</v>
      </c>
      <c r="D48" s="1" t="s">
        <v>116</v>
      </c>
      <c r="E48" s="1" t="s">
        <v>105</v>
      </c>
      <c r="F48" s="1" t="s">
        <v>106</v>
      </c>
      <c r="G48" s="1" t="s">
        <v>110</v>
      </c>
      <c r="H48" s="1" t="s">
        <v>106</v>
      </c>
      <c r="I48" s="1">
        <v>5</v>
      </c>
      <c r="J48" s="1">
        <v>5</v>
      </c>
      <c r="K48" s="1" t="s">
        <v>116</v>
      </c>
      <c r="L48" s="1">
        <v>2</v>
      </c>
      <c r="M48" s="1">
        <v>0</v>
      </c>
      <c r="N48" s="1" t="s">
        <v>448</v>
      </c>
      <c r="O48" s="1">
        <v>20064</v>
      </c>
      <c r="P48" s="1" t="s">
        <v>149</v>
      </c>
      <c r="Q48" s="1" t="s">
        <v>150</v>
      </c>
      <c r="R48">
        <f t="shared" si="0"/>
        <v>5</v>
      </c>
      <c r="S48">
        <f t="shared" si="1"/>
        <v>39</v>
      </c>
    </row>
    <row r="49" spans="1:19" x14ac:dyDescent="0.25">
      <c r="A49" s="1">
        <v>1</v>
      </c>
      <c r="B49" s="5">
        <v>0.22638888888888897</v>
      </c>
      <c r="C49" s="1" t="s">
        <v>176</v>
      </c>
      <c r="D49" s="1" t="s">
        <v>14</v>
      </c>
      <c r="E49" s="1" t="s">
        <v>448</v>
      </c>
      <c r="F49" s="1" t="s">
        <v>448</v>
      </c>
      <c r="G49" s="1" t="s">
        <v>448</v>
      </c>
      <c r="H49" s="1" t="s">
        <v>448</v>
      </c>
      <c r="I49" s="1">
        <v>5</v>
      </c>
      <c r="J49" s="1">
        <v>5</v>
      </c>
      <c r="K49" s="1" t="s">
        <v>448</v>
      </c>
      <c r="L49" s="1">
        <v>0</v>
      </c>
      <c r="M49" s="1">
        <v>0</v>
      </c>
      <c r="N49" s="1" t="s">
        <v>448</v>
      </c>
      <c r="O49" s="1">
        <v>20064</v>
      </c>
      <c r="P49" s="1" t="s">
        <v>149</v>
      </c>
      <c r="Q49" s="1" t="s">
        <v>150</v>
      </c>
      <c r="R49">
        <f t="shared" si="0"/>
        <v>5</v>
      </c>
      <c r="S49">
        <f t="shared" si="1"/>
        <v>26</v>
      </c>
    </row>
    <row r="50" spans="1:19" x14ac:dyDescent="0.25">
      <c r="A50" s="1">
        <v>1</v>
      </c>
      <c r="B50" s="5">
        <v>0.20694444444444449</v>
      </c>
      <c r="C50" s="1" t="s">
        <v>176</v>
      </c>
      <c r="D50" s="1" t="s">
        <v>15</v>
      </c>
      <c r="E50" s="1" t="s">
        <v>448</v>
      </c>
      <c r="F50" s="1" t="s">
        <v>448</v>
      </c>
      <c r="G50" s="1" t="s">
        <v>448</v>
      </c>
      <c r="H50" s="1" t="s">
        <v>448</v>
      </c>
      <c r="I50" s="1">
        <v>5</v>
      </c>
      <c r="J50" s="1">
        <v>5</v>
      </c>
      <c r="K50" s="1" t="s">
        <v>448</v>
      </c>
      <c r="L50" s="1">
        <v>0</v>
      </c>
      <c r="M50" s="1">
        <v>0</v>
      </c>
      <c r="N50" s="1" t="s">
        <v>448</v>
      </c>
      <c r="O50" s="1">
        <v>20064</v>
      </c>
      <c r="P50" s="1" t="s">
        <v>149</v>
      </c>
      <c r="Q50" s="1" t="s">
        <v>150</v>
      </c>
      <c r="R50">
        <f t="shared" si="0"/>
        <v>4</v>
      </c>
      <c r="S50">
        <f t="shared" si="1"/>
        <v>58</v>
      </c>
    </row>
    <row r="51" spans="1:19" x14ac:dyDescent="0.25">
      <c r="A51" s="1">
        <v>1</v>
      </c>
      <c r="B51" s="5">
        <v>0.19513888888888897</v>
      </c>
      <c r="C51" s="1" t="s">
        <v>176</v>
      </c>
      <c r="D51" s="1" t="s">
        <v>15</v>
      </c>
      <c r="E51" s="1" t="s">
        <v>448</v>
      </c>
      <c r="F51" s="1" t="s">
        <v>448</v>
      </c>
      <c r="G51" s="1" t="s">
        <v>448</v>
      </c>
      <c r="H51" s="1" t="s">
        <v>448</v>
      </c>
      <c r="I51" s="1">
        <v>5</v>
      </c>
      <c r="J51" s="1">
        <v>5</v>
      </c>
      <c r="K51" s="1" t="s">
        <v>448</v>
      </c>
      <c r="L51" s="1">
        <v>0</v>
      </c>
      <c r="M51" s="1">
        <v>0</v>
      </c>
      <c r="N51" s="1" t="s">
        <v>448</v>
      </c>
      <c r="O51" s="1">
        <v>20064</v>
      </c>
      <c r="P51" s="1" t="s">
        <v>149</v>
      </c>
      <c r="Q51" s="1" t="s">
        <v>150</v>
      </c>
      <c r="R51">
        <f t="shared" si="0"/>
        <v>4</v>
      </c>
      <c r="S51">
        <f t="shared" si="1"/>
        <v>41</v>
      </c>
    </row>
    <row r="52" spans="1:19" x14ac:dyDescent="0.25">
      <c r="A52" s="1">
        <v>1</v>
      </c>
      <c r="B52" s="5">
        <v>0.18263888888888891</v>
      </c>
      <c r="C52" s="1" t="s">
        <v>74</v>
      </c>
      <c r="D52" s="1" t="s">
        <v>127</v>
      </c>
      <c r="E52" s="1" t="s">
        <v>144</v>
      </c>
      <c r="F52" s="1" t="s">
        <v>106</v>
      </c>
      <c r="G52" s="1" t="s">
        <v>110</v>
      </c>
      <c r="H52" s="1" t="s">
        <v>106</v>
      </c>
      <c r="I52" s="1">
        <v>5</v>
      </c>
      <c r="J52" s="1">
        <v>5</v>
      </c>
      <c r="K52" s="1" t="s">
        <v>127</v>
      </c>
      <c r="L52" s="1">
        <v>0</v>
      </c>
      <c r="M52" s="1">
        <v>0</v>
      </c>
      <c r="N52" s="1" t="s">
        <v>448</v>
      </c>
      <c r="O52" s="1">
        <v>20064</v>
      </c>
      <c r="P52" s="1" t="s">
        <v>149</v>
      </c>
      <c r="Q52" s="1" t="s">
        <v>150</v>
      </c>
      <c r="R52">
        <f t="shared" si="0"/>
        <v>4</v>
      </c>
      <c r="S52">
        <f t="shared" si="1"/>
        <v>23</v>
      </c>
    </row>
    <row r="53" spans="1:19" x14ac:dyDescent="0.25">
      <c r="A53" s="1">
        <v>1</v>
      </c>
      <c r="B53" s="5">
        <v>0.16666666666666666</v>
      </c>
      <c r="C53" s="1" t="s">
        <v>108</v>
      </c>
      <c r="D53" s="1" t="s">
        <v>111</v>
      </c>
      <c r="E53" s="1" t="s">
        <v>106</v>
      </c>
      <c r="F53" s="1" t="s">
        <v>448</v>
      </c>
      <c r="G53" s="1" t="s">
        <v>107</v>
      </c>
      <c r="H53" s="1" t="s">
        <v>106</v>
      </c>
      <c r="I53" s="1">
        <v>5</v>
      </c>
      <c r="J53" s="1">
        <v>5</v>
      </c>
      <c r="K53" s="1" t="s">
        <v>448</v>
      </c>
      <c r="L53" s="1">
        <v>0</v>
      </c>
      <c r="M53" s="1">
        <v>0</v>
      </c>
      <c r="N53" s="1" t="s">
        <v>448</v>
      </c>
      <c r="O53" s="1">
        <v>20064</v>
      </c>
      <c r="P53" s="1" t="s">
        <v>149</v>
      </c>
      <c r="Q53" s="1" t="s">
        <v>150</v>
      </c>
      <c r="R53">
        <f t="shared" si="0"/>
        <v>4</v>
      </c>
      <c r="S53">
        <f t="shared" si="1"/>
        <v>0</v>
      </c>
    </row>
    <row r="54" spans="1:19" x14ac:dyDescent="0.25">
      <c r="A54" s="1">
        <v>1</v>
      </c>
      <c r="B54" s="5">
        <v>0.15277777777777776</v>
      </c>
      <c r="C54" s="1" t="s">
        <v>74</v>
      </c>
      <c r="D54" s="1" t="s">
        <v>114</v>
      </c>
      <c r="E54" s="1" t="s">
        <v>122</v>
      </c>
      <c r="F54" s="1" t="s">
        <v>106</v>
      </c>
      <c r="G54" s="1" t="s">
        <v>110</v>
      </c>
      <c r="H54" s="1" t="s">
        <v>106</v>
      </c>
      <c r="I54" s="1">
        <v>5</v>
      </c>
      <c r="J54" s="1">
        <v>5</v>
      </c>
      <c r="K54" s="1" t="s">
        <v>114</v>
      </c>
      <c r="L54" s="1">
        <v>0</v>
      </c>
      <c r="M54" s="1">
        <v>0</v>
      </c>
      <c r="N54" s="1" t="s">
        <v>448</v>
      </c>
      <c r="O54" s="1">
        <v>20064</v>
      </c>
      <c r="P54" s="1" t="s">
        <v>149</v>
      </c>
      <c r="Q54" s="1" t="s">
        <v>150</v>
      </c>
      <c r="R54">
        <f t="shared" si="0"/>
        <v>3</v>
      </c>
      <c r="S54">
        <f t="shared" si="1"/>
        <v>40</v>
      </c>
    </row>
    <row r="55" spans="1:19" x14ac:dyDescent="0.25">
      <c r="A55" s="1">
        <v>1</v>
      </c>
      <c r="B55" s="5">
        <v>0.1423611111111111</v>
      </c>
      <c r="C55" s="1" t="s">
        <v>74</v>
      </c>
      <c r="D55" s="1" t="s">
        <v>133</v>
      </c>
      <c r="E55" s="1" t="s">
        <v>125</v>
      </c>
      <c r="F55" s="1" t="s">
        <v>121</v>
      </c>
      <c r="G55" s="1" t="s">
        <v>74</v>
      </c>
      <c r="H55" s="1" t="s">
        <v>106</v>
      </c>
      <c r="I55" s="1">
        <v>5</v>
      </c>
      <c r="J55" s="1">
        <v>5</v>
      </c>
      <c r="K55" s="1" t="s">
        <v>133</v>
      </c>
      <c r="L55" s="1">
        <v>1</v>
      </c>
      <c r="M55" s="1">
        <v>0</v>
      </c>
      <c r="N55" s="1" t="s">
        <v>448</v>
      </c>
      <c r="O55" s="1">
        <v>20064</v>
      </c>
      <c r="P55" s="1" t="s">
        <v>149</v>
      </c>
      <c r="Q55" s="1" t="s">
        <v>150</v>
      </c>
      <c r="R55">
        <f t="shared" si="0"/>
        <v>3</v>
      </c>
      <c r="S55">
        <f t="shared" si="1"/>
        <v>25</v>
      </c>
    </row>
    <row r="56" spans="1:19" x14ac:dyDescent="0.25">
      <c r="A56" s="1">
        <v>1</v>
      </c>
      <c r="B56" s="5">
        <v>0.13333333333333333</v>
      </c>
      <c r="C56" s="1" t="s">
        <v>74</v>
      </c>
      <c r="D56" s="1" t="s">
        <v>133</v>
      </c>
      <c r="E56" s="1" t="s">
        <v>125</v>
      </c>
      <c r="F56" s="1" t="s">
        <v>106</v>
      </c>
      <c r="G56" s="1" t="s">
        <v>107</v>
      </c>
      <c r="H56" s="1" t="s">
        <v>106</v>
      </c>
      <c r="I56" s="1">
        <v>5</v>
      </c>
      <c r="J56" s="1">
        <v>5</v>
      </c>
      <c r="K56" s="1" t="s">
        <v>133</v>
      </c>
      <c r="L56" s="1">
        <v>1</v>
      </c>
      <c r="M56" s="1">
        <v>0</v>
      </c>
      <c r="N56" s="1" t="s">
        <v>448</v>
      </c>
      <c r="O56" s="1">
        <v>20064</v>
      </c>
      <c r="P56" s="1" t="s">
        <v>149</v>
      </c>
      <c r="Q56" s="1" t="s">
        <v>150</v>
      </c>
      <c r="R56">
        <f t="shared" si="0"/>
        <v>3</v>
      </c>
      <c r="S56">
        <f t="shared" si="1"/>
        <v>12</v>
      </c>
    </row>
    <row r="57" spans="1:19" x14ac:dyDescent="0.25">
      <c r="A57" s="1">
        <v>1</v>
      </c>
      <c r="B57" s="5">
        <v>0.13055555555555554</v>
      </c>
      <c r="C57" s="1" t="s">
        <v>176</v>
      </c>
      <c r="D57" s="1" t="s">
        <v>14</v>
      </c>
      <c r="E57" s="1" t="s">
        <v>448</v>
      </c>
      <c r="F57" s="1" t="s">
        <v>448</v>
      </c>
      <c r="G57" s="1" t="s">
        <v>448</v>
      </c>
      <c r="H57" s="1" t="s">
        <v>448</v>
      </c>
      <c r="I57" s="1">
        <v>5</v>
      </c>
      <c r="J57" s="1">
        <v>5</v>
      </c>
      <c r="K57" s="1" t="s">
        <v>448</v>
      </c>
      <c r="L57" s="1">
        <v>0</v>
      </c>
      <c r="M57" s="1">
        <v>0</v>
      </c>
      <c r="N57" s="1" t="s">
        <v>448</v>
      </c>
      <c r="O57" s="1">
        <v>20064</v>
      </c>
      <c r="P57" s="1" t="s">
        <v>149</v>
      </c>
      <c r="Q57" s="1" t="s">
        <v>150</v>
      </c>
      <c r="R57">
        <f t="shared" si="0"/>
        <v>3</v>
      </c>
      <c r="S57">
        <f t="shared" si="1"/>
        <v>8</v>
      </c>
    </row>
    <row r="58" spans="1:19" x14ac:dyDescent="0.25">
      <c r="A58" s="1">
        <v>1</v>
      </c>
      <c r="B58" s="5">
        <v>0.1111111111111111</v>
      </c>
      <c r="C58" s="1" t="s">
        <v>74</v>
      </c>
      <c r="D58" s="1" t="s">
        <v>145</v>
      </c>
      <c r="E58" s="1" t="s">
        <v>113</v>
      </c>
      <c r="F58" s="1" t="s">
        <v>121</v>
      </c>
      <c r="G58" s="1" t="s">
        <v>74</v>
      </c>
      <c r="H58" s="1" t="s">
        <v>106</v>
      </c>
      <c r="I58" s="1">
        <v>5</v>
      </c>
      <c r="J58" s="1">
        <v>5</v>
      </c>
      <c r="K58" s="1" t="s">
        <v>145</v>
      </c>
      <c r="L58" s="1">
        <v>1</v>
      </c>
      <c r="M58" s="1">
        <v>0</v>
      </c>
      <c r="N58" s="1" t="s">
        <v>448</v>
      </c>
      <c r="O58" s="1">
        <v>20064</v>
      </c>
      <c r="P58" s="1" t="s">
        <v>149</v>
      </c>
      <c r="Q58" s="1" t="s">
        <v>150</v>
      </c>
      <c r="R58">
        <f t="shared" si="0"/>
        <v>2</v>
      </c>
      <c r="S58">
        <f t="shared" si="1"/>
        <v>40</v>
      </c>
    </row>
    <row r="59" spans="1:19" x14ac:dyDescent="0.25">
      <c r="A59" s="1">
        <v>1</v>
      </c>
      <c r="B59" s="5">
        <v>9.7222222222222224E-2</v>
      </c>
      <c r="C59" s="1" t="s">
        <v>108</v>
      </c>
      <c r="D59" s="1" t="s">
        <v>131</v>
      </c>
      <c r="E59" s="1" t="s">
        <v>106</v>
      </c>
      <c r="F59" s="1" t="s">
        <v>448</v>
      </c>
      <c r="G59" s="1" t="s">
        <v>110</v>
      </c>
      <c r="H59" s="1" t="s">
        <v>106</v>
      </c>
      <c r="I59" s="1">
        <v>5</v>
      </c>
      <c r="J59" s="1">
        <v>5</v>
      </c>
      <c r="K59" s="1" t="s">
        <v>448</v>
      </c>
      <c r="L59" s="1">
        <v>4</v>
      </c>
      <c r="M59" s="1">
        <v>0</v>
      </c>
      <c r="N59" s="1" t="s">
        <v>448</v>
      </c>
      <c r="O59" s="1">
        <v>20064</v>
      </c>
      <c r="P59" s="1" t="s">
        <v>149</v>
      </c>
      <c r="Q59" s="1" t="s">
        <v>150</v>
      </c>
      <c r="R59">
        <f t="shared" si="0"/>
        <v>2</v>
      </c>
      <c r="S59">
        <f t="shared" si="1"/>
        <v>20</v>
      </c>
    </row>
    <row r="60" spans="1:19" x14ac:dyDescent="0.25">
      <c r="A60" s="1">
        <v>1</v>
      </c>
      <c r="B60" s="5">
        <v>4.4444444444444446E-2</v>
      </c>
      <c r="C60" s="1" t="s">
        <v>74</v>
      </c>
      <c r="D60" s="1" t="s">
        <v>140</v>
      </c>
      <c r="E60" s="1" t="s">
        <v>105</v>
      </c>
      <c r="F60" s="1" t="s">
        <v>106</v>
      </c>
      <c r="G60" s="1" t="s">
        <v>74</v>
      </c>
      <c r="H60" s="1" t="s">
        <v>106</v>
      </c>
      <c r="I60" s="1">
        <v>5</v>
      </c>
      <c r="J60" s="1">
        <v>5</v>
      </c>
      <c r="K60" s="1" t="s">
        <v>140</v>
      </c>
      <c r="L60" s="1">
        <v>0</v>
      </c>
      <c r="M60" s="1">
        <v>0</v>
      </c>
      <c r="N60" s="1" t="s">
        <v>448</v>
      </c>
      <c r="O60" s="1">
        <v>20064</v>
      </c>
      <c r="P60" s="1" t="s">
        <v>149</v>
      </c>
      <c r="Q60" s="1" t="s">
        <v>150</v>
      </c>
      <c r="R60">
        <f t="shared" si="0"/>
        <v>1</v>
      </c>
      <c r="S60">
        <f t="shared" si="1"/>
        <v>4</v>
      </c>
    </row>
    <row r="61" spans="1:19" x14ac:dyDescent="0.25">
      <c r="A61" s="1">
        <v>1</v>
      </c>
      <c r="B61" s="5">
        <v>3.888888888888889E-2</v>
      </c>
      <c r="C61" s="1" t="s">
        <v>137</v>
      </c>
      <c r="D61" s="1" t="s">
        <v>142</v>
      </c>
      <c r="E61" s="1" t="s">
        <v>127</v>
      </c>
      <c r="F61" s="1" t="s">
        <v>448</v>
      </c>
      <c r="G61" s="1" t="s">
        <v>107</v>
      </c>
      <c r="H61" s="1" t="s">
        <v>106</v>
      </c>
      <c r="I61" s="1">
        <v>5</v>
      </c>
      <c r="J61" s="1">
        <v>5</v>
      </c>
      <c r="K61" s="1" t="s">
        <v>448</v>
      </c>
      <c r="L61" s="1">
        <v>0</v>
      </c>
      <c r="M61" s="1">
        <v>0</v>
      </c>
      <c r="N61" s="1" t="s">
        <v>142</v>
      </c>
      <c r="O61" s="1">
        <v>20064</v>
      </c>
      <c r="P61" s="1" t="s">
        <v>149</v>
      </c>
      <c r="Q61" s="1" t="s">
        <v>150</v>
      </c>
      <c r="R61">
        <f t="shared" si="0"/>
        <v>0</v>
      </c>
      <c r="S61">
        <f t="shared" si="1"/>
        <v>56</v>
      </c>
    </row>
    <row r="62" spans="1:19" x14ac:dyDescent="0.25">
      <c r="A62" s="1">
        <v>1</v>
      </c>
      <c r="B62" s="5">
        <v>3.6805555555555557E-2</v>
      </c>
      <c r="C62" s="1" t="s">
        <v>108</v>
      </c>
      <c r="D62" s="1" t="s">
        <v>111</v>
      </c>
      <c r="E62" s="1" t="s">
        <v>105</v>
      </c>
      <c r="F62" s="1" t="s">
        <v>448</v>
      </c>
      <c r="G62" s="1" t="s">
        <v>107</v>
      </c>
      <c r="H62" s="1" t="s">
        <v>106</v>
      </c>
      <c r="I62" s="1">
        <v>5</v>
      </c>
      <c r="J62" s="1">
        <v>5</v>
      </c>
      <c r="K62" s="1" t="s">
        <v>448</v>
      </c>
      <c r="L62" s="1">
        <v>1</v>
      </c>
      <c r="M62" s="1">
        <v>0</v>
      </c>
      <c r="N62" s="1" t="s">
        <v>448</v>
      </c>
      <c r="O62" s="1">
        <v>20064</v>
      </c>
      <c r="P62" s="1" t="s">
        <v>149</v>
      </c>
      <c r="Q62" s="1" t="s">
        <v>150</v>
      </c>
      <c r="R62">
        <f t="shared" si="0"/>
        <v>0</v>
      </c>
      <c r="S62">
        <f t="shared" si="1"/>
        <v>53</v>
      </c>
    </row>
    <row r="63" spans="1:19" x14ac:dyDescent="0.25">
      <c r="A63" s="1">
        <v>1</v>
      </c>
      <c r="B63" s="5">
        <v>1.6666666666666666E-2</v>
      </c>
      <c r="C63" s="1" t="s">
        <v>108</v>
      </c>
      <c r="D63" s="1" t="s">
        <v>143</v>
      </c>
      <c r="E63" s="1" t="s">
        <v>104</v>
      </c>
      <c r="F63" s="1" t="s">
        <v>448</v>
      </c>
      <c r="G63" s="1" t="s">
        <v>74</v>
      </c>
      <c r="H63" s="1" t="s">
        <v>106</v>
      </c>
      <c r="I63" s="1">
        <v>5</v>
      </c>
      <c r="J63" s="1">
        <v>5</v>
      </c>
      <c r="K63" s="1" t="s">
        <v>448</v>
      </c>
      <c r="L63" s="1">
        <v>0</v>
      </c>
      <c r="M63" s="1">
        <v>0</v>
      </c>
      <c r="N63" s="1" t="s">
        <v>448</v>
      </c>
      <c r="O63" s="1">
        <v>20064</v>
      </c>
      <c r="P63" s="1" t="s">
        <v>149</v>
      </c>
      <c r="Q63" s="1" t="s">
        <v>150</v>
      </c>
      <c r="R63">
        <f t="shared" si="0"/>
        <v>0</v>
      </c>
      <c r="S63">
        <f t="shared" si="1"/>
        <v>24</v>
      </c>
    </row>
    <row r="64" spans="1:19" x14ac:dyDescent="0.25">
      <c r="A64" s="1">
        <v>1</v>
      </c>
      <c r="B64" s="5">
        <v>9.0277777777777787E-3</v>
      </c>
      <c r="C64" s="1" t="s">
        <v>108</v>
      </c>
      <c r="D64" s="1" t="s">
        <v>126</v>
      </c>
      <c r="E64" s="1" t="s">
        <v>106</v>
      </c>
      <c r="F64" s="1" t="s">
        <v>448</v>
      </c>
      <c r="G64" s="1" t="s">
        <v>110</v>
      </c>
      <c r="H64" s="1" t="s">
        <v>106</v>
      </c>
      <c r="I64" s="1">
        <v>5</v>
      </c>
      <c r="J64" s="1">
        <v>5</v>
      </c>
      <c r="K64" s="1" t="s">
        <v>448</v>
      </c>
      <c r="L64" s="1">
        <v>0</v>
      </c>
      <c r="M64" s="1">
        <v>0</v>
      </c>
      <c r="N64" s="1" t="s">
        <v>448</v>
      </c>
      <c r="O64" s="1">
        <v>20064</v>
      </c>
      <c r="P64" s="1" t="s">
        <v>149</v>
      </c>
      <c r="Q64" s="1" t="s">
        <v>150</v>
      </c>
      <c r="R64">
        <f t="shared" si="0"/>
        <v>0</v>
      </c>
      <c r="S64">
        <f t="shared" si="1"/>
        <v>13</v>
      </c>
    </row>
    <row r="65" spans="1:19" x14ac:dyDescent="0.25">
      <c r="A65" s="1">
        <v>2</v>
      </c>
      <c r="B65" s="5">
        <v>0.82847222222222217</v>
      </c>
      <c r="C65" s="1" t="s">
        <v>74</v>
      </c>
      <c r="D65" s="1" t="s">
        <v>145</v>
      </c>
      <c r="E65" s="1" t="s">
        <v>139</v>
      </c>
      <c r="F65" s="1" t="s">
        <v>106</v>
      </c>
      <c r="G65" s="1" t="s">
        <v>74</v>
      </c>
      <c r="H65" s="1" t="s">
        <v>106</v>
      </c>
      <c r="I65" s="1">
        <v>5</v>
      </c>
      <c r="J65" s="1">
        <v>5</v>
      </c>
      <c r="K65" s="1" t="s">
        <v>145</v>
      </c>
      <c r="L65" s="1">
        <v>0</v>
      </c>
      <c r="M65" s="1">
        <v>0</v>
      </c>
      <c r="N65" s="1" t="s">
        <v>448</v>
      </c>
      <c r="O65" s="1">
        <v>20064</v>
      </c>
      <c r="P65" s="1" t="s">
        <v>149</v>
      </c>
      <c r="Q65" s="1" t="s">
        <v>150</v>
      </c>
      <c r="R65">
        <f t="shared" si="0"/>
        <v>19</v>
      </c>
      <c r="S65">
        <f t="shared" si="1"/>
        <v>53</v>
      </c>
    </row>
    <row r="66" spans="1:19" x14ac:dyDescent="0.25">
      <c r="A66" s="1">
        <v>2</v>
      </c>
      <c r="B66" s="5">
        <v>0.8125</v>
      </c>
      <c r="C66" s="1" t="s">
        <v>74</v>
      </c>
      <c r="D66" s="1" t="s">
        <v>119</v>
      </c>
      <c r="E66" s="1" t="s">
        <v>105</v>
      </c>
      <c r="F66" s="1" t="s">
        <v>121</v>
      </c>
      <c r="G66" s="1" t="s">
        <v>74</v>
      </c>
      <c r="H66" s="1" t="s">
        <v>106</v>
      </c>
      <c r="I66" s="1">
        <v>5</v>
      </c>
      <c r="J66" s="1">
        <v>5</v>
      </c>
      <c r="K66" s="1" t="s">
        <v>119</v>
      </c>
      <c r="L66" s="1">
        <v>2</v>
      </c>
      <c r="M66" s="1">
        <v>0</v>
      </c>
      <c r="N66" s="1" t="s">
        <v>448</v>
      </c>
      <c r="O66" s="1">
        <v>20064</v>
      </c>
      <c r="P66" s="1" t="s">
        <v>149</v>
      </c>
      <c r="Q66" s="1" t="s">
        <v>150</v>
      </c>
      <c r="R66">
        <f t="shared" ref="R66:R129" si="2">IF(ISNUMBER(B66),INT(B66*24),"")</f>
        <v>19</v>
      </c>
      <c r="S66">
        <f t="shared" ref="S66:S129" si="3">IF(ISNUMBER(B66),ROUND((B66*24-R66)*60,0),"")</f>
        <v>30</v>
      </c>
    </row>
    <row r="67" spans="1:19" x14ac:dyDescent="0.25">
      <c r="A67" s="1">
        <v>2</v>
      </c>
      <c r="B67" s="5">
        <v>0.79652777777777783</v>
      </c>
      <c r="C67" s="1" t="s">
        <v>74</v>
      </c>
      <c r="D67" s="1" t="s">
        <v>132</v>
      </c>
      <c r="E67" s="1" t="s">
        <v>115</v>
      </c>
      <c r="F67" s="1" t="s">
        <v>121</v>
      </c>
      <c r="G67" s="1" t="s">
        <v>74</v>
      </c>
      <c r="H67" s="1" t="s">
        <v>106</v>
      </c>
      <c r="I67" s="1">
        <v>5</v>
      </c>
      <c r="J67" s="1">
        <v>5</v>
      </c>
      <c r="K67" s="1" t="s">
        <v>132</v>
      </c>
      <c r="L67" s="1">
        <v>1</v>
      </c>
      <c r="M67" s="1">
        <v>0</v>
      </c>
      <c r="N67" s="1" t="s">
        <v>448</v>
      </c>
      <c r="O67" s="1">
        <v>20064</v>
      </c>
      <c r="P67" s="1" t="s">
        <v>149</v>
      </c>
      <c r="Q67" s="1" t="s">
        <v>150</v>
      </c>
      <c r="R67">
        <f t="shared" si="2"/>
        <v>19</v>
      </c>
      <c r="S67">
        <f t="shared" si="3"/>
        <v>7</v>
      </c>
    </row>
    <row r="68" spans="1:19" x14ac:dyDescent="0.25">
      <c r="A68" s="1">
        <v>2</v>
      </c>
      <c r="B68" s="5">
        <v>0.77083333333333337</v>
      </c>
      <c r="C68" s="1" t="s">
        <v>108</v>
      </c>
      <c r="D68" s="1" t="s">
        <v>123</v>
      </c>
      <c r="E68" s="1" t="s">
        <v>143</v>
      </c>
      <c r="F68" s="1" t="s">
        <v>448</v>
      </c>
      <c r="G68" s="1" t="s">
        <v>74</v>
      </c>
      <c r="H68" s="1" t="s">
        <v>133</v>
      </c>
      <c r="I68" s="1">
        <v>5</v>
      </c>
      <c r="J68" s="1">
        <v>5</v>
      </c>
      <c r="K68" s="1" t="s">
        <v>448</v>
      </c>
      <c r="L68" s="1">
        <v>1</v>
      </c>
      <c r="M68" s="1">
        <v>0</v>
      </c>
      <c r="N68" s="1" t="s">
        <v>448</v>
      </c>
      <c r="O68" s="1">
        <v>20064</v>
      </c>
      <c r="P68" s="1" t="s">
        <v>149</v>
      </c>
      <c r="Q68" s="1" t="s">
        <v>150</v>
      </c>
      <c r="R68">
        <f t="shared" si="2"/>
        <v>18</v>
      </c>
      <c r="S68">
        <f t="shared" si="3"/>
        <v>30</v>
      </c>
    </row>
    <row r="69" spans="1:19" x14ac:dyDescent="0.25">
      <c r="A69" s="1">
        <v>2</v>
      </c>
      <c r="B69" s="5">
        <v>0.7583333333333333</v>
      </c>
      <c r="C69" s="1" t="s">
        <v>108</v>
      </c>
      <c r="D69" s="1" t="s">
        <v>120</v>
      </c>
      <c r="E69" s="1" t="s">
        <v>113</v>
      </c>
      <c r="F69" s="1" t="s">
        <v>448</v>
      </c>
      <c r="G69" s="1" t="s">
        <v>107</v>
      </c>
      <c r="H69" s="1" t="s">
        <v>106</v>
      </c>
      <c r="I69" s="1">
        <v>5</v>
      </c>
      <c r="J69" s="1">
        <v>5</v>
      </c>
      <c r="K69" s="1" t="s">
        <v>448</v>
      </c>
      <c r="L69" s="1">
        <v>0</v>
      </c>
      <c r="M69" s="1">
        <v>0</v>
      </c>
      <c r="N69" s="1" t="s">
        <v>448</v>
      </c>
      <c r="O69" s="1">
        <v>20064</v>
      </c>
      <c r="P69" s="1" t="s">
        <v>149</v>
      </c>
      <c r="Q69" s="1" t="s">
        <v>150</v>
      </c>
      <c r="R69">
        <f t="shared" si="2"/>
        <v>18</v>
      </c>
      <c r="S69">
        <f t="shared" si="3"/>
        <v>12</v>
      </c>
    </row>
    <row r="70" spans="1:19" x14ac:dyDescent="0.25">
      <c r="A70" s="1">
        <v>2</v>
      </c>
      <c r="B70" s="5">
        <v>0.73541666666666661</v>
      </c>
      <c r="C70" s="1" t="s">
        <v>74</v>
      </c>
      <c r="D70" s="1" t="s">
        <v>114</v>
      </c>
      <c r="E70" s="1" t="s">
        <v>122</v>
      </c>
      <c r="F70" s="1" t="s">
        <v>106</v>
      </c>
      <c r="G70" s="1" t="s">
        <v>74</v>
      </c>
      <c r="H70" s="1" t="s">
        <v>106</v>
      </c>
      <c r="I70" s="1">
        <v>5</v>
      </c>
      <c r="J70" s="1">
        <v>5</v>
      </c>
      <c r="K70" s="1" t="s">
        <v>114</v>
      </c>
      <c r="L70" s="1">
        <v>1</v>
      </c>
      <c r="M70" s="1">
        <v>0</v>
      </c>
      <c r="N70" s="1" t="s">
        <v>448</v>
      </c>
      <c r="O70" s="1">
        <v>20064</v>
      </c>
      <c r="P70" s="1" t="s">
        <v>149</v>
      </c>
      <c r="Q70" s="1" t="s">
        <v>150</v>
      </c>
      <c r="R70">
        <f t="shared" si="2"/>
        <v>17</v>
      </c>
      <c r="S70">
        <f t="shared" si="3"/>
        <v>39</v>
      </c>
    </row>
    <row r="71" spans="1:19" x14ac:dyDescent="0.25">
      <c r="A71" s="1">
        <v>2</v>
      </c>
      <c r="B71" s="5">
        <v>0.72083333333333333</v>
      </c>
      <c r="C71" s="1" t="s">
        <v>74</v>
      </c>
      <c r="D71" s="1" t="s">
        <v>117</v>
      </c>
      <c r="E71" s="1" t="s">
        <v>115</v>
      </c>
      <c r="F71" s="1" t="s">
        <v>121</v>
      </c>
      <c r="G71" s="1" t="s">
        <v>110</v>
      </c>
      <c r="H71" s="1" t="s">
        <v>106</v>
      </c>
      <c r="I71" s="1">
        <v>5</v>
      </c>
      <c r="J71" s="1">
        <v>5</v>
      </c>
      <c r="K71" s="1" t="s">
        <v>117</v>
      </c>
      <c r="L71" s="1">
        <v>0</v>
      </c>
      <c r="M71" s="1">
        <v>0</v>
      </c>
      <c r="N71" s="1" t="s">
        <v>448</v>
      </c>
      <c r="O71" s="1">
        <v>20064</v>
      </c>
      <c r="P71" s="1" t="s">
        <v>149</v>
      </c>
      <c r="Q71" s="1" t="s">
        <v>150</v>
      </c>
      <c r="R71">
        <f t="shared" si="2"/>
        <v>17</v>
      </c>
      <c r="S71">
        <f t="shared" si="3"/>
        <v>18</v>
      </c>
    </row>
    <row r="72" spans="1:19" x14ac:dyDescent="0.25">
      <c r="A72" s="1">
        <v>2</v>
      </c>
      <c r="B72" s="5">
        <v>0.71180555555555547</v>
      </c>
      <c r="C72" s="1" t="s">
        <v>134</v>
      </c>
      <c r="D72" s="1" t="s">
        <v>135</v>
      </c>
      <c r="E72" s="1" t="s">
        <v>448</v>
      </c>
      <c r="F72" s="1" t="s">
        <v>448</v>
      </c>
      <c r="G72" s="1" t="s">
        <v>448</v>
      </c>
      <c r="H72" s="1" t="s">
        <v>106</v>
      </c>
      <c r="I72" s="1">
        <v>5</v>
      </c>
      <c r="J72" s="1">
        <v>5</v>
      </c>
      <c r="K72" s="1" t="s">
        <v>448</v>
      </c>
      <c r="L72" s="1">
        <v>3</v>
      </c>
      <c r="M72" s="1">
        <v>0</v>
      </c>
      <c r="N72" s="1" t="s">
        <v>448</v>
      </c>
      <c r="O72" s="1">
        <v>20064</v>
      </c>
      <c r="P72" s="1" t="s">
        <v>149</v>
      </c>
      <c r="Q72" s="1" t="s">
        <v>150</v>
      </c>
      <c r="R72">
        <f t="shared" si="2"/>
        <v>17</v>
      </c>
      <c r="S72">
        <f t="shared" si="3"/>
        <v>5</v>
      </c>
    </row>
    <row r="73" spans="1:19" x14ac:dyDescent="0.25">
      <c r="A73" s="1">
        <v>2</v>
      </c>
      <c r="B73" s="5">
        <v>0.68680555555555556</v>
      </c>
      <c r="C73" s="1" t="s">
        <v>176</v>
      </c>
      <c r="D73" s="1" t="s">
        <v>14</v>
      </c>
      <c r="E73" s="1" t="s">
        <v>448</v>
      </c>
      <c r="F73" s="1" t="s">
        <v>448</v>
      </c>
      <c r="G73" s="1" t="s">
        <v>448</v>
      </c>
      <c r="H73" s="1" t="s">
        <v>448</v>
      </c>
      <c r="I73" s="1">
        <v>5</v>
      </c>
      <c r="J73" s="1">
        <v>5</v>
      </c>
      <c r="K73" s="1" t="s">
        <v>448</v>
      </c>
      <c r="L73" s="1">
        <v>0</v>
      </c>
      <c r="M73" s="1">
        <v>0</v>
      </c>
      <c r="N73" s="1" t="s">
        <v>448</v>
      </c>
      <c r="O73" s="1">
        <v>20064</v>
      </c>
      <c r="P73" s="1" t="s">
        <v>149</v>
      </c>
      <c r="Q73" s="1" t="s">
        <v>150</v>
      </c>
      <c r="R73">
        <f t="shared" si="2"/>
        <v>16</v>
      </c>
      <c r="S73">
        <f t="shared" si="3"/>
        <v>29</v>
      </c>
    </row>
    <row r="74" spans="1:19" x14ac:dyDescent="0.25">
      <c r="A74" s="1">
        <v>2</v>
      </c>
      <c r="B74" s="5">
        <v>0.68333333333333324</v>
      </c>
      <c r="C74" s="1" t="s">
        <v>108</v>
      </c>
      <c r="D74" s="1" t="s">
        <v>145</v>
      </c>
      <c r="E74" s="1" t="s">
        <v>106</v>
      </c>
      <c r="F74" s="1" t="s">
        <v>448</v>
      </c>
      <c r="G74" s="1" t="s">
        <v>110</v>
      </c>
      <c r="H74" s="1" t="s">
        <v>141</v>
      </c>
      <c r="I74" s="1">
        <v>5</v>
      </c>
      <c r="J74" s="1">
        <v>5</v>
      </c>
      <c r="K74" s="1" t="s">
        <v>448</v>
      </c>
      <c r="L74" s="1">
        <v>0</v>
      </c>
      <c r="M74" s="1">
        <v>0</v>
      </c>
      <c r="N74" s="1" t="s">
        <v>448</v>
      </c>
      <c r="O74" s="1">
        <v>20064</v>
      </c>
      <c r="P74" s="1" t="s">
        <v>149</v>
      </c>
      <c r="Q74" s="1" t="s">
        <v>150</v>
      </c>
      <c r="R74">
        <f t="shared" si="2"/>
        <v>16</v>
      </c>
      <c r="S74">
        <f t="shared" si="3"/>
        <v>24</v>
      </c>
    </row>
    <row r="75" spans="1:19" x14ac:dyDescent="0.25">
      <c r="A75" s="1">
        <v>2</v>
      </c>
      <c r="B75" s="5">
        <v>0.67013888888888884</v>
      </c>
      <c r="C75" s="1" t="s">
        <v>74</v>
      </c>
      <c r="D75" s="1" t="s">
        <v>104</v>
      </c>
      <c r="E75" s="1" t="s">
        <v>144</v>
      </c>
      <c r="F75" s="1" t="s">
        <v>106</v>
      </c>
      <c r="G75" s="1" t="s">
        <v>107</v>
      </c>
      <c r="H75" s="1" t="s">
        <v>106</v>
      </c>
      <c r="I75" s="1">
        <v>5</v>
      </c>
      <c r="J75" s="1">
        <v>5</v>
      </c>
      <c r="K75" s="1" t="s">
        <v>104</v>
      </c>
      <c r="L75" s="1">
        <v>1</v>
      </c>
      <c r="M75" s="1">
        <v>0</v>
      </c>
      <c r="N75" s="1" t="s">
        <v>448</v>
      </c>
      <c r="O75" s="1">
        <v>20064</v>
      </c>
      <c r="P75" s="1" t="s">
        <v>149</v>
      </c>
      <c r="Q75" s="1" t="s">
        <v>150</v>
      </c>
      <c r="R75">
        <f t="shared" si="2"/>
        <v>16</v>
      </c>
      <c r="S75">
        <f t="shared" si="3"/>
        <v>5</v>
      </c>
    </row>
    <row r="76" spans="1:19" x14ac:dyDescent="0.25">
      <c r="A76" s="1">
        <v>2</v>
      </c>
      <c r="B76" s="5">
        <v>0.65138888888888891</v>
      </c>
      <c r="C76" s="1" t="s">
        <v>74</v>
      </c>
      <c r="D76" s="1" t="s">
        <v>140</v>
      </c>
      <c r="E76" s="1" t="s">
        <v>120</v>
      </c>
      <c r="F76" s="1" t="s">
        <v>121</v>
      </c>
      <c r="G76" s="1" t="s">
        <v>110</v>
      </c>
      <c r="H76" s="1" t="s">
        <v>106</v>
      </c>
      <c r="I76" s="1">
        <v>5</v>
      </c>
      <c r="J76" s="1">
        <v>5</v>
      </c>
      <c r="K76" s="1" t="s">
        <v>140</v>
      </c>
      <c r="L76" s="1">
        <v>1</v>
      </c>
      <c r="M76" s="1">
        <v>0</v>
      </c>
      <c r="N76" s="1" t="s">
        <v>448</v>
      </c>
      <c r="O76" s="1">
        <v>20064</v>
      </c>
      <c r="P76" s="1" t="s">
        <v>149</v>
      </c>
      <c r="Q76" s="1" t="s">
        <v>150</v>
      </c>
      <c r="R76">
        <f t="shared" si="2"/>
        <v>15</v>
      </c>
      <c r="S76">
        <f t="shared" si="3"/>
        <v>38</v>
      </c>
    </row>
    <row r="77" spans="1:19" x14ac:dyDescent="0.25">
      <c r="A77" s="1">
        <v>2</v>
      </c>
      <c r="B77" s="5">
        <v>0.63124999999999998</v>
      </c>
      <c r="C77" s="1" t="s">
        <v>74</v>
      </c>
      <c r="D77" s="1" t="s">
        <v>123</v>
      </c>
      <c r="E77" s="1" t="s">
        <v>120</v>
      </c>
      <c r="F77" s="1" t="s">
        <v>106</v>
      </c>
      <c r="G77" s="1" t="s">
        <v>110</v>
      </c>
      <c r="H77" s="1" t="s">
        <v>106</v>
      </c>
      <c r="I77" s="1">
        <v>5</v>
      </c>
      <c r="J77" s="1">
        <v>5</v>
      </c>
      <c r="K77" s="1" t="s">
        <v>123</v>
      </c>
      <c r="L77" s="1">
        <v>1</v>
      </c>
      <c r="M77" s="1">
        <v>0</v>
      </c>
      <c r="N77" s="1" t="s">
        <v>448</v>
      </c>
      <c r="O77" s="1">
        <v>20064</v>
      </c>
      <c r="P77" s="1" t="s">
        <v>149</v>
      </c>
      <c r="Q77" s="1" t="s">
        <v>150</v>
      </c>
      <c r="R77">
        <f t="shared" si="2"/>
        <v>15</v>
      </c>
      <c r="S77">
        <f t="shared" si="3"/>
        <v>9</v>
      </c>
    </row>
    <row r="78" spans="1:19" x14ac:dyDescent="0.25">
      <c r="A78" s="1">
        <v>2</v>
      </c>
      <c r="B78" s="5">
        <v>0.6166666666666667</v>
      </c>
      <c r="C78" s="1" t="s">
        <v>176</v>
      </c>
      <c r="D78" s="1" t="s">
        <v>14</v>
      </c>
      <c r="E78" s="1" t="s">
        <v>448</v>
      </c>
      <c r="F78" s="1" t="s">
        <v>448</v>
      </c>
      <c r="G78" s="1" t="s">
        <v>448</v>
      </c>
      <c r="H78" s="1" t="s">
        <v>448</v>
      </c>
      <c r="I78" s="1">
        <v>5</v>
      </c>
      <c r="J78" s="1">
        <v>4</v>
      </c>
      <c r="K78" s="1" t="s">
        <v>448</v>
      </c>
      <c r="L78" s="1">
        <v>2</v>
      </c>
      <c r="M78" s="1">
        <v>1</v>
      </c>
      <c r="N78" s="1" t="s">
        <v>448</v>
      </c>
      <c r="O78" s="1">
        <v>20064</v>
      </c>
      <c r="P78" s="1" t="s">
        <v>149</v>
      </c>
      <c r="Q78" s="1" t="s">
        <v>150</v>
      </c>
      <c r="R78">
        <f t="shared" si="2"/>
        <v>14</v>
      </c>
      <c r="S78">
        <f t="shared" si="3"/>
        <v>48</v>
      </c>
    </row>
    <row r="79" spans="1:19" x14ac:dyDescent="0.25">
      <c r="A79" s="1">
        <v>2</v>
      </c>
      <c r="B79" s="5">
        <v>0.61111111111111105</v>
      </c>
      <c r="C79" s="1" t="s">
        <v>108</v>
      </c>
      <c r="D79" s="1" t="s">
        <v>124</v>
      </c>
      <c r="E79" s="1" t="s">
        <v>106</v>
      </c>
      <c r="F79" s="1" t="s">
        <v>448</v>
      </c>
      <c r="G79" s="1" t="s">
        <v>107</v>
      </c>
      <c r="H79" s="1" t="s">
        <v>106</v>
      </c>
      <c r="I79" s="1">
        <v>5</v>
      </c>
      <c r="J79" s="1">
        <v>5</v>
      </c>
      <c r="K79" s="1" t="s">
        <v>448</v>
      </c>
      <c r="L79" s="1">
        <v>0</v>
      </c>
      <c r="M79" s="1">
        <v>0</v>
      </c>
      <c r="N79" s="1" t="s">
        <v>448</v>
      </c>
      <c r="O79" s="1">
        <v>20064</v>
      </c>
      <c r="P79" s="1" t="s">
        <v>149</v>
      </c>
      <c r="Q79" s="1" t="s">
        <v>150</v>
      </c>
      <c r="R79">
        <f t="shared" si="2"/>
        <v>14</v>
      </c>
      <c r="S79">
        <f t="shared" si="3"/>
        <v>40</v>
      </c>
    </row>
    <row r="80" spans="1:19" x14ac:dyDescent="0.25">
      <c r="A80" s="1">
        <v>2</v>
      </c>
      <c r="B80" s="5">
        <v>0.60347222222222219</v>
      </c>
      <c r="C80" s="1" t="s">
        <v>74</v>
      </c>
      <c r="D80" s="1" t="s">
        <v>119</v>
      </c>
      <c r="E80" s="1" t="s">
        <v>124</v>
      </c>
      <c r="F80" s="1" t="s">
        <v>106</v>
      </c>
      <c r="G80" s="1" t="s">
        <v>74</v>
      </c>
      <c r="H80" s="1" t="s">
        <v>106</v>
      </c>
      <c r="I80" s="1">
        <v>5</v>
      </c>
      <c r="J80" s="1">
        <v>5</v>
      </c>
      <c r="K80" s="1" t="s">
        <v>119</v>
      </c>
      <c r="L80" s="1">
        <v>0</v>
      </c>
      <c r="M80" s="1">
        <v>0</v>
      </c>
      <c r="N80" s="1" t="s">
        <v>448</v>
      </c>
      <c r="O80" s="1">
        <v>20064</v>
      </c>
      <c r="P80" s="1" t="s">
        <v>149</v>
      </c>
      <c r="Q80" s="1" t="s">
        <v>150</v>
      </c>
      <c r="R80">
        <f t="shared" si="2"/>
        <v>14</v>
      </c>
      <c r="S80">
        <f t="shared" si="3"/>
        <v>29</v>
      </c>
    </row>
    <row r="81" spans="1:19" x14ac:dyDescent="0.25">
      <c r="A81" s="1">
        <v>2</v>
      </c>
      <c r="B81" s="5">
        <v>0.58611111111111114</v>
      </c>
      <c r="C81" s="1" t="s">
        <v>108</v>
      </c>
      <c r="D81" s="1" t="s">
        <v>114</v>
      </c>
      <c r="E81" s="1" t="s">
        <v>115</v>
      </c>
      <c r="F81" s="1" t="s">
        <v>448</v>
      </c>
      <c r="G81" s="1" t="s">
        <v>74</v>
      </c>
      <c r="H81" s="1" t="s">
        <v>106</v>
      </c>
      <c r="I81" s="1">
        <v>5</v>
      </c>
      <c r="J81" s="1">
        <v>5</v>
      </c>
      <c r="K81" s="1" t="s">
        <v>448</v>
      </c>
      <c r="L81" s="1">
        <v>0</v>
      </c>
      <c r="M81" s="1">
        <v>0</v>
      </c>
      <c r="N81" s="1" t="s">
        <v>448</v>
      </c>
      <c r="O81" s="1">
        <v>20064</v>
      </c>
      <c r="P81" s="1" t="s">
        <v>149</v>
      </c>
      <c r="Q81" s="1" t="s">
        <v>150</v>
      </c>
      <c r="R81">
        <f t="shared" si="2"/>
        <v>14</v>
      </c>
      <c r="S81">
        <f t="shared" si="3"/>
        <v>4</v>
      </c>
    </row>
    <row r="82" spans="1:19" x14ac:dyDescent="0.25">
      <c r="A82" s="1">
        <v>2</v>
      </c>
      <c r="B82" s="5">
        <v>0.56944444444444442</v>
      </c>
      <c r="C82" s="1" t="s">
        <v>108</v>
      </c>
      <c r="D82" s="1" t="s">
        <v>146</v>
      </c>
      <c r="E82" s="1" t="s">
        <v>120</v>
      </c>
      <c r="F82" s="1" t="s">
        <v>448</v>
      </c>
      <c r="G82" s="1" t="s">
        <v>74</v>
      </c>
      <c r="H82" s="1" t="s">
        <v>106</v>
      </c>
      <c r="I82" s="1">
        <v>5</v>
      </c>
      <c r="J82" s="1">
        <v>5</v>
      </c>
      <c r="K82" s="1" t="s">
        <v>448</v>
      </c>
      <c r="L82" s="1">
        <v>0</v>
      </c>
      <c r="M82" s="1">
        <v>0</v>
      </c>
      <c r="N82" s="1" t="s">
        <v>448</v>
      </c>
      <c r="O82" s="1">
        <v>20064</v>
      </c>
      <c r="P82" s="1" t="s">
        <v>149</v>
      </c>
      <c r="Q82" s="1" t="s">
        <v>150</v>
      </c>
      <c r="R82">
        <f t="shared" si="2"/>
        <v>13</v>
      </c>
      <c r="S82">
        <f t="shared" si="3"/>
        <v>40</v>
      </c>
    </row>
    <row r="83" spans="1:19" x14ac:dyDescent="0.25">
      <c r="A83" s="1">
        <v>2</v>
      </c>
      <c r="B83" s="5">
        <v>0.5625</v>
      </c>
      <c r="C83" s="1" t="s">
        <v>108</v>
      </c>
      <c r="D83" s="1" t="s">
        <v>146</v>
      </c>
      <c r="E83" s="1" t="s">
        <v>126</v>
      </c>
      <c r="F83" s="1" t="s">
        <v>448</v>
      </c>
      <c r="G83" s="1" t="s">
        <v>74</v>
      </c>
      <c r="H83" s="1" t="s">
        <v>106</v>
      </c>
      <c r="I83" s="1">
        <v>5</v>
      </c>
      <c r="J83" s="1">
        <v>5</v>
      </c>
      <c r="K83" s="1" t="s">
        <v>448</v>
      </c>
      <c r="L83" s="1">
        <v>0</v>
      </c>
      <c r="M83" s="1">
        <v>0</v>
      </c>
      <c r="N83" s="1" t="s">
        <v>448</v>
      </c>
      <c r="O83" s="1">
        <v>20064</v>
      </c>
      <c r="P83" s="1" t="s">
        <v>149</v>
      </c>
      <c r="Q83" s="1" t="s">
        <v>150</v>
      </c>
      <c r="R83">
        <f t="shared" si="2"/>
        <v>13</v>
      </c>
      <c r="S83">
        <f t="shared" si="3"/>
        <v>30</v>
      </c>
    </row>
    <row r="84" spans="1:19" x14ac:dyDescent="0.25">
      <c r="A84" s="1">
        <v>2</v>
      </c>
      <c r="B84" s="5">
        <v>0.55347222222222225</v>
      </c>
      <c r="C84" s="1" t="s">
        <v>108</v>
      </c>
      <c r="D84" s="1" t="s">
        <v>126</v>
      </c>
      <c r="E84" s="1" t="s">
        <v>113</v>
      </c>
      <c r="F84" s="1" t="s">
        <v>448</v>
      </c>
      <c r="G84" s="1" t="s">
        <v>107</v>
      </c>
      <c r="H84" s="1" t="s">
        <v>145</v>
      </c>
      <c r="I84" s="1">
        <v>5</v>
      </c>
      <c r="J84" s="1">
        <v>5</v>
      </c>
      <c r="K84" s="1" t="s">
        <v>448</v>
      </c>
      <c r="L84" s="1">
        <v>0</v>
      </c>
      <c r="M84" s="1">
        <v>0</v>
      </c>
      <c r="N84" s="1" t="s">
        <v>448</v>
      </c>
      <c r="O84" s="1">
        <v>20064</v>
      </c>
      <c r="P84" s="1" t="s">
        <v>149</v>
      </c>
      <c r="Q84" s="1" t="s">
        <v>150</v>
      </c>
      <c r="R84">
        <f t="shared" si="2"/>
        <v>13</v>
      </c>
      <c r="S84">
        <f t="shared" si="3"/>
        <v>17</v>
      </c>
    </row>
    <row r="85" spans="1:19" x14ac:dyDescent="0.25">
      <c r="A85" s="1">
        <v>2</v>
      </c>
      <c r="B85" s="5">
        <v>0.54791666666666672</v>
      </c>
      <c r="C85" s="1" t="s">
        <v>176</v>
      </c>
      <c r="D85" s="1" t="s">
        <v>15</v>
      </c>
      <c r="E85" s="1" t="s">
        <v>448</v>
      </c>
      <c r="F85" s="1" t="s">
        <v>448</v>
      </c>
      <c r="G85" s="1" t="s">
        <v>448</v>
      </c>
      <c r="H85" s="1" t="s">
        <v>448</v>
      </c>
      <c r="I85" s="1">
        <v>5</v>
      </c>
      <c r="J85" s="1">
        <v>5</v>
      </c>
      <c r="K85" s="1" t="s">
        <v>448</v>
      </c>
      <c r="L85" s="1">
        <v>0</v>
      </c>
      <c r="M85" s="1">
        <v>0</v>
      </c>
      <c r="N85" s="1" t="s">
        <v>448</v>
      </c>
      <c r="O85" s="1">
        <v>20064</v>
      </c>
      <c r="P85" s="1" t="s">
        <v>149</v>
      </c>
      <c r="Q85" s="1" t="s">
        <v>150</v>
      </c>
      <c r="R85">
        <f t="shared" si="2"/>
        <v>13</v>
      </c>
      <c r="S85">
        <f t="shared" si="3"/>
        <v>9</v>
      </c>
    </row>
    <row r="86" spans="1:19" x14ac:dyDescent="0.25">
      <c r="A86" s="1">
        <v>2</v>
      </c>
      <c r="B86" s="5">
        <v>0.53194444444444444</v>
      </c>
      <c r="C86" s="1" t="s">
        <v>74</v>
      </c>
      <c r="D86" s="1" t="s">
        <v>133</v>
      </c>
      <c r="E86" s="1" t="s">
        <v>141</v>
      </c>
      <c r="F86" s="1" t="s">
        <v>106</v>
      </c>
      <c r="G86" s="1" t="s">
        <v>74</v>
      </c>
      <c r="H86" s="1" t="s">
        <v>106</v>
      </c>
      <c r="I86" s="1">
        <v>5</v>
      </c>
      <c r="J86" s="1">
        <v>5</v>
      </c>
      <c r="K86" s="1" t="s">
        <v>133</v>
      </c>
      <c r="L86" s="1">
        <v>1</v>
      </c>
      <c r="M86" s="1">
        <v>0</v>
      </c>
      <c r="N86" s="1" t="s">
        <v>448</v>
      </c>
      <c r="O86" s="1">
        <v>20064</v>
      </c>
      <c r="P86" s="1" t="s">
        <v>149</v>
      </c>
      <c r="Q86" s="1" t="s">
        <v>150</v>
      </c>
      <c r="R86">
        <f t="shared" si="2"/>
        <v>12</v>
      </c>
      <c r="S86">
        <f t="shared" si="3"/>
        <v>46</v>
      </c>
    </row>
    <row r="87" spans="1:19" x14ac:dyDescent="0.25">
      <c r="A87" s="1">
        <v>2</v>
      </c>
      <c r="B87" s="5">
        <v>0.52638888888888902</v>
      </c>
      <c r="C87" s="1" t="s">
        <v>176</v>
      </c>
      <c r="D87" s="1" t="s">
        <v>14</v>
      </c>
      <c r="E87" s="1" t="s">
        <v>448</v>
      </c>
      <c r="F87" s="1" t="s">
        <v>448</v>
      </c>
      <c r="G87" s="1" t="s">
        <v>448</v>
      </c>
      <c r="H87" s="1" t="s">
        <v>448</v>
      </c>
      <c r="I87" s="1">
        <v>5</v>
      </c>
      <c r="J87" s="1">
        <v>5</v>
      </c>
      <c r="K87" s="1" t="s">
        <v>448</v>
      </c>
      <c r="L87" s="1">
        <v>0</v>
      </c>
      <c r="M87" s="1">
        <v>0</v>
      </c>
      <c r="N87" s="1" t="s">
        <v>448</v>
      </c>
      <c r="O87" s="1">
        <v>20064</v>
      </c>
      <c r="P87" s="1" t="s">
        <v>149</v>
      </c>
      <c r="Q87" s="1" t="s">
        <v>150</v>
      </c>
      <c r="R87">
        <f t="shared" si="2"/>
        <v>12</v>
      </c>
      <c r="S87">
        <f t="shared" si="3"/>
        <v>38</v>
      </c>
    </row>
    <row r="88" spans="1:19" x14ac:dyDescent="0.25">
      <c r="A88" s="1">
        <v>2</v>
      </c>
      <c r="B88" s="5">
        <v>0.51666666666666672</v>
      </c>
      <c r="C88" s="1" t="s">
        <v>108</v>
      </c>
      <c r="D88" s="1" t="s">
        <v>128</v>
      </c>
      <c r="E88" s="1" t="s">
        <v>136</v>
      </c>
      <c r="F88" s="1" t="s">
        <v>448</v>
      </c>
      <c r="G88" s="1" t="s">
        <v>74</v>
      </c>
      <c r="H88" s="1" t="s">
        <v>147</v>
      </c>
      <c r="I88" s="1">
        <v>5</v>
      </c>
      <c r="J88" s="1">
        <v>5</v>
      </c>
      <c r="K88" s="1" t="s">
        <v>448</v>
      </c>
      <c r="L88" s="1">
        <v>1</v>
      </c>
      <c r="M88" s="1">
        <v>0</v>
      </c>
      <c r="N88" s="1" t="s">
        <v>448</v>
      </c>
      <c r="O88" s="1">
        <v>20064</v>
      </c>
      <c r="P88" s="1" t="s">
        <v>149</v>
      </c>
      <c r="Q88" s="1" t="s">
        <v>150</v>
      </c>
      <c r="R88">
        <f t="shared" si="2"/>
        <v>12</v>
      </c>
      <c r="S88">
        <f t="shared" si="3"/>
        <v>24</v>
      </c>
    </row>
    <row r="89" spans="1:19" x14ac:dyDescent="0.25">
      <c r="A89" s="1">
        <v>2</v>
      </c>
      <c r="B89" s="5">
        <v>0.49861111111111112</v>
      </c>
      <c r="C89" s="1" t="s">
        <v>108</v>
      </c>
      <c r="D89" s="1" t="s">
        <v>125</v>
      </c>
      <c r="E89" s="1" t="s">
        <v>106</v>
      </c>
      <c r="F89" s="1" t="s">
        <v>448</v>
      </c>
      <c r="G89" s="1" t="s">
        <v>110</v>
      </c>
      <c r="H89" s="1" t="s">
        <v>106</v>
      </c>
      <c r="I89" s="1">
        <v>5</v>
      </c>
      <c r="J89" s="1">
        <v>5</v>
      </c>
      <c r="K89" s="1" t="s">
        <v>448</v>
      </c>
      <c r="L89" s="1">
        <v>0</v>
      </c>
      <c r="M89" s="1">
        <v>0</v>
      </c>
      <c r="N89" s="1" t="s">
        <v>448</v>
      </c>
      <c r="O89" s="1">
        <v>20064</v>
      </c>
      <c r="P89" s="1" t="s">
        <v>149</v>
      </c>
      <c r="Q89" s="1" t="s">
        <v>150</v>
      </c>
      <c r="R89">
        <f t="shared" si="2"/>
        <v>11</v>
      </c>
      <c r="S89">
        <f t="shared" si="3"/>
        <v>58</v>
      </c>
    </row>
    <row r="90" spans="1:19" x14ac:dyDescent="0.25">
      <c r="A90" s="1">
        <v>2</v>
      </c>
      <c r="B90" s="5">
        <v>0.49236111111111108</v>
      </c>
      <c r="C90" s="1" t="s">
        <v>74</v>
      </c>
      <c r="D90" s="1" t="s">
        <v>128</v>
      </c>
      <c r="E90" s="1" t="s">
        <v>124</v>
      </c>
      <c r="F90" s="1" t="s">
        <v>106</v>
      </c>
      <c r="G90" s="1" t="s">
        <v>110</v>
      </c>
      <c r="H90" s="1" t="s">
        <v>106</v>
      </c>
      <c r="I90" s="1">
        <v>5</v>
      </c>
      <c r="J90" s="1">
        <v>5</v>
      </c>
      <c r="K90" s="1" t="s">
        <v>128</v>
      </c>
      <c r="L90" s="1">
        <v>1</v>
      </c>
      <c r="M90" s="1">
        <v>0</v>
      </c>
      <c r="N90" s="1" t="s">
        <v>448</v>
      </c>
      <c r="O90" s="1">
        <v>20064</v>
      </c>
      <c r="P90" s="1" t="s">
        <v>149</v>
      </c>
      <c r="Q90" s="1" t="s">
        <v>150</v>
      </c>
      <c r="R90">
        <f t="shared" si="2"/>
        <v>11</v>
      </c>
      <c r="S90">
        <f t="shared" si="3"/>
        <v>49</v>
      </c>
    </row>
    <row r="91" spans="1:19" x14ac:dyDescent="0.25">
      <c r="A91" s="1">
        <v>2</v>
      </c>
      <c r="B91" s="5">
        <v>0.48819444444444449</v>
      </c>
      <c r="C91" s="1" t="s">
        <v>176</v>
      </c>
      <c r="D91" s="1" t="s">
        <v>14</v>
      </c>
      <c r="E91" s="1" t="s">
        <v>448</v>
      </c>
      <c r="F91" s="1" t="s">
        <v>448</v>
      </c>
      <c r="G91" s="1" t="s">
        <v>448</v>
      </c>
      <c r="H91" s="1" t="s">
        <v>448</v>
      </c>
      <c r="I91" s="1">
        <v>5</v>
      </c>
      <c r="J91" s="1">
        <v>4</v>
      </c>
      <c r="K91" s="1" t="s">
        <v>448</v>
      </c>
      <c r="L91" s="1">
        <v>0</v>
      </c>
      <c r="M91" s="1">
        <v>0</v>
      </c>
      <c r="N91" s="1" t="s">
        <v>448</v>
      </c>
      <c r="O91" s="1">
        <v>20064</v>
      </c>
      <c r="P91" s="1" t="s">
        <v>149</v>
      </c>
      <c r="Q91" s="1" t="s">
        <v>150</v>
      </c>
      <c r="R91">
        <f t="shared" si="2"/>
        <v>11</v>
      </c>
      <c r="S91">
        <f t="shared" si="3"/>
        <v>43</v>
      </c>
    </row>
    <row r="92" spans="1:19" x14ac:dyDescent="0.25">
      <c r="A92" s="1">
        <v>2</v>
      </c>
      <c r="B92" s="5">
        <v>0.47916666666666669</v>
      </c>
      <c r="C92" s="1" t="s">
        <v>74</v>
      </c>
      <c r="D92" s="1" t="s">
        <v>113</v>
      </c>
      <c r="E92" s="1" t="s">
        <v>120</v>
      </c>
      <c r="F92" s="1" t="s">
        <v>121</v>
      </c>
      <c r="G92" s="1" t="s">
        <v>74</v>
      </c>
      <c r="H92" s="1" t="s">
        <v>106</v>
      </c>
      <c r="I92" s="1">
        <v>5</v>
      </c>
      <c r="J92" s="1">
        <v>4</v>
      </c>
      <c r="K92" s="1" t="s">
        <v>113</v>
      </c>
      <c r="L92" s="1">
        <v>0</v>
      </c>
      <c r="M92" s="1">
        <v>0</v>
      </c>
      <c r="N92" s="1" t="s">
        <v>448</v>
      </c>
      <c r="O92" s="1">
        <v>20064</v>
      </c>
      <c r="P92" s="1" t="s">
        <v>149</v>
      </c>
      <c r="Q92" s="1" t="s">
        <v>150</v>
      </c>
      <c r="R92">
        <f t="shared" si="2"/>
        <v>11</v>
      </c>
      <c r="S92">
        <f t="shared" si="3"/>
        <v>30</v>
      </c>
    </row>
    <row r="93" spans="1:19" x14ac:dyDescent="0.25">
      <c r="A93" s="1">
        <v>2</v>
      </c>
      <c r="B93" s="5">
        <v>0.46111111111111108</v>
      </c>
      <c r="C93" s="1" t="s">
        <v>74</v>
      </c>
      <c r="D93" s="1" t="s">
        <v>109</v>
      </c>
      <c r="E93" s="1" t="s">
        <v>124</v>
      </c>
      <c r="F93" s="1" t="s">
        <v>106</v>
      </c>
      <c r="G93" s="1" t="s">
        <v>74</v>
      </c>
      <c r="H93" s="1" t="s">
        <v>106</v>
      </c>
      <c r="I93" s="1">
        <v>5</v>
      </c>
      <c r="J93" s="1">
        <v>4</v>
      </c>
      <c r="K93" s="1" t="s">
        <v>109</v>
      </c>
      <c r="L93" s="1">
        <v>0</v>
      </c>
      <c r="M93" s="1">
        <v>0</v>
      </c>
      <c r="N93" s="1" t="s">
        <v>448</v>
      </c>
      <c r="O93" s="1">
        <v>20064</v>
      </c>
      <c r="P93" s="1" t="s">
        <v>149</v>
      </c>
      <c r="Q93" s="1" t="s">
        <v>150</v>
      </c>
      <c r="R93">
        <f t="shared" si="2"/>
        <v>11</v>
      </c>
      <c r="S93">
        <f t="shared" si="3"/>
        <v>4</v>
      </c>
    </row>
    <row r="94" spans="1:19" x14ac:dyDescent="0.25">
      <c r="A94" s="1">
        <v>2</v>
      </c>
      <c r="B94" s="5">
        <v>0.43541666666666662</v>
      </c>
      <c r="C94" s="1" t="s">
        <v>74</v>
      </c>
      <c r="D94" s="1" t="s">
        <v>111</v>
      </c>
      <c r="E94" s="1" t="s">
        <v>144</v>
      </c>
      <c r="F94" s="1" t="s">
        <v>121</v>
      </c>
      <c r="G94" s="1" t="s">
        <v>107</v>
      </c>
      <c r="H94" s="1" t="s">
        <v>106</v>
      </c>
      <c r="I94" s="1">
        <v>5</v>
      </c>
      <c r="J94" s="1">
        <v>4</v>
      </c>
      <c r="K94" s="1" t="s">
        <v>111</v>
      </c>
      <c r="L94" s="1">
        <v>1</v>
      </c>
      <c r="M94" s="1">
        <v>0</v>
      </c>
      <c r="N94" s="1" t="s">
        <v>448</v>
      </c>
      <c r="O94" s="1">
        <v>20064</v>
      </c>
      <c r="P94" s="1" t="s">
        <v>149</v>
      </c>
      <c r="Q94" s="1" t="s">
        <v>150</v>
      </c>
      <c r="R94">
        <f t="shared" si="2"/>
        <v>10</v>
      </c>
      <c r="S94">
        <f t="shared" si="3"/>
        <v>27</v>
      </c>
    </row>
    <row r="95" spans="1:19" x14ac:dyDescent="0.25">
      <c r="A95" s="1">
        <v>2</v>
      </c>
      <c r="B95" s="5">
        <v>0.40902777777777777</v>
      </c>
      <c r="C95" s="1" t="s">
        <v>74</v>
      </c>
      <c r="D95" s="1" t="s">
        <v>132</v>
      </c>
      <c r="E95" s="1" t="s">
        <v>139</v>
      </c>
      <c r="F95" s="1" t="s">
        <v>121</v>
      </c>
      <c r="G95" s="1" t="s">
        <v>107</v>
      </c>
      <c r="H95" s="1" t="s">
        <v>106</v>
      </c>
      <c r="I95" s="1">
        <v>5</v>
      </c>
      <c r="J95" s="1">
        <v>5</v>
      </c>
      <c r="K95" s="1" t="s">
        <v>132</v>
      </c>
      <c r="L95" s="1">
        <v>0</v>
      </c>
      <c r="M95" s="1">
        <v>0</v>
      </c>
      <c r="N95" s="1" t="s">
        <v>448</v>
      </c>
      <c r="O95" s="1">
        <v>20064</v>
      </c>
      <c r="P95" s="1" t="s">
        <v>149</v>
      </c>
      <c r="Q95" s="1" t="s">
        <v>150</v>
      </c>
      <c r="R95">
        <f t="shared" si="2"/>
        <v>9</v>
      </c>
      <c r="S95">
        <f t="shared" si="3"/>
        <v>49</v>
      </c>
    </row>
    <row r="96" spans="1:19" x14ac:dyDescent="0.25">
      <c r="A96" s="1">
        <v>2</v>
      </c>
      <c r="B96" s="5">
        <v>0.38541666666666669</v>
      </c>
      <c r="C96" s="1" t="s">
        <v>108</v>
      </c>
      <c r="D96" s="1" t="s">
        <v>132</v>
      </c>
      <c r="E96" s="1" t="s">
        <v>130</v>
      </c>
      <c r="F96" s="1" t="s">
        <v>448</v>
      </c>
      <c r="G96" s="1" t="s">
        <v>110</v>
      </c>
      <c r="H96" s="1" t="s">
        <v>132</v>
      </c>
      <c r="I96" s="1">
        <v>5</v>
      </c>
      <c r="J96" s="1">
        <v>5</v>
      </c>
      <c r="K96" s="1" t="s">
        <v>448</v>
      </c>
      <c r="L96" s="1">
        <v>0</v>
      </c>
      <c r="M96" s="1">
        <v>0</v>
      </c>
      <c r="N96" s="1" t="s">
        <v>448</v>
      </c>
      <c r="O96" s="1">
        <v>20064</v>
      </c>
      <c r="P96" s="1" t="s">
        <v>149</v>
      </c>
      <c r="Q96" s="1" t="s">
        <v>150</v>
      </c>
      <c r="R96">
        <f t="shared" si="2"/>
        <v>9</v>
      </c>
      <c r="S96">
        <f t="shared" si="3"/>
        <v>15</v>
      </c>
    </row>
    <row r="97" spans="1:19" x14ac:dyDescent="0.25">
      <c r="A97" s="1">
        <v>2</v>
      </c>
      <c r="B97" s="5">
        <v>0.37222222222222223</v>
      </c>
      <c r="C97" s="1" t="s">
        <v>74</v>
      </c>
      <c r="D97" s="1" t="s">
        <v>128</v>
      </c>
      <c r="E97" s="1" t="s">
        <v>125</v>
      </c>
      <c r="F97" s="1" t="s">
        <v>106</v>
      </c>
      <c r="G97" s="1" t="s">
        <v>110</v>
      </c>
      <c r="H97" s="1" t="s">
        <v>106</v>
      </c>
      <c r="I97" s="1">
        <v>5</v>
      </c>
      <c r="J97" s="1">
        <v>5</v>
      </c>
      <c r="K97" s="1" t="s">
        <v>128</v>
      </c>
      <c r="L97" s="1">
        <v>1</v>
      </c>
      <c r="M97" s="1">
        <v>0</v>
      </c>
      <c r="N97" s="1" t="s">
        <v>448</v>
      </c>
      <c r="O97" s="1">
        <v>20064</v>
      </c>
      <c r="P97" s="1" t="s">
        <v>149</v>
      </c>
      <c r="Q97" s="1" t="s">
        <v>150</v>
      </c>
      <c r="R97">
        <f t="shared" si="2"/>
        <v>8</v>
      </c>
      <c r="S97">
        <f t="shared" si="3"/>
        <v>56</v>
      </c>
    </row>
    <row r="98" spans="1:19" x14ac:dyDescent="0.25">
      <c r="A98" s="1">
        <v>2</v>
      </c>
      <c r="B98" s="5">
        <v>0.37013888888888891</v>
      </c>
      <c r="C98" s="1" t="s">
        <v>176</v>
      </c>
      <c r="D98" s="1" t="s">
        <v>14</v>
      </c>
      <c r="E98" s="1" t="s">
        <v>448</v>
      </c>
      <c r="F98" s="1" t="s">
        <v>448</v>
      </c>
      <c r="G98" s="1" t="s">
        <v>448</v>
      </c>
      <c r="H98" s="1" t="s">
        <v>448</v>
      </c>
      <c r="I98" s="1">
        <v>5</v>
      </c>
      <c r="J98" s="1">
        <v>5</v>
      </c>
      <c r="K98" s="1" t="s">
        <v>448</v>
      </c>
      <c r="L98" s="1">
        <v>0</v>
      </c>
      <c r="M98" s="1">
        <v>0</v>
      </c>
      <c r="N98" s="1" t="s">
        <v>448</v>
      </c>
      <c r="O98" s="1">
        <v>20064</v>
      </c>
      <c r="P98" s="1" t="s">
        <v>149</v>
      </c>
      <c r="Q98" s="1" t="s">
        <v>150</v>
      </c>
      <c r="R98">
        <f t="shared" si="2"/>
        <v>8</v>
      </c>
      <c r="S98">
        <f t="shared" si="3"/>
        <v>53</v>
      </c>
    </row>
    <row r="99" spans="1:19" x14ac:dyDescent="0.25">
      <c r="A99" s="1">
        <v>2</v>
      </c>
      <c r="B99" s="5">
        <v>0.36458333333333331</v>
      </c>
      <c r="C99" s="1" t="s">
        <v>108</v>
      </c>
      <c r="D99" s="1" t="s">
        <v>122</v>
      </c>
      <c r="E99" s="1" t="s">
        <v>105</v>
      </c>
      <c r="F99" s="1" t="s">
        <v>448</v>
      </c>
      <c r="G99" s="1" t="s">
        <v>107</v>
      </c>
      <c r="H99" s="1" t="s">
        <v>106</v>
      </c>
      <c r="I99" s="1">
        <v>5</v>
      </c>
      <c r="J99" s="1">
        <v>5</v>
      </c>
      <c r="K99" s="1" t="s">
        <v>448</v>
      </c>
      <c r="L99" s="1">
        <v>0</v>
      </c>
      <c r="M99" s="1">
        <v>0</v>
      </c>
      <c r="N99" s="1" t="s">
        <v>448</v>
      </c>
      <c r="O99" s="1">
        <v>20064</v>
      </c>
      <c r="P99" s="1" t="s">
        <v>149</v>
      </c>
      <c r="Q99" s="1" t="s">
        <v>150</v>
      </c>
      <c r="R99">
        <f t="shared" si="2"/>
        <v>8</v>
      </c>
      <c r="S99">
        <f t="shared" si="3"/>
        <v>45</v>
      </c>
    </row>
    <row r="100" spans="1:19" x14ac:dyDescent="0.25">
      <c r="A100" s="1">
        <v>2</v>
      </c>
      <c r="B100" s="5">
        <v>0.35625000000000001</v>
      </c>
      <c r="C100" s="1" t="s">
        <v>108</v>
      </c>
      <c r="D100" s="1" t="s">
        <v>114</v>
      </c>
      <c r="E100" s="1" t="s">
        <v>106</v>
      </c>
      <c r="F100" s="1" t="s">
        <v>448</v>
      </c>
      <c r="G100" s="1" t="s">
        <v>110</v>
      </c>
      <c r="H100" s="1" t="s">
        <v>106</v>
      </c>
      <c r="I100" s="1">
        <v>5</v>
      </c>
      <c r="J100" s="1">
        <v>5</v>
      </c>
      <c r="K100" s="1" t="s">
        <v>448</v>
      </c>
      <c r="L100" s="1">
        <v>1</v>
      </c>
      <c r="M100" s="1">
        <v>0</v>
      </c>
      <c r="N100" s="1" t="s">
        <v>448</v>
      </c>
      <c r="O100" s="1">
        <v>20064</v>
      </c>
      <c r="P100" s="1" t="s">
        <v>149</v>
      </c>
      <c r="Q100" s="1" t="s">
        <v>150</v>
      </c>
      <c r="R100">
        <f t="shared" si="2"/>
        <v>8</v>
      </c>
      <c r="S100">
        <f t="shared" si="3"/>
        <v>33</v>
      </c>
    </row>
    <row r="101" spans="1:19" x14ac:dyDescent="0.25">
      <c r="A101" s="1">
        <v>2</v>
      </c>
      <c r="B101" s="5">
        <v>0.35347222222222224</v>
      </c>
      <c r="C101" s="1" t="s">
        <v>176</v>
      </c>
      <c r="D101" s="1" t="s">
        <v>15</v>
      </c>
      <c r="E101" s="1" t="s">
        <v>448</v>
      </c>
      <c r="F101" s="1" t="s">
        <v>448</v>
      </c>
      <c r="G101" s="1" t="s">
        <v>448</v>
      </c>
      <c r="H101" s="1" t="s">
        <v>448</v>
      </c>
      <c r="I101" s="1">
        <v>5</v>
      </c>
      <c r="J101" s="1">
        <v>5</v>
      </c>
      <c r="K101" s="1" t="s">
        <v>448</v>
      </c>
      <c r="L101" s="1">
        <v>0</v>
      </c>
      <c r="M101" s="1">
        <v>0</v>
      </c>
      <c r="N101" s="1" t="s">
        <v>448</v>
      </c>
      <c r="O101" s="1">
        <v>20064</v>
      </c>
      <c r="P101" s="1" t="s">
        <v>149</v>
      </c>
      <c r="Q101" s="1" t="s">
        <v>150</v>
      </c>
      <c r="R101">
        <f t="shared" si="2"/>
        <v>8</v>
      </c>
      <c r="S101">
        <f t="shared" si="3"/>
        <v>29</v>
      </c>
    </row>
    <row r="102" spans="1:19" x14ac:dyDescent="0.25">
      <c r="A102" s="1">
        <v>2</v>
      </c>
      <c r="B102" s="5">
        <v>0.34791666666666665</v>
      </c>
      <c r="C102" s="1" t="s">
        <v>74</v>
      </c>
      <c r="D102" s="1" t="s">
        <v>142</v>
      </c>
      <c r="E102" s="1" t="s">
        <v>115</v>
      </c>
      <c r="F102" s="1" t="s">
        <v>106</v>
      </c>
      <c r="G102" s="1" t="s">
        <v>74</v>
      </c>
      <c r="H102" s="1" t="s">
        <v>106</v>
      </c>
      <c r="I102" s="1">
        <v>5</v>
      </c>
      <c r="J102" s="1">
        <v>5</v>
      </c>
      <c r="K102" s="1" t="s">
        <v>142</v>
      </c>
      <c r="L102" s="1">
        <v>0</v>
      </c>
      <c r="M102" s="1">
        <v>0</v>
      </c>
      <c r="N102" s="1" t="s">
        <v>448</v>
      </c>
      <c r="O102" s="1">
        <v>20064</v>
      </c>
      <c r="P102" s="1" t="s">
        <v>149</v>
      </c>
      <c r="Q102" s="1" t="s">
        <v>150</v>
      </c>
      <c r="R102">
        <f t="shared" si="2"/>
        <v>8</v>
      </c>
      <c r="S102">
        <f t="shared" si="3"/>
        <v>21</v>
      </c>
    </row>
    <row r="103" spans="1:19" x14ac:dyDescent="0.25">
      <c r="A103" s="1">
        <v>2</v>
      </c>
      <c r="B103" s="5">
        <v>0.33749999999999997</v>
      </c>
      <c r="C103" s="1" t="s">
        <v>108</v>
      </c>
      <c r="D103" s="1" t="s">
        <v>133</v>
      </c>
      <c r="E103" s="1" t="s">
        <v>144</v>
      </c>
      <c r="F103" s="1" t="s">
        <v>448</v>
      </c>
      <c r="G103" s="1" t="s">
        <v>110</v>
      </c>
      <c r="H103" s="1" t="s">
        <v>106</v>
      </c>
      <c r="I103" s="1">
        <v>5</v>
      </c>
      <c r="J103" s="1">
        <v>5</v>
      </c>
      <c r="K103" s="1" t="s">
        <v>448</v>
      </c>
      <c r="L103" s="1">
        <v>0</v>
      </c>
      <c r="M103" s="1">
        <v>0</v>
      </c>
      <c r="N103" s="1" t="s">
        <v>448</v>
      </c>
      <c r="O103" s="1">
        <v>20064</v>
      </c>
      <c r="P103" s="1" t="s">
        <v>149</v>
      </c>
      <c r="Q103" s="1" t="s">
        <v>150</v>
      </c>
      <c r="R103">
        <f t="shared" si="2"/>
        <v>8</v>
      </c>
      <c r="S103">
        <f t="shared" si="3"/>
        <v>6</v>
      </c>
    </row>
    <row r="104" spans="1:19" x14ac:dyDescent="0.25">
      <c r="A104" s="1">
        <v>2</v>
      </c>
      <c r="B104" s="5">
        <v>0.33333333333333331</v>
      </c>
      <c r="C104" s="1" t="s">
        <v>74</v>
      </c>
      <c r="D104" s="1" t="s">
        <v>117</v>
      </c>
      <c r="E104" s="1" t="s">
        <v>106</v>
      </c>
      <c r="F104" s="1" t="s">
        <v>106</v>
      </c>
      <c r="G104" s="1" t="s">
        <v>107</v>
      </c>
      <c r="H104" s="1" t="s">
        <v>106</v>
      </c>
      <c r="I104" s="1">
        <v>5</v>
      </c>
      <c r="J104" s="1">
        <v>5</v>
      </c>
      <c r="K104" s="1" t="s">
        <v>117</v>
      </c>
      <c r="L104" s="1">
        <v>2</v>
      </c>
      <c r="M104" s="1">
        <v>0</v>
      </c>
      <c r="N104" s="1" t="s">
        <v>448</v>
      </c>
      <c r="O104" s="1">
        <v>20064</v>
      </c>
      <c r="P104" s="1" t="s">
        <v>149</v>
      </c>
      <c r="Q104" s="1" t="s">
        <v>150</v>
      </c>
      <c r="R104">
        <f t="shared" si="2"/>
        <v>8</v>
      </c>
      <c r="S104">
        <f t="shared" si="3"/>
        <v>0</v>
      </c>
    </row>
    <row r="105" spans="1:19" x14ac:dyDescent="0.25">
      <c r="A105" s="1">
        <v>2</v>
      </c>
      <c r="B105" s="5">
        <v>0.31041666666666667</v>
      </c>
      <c r="C105" s="1" t="s">
        <v>176</v>
      </c>
      <c r="D105" s="1" t="s">
        <v>15</v>
      </c>
      <c r="E105" s="1" t="s">
        <v>448</v>
      </c>
      <c r="F105" s="1" t="s">
        <v>448</v>
      </c>
      <c r="G105" s="1" t="s">
        <v>448</v>
      </c>
      <c r="H105" s="1" t="s">
        <v>448</v>
      </c>
      <c r="I105" s="1">
        <v>4</v>
      </c>
      <c r="J105" s="1">
        <v>5</v>
      </c>
      <c r="K105" s="1" t="s">
        <v>448</v>
      </c>
      <c r="L105" s="1">
        <v>0</v>
      </c>
      <c r="M105" s="1">
        <v>0</v>
      </c>
      <c r="N105" s="1" t="s">
        <v>448</v>
      </c>
      <c r="O105" s="1">
        <v>20064</v>
      </c>
      <c r="P105" s="1" t="s">
        <v>149</v>
      </c>
      <c r="Q105" s="1" t="s">
        <v>150</v>
      </c>
      <c r="R105">
        <f t="shared" si="2"/>
        <v>7</v>
      </c>
      <c r="S105">
        <f t="shared" si="3"/>
        <v>27</v>
      </c>
    </row>
    <row r="106" spans="1:19" x14ac:dyDescent="0.25">
      <c r="A106" s="1">
        <v>2</v>
      </c>
      <c r="B106" s="5">
        <v>0.30555555555555552</v>
      </c>
      <c r="C106" s="1" t="s">
        <v>74</v>
      </c>
      <c r="D106" s="1" t="s">
        <v>128</v>
      </c>
      <c r="E106" s="1" t="s">
        <v>106</v>
      </c>
      <c r="F106" s="1" t="s">
        <v>106</v>
      </c>
      <c r="G106" s="1" t="s">
        <v>74</v>
      </c>
      <c r="H106" s="1" t="s">
        <v>106</v>
      </c>
      <c r="I106" s="1">
        <v>4</v>
      </c>
      <c r="J106" s="1">
        <v>5</v>
      </c>
      <c r="K106" s="1" t="s">
        <v>128</v>
      </c>
      <c r="L106" s="1">
        <v>1</v>
      </c>
      <c r="M106" s="1">
        <v>0</v>
      </c>
      <c r="N106" s="1" t="s">
        <v>448</v>
      </c>
      <c r="O106" s="1">
        <v>20064</v>
      </c>
      <c r="P106" s="1" t="s">
        <v>149</v>
      </c>
      <c r="Q106" s="1" t="s">
        <v>150</v>
      </c>
      <c r="R106">
        <f t="shared" si="2"/>
        <v>7</v>
      </c>
      <c r="S106">
        <f t="shared" si="3"/>
        <v>20</v>
      </c>
    </row>
    <row r="107" spans="1:19" x14ac:dyDescent="0.25">
      <c r="A107" s="1">
        <v>2</v>
      </c>
      <c r="B107" s="5">
        <v>0.29305555555555557</v>
      </c>
      <c r="C107" s="1" t="s">
        <v>137</v>
      </c>
      <c r="D107" s="1" t="s">
        <v>132</v>
      </c>
      <c r="E107" s="1" t="s">
        <v>127</v>
      </c>
      <c r="F107" s="1" t="s">
        <v>448</v>
      </c>
      <c r="G107" s="1" t="s">
        <v>74</v>
      </c>
      <c r="H107" s="1" t="s">
        <v>106</v>
      </c>
      <c r="I107" s="1">
        <v>4</v>
      </c>
      <c r="J107" s="1">
        <v>5</v>
      </c>
      <c r="K107" s="1" t="s">
        <v>448</v>
      </c>
      <c r="L107" s="1">
        <v>0</v>
      </c>
      <c r="M107" s="1">
        <v>0</v>
      </c>
      <c r="N107" s="1" t="s">
        <v>132</v>
      </c>
      <c r="O107" s="1">
        <v>20064</v>
      </c>
      <c r="P107" s="1" t="s">
        <v>149</v>
      </c>
      <c r="Q107" s="1" t="s">
        <v>150</v>
      </c>
      <c r="R107">
        <f t="shared" si="2"/>
        <v>7</v>
      </c>
      <c r="S107">
        <f t="shared" si="3"/>
        <v>2</v>
      </c>
    </row>
    <row r="108" spans="1:19" x14ac:dyDescent="0.25">
      <c r="A108" s="1">
        <v>2</v>
      </c>
      <c r="B108" s="5">
        <v>0.28055555555555556</v>
      </c>
      <c r="C108" s="1" t="s">
        <v>108</v>
      </c>
      <c r="D108" s="1" t="s">
        <v>145</v>
      </c>
      <c r="E108" s="1" t="s">
        <v>130</v>
      </c>
      <c r="F108" s="1" t="s">
        <v>448</v>
      </c>
      <c r="G108" s="1" t="s">
        <v>110</v>
      </c>
      <c r="H108" s="1" t="s">
        <v>106</v>
      </c>
      <c r="I108" s="1">
        <v>4</v>
      </c>
      <c r="J108" s="1">
        <v>5</v>
      </c>
      <c r="K108" s="1" t="s">
        <v>448</v>
      </c>
      <c r="L108" s="1">
        <v>0</v>
      </c>
      <c r="M108" s="1">
        <v>0</v>
      </c>
      <c r="N108" s="1" t="s">
        <v>448</v>
      </c>
      <c r="O108" s="1">
        <v>20064</v>
      </c>
      <c r="P108" s="1" t="s">
        <v>149</v>
      </c>
      <c r="Q108" s="1" t="s">
        <v>150</v>
      </c>
      <c r="R108">
        <f t="shared" si="2"/>
        <v>6</v>
      </c>
      <c r="S108">
        <f t="shared" si="3"/>
        <v>44</v>
      </c>
    </row>
    <row r="109" spans="1:19" x14ac:dyDescent="0.25">
      <c r="A109" s="1">
        <v>2</v>
      </c>
      <c r="B109" s="5">
        <v>0.27569444444444446</v>
      </c>
      <c r="C109" s="1" t="s">
        <v>176</v>
      </c>
      <c r="D109" s="1" t="s">
        <v>15</v>
      </c>
      <c r="E109" s="1" t="s">
        <v>448</v>
      </c>
      <c r="F109" s="1" t="s">
        <v>448</v>
      </c>
      <c r="G109" s="1" t="s">
        <v>448</v>
      </c>
      <c r="H109" s="1" t="s">
        <v>448</v>
      </c>
      <c r="I109" s="1">
        <v>4</v>
      </c>
      <c r="J109" s="1">
        <v>5</v>
      </c>
      <c r="K109" s="1" t="s">
        <v>448</v>
      </c>
      <c r="L109" s="1">
        <v>3</v>
      </c>
      <c r="M109" s="1">
        <v>1</v>
      </c>
      <c r="N109" s="1" t="s">
        <v>448</v>
      </c>
      <c r="O109" s="1">
        <v>20064</v>
      </c>
      <c r="P109" s="1" t="s">
        <v>149</v>
      </c>
      <c r="Q109" s="1" t="s">
        <v>150</v>
      </c>
      <c r="R109">
        <f t="shared" si="2"/>
        <v>6</v>
      </c>
      <c r="S109">
        <f t="shared" si="3"/>
        <v>37</v>
      </c>
    </row>
    <row r="110" spans="1:19" x14ac:dyDescent="0.25">
      <c r="A110" s="1">
        <v>2</v>
      </c>
      <c r="B110" s="5">
        <v>0.23263888888888887</v>
      </c>
      <c r="C110" s="1" t="s">
        <v>74</v>
      </c>
      <c r="D110" s="1" t="s">
        <v>114</v>
      </c>
      <c r="E110" s="1" t="s">
        <v>122</v>
      </c>
      <c r="F110" s="1" t="s">
        <v>121</v>
      </c>
      <c r="G110" s="1" t="s">
        <v>110</v>
      </c>
      <c r="H110" s="1" t="s">
        <v>106</v>
      </c>
      <c r="I110" s="1">
        <v>4</v>
      </c>
      <c r="J110" s="1">
        <v>5</v>
      </c>
      <c r="K110" s="1" t="s">
        <v>114</v>
      </c>
      <c r="L110" s="1">
        <v>2</v>
      </c>
      <c r="M110" s="1">
        <v>1</v>
      </c>
      <c r="N110" s="1" t="s">
        <v>448</v>
      </c>
      <c r="O110" s="1">
        <v>20064</v>
      </c>
      <c r="P110" s="1" t="s">
        <v>149</v>
      </c>
      <c r="Q110" s="1" t="s">
        <v>150</v>
      </c>
      <c r="R110">
        <f t="shared" si="2"/>
        <v>5</v>
      </c>
      <c r="S110">
        <f t="shared" si="3"/>
        <v>35</v>
      </c>
    </row>
    <row r="111" spans="1:19" x14ac:dyDescent="0.25">
      <c r="A111" s="1">
        <v>2</v>
      </c>
      <c r="B111" s="5">
        <v>0.22500000000000001</v>
      </c>
      <c r="C111" s="1" t="s">
        <v>108</v>
      </c>
      <c r="D111" s="1" t="s">
        <v>109</v>
      </c>
      <c r="E111" s="1" t="s">
        <v>105</v>
      </c>
      <c r="F111" s="1" t="s">
        <v>448</v>
      </c>
      <c r="G111" s="1" t="s">
        <v>110</v>
      </c>
      <c r="H111" s="1" t="s">
        <v>106</v>
      </c>
      <c r="I111" s="1">
        <v>5</v>
      </c>
      <c r="J111" s="1">
        <v>5</v>
      </c>
      <c r="K111" s="1" t="s">
        <v>448</v>
      </c>
      <c r="L111" s="1">
        <v>0</v>
      </c>
      <c r="M111" s="1">
        <v>0</v>
      </c>
      <c r="N111" s="1" t="s">
        <v>448</v>
      </c>
      <c r="O111" s="1">
        <v>20064</v>
      </c>
      <c r="P111" s="1" t="s">
        <v>149</v>
      </c>
      <c r="Q111" s="1" t="s">
        <v>150</v>
      </c>
      <c r="R111">
        <f t="shared" si="2"/>
        <v>5</v>
      </c>
      <c r="S111">
        <f t="shared" si="3"/>
        <v>24</v>
      </c>
    </row>
    <row r="112" spans="1:19" x14ac:dyDescent="0.25">
      <c r="A112" s="1">
        <v>2</v>
      </c>
      <c r="B112" s="5">
        <v>0.22013888888888888</v>
      </c>
      <c r="C112" s="1" t="s">
        <v>74</v>
      </c>
      <c r="D112" s="1" t="s">
        <v>124</v>
      </c>
      <c r="E112" s="1" t="s">
        <v>113</v>
      </c>
      <c r="F112" s="1" t="s">
        <v>106</v>
      </c>
      <c r="G112" s="1" t="s">
        <v>74</v>
      </c>
      <c r="H112" s="1" t="s">
        <v>106</v>
      </c>
      <c r="I112" s="1">
        <v>5</v>
      </c>
      <c r="J112" s="1">
        <v>5</v>
      </c>
      <c r="K112" s="1" t="s">
        <v>124</v>
      </c>
      <c r="L112" s="1">
        <v>1</v>
      </c>
      <c r="M112" s="1">
        <v>0</v>
      </c>
      <c r="N112" s="1" t="s">
        <v>448</v>
      </c>
      <c r="O112" s="1">
        <v>20064</v>
      </c>
      <c r="P112" s="1" t="s">
        <v>149</v>
      </c>
      <c r="Q112" s="1" t="s">
        <v>150</v>
      </c>
      <c r="R112">
        <f t="shared" si="2"/>
        <v>5</v>
      </c>
      <c r="S112">
        <f t="shared" si="3"/>
        <v>17</v>
      </c>
    </row>
    <row r="113" spans="1:19" x14ac:dyDescent="0.25">
      <c r="A113" s="1">
        <v>2</v>
      </c>
      <c r="B113" s="5">
        <v>0.20902777777777778</v>
      </c>
      <c r="C113" s="1" t="s">
        <v>74</v>
      </c>
      <c r="D113" s="1" t="s">
        <v>146</v>
      </c>
      <c r="E113" s="1" t="s">
        <v>124</v>
      </c>
      <c r="F113" s="1" t="s">
        <v>106</v>
      </c>
      <c r="G113" s="1" t="s">
        <v>110</v>
      </c>
      <c r="H113" s="1" t="s">
        <v>106</v>
      </c>
      <c r="I113" s="1">
        <v>5</v>
      </c>
      <c r="J113" s="1">
        <v>5</v>
      </c>
      <c r="K113" s="1" t="s">
        <v>146</v>
      </c>
      <c r="L113" s="1">
        <v>0</v>
      </c>
      <c r="M113" s="1">
        <v>0</v>
      </c>
      <c r="N113" s="1" t="s">
        <v>448</v>
      </c>
      <c r="O113" s="1">
        <v>20064</v>
      </c>
      <c r="P113" s="1" t="s">
        <v>149</v>
      </c>
      <c r="Q113" s="1" t="s">
        <v>150</v>
      </c>
      <c r="R113">
        <f t="shared" si="2"/>
        <v>5</v>
      </c>
      <c r="S113">
        <f t="shared" si="3"/>
        <v>1</v>
      </c>
    </row>
    <row r="114" spans="1:19" x14ac:dyDescent="0.25">
      <c r="A114" s="1">
        <v>2</v>
      </c>
      <c r="B114" s="5">
        <v>0.19027777777777777</v>
      </c>
      <c r="C114" s="1" t="s">
        <v>108</v>
      </c>
      <c r="D114" s="1" t="s">
        <v>145</v>
      </c>
      <c r="E114" s="1" t="s">
        <v>139</v>
      </c>
      <c r="F114" s="1" t="s">
        <v>448</v>
      </c>
      <c r="G114" s="1" t="s">
        <v>110</v>
      </c>
      <c r="H114" s="1" t="s">
        <v>141</v>
      </c>
      <c r="I114" s="1">
        <v>5</v>
      </c>
      <c r="J114" s="1">
        <v>5</v>
      </c>
      <c r="K114" s="1" t="s">
        <v>448</v>
      </c>
      <c r="L114" s="1">
        <v>0</v>
      </c>
      <c r="M114" s="1">
        <v>0</v>
      </c>
      <c r="N114" s="1" t="s">
        <v>448</v>
      </c>
      <c r="O114" s="1">
        <v>20064</v>
      </c>
      <c r="P114" s="1" t="s">
        <v>149</v>
      </c>
      <c r="Q114" s="1" t="s">
        <v>150</v>
      </c>
      <c r="R114">
        <f t="shared" si="2"/>
        <v>4</v>
      </c>
      <c r="S114">
        <f t="shared" si="3"/>
        <v>34</v>
      </c>
    </row>
    <row r="115" spans="1:19" x14ac:dyDescent="0.25">
      <c r="A115" s="1">
        <v>2</v>
      </c>
      <c r="B115" s="5">
        <v>0.18263888888888891</v>
      </c>
      <c r="C115" s="1" t="s">
        <v>74</v>
      </c>
      <c r="D115" s="1" t="s">
        <v>139</v>
      </c>
      <c r="E115" s="1" t="s">
        <v>124</v>
      </c>
      <c r="F115" s="1" t="s">
        <v>121</v>
      </c>
      <c r="G115" s="1" t="s">
        <v>110</v>
      </c>
      <c r="H115" s="1" t="s">
        <v>106</v>
      </c>
      <c r="I115" s="1">
        <v>5</v>
      </c>
      <c r="J115" s="1">
        <v>5</v>
      </c>
      <c r="K115" s="1" t="s">
        <v>139</v>
      </c>
      <c r="L115" s="1">
        <v>0</v>
      </c>
      <c r="M115" s="1">
        <v>0</v>
      </c>
      <c r="N115" s="1" t="s">
        <v>448</v>
      </c>
      <c r="O115" s="1">
        <v>20064</v>
      </c>
      <c r="P115" s="1" t="s">
        <v>149</v>
      </c>
      <c r="Q115" s="1" t="s">
        <v>150</v>
      </c>
      <c r="R115">
        <f t="shared" si="2"/>
        <v>4</v>
      </c>
      <c r="S115">
        <f t="shared" si="3"/>
        <v>23</v>
      </c>
    </row>
    <row r="116" spans="1:19" x14ac:dyDescent="0.25">
      <c r="A116" s="1">
        <v>2</v>
      </c>
      <c r="B116" s="5">
        <v>0.17777777777777781</v>
      </c>
      <c r="C116" s="1" t="s">
        <v>176</v>
      </c>
      <c r="D116" s="1" t="s">
        <v>14</v>
      </c>
      <c r="E116" s="1" t="s">
        <v>448</v>
      </c>
      <c r="F116" s="1" t="s">
        <v>448</v>
      </c>
      <c r="G116" s="1" t="s">
        <v>448</v>
      </c>
      <c r="H116" s="1" t="s">
        <v>448</v>
      </c>
      <c r="I116" s="1">
        <v>5</v>
      </c>
      <c r="J116" s="1">
        <v>5</v>
      </c>
      <c r="K116" s="1" t="s">
        <v>448</v>
      </c>
      <c r="L116" s="1">
        <v>0</v>
      </c>
      <c r="M116" s="1">
        <v>0</v>
      </c>
      <c r="N116" s="1" t="s">
        <v>448</v>
      </c>
      <c r="O116" s="1">
        <v>20064</v>
      </c>
      <c r="P116" s="1" t="s">
        <v>149</v>
      </c>
      <c r="Q116" s="1" t="s">
        <v>150</v>
      </c>
      <c r="R116">
        <f t="shared" si="2"/>
        <v>4</v>
      </c>
      <c r="S116">
        <f t="shared" si="3"/>
        <v>16</v>
      </c>
    </row>
    <row r="117" spans="1:19" x14ac:dyDescent="0.25">
      <c r="A117" s="1">
        <v>2</v>
      </c>
      <c r="B117" s="5">
        <v>0.16319444444444445</v>
      </c>
      <c r="C117" s="1" t="s">
        <v>74</v>
      </c>
      <c r="D117" s="1" t="s">
        <v>133</v>
      </c>
      <c r="E117" s="1" t="s">
        <v>120</v>
      </c>
      <c r="F117" s="1" t="s">
        <v>121</v>
      </c>
      <c r="G117" s="1" t="s">
        <v>74</v>
      </c>
      <c r="H117" s="1" t="s">
        <v>106</v>
      </c>
      <c r="I117" s="1">
        <v>6</v>
      </c>
      <c r="J117" s="1">
        <v>5</v>
      </c>
      <c r="K117" s="1" t="s">
        <v>133</v>
      </c>
      <c r="L117" s="1">
        <v>0</v>
      </c>
      <c r="M117" s="1">
        <v>0</v>
      </c>
      <c r="N117" s="1" t="s">
        <v>448</v>
      </c>
      <c r="O117" s="1">
        <v>20064</v>
      </c>
      <c r="P117" s="1" t="s">
        <v>149</v>
      </c>
      <c r="Q117" s="1" t="s">
        <v>150</v>
      </c>
      <c r="R117">
        <f t="shared" si="2"/>
        <v>3</v>
      </c>
      <c r="S117">
        <f t="shared" si="3"/>
        <v>55</v>
      </c>
    </row>
    <row r="118" spans="1:19" x14ac:dyDescent="0.25">
      <c r="A118" s="1">
        <v>2</v>
      </c>
      <c r="B118" s="5">
        <v>0.15972222222222221</v>
      </c>
      <c r="C118" s="1" t="s">
        <v>176</v>
      </c>
      <c r="D118" s="1" t="s">
        <v>14</v>
      </c>
      <c r="E118" s="1" t="s">
        <v>448</v>
      </c>
      <c r="F118" s="1" t="s">
        <v>448</v>
      </c>
      <c r="G118" s="1" t="s">
        <v>448</v>
      </c>
      <c r="H118" s="1" t="s">
        <v>448</v>
      </c>
      <c r="I118" s="1">
        <v>5</v>
      </c>
      <c r="J118" s="1">
        <v>4</v>
      </c>
      <c r="K118" s="1" t="s">
        <v>448</v>
      </c>
      <c r="L118" s="1">
        <v>0</v>
      </c>
      <c r="M118" s="1">
        <v>0</v>
      </c>
      <c r="N118" s="1" t="s">
        <v>448</v>
      </c>
      <c r="O118" s="1">
        <v>20064</v>
      </c>
      <c r="P118" s="1" t="s">
        <v>149</v>
      </c>
      <c r="Q118" s="1" t="s">
        <v>150</v>
      </c>
      <c r="R118">
        <f t="shared" si="2"/>
        <v>3</v>
      </c>
      <c r="S118">
        <f t="shared" si="3"/>
        <v>50</v>
      </c>
    </row>
    <row r="119" spans="1:19" x14ac:dyDescent="0.25">
      <c r="A119" s="1">
        <v>2</v>
      </c>
      <c r="B119" s="5">
        <v>0.13749999999999998</v>
      </c>
      <c r="C119" s="1" t="s">
        <v>74</v>
      </c>
      <c r="D119" s="1" t="s">
        <v>119</v>
      </c>
      <c r="E119" s="1" t="s">
        <v>126</v>
      </c>
      <c r="F119" s="1" t="s">
        <v>121</v>
      </c>
      <c r="G119" s="1" t="s">
        <v>107</v>
      </c>
      <c r="H119" s="1" t="s">
        <v>106</v>
      </c>
      <c r="I119" s="1">
        <v>5</v>
      </c>
      <c r="J119" s="1">
        <v>4</v>
      </c>
      <c r="K119" s="1" t="s">
        <v>119</v>
      </c>
      <c r="L119" s="1">
        <v>1</v>
      </c>
      <c r="M119" s="1">
        <v>0</v>
      </c>
      <c r="N119" s="1" t="s">
        <v>448</v>
      </c>
      <c r="O119" s="1">
        <v>20064</v>
      </c>
      <c r="P119" s="1" t="s">
        <v>149</v>
      </c>
      <c r="Q119" s="1" t="s">
        <v>150</v>
      </c>
      <c r="R119">
        <f t="shared" si="2"/>
        <v>3</v>
      </c>
      <c r="S119">
        <f t="shared" si="3"/>
        <v>18</v>
      </c>
    </row>
    <row r="120" spans="1:19" x14ac:dyDescent="0.25">
      <c r="A120" s="1">
        <v>2</v>
      </c>
      <c r="B120" s="5">
        <v>0.13194444444444453</v>
      </c>
      <c r="C120" s="1" t="s">
        <v>176</v>
      </c>
      <c r="D120" s="1" t="s">
        <v>14</v>
      </c>
      <c r="E120" s="1" t="s">
        <v>448</v>
      </c>
      <c r="F120" s="1" t="s">
        <v>448</v>
      </c>
      <c r="G120" s="1" t="s">
        <v>448</v>
      </c>
      <c r="H120" s="1" t="s">
        <v>448</v>
      </c>
      <c r="I120" s="1">
        <v>5</v>
      </c>
      <c r="J120" s="1">
        <v>4</v>
      </c>
      <c r="K120" s="1" t="s">
        <v>448</v>
      </c>
      <c r="L120" s="1">
        <v>0</v>
      </c>
      <c r="M120" s="1">
        <v>0</v>
      </c>
      <c r="N120" s="1" t="s">
        <v>448</v>
      </c>
      <c r="O120" s="1">
        <v>20064</v>
      </c>
      <c r="P120" s="1" t="s">
        <v>149</v>
      </c>
      <c r="Q120" s="1" t="s">
        <v>150</v>
      </c>
      <c r="R120">
        <f t="shared" si="2"/>
        <v>3</v>
      </c>
      <c r="S120">
        <f t="shared" si="3"/>
        <v>10</v>
      </c>
    </row>
    <row r="121" spans="1:19" x14ac:dyDescent="0.25">
      <c r="A121" s="1">
        <v>2</v>
      </c>
      <c r="B121" s="5">
        <v>0.1076388888888889</v>
      </c>
      <c r="C121" s="1" t="s">
        <v>74</v>
      </c>
      <c r="D121" s="1" t="s">
        <v>104</v>
      </c>
      <c r="E121" s="1" t="s">
        <v>114</v>
      </c>
      <c r="F121" s="1" t="s">
        <v>106</v>
      </c>
      <c r="G121" s="1" t="s">
        <v>110</v>
      </c>
      <c r="H121" s="1" t="s">
        <v>106</v>
      </c>
      <c r="I121" s="1">
        <v>5</v>
      </c>
      <c r="J121" s="1">
        <v>4</v>
      </c>
      <c r="K121" s="1" t="s">
        <v>104</v>
      </c>
      <c r="L121" s="1">
        <v>0</v>
      </c>
      <c r="M121" s="1">
        <v>0</v>
      </c>
      <c r="N121" s="1" t="s">
        <v>448</v>
      </c>
      <c r="O121" s="1">
        <v>20064</v>
      </c>
      <c r="P121" s="1" t="s">
        <v>149</v>
      </c>
      <c r="Q121" s="1" t="s">
        <v>150</v>
      </c>
      <c r="R121">
        <f t="shared" si="2"/>
        <v>2</v>
      </c>
      <c r="S121">
        <f t="shared" si="3"/>
        <v>35</v>
      </c>
    </row>
    <row r="122" spans="1:19" x14ac:dyDescent="0.25">
      <c r="A122" s="1">
        <v>2</v>
      </c>
      <c r="B122" s="5">
        <v>9.4444444444444442E-2</v>
      </c>
      <c r="C122" s="1" t="s">
        <v>74</v>
      </c>
      <c r="D122" s="1" t="s">
        <v>139</v>
      </c>
      <c r="E122" s="1" t="s">
        <v>145</v>
      </c>
      <c r="F122" s="1" t="s">
        <v>121</v>
      </c>
      <c r="G122" s="1" t="s">
        <v>110</v>
      </c>
      <c r="H122" s="1" t="s">
        <v>106</v>
      </c>
      <c r="I122" s="1">
        <v>5</v>
      </c>
      <c r="J122" s="1">
        <v>4</v>
      </c>
      <c r="K122" s="1" t="s">
        <v>139</v>
      </c>
      <c r="L122" s="1">
        <v>1</v>
      </c>
      <c r="M122" s="1">
        <v>0</v>
      </c>
      <c r="N122" s="1" t="s">
        <v>448</v>
      </c>
      <c r="O122" s="1">
        <v>20064</v>
      </c>
      <c r="P122" s="1" t="s">
        <v>149</v>
      </c>
      <c r="Q122" s="1" t="s">
        <v>150</v>
      </c>
      <c r="R122">
        <f t="shared" si="2"/>
        <v>2</v>
      </c>
      <c r="S122">
        <f t="shared" si="3"/>
        <v>16</v>
      </c>
    </row>
    <row r="123" spans="1:19" x14ac:dyDescent="0.25">
      <c r="A123" s="1">
        <v>2</v>
      </c>
      <c r="B123" s="5">
        <v>9.0972222222222232E-2</v>
      </c>
      <c r="C123" s="1" t="s">
        <v>176</v>
      </c>
      <c r="D123" s="1" t="s">
        <v>14</v>
      </c>
      <c r="E123" s="1" t="s">
        <v>448</v>
      </c>
      <c r="F123" s="1" t="s">
        <v>448</v>
      </c>
      <c r="G123" s="1" t="s">
        <v>448</v>
      </c>
      <c r="H123" s="1" t="s">
        <v>448</v>
      </c>
      <c r="I123" s="1">
        <v>5</v>
      </c>
      <c r="J123" s="1">
        <v>4</v>
      </c>
      <c r="K123" s="1" t="s">
        <v>448</v>
      </c>
      <c r="L123" s="1">
        <v>0</v>
      </c>
      <c r="M123" s="1">
        <v>0</v>
      </c>
      <c r="N123" s="1" t="s">
        <v>448</v>
      </c>
      <c r="O123" s="1">
        <v>20064</v>
      </c>
      <c r="P123" s="1" t="s">
        <v>149</v>
      </c>
      <c r="Q123" s="1" t="s">
        <v>150</v>
      </c>
      <c r="R123">
        <f t="shared" si="2"/>
        <v>2</v>
      </c>
      <c r="S123">
        <f t="shared" si="3"/>
        <v>11</v>
      </c>
    </row>
    <row r="124" spans="1:19" x14ac:dyDescent="0.25">
      <c r="A124" s="1">
        <v>2</v>
      </c>
      <c r="B124" s="5">
        <v>7.9861111111111105E-2</v>
      </c>
      <c r="C124" s="1" t="s">
        <v>108</v>
      </c>
      <c r="D124" s="1" t="s">
        <v>111</v>
      </c>
      <c r="E124" s="1" t="s">
        <v>126</v>
      </c>
      <c r="F124" s="1" t="s">
        <v>448</v>
      </c>
      <c r="G124" s="1" t="s">
        <v>74</v>
      </c>
      <c r="H124" s="1" t="s">
        <v>106</v>
      </c>
      <c r="I124" s="1">
        <v>5</v>
      </c>
      <c r="J124" s="1">
        <v>4</v>
      </c>
      <c r="K124" s="1" t="s">
        <v>448</v>
      </c>
      <c r="L124" s="1">
        <v>0</v>
      </c>
      <c r="M124" s="1">
        <v>0</v>
      </c>
      <c r="N124" s="1" t="s">
        <v>448</v>
      </c>
      <c r="O124" s="1">
        <v>20064</v>
      </c>
      <c r="P124" s="1" t="s">
        <v>149</v>
      </c>
      <c r="Q124" s="1" t="s">
        <v>150</v>
      </c>
      <c r="R124">
        <f t="shared" si="2"/>
        <v>1</v>
      </c>
      <c r="S124">
        <f t="shared" si="3"/>
        <v>55</v>
      </c>
    </row>
    <row r="125" spans="1:19" x14ac:dyDescent="0.25">
      <c r="A125" s="1">
        <v>2</v>
      </c>
      <c r="B125" s="5">
        <v>7.2222222222222229E-2</v>
      </c>
      <c r="C125" s="1" t="s">
        <v>108</v>
      </c>
      <c r="D125" s="1" t="s">
        <v>119</v>
      </c>
      <c r="E125" s="1" t="s">
        <v>105</v>
      </c>
      <c r="F125" s="1" t="s">
        <v>448</v>
      </c>
      <c r="G125" s="1" t="s">
        <v>107</v>
      </c>
      <c r="H125" s="1" t="s">
        <v>106</v>
      </c>
      <c r="I125" s="1">
        <v>5</v>
      </c>
      <c r="J125" s="1">
        <v>5</v>
      </c>
      <c r="K125" s="1" t="s">
        <v>448</v>
      </c>
      <c r="L125" s="1">
        <v>0</v>
      </c>
      <c r="M125" s="1">
        <v>0</v>
      </c>
      <c r="N125" s="1" t="s">
        <v>448</v>
      </c>
      <c r="O125" s="1">
        <v>20064</v>
      </c>
      <c r="P125" s="1" t="s">
        <v>149</v>
      </c>
      <c r="Q125" s="1" t="s">
        <v>150</v>
      </c>
      <c r="R125">
        <f t="shared" si="2"/>
        <v>1</v>
      </c>
      <c r="S125">
        <f t="shared" si="3"/>
        <v>44</v>
      </c>
    </row>
    <row r="126" spans="1:19" x14ac:dyDescent="0.25">
      <c r="A126" s="1">
        <v>2</v>
      </c>
      <c r="B126" s="5">
        <v>5.6944444444444443E-2</v>
      </c>
      <c r="C126" s="1" t="s">
        <v>108</v>
      </c>
      <c r="D126" s="1" t="s">
        <v>146</v>
      </c>
      <c r="E126" s="1" t="s">
        <v>144</v>
      </c>
      <c r="F126" s="1" t="s">
        <v>448</v>
      </c>
      <c r="G126" s="1" t="s">
        <v>107</v>
      </c>
      <c r="H126" s="1" t="s">
        <v>106</v>
      </c>
      <c r="I126" s="1">
        <v>5</v>
      </c>
      <c r="J126" s="1">
        <v>5</v>
      </c>
      <c r="K126" s="1" t="s">
        <v>448</v>
      </c>
      <c r="L126" s="1">
        <v>0</v>
      </c>
      <c r="M126" s="1">
        <v>0</v>
      </c>
      <c r="N126" s="1" t="s">
        <v>448</v>
      </c>
      <c r="O126" s="1">
        <v>20064</v>
      </c>
      <c r="P126" s="1" t="s">
        <v>149</v>
      </c>
      <c r="Q126" s="1" t="s">
        <v>150</v>
      </c>
      <c r="R126">
        <f t="shared" si="2"/>
        <v>1</v>
      </c>
      <c r="S126">
        <f t="shared" si="3"/>
        <v>22</v>
      </c>
    </row>
    <row r="127" spans="1:19" x14ac:dyDescent="0.25">
      <c r="A127" s="1">
        <v>2</v>
      </c>
      <c r="B127" s="5">
        <v>4.2361111111111106E-2</v>
      </c>
      <c r="C127" s="1" t="s">
        <v>108</v>
      </c>
      <c r="D127" s="1" t="s">
        <v>118</v>
      </c>
      <c r="E127" s="1" t="s">
        <v>106</v>
      </c>
      <c r="F127" s="1" t="s">
        <v>448</v>
      </c>
      <c r="G127" s="1" t="s">
        <v>74</v>
      </c>
      <c r="H127" s="1" t="s">
        <v>106</v>
      </c>
      <c r="I127" s="1">
        <v>5</v>
      </c>
      <c r="J127" s="1">
        <v>5</v>
      </c>
      <c r="K127" s="1" t="s">
        <v>448</v>
      </c>
      <c r="L127" s="1">
        <v>0</v>
      </c>
      <c r="M127" s="1">
        <v>0</v>
      </c>
      <c r="N127" s="1" t="s">
        <v>448</v>
      </c>
      <c r="O127" s="1">
        <v>20064</v>
      </c>
      <c r="P127" s="1" t="s">
        <v>149</v>
      </c>
      <c r="Q127" s="1" t="s">
        <v>150</v>
      </c>
      <c r="R127">
        <f t="shared" si="2"/>
        <v>1</v>
      </c>
      <c r="S127">
        <f t="shared" si="3"/>
        <v>1</v>
      </c>
    </row>
    <row r="128" spans="1:19" x14ac:dyDescent="0.25">
      <c r="A128" s="1">
        <v>2</v>
      </c>
      <c r="B128" s="5">
        <v>3.4722222222222224E-2</v>
      </c>
      <c r="C128" s="1" t="s">
        <v>74</v>
      </c>
      <c r="D128" s="1" t="s">
        <v>128</v>
      </c>
      <c r="E128" s="1" t="s">
        <v>120</v>
      </c>
      <c r="F128" s="1" t="s">
        <v>106</v>
      </c>
      <c r="G128" s="1" t="s">
        <v>74</v>
      </c>
      <c r="H128" s="1" t="s">
        <v>106</v>
      </c>
      <c r="I128" s="1">
        <v>5</v>
      </c>
      <c r="J128" s="1">
        <v>5</v>
      </c>
      <c r="K128" s="1" t="s">
        <v>128</v>
      </c>
      <c r="L128" s="1">
        <v>2</v>
      </c>
      <c r="M128" s="1">
        <v>1</v>
      </c>
      <c r="N128" s="1" t="s">
        <v>448</v>
      </c>
      <c r="O128" s="1">
        <v>20064</v>
      </c>
      <c r="P128" s="1" t="s">
        <v>149</v>
      </c>
      <c r="Q128" s="1" t="s">
        <v>150</v>
      </c>
      <c r="R128">
        <f t="shared" si="2"/>
        <v>0</v>
      </c>
      <c r="S128">
        <f t="shared" si="3"/>
        <v>50</v>
      </c>
    </row>
    <row r="129" spans="1:19" x14ac:dyDescent="0.25">
      <c r="A129" s="1">
        <v>2</v>
      </c>
      <c r="B129" s="5">
        <v>1.9444444444444445E-2</v>
      </c>
      <c r="C129" s="1" t="s">
        <v>134</v>
      </c>
      <c r="D129" s="1" t="s">
        <v>135</v>
      </c>
      <c r="E129" s="1" t="s">
        <v>448</v>
      </c>
      <c r="F129" s="1" t="s">
        <v>448</v>
      </c>
      <c r="G129" s="1" t="s">
        <v>448</v>
      </c>
      <c r="H129" s="1" t="s">
        <v>106</v>
      </c>
      <c r="I129" s="1">
        <v>5</v>
      </c>
      <c r="J129" s="1">
        <v>5</v>
      </c>
      <c r="K129" s="1" t="s">
        <v>448</v>
      </c>
      <c r="L129" s="1">
        <v>1</v>
      </c>
      <c r="M129" s="1">
        <v>0</v>
      </c>
      <c r="N129" s="1" t="s">
        <v>448</v>
      </c>
      <c r="O129" s="1">
        <v>20064</v>
      </c>
      <c r="P129" s="1" t="s">
        <v>149</v>
      </c>
      <c r="Q129" s="1" t="s">
        <v>150</v>
      </c>
      <c r="R129">
        <f t="shared" si="2"/>
        <v>0</v>
      </c>
      <c r="S129">
        <f t="shared" si="3"/>
        <v>28</v>
      </c>
    </row>
    <row r="130" spans="1:19" x14ac:dyDescent="0.25">
      <c r="A130" s="1">
        <v>3</v>
      </c>
      <c r="B130" s="5">
        <v>0.82430555555555562</v>
      </c>
      <c r="C130" s="1" t="s">
        <v>108</v>
      </c>
      <c r="D130" s="1" t="s">
        <v>104</v>
      </c>
      <c r="E130" s="1" t="s">
        <v>124</v>
      </c>
      <c r="F130" s="1" t="s">
        <v>448</v>
      </c>
      <c r="G130" s="1" t="s">
        <v>110</v>
      </c>
      <c r="H130" s="1" t="s">
        <v>104</v>
      </c>
      <c r="I130" s="1">
        <v>5</v>
      </c>
      <c r="J130" s="1">
        <v>5</v>
      </c>
      <c r="K130" s="1" t="s">
        <v>448</v>
      </c>
      <c r="L130" s="1">
        <v>1</v>
      </c>
      <c r="M130" s="1">
        <v>0</v>
      </c>
      <c r="N130" s="1" t="s">
        <v>448</v>
      </c>
      <c r="O130" s="1">
        <v>20064</v>
      </c>
      <c r="P130" s="1" t="s">
        <v>149</v>
      </c>
      <c r="Q130" s="1" t="s">
        <v>150</v>
      </c>
      <c r="R130">
        <f t="shared" ref="R130:R193" si="4">IF(ISNUMBER(B130),INT(B130*24),"")</f>
        <v>19</v>
      </c>
      <c r="S130">
        <f t="shared" ref="S130:S193" si="5">IF(ISNUMBER(B130),ROUND((B130*24-R130)*60,0),"")</f>
        <v>47</v>
      </c>
    </row>
    <row r="131" spans="1:19" x14ac:dyDescent="0.25">
      <c r="A131" s="1">
        <v>3</v>
      </c>
      <c r="B131" s="5">
        <v>0.79513888888888884</v>
      </c>
      <c r="C131" s="1" t="s">
        <v>74</v>
      </c>
      <c r="D131" s="1" t="s">
        <v>111</v>
      </c>
      <c r="E131" s="1" t="s">
        <v>148</v>
      </c>
      <c r="F131" s="1" t="s">
        <v>121</v>
      </c>
      <c r="G131" s="1" t="s">
        <v>110</v>
      </c>
      <c r="H131" s="1" t="s">
        <v>106</v>
      </c>
      <c r="I131" s="1">
        <v>5</v>
      </c>
      <c r="J131" s="1">
        <v>5</v>
      </c>
      <c r="K131" s="1" t="s">
        <v>111</v>
      </c>
      <c r="L131" s="1">
        <v>3</v>
      </c>
      <c r="M131" s="1">
        <v>1</v>
      </c>
      <c r="N131" s="1" t="s">
        <v>448</v>
      </c>
      <c r="O131" s="1">
        <v>20064</v>
      </c>
      <c r="P131" s="1" t="s">
        <v>149</v>
      </c>
      <c r="Q131" s="1" t="s">
        <v>150</v>
      </c>
      <c r="R131">
        <f t="shared" si="4"/>
        <v>19</v>
      </c>
      <c r="S131">
        <f t="shared" si="5"/>
        <v>5</v>
      </c>
    </row>
    <row r="132" spans="1:19" x14ac:dyDescent="0.25">
      <c r="A132" s="1">
        <v>3</v>
      </c>
      <c r="B132" s="5">
        <v>0.78125</v>
      </c>
      <c r="C132" s="1" t="s">
        <v>108</v>
      </c>
      <c r="D132" s="1" t="s">
        <v>142</v>
      </c>
      <c r="E132" s="1" t="s">
        <v>115</v>
      </c>
      <c r="F132" s="1" t="s">
        <v>448</v>
      </c>
      <c r="G132" s="1" t="s">
        <v>110</v>
      </c>
      <c r="H132" s="1" t="s">
        <v>106</v>
      </c>
      <c r="I132" s="1">
        <v>5</v>
      </c>
      <c r="J132" s="1">
        <v>5</v>
      </c>
      <c r="K132" s="1" t="s">
        <v>448</v>
      </c>
      <c r="L132" s="1">
        <v>0</v>
      </c>
      <c r="M132" s="1">
        <v>0</v>
      </c>
      <c r="N132" s="1" t="s">
        <v>448</v>
      </c>
      <c r="O132" s="1">
        <v>20064</v>
      </c>
      <c r="P132" s="1" t="s">
        <v>149</v>
      </c>
      <c r="Q132" s="1" t="s">
        <v>150</v>
      </c>
      <c r="R132">
        <f t="shared" si="4"/>
        <v>18</v>
      </c>
      <c r="S132">
        <f t="shared" si="5"/>
        <v>45</v>
      </c>
    </row>
    <row r="133" spans="1:19" x14ac:dyDescent="0.25">
      <c r="A133" s="1">
        <v>3</v>
      </c>
      <c r="B133" s="5">
        <v>0.77569444444444446</v>
      </c>
      <c r="C133" s="1" t="s">
        <v>74</v>
      </c>
      <c r="D133" s="1" t="s">
        <v>116</v>
      </c>
      <c r="E133" s="1" t="s">
        <v>148</v>
      </c>
      <c r="F133" s="1" t="s">
        <v>106</v>
      </c>
      <c r="G133" s="1" t="s">
        <v>110</v>
      </c>
      <c r="H133" s="1" t="s">
        <v>106</v>
      </c>
      <c r="I133" s="1">
        <v>5</v>
      </c>
      <c r="J133" s="1">
        <v>5</v>
      </c>
      <c r="K133" s="1" t="s">
        <v>116</v>
      </c>
      <c r="L133" s="1">
        <v>0</v>
      </c>
      <c r="M133" s="1">
        <v>0</v>
      </c>
      <c r="N133" s="1" t="s">
        <v>448</v>
      </c>
      <c r="O133" s="1">
        <v>20064</v>
      </c>
      <c r="P133" s="1" t="s">
        <v>149</v>
      </c>
      <c r="Q133" s="1" t="s">
        <v>150</v>
      </c>
      <c r="R133">
        <f t="shared" si="4"/>
        <v>18</v>
      </c>
      <c r="S133">
        <f t="shared" si="5"/>
        <v>37</v>
      </c>
    </row>
    <row r="134" spans="1:19" x14ac:dyDescent="0.25">
      <c r="A134" s="1">
        <v>3</v>
      </c>
      <c r="B134" s="5">
        <v>0.77013888888888893</v>
      </c>
      <c r="C134" s="1" t="s">
        <v>74</v>
      </c>
      <c r="D134" s="1" t="s">
        <v>118</v>
      </c>
      <c r="E134" s="1" t="s">
        <v>115</v>
      </c>
      <c r="F134" s="1" t="s">
        <v>106</v>
      </c>
      <c r="G134" s="1" t="s">
        <v>107</v>
      </c>
      <c r="H134" s="1" t="s">
        <v>106</v>
      </c>
      <c r="I134" s="1">
        <v>5</v>
      </c>
      <c r="J134" s="1">
        <v>5</v>
      </c>
      <c r="K134" s="1" t="s">
        <v>118</v>
      </c>
      <c r="L134" s="1">
        <v>1</v>
      </c>
      <c r="M134" s="1">
        <v>0</v>
      </c>
      <c r="N134" s="1" t="s">
        <v>448</v>
      </c>
      <c r="O134" s="1">
        <v>20064</v>
      </c>
      <c r="P134" s="1" t="s">
        <v>149</v>
      </c>
      <c r="Q134" s="1" t="s">
        <v>150</v>
      </c>
      <c r="R134">
        <f t="shared" si="4"/>
        <v>18</v>
      </c>
      <c r="S134">
        <f t="shared" si="5"/>
        <v>29</v>
      </c>
    </row>
    <row r="135" spans="1:19" x14ac:dyDescent="0.25">
      <c r="A135" s="1">
        <v>3</v>
      </c>
      <c r="B135" s="5">
        <v>0.76597222222222228</v>
      </c>
      <c r="C135" s="1" t="s">
        <v>176</v>
      </c>
      <c r="D135" s="1" t="s">
        <v>15</v>
      </c>
      <c r="E135" s="1" t="s">
        <v>448</v>
      </c>
      <c r="F135" s="1" t="s">
        <v>448</v>
      </c>
      <c r="G135" s="1" t="s">
        <v>448</v>
      </c>
      <c r="H135" s="1" t="s">
        <v>448</v>
      </c>
      <c r="I135" s="1">
        <v>5</v>
      </c>
      <c r="J135" s="1">
        <v>5</v>
      </c>
      <c r="K135" s="1" t="s">
        <v>448</v>
      </c>
      <c r="L135" s="1">
        <v>0</v>
      </c>
      <c r="M135" s="1">
        <v>0</v>
      </c>
      <c r="N135" s="1" t="s">
        <v>448</v>
      </c>
      <c r="O135" s="1">
        <v>20064</v>
      </c>
      <c r="P135" s="1" t="s">
        <v>149</v>
      </c>
      <c r="Q135" s="1" t="s">
        <v>150</v>
      </c>
      <c r="R135">
        <f t="shared" si="4"/>
        <v>18</v>
      </c>
      <c r="S135">
        <f t="shared" si="5"/>
        <v>23</v>
      </c>
    </row>
    <row r="136" spans="1:19" x14ac:dyDescent="0.25">
      <c r="A136" s="1">
        <v>3</v>
      </c>
      <c r="B136" s="5">
        <v>0.75624999999999998</v>
      </c>
      <c r="C136" s="1" t="s">
        <v>74</v>
      </c>
      <c r="D136" s="1" t="s">
        <v>138</v>
      </c>
      <c r="E136" s="1" t="s">
        <v>125</v>
      </c>
      <c r="F136" s="1" t="s">
        <v>106</v>
      </c>
      <c r="G136" s="1" t="s">
        <v>74</v>
      </c>
      <c r="H136" s="1" t="s">
        <v>106</v>
      </c>
      <c r="I136" s="1">
        <v>5</v>
      </c>
      <c r="J136" s="1">
        <v>5</v>
      </c>
      <c r="K136" s="1" t="s">
        <v>138</v>
      </c>
      <c r="L136" s="1">
        <v>0</v>
      </c>
      <c r="M136" s="1">
        <v>0</v>
      </c>
      <c r="N136" s="1" t="s">
        <v>448</v>
      </c>
      <c r="O136" s="1">
        <v>20064</v>
      </c>
      <c r="P136" s="1" t="s">
        <v>149</v>
      </c>
      <c r="Q136" s="1" t="s">
        <v>150</v>
      </c>
      <c r="R136">
        <f t="shared" si="4"/>
        <v>18</v>
      </c>
      <c r="S136">
        <f t="shared" si="5"/>
        <v>9</v>
      </c>
    </row>
    <row r="137" spans="1:19" x14ac:dyDescent="0.25">
      <c r="A137" s="1">
        <v>3</v>
      </c>
      <c r="B137" s="5">
        <v>0.74305555555555558</v>
      </c>
      <c r="C137" s="1" t="s">
        <v>176</v>
      </c>
      <c r="D137" s="1" t="s">
        <v>14</v>
      </c>
      <c r="E137" s="1" t="s">
        <v>448</v>
      </c>
      <c r="F137" s="1" t="s">
        <v>448</v>
      </c>
      <c r="G137" s="1" t="s">
        <v>448</v>
      </c>
      <c r="H137" s="1" t="s">
        <v>448</v>
      </c>
      <c r="I137" s="1">
        <v>5</v>
      </c>
      <c r="J137" s="1">
        <v>5</v>
      </c>
      <c r="K137" s="1" t="s">
        <v>448</v>
      </c>
      <c r="L137" s="1">
        <v>0</v>
      </c>
      <c r="M137" s="1">
        <v>0</v>
      </c>
      <c r="N137" s="1" t="s">
        <v>448</v>
      </c>
      <c r="O137" s="1">
        <v>20064</v>
      </c>
      <c r="P137" s="1" t="s">
        <v>149</v>
      </c>
      <c r="Q137" s="1" t="s">
        <v>150</v>
      </c>
      <c r="R137">
        <f t="shared" si="4"/>
        <v>17</v>
      </c>
      <c r="S137">
        <f t="shared" si="5"/>
        <v>50</v>
      </c>
    </row>
    <row r="138" spans="1:19" x14ac:dyDescent="0.25">
      <c r="A138" s="1">
        <v>3</v>
      </c>
      <c r="B138" s="5">
        <v>0.7284722222222223</v>
      </c>
      <c r="C138" s="1" t="s">
        <v>176</v>
      </c>
      <c r="D138" s="1" t="s">
        <v>14</v>
      </c>
      <c r="E138" s="1" t="s">
        <v>448</v>
      </c>
      <c r="F138" s="1" t="s">
        <v>448</v>
      </c>
      <c r="G138" s="1" t="s">
        <v>448</v>
      </c>
      <c r="H138" s="1" t="s">
        <v>448</v>
      </c>
      <c r="I138" s="1">
        <v>5</v>
      </c>
      <c r="J138" s="1">
        <v>5</v>
      </c>
      <c r="K138" s="1" t="s">
        <v>448</v>
      </c>
      <c r="L138" s="1">
        <v>0</v>
      </c>
      <c r="M138" s="1">
        <v>0</v>
      </c>
      <c r="N138" s="1" t="s">
        <v>448</v>
      </c>
      <c r="O138" s="1">
        <v>20064</v>
      </c>
      <c r="P138" s="1" t="s">
        <v>149</v>
      </c>
      <c r="Q138" s="1" t="s">
        <v>150</v>
      </c>
      <c r="R138">
        <f t="shared" si="4"/>
        <v>17</v>
      </c>
      <c r="S138">
        <f t="shared" si="5"/>
        <v>29</v>
      </c>
    </row>
    <row r="139" spans="1:19" x14ac:dyDescent="0.25">
      <c r="A139" s="1">
        <v>3</v>
      </c>
      <c r="B139" s="5">
        <v>0.72222222222222221</v>
      </c>
      <c r="C139" s="1" t="s">
        <v>137</v>
      </c>
      <c r="D139" s="1" t="s">
        <v>114</v>
      </c>
      <c r="E139" s="1" t="s">
        <v>127</v>
      </c>
      <c r="F139" s="1" t="s">
        <v>448</v>
      </c>
      <c r="G139" s="1" t="s">
        <v>107</v>
      </c>
      <c r="H139" s="1" t="s">
        <v>106</v>
      </c>
      <c r="I139" s="1">
        <v>5</v>
      </c>
      <c r="J139" s="1">
        <v>5</v>
      </c>
      <c r="K139" s="1" t="s">
        <v>448</v>
      </c>
      <c r="L139" s="1">
        <v>0</v>
      </c>
      <c r="M139" s="1">
        <v>0</v>
      </c>
      <c r="N139" s="1" t="s">
        <v>114</v>
      </c>
      <c r="O139" s="1">
        <v>20064</v>
      </c>
      <c r="P139" s="1" t="s">
        <v>149</v>
      </c>
      <c r="Q139" s="1" t="s">
        <v>150</v>
      </c>
      <c r="R139">
        <f t="shared" si="4"/>
        <v>17</v>
      </c>
      <c r="S139">
        <f t="shared" si="5"/>
        <v>20</v>
      </c>
    </row>
    <row r="140" spans="1:19" x14ac:dyDescent="0.25">
      <c r="A140" s="1">
        <v>3</v>
      </c>
      <c r="B140" s="5">
        <v>0.71736111111111112</v>
      </c>
      <c r="C140" s="1" t="s">
        <v>176</v>
      </c>
      <c r="D140" s="1" t="s">
        <v>15</v>
      </c>
      <c r="E140" s="1" t="s">
        <v>448</v>
      </c>
      <c r="F140" s="1" t="s">
        <v>448</v>
      </c>
      <c r="G140" s="1" t="s">
        <v>448</v>
      </c>
      <c r="H140" s="1" t="s">
        <v>448</v>
      </c>
      <c r="I140" s="1">
        <v>4</v>
      </c>
      <c r="J140" s="1">
        <v>5</v>
      </c>
      <c r="K140" s="1" t="s">
        <v>448</v>
      </c>
      <c r="L140" s="1">
        <v>0</v>
      </c>
      <c r="M140" s="1">
        <v>0</v>
      </c>
      <c r="N140" s="1" t="s">
        <v>448</v>
      </c>
      <c r="O140" s="1">
        <v>20064</v>
      </c>
      <c r="P140" s="1" t="s">
        <v>149</v>
      </c>
      <c r="Q140" s="1" t="s">
        <v>150</v>
      </c>
      <c r="R140">
        <f t="shared" si="4"/>
        <v>17</v>
      </c>
      <c r="S140">
        <f t="shared" si="5"/>
        <v>13</v>
      </c>
    </row>
    <row r="141" spans="1:19" x14ac:dyDescent="0.25">
      <c r="A141" s="1">
        <v>3</v>
      </c>
      <c r="B141" s="5">
        <v>0.70416666666666661</v>
      </c>
      <c r="C141" s="1" t="s">
        <v>74</v>
      </c>
      <c r="D141" s="1" t="s">
        <v>105</v>
      </c>
      <c r="E141" s="1" t="s">
        <v>119</v>
      </c>
      <c r="F141" s="1" t="s">
        <v>106</v>
      </c>
      <c r="G141" s="1" t="s">
        <v>107</v>
      </c>
      <c r="H141" s="1" t="s">
        <v>106</v>
      </c>
      <c r="I141" s="1">
        <v>5</v>
      </c>
      <c r="J141" s="1">
        <v>4</v>
      </c>
      <c r="K141" s="1" t="s">
        <v>105</v>
      </c>
      <c r="L141" s="1">
        <v>0</v>
      </c>
      <c r="M141" s="1">
        <v>0</v>
      </c>
      <c r="N141" s="1" t="s">
        <v>448</v>
      </c>
      <c r="O141" s="1">
        <v>20064</v>
      </c>
      <c r="P141" s="1" t="s">
        <v>149</v>
      </c>
      <c r="Q141" s="1" t="s">
        <v>150</v>
      </c>
      <c r="R141">
        <f t="shared" si="4"/>
        <v>16</v>
      </c>
      <c r="S141">
        <f t="shared" si="5"/>
        <v>54</v>
      </c>
    </row>
    <row r="142" spans="1:19" x14ac:dyDescent="0.25">
      <c r="A142" s="1">
        <v>3</v>
      </c>
      <c r="B142" s="5">
        <v>0.68611111111111101</v>
      </c>
      <c r="C142" s="1" t="s">
        <v>74</v>
      </c>
      <c r="D142" s="1" t="s">
        <v>105</v>
      </c>
      <c r="E142" s="1" t="s">
        <v>128</v>
      </c>
      <c r="F142" s="1" t="s">
        <v>121</v>
      </c>
      <c r="G142" s="1" t="s">
        <v>107</v>
      </c>
      <c r="H142" s="1" t="s">
        <v>106</v>
      </c>
      <c r="I142" s="1">
        <v>5</v>
      </c>
      <c r="J142" s="1">
        <v>4</v>
      </c>
      <c r="K142" s="1" t="s">
        <v>105</v>
      </c>
      <c r="L142" s="1">
        <v>0</v>
      </c>
      <c r="M142" s="1">
        <v>0</v>
      </c>
      <c r="N142" s="1" t="s">
        <v>448</v>
      </c>
      <c r="O142" s="1">
        <v>20064</v>
      </c>
      <c r="P142" s="1" t="s">
        <v>149</v>
      </c>
      <c r="Q142" s="1" t="s">
        <v>150</v>
      </c>
      <c r="R142">
        <f t="shared" si="4"/>
        <v>16</v>
      </c>
      <c r="S142">
        <f t="shared" si="5"/>
        <v>28</v>
      </c>
    </row>
    <row r="143" spans="1:19" x14ac:dyDescent="0.25">
      <c r="A143" s="1">
        <v>3</v>
      </c>
      <c r="B143" s="5">
        <v>0.67569444444444438</v>
      </c>
      <c r="C143" s="1" t="s">
        <v>74</v>
      </c>
      <c r="D143" s="1" t="s">
        <v>128</v>
      </c>
      <c r="E143" s="1" t="s">
        <v>120</v>
      </c>
      <c r="F143" s="1" t="s">
        <v>106</v>
      </c>
      <c r="G143" s="1" t="s">
        <v>107</v>
      </c>
      <c r="H143" s="1" t="s">
        <v>106</v>
      </c>
      <c r="I143" s="1">
        <v>5</v>
      </c>
      <c r="J143" s="1">
        <v>4</v>
      </c>
      <c r="K143" s="1" t="s">
        <v>128</v>
      </c>
      <c r="L143" s="1">
        <v>1</v>
      </c>
      <c r="M143" s="1">
        <v>0</v>
      </c>
      <c r="N143" s="1" t="s">
        <v>448</v>
      </c>
      <c r="O143" s="1">
        <v>20064</v>
      </c>
      <c r="P143" s="1" t="s">
        <v>149</v>
      </c>
      <c r="Q143" s="1" t="s">
        <v>150</v>
      </c>
      <c r="R143">
        <f t="shared" si="4"/>
        <v>16</v>
      </c>
      <c r="S143">
        <f t="shared" si="5"/>
        <v>13</v>
      </c>
    </row>
    <row r="144" spans="1:19" x14ac:dyDescent="0.25">
      <c r="A144" s="1">
        <v>3</v>
      </c>
      <c r="B144" s="5">
        <v>0.66041666666666665</v>
      </c>
      <c r="C144" s="1" t="s">
        <v>74</v>
      </c>
      <c r="D144" s="1" t="s">
        <v>112</v>
      </c>
      <c r="E144" s="1" t="s">
        <v>130</v>
      </c>
      <c r="F144" s="1" t="s">
        <v>121</v>
      </c>
      <c r="G144" s="1" t="s">
        <v>110</v>
      </c>
      <c r="H144" s="1" t="s">
        <v>106</v>
      </c>
      <c r="I144" s="1">
        <v>5</v>
      </c>
      <c r="J144" s="1">
        <v>4</v>
      </c>
      <c r="K144" s="1" t="s">
        <v>112</v>
      </c>
      <c r="L144" s="1">
        <v>0</v>
      </c>
      <c r="M144" s="1">
        <v>0</v>
      </c>
      <c r="N144" s="1" t="s">
        <v>448</v>
      </c>
      <c r="O144" s="1">
        <v>20064</v>
      </c>
      <c r="P144" s="1" t="s">
        <v>149</v>
      </c>
      <c r="Q144" s="1" t="s">
        <v>150</v>
      </c>
      <c r="R144">
        <f t="shared" si="4"/>
        <v>15</v>
      </c>
      <c r="S144">
        <f t="shared" si="5"/>
        <v>51</v>
      </c>
    </row>
    <row r="145" spans="1:19" x14ac:dyDescent="0.25">
      <c r="A145" s="1">
        <v>3</v>
      </c>
      <c r="B145" s="5">
        <v>0.62638888888888888</v>
      </c>
      <c r="C145" s="1" t="s">
        <v>137</v>
      </c>
      <c r="D145" s="1" t="s">
        <v>109</v>
      </c>
      <c r="E145" s="1" t="s">
        <v>144</v>
      </c>
      <c r="F145" s="1" t="s">
        <v>448</v>
      </c>
      <c r="G145" s="1" t="s">
        <v>74</v>
      </c>
      <c r="H145" s="1" t="s">
        <v>106</v>
      </c>
      <c r="I145" s="1">
        <v>5</v>
      </c>
      <c r="J145" s="1">
        <v>5</v>
      </c>
      <c r="K145" s="1" t="s">
        <v>448</v>
      </c>
      <c r="L145" s="1">
        <v>0</v>
      </c>
      <c r="M145" s="1">
        <v>0</v>
      </c>
      <c r="N145" s="1" t="s">
        <v>109</v>
      </c>
      <c r="O145" s="1">
        <v>20064</v>
      </c>
      <c r="P145" s="1" t="s">
        <v>149</v>
      </c>
      <c r="Q145" s="1" t="s">
        <v>150</v>
      </c>
      <c r="R145">
        <f t="shared" si="4"/>
        <v>15</v>
      </c>
      <c r="S145">
        <f t="shared" si="5"/>
        <v>2</v>
      </c>
    </row>
    <row r="146" spans="1:19" x14ac:dyDescent="0.25">
      <c r="A146" s="1">
        <v>3</v>
      </c>
      <c r="B146" s="5">
        <v>0.62361111111111112</v>
      </c>
      <c r="C146" s="1" t="s">
        <v>74</v>
      </c>
      <c r="D146" s="1" t="s">
        <v>142</v>
      </c>
      <c r="E146" s="1" t="s">
        <v>139</v>
      </c>
      <c r="F146" s="1" t="s">
        <v>106</v>
      </c>
      <c r="G146" s="1" t="s">
        <v>107</v>
      </c>
      <c r="H146" s="1" t="s">
        <v>106</v>
      </c>
      <c r="I146" s="1">
        <v>5</v>
      </c>
      <c r="J146" s="1">
        <v>5</v>
      </c>
      <c r="K146" s="1" t="s">
        <v>142</v>
      </c>
      <c r="L146" s="1">
        <v>0</v>
      </c>
      <c r="M146" s="1">
        <v>0</v>
      </c>
      <c r="N146" s="1" t="s">
        <v>448</v>
      </c>
      <c r="O146" s="1">
        <v>20064</v>
      </c>
      <c r="P146" s="1" t="s">
        <v>149</v>
      </c>
      <c r="Q146" s="1" t="s">
        <v>150</v>
      </c>
      <c r="R146">
        <f t="shared" si="4"/>
        <v>14</v>
      </c>
      <c r="S146">
        <f t="shared" si="5"/>
        <v>58</v>
      </c>
    </row>
    <row r="147" spans="1:19" x14ac:dyDescent="0.25">
      <c r="A147" s="1">
        <v>3</v>
      </c>
      <c r="B147" s="5">
        <v>0.61527777777777781</v>
      </c>
      <c r="C147" s="1" t="s">
        <v>108</v>
      </c>
      <c r="D147" s="1" t="s">
        <v>145</v>
      </c>
      <c r="E147" s="1" t="s">
        <v>111</v>
      </c>
      <c r="F147" s="1" t="s">
        <v>448</v>
      </c>
      <c r="G147" s="1" t="s">
        <v>107</v>
      </c>
      <c r="H147" s="1" t="s">
        <v>106</v>
      </c>
      <c r="I147" s="1">
        <v>5</v>
      </c>
      <c r="J147" s="1">
        <v>5</v>
      </c>
      <c r="K147" s="1" t="s">
        <v>448</v>
      </c>
      <c r="L147" s="1">
        <v>0</v>
      </c>
      <c r="M147" s="1">
        <v>0</v>
      </c>
      <c r="N147" s="1" t="s">
        <v>448</v>
      </c>
      <c r="O147" s="1">
        <v>20064</v>
      </c>
      <c r="P147" s="1" t="s">
        <v>149</v>
      </c>
      <c r="Q147" s="1" t="s">
        <v>150</v>
      </c>
      <c r="R147">
        <f t="shared" si="4"/>
        <v>14</v>
      </c>
      <c r="S147">
        <f t="shared" si="5"/>
        <v>46</v>
      </c>
    </row>
    <row r="148" spans="1:19" x14ac:dyDescent="0.25">
      <c r="A148" s="1">
        <v>3</v>
      </c>
      <c r="B148" s="5">
        <v>0.59305555555555556</v>
      </c>
      <c r="C148" s="1" t="s">
        <v>108</v>
      </c>
      <c r="D148" s="1" t="s">
        <v>118</v>
      </c>
      <c r="E148" s="1" t="s">
        <v>106</v>
      </c>
      <c r="F148" s="1" t="s">
        <v>448</v>
      </c>
      <c r="G148" s="1" t="s">
        <v>107</v>
      </c>
      <c r="H148" s="1" t="s">
        <v>106</v>
      </c>
      <c r="I148" s="1">
        <v>5</v>
      </c>
      <c r="J148" s="1">
        <v>5</v>
      </c>
      <c r="K148" s="1" t="s">
        <v>448</v>
      </c>
      <c r="L148" s="1">
        <v>0</v>
      </c>
      <c r="M148" s="1">
        <v>0</v>
      </c>
      <c r="N148" s="1" t="s">
        <v>448</v>
      </c>
      <c r="O148" s="1">
        <v>20064</v>
      </c>
      <c r="P148" s="1" t="s">
        <v>149</v>
      </c>
      <c r="Q148" s="1" t="s">
        <v>150</v>
      </c>
      <c r="R148">
        <f t="shared" si="4"/>
        <v>14</v>
      </c>
      <c r="S148">
        <f t="shared" si="5"/>
        <v>14</v>
      </c>
    </row>
    <row r="149" spans="1:19" x14ac:dyDescent="0.25">
      <c r="A149" s="1">
        <v>3</v>
      </c>
      <c r="B149" s="5">
        <v>0.58333333333333337</v>
      </c>
      <c r="C149" s="1" t="s">
        <v>74</v>
      </c>
      <c r="D149" s="1" t="s">
        <v>145</v>
      </c>
      <c r="E149" s="1" t="s">
        <v>113</v>
      </c>
      <c r="F149" s="1" t="s">
        <v>121</v>
      </c>
      <c r="G149" s="1" t="s">
        <v>107</v>
      </c>
      <c r="H149" s="1" t="s">
        <v>106</v>
      </c>
      <c r="I149" s="1">
        <v>5</v>
      </c>
      <c r="J149" s="1">
        <v>5</v>
      </c>
      <c r="K149" s="1" t="s">
        <v>145</v>
      </c>
      <c r="L149" s="1">
        <v>1</v>
      </c>
      <c r="M149" s="1">
        <v>0</v>
      </c>
      <c r="N149" s="1" t="s">
        <v>448</v>
      </c>
      <c r="O149" s="1">
        <v>20064</v>
      </c>
      <c r="P149" s="1" t="s">
        <v>149</v>
      </c>
      <c r="Q149" s="1" t="s">
        <v>150</v>
      </c>
      <c r="R149">
        <f t="shared" si="4"/>
        <v>14</v>
      </c>
      <c r="S149">
        <f t="shared" si="5"/>
        <v>0</v>
      </c>
    </row>
    <row r="150" spans="1:19" x14ac:dyDescent="0.25">
      <c r="A150" s="1">
        <v>3</v>
      </c>
      <c r="B150" s="5">
        <v>0.55902777777777779</v>
      </c>
      <c r="C150" s="1" t="s">
        <v>137</v>
      </c>
      <c r="D150" s="1" t="s">
        <v>116</v>
      </c>
      <c r="E150" s="1" t="s">
        <v>144</v>
      </c>
      <c r="F150" s="1" t="s">
        <v>448</v>
      </c>
      <c r="G150" s="1" t="s">
        <v>74</v>
      </c>
      <c r="H150" s="1" t="s">
        <v>106</v>
      </c>
      <c r="I150" s="1">
        <v>5</v>
      </c>
      <c r="J150" s="1">
        <v>5</v>
      </c>
      <c r="K150" s="1" t="s">
        <v>448</v>
      </c>
      <c r="L150" s="1">
        <v>0</v>
      </c>
      <c r="M150" s="1">
        <v>0</v>
      </c>
      <c r="N150" s="1" t="s">
        <v>116</v>
      </c>
      <c r="O150" s="1">
        <v>20064</v>
      </c>
      <c r="P150" s="1" t="s">
        <v>149</v>
      </c>
      <c r="Q150" s="1" t="s">
        <v>150</v>
      </c>
      <c r="R150">
        <f t="shared" si="4"/>
        <v>13</v>
      </c>
      <c r="S150">
        <f t="shared" si="5"/>
        <v>25</v>
      </c>
    </row>
    <row r="151" spans="1:19" x14ac:dyDescent="0.25">
      <c r="A151" s="1">
        <v>3</v>
      </c>
      <c r="B151" s="5">
        <v>0.55694444444444446</v>
      </c>
      <c r="C151" s="1" t="s">
        <v>108</v>
      </c>
      <c r="D151" s="1" t="s">
        <v>132</v>
      </c>
      <c r="E151" s="1" t="s">
        <v>106</v>
      </c>
      <c r="F151" s="1" t="s">
        <v>448</v>
      </c>
      <c r="G151" s="1" t="s">
        <v>110</v>
      </c>
      <c r="H151" s="1" t="s">
        <v>106</v>
      </c>
      <c r="I151" s="1">
        <v>5</v>
      </c>
      <c r="J151" s="1">
        <v>5</v>
      </c>
      <c r="K151" s="1" t="s">
        <v>448</v>
      </c>
      <c r="L151" s="1">
        <v>1</v>
      </c>
      <c r="M151" s="1">
        <v>0</v>
      </c>
      <c r="N151" s="1" t="s">
        <v>448</v>
      </c>
      <c r="O151" s="1">
        <v>20064</v>
      </c>
      <c r="P151" s="1" t="s">
        <v>149</v>
      </c>
      <c r="Q151" s="1" t="s">
        <v>150</v>
      </c>
      <c r="R151">
        <f t="shared" si="4"/>
        <v>13</v>
      </c>
      <c r="S151">
        <f t="shared" si="5"/>
        <v>22</v>
      </c>
    </row>
    <row r="152" spans="1:19" x14ac:dyDescent="0.25">
      <c r="A152" s="1">
        <v>3</v>
      </c>
      <c r="B152" s="5">
        <v>0.54236111111111118</v>
      </c>
      <c r="C152" s="1" t="s">
        <v>74</v>
      </c>
      <c r="D152" s="1" t="s">
        <v>128</v>
      </c>
      <c r="E152" s="1" t="s">
        <v>105</v>
      </c>
      <c r="F152" s="1" t="s">
        <v>121</v>
      </c>
      <c r="G152" s="1" t="s">
        <v>107</v>
      </c>
      <c r="H152" s="1" t="s">
        <v>106</v>
      </c>
      <c r="I152" s="1">
        <v>5</v>
      </c>
      <c r="J152" s="1">
        <v>5</v>
      </c>
      <c r="K152" s="1" t="s">
        <v>128</v>
      </c>
      <c r="L152" s="1">
        <v>1</v>
      </c>
      <c r="M152" s="1">
        <v>0</v>
      </c>
      <c r="N152" s="1" t="s">
        <v>448</v>
      </c>
      <c r="O152" s="1">
        <v>20064</v>
      </c>
      <c r="P152" s="1" t="s">
        <v>149</v>
      </c>
      <c r="Q152" s="1" t="s">
        <v>150</v>
      </c>
      <c r="R152">
        <f t="shared" si="4"/>
        <v>13</v>
      </c>
      <c r="S152">
        <f t="shared" si="5"/>
        <v>1</v>
      </c>
    </row>
    <row r="153" spans="1:19" x14ac:dyDescent="0.25">
      <c r="A153" s="1">
        <v>3</v>
      </c>
      <c r="B153" s="5">
        <v>0.52847222222222223</v>
      </c>
      <c r="C153" s="1" t="s">
        <v>108</v>
      </c>
      <c r="D153" s="1" t="s">
        <v>138</v>
      </c>
      <c r="E153" s="1" t="s">
        <v>106</v>
      </c>
      <c r="F153" s="1" t="s">
        <v>448</v>
      </c>
      <c r="G153" s="1" t="s">
        <v>107</v>
      </c>
      <c r="H153" s="1" t="s">
        <v>106</v>
      </c>
      <c r="I153" s="1">
        <v>5</v>
      </c>
      <c r="J153" s="1">
        <v>5</v>
      </c>
      <c r="K153" s="1" t="s">
        <v>448</v>
      </c>
      <c r="L153" s="1">
        <v>0</v>
      </c>
      <c r="M153" s="1">
        <v>0</v>
      </c>
      <c r="N153" s="1" t="s">
        <v>448</v>
      </c>
      <c r="O153" s="1">
        <v>20064</v>
      </c>
      <c r="P153" s="1" t="s">
        <v>149</v>
      </c>
      <c r="Q153" s="1" t="s">
        <v>150</v>
      </c>
      <c r="R153">
        <f t="shared" si="4"/>
        <v>12</v>
      </c>
      <c r="S153">
        <f t="shared" si="5"/>
        <v>41</v>
      </c>
    </row>
    <row r="154" spans="1:19" x14ac:dyDescent="0.25">
      <c r="A154" s="1">
        <v>3</v>
      </c>
      <c r="B154" s="5">
        <v>0.51666666666666672</v>
      </c>
      <c r="C154" s="1" t="s">
        <v>74</v>
      </c>
      <c r="D154" s="1" t="s">
        <v>111</v>
      </c>
      <c r="E154" s="1" t="s">
        <v>117</v>
      </c>
      <c r="F154" s="1" t="s">
        <v>106</v>
      </c>
      <c r="G154" s="1" t="s">
        <v>107</v>
      </c>
      <c r="H154" s="1" t="s">
        <v>106</v>
      </c>
      <c r="I154" s="1">
        <v>5</v>
      </c>
      <c r="J154" s="1">
        <v>5</v>
      </c>
      <c r="K154" s="1" t="s">
        <v>111</v>
      </c>
      <c r="L154" s="1">
        <v>0</v>
      </c>
      <c r="M154" s="1">
        <v>0</v>
      </c>
      <c r="N154" s="1" t="s">
        <v>448</v>
      </c>
      <c r="O154" s="1">
        <v>20064</v>
      </c>
      <c r="P154" s="1" t="s">
        <v>149</v>
      </c>
      <c r="Q154" s="1" t="s">
        <v>150</v>
      </c>
      <c r="R154">
        <f t="shared" si="4"/>
        <v>12</v>
      </c>
      <c r="S154">
        <f t="shared" si="5"/>
        <v>24</v>
      </c>
    </row>
    <row r="155" spans="1:19" x14ac:dyDescent="0.25">
      <c r="A155" s="1">
        <v>3</v>
      </c>
      <c r="B155" s="5">
        <v>0.4909722222222222</v>
      </c>
      <c r="C155" s="1" t="s">
        <v>108</v>
      </c>
      <c r="D155" s="1" t="s">
        <v>132</v>
      </c>
      <c r="E155" s="1" t="s">
        <v>106</v>
      </c>
      <c r="F155" s="1" t="s">
        <v>448</v>
      </c>
      <c r="G155" s="1" t="s">
        <v>110</v>
      </c>
      <c r="H155" s="1" t="s">
        <v>106</v>
      </c>
      <c r="I155" s="1">
        <v>5</v>
      </c>
      <c r="J155" s="1">
        <v>5</v>
      </c>
      <c r="K155" s="1" t="s">
        <v>448</v>
      </c>
      <c r="L155" s="1">
        <v>0</v>
      </c>
      <c r="M155" s="1">
        <v>0</v>
      </c>
      <c r="N155" s="1" t="s">
        <v>448</v>
      </c>
      <c r="O155" s="1">
        <v>20064</v>
      </c>
      <c r="P155" s="1" t="s">
        <v>149</v>
      </c>
      <c r="Q155" s="1" t="s">
        <v>150</v>
      </c>
      <c r="R155">
        <f t="shared" si="4"/>
        <v>11</v>
      </c>
      <c r="S155">
        <f t="shared" si="5"/>
        <v>47</v>
      </c>
    </row>
    <row r="156" spans="1:19" x14ac:dyDescent="0.25">
      <c r="A156" s="1">
        <v>3</v>
      </c>
      <c r="B156" s="5">
        <v>0.48194444444444445</v>
      </c>
      <c r="C156" s="1" t="s">
        <v>74</v>
      </c>
      <c r="D156" s="1" t="s">
        <v>119</v>
      </c>
      <c r="E156" s="1" t="s">
        <v>144</v>
      </c>
      <c r="F156" s="1" t="s">
        <v>121</v>
      </c>
      <c r="G156" s="1" t="s">
        <v>107</v>
      </c>
      <c r="H156" s="1" t="s">
        <v>106</v>
      </c>
      <c r="I156" s="1">
        <v>5</v>
      </c>
      <c r="J156" s="1">
        <v>5</v>
      </c>
      <c r="K156" s="1" t="s">
        <v>119</v>
      </c>
      <c r="L156" s="1">
        <v>1</v>
      </c>
      <c r="M156" s="1">
        <v>0</v>
      </c>
      <c r="N156" s="1" t="s">
        <v>448</v>
      </c>
      <c r="O156" s="1">
        <v>20064</v>
      </c>
      <c r="P156" s="1" t="s">
        <v>149</v>
      </c>
      <c r="Q156" s="1" t="s">
        <v>150</v>
      </c>
      <c r="R156">
        <f t="shared" si="4"/>
        <v>11</v>
      </c>
      <c r="S156">
        <f t="shared" si="5"/>
        <v>34</v>
      </c>
    </row>
    <row r="157" spans="1:19" x14ac:dyDescent="0.25">
      <c r="A157" s="1">
        <v>3</v>
      </c>
      <c r="B157" s="5">
        <v>0.47222222222222227</v>
      </c>
      <c r="C157" s="1" t="s">
        <v>74</v>
      </c>
      <c r="D157" s="1" t="s">
        <v>109</v>
      </c>
      <c r="E157" s="1" t="s">
        <v>136</v>
      </c>
      <c r="F157" s="1" t="s">
        <v>106</v>
      </c>
      <c r="G157" s="1" t="s">
        <v>74</v>
      </c>
      <c r="H157" s="1" t="s">
        <v>106</v>
      </c>
      <c r="I157" s="1">
        <v>5</v>
      </c>
      <c r="J157" s="1">
        <v>5</v>
      </c>
      <c r="K157" s="1" t="s">
        <v>109</v>
      </c>
      <c r="L157" s="1">
        <v>1</v>
      </c>
      <c r="M157" s="1">
        <v>0</v>
      </c>
      <c r="N157" s="1" t="s">
        <v>448</v>
      </c>
      <c r="O157" s="1">
        <v>20064</v>
      </c>
      <c r="P157" s="1" t="s">
        <v>149</v>
      </c>
      <c r="Q157" s="1" t="s">
        <v>150</v>
      </c>
      <c r="R157">
        <f t="shared" si="4"/>
        <v>11</v>
      </c>
      <c r="S157">
        <f t="shared" si="5"/>
        <v>20</v>
      </c>
    </row>
    <row r="158" spans="1:19" x14ac:dyDescent="0.25">
      <c r="A158" s="1">
        <v>3</v>
      </c>
      <c r="B158" s="5">
        <v>0.46666666666666662</v>
      </c>
      <c r="C158" s="1" t="s">
        <v>74</v>
      </c>
      <c r="D158" s="1" t="s">
        <v>122</v>
      </c>
      <c r="E158" s="1" t="s">
        <v>144</v>
      </c>
      <c r="F158" s="1" t="s">
        <v>106</v>
      </c>
      <c r="G158" s="1" t="s">
        <v>107</v>
      </c>
      <c r="H158" s="1" t="s">
        <v>106</v>
      </c>
      <c r="I158" s="1">
        <v>5</v>
      </c>
      <c r="J158" s="1">
        <v>5</v>
      </c>
      <c r="K158" s="1" t="s">
        <v>122</v>
      </c>
      <c r="L158" s="1">
        <v>1</v>
      </c>
      <c r="M158" s="1">
        <v>0</v>
      </c>
      <c r="N158" s="1" t="s">
        <v>448</v>
      </c>
      <c r="O158" s="1">
        <v>20064</v>
      </c>
      <c r="P158" s="1" t="s">
        <v>149</v>
      </c>
      <c r="Q158" s="1" t="s">
        <v>150</v>
      </c>
      <c r="R158">
        <f t="shared" si="4"/>
        <v>11</v>
      </c>
      <c r="S158">
        <f t="shared" si="5"/>
        <v>12</v>
      </c>
    </row>
    <row r="159" spans="1:19" x14ac:dyDescent="0.25">
      <c r="A159" s="1">
        <v>3</v>
      </c>
      <c r="B159" s="5">
        <v>0.45833333333333331</v>
      </c>
      <c r="C159" s="1" t="s">
        <v>74</v>
      </c>
      <c r="D159" s="1" t="s">
        <v>117</v>
      </c>
      <c r="E159" s="1" t="s">
        <v>122</v>
      </c>
      <c r="F159" s="1" t="s">
        <v>106</v>
      </c>
      <c r="G159" s="1" t="s">
        <v>110</v>
      </c>
      <c r="H159" s="1" t="s">
        <v>106</v>
      </c>
      <c r="I159" s="1">
        <v>5</v>
      </c>
      <c r="J159" s="1">
        <v>5</v>
      </c>
      <c r="K159" s="1" t="s">
        <v>117</v>
      </c>
      <c r="L159" s="1">
        <v>0</v>
      </c>
      <c r="M159" s="1">
        <v>0</v>
      </c>
      <c r="N159" s="1" t="s">
        <v>448</v>
      </c>
      <c r="O159" s="1">
        <v>20064</v>
      </c>
      <c r="P159" s="1" t="s">
        <v>149</v>
      </c>
      <c r="Q159" s="1" t="s">
        <v>150</v>
      </c>
      <c r="R159">
        <f t="shared" si="4"/>
        <v>11</v>
      </c>
      <c r="S159">
        <f t="shared" si="5"/>
        <v>0</v>
      </c>
    </row>
    <row r="160" spans="1:19" x14ac:dyDescent="0.25">
      <c r="A160" s="1">
        <v>3</v>
      </c>
      <c r="B160" s="5">
        <v>0.45624999999999999</v>
      </c>
      <c r="C160" s="1" t="s">
        <v>176</v>
      </c>
      <c r="D160" s="1" t="s">
        <v>15</v>
      </c>
      <c r="E160" s="1" t="s">
        <v>448</v>
      </c>
      <c r="F160" s="1" t="s">
        <v>448</v>
      </c>
      <c r="G160" s="1" t="s">
        <v>448</v>
      </c>
      <c r="H160" s="1" t="s">
        <v>448</v>
      </c>
      <c r="I160" s="1">
        <v>5</v>
      </c>
      <c r="J160" s="1">
        <v>5</v>
      </c>
      <c r="K160" s="1" t="s">
        <v>448</v>
      </c>
      <c r="L160" s="1">
        <v>0</v>
      </c>
      <c r="M160" s="1">
        <v>0</v>
      </c>
      <c r="N160" s="1" t="s">
        <v>448</v>
      </c>
      <c r="O160" s="1">
        <v>20064</v>
      </c>
      <c r="P160" s="1" t="s">
        <v>149</v>
      </c>
      <c r="Q160" s="1" t="s">
        <v>150</v>
      </c>
      <c r="R160">
        <f t="shared" si="4"/>
        <v>10</v>
      </c>
      <c r="S160">
        <f t="shared" si="5"/>
        <v>57</v>
      </c>
    </row>
    <row r="161" spans="1:19" x14ac:dyDescent="0.25">
      <c r="A161" s="1">
        <v>3</v>
      </c>
      <c r="B161" s="5">
        <v>0.44791666666666669</v>
      </c>
      <c r="C161" s="1" t="s">
        <v>108</v>
      </c>
      <c r="D161" s="1" t="s">
        <v>144</v>
      </c>
      <c r="E161" s="1" t="s">
        <v>106</v>
      </c>
      <c r="F161" s="1" t="s">
        <v>448</v>
      </c>
      <c r="G161" s="1" t="s">
        <v>110</v>
      </c>
      <c r="H161" s="1" t="s">
        <v>132</v>
      </c>
      <c r="I161" s="1">
        <v>5</v>
      </c>
      <c r="J161" s="1">
        <v>5</v>
      </c>
      <c r="K161" s="1" t="s">
        <v>448</v>
      </c>
      <c r="L161" s="1">
        <v>1</v>
      </c>
      <c r="M161" s="1">
        <v>0</v>
      </c>
      <c r="N161" s="1" t="s">
        <v>448</v>
      </c>
      <c r="O161" s="1">
        <v>20064</v>
      </c>
      <c r="P161" s="1" t="s">
        <v>149</v>
      </c>
      <c r="Q161" s="1" t="s">
        <v>150</v>
      </c>
      <c r="R161">
        <f t="shared" si="4"/>
        <v>10</v>
      </c>
      <c r="S161">
        <f t="shared" si="5"/>
        <v>45</v>
      </c>
    </row>
    <row r="162" spans="1:19" x14ac:dyDescent="0.25">
      <c r="A162" s="1">
        <v>3</v>
      </c>
      <c r="B162" s="5">
        <v>0.42291666666666666</v>
      </c>
      <c r="C162" s="1" t="s">
        <v>74</v>
      </c>
      <c r="D162" s="1" t="s">
        <v>114</v>
      </c>
      <c r="E162" s="1" t="s">
        <v>130</v>
      </c>
      <c r="F162" s="1" t="s">
        <v>106</v>
      </c>
      <c r="G162" s="1" t="s">
        <v>110</v>
      </c>
      <c r="H162" s="1" t="s">
        <v>106</v>
      </c>
      <c r="I162" s="1">
        <v>5</v>
      </c>
      <c r="J162" s="1">
        <v>5</v>
      </c>
      <c r="K162" s="1" t="s">
        <v>114</v>
      </c>
      <c r="L162" s="1">
        <v>0</v>
      </c>
      <c r="M162" s="1">
        <v>0</v>
      </c>
      <c r="N162" s="1" t="s">
        <v>448</v>
      </c>
      <c r="O162" s="1">
        <v>20064</v>
      </c>
      <c r="P162" s="1" t="s">
        <v>149</v>
      </c>
      <c r="Q162" s="1" t="s">
        <v>150</v>
      </c>
      <c r="R162">
        <f t="shared" si="4"/>
        <v>10</v>
      </c>
      <c r="S162">
        <f t="shared" si="5"/>
        <v>9</v>
      </c>
    </row>
    <row r="163" spans="1:19" x14ac:dyDescent="0.25">
      <c r="A163" s="1">
        <v>3</v>
      </c>
      <c r="B163" s="5">
        <v>0.40902777777777777</v>
      </c>
      <c r="C163" s="1" t="s">
        <v>108</v>
      </c>
      <c r="D163" s="1" t="s">
        <v>104</v>
      </c>
      <c r="E163" s="1" t="s">
        <v>114</v>
      </c>
      <c r="F163" s="1" t="s">
        <v>448</v>
      </c>
      <c r="G163" s="1" t="s">
        <v>107</v>
      </c>
      <c r="H163" s="1" t="s">
        <v>106</v>
      </c>
      <c r="I163" s="1">
        <v>5</v>
      </c>
      <c r="J163" s="1">
        <v>5</v>
      </c>
      <c r="K163" s="1" t="s">
        <v>448</v>
      </c>
      <c r="L163" s="1">
        <v>0</v>
      </c>
      <c r="M163" s="1">
        <v>0</v>
      </c>
      <c r="N163" s="1" t="s">
        <v>448</v>
      </c>
      <c r="O163" s="1">
        <v>20064</v>
      </c>
      <c r="P163" s="1" t="s">
        <v>149</v>
      </c>
      <c r="Q163" s="1" t="s">
        <v>150</v>
      </c>
      <c r="R163">
        <f t="shared" si="4"/>
        <v>9</v>
      </c>
      <c r="S163">
        <f t="shared" si="5"/>
        <v>49</v>
      </c>
    </row>
    <row r="164" spans="1:19" x14ac:dyDescent="0.25">
      <c r="A164" s="1">
        <v>3</v>
      </c>
      <c r="B164" s="5">
        <v>0.39583333333333331</v>
      </c>
      <c r="C164" s="1" t="s">
        <v>108</v>
      </c>
      <c r="D164" s="1" t="s">
        <v>140</v>
      </c>
      <c r="E164" s="1" t="s">
        <v>145</v>
      </c>
      <c r="F164" s="1" t="s">
        <v>448</v>
      </c>
      <c r="G164" s="1" t="s">
        <v>110</v>
      </c>
      <c r="H164" s="1" t="s">
        <v>106</v>
      </c>
      <c r="I164" s="1">
        <v>5</v>
      </c>
      <c r="J164" s="1">
        <v>5</v>
      </c>
      <c r="K164" s="1" t="s">
        <v>448</v>
      </c>
      <c r="L164" s="1">
        <v>0</v>
      </c>
      <c r="M164" s="1">
        <v>0</v>
      </c>
      <c r="N164" s="1" t="s">
        <v>448</v>
      </c>
      <c r="O164" s="1">
        <v>20064</v>
      </c>
      <c r="P164" s="1" t="s">
        <v>149</v>
      </c>
      <c r="Q164" s="1" t="s">
        <v>150</v>
      </c>
      <c r="R164">
        <f t="shared" si="4"/>
        <v>9</v>
      </c>
      <c r="S164">
        <f t="shared" si="5"/>
        <v>30</v>
      </c>
    </row>
    <row r="165" spans="1:19" x14ac:dyDescent="0.25">
      <c r="A165" s="1">
        <v>3</v>
      </c>
      <c r="B165" s="5">
        <v>0.37222222222222223</v>
      </c>
      <c r="C165" s="1" t="s">
        <v>74</v>
      </c>
      <c r="D165" s="1" t="s">
        <v>141</v>
      </c>
      <c r="E165" s="1" t="s">
        <v>106</v>
      </c>
      <c r="F165" s="1" t="s">
        <v>106</v>
      </c>
      <c r="G165" s="1" t="s">
        <v>107</v>
      </c>
      <c r="H165" s="1" t="s">
        <v>106</v>
      </c>
      <c r="I165" s="1">
        <v>5</v>
      </c>
      <c r="J165" s="1">
        <v>5</v>
      </c>
      <c r="K165" s="1" t="s">
        <v>141</v>
      </c>
      <c r="L165" s="1">
        <v>0</v>
      </c>
      <c r="M165" s="1">
        <v>0</v>
      </c>
      <c r="N165" s="1" t="s">
        <v>448</v>
      </c>
      <c r="O165" s="1">
        <v>20064</v>
      </c>
      <c r="P165" s="1" t="s">
        <v>149</v>
      </c>
      <c r="Q165" s="1" t="s">
        <v>150</v>
      </c>
      <c r="R165">
        <f t="shared" si="4"/>
        <v>8</v>
      </c>
      <c r="S165">
        <f t="shared" si="5"/>
        <v>56</v>
      </c>
    </row>
    <row r="166" spans="1:19" x14ac:dyDescent="0.25">
      <c r="A166" s="1">
        <v>3</v>
      </c>
      <c r="B166" s="5">
        <v>0.36736111111111108</v>
      </c>
      <c r="C166" s="1" t="s">
        <v>74</v>
      </c>
      <c r="D166" s="1" t="s">
        <v>146</v>
      </c>
      <c r="E166" s="1" t="s">
        <v>136</v>
      </c>
      <c r="F166" s="1" t="s">
        <v>106</v>
      </c>
      <c r="G166" s="1" t="s">
        <v>74</v>
      </c>
      <c r="H166" s="1" t="s">
        <v>106</v>
      </c>
      <c r="I166" s="1">
        <v>5</v>
      </c>
      <c r="J166" s="1">
        <v>5</v>
      </c>
      <c r="K166" s="1" t="s">
        <v>146</v>
      </c>
      <c r="L166" s="1">
        <v>1</v>
      </c>
      <c r="M166" s="1">
        <v>1</v>
      </c>
      <c r="N166" s="1" t="s">
        <v>448</v>
      </c>
      <c r="O166" s="1">
        <v>20064</v>
      </c>
      <c r="P166" s="1" t="s">
        <v>149</v>
      </c>
      <c r="Q166" s="1" t="s">
        <v>150</v>
      </c>
      <c r="R166">
        <f t="shared" si="4"/>
        <v>8</v>
      </c>
      <c r="S166">
        <f t="shared" si="5"/>
        <v>49</v>
      </c>
    </row>
    <row r="167" spans="1:19" x14ac:dyDescent="0.25">
      <c r="A167" s="1">
        <v>3</v>
      </c>
      <c r="B167" s="5">
        <v>0.35347222222222219</v>
      </c>
      <c r="C167" s="1" t="s">
        <v>108</v>
      </c>
      <c r="D167" s="1" t="s">
        <v>114</v>
      </c>
      <c r="E167" s="1" t="s">
        <v>130</v>
      </c>
      <c r="F167" s="1" t="s">
        <v>448</v>
      </c>
      <c r="G167" s="1" t="s">
        <v>110</v>
      </c>
      <c r="H167" s="1" t="s">
        <v>106</v>
      </c>
      <c r="I167" s="1">
        <v>5</v>
      </c>
      <c r="J167" s="1">
        <v>5</v>
      </c>
      <c r="K167" s="1" t="s">
        <v>448</v>
      </c>
      <c r="L167" s="1">
        <v>0</v>
      </c>
      <c r="M167" s="1">
        <v>0</v>
      </c>
      <c r="N167" s="1" t="s">
        <v>448</v>
      </c>
      <c r="O167" s="1">
        <v>20064</v>
      </c>
      <c r="P167" s="1" t="s">
        <v>149</v>
      </c>
      <c r="Q167" s="1" t="s">
        <v>150</v>
      </c>
      <c r="R167">
        <f t="shared" si="4"/>
        <v>8</v>
      </c>
      <c r="S167">
        <f t="shared" si="5"/>
        <v>29</v>
      </c>
    </row>
    <row r="168" spans="1:19" x14ac:dyDescent="0.25">
      <c r="A168" s="1">
        <v>3</v>
      </c>
      <c r="B168" s="5">
        <v>0.33819444444444446</v>
      </c>
      <c r="C168" s="1" t="s">
        <v>137</v>
      </c>
      <c r="D168" s="1" t="s">
        <v>144</v>
      </c>
      <c r="E168" s="1" t="s">
        <v>111</v>
      </c>
      <c r="F168" s="1" t="s">
        <v>448</v>
      </c>
      <c r="G168" s="1" t="s">
        <v>74</v>
      </c>
      <c r="H168" s="1" t="s">
        <v>106</v>
      </c>
      <c r="I168" s="1">
        <v>5</v>
      </c>
      <c r="J168" s="1">
        <v>5</v>
      </c>
      <c r="K168" s="1" t="s">
        <v>448</v>
      </c>
      <c r="L168" s="1">
        <v>0</v>
      </c>
      <c r="M168" s="1">
        <v>0</v>
      </c>
      <c r="N168" s="1" t="s">
        <v>144</v>
      </c>
      <c r="O168" s="1">
        <v>20064</v>
      </c>
      <c r="P168" s="1" t="s">
        <v>149</v>
      </c>
      <c r="Q168" s="1" t="s">
        <v>150</v>
      </c>
      <c r="R168">
        <f t="shared" si="4"/>
        <v>8</v>
      </c>
      <c r="S168">
        <f t="shared" si="5"/>
        <v>7</v>
      </c>
    </row>
    <row r="169" spans="1:19" x14ac:dyDescent="0.25">
      <c r="A169" s="1">
        <v>3</v>
      </c>
      <c r="B169" s="5">
        <v>0.33055555555555555</v>
      </c>
      <c r="C169" s="1" t="s">
        <v>74</v>
      </c>
      <c r="D169" s="1" t="s">
        <v>114</v>
      </c>
      <c r="E169" s="1" t="s">
        <v>106</v>
      </c>
      <c r="F169" s="1" t="s">
        <v>106</v>
      </c>
      <c r="G169" s="1" t="s">
        <v>110</v>
      </c>
      <c r="H169" s="1" t="s">
        <v>106</v>
      </c>
      <c r="I169" s="1">
        <v>5</v>
      </c>
      <c r="J169" s="1">
        <v>5</v>
      </c>
      <c r="K169" s="1" t="s">
        <v>114</v>
      </c>
      <c r="L169" s="1">
        <v>1</v>
      </c>
      <c r="M169" s="1">
        <v>0</v>
      </c>
      <c r="N169" s="1" t="s">
        <v>448</v>
      </c>
      <c r="O169" s="1">
        <v>20064</v>
      </c>
      <c r="P169" s="1" t="s">
        <v>149</v>
      </c>
      <c r="Q169" s="1" t="s">
        <v>150</v>
      </c>
      <c r="R169">
        <f t="shared" si="4"/>
        <v>7</v>
      </c>
      <c r="S169">
        <f t="shared" si="5"/>
        <v>56</v>
      </c>
    </row>
    <row r="170" spans="1:19" x14ac:dyDescent="0.25">
      <c r="A170" s="1">
        <v>3</v>
      </c>
      <c r="B170" s="5">
        <v>0.32083333333333336</v>
      </c>
      <c r="C170" s="1" t="s">
        <v>108</v>
      </c>
      <c r="D170" s="1" t="s">
        <v>141</v>
      </c>
      <c r="E170" s="1" t="s">
        <v>123</v>
      </c>
      <c r="F170" s="1" t="s">
        <v>448</v>
      </c>
      <c r="G170" s="1" t="s">
        <v>107</v>
      </c>
      <c r="H170" s="1" t="s">
        <v>106</v>
      </c>
      <c r="I170" s="1">
        <v>5</v>
      </c>
      <c r="J170" s="1">
        <v>5</v>
      </c>
      <c r="K170" s="1" t="s">
        <v>448</v>
      </c>
      <c r="L170" s="1">
        <v>1</v>
      </c>
      <c r="M170" s="1">
        <v>0</v>
      </c>
      <c r="N170" s="1" t="s">
        <v>448</v>
      </c>
      <c r="O170" s="1">
        <v>20064</v>
      </c>
      <c r="P170" s="1" t="s">
        <v>149</v>
      </c>
      <c r="Q170" s="1" t="s">
        <v>150</v>
      </c>
      <c r="R170">
        <f t="shared" si="4"/>
        <v>7</v>
      </c>
      <c r="S170">
        <f t="shared" si="5"/>
        <v>42</v>
      </c>
    </row>
    <row r="171" spans="1:19" x14ac:dyDescent="0.25">
      <c r="A171" s="1">
        <v>3</v>
      </c>
      <c r="B171" s="5">
        <v>0.29583333333333334</v>
      </c>
      <c r="C171" s="1" t="s">
        <v>108</v>
      </c>
      <c r="D171" s="1" t="s">
        <v>145</v>
      </c>
      <c r="E171" s="1" t="s">
        <v>106</v>
      </c>
      <c r="F171" s="1" t="s">
        <v>448</v>
      </c>
      <c r="G171" s="1" t="s">
        <v>110</v>
      </c>
      <c r="H171" s="1" t="s">
        <v>106</v>
      </c>
      <c r="I171" s="1">
        <v>5</v>
      </c>
      <c r="J171" s="1">
        <v>5</v>
      </c>
      <c r="K171" s="1" t="s">
        <v>448</v>
      </c>
      <c r="L171" s="1">
        <v>0</v>
      </c>
      <c r="M171" s="1">
        <v>0</v>
      </c>
      <c r="N171" s="1" t="s">
        <v>448</v>
      </c>
      <c r="O171" s="1">
        <v>20064</v>
      </c>
      <c r="P171" s="1" t="s">
        <v>149</v>
      </c>
      <c r="Q171" s="1" t="s">
        <v>150</v>
      </c>
      <c r="R171">
        <f t="shared" si="4"/>
        <v>7</v>
      </c>
      <c r="S171">
        <f t="shared" si="5"/>
        <v>6</v>
      </c>
    </row>
    <row r="172" spans="1:19" x14ac:dyDescent="0.25">
      <c r="A172" s="1">
        <v>3</v>
      </c>
      <c r="B172" s="5">
        <v>0.29097222222222224</v>
      </c>
      <c r="C172" s="1" t="s">
        <v>74</v>
      </c>
      <c r="D172" s="1" t="s">
        <v>104</v>
      </c>
      <c r="E172" s="1" t="s">
        <v>120</v>
      </c>
      <c r="F172" s="1" t="s">
        <v>121</v>
      </c>
      <c r="G172" s="1" t="s">
        <v>110</v>
      </c>
      <c r="H172" s="1" t="s">
        <v>106</v>
      </c>
      <c r="I172" s="1">
        <v>5</v>
      </c>
      <c r="J172" s="1">
        <v>5</v>
      </c>
      <c r="K172" s="1" t="s">
        <v>104</v>
      </c>
      <c r="L172" s="1">
        <v>2</v>
      </c>
      <c r="M172" s="1">
        <v>0</v>
      </c>
      <c r="N172" s="1" t="s">
        <v>448</v>
      </c>
      <c r="O172" s="1">
        <v>20064</v>
      </c>
      <c r="P172" s="1" t="s">
        <v>149</v>
      </c>
      <c r="Q172" s="1" t="s">
        <v>150</v>
      </c>
      <c r="R172">
        <f t="shared" si="4"/>
        <v>6</v>
      </c>
      <c r="S172">
        <f t="shared" si="5"/>
        <v>59</v>
      </c>
    </row>
    <row r="173" spans="1:19" x14ac:dyDescent="0.25">
      <c r="A173" s="1">
        <v>3</v>
      </c>
      <c r="B173" s="5">
        <v>0.26875000000000004</v>
      </c>
      <c r="C173" s="1" t="s">
        <v>176</v>
      </c>
      <c r="D173" s="1" t="s">
        <v>15</v>
      </c>
      <c r="E173" s="1" t="s">
        <v>448</v>
      </c>
      <c r="F173" s="1" t="s">
        <v>448</v>
      </c>
      <c r="G173" s="1" t="s">
        <v>448</v>
      </c>
      <c r="H173" s="1" t="s">
        <v>448</v>
      </c>
      <c r="I173" s="1">
        <v>4</v>
      </c>
      <c r="J173" s="1">
        <v>4</v>
      </c>
      <c r="K173" s="1" t="s">
        <v>448</v>
      </c>
      <c r="L173" s="1">
        <v>0</v>
      </c>
      <c r="M173" s="1">
        <v>0</v>
      </c>
      <c r="N173" s="1" t="s">
        <v>448</v>
      </c>
      <c r="O173" s="1">
        <v>20064</v>
      </c>
      <c r="P173" s="1" t="s">
        <v>149</v>
      </c>
      <c r="Q173" s="1" t="s">
        <v>150</v>
      </c>
      <c r="R173">
        <f t="shared" si="4"/>
        <v>6</v>
      </c>
      <c r="S173">
        <f t="shared" si="5"/>
        <v>27</v>
      </c>
    </row>
    <row r="174" spans="1:19" x14ac:dyDescent="0.25">
      <c r="A174" s="1">
        <v>3</v>
      </c>
      <c r="B174" s="5">
        <v>0.2638888888888889</v>
      </c>
      <c r="C174" s="1" t="s">
        <v>108</v>
      </c>
      <c r="D174" s="1" t="s">
        <v>128</v>
      </c>
      <c r="E174" s="1" t="s">
        <v>105</v>
      </c>
      <c r="F174" s="1" t="s">
        <v>448</v>
      </c>
      <c r="G174" s="1" t="s">
        <v>110</v>
      </c>
      <c r="H174" s="1" t="s">
        <v>106</v>
      </c>
      <c r="I174" s="1">
        <v>4</v>
      </c>
      <c r="J174" s="1">
        <v>4</v>
      </c>
      <c r="K174" s="1" t="s">
        <v>448</v>
      </c>
      <c r="L174" s="1">
        <v>0</v>
      </c>
      <c r="M174" s="1">
        <v>0</v>
      </c>
      <c r="N174" s="1" t="s">
        <v>448</v>
      </c>
      <c r="O174" s="1">
        <v>20064</v>
      </c>
      <c r="P174" s="1" t="s">
        <v>149</v>
      </c>
      <c r="Q174" s="1" t="s">
        <v>150</v>
      </c>
      <c r="R174">
        <f t="shared" si="4"/>
        <v>6</v>
      </c>
      <c r="S174">
        <f t="shared" si="5"/>
        <v>20</v>
      </c>
    </row>
    <row r="175" spans="1:19" x14ac:dyDescent="0.25">
      <c r="A175" s="1">
        <v>3</v>
      </c>
      <c r="B175" s="5">
        <v>0.25347222222222221</v>
      </c>
      <c r="C175" s="1" t="s">
        <v>74</v>
      </c>
      <c r="D175" s="1" t="s">
        <v>105</v>
      </c>
      <c r="E175" s="1" t="s">
        <v>147</v>
      </c>
      <c r="F175" s="1" t="s">
        <v>106</v>
      </c>
      <c r="G175" s="1" t="s">
        <v>110</v>
      </c>
      <c r="H175" s="1" t="s">
        <v>106</v>
      </c>
      <c r="I175" s="1">
        <v>4</v>
      </c>
      <c r="J175" s="1">
        <v>4</v>
      </c>
      <c r="K175" s="1" t="s">
        <v>105</v>
      </c>
      <c r="L175" s="1">
        <v>1</v>
      </c>
      <c r="M175" s="1">
        <v>0</v>
      </c>
      <c r="N175" s="1" t="s">
        <v>448</v>
      </c>
      <c r="O175" s="1">
        <v>20064</v>
      </c>
      <c r="P175" s="1" t="s">
        <v>149</v>
      </c>
      <c r="Q175" s="1" t="s">
        <v>150</v>
      </c>
      <c r="R175">
        <f t="shared" si="4"/>
        <v>6</v>
      </c>
      <c r="S175">
        <f t="shared" si="5"/>
        <v>5</v>
      </c>
    </row>
    <row r="176" spans="1:19" x14ac:dyDescent="0.25">
      <c r="A176" s="1">
        <v>3</v>
      </c>
      <c r="B176" s="5">
        <v>0.21944444444444455</v>
      </c>
      <c r="C176" s="1" t="s">
        <v>176</v>
      </c>
      <c r="D176" s="1" t="s">
        <v>15</v>
      </c>
      <c r="E176" s="1" t="s">
        <v>448</v>
      </c>
      <c r="F176" s="1" t="s">
        <v>448</v>
      </c>
      <c r="G176" s="1" t="s">
        <v>448</v>
      </c>
      <c r="H176" s="1" t="s">
        <v>448</v>
      </c>
      <c r="I176" s="1">
        <v>3</v>
      </c>
      <c r="J176" s="1">
        <v>4</v>
      </c>
      <c r="K176" s="1" t="s">
        <v>448</v>
      </c>
      <c r="L176" s="1">
        <v>2</v>
      </c>
      <c r="M176" s="1">
        <v>1</v>
      </c>
      <c r="N176" s="1" t="s">
        <v>448</v>
      </c>
      <c r="O176" s="1">
        <v>20064</v>
      </c>
      <c r="P176" s="1" t="s">
        <v>149</v>
      </c>
      <c r="Q176" s="1" t="s">
        <v>150</v>
      </c>
      <c r="R176">
        <f t="shared" si="4"/>
        <v>5</v>
      </c>
      <c r="S176">
        <f t="shared" si="5"/>
        <v>16</v>
      </c>
    </row>
    <row r="177" spans="1:19" x14ac:dyDescent="0.25">
      <c r="A177" s="1">
        <v>3</v>
      </c>
      <c r="B177" s="5">
        <v>0.1875</v>
      </c>
      <c r="C177" s="1" t="s">
        <v>108</v>
      </c>
      <c r="D177" s="1" t="s">
        <v>112</v>
      </c>
      <c r="E177" s="1" t="s">
        <v>139</v>
      </c>
      <c r="F177" s="1" t="s">
        <v>448</v>
      </c>
      <c r="G177" s="1" t="s">
        <v>107</v>
      </c>
      <c r="H177" s="1" t="s">
        <v>106</v>
      </c>
      <c r="I177" s="1">
        <v>4</v>
      </c>
      <c r="J177" s="1">
        <v>4</v>
      </c>
      <c r="K177" s="1" t="s">
        <v>448</v>
      </c>
      <c r="L177" s="1">
        <v>0</v>
      </c>
      <c r="M177" s="1">
        <v>0</v>
      </c>
      <c r="N177" s="1" t="s">
        <v>448</v>
      </c>
      <c r="O177" s="1">
        <v>20064</v>
      </c>
      <c r="P177" s="1" t="s">
        <v>149</v>
      </c>
      <c r="Q177" s="1" t="s">
        <v>150</v>
      </c>
      <c r="R177">
        <f t="shared" si="4"/>
        <v>4</v>
      </c>
      <c r="S177">
        <f t="shared" si="5"/>
        <v>30</v>
      </c>
    </row>
    <row r="178" spans="1:19" x14ac:dyDescent="0.25">
      <c r="A178" s="1">
        <v>3</v>
      </c>
      <c r="B178" s="5">
        <v>0.18124999999999999</v>
      </c>
      <c r="C178" s="1" t="s">
        <v>74</v>
      </c>
      <c r="D178" s="1" t="s">
        <v>139</v>
      </c>
      <c r="E178" s="1" t="s">
        <v>124</v>
      </c>
      <c r="F178" s="1" t="s">
        <v>106</v>
      </c>
      <c r="G178" s="1" t="s">
        <v>110</v>
      </c>
      <c r="H178" s="1" t="s">
        <v>106</v>
      </c>
      <c r="I178" s="1">
        <v>5</v>
      </c>
      <c r="J178" s="1">
        <v>5</v>
      </c>
      <c r="K178" s="1" t="s">
        <v>139</v>
      </c>
      <c r="L178" s="1">
        <v>0</v>
      </c>
      <c r="M178" s="1">
        <v>0</v>
      </c>
      <c r="N178" s="1" t="s">
        <v>448</v>
      </c>
      <c r="O178" s="1">
        <v>20064</v>
      </c>
      <c r="P178" s="1" t="s">
        <v>149</v>
      </c>
      <c r="Q178" s="1" t="s">
        <v>150</v>
      </c>
      <c r="R178">
        <f t="shared" si="4"/>
        <v>4</v>
      </c>
      <c r="S178">
        <f t="shared" si="5"/>
        <v>21</v>
      </c>
    </row>
    <row r="179" spans="1:19" x14ac:dyDescent="0.25">
      <c r="A179" s="1">
        <v>3</v>
      </c>
      <c r="B179" s="5">
        <v>0.16597222222222222</v>
      </c>
      <c r="C179" s="1" t="s">
        <v>74</v>
      </c>
      <c r="D179" s="1" t="s">
        <v>111</v>
      </c>
      <c r="E179" s="1" t="s">
        <v>105</v>
      </c>
      <c r="F179" s="1" t="s">
        <v>106</v>
      </c>
      <c r="G179" s="1" t="s">
        <v>107</v>
      </c>
      <c r="H179" s="1" t="s">
        <v>106</v>
      </c>
      <c r="I179" s="1">
        <v>5</v>
      </c>
      <c r="J179" s="1">
        <v>5</v>
      </c>
      <c r="K179" s="1" t="s">
        <v>111</v>
      </c>
      <c r="L179" s="1">
        <v>0</v>
      </c>
      <c r="M179" s="1">
        <v>0</v>
      </c>
      <c r="N179" s="1" t="s">
        <v>448</v>
      </c>
      <c r="O179" s="1">
        <v>20064</v>
      </c>
      <c r="P179" s="1" t="s">
        <v>149</v>
      </c>
      <c r="Q179" s="1" t="s">
        <v>150</v>
      </c>
      <c r="R179">
        <f t="shared" si="4"/>
        <v>3</v>
      </c>
      <c r="S179">
        <f t="shared" si="5"/>
        <v>59</v>
      </c>
    </row>
    <row r="180" spans="1:19" x14ac:dyDescent="0.25">
      <c r="A180" s="1">
        <v>3</v>
      </c>
      <c r="B180" s="5">
        <v>0.15972222222222224</v>
      </c>
      <c r="C180" s="1" t="s">
        <v>74</v>
      </c>
      <c r="D180" s="1" t="s">
        <v>114</v>
      </c>
      <c r="E180" s="1" t="s">
        <v>130</v>
      </c>
      <c r="F180" s="1" t="s">
        <v>106</v>
      </c>
      <c r="G180" s="1" t="s">
        <v>110</v>
      </c>
      <c r="H180" s="1" t="s">
        <v>106</v>
      </c>
      <c r="I180" s="1">
        <v>5</v>
      </c>
      <c r="J180" s="1">
        <v>5</v>
      </c>
      <c r="K180" s="1" t="s">
        <v>114</v>
      </c>
      <c r="L180" s="1">
        <v>0</v>
      </c>
      <c r="M180" s="1">
        <v>0</v>
      </c>
      <c r="N180" s="1" t="s">
        <v>448</v>
      </c>
      <c r="O180" s="1">
        <v>20064</v>
      </c>
      <c r="P180" s="1" t="s">
        <v>149</v>
      </c>
      <c r="Q180" s="1" t="s">
        <v>150</v>
      </c>
      <c r="R180">
        <f t="shared" si="4"/>
        <v>3</v>
      </c>
      <c r="S180">
        <f t="shared" si="5"/>
        <v>50</v>
      </c>
    </row>
    <row r="181" spans="1:19" x14ac:dyDescent="0.25">
      <c r="A181" s="1">
        <v>3</v>
      </c>
      <c r="B181" s="5">
        <v>0.14652777777777778</v>
      </c>
      <c r="C181" s="1" t="s">
        <v>74</v>
      </c>
      <c r="D181" s="1" t="s">
        <v>123</v>
      </c>
      <c r="E181" s="1" t="s">
        <v>144</v>
      </c>
      <c r="F181" s="1" t="s">
        <v>121</v>
      </c>
      <c r="G181" s="1" t="s">
        <v>107</v>
      </c>
      <c r="H181" s="1" t="s">
        <v>106</v>
      </c>
      <c r="I181" s="1">
        <v>5</v>
      </c>
      <c r="J181" s="1">
        <v>5</v>
      </c>
      <c r="K181" s="1" t="s">
        <v>123</v>
      </c>
      <c r="L181" s="1">
        <v>0</v>
      </c>
      <c r="M181" s="1">
        <v>0</v>
      </c>
      <c r="N181" s="1" t="s">
        <v>448</v>
      </c>
      <c r="O181" s="1">
        <v>20064</v>
      </c>
      <c r="P181" s="1" t="s">
        <v>149</v>
      </c>
      <c r="Q181" s="1" t="s">
        <v>150</v>
      </c>
      <c r="R181">
        <f t="shared" si="4"/>
        <v>3</v>
      </c>
      <c r="S181">
        <f t="shared" si="5"/>
        <v>31</v>
      </c>
    </row>
    <row r="182" spans="1:19" x14ac:dyDescent="0.25">
      <c r="A182" s="1">
        <v>3</v>
      </c>
      <c r="B182" s="5">
        <v>0.13680555555555554</v>
      </c>
      <c r="C182" s="1" t="s">
        <v>74</v>
      </c>
      <c r="D182" s="1" t="s">
        <v>120</v>
      </c>
      <c r="E182" s="1" t="s">
        <v>139</v>
      </c>
      <c r="F182" s="1" t="s">
        <v>121</v>
      </c>
      <c r="G182" s="1" t="s">
        <v>107</v>
      </c>
      <c r="H182" s="1" t="s">
        <v>106</v>
      </c>
      <c r="I182" s="1">
        <v>5</v>
      </c>
      <c r="J182" s="1">
        <v>5</v>
      </c>
      <c r="K182" s="1" t="s">
        <v>120</v>
      </c>
      <c r="L182" s="1">
        <v>0</v>
      </c>
      <c r="M182" s="1">
        <v>0</v>
      </c>
      <c r="N182" s="1" t="s">
        <v>448</v>
      </c>
      <c r="O182" s="1">
        <v>20064</v>
      </c>
      <c r="P182" s="1" t="s">
        <v>149</v>
      </c>
      <c r="Q182" s="1" t="s">
        <v>150</v>
      </c>
      <c r="R182">
        <f t="shared" si="4"/>
        <v>3</v>
      </c>
      <c r="S182">
        <f t="shared" si="5"/>
        <v>17</v>
      </c>
    </row>
    <row r="183" spans="1:19" x14ac:dyDescent="0.25">
      <c r="A183" s="1">
        <v>3</v>
      </c>
      <c r="B183" s="5">
        <v>0.12847222222222224</v>
      </c>
      <c r="C183" s="1" t="s">
        <v>74</v>
      </c>
      <c r="D183" s="1" t="s">
        <v>128</v>
      </c>
      <c r="E183" s="1" t="s">
        <v>120</v>
      </c>
      <c r="F183" s="1" t="s">
        <v>106</v>
      </c>
      <c r="G183" s="1" t="s">
        <v>110</v>
      </c>
      <c r="H183" s="1" t="s">
        <v>106</v>
      </c>
      <c r="I183" s="1">
        <v>5</v>
      </c>
      <c r="J183" s="1">
        <v>5</v>
      </c>
      <c r="K183" s="1" t="s">
        <v>128</v>
      </c>
      <c r="L183" s="1">
        <v>1</v>
      </c>
      <c r="M183" s="1">
        <v>0</v>
      </c>
      <c r="N183" s="1" t="s">
        <v>448</v>
      </c>
      <c r="O183" s="1">
        <v>20064</v>
      </c>
      <c r="P183" s="1" t="s">
        <v>149</v>
      </c>
      <c r="Q183" s="1" t="s">
        <v>150</v>
      </c>
      <c r="R183">
        <f t="shared" si="4"/>
        <v>3</v>
      </c>
      <c r="S183">
        <f t="shared" si="5"/>
        <v>5</v>
      </c>
    </row>
    <row r="184" spans="1:19" x14ac:dyDescent="0.25">
      <c r="A184" s="1">
        <v>3</v>
      </c>
      <c r="B184" s="5">
        <v>0.12152777777777778</v>
      </c>
      <c r="C184" s="1" t="s">
        <v>108</v>
      </c>
      <c r="D184" s="1" t="s">
        <v>142</v>
      </c>
      <c r="E184" s="1" t="s">
        <v>106</v>
      </c>
      <c r="F184" s="1" t="s">
        <v>448</v>
      </c>
      <c r="G184" s="1" t="s">
        <v>110</v>
      </c>
      <c r="H184" s="1" t="s">
        <v>106</v>
      </c>
      <c r="I184" s="1">
        <v>5</v>
      </c>
      <c r="J184" s="1">
        <v>5</v>
      </c>
      <c r="K184" s="1" t="s">
        <v>448</v>
      </c>
      <c r="L184" s="1">
        <v>0</v>
      </c>
      <c r="M184" s="1">
        <v>0</v>
      </c>
      <c r="N184" s="1" t="s">
        <v>448</v>
      </c>
      <c r="O184" s="1">
        <v>20064</v>
      </c>
      <c r="P184" s="1" t="s">
        <v>149</v>
      </c>
      <c r="Q184" s="1" t="s">
        <v>150</v>
      </c>
      <c r="R184">
        <f t="shared" si="4"/>
        <v>2</v>
      </c>
      <c r="S184">
        <f t="shared" si="5"/>
        <v>55</v>
      </c>
    </row>
    <row r="185" spans="1:19" x14ac:dyDescent="0.25">
      <c r="A185" s="1">
        <v>3</v>
      </c>
      <c r="B185" s="5">
        <v>0.11319444444444444</v>
      </c>
      <c r="C185" s="1" t="s">
        <v>108</v>
      </c>
      <c r="D185" s="1" t="s">
        <v>105</v>
      </c>
      <c r="E185" s="1" t="s">
        <v>106</v>
      </c>
      <c r="F185" s="1" t="s">
        <v>448</v>
      </c>
      <c r="G185" s="1" t="s">
        <v>110</v>
      </c>
      <c r="H185" s="1" t="s">
        <v>106</v>
      </c>
      <c r="I185" s="1">
        <v>5</v>
      </c>
      <c r="J185" s="1">
        <v>5</v>
      </c>
      <c r="K185" s="1" t="s">
        <v>448</v>
      </c>
      <c r="L185" s="1">
        <v>0</v>
      </c>
      <c r="M185" s="1">
        <v>0</v>
      </c>
      <c r="N185" s="1" t="s">
        <v>448</v>
      </c>
      <c r="O185" s="1">
        <v>20064</v>
      </c>
      <c r="P185" s="1" t="s">
        <v>149</v>
      </c>
      <c r="Q185" s="1" t="s">
        <v>150</v>
      </c>
      <c r="R185">
        <f t="shared" si="4"/>
        <v>2</v>
      </c>
      <c r="S185">
        <f t="shared" si="5"/>
        <v>43</v>
      </c>
    </row>
    <row r="186" spans="1:19" x14ac:dyDescent="0.25">
      <c r="A186" s="1">
        <v>3</v>
      </c>
      <c r="B186" s="5">
        <v>8.4722222222222365E-2</v>
      </c>
      <c r="C186" s="1" t="s">
        <v>176</v>
      </c>
      <c r="D186" s="1" t="s">
        <v>14</v>
      </c>
      <c r="E186" s="1" t="s">
        <v>448</v>
      </c>
      <c r="F186" s="1" t="s">
        <v>448</v>
      </c>
      <c r="G186" s="1" t="s">
        <v>448</v>
      </c>
      <c r="H186" s="1" t="s">
        <v>448</v>
      </c>
      <c r="I186" s="1">
        <v>5</v>
      </c>
      <c r="J186" s="1">
        <v>3</v>
      </c>
      <c r="K186" s="1" t="s">
        <v>448</v>
      </c>
      <c r="L186" s="1">
        <v>0</v>
      </c>
      <c r="M186" s="1">
        <v>0</v>
      </c>
      <c r="N186" s="1" t="s">
        <v>448</v>
      </c>
      <c r="O186" s="1">
        <v>20064</v>
      </c>
      <c r="P186" s="1" t="s">
        <v>149</v>
      </c>
      <c r="Q186" s="1" t="s">
        <v>150</v>
      </c>
      <c r="R186">
        <f t="shared" si="4"/>
        <v>2</v>
      </c>
      <c r="S186">
        <f t="shared" si="5"/>
        <v>2</v>
      </c>
    </row>
    <row r="187" spans="1:19" x14ac:dyDescent="0.25">
      <c r="A187" s="1">
        <v>3</v>
      </c>
      <c r="B187" s="5">
        <v>7.1527777777777787E-2</v>
      </c>
      <c r="C187" s="1" t="s">
        <v>74</v>
      </c>
      <c r="D187" s="1" t="s">
        <v>105</v>
      </c>
      <c r="E187" s="1" t="s">
        <v>119</v>
      </c>
      <c r="F187" s="1" t="s">
        <v>106</v>
      </c>
      <c r="G187" s="1" t="s">
        <v>110</v>
      </c>
      <c r="H187" s="1" t="s">
        <v>106</v>
      </c>
      <c r="I187" s="1">
        <v>5</v>
      </c>
      <c r="J187" s="1">
        <v>3</v>
      </c>
      <c r="K187" s="1" t="s">
        <v>105</v>
      </c>
      <c r="L187" s="1">
        <v>0</v>
      </c>
      <c r="M187" s="1">
        <v>0</v>
      </c>
      <c r="N187" s="1" t="s">
        <v>448</v>
      </c>
      <c r="O187" s="1">
        <v>20064</v>
      </c>
      <c r="P187" s="1" t="s">
        <v>149</v>
      </c>
      <c r="Q187" s="1" t="s">
        <v>150</v>
      </c>
      <c r="R187">
        <f t="shared" si="4"/>
        <v>1</v>
      </c>
      <c r="S187">
        <f t="shared" si="5"/>
        <v>43</v>
      </c>
    </row>
    <row r="188" spans="1:19" x14ac:dyDescent="0.25">
      <c r="A188" s="1">
        <v>3</v>
      </c>
      <c r="B188" s="5">
        <v>5.9027777777777783E-2</v>
      </c>
      <c r="C188" s="1" t="s">
        <v>74</v>
      </c>
      <c r="D188" s="1" t="s">
        <v>140</v>
      </c>
      <c r="E188" s="1" t="s">
        <v>124</v>
      </c>
      <c r="F188" s="1" t="s">
        <v>121</v>
      </c>
      <c r="G188" s="1" t="s">
        <v>74</v>
      </c>
      <c r="H188" s="1" t="s">
        <v>106</v>
      </c>
      <c r="I188" s="1">
        <v>5</v>
      </c>
      <c r="J188" s="1">
        <v>3</v>
      </c>
      <c r="K188" s="1" t="s">
        <v>140</v>
      </c>
      <c r="L188" s="1">
        <v>0</v>
      </c>
      <c r="M188" s="1">
        <v>0</v>
      </c>
      <c r="N188" s="1" t="s">
        <v>448</v>
      </c>
      <c r="O188" s="1">
        <v>20064</v>
      </c>
      <c r="P188" s="1" t="s">
        <v>149</v>
      </c>
      <c r="Q188" s="1" t="s">
        <v>150</v>
      </c>
      <c r="R188">
        <f t="shared" si="4"/>
        <v>1</v>
      </c>
      <c r="S188">
        <f t="shared" si="5"/>
        <v>25</v>
      </c>
    </row>
    <row r="189" spans="1:19" x14ac:dyDescent="0.25">
      <c r="A189" s="1">
        <v>3</v>
      </c>
      <c r="B189" s="5">
        <v>4.7916666666666663E-2</v>
      </c>
      <c r="C189" s="1" t="s">
        <v>108</v>
      </c>
      <c r="D189" s="1" t="s">
        <v>118</v>
      </c>
      <c r="E189" s="1" t="s">
        <v>139</v>
      </c>
      <c r="F189" s="1" t="s">
        <v>448</v>
      </c>
      <c r="G189" s="1" t="s">
        <v>110</v>
      </c>
      <c r="H189" s="1" t="s">
        <v>106</v>
      </c>
      <c r="I189" s="1">
        <v>5</v>
      </c>
      <c r="J189" s="1">
        <v>3</v>
      </c>
      <c r="K189" s="1" t="s">
        <v>448</v>
      </c>
      <c r="L189" s="1">
        <v>0</v>
      </c>
      <c r="M189" s="1">
        <v>0</v>
      </c>
      <c r="N189" s="1" t="s">
        <v>448</v>
      </c>
      <c r="O189" s="1">
        <v>20064</v>
      </c>
      <c r="P189" s="1" t="s">
        <v>149</v>
      </c>
      <c r="Q189" s="1" t="s">
        <v>150</v>
      </c>
      <c r="R189">
        <f t="shared" si="4"/>
        <v>1</v>
      </c>
      <c r="S189">
        <f t="shared" si="5"/>
        <v>9</v>
      </c>
    </row>
    <row r="190" spans="1:19" x14ac:dyDescent="0.25">
      <c r="A190" s="1">
        <v>3</v>
      </c>
      <c r="B190" s="5">
        <v>3.4722222222222224E-2</v>
      </c>
      <c r="C190" s="1" t="s">
        <v>108</v>
      </c>
      <c r="D190" s="1" t="s">
        <v>146</v>
      </c>
      <c r="E190" s="1" t="s">
        <v>106</v>
      </c>
      <c r="F190" s="1" t="s">
        <v>448</v>
      </c>
      <c r="G190" s="1" t="s">
        <v>74</v>
      </c>
      <c r="H190" s="1" t="s">
        <v>106</v>
      </c>
      <c r="I190" s="1">
        <v>5</v>
      </c>
      <c r="J190" s="1">
        <v>3</v>
      </c>
      <c r="K190" s="1" t="s">
        <v>448</v>
      </c>
      <c r="L190" s="1">
        <v>1</v>
      </c>
      <c r="M190" s="1">
        <v>1</v>
      </c>
      <c r="N190" s="1" t="s">
        <v>448</v>
      </c>
      <c r="O190" s="1">
        <v>20064</v>
      </c>
      <c r="P190" s="1" t="s">
        <v>149</v>
      </c>
      <c r="Q190" s="1" t="s">
        <v>150</v>
      </c>
      <c r="R190">
        <f t="shared" si="4"/>
        <v>0</v>
      </c>
      <c r="S190">
        <f t="shared" si="5"/>
        <v>50</v>
      </c>
    </row>
    <row r="191" spans="1:19" x14ac:dyDescent="0.25">
      <c r="A191" s="1" t="s">
        <v>448</v>
      </c>
      <c r="B191" s="5" t="s">
        <v>448</v>
      </c>
      <c r="C191" s="1" t="s">
        <v>448</v>
      </c>
      <c r="D191" s="1" t="s">
        <v>448</v>
      </c>
      <c r="E191" s="1" t="s">
        <v>448</v>
      </c>
      <c r="F191" s="1" t="s">
        <v>448</v>
      </c>
      <c r="G191" s="1" t="s">
        <v>448</v>
      </c>
      <c r="H191" s="1" t="s">
        <v>448</v>
      </c>
      <c r="I191" s="1" t="s">
        <v>448</v>
      </c>
      <c r="J191" s="1" t="s">
        <v>448</v>
      </c>
      <c r="K191" s="1" t="s">
        <v>448</v>
      </c>
      <c r="L191" s="1" t="s">
        <v>448</v>
      </c>
      <c r="M191" s="1" t="s">
        <v>448</v>
      </c>
      <c r="N191" s="1" t="s">
        <v>448</v>
      </c>
      <c r="O191" s="1">
        <v>20064</v>
      </c>
      <c r="P191" s="1" t="s">
        <v>149</v>
      </c>
      <c r="Q191" s="1" t="s">
        <v>150</v>
      </c>
      <c r="R191" t="str">
        <f t="shared" si="4"/>
        <v/>
      </c>
      <c r="S191" t="str">
        <f t="shared" si="5"/>
        <v/>
      </c>
    </row>
    <row r="192" spans="1:19" x14ac:dyDescent="0.25">
      <c r="A192" s="1" t="s">
        <v>448</v>
      </c>
      <c r="B192" s="5" t="s">
        <v>448</v>
      </c>
      <c r="C192" s="1" t="s">
        <v>448</v>
      </c>
      <c r="D192" s="1" t="s">
        <v>448</v>
      </c>
      <c r="E192" s="1" t="s">
        <v>448</v>
      </c>
      <c r="F192" s="1" t="s">
        <v>448</v>
      </c>
      <c r="G192" s="1" t="s">
        <v>448</v>
      </c>
      <c r="H192" s="1" t="s">
        <v>448</v>
      </c>
      <c r="I192" s="1" t="s">
        <v>448</v>
      </c>
      <c r="J192" s="1" t="s">
        <v>448</v>
      </c>
      <c r="K192" s="1" t="s">
        <v>448</v>
      </c>
      <c r="L192" s="1" t="s">
        <v>448</v>
      </c>
      <c r="M192" s="1" t="s">
        <v>448</v>
      </c>
      <c r="N192" s="1" t="s">
        <v>448</v>
      </c>
      <c r="O192" s="1">
        <v>20064</v>
      </c>
      <c r="P192" s="1" t="s">
        <v>149</v>
      </c>
      <c r="Q192" s="1" t="s">
        <v>150</v>
      </c>
      <c r="R192" t="str">
        <f t="shared" si="4"/>
        <v/>
      </c>
      <c r="S192" t="str">
        <f t="shared" si="5"/>
        <v/>
      </c>
    </row>
    <row r="193" spans="1:19" x14ac:dyDescent="0.25">
      <c r="A193" s="1" t="s">
        <v>448</v>
      </c>
      <c r="B193" s="5" t="s">
        <v>448</v>
      </c>
      <c r="C193" s="1" t="s">
        <v>448</v>
      </c>
      <c r="D193" s="1" t="s">
        <v>448</v>
      </c>
      <c r="E193" s="1" t="s">
        <v>448</v>
      </c>
      <c r="F193" s="1" t="s">
        <v>448</v>
      </c>
      <c r="G193" s="1" t="s">
        <v>448</v>
      </c>
      <c r="H193" s="1" t="s">
        <v>448</v>
      </c>
      <c r="I193" s="1" t="s">
        <v>448</v>
      </c>
      <c r="J193" s="1" t="s">
        <v>448</v>
      </c>
      <c r="K193" s="1" t="s">
        <v>448</v>
      </c>
      <c r="L193" s="1" t="s">
        <v>448</v>
      </c>
      <c r="M193" s="1" t="s">
        <v>448</v>
      </c>
      <c r="N193" s="1" t="s">
        <v>448</v>
      </c>
      <c r="O193" s="1">
        <v>20064</v>
      </c>
      <c r="P193" s="1" t="s">
        <v>149</v>
      </c>
      <c r="Q193" s="1" t="s">
        <v>150</v>
      </c>
      <c r="R193" t="str">
        <f t="shared" si="4"/>
        <v/>
      </c>
      <c r="S193" t="str">
        <f t="shared" si="5"/>
        <v/>
      </c>
    </row>
    <row r="194" spans="1:19" x14ac:dyDescent="0.25">
      <c r="A194" s="1" t="s">
        <v>448</v>
      </c>
      <c r="B194" s="5" t="s">
        <v>448</v>
      </c>
      <c r="C194" s="1" t="s">
        <v>448</v>
      </c>
      <c r="D194" s="1" t="s">
        <v>448</v>
      </c>
      <c r="E194" s="1" t="s">
        <v>448</v>
      </c>
      <c r="F194" s="1" t="s">
        <v>448</v>
      </c>
      <c r="G194" s="1" t="s">
        <v>448</v>
      </c>
      <c r="H194" s="1" t="s">
        <v>448</v>
      </c>
      <c r="I194" s="1" t="s">
        <v>448</v>
      </c>
      <c r="J194" s="1" t="s">
        <v>448</v>
      </c>
      <c r="K194" s="1" t="s">
        <v>448</v>
      </c>
      <c r="L194" s="1" t="s">
        <v>448</v>
      </c>
      <c r="M194" s="1" t="s">
        <v>448</v>
      </c>
      <c r="N194" s="1" t="s">
        <v>448</v>
      </c>
      <c r="O194" s="1">
        <v>20064</v>
      </c>
      <c r="P194" s="1" t="s">
        <v>149</v>
      </c>
      <c r="Q194" s="1" t="s">
        <v>150</v>
      </c>
      <c r="R194" t="str">
        <f t="shared" ref="R194:R257" si="6">IF(ISNUMBER(B194),INT(B194*24),"")</f>
        <v/>
      </c>
      <c r="S194" t="str">
        <f t="shared" ref="S194:S257" si="7">IF(ISNUMBER(B194),ROUND((B194*24-R194)*60,0),"")</f>
        <v/>
      </c>
    </row>
    <row r="195" spans="1:19" x14ac:dyDescent="0.25">
      <c r="A195" s="1" t="s">
        <v>448</v>
      </c>
      <c r="B195" s="5" t="s">
        <v>448</v>
      </c>
      <c r="C195" s="1" t="s">
        <v>448</v>
      </c>
      <c r="D195" s="1" t="s">
        <v>448</v>
      </c>
      <c r="E195" s="1" t="s">
        <v>448</v>
      </c>
      <c r="F195" s="1" t="s">
        <v>448</v>
      </c>
      <c r="G195" s="1" t="s">
        <v>448</v>
      </c>
      <c r="H195" s="1" t="s">
        <v>448</v>
      </c>
      <c r="I195" s="1" t="s">
        <v>448</v>
      </c>
      <c r="J195" s="1" t="s">
        <v>448</v>
      </c>
      <c r="K195" s="1" t="s">
        <v>448</v>
      </c>
      <c r="L195" s="1" t="s">
        <v>448</v>
      </c>
      <c r="M195" s="1" t="s">
        <v>448</v>
      </c>
      <c r="N195" s="1" t="s">
        <v>448</v>
      </c>
      <c r="O195" s="1">
        <v>20064</v>
      </c>
      <c r="P195" s="1" t="s">
        <v>149</v>
      </c>
      <c r="Q195" s="1" t="s">
        <v>150</v>
      </c>
      <c r="R195" t="str">
        <f t="shared" si="6"/>
        <v/>
      </c>
      <c r="S195" t="str">
        <f t="shared" si="7"/>
        <v/>
      </c>
    </row>
    <row r="196" spans="1:19" x14ac:dyDescent="0.25">
      <c r="A196" s="1" t="s">
        <v>448</v>
      </c>
      <c r="B196" s="5" t="s">
        <v>448</v>
      </c>
      <c r="C196" s="1" t="s">
        <v>448</v>
      </c>
      <c r="D196" s="1" t="s">
        <v>448</v>
      </c>
      <c r="E196" s="1" t="s">
        <v>448</v>
      </c>
      <c r="F196" s="1" t="s">
        <v>448</v>
      </c>
      <c r="G196" s="1" t="s">
        <v>448</v>
      </c>
      <c r="H196" s="1" t="s">
        <v>448</v>
      </c>
      <c r="I196" s="1" t="s">
        <v>448</v>
      </c>
      <c r="J196" s="1" t="s">
        <v>448</v>
      </c>
      <c r="K196" s="1" t="s">
        <v>448</v>
      </c>
      <c r="L196" s="1" t="s">
        <v>448</v>
      </c>
      <c r="M196" s="1" t="s">
        <v>448</v>
      </c>
      <c r="N196" s="1" t="s">
        <v>448</v>
      </c>
      <c r="O196" s="1">
        <v>20064</v>
      </c>
      <c r="P196" s="1" t="s">
        <v>149</v>
      </c>
      <c r="Q196" s="1" t="s">
        <v>150</v>
      </c>
      <c r="R196" t="str">
        <f t="shared" si="6"/>
        <v/>
      </c>
      <c r="S196" t="str">
        <f t="shared" si="7"/>
        <v/>
      </c>
    </row>
    <row r="197" spans="1:19" x14ac:dyDescent="0.25">
      <c r="A197" s="1" t="s">
        <v>448</v>
      </c>
      <c r="B197" s="5" t="s">
        <v>448</v>
      </c>
      <c r="C197" s="1" t="s">
        <v>448</v>
      </c>
      <c r="D197" s="1" t="s">
        <v>448</v>
      </c>
      <c r="E197" s="1" t="s">
        <v>448</v>
      </c>
      <c r="F197" s="1" t="s">
        <v>448</v>
      </c>
      <c r="G197" s="1" t="s">
        <v>448</v>
      </c>
      <c r="H197" s="1" t="s">
        <v>448</v>
      </c>
      <c r="I197" s="1" t="s">
        <v>448</v>
      </c>
      <c r="J197" s="1" t="s">
        <v>448</v>
      </c>
      <c r="K197" s="1" t="s">
        <v>448</v>
      </c>
      <c r="L197" s="1" t="s">
        <v>448</v>
      </c>
      <c r="M197" s="1" t="s">
        <v>448</v>
      </c>
      <c r="N197" s="1" t="s">
        <v>448</v>
      </c>
      <c r="O197" s="1">
        <v>20064</v>
      </c>
      <c r="P197" s="1" t="s">
        <v>149</v>
      </c>
      <c r="Q197" s="1" t="s">
        <v>150</v>
      </c>
      <c r="R197" t="str">
        <f t="shared" si="6"/>
        <v/>
      </c>
      <c r="S197" t="str">
        <f t="shared" si="7"/>
        <v/>
      </c>
    </row>
    <row r="198" spans="1:19" x14ac:dyDescent="0.25">
      <c r="A198" s="1" t="s">
        <v>448</v>
      </c>
      <c r="B198" s="5" t="s">
        <v>448</v>
      </c>
      <c r="C198" s="1" t="s">
        <v>448</v>
      </c>
      <c r="D198" s="1" t="s">
        <v>448</v>
      </c>
      <c r="E198" s="1" t="s">
        <v>448</v>
      </c>
      <c r="F198" s="1" t="s">
        <v>448</v>
      </c>
      <c r="G198" s="1" t="s">
        <v>448</v>
      </c>
      <c r="H198" s="1" t="s">
        <v>448</v>
      </c>
      <c r="I198" s="1" t="s">
        <v>448</v>
      </c>
      <c r="J198" s="1" t="s">
        <v>448</v>
      </c>
      <c r="K198" s="1" t="s">
        <v>448</v>
      </c>
      <c r="L198" s="1" t="s">
        <v>448</v>
      </c>
      <c r="M198" s="1" t="s">
        <v>448</v>
      </c>
      <c r="N198" s="1" t="s">
        <v>448</v>
      </c>
      <c r="O198" s="1">
        <v>20064</v>
      </c>
      <c r="P198" s="1" t="s">
        <v>149</v>
      </c>
      <c r="Q198" s="1" t="s">
        <v>150</v>
      </c>
      <c r="R198" t="str">
        <f t="shared" si="6"/>
        <v/>
      </c>
      <c r="S198" t="str">
        <f t="shared" si="7"/>
        <v/>
      </c>
    </row>
    <row r="199" spans="1:19" x14ac:dyDescent="0.25">
      <c r="A199" s="1" t="s">
        <v>448</v>
      </c>
      <c r="B199" s="5" t="s">
        <v>448</v>
      </c>
      <c r="C199" s="1" t="s">
        <v>448</v>
      </c>
      <c r="D199" s="1" t="s">
        <v>448</v>
      </c>
      <c r="E199" s="1" t="s">
        <v>448</v>
      </c>
      <c r="F199" s="1" t="s">
        <v>448</v>
      </c>
      <c r="G199" s="1" t="s">
        <v>448</v>
      </c>
      <c r="H199" s="1" t="s">
        <v>448</v>
      </c>
      <c r="I199" s="1" t="s">
        <v>448</v>
      </c>
      <c r="J199" s="1" t="s">
        <v>448</v>
      </c>
      <c r="K199" s="1" t="s">
        <v>448</v>
      </c>
      <c r="L199" s="1" t="s">
        <v>448</v>
      </c>
      <c r="M199" s="1" t="s">
        <v>448</v>
      </c>
      <c r="N199" s="1" t="s">
        <v>448</v>
      </c>
      <c r="O199" s="1">
        <v>20064</v>
      </c>
      <c r="P199" s="1" t="s">
        <v>149</v>
      </c>
      <c r="Q199" s="1" t="s">
        <v>150</v>
      </c>
      <c r="R199" t="str">
        <f t="shared" si="6"/>
        <v/>
      </c>
      <c r="S199" t="str">
        <f t="shared" si="7"/>
        <v/>
      </c>
    </row>
    <row r="200" spans="1:19" x14ac:dyDescent="0.25">
      <c r="A200" s="1" t="s">
        <v>448</v>
      </c>
      <c r="B200" s="5" t="s">
        <v>448</v>
      </c>
      <c r="C200" s="1" t="s">
        <v>448</v>
      </c>
      <c r="D200" s="1" t="s">
        <v>448</v>
      </c>
      <c r="E200" s="1" t="s">
        <v>448</v>
      </c>
      <c r="F200" s="1" t="s">
        <v>448</v>
      </c>
      <c r="G200" s="1" t="s">
        <v>448</v>
      </c>
      <c r="H200" s="1" t="s">
        <v>448</v>
      </c>
      <c r="I200" s="1" t="s">
        <v>448</v>
      </c>
      <c r="J200" s="1" t="s">
        <v>448</v>
      </c>
      <c r="K200" s="1" t="s">
        <v>448</v>
      </c>
      <c r="L200" s="1" t="s">
        <v>448</v>
      </c>
      <c r="M200" s="1" t="s">
        <v>448</v>
      </c>
      <c r="N200" s="1" t="s">
        <v>448</v>
      </c>
      <c r="O200" s="1">
        <v>20064</v>
      </c>
      <c r="P200" s="1" t="s">
        <v>149</v>
      </c>
      <c r="Q200" s="1" t="s">
        <v>150</v>
      </c>
      <c r="R200" t="str">
        <f t="shared" si="6"/>
        <v/>
      </c>
      <c r="S200" t="str">
        <f t="shared" si="7"/>
        <v/>
      </c>
    </row>
    <row r="201" spans="1:19" x14ac:dyDescent="0.25">
      <c r="A201" s="1" t="s">
        <v>448</v>
      </c>
      <c r="B201" s="5" t="s">
        <v>448</v>
      </c>
      <c r="C201" s="1" t="s">
        <v>448</v>
      </c>
      <c r="D201" s="1" t="s">
        <v>448</v>
      </c>
      <c r="E201" s="1" t="s">
        <v>448</v>
      </c>
      <c r="F201" s="1" t="s">
        <v>448</v>
      </c>
      <c r="G201" s="1" t="s">
        <v>448</v>
      </c>
      <c r="H201" s="1" t="s">
        <v>448</v>
      </c>
      <c r="I201" s="1" t="s">
        <v>448</v>
      </c>
      <c r="J201" s="1" t="s">
        <v>448</v>
      </c>
      <c r="K201" s="1" t="s">
        <v>448</v>
      </c>
      <c r="L201" s="1" t="s">
        <v>448</v>
      </c>
      <c r="M201" s="1" t="s">
        <v>448</v>
      </c>
      <c r="N201" s="1" t="s">
        <v>448</v>
      </c>
      <c r="O201" s="1">
        <v>20064</v>
      </c>
      <c r="P201" s="1" t="s">
        <v>149</v>
      </c>
      <c r="Q201" s="1" t="s">
        <v>150</v>
      </c>
      <c r="R201" t="str">
        <f t="shared" si="6"/>
        <v/>
      </c>
      <c r="S201" t="str">
        <f t="shared" si="7"/>
        <v/>
      </c>
    </row>
    <row r="202" spans="1:19" x14ac:dyDescent="0.25">
      <c r="A202" s="1" t="s">
        <v>448</v>
      </c>
      <c r="B202" s="5" t="s">
        <v>448</v>
      </c>
      <c r="C202" s="1" t="s">
        <v>448</v>
      </c>
      <c r="D202" s="1" t="s">
        <v>448</v>
      </c>
      <c r="E202" s="1" t="s">
        <v>448</v>
      </c>
      <c r="F202" s="1" t="s">
        <v>448</v>
      </c>
      <c r="G202" s="1" t="s">
        <v>448</v>
      </c>
      <c r="H202" s="1" t="s">
        <v>448</v>
      </c>
      <c r="I202" s="1" t="s">
        <v>448</v>
      </c>
      <c r="J202" s="1" t="s">
        <v>448</v>
      </c>
      <c r="K202" s="1" t="s">
        <v>448</v>
      </c>
      <c r="L202" s="1" t="s">
        <v>448</v>
      </c>
      <c r="M202" s="1" t="s">
        <v>448</v>
      </c>
      <c r="N202" s="1" t="s">
        <v>448</v>
      </c>
      <c r="O202" s="1">
        <v>20064</v>
      </c>
      <c r="P202" s="1" t="s">
        <v>149</v>
      </c>
      <c r="Q202" s="1" t="s">
        <v>150</v>
      </c>
      <c r="R202" t="str">
        <f t="shared" si="6"/>
        <v/>
      </c>
      <c r="S202" t="str">
        <f t="shared" si="7"/>
        <v/>
      </c>
    </row>
    <row r="203" spans="1:19" x14ac:dyDescent="0.25">
      <c r="A203" s="1" t="s">
        <v>448</v>
      </c>
      <c r="B203" s="5" t="s">
        <v>448</v>
      </c>
      <c r="C203" s="1" t="s">
        <v>448</v>
      </c>
      <c r="D203" s="1" t="s">
        <v>448</v>
      </c>
      <c r="E203" s="1" t="s">
        <v>448</v>
      </c>
      <c r="F203" s="1" t="s">
        <v>448</v>
      </c>
      <c r="G203" s="1" t="s">
        <v>448</v>
      </c>
      <c r="H203" s="1" t="s">
        <v>448</v>
      </c>
      <c r="I203" s="1" t="s">
        <v>448</v>
      </c>
      <c r="J203" s="1" t="s">
        <v>448</v>
      </c>
      <c r="K203" s="1" t="s">
        <v>448</v>
      </c>
      <c r="L203" s="1" t="s">
        <v>448</v>
      </c>
      <c r="M203" s="1" t="s">
        <v>448</v>
      </c>
      <c r="N203" s="1" t="s">
        <v>448</v>
      </c>
      <c r="O203" s="1">
        <v>20064</v>
      </c>
      <c r="P203" s="1" t="s">
        <v>149</v>
      </c>
      <c r="Q203" s="1" t="s">
        <v>150</v>
      </c>
      <c r="R203" t="str">
        <f t="shared" si="6"/>
        <v/>
      </c>
      <c r="S203" t="str">
        <f t="shared" si="7"/>
        <v/>
      </c>
    </row>
    <row r="204" spans="1:19" x14ac:dyDescent="0.25">
      <c r="A204" s="1" t="s">
        <v>448</v>
      </c>
      <c r="B204" s="5" t="s">
        <v>448</v>
      </c>
      <c r="C204" s="1" t="s">
        <v>448</v>
      </c>
      <c r="D204" s="1" t="s">
        <v>448</v>
      </c>
      <c r="E204" s="1" t="s">
        <v>448</v>
      </c>
      <c r="F204" s="1" t="s">
        <v>448</v>
      </c>
      <c r="G204" s="1" t="s">
        <v>448</v>
      </c>
      <c r="H204" s="1" t="s">
        <v>448</v>
      </c>
      <c r="I204" s="1" t="s">
        <v>448</v>
      </c>
      <c r="J204" s="1" t="s">
        <v>448</v>
      </c>
      <c r="K204" s="1" t="s">
        <v>448</v>
      </c>
      <c r="L204" s="1" t="s">
        <v>448</v>
      </c>
      <c r="M204" s="1" t="s">
        <v>448</v>
      </c>
      <c r="N204" s="1" t="s">
        <v>448</v>
      </c>
      <c r="O204" s="1">
        <v>20064</v>
      </c>
      <c r="P204" s="1" t="s">
        <v>149</v>
      </c>
      <c r="Q204" s="1" t="s">
        <v>150</v>
      </c>
      <c r="R204" t="str">
        <f t="shared" si="6"/>
        <v/>
      </c>
      <c r="S204" t="str">
        <f t="shared" si="7"/>
        <v/>
      </c>
    </row>
    <row r="205" spans="1:19" x14ac:dyDescent="0.25">
      <c r="A205" s="1" t="s">
        <v>448</v>
      </c>
      <c r="B205" s="5" t="s">
        <v>448</v>
      </c>
      <c r="C205" s="1" t="s">
        <v>448</v>
      </c>
      <c r="D205" s="1" t="s">
        <v>448</v>
      </c>
      <c r="E205" s="1" t="s">
        <v>448</v>
      </c>
      <c r="F205" s="1" t="s">
        <v>448</v>
      </c>
      <c r="G205" s="1" t="s">
        <v>448</v>
      </c>
      <c r="H205" s="1" t="s">
        <v>448</v>
      </c>
      <c r="I205" s="1" t="s">
        <v>448</v>
      </c>
      <c r="J205" s="1" t="s">
        <v>448</v>
      </c>
      <c r="K205" s="1" t="s">
        <v>448</v>
      </c>
      <c r="L205" s="1" t="s">
        <v>448</v>
      </c>
      <c r="M205" s="1" t="s">
        <v>448</v>
      </c>
      <c r="N205" s="1" t="s">
        <v>448</v>
      </c>
      <c r="O205" s="1">
        <v>20064</v>
      </c>
      <c r="P205" s="1" t="s">
        <v>149</v>
      </c>
      <c r="Q205" s="1" t="s">
        <v>150</v>
      </c>
      <c r="R205" t="str">
        <f t="shared" si="6"/>
        <v/>
      </c>
      <c r="S205" t="str">
        <f t="shared" si="7"/>
        <v/>
      </c>
    </row>
    <row r="206" spans="1:19" x14ac:dyDescent="0.25">
      <c r="A206" s="1" t="s">
        <v>448</v>
      </c>
      <c r="B206" s="5" t="s">
        <v>448</v>
      </c>
      <c r="C206" s="1" t="s">
        <v>448</v>
      </c>
      <c r="D206" s="1" t="s">
        <v>448</v>
      </c>
      <c r="E206" s="1" t="s">
        <v>448</v>
      </c>
      <c r="F206" s="1" t="s">
        <v>448</v>
      </c>
      <c r="G206" s="1" t="s">
        <v>448</v>
      </c>
      <c r="H206" s="1" t="s">
        <v>448</v>
      </c>
      <c r="I206" s="1" t="s">
        <v>448</v>
      </c>
      <c r="J206" s="1" t="s">
        <v>448</v>
      </c>
      <c r="K206" s="1" t="s">
        <v>448</v>
      </c>
      <c r="L206" s="1" t="s">
        <v>448</v>
      </c>
      <c r="M206" s="1" t="s">
        <v>448</v>
      </c>
      <c r="N206" s="1" t="s">
        <v>448</v>
      </c>
      <c r="O206" s="1">
        <v>20064</v>
      </c>
      <c r="P206" s="1" t="s">
        <v>149</v>
      </c>
      <c r="Q206" s="1" t="s">
        <v>150</v>
      </c>
      <c r="R206" t="str">
        <f t="shared" si="6"/>
        <v/>
      </c>
      <c r="S206" t="str">
        <f t="shared" si="7"/>
        <v/>
      </c>
    </row>
    <row r="207" spans="1:19" x14ac:dyDescent="0.25">
      <c r="A207" s="1" t="s">
        <v>448</v>
      </c>
      <c r="B207" s="5" t="s">
        <v>448</v>
      </c>
      <c r="C207" s="1" t="s">
        <v>448</v>
      </c>
      <c r="D207" s="1" t="s">
        <v>448</v>
      </c>
      <c r="E207" s="1" t="s">
        <v>448</v>
      </c>
      <c r="F207" s="1" t="s">
        <v>448</v>
      </c>
      <c r="G207" s="1" t="s">
        <v>448</v>
      </c>
      <c r="H207" s="1" t="s">
        <v>448</v>
      </c>
      <c r="I207" s="1" t="s">
        <v>448</v>
      </c>
      <c r="J207" s="1" t="s">
        <v>448</v>
      </c>
      <c r="K207" s="1" t="s">
        <v>448</v>
      </c>
      <c r="L207" s="1" t="s">
        <v>448</v>
      </c>
      <c r="M207" s="1" t="s">
        <v>448</v>
      </c>
      <c r="N207" s="1" t="s">
        <v>448</v>
      </c>
      <c r="O207" s="1">
        <v>20064</v>
      </c>
      <c r="P207" s="1" t="s">
        <v>149</v>
      </c>
      <c r="Q207" s="1" t="s">
        <v>150</v>
      </c>
      <c r="R207" t="str">
        <f t="shared" si="6"/>
        <v/>
      </c>
      <c r="S207" t="str">
        <f t="shared" si="7"/>
        <v/>
      </c>
    </row>
    <row r="208" spans="1:19" x14ac:dyDescent="0.25">
      <c r="A208" s="1" t="s">
        <v>448</v>
      </c>
      <c r="B208" s="5" t="s">
        <v>448</v>
      </c>
      <c r="C208" s="1" t="s">
        <v>448</v>
      </c>
      <c r="D208" s="1" t="s">
        <v>448</v>
      </c>
      <c r="E208" s="1" t="s">
        <v>448</v>
      </c>
      <c r="F208" s="1" t="s">
        <v>448</v>
      </c>
      <c r="G208" s="1" t="s">
        <v>448</v>
      </c>
      <c r="H208" s="1" t="s">
        <v>448</v>
      </c>
      <c r="I208" s="1" t="s">
        <v>448</v>
      </c>
      <c r="J208" s="1" t="s">
        <v>448</v>
      </c>
      <c r="K208" s="1" t="s">
        <v>448</v>
      </c>
      <c r="L208" s="1" t="s">
        <v>448</v>
      </c>
      <c r="M208" s="1" t="s">
        <v>448</v>
      </c>
      <c r="N208" s="1" t="s">
        <v>448</v>
      </c>
      <c r="O208" s="1">
        <v>20064</v>
      </c>
      <c r="P208" s="1" t="s">
        <v>149</v>
      </c>
      <c r="Q208" s="1" t="s">
        <v>150</v>
      </c>
      <c r="R208" t="str">
        <f t="shared" si="6"/>
        <v/>
      </c>
      <c r="S208" t="str">
        <f t="shared" si="7"/>
        <v/>
      </c>
    </row>
    <row r="209" spans="1:19" x14ac:dyDescent="0.25">
      <c r="A209" s="1" t="s">
        <v>448</v>
      </c>
      <c r="B209" s="5" t="s">
        <v>448</v>
      </c>
      <c r="C209" s="1" t="s">
        <v>448</v>
      </c>
      <c r="D209" s="1" t="s">
        <v>448</v>
      </c>
      <c r="E209" s="1" t="s">
        <v>448</v>
      </c>
      <c r="F209" s="1" t="s">
        <v>448</v>
      </c>
      <c r="G209" s="1" t="s">
        <v>448</v>
      </c>
      <c r="H209" s="1" t="s">
        <v>448</v>
      </c>
      <c r="I209" s="1" t="s">
        <v>448</v>
      </c>
      <c r="J209" s="1" t="s">
        <v>448</v>
      </c>
      <c r="K209" s="1" t="s">
        <v>448</v>
      </c>
      <c r="L209" s="1" t="s">
        <v>448</v>
      </c>
      <c r="M209" s="1" t="s">
        <v>448</v>
      </c>
      <c r="N209" s="1" t="s">
        <v>448</v>
      </c>
      <c r="O209" s="1">
        <v>20064</v>
      </c>
      <c r="P209" s="1" t="s">
        <v>149</v>
      </c>
      <c r="Q209" s="1" t="s">
        <v>150</v>
      </c>
      <c r="R209" t="str">
        <f t="shared" si="6"/>
        <v/>
      </c>
      <c r="S209" t="str">
        <f t="shared" si="7"/>
        <v/>
      </c>
    </row>
    <row r="210" spans="1:19" x14ac:dyDescent="0.25">
      <c r="A210" s="1" t="s">
        <v>448</v>
      </c>
      <c r="B210" s="5" t="s">
        <v>448</v>
      </c>
      <c r="C210" s="1" t="s">
        <v>448</v>
      </c>
      <c r="D210" s="1" t="s">
        <v>448</v>
      </c>
      <c r="E210" s="1" t="s">
        <v>448</v>
      </c>
      <c r="F210" s="1" t="s">
        <v>448</v>
      </c>
      <c r="G210" s="1" t="s">
        <v>448</v>
      </c>
      <c r="H210" s="1" t="s">
        <v>448</v>
      </c>
      <c r="I210" s="1" t="s">
        <v>448</v>
      </c>
      <c r="J210" s="1" t="s">
        <v>448</v>
      </c>
      <c r="K210" s="1" t="s">
        <v>448</v>
      </c>
      <c r="L210" s="1" t="s">
        <v>448</v>
      </c>
      <c r="M210" s="1" t="s">
        <v>448</v>
      </c>
      <c r="N210" s="1" t="s">
        <v>448</v>
      </c>
      <c r="O210" s="1">
        <v>20064</v>
      </c>
      <c r="P210" s="1" t="s">
        <v>149</v>
      </c>
      <c r="Q210" s="1" t="s">
        <v>150</v>
      </c>
      <c r="R210" t="str">
        <f t="shared" si="6"/>
        <v/>
      </c>
      <c r="S210" t="str">
        <f t="shared" si="7"/>
        <v/>
      </c>
    </row>
    <row r="211" spans="1:19" x14ac:dyDescent="0.25">
      <c r="A211" s="1" t="s">
        <v>448</v>
      </c>
      <c r="B211" s="5" t="s">
        <v>448</v>
      </c>
      <c r="C211" s="1" t="s">
        <v>448</v>
      </c>
      <c r="D211" s="1" t="s">
        <v>448</v>
      </c>
      <c r="E211" s="1" t="s">
        <v>448</v>
      </c>
      <c r="F211" s="1" t="s">
        <v>448</v>
      </c>
      <c r="G211" s="1" t="s">
        <v>448</v>
      </c>
      <c r="H211" s="1" t="s">
        <v>448</v>
      </c>
      <c r="I211" s="1" t="s">
        <v>448</v>
      </c>
      <c r="J211" s="1" t="s">
        <v>448</v>
      </c>
      <c r="K211" s="1" t="s">
        <v>448</v>
      </c>
      <c r="L211" s="1" t="s">
        <v>448</v>
      </c>
      <c r="M211" s="1" t="s">
        <v>448</v>
      </c>
      <c r="N211" s="1" t="s">
        <v>448</v>
      </c>
      <c r="O211" s="1">
        <v>20064</v>
      </c>
      <c r="P211" s="1" t="s">
        <v>149</v>
      </c>
      <c r="Q211" s="1" t="s">
        <v>150</v>
      </c>
      <c r="R211" t="str">
        <f t="shared" si="6"/>
        <v/>
      </c>
      <c r="S211" t="str">
        <f t="shared" si="7"/>
        <v/>
      </c>
    </row>
    <row r="212" spans="1:19" x14ac:dyDescent="0.25">
      <c r="A212" s="1" t="s">
        <v>448</v>
      </c>
      <c r="B212" s="5" t="s">
        <v>448</v>
      </c>
      <c r="C212" s="1" t="s">
        <v>448</v>
      </c>
      <c r="D212" s="1" t="s">
        <v>448</v>
      </c>
      <c r="E212" s="1" t="s">
        <v>448</v>
      </c>
      <c r="F212" s="1" t="s">
        <v>448</v>
      </c>
      <c r="G212" s="1" t="s">
        <v>448</v>
      </c>
      <c r="H212" s="1" t="s">
        <v>448</v>
      </c>
      <c r="I212" s="1" t="s">
        <v>448</v>
      </c>
      <c r="J212" s="1" t="s">
        <v>448</v>
      </c>
      <c r="K212" s="1" t="s">
        <v>448</v>
      </c>
      <c r="L212" s="1" t="s">
        <v>448</v>
      </c>
      <c r="M212" s="1" t="s">
        <v>448</v>
      </c>
      <c r="N212" s="1" t="s">
        <v>448</v>
      </c>
      <c r="O212" s="1">
        <v>20064</v>
      </c>
      <c r="P212" s="1" t="s">
        <v>149</v>
      </c>
      <c r="Q212" s="1" t="s">
        <v>150</v>
      </c>
      <c r="R212" t="str">
        <f t="shared" si="6"/>
        <v/>
      </c>
      <c r="S212" t="str">
        <f t="shared" si="7"/>
        <v/>
      </c>
    </row>
    <row r="213" spans="1:19" x14ac:dyDescent="0.25">
      <c r="A213" s="1" t="s">
        <v>448</v>
      </c>
      <c r="B213" s="5" t="s">
        <v>448</v>
      </c>
      <c r="C213" s="1" t="s">
        <v>448</v>
      </c>
      <c r="D213" s="1" t="s">
        <v>448</v>
      </c>
      <c r="E213" s="1" t="s">
        <v>448</v>
      </c>
      <c r="F213" s="1" t="s">
        <v>448</v>
      </c>
      <c r="G213" s="1" t="s">
        <v>448</v>
      </c>
      <c r="H213" s="1" t="s">
        <v>448</v>
      </c>
      <c r="I213" s="1" t="s">
        <v>448</v>
      </c>
      <c r="J213" s="1" t="s">
        <v>448</v>
      </c>
      <c r="K213" s="1" t="s">
        <v>448</v>
      </c>
      <c r="L213" s="1" t="s">
        <v>448</v>
      </c>
      <c r="M213" s="1" t="s">
        <v>448</v>
      </c>
      <c r="N213" s="1" t="s">
        <v>448</v>
      </c>
      <c r="O213" s="1">
        <v>20064</v>
      </c>
      <c r="P213" s="1" t="s">
        <v>149</v>
      </c>
      <c r="Q213" s="1" t="s">
        <v>150</v>
      </c>
      <c r="R213" t="str">
        <f t="shared" si="6"/>
        <v/>
      </c>
      <c r="S213" t="str">
        <f t="shared" si="7"/>
        <v/>
      </c>
    </row>
    <row r="214" spans="1:19" x14ac:dyDescent="0.25">
      <c r="A214" s="1" t="s">
        <v>448</v>
      </c>
      <c r="B214" s="5" t="s">
        <v>448</v>
      </c>
      <c r="C214" s="1" t="s">
        <v>448</v>
      </c>
      <c r="D214" s="1" t="s">
        <v>448</v>
      </c>
      <c r="E214" s="1" t="s">
        <v>448</v>
      </c>
      <c r="F214" s="1" t="s">
        <v>448</v>
      </c>
      <c r="G214" s="1" t="s">
        <v>448</v>
      </c>
      <c r="H214" s="1" t="s">
        <v>448</v>
      </c>
      <c r="I214" s="1" t="s">
        <v>448</v>
      </c>
      <c r="J214" s="1" t="s">
        <v>448</v>
      </c>
      <c r="K214" s="1" t="s">
        <v>448</v>
      </c>
      <c r="L214" s="1" t="s">
        <v>448</v>
      </c>
      <c r="M214" s="1" t="s">
        <v>448</v>
      </c>
      <c r="N214" s="1" t="s">
        <v>448</v>
      </c>
      <c r="O214" s="1">
        <v>20064</v>
      </c>
      <c r="P214" s="1" t="s">
        <v>149</v>
      </c>
      <c r="Q214" s="1" t="s">
        <v>150</v>
      </c>
      <c r="R214" t="str">
        <f t="shared" si="6"/>
        <v/>
      </c>
      <c r="S214" t="str">
        <f t="shared" si="7"/>
        <v/>
      </c>
    </row>
    <row r="215" spans="1:19" x14ac:dyDescent="0.25">
      <c r="A215" s="1" t="s">
        <v>448</v>
      </c>
      <c r="B215" s="5" t="s">
        <v>448</v>
      </c>
      <c r="C215" s="1" t="s">
        <v>448</v>
      </c>
      <c r="D215" s="1" t="s">
        <v>448</v>
      </c>
      <c r="E215" s="1" t="s">
        <v>448</v>
      </c>
      <c r="F215" s="1" t="s">
        <v>448</v>
      </c>
      <c r="G215" s="1" t="s">
        <v>448</v>
      </c>
      <c r="H215" s="1" t="s">
        <v>448</v>
      </c>
      <c r="I215" s="1" t="s">
        <v>448</v>
      </c>
      <c r="J215" s="1" t="s">
        <v>448</v>
      </c>
      <c r="K215" s="1" t="s">
        <v>448</v>
      </c>
      <c r="L215" s="1" t="s">
        <v>448</v>
      </c>
      <c r="M215" s="1" t="s">
        <v>448</v>
      </c>
      <c r="N215" s="1" t="s">
        <v>448</v>
      </c>
      <c r="O215" s="1">
        <v>20064</v>
      </c>
      <c r="P215" s="1" t="s">
        <v>149</v>
      </c>
      <c r="Q215" s="1" t="s">
        <v>150</v>
      </c>
      <c r="R215" t="str">
        <f t="shared" si="6"/>
        <v/>
      </c>
      <c r="S215" t="str">
        <f t="shared" si="7"/>
        <v/>
      </c>
    </row>
    <row r="216" spans="1:19" x14ac:dyDescent="0.25">
      <c r="A216" s="1" t="s">
        <v>448</v>
      </c>
      <c r="B216" s="5" t="s">
        <v>448</v>
      </c>
      <c r="C216" s="1" t="s">
        <v>448</v>
      </c>
      <c r="D216" s="1" t="s">
        <v>448</v>
      </c>
      <c r="E216" s="1" t="s">
        <v>448</v>
      </c>
      <c r="F216" s="1" t="s">
        <v>448</v>
      </c>
      <c r="G216" s="1" t="s">
        <v>448</v>
      </c>
      <c r="H216" s="1" t="s">
        <v>448</v>
      </c>
      <c r="I216" s="1" t="s">
        <v>448</v>
      </c>
      <c r="J216" s="1" t="s">
        <v>448</v>
      </c>
      <c r="K216" s="1" t="s">
        <v>448</v>
      </c>
      <c r="L216" s="1" t="s">
        <v>448</v>
      </c>
      <c r="M216" s="1" t="s">
        <v>448</v>
      </c>
      <c r="N216" s="1" t="s">
        <v>448</v>
      </c>
      <c r="O216" s="1">
        <v>20064</v>
      </c>
      <c r="P216" s="1" t="s">
        <v>149</v>
      </c>
      <c r="Q216" s="1" t="s">
        <v>150</v>
      </c>
      <c r="R216" t="str">
        <f t="shared" si="6"/>
        <v/>
      </c>
      <c r="S216" t="str">
        <f t="shared" si="7"/>
        <v/>
      </c>
    </row>
    <row r="217" spans="1:19" x14ac:dyDescent="0.25">
      <c r="A217" s="1" t="s">
        <v>448</v>
      </c>
      <c r="B217" s="5" t="s">
        <v>448</v>
      </c>
      <c r="C217" s="1" t="s">
        <v>448</v>
      </c>
      <c r="D217" s="1" t="s">
        <v>448</v>
      </c>
      <c r="E217" s="1" t="s">
        <v>448</v>
      </c>
      <c r="F217" s="1" t="s">
        <v>448</v>
      </c>
      <c r="G217" s="1" t="s">
        <v>448</v>
      </c>
      <c r="H217" s="1" t="s">
        <v>448</v>
      </c>
      <c r="I217" s="1" t="s">
        <v>448</v>
      </c>
      <c r="J217" s="1" t="s">
        <v>448</v>
      </c>
      <c r="K217" s="1" t="s">
        <v>448</v>
      </c>
      <c r="L217" s="1" t="s">
        <v>448</v>
      </c>
      <c r="M217" s="1" t="s">
        <v>448</v>
      </c>
      <c r="N217" s="1" t="s">
        <v>448</v>
      </c>
      <c r="O217" s="1">
        <v>20064</v>
      </c>
      <c r="P217" s="1" t="s">
        <v>149</v>
      </c>
      <c r="Q217" s="1" t="s">
        <v>150</v>
      </c>
      <c r="R217" t="str">
        <f t="shared" si="6"/>
        <v/>
      </c>
      <c r="S217" t="str">
        <f t="shared" si="7"/>
        <v/>
      </c>
    </row>
    <row r="218" spans="1:19" x14ac:dyDescent="0.25">
      <c r="A218" s="1" t="s">
        <v>448</v>
      </c>
      <c r="B218" s="5" t="s">
        <v>448</v>
      </c>
      <c r="C218" s="1" t="s">
        <v>448</v>
      </c>
      <c r="D218" s="1" t="s">
        <v>448</v>
      </c>
      <c r="E218" s="1" t="s">
        <v>448</v>
      </c>
      <c r="F218" s="1" t="s">
        <v>448</v>
      </c>
      <c r="G218" s="1" t="s">
        <v>448</v>
      </c>
      <c r="H218" s="1" t="s">
        <v>448</v>
      </c>
      <c r="I218" s="1" t="s">
        <v>448</v>
      </c>
      <c r="J218" s="1" t="s">
        <v>448</v>
      </c>
      <c r="K218" s="1" t="s">
        <v>448</v>
      </c>
      <c r="L218" s="1" t="s">
        <v>448</v>
      </c>
      <c r="M218" s="1" t="s">
        <v>448</v>
      </c>
      <c r="N218" s="1" t="s">
        <v>448</v>
      </c>
      <c r="O218" s="1">
        <v>20064</v>
      </c>
      <c r="P218" s="1" t="s">
        <v>149</v>
      </c>
      <c r="Q218" s="1" t="s">
        <v>150</v>
      </c>
      <c r="R218" t="str">
        <f t="shared" si="6"/>
        <v/>
      </c>
      <c r="S218" t="str">
        <f t="shared" si="7"/>
        <v/>
      </c>
    </row>
    <row r="219" spans="1:19" x14ac:dyDescent="0.25">
      <c r="A219" s="1" t="s">
        <v>448</v>
      </c>
      <c r="B219" s="5" t="s">
        <v>448</v>
      </c>
      <c r="C219" s="1" t="s">
        <v>448</v>
      </c>
      <c r="D219" s="1" t="s">
        <v>448</v>
      </c>
      <c r="E219" s="1" t="s">
        <v>448</v>
      </c>
      <c r="F219" s="1" t="s">
        <v>448</v>
      </c>
      <c r="G219" s="1" t="s">
        <v>448</v>
      </c>
      <c r="H219" s="1" t="s">
        <v>448</v>
      </c>
      <c r="I219" s="1" t="s">
        <v>448</v>
      </c>
      <c r="J219" s="1" t="s">
        <v>448</v>
      </c>
      <c r="K219" s="1" t="s">
        <v>448</v>
      </c>
      <c r="L219" s="1" t="s">
        <v>448</v>
      </c>
      <c r="M219" s="1" t="s">
        <v>448</v>
      </c>
      <c r="N219" s="1" t="s">
        <v>448</v>
      </c>
      <c r="O219" s="1">
        <v>20064</v>
      </c>
      <c r="P219" s="1" t="s">
        <v>149</v>
      </c>
      <c r="Q219" s="1" t="s">
        <v>150</v>
      </c>
      <c r="R219" t="str">
        <f t="shared" si="6"/>
        <v/>
      </c>
      <c r="S219" t="str">
        <f t="shared" si="7"/>
        <v/>
      </c>
    </row>
    <row r="220" spans="1:19" x14ac:dyDescent="0.25">
      <c r="A220" s="1" t="s">
        <v>448</v>
      </c>
      <c r="B220" s="5" t="s">
        <v>448</v>
      </c>
      <c r="C220" s="1" t="s">
        <v>448</v>
      </c>
      <c r="D220" s="1" t="s">
        <v>448</v>
      </c>
      <c r="E220" s="1" t="s">
        <v>448</v>
      </c>
      <c r="F220" s="1" t="s">
        <v>448</v>
      </c>
      <c r="G220" s="1" t="s">
        <v>448</v>
      </c>
      <c r="H220" s="1" t="s">
        <v>448</v>
      </c>
      <c r="I220" s="1" t="s">
        <v>448</v>
      </c>
      <c r="J220" s="1" t="s">
        <v>448</v>
      </c>
      <c r="K220" s="1" t="s">
        <v>448</v>
      </c>
      <c r="L220" s="1" t="s">
        <v>448</v>
      </c>
      <c r="M220" s="1" t="s">
        <v>448</v>
      </c>
      <c r="N220" s="1" t="s">
        <v>448</v>
      </c>
      <c r="O220" s="1">
        <v>20064</v>
      </c>
      <c r="P220" s="1" t="s">
        <v>149</v>
      </c>
      <c r="Q220" s="1" t="s">
        <v>150</v>
      </c>
      <c r="R220" t="str">
        <f t="shared" si="6"/>
        <v/>
      </c>
      <c r="S220" t="str">
        <f t="shared" si="7"/>
        <v/>
      </c>
    </row>
    <row r="221" spans="1:19" x14ac:dyDescent="0.25">
      <c r="A221" s="1" t="s">
        <v>448</v>
      </c>
      <c r="B221" s="5" t="s">
        <v>448</v>
      </c>
      <c r="C221" s="1" t="s">
        <v>448</v>
      </c>
      <c r="D221" s="1" t="s">
        <v>448</v>
      </c>
      <c r="E221" s="1" t="s">
        <v>448</v>
      </c>
      <c r="F221" s="1" t="s">
        <v>448</v>
      </c>
      <c r="G221" s="1" t="s">
        <v>448</v>
      </c>
      <c r="H221" s="1" t="s">
        <v>448</v>
      </c>
      <c r="I221" s="1" t="s">
        <v>448</v>
      </c>
      <c r="J221" s="1" t="s">
        <v>448</v>
      </c>
      <c r="K221" s="1" t="s">
        <v>448</v>
      </c>
      <c r="L221" s="1" t="s">
        <v>448</v>
      </c>
      <c r="M221" s="1" t="s">
        <v>448</v>
      </c>
      <c r="N221" s="1" t="s">
        <v>448</v>
      </c>
      <c r="O221" s="1">
        <v>20064</v>
      </c>
      <c r="P221" s="1" t="s">
        <v>149</v>
      </c>
      <c r="Q221" s="1" t="s">
        <v>150</v>
      </c>
      <c r="R221" t="str">
        <f t="shared" si="6"/>
        <v/>
      </c>
      <c r="S221" t="str">
        <f t="shared" si="7"/>
        <v/>
      </c>
    </row>
    <row r="222" spans="1:19" x14ac:dyDescent="0.25">
      <c r="A222" s="1" t="s">
        <v>448</v>
      </c>
      <c r="B222" s="5" t="s">
        <v>448</v>
      </c>
      <c r="C222" s="1" t="s">
        <v>448</v>
      </c>
      <c r="D222" s="1" t="s">
        <v>448</v>
      </c>
      <c r="E222" s="1" t="s">
        <v>448</v>
      </c>
      <c r="F222" s="1" t="s">
        <v>448</v>
      </c>
      <c r="G222" s="1" t="s">
        <v>448</v>
      </c>
      <c r="H222" s="1" t="s">
        <v>448</v>
      </c>
      <c r="I222" s="1" t="s">
        <v>448</v>
      </c>
      <c r="J222" s="1" t="s">
        <v>448</v>
      </c>
      <c r="K222" s="1" t="s">
        <v>448</v>
      </c>
      <c r="L222" s="1" t="s">
        <v>448</v>
      </c>
      <c r="M222" s="1" t="s">
        <v>448</v>
      </c>
      <c r="N222" s="1" t="s">
        <v>448</v>
      </c>
      <c r="O222" s="1">
        <v>20064</v>
      </c>
      <c r="P222" s="1" t="s">
        <v>149</v>
      </c>
      <c r="Q222" s="1" t="s">
        <v>150</v>
      </c>
      <c r="R222" t="str">
        <f t="shared" si="6"/>
        <v/>
      </c>
      <c r="S222" t="str">
        <f t="shared" si="7"/>
        <v/>
      </c>
    </row>
    <row r="223" spans="1:19" x14ac:dyDescent="0.25">
      <c r="A223" s="1" t="s">
        <v>448</v>
      </c>
      <c r="B223" s="5" t="s">
        <v>448</v>
      </c>
      <c r="C223" s="1" t="s">
        <v>448</v>
      </c>
      <c r="D223" s="1" t="s">
        <v>448</v>
      </c>
      <c r="E223" s="1" t="s">
        <v>448</v>
      </c>
      <c r="F223" s="1" t="s">
        <v>448</v>
      </c>
      <c r="G223" s="1" t="s">
        <v>448</v>
      </c>
      <c r="H223" s="1" t="s">
        <v>448</v>
      </c>
      <c r="I223" s="1" t="s">
        <v>448</v>
      </c>
      <c r="J223" s="1" t="s">
        <v>448</v>
      </c>
      <c r="K223" s="1" t="s">
        <v>448</v>
      </c>
      <c r="L223" s="1" t="s">
        <v>448</v>
      </c>
      <c r="M223" s="1" t="s">
        <v>448</v>
      </c>
      <c r="N223" s="1" t="s">
        <v>448</v>
      </c>
      <c r="O223" s="1">
        <v>20064</v>
      </c>
      <c r="P223" s="1" t="s">
        <v>149</v>
      </c>
      <c r="Q223" s="1" t="s">
        <v>150</v>
      </c>
      <c r="R223" t="str">
        <f t="shared" si="6"/>
        <v/>
      </c>
      <c r="S223" t="str">
        <f t="shared" si="7"/>
        <v/>
      </c>
    </row>
    <row r="224" spans="1:19" x14ac:dyDescent="0.25">
      <c r="A224" s="1" t="s">
        <v>448</v>
      </c>
      <c r="B224" s="5" t="s">
        <v>448</v>
      </c>
      <c r="C224" s="1" t="s">
        <v>448</v>
      </c>
      <c r="D224" s="1" t="s">
        <v>448</v>
      </c>
      <c r="E224" s="1" t="s">
        <v>448</v>
      </c>
      <c r="F224" s="1" t="s">
        <v>448</v>
      </c>
      <c r="G224" s="1" t="s">
        <v>448</v>
      </c>
      <c r="H224" s="1" t="s">
        <v>448</v>
      </c>
      <c r="I224" s="1" t="s">
        <v>448</v>
      </c>
      <c r="J224" s="1" t="s">
        <v>448</v>
      </c>
      <c r="K224" s="1" t="s">
        <v>448</v>
      </c>
      <c r="L224" s="1" t="s">
        <v>448</v>
      </c>
      <c r="M224" s="1" t="s">
        <v>448</v>
      </c>
      <c r="N224" s="1" t="s">
        <v>448</v>
      </c>
      <c r="O224" s="1">
        <v>20064</v>
      </c>
      <c r="P224" s="1" t="s">
        <v>149</v>
      </c>
      <c r="Q224" s="1" t="s">
        <v>150</v>
      </c>
      <c r="R224" t="str">
        <f t="shared" si="6"/>
        <v/>
      </c>
      <c r="S224" t="str">
        <f t="shared" si="7"/>
        <v/>
      </c>
    </row>
    <row r="225" spans="1:19" x14ac:dyDescent="0.25">
      <c r="A225" s="1" t="s">
        <v>448</v>
      </c>
      <c r="B225" s="5" t="s">
        <v>448</v>
      </c>
      <c r="C225" s="1" t="s">
        <v>448</v>
      </c>
      <c r="D225" s="1" t="s">
        <v>448</v>
      </c>
      <c r="E225" s="1" t="s">
        <v>448</v>
      </c>
      <c r="F225" s="1" t="s">
        <v>448</v>
      </c>
      <c r="G225" s="1" t="s">
        <v>448</v>
      </c>
      <c r="H225" s="1" t="s">
        <v>448</v>
      </c>
      <c r="I225" s="1" t="s">
        <v>448</v>
      </c>
      <c r="J225" s="1" t="s">
        <v>448</v>
      </c>
      <c r="K225" s="1" t="s">
        <v>448</v>
      </c>
      <c r="L225" s="1" t="s">
        <v>448</v>
      </c>
      <c r="M225" s="1" t="s">
        <v>448</v>
      </c>
      <c r="N225" s="1" t="s">
        <v>448</v>
      </c>
      <c r="O225" s="1">
        <v>20064</v>
      </c>
      <c r="P225" s="1" t="s">
        <v>149</v>
      </c>
      <c r="Q225" s="1" t="s">
        <v>150</v>
      </c>
      <c r="R225" t="str">
        <f t="shared" si="6"/>
        <v/>
      </c>
      <c r="S225" t="str">
        <f t="shared" si="7"/>
        <v/>
      </c>
    </row>
    <row r="226" spans="1:19" x14ac:dyDescent="0.25">
      <c r="A226" s="1" t="s">
        <v>448</v>
      </c>
      <c r="B226" s="5" t="s">
        <v>448</v>
      </c>
      <c r="C226" s="1" t="s">
        <v>448</v>
      </c>
      <c r="D226" s="1" t="s">
        <v>448</v>
      </c>
      <c r="E226" s="1" t="s">
        <v>448</v>
      </c>
      <c r="F226" s="1" t="s">
        <v>448</v>
      </c>
      <c r="G226" s="1" t="s">
        <v>448</v>
      </c>
      <c r="H226" s="1" t="s">
        <v>448</v>
      </c>
      <c r="I226" s="1" t="s">
        <v>448</v>
      </c>
      <c r="J226" s="1" t="s">
        <v>448</v>
      </c>
      <c r="K226" s="1" t="s">
        <v>448</v>
      </c>
      <c r="L226" s="1" t="s">
        <v>448</v>
      </c>
      <c r="M226" s="1" t="s">
        <v>448</v>
      </c>
      <c r="N226" s="1" t="s">
        <v>448</v>
      </c>
      <c r="O226" s="1">
        <v>20064</v>
      </c>
      <c r="P226" s="1" t="s">
        <v>149</v>
      </c>
      <c r="Q226" s="1" t="s">
        <v>150</v>
      </c>
      <c r="R226" t="str">
        <f t="shared" si="6"/>
        <v/>
      </c>
      <c r="S226" t="str">
        <f t="shared" si="7"/>
        <v/>
      </c>
    </row>
    <row r="227" spans="1:19" x14ac:dyDescent="0.25">
      <c r="A227" s="1" t="s">
        <v>448</v>
      </c>
      <c r="B227" s="5" t="s">
        <v>448</v>
      </c>
      <c r="C227" s="1" t="s">
        <v>448</v>
      </c>
      <c r="D227" s="1" t="s">
        <v>448</v>
      </c>
      <c r="E227" s="1" t="s">
        <v>448</v>
      </c>
      <c r="F227" s="1" t="s">
        <v>448</v>
      </c>
      <c r="G227" s="1" t="s">
        <v>448</v>
      </c>
      <c r="H227" s="1" t="s">
        <v>448</v>
      </c>
      <c r="I227" s="1" t="s">
        <v>448</v>
      </c>
      <c r="J227" s="1" t="s">
        <v>448</v>
      </c>
      <c r="K227" s="1" t="s">
        <v>448</v>
      </c>
      <c r="L227" s="1" t="s">
        <v>448</v>
      </c>
      <c r="M227" s="1" t="s">
        <v>448</v>
      </c>
      <c r="N227" s="1" t="s">
        <v>448</v>
      </c>
      <c r="O227" s="1">
        <v>20064</v>
      </c>
      <c r="P227" s="1" t="s">
        <v>149</v>
      </c>
      <c r="Q227" s="1" t="s">
        <v>150</v>
      </c>
      <c r="R227" t="str">
        <f t="shared" si="6"/>
        <v/>
      </c>
      <c r="S227" t="str">
        <f t="shared" si="7"/>
        <v/>
      </c>
    </row>
    <row r="228" spans="1:19" x14ac:dyDescent="0.25">
      <c r="A228" s="1" t="s">
        <v>448</v>
      </c>
      <c r="B228" s="5" t="s">
        <v>448</v>
      </c>
      <c r="C228" s="1" t="s">
        <v>448</v>
      </c>
      <c r="D228" s="1" t="s">
        <v>448</v>
      </c>
      <c r="E228" s="1" t="s">
        <v>448</v>
      </c>
      <c r="F228" s="1" t="s">
        <v>448</v>
      </c>
      <c r="G228" s="1" t="s">
        <v>448</v>
      </c>
      <c r="H228" s="1" t="s">
        <v>448</v>
      </c>
      <c r="I228" s="1" t="s">
        <v>448</v>
      </c>
      <c r="J228" s="1" t="s">
        <v>448</v>
      </c>
      <c r="K228" s="1" t="s">
        <v>448</v>
      </c>
      <c r="L228" s="1" t="s">
        <v>448</v>
      </c>
      <c r="M228" s="1" t="s">
        <v>448</v>
      </c>
      <c r="N228" s="1" t="s">
        <v>448</v>
      </c>
      <c r="O228" s="1">
        <v>20064</v>
      </c>
      <c r="P228" s="1" t="s">
        <v>149</v>
      </c>
      <c r="Q228" s="1" t="s">
        <v>150</v>
      </c>
      <c r="R228" t="str">
        <f t="shared" si="6"/>
        <v/>
      </c>
      <c r="S228" t="str">
        <f t="shared" si="7"/>
        <v/>
      </c>
    </row>
    <row r="229" spans="1:19" x14ac:dyDescent="0.25">
      <c r="A229" s="1" t="s">
        <v>448</v>
      </c>
      <c r="B229" s="5" t="s">
        <v>448</v>
      </c>
      <c r="C229" s="1" t="s">
        <v>448</v>
      </c>
      <c r="D229" s="1" t="s">
        <v>448</v>
      </c>
      <c r="E229" s="1" t="s">
        <v>448</v>
      </c>
      <c r="F229" s="1" t="s">
        <v>448</v>
      </c>
      <c r="G229" s="1" t="s">
        <v>448</v>
      </c>
      <c r="H229" s="1" t="s">
        <v>448</v>
      </c>
      <c r="I229" s="1" t="s">
        <v>448</v>
      </c>
      <c r="J229" s="1" t="s">
        <v>448</v>
      </c>
      <c r="K229" s="1" t="s">
        <v>448</v>
      </c>
      <c r="L229" s="1" t="s">
        <v>448</v>
      </c>
      <c r="M229" s="1" t="s">
        <v>448</v>
      </c>
      <c r="N229" s="1" t="s">
        <v>448</v>
      </c>
      <c r="O229" s="1">
        <v>20064</v>
      </c>
      <c r="P229" s="1" t="s">
        <v>149</v>
      </c>
      <c r="Q229" s="1" t="s">
        <v>150</v>
      </c>
      <c r="R229" t="str">
        <f t="shared" si="6"/>
        <v/>
      </c>
      <c r="S229" t="str">
        <f t="shared" si="7"/>
        <v/>
      </c>
    </row>
    <row r="230" spans="1:19" x14ac:dyDescent="0.25">
      <c r="A230" s="1" t="s">
        <v>448</v>
      </c>
      <c r="B230" s="5" t="s">
        <v>448</v>
      </c>
      <c r="C230" s="1" t="s">
        <v>448</v>
      </c>
      <c r="D230" s="1" t="s">
        <v>448</v>
      </c>
      <c r="E230" s="1" t="s">
        <v>448</v>
      </c>
      <c r="F230" s="1" t="s">
        <v>448</v>
      </c>
      <c r="G230" s="1" t="s">
        <v>448</v>
      </c>
      <c r="H230" s="1" t="s">
        <v>448</v>
      </c>
      <c r="I230" s="1" t="s">
        <v>448</v>
      </c>
      <c r="J230" s="1" t="s">
        <v>448</v>
      </c>
      <c r="K230" s="1" t="s">
        <v>448</v>
      </c>
      <c r="L230" s="1" t="s">
        <v>448</v>
      </c>
      <c r="M230" s="1" t="s">
        <v>448</v>
      </c>
      <c r="N230" s="1" t="s">
        <v>448</v>
      </c>
      <c r="O230" s="1">
        <v>20064</v>
      </c>
      <c r="P230" s="1" t="s">
        <v>149</v>
      </c>
      <c r="Q230" s="1" t="s">
        <v>150</v>
      </c>
      <c r="R230" t="str">
        <f t="shared" si="6"/>
        <v/>
      </c>
      <c r="S230" t="str">
        <f t="shared" si="7"/>
        <v/>
      </c>
    </row>
    <row r="231" spans="1:19" x14ac:dyDescent="0.25">
      <c r="A231" s="1" t="s">
        <v>448</v>
      </c>
      <c r="B231" s="5" t="s">
        <v>448</v>
      </c>
      <c r="C231" s="1" t="s">
        <v>448</v>
      </c>
      <c r="D231" s="1" t="s">
        <v>448</v>
      </c>
      <c r="E231" s="1" t="s">
        <v>448</v>
      </c>
      <c r="F231" s="1" t="s">
        <v>448</v>
      </c>
      <c r="G231" s="1" t="s">
        <v>448</v>
      </c>
      <c r="H231" s="1" t="s">
        <v>448</v>
      </c>
      <c r="I231" s="1" t="s">
        <v>448</v>
      </c>
      <c r="J231" s="1" t="s">
        <v>448</v>
      </c>
      <c r="K231" s="1" t="s">
        <v>448</v>
      </c>
      <c r="L231" s="1" t="s">
        <v>448</v>
      </c>
      <c r="M231" s="1" t="s">
        <v>448</v>
      </c>
      <c r="N231" s="1" t="s">
        <v>448</v>
      </c>
      <c r="O231" s="1">
        <v>20064</v>
      </c>
      <c r="P231" s="1" t="s">
        <v>149</v>
      </c>
      <c r="Q231" s="1" t="s">
        <v>150</v>
      </c>
      <c r="R231" t="str">
        <f t="shared" si="6"/>
        <v/>
      </c>
      <c r="S231" t="str">
        <f t="shared" si="7"/>
        <v/>
      </c>
    </row>
    <row r="232" spans="1:19" x14ac:dyDescent="0.25">
      <c r="A232" s="1" t="s">
        <v>448</v>
      </c>
      <c r="B232" s="5" t="s">
        <v>448</v>
      </c>
      <c r="C232" s="1" t="s">
        <v>448</v>
      </c>
      <c r="D232" s="1" t="s">
        <v>448</v>
      </c>
      <c r="E232" s="1" t="s">
        <v>448</v>
      </c>
      <c r="F232" s="1" t="s">
        <v>448</v>
      </c>
      <c r="G232" s="1" t="s">
        <v>448</v>
      </c>
      <c r="H232" s="1" t="s">
        <v>448</v>
      </c>
      <c r="I232" s="1" t="s">
        <v>448</v>
      </c>
      <c r="J232" s="1" t="s">
        <v>448</v>
      </c>
      <c r="K232" s="1" t="s">
        <v>448</v>
      </c>
      <c r="L232" s="1" t="s">
        <v>448</v>
      </c>
      <c r="M232" s="1" t="s">
        <v>448</v>
      </c>
      <c r="N232" s="1" t="s">
        <v>448</v>
      </c>
      <c r="O232" s="1">
        <v>20064</v>
      </c>
      <c r="P232" s="1" t="s">
        <v>149</v>
      </c>
      <c r="Q232" s="1" t="s">
        <v>150</v>
      </c>
      <c r="R232" t="str">
        <f t="shared" si="6"/>
        <v/>
      </c>
      <c r="S232" t="str">
        <f t="shared" si="7"/>
        <v/>
      </c>
    </row>
    <row r="233" spans="1:19" x14ac:dyDescent="0.25">
      <c r="A233" s="1" t="s">
        <v>448</v>
      </c>
      <c r="B233" s="5" t="s">
        <v>448</v>
      </c>
      <c r="C233" s="1" t="s">
        <v>448</v>
      </c>
      <c r="D233" s="1" t="s">
        <v>448</v>
      </c>
      <c r="E233" s="1" t="s">
        <v>448</v>
      </c>
      <c r="F233" s="1" t="s">
        <v>448</v>
      </c>
      <c r="G233" s="1" t="s">
        <v>448</v>
      </c>
      <c r="H233" s="1" t="s">
        <v>448</v>
      </c>
      <c r="I233" s="1" t="s">
        <v>448</v>
      </c>
      <c r="J233" s="1" t="s">
        <v>448</v>
      </c>
      <c r="K233" s="1" t="s">
        <v>448</v>
      </c>
      <c r="L233" s="1" t="s">
        <v>448</v>
      </c>
      <c r="M233" s="1" t="s">
        <v>448</v>
      </c>
      <c r="N233" s="1" t="s">
        <v>448</v>
      </c>
      <c r="O233" s="1">
        <v>20064</v>
      </c>
      <c r="P233" s="1" t="s">
        <v>149</v>
      </c>
      <c r="Q233" s="1" t="s">
        <v>150</v>
      </c>
      <c r="R233" t="str">
        <f t="shared" si="6"/>
        <v/>
      </c>
      <c r="S233" t="str">
        <f t="shared" si="7"/>
        <v/>
      </c>
    </row>
    <row r="234" spans="1:19" x14ac:dyDescent="0.25">
      <c r="A234" s="1" t="s">
        <v>448</v>
      </c>
      <c r="B234" s="5" t="s">
        <v>448</v>
      </c>
      <c r="C234" s="1" t="s">
        <v>448</v>
      </c>
      <c r="D234" s="1" t="s">
        <v>448</v>
      </c>
      <c r="E234" s="1" t="s">
        <v>448</v>
      </c>
      <c r="F234" s="1" t="s">
        <v>448</v>
      </c>
      <c r="G234" s="1" t="s">
        <v>448</v>
      </c>
      <c r="H234" s="1" t="s">
        <v>448</v>
      </c>
      <c r="I234" s="1" t="s">
        <v>448</v>
      </c>
      <c r="J234" s="1" t="s">
        <v>448</v>
      </c>
      <c r="K234" s="1" t="s">
        <v>448</v>
      </c>
      <c r="L234" s="1" t="s">
        <v>448</v>
      </c>
      <c r="M234" s="1" t="s">
        <v>448</v>
      </c>
      <c r="N234" s="1" t="s">
        <v>448</v>
      </c>
      <c r="O234" s="1">
        <v>20064</v>
      </c>
      <c r="P234" s="1" t="s">
        <v>149</v>
      </c>
      <c r="Q234" s="1" t="s">
        <v>150</v>
      </c>
      <c r="R234" t="str">
        <f t="shared" si="6"/>
        <v/>
      </c>
      <c r="S234" t="str">
        <f t="shared" si="7"/>
        <v/>
      </c>
    </row>
    <row r="235" spans="1:19" x14ac:dyDescent="0.25">
      <c r="A235" s="1" t="s">
        <v>448</v>
      </c>
      <c r="B235" s="5" t="s">
        <v>448</v>
      </c>
      <c r="C235" s="1" t="s">
        <v>448</v>
      </c>
      <c r="D235" s="1" t="s">
        <v>448</v>
      </c>
      <c r="E235" s="1" t="s">
        <v>448</v>
      </c>
      <c r="F235" s="1" t="s">
        <v>448</v>
      </c>
      <c r="G235" s="1" t="s">
        <v>448</v>
      </c>
      <c r="H235" s="1" t="s">
        <v>448</v>
      </c>
      <c r="I235" s="1" t="s">
        <v>448</v>
      </c>
      <c r="J235" s="1" t="s">
        <v>448</v>
      </c>
      <c r="K235" s="1" t="s">
        <v>448</v>
      </c>
      <c r="L235" s="1" t="s">
        <v>448</v>
      </c>
      <c r="M235" s="1" t="s">
        <v>448</v>
      </c>
      <c r="N235" s="1" t="s">
        <v>448</v>
      </c>
      <c r="O235" s="1">
        <v>20064</v>
      </c>
      <c r="P235" s="1" t="s">
        <v>149</v>
      </c>
      <c r="Q235" s="1" t="s">
        <v>150</v>
      </c>
      <c r="R235" t="str">
        <f t="shared" si="6"/>
        <v/>
      </c>
      <c r="S235" t="str">
        <f t="shared" si="7"/>
        <v/>
      </c>
    </row>
    <row r="236" spans="1:19" x14ac:dyDescent="0.25">
      <c r="A236" s="1" t="s">
        <v>448</v>
      </c>
      <c r="B236" s="5" t="s">
        <v>448</v>
      </c>
      <c r="C236" s="1" t="s">
        <v>448</v>
      </c>
      <c r="D236" s="1" t="s">
        <v>448</v>
      </c>
      <c r="E236" s="1" t="s">
        <v>448</v>
      </c>
      <c r="F236" s="1" t="s">
        <v>448</v>
      </c>
      <c r="G236" s="1" t="s">
        <v>448</v>
      </c>
      <c r="H236" s="1" t="s">
        <v>448</v>
      </c>
      <c r="I236" s="1" t="s">
        <v>448</v>
      </c>
      <c r="J236" s="1" t="s">
        <v>448</v>
      </c>
      <c r="K236" s="1" t="s">
        <v>448</v>
      </c>
      <c r="L236" s="1" t="s">
        <v>448</v>
      </c>
      <c r="M236" s="1" t="s">
        <v>448</v>
      </c>
      <c r="N236" s="1" t="s">
        <v>448</v>
      </c>
      <c r="O236" s="1">
        <v>20064</v>
      </c>
      <c r="P236" s="1" t="s">
        <v>149</v>
      </c>
      <c r="Q236" s="1" t="s">
        <v>150</v>
      </c>
      <c r="R236" t="str">
        <f t="shared" si="6"/>
        <v/>
      </c>
      <c r="S236" t="str">
        <f t="shared" si="7"/>
        <v/>
      </c>
    </row>
    <row r="237" spans="1:19" x14ac:dyDescent="0.25">
      <c r="A237" s="1" t="s">
        <v>448</v>
      </c>
      <c r="B237" s="5" t="s">
        <v>448</v>
      </c>
      <c r="C237" s="1" t="s">
        <v>448</v>
      </c>
      <c r="D237" s="1" t="s">
        <v>448</v>
      </c>
      <c r="E237" s="1" t="s">
        <v>448</v>
      </c>
      <c r="F237" s="1" t="s">
        <v>448</v>
      </c>
      <c r="G237" s="1" t="s">
        <v>448</v>
      </c>
      <c r="H237" s="1" t="s">
        <v>448</v>
      </c>
      <c r="I237" s="1" t="s">
        <v>448</v>
      </c>
      <c r="J237" s="1" t="s">
        <v>448</v>
      </c>
      <c r="K237" s="1" t="s">
        <v>448</v>
      </c>
      <c r="L237" s="1" t="s">
        <v>448</v>
      </c>
      <c r="M237" s="1" t="s">
        <v>448</v>
      </c>
      <c r="N237" s="1" t="s">
        <v>448</v>
      </c>
      <c r="O237" s="1">
        <v>20064</v>
      </c>
      <c r="P237" s="1" t="s">
        <v>149</v>
      </c>
      <c r="Q237" s="1" t="s">
        <v>150</v>
      </c>
      <c r="R237" t="str">
        <f t="shared" si="6"/>
        <v/>
      </c>
      <c r="S237" t="str">
        <f t="shared" si="7"/>
        <v/>
      </c>
    </row>
    <row r="238" spans="1:19" x14ac:dyDescent="0.25">
      <c r="A238" s="1" t="s">
        <v>448</v>
      </c>
      <c r="B238" s="5" t="s">
        <v>448</v>
      </c>
      <c r="C238" s="1" t="s">
        <v>448</v>
      </c>
      <c r="D238" s="1" t="s">
        <v>448</v>
      </c>
      <c r="E238" s="1" t="s">
        <v>448</v>
      </c>
      <c r="F238" s="1" t="s">
        <v>448</v>
      </c>
      <c r="G238" s="1" t="s">
        <v>448</v>
      </c>
      <c r="H238" s="1" t="s">
        <v>448</v>
      </c>
      <c r="I238" s="1" t="s">
        <v>448</v>
      </c>
      <c r="J238" s="1" t="s">
        <v>448</v>
      </c>
      <c r="K238" s="1" t="s">
        <v>448</v>
      </c>
      <c r="L238" s="1" t="s">
        <v>448</v>
      </c>
      <c r="M238" s="1" t="s">
        <v>448</v>
      </c>
      <c r="N238" s="1" t="s">
        <v>448</v>
      </c>
      <c r="O238" s="1">
        <v>20064</v>
      </c>
      <c r="P238" s="1" t="s">
        <v>149</v>
      </c>
      <c r="Q238" s="1" t="s">
        <v>150</v>
      </c>
      <c r="R238" t="str">
        <f t="shared" si="6"/>
        <v/>
      </c>
      <c r="S238" t="str">
        <f t="shared" si="7"/>
        <v/>
      </c>
    </row>
    <row r="239" spans="1:19" x14ac:dyDescent="0.25">
      <c r="A239" s="1" t="s">
        <v>448</v>
      </c>
      <c r="B239" s="5" t="s">
        <v>448</v>
      </c>
      <c r="C239" s="1" t="s">
        <v>448</v>
      </c>
      <c r="D239" s="1" t="s">
        <v>448</v>
      </c>
      <c r="E239" s="1" t="s">
        <v>448</v>
      </c>
      <c r="F239" s="1" t="s">
        <v>448</v>
      </c>
      <c r="G239" s="1" t="s">
        <v>448</v>
      </c>
      <c r="H239" s="1" t="s">
        <v>448</v>
      </c>
      <c r="I239" s="1" t="s">
        <v>448</v>
      </c>
      <c r="J239" s="1" t="s">
        <v>448</v>
      </c>
      <c r="K239" s="1" t="s">
        <v>448</v>
      </c>
      <c r="L239" s="1" t="s">
        <v>448</v>
      </c>
      <c r="M239" s="1" t="s">
        <v>448</v>
      </c>
      <c r="N239" s="1" t="s">
        <v>448</v>
      </c>
      <c r="O239" s="1">
        <v>20064</v>
      </c>
      <c r="P239" s="1" t="s">
        <v>149</v>
      </c>
      <c r="Q239" s="1" t="s">
        <v>150</v>
      </c>
      <c r="R239" t="str">
        <f t="shared" si="6"/>
        <v/>
      </c>
      <c r="S239" t="str">
        <f t="shared" si="7"/>
        <v/>
      </c>
    </row>
    <row r="240" spans="1:19" x14ac:dyDescent="0.25">
      <c r="A240" s="1" t="s">
        <v>448</v>
      </c>
      <c r="B240" s="5" t="s">
        <v>448</v>
      </c>
      <c r="C240" s="1" t="s">
        <v>448</v>
      </c>
      <c r="D240" s="1" t="s">
        <v>448</v>
      </c>
      <c r="E240" s="1" t="s">
        <v>448</v>
      </c>
      <c r="F240" s="1" t="s">
        <v>448</v>
      </c>
      <c r="G240" s="1" t="s">
        <v>448</v>
      </c>
      <c r="H240" s="1" t="s">
        <v>448</v>
      </c>
      <c r="I240" s="1" t="s">
        <v>448</v>
      </c>
      <c r="J240" s="1" t="s">
        <v>448</v>
      </c>
      <c r="K240" s="1" t="s">
        <v>448</v>
      </c>
      <c r="L240" s="1" t="s">
        <v>448</v>
      </c>
      <c r="M240" s="1" t="s">
        <v>448</v>
      </c>
      <c r="N240" s="1" t="s">
        <v>448</v>
      </c>
      <c r="O240" s="1">
        <v>20064</v>
      </c>
      <c r="P240" s="1" t="s">
        <v>149</v>
      </c>
      <c r="Q240" s="1" t="s">
        <v>150</v>
      </c>
      <c r="R240" t="str">
        <f t="shared" si="6"/>
        <v/>
      </c>
      <c r="S240" t="str">
        <f t="shared" si="7"/>
        <v/>
      </c>
    </row>
    <row r="241" spans="1:19" x14ac:dyDescent="0.25">
      <c r="A241" s="1" t="s">
        <v>448</v>
      </c>
      <c r="B241" s="5" t="s">
        <v>448</v>
      </c>
      <c r="C241" s="1" t="s">
        <v>448</v>
      </c>
      <c r="D241" s="1" t="s">
        <v>448</v>
      </c>
      <c r="E241" s="1" t="s">
        <v>448</v>
      </c>
      <c r="F241" s="1" t="s">
        <v>448</v>
      </c>
      <c r="G241" s="1" t="s">
        <v>448</v>
      </c>
      <c r="H241" s="1" t="s">
        <v>448</v>
      </c>
      <c r="I241" s="1" t="s">
        <v>448</v>
      </c>
      <c r="J241" s="1" t="s">
        <v>448</v>
      </c>
      <c r="K241" s="1" t="s">
        <v>448</v>
      </c>
      <c r="L241" s="1" t="s">
        <v>448</v>
      </c>
      <c r="M241" s="1" t="s">
        <v>448</v>
      </c>
      <c r="N241" s="1" t="s">
        <v>448</v>
      </c>
      <c r="O241" s="1">
        <v>20064</v>
      </c>
      <c r="P241" s="1" t="s">
        <v>149</v>
      </c>
      <c r="Q241" s="1" t="s">
        <v>150</v>
      </c>
      <c r="R241" t="str">
        <f t="shared" si="6"/>
        <v/>
      </c>
      <c r="S241" t="str">
        <f t="shared" si="7"/>
        <v/>
      </c>
    </row>
    <row r="242" spans="1:19" x14ac:dyDescent="0.25">
      <c r="A242" s="1" t="s">
        <v>448</v>
      </c>
      <c r="B242" s="5" t="s">
        <v>448</v>
      </c>
      <c r="C242" s="1" t="s">
        <v>448</v>
      </c>
      <c r="D242" s="1" t="s">
        <v>448</v>
      </c>
      <c r="E242" s="1" t="s">
        <v>448</v>
      </c>
      <c r="F242" s="1" t="s">
        <v>448</v>
      </c>
      <c r="G242" s="1" t="s">
        <v>448</v>
      </c>
      <c r="H242" s="1" t="s">
        <v>448</v>
      </c>
      <c r="I242" s="1" t="s">
        <v>448</v>
      </c>
      <c r="J242" s="1" t="s">
        <v>448</v>
      </c>
      <c r="K242" s="1" t="s">
        <v>448</v>
      </c>
      <c r="L242" s="1" t="s">
        <v>448</v>
      </c>
      <c r="M242" s="1" t="s">
        <v>448</v>
      </c>
      <c r="N242" s="1" t="s">
        <v>448</v>
      </c>
      <c r="O242" s="1">
        <v>20064</v>
      </c>
      <c r="P242" s="1" t="s">
        <v>149</v>
      </c>
      <c r="Q242" s="1" t="s">
        <v>150</v>
      </c>
      <c r="R242" t="str">
        <f t="shared" si="6"/>
        <v/>
      </c>
      <c r="S242" t="str">
        <f t="shared" si="7"/>
        <v/>
      </c>
    </row>
    <row r="243" spans="1:19" x14ac:dyDescent="0.25">
      <c r="A243" s="1" t="s">
        <v>448</v>
      </c>
      <c r="B243" s="5" t="s">
        <v>448</v>
      </c>
      <c r="C243" s="1" t="s">
        <v>448</v>
      </c>
      <c r="D243" s="1" t="s">
        <v>448</v>
      </c>
      <c r="E243" s="1" t="s">
        <v>448</v>
      </c>
      <c r="F243" s="1" t="s">
        <v>448</v>
      </c>
      <c r="G243" s="1" t="s">
        <v>448</v>
      </c>
      <c r="H243" s="1" t="s">
        <v>448</v>
      </c>
      <c r="I243" s="1" t="s">
        <v>448</v>
      </c>
      <c r="J243" s="1" t="s">
        <v>448</v>
      </c>
      <c r="K243" s="1" t="s">
        <v>448</v>
      </c>
      <c r="L243" s="1" t="s">
        <v>448</v>
      </c>
      <c r="M243" s="1" t="s">
        <v>448</v>
      </c>
      <c r="N243" s="1" t="s">
        <v>448</v>
      </c>
      <c r="O243" s="1">
        <v>20064</v>
      </c>
      <c r="P243" s="1" t="s">
        <v>149</v>
      </c>
      <c r="Q243" s="1" t="s">
        <v>150</v>
      </c>
      <c r="R243" t="str">
        <f t="shared" si="6"/>
        <v/>
      </c>
      <c r="S243" t="str">
        <f t="shared" si="7"/>
        <v/>
      </c>
    </row>
    <row r="244" spans="1:19" x14ac:dyDescent="0.25">
      <c r="A244" s="1" t="s">
        <v>448</v>
      </c>
      <c r="B244" s="5" t="s">
        <v>448</v>
      </c>
      <c r="C244" s="1" t="s">
        <v>448</v>
      </c>
      <c r="D244" s="1" t="s">
        <v>448</v>
      </c>
      <c r="E244" s="1" t="s">
        <v>448</v>
      </c>
      <c r="F244" s="1" t="s">
        <v>448</v>
      </c>
      <c r="G244" s="1" t="s">
        <v>448</v>
      </c>
      <c r="H244" s="1" t="s">
        <v>448</v>
      </c>
      <c r="I244" s="1" t="s">
        <v>448</v>
      </c>
      <c r="J244" s="1" t="s">
        <v>448</v>
      </c>
      <c r="K244" s="1" t="s">
        <v>448</v>
      </c>
      <c r="L244" s="1" t="s">
        <v>448</v>
      </c>
      <c r="M244" s="1" t="s">
        <v>448</v>
      </c>
      <c r="N244" s="1" t="s">
        <v>448</v>
      </c>
      <c r="O244" s="1">
        <v>20064</v>
      </c>
      <c r="P244" s="1" t="s">
        <v>149</v>
      </c>
      <c r="Q244" s="1" t="s">
        <v>150</v>
      </c>
      <c r="R244" t="str">
        <f t="shared" si="6"/>
        <v/>
      </c>
      <c r="S244" t="str">
        <f t="shared" si="7"/>
        <v/>
      </c>
    </row>
    <row r="245" spans="1:19" x14ac:dyDescent="0.25">
      <c r="A245" s="1" t="s">
        <v>448</v>
      </c>
      <c r="B245" s="5" t="s">
        <v>448</v>
      </c>
      <c r="C245" s="1" t="s">
        <v>448</v>
      </c>
      <c r="D245" s="1" t="s">
        <v>448</v>
      </c>
      <c r="E245" s="1" t="s">
        <v>448</v>
      </c>
      <c r="F245" s="1" t="s">
        <v>448</v>
      </c>
      <c r="G245" s="1" t="s">
        <v>448</v>
      </c>
      <c r="H245" s="1" t="s">
        <v>448</v>
      </c>
      <c r="I245" s="1" t="s">
        <v>448</v>
      </c>
      <c r="J245" s="1" t="s">
        <v>448</v>
      </c>
      <c r="K245" s="1" t="s">
        <v>448</v>
      </c>
      <c r="L245" s="1" t="s">
        <v>448</v>
      </c>
      <c r="M245" s="1" t="s">
        <v>448</v>
      </c>
      <c r="N245" s="1" t="s">
        <v>448</v>
      </c>
      <c r="O245" s="1">
        <v>20064</v>
      </c>
      <c r="P245" s="1" t="s">
        <v>149</v>
      </c>
      <c r="Q245" s="1" t="s">
        <v>150</v>
      </c>
      <c r="R245" t="str">
        <f t="shared" si="6"/>
        <v/>
      </c>
      <c r="S245" t="str">
        <f t="shared" si="7"/>
        <v/>
      </c>
    </row>
    <row r="246" spans="1:19" x14ac:dyDescent="0.25">
      <c r="A246" s="1" t="s">
        <v>448</v>
      </c>
      <c r="B246" s="5" t="s">
        <v>448</v>
      </c>
      <c r="C246" s="1" t="s">
        <v>448</v>
      </c>
      <c r="D246" s="1" t="s">
        <v>448</v>
      </c>
      <c r="E246" s="1" t="s">
        <v>448</v>
      </c>
      <c r="F246" s="1" t="s">
        <v>448</v>
      </c>
      <c r="G246" s="1" t="s">
        <v>448</v>
      </c>
      <c r="H246" s="1" t="s">
        <v>448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  <c r="O246" s="1">
        <v>20064</v>
      </c>
      <c r="P246" s="1" t="s">
        <v>149</v>
      </c>
      <c r="Q246" s="1" t="s">
        <v>150</v>
      </c>
      <c r="R246" t="str">
        <f t="shared" si="6"/>
        <v/>
      </c>
      <c r="S246" t="str">
        <f t="shared" si="7"/>
        <v/>
      </c>
    </row>
    <row r="247" spans="1:19" x14ac:dyDescent="0.25">
      <c r="A247" s="1" t="s">
        <v>448</v>
      </c>
      <c r="B247" s="5" t="s">
        <v>448</v>
      </c>
      <c r="C247" s="1" t="s">
        <v>448</v>
      </c>
      <c r="D247" s="1" t="s">
        <v>448</v>
      </c>
      <c r="E247" s="1" t="s">
        <v>448</v>
      </c>
      <c r="F247" s="1" t="s">
        <v>448</v>
      </c>
      <c r="G247" s="1" t="s">
        <v>448</v>
      </c>
      <c r="H247" s="1" t="s">
        <v>448</v>
      </c>
      <c r="I247" s="1" t="s">
        <v>448</v>
      </c>
      <c r="J247" s="1" t="s">
        <v>448</v>
      </c>
      <c r="K247" s="1" t="s">
        <v>448</v>
      </c>
      <c r="L247" s="1" t="s">
        <v>448</v>
      </c>
      <c r="M247" s="1" t="s">
        <v>448</v>
      </c>
      <c r="N247" s="1" t="s">
        <v>448</v>
      </c>
      <c r="O247" s="1">
        <v>20064</v>
      </c>
      <c r="P247" s="1" t="s">
        <v>149</v>
      </c>
      <c r="Q247" s="1" t="s">
        <v>150</v>
      </c>
      <c r="R247" t="str">
        <f t="shared" si="6"/>
        <v/>
      </c>
      <c r="S247" t="str">
        <f t="shared" si="7"/>
        <v/>
      </c>
    </row>
    <row r="248" spans="1:19" x14ac:dyDescent="0.25">
      <c r="A248" s="1" t="s">
        <v>448</v>
      </c>
      <c r="B248" s="5" t="s">
        <v>448</v>
      </c>
      <c r="C248" s="1" t="s">
        <v>448</v>
      </c>
      <c r="D248" s="1" t="s">
        <v>448</v>
      </c>
      <c r="E248" s="1" t="s">
        <v>448</v>
      </c>
      <c r="F248" s="1" t="s">
        <v>448</v>
      </c>
      <c r="G248" s="1" t="s">
        <v>448</v>
      </c>
      <c r="H248" s="1" t="s">
        <v>448</v>
      </c>
      <c r="I248" s="1" t="s">
        <v>448</v>
      </c>
      <c r="J248" s="1" t="s">
        <v>448</v>
      </c>
      <c r="K248" s="1" t="s">
        <v>448</v>
      </c>
      <c r="L248" s="1" t="s">
        <v>448</v>
      </c>
      <c r="M248" s="1" t="s">
        <v>448</v>
      </c>
      <c r="N248" s="1" t="s">
        <v>448</v>
      </c>
      <c r="O248" s="1">
        <v>20064</v>
      </c>
      <c r="P248" s="1" t="s">
        <v>149</v>
      </c>
      <c r="Q248" s="1" t="s">
        <v>150</v>
      </c>
      <c r="R248" t="str">
        <f t="shared" si="6"/>
        <v/>
      </c>
      <c r="S248" t="str">
        <f t="shared" si="7"/>
        <v/>
      </c>
    </row>
    <row r="249" spans="1:19" x14ac:dyDescent="0.25">
      <c r="A249" s="1" t="s">
        <v>448</v>
      </c>
      <c r="B249" s="5" t="s">
        <v>448</v>
      </c>
      <c r="C249" s="1" t="s">
        <v>448</v>
      </c>
      <c r="D249" s="1" t="s">
        <v>448</v>
      </c>
      <c r="E249" s="1" t="s">
        <v>448</v>
      </c>
      <c r="F249" s="1" t="s">
        <v>448</v>
      </c>
      <c r="G249" s="1" t="s">
        <v>448</v>
      </c>
      <c r="H249" s="1" t="s">
        <v>448</v>
      </c>
      <c r="I249" s="1" t="s">
        <v>448</v>
      </c>
      <c r="J249" s="1" t="s">
        <v>448</v>
      </c>
      <c r="K249" s="1" t="s">
        <v>448</v>
      </c>
      <c r="L249" s="1" t="s">
        <v>448</v>
      </c>
      <c r="M249" s="1" t="s">
        <v>448</v>
      </c>
      <c r="N249" s="1" t="s">
        <v>448</v>
      </c>
      <c r="O249" s="1">
        <v>20064</v>
      </c>
      <c r="P249" s="1" t="s">
        <v>149</v>
      </c>
      <c r="Q249" s="1" t="s">
        <v>150</v>
      </c>
      <c r="R249" t="str">
        <f t="shared" si="6"/>
        <v/>
      </c>
      <c r="S249" t="str">
        <f t="shared" si="7"/>
        <v/>
      </c>
    </row>
    <row r="250" spans="1:19" x14ac:dyDescent="0.25">
      <c r="A250" s="1" t="s">
        <v>448</v>
      </c>
      <c r="B250" s="5" t="s">
        <v>448</v>
      </c>
      <c r="C250" s="1" t="s">
        <v>448</v>
      </c>
      <c r="D250" s="1" t="s">
        <v>448</v>
      </c>
      <c r="E250" s="1" t="s">
        <v>448</v>
      </c>
      <c r="F250" s="1" t="s">
        <v>448</v>
      </c>
      <c r="G250" s="1" t="s">
        <v>448</v>
      </c>
      <c r="H250" s="1" t="s">
        <v>448</v>
      </c>
      <c r="I250" s="1" t="s">
        <v>448</v>
      </c>
      <c r="J250" s="1" t="s">
        <v>448</v>
      </c>
      <c r="K250" s="1" t="s">
        <v>448</v>
      </c>
      <c r="L250" s="1" t="s">
        <v>448</v>
      </c>
      <c r="M250" s="1" t="s">
        <v>448</v>
      </c>
      <c r="N250" s="1" t="s">
        <v>448</v>
      </c>
      <c r="O250" s="1">
        <v>20064</v>
      </c>
      <c r="P250" s="1" t="s">
        <v>149</v>
      </c>
      <c r="Q250" s="1" t="s">
        <v>150</v>
      </c>
      <c r="R250" t="str">
        <f t="shared" si="6"/>
        <v/>
      </c>
      <c r="S250" t="str">
        <f t="shared" si="7"/>
        <v/>
      </c>
    </row>
    <row r="251" spans="1:19" x14ac:dyDescent="0.25">
      <c r="A251" s="1" t="s">
        <v>448</v>
      </c>
      <c r="B251" s="5" t="s">
        <v>448</v>
      </c>
      <c r="C251" s="1" t="s">
        <v>448</v>
      </c>
      <c r="D251" s="1" t="s">
        <v>448</v>
      </c>
      <c r="E251" s="1" t="s">
        <v>448</v>
      </c>
      <c r="F251" s="1" t="s">
        <v>448</v>
      </c>
      <c r="G251" s="1" t="s">
        <v>448</v>
      </c>
      <c r="H251" s="1" t="s">
        <v>448</v>
      </c>
      <c r="I251" s="1" t="s">
        <v>448</v>
      </c>
      <c r="J251" s="1" t="s">
        <v>448</v>
      </c>
      <c r="K251" s="1" t="s">
        <v>448</v>
      </c>
      <c r="L251" s="1" t="s">
        <v>448</v>
      </c>
      <c r="M251" s="1" t="s">
        <v>448</v>
      </c>
      <c r="N251" s="1" t="s">
        <v>448</v>
      </c>
      <c r="O251" s="1">
        <v>20064</v>
      </c>
      <c r="P251" s="1" t="s">
        <v>149</v>
      </c>
      <c r="Q251" s="1" t="s">
        <v>150</v>
      </c>
      <c r="R251" t="str">
        <f t="shared" si="6"/>
        <v/>
      </c>
      <c r="S251" t="str">
        <f t="shared" si="7"/>
        <v/>
      </c>
    </row>
    <row r="252" spans="1:19" x14ac:dyDescent="0.25">
      <c r="A252" s="1" t="s">
        <v>448</v>
      </c>
      <c r="B252" s="5" t="s">
        <v>448</v>
      </c>
      <c r="C252" s="1" t="s">
        <v>448</v>
      </c>
      <c r="D252" s="1" t="s">
        <v>448</v>
      </c>
      <c r="E252" s="1" t="s">
        <v>448</v>
      </c>
      <c r="F252" s="1" t="s">
        <v>448</v>
      </c>
      <c r="G252" s="1" t="s">
        <v>448</v>
      </c>
      <c r="H252" s="1" t="s">
        <v>448</v>
      </c>
      <c r="I252" s="1" t="s">
        <v>448</v>
      </c>
      <c r="J252" s="1" t="s">
        <v>448</v>
      </c>
      <c r="K252" s="1" t="s">
        <v>448</v>
      </c>
      <c r="L252" s="1" t="s">
        <v>448</v>
      </c>
      <c r="M252" s="1" t="s">
        <v>448</v>
      </c>
      <c r="N252" s="1" t="s">
        <v>448</v>
      </c>
      <c r="O252" s="1">
        <v>20064</v>
      </c>
      <c r="P252" s="1" t="s">
        <v>149</v>
      </c>
      <c r="Q252" s="1" t="s">
        <v>150</v>
      </c>
      <c r="R252" t="str">
        <f t="shared" si="6"/>
        <v/>
      </c>
      <c r="S252" t="str">
        <f t="shared" si="7"/>
        <v/>
      </c>
    </row>
    <row r="253" spans="1:19" x14ac:dyDescent="0.25">
      <c r="A253" s="1" t="s">
        <v>448</v>
      </c>
      <c r="B253" s="5" t="s">
        <v>448</v>
      </c>
      <c r="C253" s="1" t="s">
        <v>448</v>
      </c>
      <c r="D253" s="1" t="s">
        <v>448</v>
      </c>
      <c r="E253" s="1" t="s">
        <v>448</v>
      </c>
      <c r="F253" s="1" t="s">
        <v>448</v>
      </c>
      <c r="G253" s="1" t="s">
        <v>448</v>
      </c>
      <c r="H253" s="1" t="s">
        <v>448</v>
      </c>
      <c r="I253" s="1" t="s">
        <v>448</v>
      </c>
      <c r="J253" s="1" t="s">
        <v>448</v>
      </c>
      <c r="K253" s="1" t="s">
        <v>448</v>
      </c>
      <c r="L253" s="1" t="s">
        <v>448</v>
      </c>
      <c r="M253" s="1" t="s">
        <v>448</v>
      </c>
      <c r="N253" s="1" t="s">
        <v>448</v>
      </c>
      <c r="O253" s="1">
        <v>20064</v>
      </c>
      <c r="P253" s="1" t="s">
        <v>149</v>
      </c>
      <c r="Q253" s="1" t="s">
        <v>150</v>
      </c>
      <c r="R253" t="str">
        <f t="shared" si="6"/>
        <v/>
      </c>
      <c r="S253" t="str">
        <f t="shared" si="7"/>
        <v/>
      </c>
    </row>
    <row r="254" spans="1:19" x14ac:dyDescent="0.25">
      <c r="A254" s="1" t="s">
        <v>448</v>
      </c>
      <c r="B254" s="5" t="s">
        <v>448</v>
      </c>
      <c r="C254" s="1" t="s">
        <v>448</v>
      </c>
      <c r="D254" s="1" t="s">
        <v>448</v>
      </c>
      <c r="E254" s="1" t="s">
        <v>448</v>
      </c>
      <c r="F254" s="1" t="s">
        <v>448</v>
      </c>
      <c r="G254" s="1" t="s">
        <v>448</v>
      </c>
      <c r="H254" s="1" t="s">
        <v>448</v>
      </c>
      <c r="I254" s="1" t="s">
        <v>448</v>
      </c>
      <c r="J254" s="1" t="s">
        <v>448</v>
      </c>
      <c r="K254" s="1" t="s">
        <v>448</v>
      </c>
      <c r="L254" s="1" t="s">
        <v>448</v>
      </c>
      <c r="M254" s="1" t="s">
        <v>448</v>
      </c>
      <c r="N254" s="1" t="s">
        <v>448</v>
      </c>
      <c r="O254" s="1">
        <v>20064</v>
      </c>
      <c r="P254" s="1" t="s">
        <v>149</v>
      </c>
      <c r="Q254" s="1" t="s">
        <v>150</v>
      </c>
      <c r="R254" t="str">
        <f t="shared" si="6"/>
        <v/>
      </c>
      <c r="S254" t="str">
        <f t="shared" si="7"/>
        <v/>
      </c>
    </row>
    <row r="255" spans="1:19" x14ac:dyDescent="0.25">
      <c r="A255" s="1" t="s">
        <v>448</v>
      </c>
      <c r="B255" s="5" t="s">
        <v>448</v>
      </c>
      <c r="C255" s="1" t="s">
        <v>448</v>
      </c>
      <c r="D255" s="1" t="s">
        <v>448</v>
      </c>
      <c r="E255" s="1" t="s">
        <v>448</v>
      </c>
      <c r="F255" s="1" t="s">
        <v>448</v>
      </c>
      <c r="G255" s="1" t="s">
        <v>448</v>
      </c>
      <c r="H255" s="1" t="s">
        <v>448</v>
      </c>
      <c r="I255" s="1" t="s">
        <v>448</v>
      </c>
      <c r="J255" s="1" t="s">
        <v>448</v>
      </c>
      <c r="K255" s="1" t="s">
        <v>448</v>
      </c>
      <c r="L255" s="1" t="s">
        <v>448</v>
      </c>
      <c r="M255" s="1" t="s">
        <v>448</v>
      </c>
      <c r="N255" s="1" t="s">
        <v>448</v>
      </c>
      <c r="O255" s="1">
        <v>20064</v>
      </c>
      <c r="P255" s="1" t="s">
        <v>149</v>
      </c>
      <c r="Q255" s="1" t="s">
        <v>150</v>
      </c>
      <c r="R255" t="str">
        <f t="shared" si="6"/>
        <v/>
      </c>
      <c r="S255" t="str">
        <f t="shared" si="7"/>
        <v/>
      </c>
    </row>
    <row r="256" spans="1:19" x14ac:dyDescent="0.25">
      <c r="A256" s="1" t="s">
        <v>448</v>
      </c>
      <c r="B256" s="5" t="s">
        <v>448</v>
      </c>
      <c r="C256" s="1" t="s">
        <v>448</v>
      </c>
      <c r="D256" s="1" t="s">
        <v>448</v>
      </c>
      <c r="E256" s="1" t="s">
        <v>448</v>
      </c>
      <c r="F256" s="1" t="s">
        <v>448</v>
      </c>
      <c r="G256" s="1" t="s">
        <v>448</v>
      </c>
      <c r="H256" s="1" t="s">
        <v>448</v>
      </c>
      <c r="I256" s="1" t="s">
        <v>448</v>
      </c>
      <c r="J256" s="1" t="s">
        <v>448</v>
      </c>
      <c r="K256" s="1" t="s">
        <v>448</v>
      </c>
      <c r="L256" s="1" t="s">
        <v>448</v>
      </c>
      <c r="M256" s="1" t="s">
        <v>448</v>
      </c>
      <c r="N256" s="1" t="s">
        <v>448</v>
      </c>
      <c r="O256" s="1">
        <v>20064</v>
      </c>
      <c r="P256" s="1" t="s">
        <v>149</v>
      </c>
      <c r="Q256" s="1" t="s">
        <v>150</v>
      </c>
      <c r="R256" t="str">
        <f t="shared" si="6"/>
        <v/>
      </c>
      <c r="S256" t="str">
        <f t="shared" si="7"/>
        <v/>
      </c>
    </row>
    <row r="257" spans="1:19" x14ac:dyDescent="0.25">
      <c r="A257" s="1" t="s">
        <v>448</v>
      </c>
      <c r="B257" s="5" t="s">
        <v>448</v>
      </c>
      <c r="C257" s="1" t="s">
        <v>448</v>
      </c>
      <c r="D257" s="1" t="s">
        <v>448</v>
      </c>
      <c r="E257" s="1" t="s">
        <v>448</v>
      </c>
      <c r="F257" s="1" t="s">
        <v>448</v>
      </c>
      <c r="G257" s="1" t="s">
        <v>448</v>
      </c>
      <c r="H257" s="1" t="s">
        <v>448</v>
      </c>
      <c r="I257" s="1" t="s">
        <v>448</v>
      </c>
      <c r="J257" s="1" t="s">
        <v>448</v>
      </c>
      <c r="K257" s="1" t="s">
        <v>448</v>
      </c>
      <c r="L257" s="1" t="s">
        <v>448</v>
      </c>
      <c r="M257" s="1" t="s">
        <v>448</v>
      </c>
      <c r="N257" s="1" t="s">
        <v>448</v>
      </c>
      <c r="O257" s="1">
        <v>20064</v>
      </c>
      <c r="P257" s="1" t="s">
        <v>149</v>
      </c>
      <c r="Q257" s="1" t="s">
        <v>150</v>
      </c>
      <c r="R257" t="str">
        <f t="shared" si="6"/>
        <v/>
      </c>
      <c r="S257" t="str">
        <f t="shared" si="7"/>
        <v/>
      </c>
    </row>
    <row r="258" spans="1:19" x14ac:dyDescent="0.25">
      <c r="A258" s="1" t="s">
        <v>448</v>
      </c>
      <c r="B258" s="5" t="s">
        <v>448</v>
      </c>
      <c r="C258" s="1" t="s">
        <v>448</v>
      </c>
      <c r="D258" s="1" t="s">
        <v>448</v>
      </c>
      <c r="E258" s="1" t="s">
        <v>448</v>
      </c>
      <c r="F258" s="1" t="s">
        <v>448</v>
      </c>
      <c r="G258" s="1" t="s">
        <v>448</v>
      </c>
      <c r="H258" s="1" t="s">
        <v>448</v>
      </c>
      <c r="I258" s="1" t="s">
        <v>448</v>
      </c>
      <c r="J258" s="1" t="s">
        <v>448</v>
      </c>
      <c r="K258" s="1" t="s">
        <v>448</v>
      </c>
      <c r="L258" s="1" t="s">
        <v>448</v>
      </c>
      <c r="M258" s="1" t="s">
        <v>448</v>
      </c>
      <c r="N258" s="1" t="s">
        <v>448</v>
      </c>
      <c r="O258" s="1">
        <v>20064</v>
      </c>
      <c r="P258" s="1" t="s">
        <v>149</v>
      </c>
      <c r="Q258" s="1" t="s">
        <v>150</v>
      </c>
      <c r="R258" t="str">
        <f t="shared" ref="R258:R321" si="8">IF(ISNUMBER(B258),INT(B258*24),"")</f>
        <v/>
      </c>
      <c r="S258" t="str">
        <f t="shared" ref="S258:S321" si="9">IF(ISNUMBER(B258),ROUND((B258*24-R258)*60,0),"")</f>
        <v/>
      </c>
    </row>
    <row r="259" spans="1:19" x14ac:dyDescent="0.25">
      <c r="A259" s="1" t="s">
        <v>448</v>
      </c>
      <c r="B259" s="5" t="s">
        <v>448</v>
      </c>
      <c r="C259" s="1" t="s">
        <v>448</v>
      </c>
      <c r="D259" s="1" t="s">
        <v>448</v>
      </c>
      <c r="E259" s="1" t="s">
        <v>448</v>
      </c>
      <c r="F259" s="1" t="s">
        <v>448</v>
      </c>
      <c r="G259" s="1" t="s">
        <v>448</v>
      </c>
      <c r="H259" s="1" t="s">
        <v>448</v>
      </c>
      <c r="I259" s="1" t="s">
        <v>448</v>
      </c>
      <c r="J259" s="1" t="s">
        <v>448</v>
      </c>
      <c r="K259" s="1" t="s">
        <v>448</v>
      </c>
      <c r="L259" s="1" t="s">
        <v>448</v>
      </c>
      <c r="M259" s="1" t="s">
        <v>448</v>
      </c>
      <c r="N259" s="1" t="s">
        <v>448</v>
      </c>
      <c r="O259" s="1">
        <v>20064</v>
      </c>
      <c r="P259" s="1" t="s">
        <v>149</v>
      </c>
      <c r="Q259" s="1" t="s">
        <v>150</v>
      </c>
      <c r="R259" t="str">
        <f t="shared" si="8"/>
        <v/>
      </c>
      <c r="S259" t="str">
        <f t="shared" si="9"/>
        <v/>
      </c>
    </row>
    <row r="260" spans="1:19" x14ac:dyDescent="0.25">
      <c r="A260" s="1" t="s">
        <v>448</v>
      </c>
      <c r="B260" s="5" t="s">
        <v>448</v>
      </c>
      <c r="C260" s="1" t="s">
        <v>448</v>
      </c>
      <c r="D260" s="1" t="s">
        <v>448</v>
      </c>
      <c r="E260" s="1" t="s">
        <v>448</v>
      </c>
      <c r="F260" s="1" t="s">
        <v>448</v>
      </c>
      <c r="G260" s="1" t="s">
        <v>448</v>
      </c>
      <c r="H260" s="1" t="s">
        <v>448</v>
      </c>
      <c r="I260" s="1" t="s">
        <v>448</v>
      </c>
      <c r="J260" s="1" t="s">
        <v>448</v>
      </c>
      <c r="K260" s="1" t="s">
        <v>448</v>
      </c>
      <c r="L260" s="1" t="s">
        <v>448</v>
      </c>
      <c r="M260" s="1" t="s">
        <v>448</v>
      </c>
      <c r="N260" s="1" t="s">
        <v>448</v>
      </c>
      <c r="O260" s="1">
        <v>20064</v>
      </c>
      <c r="P260" s="1" t="s">
        <v>149</v>
      </c>
      <c r="Q260" s="1" t="s">
        <v>150</v>
      </c>
      <c r="R260" t="str">
        <f t="shared" si="8"/>
        <v/>
      </c>
      <c r="S260" t="str">
        <f t="shared" si="9"/>
        <v/>
      </c>
    </row>
    <row r="261" spans="1:19" x14ac:dyDescent="0.25">
      <c r="A261" s="1" t="s">
        <v>448</v>
      </c>
      <c r="B261" s="5" t="s">
        <v>448</v>
      </c>
      <c r="C261" s="1" t="s">
        <v>448</v>
      </c>
      <c r="D261" s="1" t="s">
        <v>448</v>
      </c>
      <c r="E261" s="1" t="s">
        <v>448</v>
      </c>
      <c r="F261" s="1" t="s">
        <v>448</v>
      </c>
      <c r="G261" s="1" t="s">
        <v>448</v>
      </c>
      <c r="H261" s="1" t="s">
        <v>448</v>
      </c>
      <c r="I261" s="1" t="s">
        <v>448</v>
      </c>
      <c r="J261" s="1" t="s">
        <v>448</v>
      </c>
      <c r="K261" s="1" t="s">
        <v>448</v>
      </c>
      <c r="L261" s="1" t="s">
        <v>448</v>
      </c>
      <c r="M261" s="1" t="s">
        <v>448</v>
      </c>
      <c r="N261" s="1" t="s">
        <v>448</v>
      </c>
      <c r="O261" s="1">
        <v>20064</v>
      </c>
      <c r="P261" s="1" t="s">
        <v>149</v>
      </c>
      <c r="Q261" s="1" t="s">
        <v>150</v>
      </c>
      <c r="R261" t="str">
        <f t="shared" si="8"/>
        <v/>
      </c>
      <c r="S261" t="str">
        <f t="shared" si="9"/>
        <v/>
      </c>
    </row>
    <row r="262" spans="1:19" x14ac:dyDescent="0.25">
      <c r="A262" s="1" t="s">
        <v>448</v>
      </c>
      <c r="B262" s="5" t="s">
        <v>448</v>
      </c>
      <c r="C262" s="1" t="s">
        <v>448</v>
      </c>
      <c r="D262" s="1" t="s">
        <v>448</v>
      </c>
      <c r="E262" s="1" t="s">
        <v>448</v>
      </c>
      <c r="F262" s="1" t="s">
        <v>448</v>
      </c>
      <c r="G262" s="1" t="s">
        <v>448</v>
      </c>
      <c r="H262" s="1" t="s">
        <v>448</v>
      </c>
      <c r="I262" s="1" t="s">
        <v>448</v>
      </c>
      <c r="J262" s="1" t="s">
        <v>448</v>
      </c>
      <c r="K262" s="1" t="s">
        <v>448</v>
      </c>
      <c r="L262" s="1" t="s">
        <v>448</v>
      </c>
      <c r="M262" s="1" t="s">
        <v>448</v>
      </c>
      <c r="N262" s="1" t="s">
        <v>448</v>
      </c>
      <c r="O262" s="1">
        <v>20064</v>
      </c>
      <c r="P262" s="1" t="s">
        <v>149</v>
      </c>
      <c r="Q262" s="1" t="s">
        <v>150</v>
      </c>
      <c r="R262" t="str">
        <f t="shared" si="8"/>
        <v/>
      </c>
      <c r="S262" t="str">
        <f t="shared" si="9"/>
        <v/>
      </c>
    </row>
    <row r="263" spans="1:19" x14ac:dyDescent="0.25">
      <c r="A263" s="1" t="s">
        <v>448</v>
      </c>
      <c r="B263" s="5" t="s">
        <v>448</v>
      </c>
      <c r="C263" s="1" t="s">
        <v>448</v>
      </c>
      <c r="D263" s="1" t="s">
        <v>448</v>
      </c>
      <c r="E263" s="1" t="s">
        <v>448</v>
      </c>
      <c r="F263" s="1" t="s">
        <v>448</v>
      </c>
      <c r="G263" s="1" t="s">
        <v>448</v>
      </c>
      <c r="H263" s="1" t="s">
        <v>448</v>
      </c>
      <c r="I263" s="1" t="s">
        <v>448</v>
      </c>
      <c r="J263" s="1" t="s">
        <v>448</v>
      </c>
      <c r="K263" s="1" t="s">
        <v>448</v>
      </c>
      <c r="L263" s="1" t="s">
        <v>448</v>
      </c>
      <c r="M263" s="1" t="s">
        <v>448</v>
      </c>
      <c r="N263" s="1" t="s">
        <v>448</v>
      </c>
      <c r="O263" s="1">
        <v>20064</v>
      </c>
      <c r="P263" s="1" t="s">
        <v>149</v>
      </c>
      <c r="Q263" s="1" t="s">
        <v>150</v>
      </c>
      <c r="R263" t="str">
        <f t="shared" si="8"/>
        <v/>
      </c>
      <c r="S263" t="str">
        <f t="shared" si="9"/>
        <v/>
      </c>
    </row>
    <row r="264" spans="1:19" x14ac:dyDescent="0.25">
      <c r="A264" s="1" t="s">
        <v>448</v>
      </c>
      <c r="B264" s="5" t="s">
        <v>448</v>
      </c>
      <c r="C264" s="1" t="s">
        <v>448</v>
      </c>
      <c r="D264" s="1" t="s">
        <v>448</v>
      </c>
      <c r="E264" s="1" t="s">
        <v>448</v>
      </c>
      <c r="F264" s="1" t="s">
        <v>448</v>
      </c>
      <c r="G264" s="1" t="s">
        <v>448</v>
      </c>
      <c r="H264" s="1" t="s">
        <v>448</v>
      </c>
      <c r="I264" s="1" t="s">
        <v>448</v>
      </c>
      <c r="J264" s="1" t="s">
        <v>448</v>
      </c>
      <c r="K264" s="1" t="s">
        <v>448</v>
      </c>
      <c r="L264" s="1" t="s">
        <v>448</v>
      </c>
      <c r="M264" s="1" t="s">
        <v>448</v>
      </c>
      <c r="N264" s="1" t="s">
        <v>448</v>
      </c>
      <c r="O264" s="1">
        <v>20064</v>
      </c>
      <c r="P264" s="1" t="s">
        <v>149</v>
      </c>
      <c r="Q264" s="1" t="s">
        <v>150</v>
      </c>
      <c r="R264" t="str">
        <f t="shared" si="8"/>
        <v/>
      </c>
      <c r="S264" t="str">
        <f t="shared" si="9"/>
        <v/>
      </c>
    </row>
    <row r="265" spans="1:19" x14ac:dyDescent="0.25">
      <c r="A265" s="1" t="s">
        <v>448</v>
      </c>
      <c r="B265" s="5" t="s">
        <v>448</v>
      </c>
      <c r="C265" s="1" t="s">
        <v>448</v>
      </c>
      <c r="D265" s="1" t="s">
        <v>448</v>
      </c>
      <c r="E265" s="1" t="s">
        <v>448</v>
      </c>
      <c r="F265" s="1" t="s">
        <v>448</v>
      </c>
      <c r="G265" s="1" t="s">
        <v>448</v>
      </c>
      <c r="H265" s="1" t="s">
        <v>448</v>
      </c>
      <c r="I265" s="1" t="s">
        <v>448</v>
      </c>
      <c r="J265" s="1" t="s">
        <v>448</v>
      </c>
      <c r="K265" s="1" t="s">
        <v>448</v>
      </c>
      <c r="L265" s="1" t="s">
        <v>448</v>
      </c>
      <c r="M265" s="1" t="s">
        <v>448</v>
      </c>
      <c r="N265" s="1" t="s">
        <v>448</v>
      </c>
      <c r="O265" s="1">
        <v>20064</v>
      </c>
      <c r="P265" s="1" t="s">
        <v>149</v>
      </c>
      <c r="Q265" s="1" t="s">
        <v>150</v>
      </c>
      <c r="R265" t="str">
        <f t="shared" si="8"/>
        <v/>
      </c>
      <c r="S265" t="str">
        <f t="shared" si="9"/>
        <v/>
      </c>
    </row>
    <row r="266" spans="1:19" x14ac:dyDescent="0.25">
      <c r="A266" s="1" t="s">
        <v>448</v>
      </c>
      <c r="B266" s="5" t="s">
        <v>448</v>
      </c>
      <c r="C266" s="1" t="s">
        <v>448</v>
      </c>
      <c r="D266" s="1" t="s">
        <v>448</v>
      </c>
      <c r="E266" s="1" t="s">
        <v>448</v>
      </c>
      <c r="F266" s="1" t="s">
        <v>448</v>
      </c>
      <c r="G266" s="1" t="s">
        <v>448</v>
      </c>
      <c r="H266" s="1" t="s">
        <v>448</v>
      </c>
      <c r="I266" s="1" t="s">
        <v>448</v>
      </c>
      <c r="J266" s="1" t="s">
        <v>448</v>
      </c>
      <c r="K266" s="1" t="s">
        <v>448</v>
      </c>
      <c r="L266" s="1" t="s">
        <v>448</v>
      </c>
      <c r="M266" s="1" t="s">
        <v>448</v>
      </c>
      <c r="N266" s="1" t="s">
        <v>448</v>
      </c>
      <c r="O266" s="1">
        <v>20064</v>
      </c>
      <c r="P266" s="1" t="s">
        <v>149</v>
      </c>
      <c r="Q266" s="1" t="s">
        <v>150</v>
      </c>
      <c r="R266" t="str">
        <f t="shared" si="8"/>
        <v/>
      </c>
      <c r="S266" t="str">
        <f t="shared" si="9"/>
        <v/>
      </c>
    </row>
    <row r="267" spans="1:19" x14ac:dyDescent="0.25">
      <c r="A267" s="1" t="s">
        <v>448</v>
      </c>
      <c r="B267" s="5" t="s">
        <v>448</v>
      </c>
      <c r="C267" s="1" t="s">
        <v>448</v>
      </c>
      <c r="D267" s="1" t="s">
        <v>448</v>
      </c>
      <c r="E267" s="1" t="s">
        <v>448</v>
      </c>
      <c r="F267" s="1" t="s">
        <v>448</v>
      </c>
      <c r="G267" s="1" t="s">
        <v>448</v>
      </c>
      <c r="H267" s="1" t="s">
        <v>448</v>
      </c>
      <c r="I267" s="1" t="s">
        <v>448</v>
      </c>
      <c r="J267" s="1" t="s">
        <v>448</v>
      </c>
      <c r="K267" s="1" t="s">
        <v>448</v>
      </c>
      <c r="L267" s="1" t="s">
        <v>448</v>
      </c>
      <c r="M267" s="1" t="s">
        <v>448</v>
      </c>
      <c r="N267" s="1" t="s">
        <v>448</v>
      </c>
      <c r="O267" s="1">
        <v>20064</v>
      </c>
      <c r="P267" s="1" t="s">
        <v>149</v>
      </c>
      <c r="Q267" s="1" t="s">
        <v>150</v>
      </c>
      <c r="R267" t="str">
        <f t="shared" si="8"/>
        <v/>
      </c>
      <c r="S267" t="str">
        <f t="shared" si="9"/>
        <v/>
      </c>
    </row>
    <row r="268" spans="1:19" x14ac:dyDescent="0.25">
      <c r="A268" s="1" t="s">
        <v>448</v>
      </c>
      <c r="B268" s="5" t="s">
        <v>448</v>
      </c>
      <c r="C268" s="1" t="s">
        <v>448</v>
      </c>
      <c r="D268" s="1" t="s">
        <v>448</v>
      </c>
      <c r="E268" s="1" t="s">
        <v>448</v>
      </c>
      <c r="F268" s="1" t="s">
        <v>448</v>
      </c>
      <c r="G268" s="1" t="s">
        <v>448</v>
      </c>
      <c r="H268" s="1" t="s">
        <v>448</v>
      </c>
      <c r="I268" s="1" t="s">
        <v>448</v>
      </c>
      <c r="J268" s="1" t="s">
        <v>448</v>
      </c>
      <c r="K268" s="1" t="s">
        <v>448</v>
      </c>
      <c r="L268" s="1" t="s">
        <v>448</v>
      </c>
      <c r="M268" s="1" t="s">
        <v>448</v>
      </c>
      <c r="N268" s="1" t="s">
        <v>448</v>
      </c>
      <c r="O268" s="1">
        <v>20064</v>
      </c>
      <c r="P268" s="1" t="s">
        <v>149</v>
      </c>
      <c r="Q268" s="1" t="s">
        <v>150</v>
      </c>
      <c r="R268" t="str">
        <f t="shared" si="8"/>
        <v/>
      </c>
      <c r="S268" t="str">
        <f t="shared" si="9"/>
        <v/>
      </c>
    </row>
    <row r="269" spans="1:19" x14ac:dyDescent="0.25">
      <c r="A269" s="1" t="s">
        <v>448</v>
      </c>
      <c r="B269" s="5" t="s">
        <v>448</v>
      </c>
      <c r="C269" s="1" t="s">
        <v>448</v>
      </c>
      <c r="D269" s="1" t="s">
        <v>448</v>
      </c>
      <c r="E269" s="1" t="s">
        <v>448</v>
      </c>
      <c r="F269" s="1" t="s">
        <v>448</v>
      </c>
      <c r="G269" s="1" t="s">
        <v>448</v>
      </c>
      <c r="H269" s="1" t="s">
        <v>448</v>
      </c>
      <c r="I269" s="1" t="s">
        <v>448</v>
      </c>
      <c r="J269" s="1" t="s">
        <v>448</v>
      </c>
      <c r="K269" s="1" t="s">
        <v>448</v>
      </c>
      <c r="L269" s="1" t="s">
        <v>448</v>
      </c>
      <c r="M269" s="1" t="s">
        <v>448</v>
      </c>
      <c r="N269" s="1" t="s">
        <v>448</v>
      </c>
      <c r="O269" s="1">
        <v>20064</v>
      </c>
      <c r="P269" s="1" t="s">
        <v>149</v>
      </c>
      <c r="Q269" s="1" t="s">
        <v>150</v>
      </c>
      <c r="R269" t="str">
        <f t="shared" si="8"/>
        <v/>
      </c>
      <c r="S269" t="str">
        <f t="shared" si="9"/>
        <v/>
      </c>
    </row>
    <row r="270" spans="1:19" x14ac:dyDescent="0.25">
      <c r="A270" s="1" t="s">
        <v>448</v>
      </c>
      <c r="B270" s="5" t="s">
        <v>448</v>
      </c>
      <c r="C270" s="1" t="s">
        <v>448</v>
      </c>
      <c r="D270" s="1" t="s">
        <v>448</v>
      </c>
      <c r="E270" s="1" t="s">
        <v>448</v>
      </c>
      <c r="F270" s="1" t="s">
        <v>448</v>
      </c>
      <c r="G270" s="1" t="s">
        <v>448</v>
      </c>
      <c r="H270" s="1" t="s">
        <v>448</v>
      </c>
      <c r="I270" s="1" t="s">
        <v>448</v>
      </c>
      <c r="J270" s="1" t="s">
        <v>448</v>
      </c>
      <c r="K270" s="1" t="s">
        <v>448</v>
      </c>
      <c r="L270" s="1" t="s">
        <v>448</v>
      </c>
      <c r="M270" s="1" t="s">
        <v>448</v>
      </c>
      <c r="N270" s="1" t="s">
        <v>448</v>
      </c>
      <c r="O270" s="1">
        <v>20064</v>
      </c>
      <c r="P270" s="1" t="s">
        <v>149</v>
      </c>
      <c r="Q270" s="1" t="s">
        <v>150</v>
      </c>
      <c r="R270" t="str">
        <f t="shared" si="8"/>
        <v/>
      </c>
      <c r="S270" t="str">
        <f t="shared" si="9"/>
        <v/>
      </c>
    </row>
    <row r="271" spans="1:19" x14ac:dyDescent="0.25">
      <c r="A271" s="1" t="s">
        <v>448</v>
      </c>
      <c r="B271" s="5" t="s">
        <v>448</v>
      </c>
      <c r="C271" s="1" t="s">
        <v>448</v>
      </c>
      <c r="D271" s="1" t="s">
        <v>448</v>
      </c>
      <c r="E271" s="1" t="s">
        <v>448</v>
      </c>
      <c r="F271" s="1" t="s">
        <v>448</v>
      </c>
      <c r="G271" s="1" t="s">
        <v>448</v>
      </c>
      <c r="H271" s="1" t="s">
        <v>448</v>
      </c>
      <c r="I271" s="1" t="s">
        <v>448</v>
      </c>
      <c r="J271" s="1" t="s">
        <v>448</v>
      </c>
      <c r="K271" s="1" t="s">
        <v>448</v>
      </c>
      <c r="L271" s="1" t="s">
        <v>448</v>
      </c>
      <c r="M271" s="1" t="s">
        <v>448</v>
      </c>
      <c r="N271" s="1" t="s">
        <v>448</v>
      </c>
      <c r="O271" s="1">
        <v>20064</v>
      </c>
      <c r="P271" s="1" t="s">
        <v>149</v>
      </c>
      <c r="Q271" s="1" t="s">
        <v>150</v>
      </c>
      <c r="R271" t="str">
        <f t="shared" si="8"/>
        <v/>
      </c>
      <c r="S271" t="str">
        <f t="shared" si="9"/>
        <v/>
      </c>
    </row>
    <row r="272" spans="1:19" x14ac:dyDescent="0.25">
      <c r="A272" s="1" t="s">
        <v>448</v>
      </c>
      <c r="B272" s="5" t="s">
        <v>448</v>
      </c>
      <c r="C272" s="1" t="s">
        <v>448</v>
      </c>
      <c r="D272" s="1" t="s">
        <v>448</v>
      </c>
      <c r="E272" s="1" t="s">
        <v>448</v>
      </c>
      <c r="F272" s="1" t="s">
        <v>448</v>
      </c>
      <c r="G272" s="1" t="s">
        <v>448</v>
      </c>
      <c r="H272" s="1" t="s">
        <v>448</v>
      </c>
      <c r="I272" s="1" t="s">
        <v>448</v>
      </c>
      <c r="J272" s="1" t="s">
        <v>448</v>
      </c>
      <c r="K272" s="1" t="s">
        <v>448</v>
      </c>
      <c r="L272" s="1" t="s">
        <v>448</v>
      </c>
      <c r="M272" s="1" t="s">
        <v>448</v>
      </c>
      <c r="N272" s="1" t="s">
        <v>448</v>
      </c>
      <c r="O272" s="1">
        <v>20064</v>
      </c>
      <c r="P272" s="1" t="s">
        <v>149</v>
      </c>
      <c r="Q272" s="1" t="s">
        <v>150</v>
      </c>
      <c r="R272" t="str">
        <f t="shared" si="8"/>
        <v/>
      </c>
      <c r="S272" t="str">
        <f t="shared" si="9"/>
        <v/>
      </c>
    </row>
    <row r="273" spans="1:19" x14ac:dyDescent="0.25">
      <c r="A273" s="1" t="s">
        <v>448</v>
      </c>
      <c r="B273" s="5" t="s">
        <v>448</v>
      </c>
      <c r="C273" s="1" t="s">
        <v>448</v>
      </c>
      <c r="D273" s="1" t="s">
        <v>448</v>
      </c>
      <c r="E273" s="1" t="s">
        <v>448</v>
      </c>
      <c r="F273" s="1" t="s">
        <v>448</v>
      </c>
      <c r="G273" s="1" t="s">
        <v>448</v>
      </c>
      <c r="H273" s="1" t="s">
        <v>448</v>
      </c>
      <c r="I273" s="1" t="s">
        <v>448</v>
      </c>
      <c r="J273" s="1" t="s">
        <v>448</v>
      </c>
      <c r="K273" s="1" t="s">
        <v>448</v>
      </c>
      <c r="L273" s="1" t="s">
        <v>448</v>
      </c>
      <c r="M273" s="1" t="s">
        <v>448</v>
      </c>
      <c r="N273" s="1" t="s">
        <v>448</v>
      </c>
      <c r="O273" s="1">
        <v>20064</v>
      </c>
      <c r="P273" s="1" t="s">
        <v>149</v>
      </c>
      <c r="Q273" s="1" t="s">
        <v>150</v>
      </c>
      <c r="R273" t="str">
        <f t="shared" si="8"/>
        <v/>
      </c>
      <c r="S273" t="str">
        <f t="shared" si="9"/>
        <v/>
      </c>
    </row>
    <row r="274" spans="1:19" x14ac:dyDescent="0.25">
      <c r="A274" s="1" t="s">
        <v>448</v>
      </c>
      <c r="B274" s="5" t="s">
        <v>448</v>
      </c>
      <c r="C274" s="1" t="s">
        <v>448</v>
      </c>
      <c r="D274" s="1" t="s">
        <v>448</v>
      </c>
      <c r="E274" s="1" t="s">
        <v>448</v>
      </c>
      <c r="F274" s="1" t="s">
        <v>448</v>
      </c>
      <c r="G274" s="1" t="s">
        <v>448</v>
      </c>
      <c r="H274" s="1" t="s">
        <v>448</v>
      </c>
      <c r="I274" s="1" t="s">
        <v>448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>
        <v>20064</v>
      </c>
      <c r="P274" s="1" t="s">
        <v>149</v>
      </c>
      <c r="Q274" s="1" t="s">
        <v>150</v>
      </c>
      <c r="R274" t="str">
        <f t="shared" si="8"/>
        <v/>
      </c>
      <c r="S274" t="str">
        <f t="shared" si="9"/>
        <v/>
      </c>
    </row>
    <row r="275" spans="1:19" x14ac:dyDescent="0.25">
      <c r="A275" s="1" t="s">
        <v>448</v>
      </c>
      <c r="B275" s="5" t="s">
        <v>448</v>
      </c>
      <c r="C275" s="1" t="s">
        <v>448</v>
      </c>
      <c r="D275" s="1" t="s">
        <v>448</v>
      </c>
      <c r="E275" s="1" t="s">
        <v>448</v>
      </c>
      <c r="F275" s="1" t="s">
        <v>448</v>
      </c>
      <c r="G275" s="1" t="s">
        <v>448</v>
      </c>
      <c r="H275" s="1" t="s">
        <v>448</v>
      </c>
      <c r="I275" s="1" t="s">
        <v>448</v>
      </c>
      <c r="J275" s="1" t="s">
        <v>448</v>
      </c>
      <c r="K275" s="1" t="s">
        <v>448</v>
      </c>
      <c r="L275" s="1" t="s">
        <v>448</v>
      </c>
      <c r="M275" s="1" t="s">
        <v>448</v>
      </c>
      <c r="N275" s="1" t="s">
        <v>448</v>
      </c>
      <c r="O275" s="1">
        <v>20064</v>
      </c>
      <c r="P275" s="1" t="s">
        <v>149</v>
      </c>
      <c r="Q275" s="1" t="s">
        <v>150</v>
      </c>
      <c r="R275" t="str">
        <f t="shared" si="8"/>
        <v/>
      </c>
      <c r="S275" t="str">
        <f t="shared" si="9"/>
        <v/>
      </c>
    </row>
    <row r="276" spans="1:19" x14ac:dyDescent="0.25">
      <c r="A276" s="1" t="s">
        <v>448</v>
      </c>
      <c r="B276" s="5" t="s">
        <v>448</v>
      </c>
      <c r="C276" s="1" t="s">
        <v>448</v>
      </c>
      <c r="D276" s="1" t="s">
        <v>448</v>
      </c>
      <c r="E276" s="1" t="s">
        <v>448</v>
      </c>
      <c r="F276" s="1" t="s">
        <v>448</v>
      </c>
      <c r="G276" s="1" t="s">
        <v>448</v>
      </c>
      <c r="H276" s="1" t="s">
        <v>448</v>
      </c>
      <c r="I276" s="1" t="s">
        <v>448</v>
      </c>
      <c r="J276" s="1" t="s">
        <v>448</v>
      </c>
      <c r="K276" s="1" t="s">
        <v>448</v>
      </c>
      <c r="L276" s="1" t="s">
        <v>448</v>
      </c>
      <c r="M276" s="1" t="s">
        <v>448</v>
      </c>
      <c r="N276" s="1" t="s">
        <v>448</v>
      </c>
      <c r="O276" s="1">
        <v>20064</v>
      </c>
      <c r="P276" s="1" t="s">
        <v>149</v>
      </c>
      <c r="Q276" s="1" t="s">
        <v>150</v>
      </c>
      <c r="R276" t="str">
        <f t="shared" si="8"/>
        <v/>
      </c>
      <c r="S276" t="str">
        <f t="shared" si="9"/>
        <v/>
      </c>
    </row>
    <row r="277" spans="1:19" x14ac:dyDescent="0.25">
      <c r="A277" s="1" t="s">
        <v>448</v>
      </c>
      <c r="B277" s="5" t="s">
        <v>448</v>
      </c>
      <c r="C277" s="1" t="s">
        <v>448</v>
      </c>
      <c r="D277" s="1" t="s">
        <v>448</v>
      </c>
      <c r="E277" s="1" t="s">
        <v>448</v>
      </c>
      <c r="F277" s="1" t="s">
        <v>448</v>
      </c>
      <c r="G277" s="1" t="s">
        <v>448</v>
      </c>
      <c r="H277" s="1" t="s">
        <v>448</v>
      </c>
      <c r="I277" s="1" t="s">
        <v>448</v>
      </c>
      <c r="J277" s="1" t="s">
        <v>448</v>
      </c>
      <c r="K277" s="1" t="s">
        <v>448</v>
      </c>
      <c r="L277" s="1" t="s">
        <v>448</v>
      </c>
      <c r="M277" s="1" t="s">
        <v>448</v>
      </c>
      <c r="N277" s="1" t="s">
        <v>448</v>
      </c>
      <c r="O277" s="1">
        <v>20064</v>
      </c>
      <c r="P277" s="1" t="s">
        <v>149</v>
      </c>
      <c r="Q277" s="1" t="s">
        <v>150</v>
      </c>
      <c r="R277" t="str">
        <f t="shared" si="8"/>
        <v/>
      </c>
      <c r="S277" t="str">
        <f t="shared" si="9"/>
        <v/>
      </c>
    </row>
    <row r="278" spans="1:19" x14ac:dyDescent="0.25">
      <c r="A278" s="1" t="s">
        <v>448</v>
      </c>
      <c r="B278" s="5" t="s">
        <v>448</v>
      </c>
      <c r="C278" s="1" t="s">
        <v>448</v>
      </c>
      <c r="D278" s="1" t="s">
        <v>448</v>
      </c>
      <c r="E278" s="1" t="s">
        <v>448</v>
      </c>
      <c r="F278" s="1" t="s">
        <v>448</v>
      </c>
      <c r="G278" s="1" t="s">
        <v>448</v>
      </c>
      <c r="H278" s="1" t="s">
        <v>448</v>
      </c>
      <c r="I278" s="1" t="s">
        <v>448</v>
      </c>
      <c r="J278" s="1" t="s">
        <v>448</v>
      </c>
      <c r="K278" s="1" t="s">
        <v>448</v>
      </c>
      <c r="L278" s="1" t="s">
        <v>448</v>
      </c>
      <c r="M278" s="1" t="s">
        <v>448</v>
      </c>
      <c r="N278" s="1" t="s">
        <v>448</v>
      </c>
      <c r="O278" s="1">
        <v>20064</v>
      </c>
      <c r="P278" s="1" t="s">
        <v>149</v>
      </c>
      <c r="Q278" s="1" t="s">
        <v>150</v>
      </c>
      <c r="R278" t="str">
        <f t="shared" si="8"/>
        <v/>
      </c>
      <c r="S278" t="str">
        <f t="shared" si="9"/>
        <v/>
      </c>
    </row>
    <row r="279" spans="1:19" x14ac:dyDescent="0.25">
      <c r="A279" s="1" t="s">
        <v>448</v>
      </c>
      <c r="B279" s="5" t="s">
        <v>448</v>
      </c>
      <c r="C279" s="1" t="s">
        <v>448</v>
      </c>
      <c r="D279" s="1" t="s">
        <v>448</v>
      </c>
      <c r="E279" s="1" t="s">
        <v>448</v>
      </c>
      <c r="F279" s="1" t="s">
        <v>448</v>
      </c>
      <c r="G279" s="1" t="s">
        <v>448</v>
      </c>
      <c r="H279" s="1" t="s">
        <v>448</v>
      </c>
      <c r="I279" s="1" t="s">
        <v>448</v>
      </c>
      <c r="J279" s="1" t="s">
        <v>448</v>
      </c>
      <c r="K279" s="1" t="s">
        <v>448</v>
      </c>
      <c r="L279" s="1" t="s">
        <v>448</v>
      </c>
      <c r="M279" s="1" t="s">
        <v>448</v>
      </c>
      <c r="N279" s="1" t="s">
        <v>448</v>
      </c>
      <c r="O279" s="1">
        <v>20064</v>
      </c>
      <c r="P279" s="1" t="s">
        <v>149</v>
      </c>
      <c r="Q279" s="1" t="s">
        <v>150</v>
      </c>
      <c r="R279" t="str">
        <f t="shared" si="8"/>
        <v/>
      </c>
      <c r="S279" t="str">
        <f t="shared" si="9"/>
        <v/>
      </c>
    </row>
    <row r="280" spans="1:19" x14ac:dyDescent="0.25">
      <c r="A280" s="1" t="s">
        <v>448</v>
      </c>
      <c r="B280" s="5" t="s">
        <v>448</v>
      </c>
      <c r="C280" s="1" t="s">
        <v>448</v>
      </c>
      <c r="D280" s="1" t="s">
        <v>448</v>
      </c>
      <c r="E280" s="1" t="s">
        <v>448</v>
      </c>
      <c r="F280" s="1" t="s">
        <v>448</v>
      </c>
      <c r="G280" s="1" t="s">
        <v>448</v>
      </c>
      <c r="H280" s="1" t="s">
        <v>448</v>
      </c>
      <c r="I280" s="1" t="s">
        <v>448</v>
      </c>
      <c r="J280" s="1" t="s">
        <v>448</v>
      </c>
      <c r="K280" s="1" t="s">
        <v>448</v>
      </c>
      <c r="L280" s="1" t="s">
        <v>448</v>
      </c>
      <c r="M280" s="1" t="s">
        <v>448</v>
      </c>
      <c r="N280" s="1" t="s">
        <v>448</v>
      </c>
      <c r="O280" s="1">
        <v>20064</v>
      </c>
      <c r="P280" s="1" t="s">
        <v>149</v>
      </c>
      <c r="Q280" s="1" t="s">
        <v>150</v>
      </c>
      <c r="R280" t="str">
        <f t="shared" si="8"/>
        <v/>
      </c>
      <c r="S280" t="str">
        <f t="shared" si="9"/>
        <v/>
      </c>
    </row>
    <row r="281" spans="1:19" x14ac:dyDescent="0.25">
      <c r="A281" s="1" t="s">
        <v>448</v>
      </c>
      <c r="B281" s="5" t="s">
        <v>448</v>
      </c>
      <c r="C281" s="1" t="s">
        <v>448</v>
      </c>
      <c r="D281" s="1" t="s">
        <v>448</v>
      </c>
      <c r="E281" s="1" t="s">
        <v>448</v>
      </c>
      <c r="F281" s="1" t="s">
        <v>448</v>
      </c>
      <c r="G281" s="1" t="s">
        <v>448</v>
      </c>
      <c r="H281" s="1" t="s">
        <v>448</v>
      </c>
      <c r="I281" s="1" t="s">
        <v>448</v>
      </c>
      <c r="J281" s="1" t="s">
        <v>448</v>
      </c>
      <c r="K281" s="1" t="s">
        <v>448</v>
      </c>
      <c r="L281" s="1" t="s">
        <v>448</v>
      </c>
      <c r="M281" s="1" t="s">
        <v>448</v>
      </c>
      <c r="N281" s="1" t="s">
        <v>448</v>
      </c>
      <c r="O281" s="1">
        <v>20064</v>
      </c>
      <c r="P281" s="1" t="s">
        <v>149</v>
      </c>
      <c r="Q281" s="1" t="s">
        <v>150</v>
      </c>
      <c r="R281" t="str">
        <f t="shared" si="8"/>
        <v/>
      </c>
      <c r="S281" t="str">
        <f t="shared" si="9"/>
        <v/>
      </c>
    </row>
    <row r="282" spans="1:19" x14ac:dyDescent="0.25">
      <c r="A282" s="1" t="s">
        <v>448</v>
      </c>
      <c r="B282" s="5" t="s">
        <v>448</v>
      </c>
      <c r="C282" s="1" t="s">
        <v>448</v>
      </c>
      <c r="D282" s="1" t="s">
        <v>448</v>
      </c>
      <c r="E282" s="1" t="s">
        <v>448</v>
      </c>
      <c r="F282" s="1" t="s">
        <v>448</v>
      </c>
      <c r="G282" s="1" t="s">
        <v>448</v>
      </c>
      <c r="H282" s="1" t="s">
        <v>448</v>
      </c>
      <c r="I282" s="1" t="s">
        <v>448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>
        <v>20064</v>
      </c>
      <c r="P282" s="1" t="s">
        <v>149</v>
      </c>
      <c r="Q282" s="1" t="s">
        <v>150</v>
      </c>
      <c r="R282" t="str">
        <f t="shared" si="8"/>
        <v/>
      </c>
      <c r="S282" t="str">
        <f t="shared" si="9"/>
        <v/>
      </c>
    </row>
    <row r="283" spans="1:19" x14ac:dyDescent="0.25">
      <c r="A283" s="1" t="s">
        <v>448</v>
      </c>
      <c r="B283" s="5" t="s">
        <v>448</v>
      </c>
      <c r="C283" s="1" t="s">
        <v>448</v>
      </c>
      <c r="D283" s="1" t="s">
        <v>448</v>
      </c>
      <c r="E283" s="1" t="s">
        <v>448</v>
      </c>
      <c r="F283" s="1" t="s">
        <v>448</v>
      </c>
      <c r="G283" s="1" t="s">
        <v>448</v>
      </c>
      <c r="H283" s="1" t="s">
        <v>448</v>
      </c>
      <c r="I283" s="1" t="s">
        <v>448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>
        <v>20064</v>
      </c>
      <c r="P283" s="1" t="s">
        <v>149</v>
      </c>
      <c r="Q283" s="1" t="s">
        <v>150</v>
      </c>
      <c r="R283" t="str">
        <f t="shared" si="8"/>
        <v/>
      </c>
      <c r="S283" t="str">
        <f t="shared" si="9"/>
        <v/>
      </c>
    </row>
    <row r="284" spans="1:19" x14ac:dyDescent="0.25">
      <c r="A284" s="1" t="s">
        <v>448</v>
      </c>
      <c r="B284" s="5" t="s">
        <v>448</v>
      </c>
      <c r="C284" s="1" t="s">
        <v>448</v>
      </c>
      <c r="D284" s="1" t="s">
        <v>448</v>
      </c>
      <c r="E284" s="1" t="s">
        <v>448</v>
      </c>
      <c r="F284" s="1" t="s">
        <v>448</v>
      </c>
      <c r="G284" s="1" t="s">
        <v>448</v>
      </c>
      <c r="H284" s="1" t="s">
        <v>448</v>
      </c>
      <c r="I284" s="1" t="s">
        <v>448</v>
      </c>
      <c r="J284" s="1" t="s">
        <v>448</v>
      </c>
      <c r="K284" s="1" t="s">
        <v>448</v>
      </c>
      <c r="L284" s="1" t="s">
        <v>448</v>
      </c>
      <c r="M284" s="1" t="s">
        <v>448</v>
      </c>
      <c r="N284" s="1" t="s">
        <v>448</v>
      </c>
      <c r="O284" s="1">
        <v>20064</v>
      </c>
      <c r="P284" s="1" t="s">
        <v>149</v>
      </c>
      <c r="Q284" s="1" t="s">
        <v>150</v>
      </c>
      <c r="R284" t="str">
        <f t="shared" si="8"/>
        <v/>
      </c>
      <c r="S284" t="str">
        <f t="shared" si="9"/>
        <v/>
      </c>
    </row>
    <row r="285" spans="1:19" x14ac:dyDescent="0.25">
      <c r="A285" s="1" t="s">
        <v>448</v>
      </c>
      <c r="B285" s="5" t="s">
        <v>448</v>
      </c>
      <c r="C285" s="1" t="s">
        <v>448</v>
      </c>
      <c r="D285" s="1" t="s">
        <v>448</v>
      </c>
      <c r="E285" s="1" t="s">
        <v>448</v>
      </c>
      <c r="F285" s="1" t="s">
        <v>448</v>
      </c>
      <c r="G285" s="1" t="s">
        <v>448</v>
      </c>
      <c r="H285" s="1" t="s">
        <v>448</v>
      </c>
      <c r="I285" s="1" t="s">
        <v>448</v>
      </c>
      <c r="J285" s="1" t="s">
        <v>448</v>
      </c>
      <c r="K285" s="1" t="s">
        <v>448</v>
      </c>
      <c r="L285" s="1" t="s">
        <v>448</v>
      </c>
      <c r="M285" s="1" t="s">
        <v>448</v>
      </c>
      <c r="N285" s="1" t="s">
        <v>448</v>
      </c>
      <c r="O285" s="1">
        <v>20064</v>
      </c>
      <c r="P285" s="1" t="s">
        <v>149</v>
      </c>
      <c r="Q285" s="1" t="s">
        <v>150</v>
      </c>
      <c r="R285" t="str">
        <f t="shared" si="8"/>
        <v/>
      </c>
      <c r="S285" t="str">
        <f t="shared" si="9"/>
        <v/>
      </c>
    </row>
    <row r="286" spans="1:19" x14ac:dyDescent="0.25">
      <c r="A286" s="1" t="s">
        <v>448</v>
      </c>
      <c r="B286" s="5" t="s">
        <v>448</v>
      </c>
      <c r="C286" s="1" t="s">
        <v>448</v>
      </c>
      <c r="D286" s="1" t="s">
        <v>448</v>
      </c>
      <c r="E286" s="1" t="s">
        <v>448</v>
      </c>
      <c r="F286" s="1" t="s">
        <v>448</v>
      </c>
      <c r="G286" s="1" t="s">
        <v>448</v>
      </c>
      <c r="H286" s="1" t="s">
        <v>448</v>
      </c>
      <c r="I286" s="1" t="s">
        <v>448</v>
      </c>
      <c r="J286" s="1" t="s">
        <v>448</v>
      </c>
      <c r="K286" s="1" t="s">
        <v>448</v>
      </c>
      <c r="L286" s="1" t="s">
        <v>448</v>
      </c>
      <c r="M286" s="1" t="s">
        <v>448</v>
      </c>
      <c r="N286" s="1" t="s">
        <v>448</v>
      </c>
      <c r="O286" s="1">
        <v>20064</v>
      </c>
      <c r="P286" s="1" t="s">
        <v>149</v>
      </c>
      <c r="Q286" s="1" t="s">
        <v>150</v>
      </c>
      <c r="R286" t="str">
        <f t="shared" si="8"/>
        <v/>
      </c>
      <c r="S286" t="str">
        <f t="shared" si="9"/>
        <v/>
      </c>
    </row>
    <row r="287" spans="1:19" x14ac:dyDescent="0.25">
      <c r="A287" s="1" t="s">
        <v>448</v>
      </c>
      <c r="B287" s="5" t="s">
        <v>448</v>
      </c>
      <c r="C287" s="1" t="s">
        <v>448</v>
      </c>
      <c r="D287" s="1" t="s">
        <v>448</v>
      </c>
      <c r="E287" s="1" t="s">
        <v>448</v>
      </c>
      <c r="F287" s="1" t="s">
        <v>448</v>
      </c>
      <c r="G287" s="1" t="s">
        <v>448</v>
      </c>
      <c r="H287" s="1" t="s">
        <v>448</v>
      </c>
      <c r="I287" s="1" t="s">
        <v>448</v>
      </c>
      <c r="J287" s="1" t="s">
        <v>448</v>
      </c>
      <c r="K287" s="1" t="s">
        <v>448</v>
      </c>
      <c r="L287" s="1" t="s">
        <v>448</v>
      </c>
      <c r="M287" s="1" t="s">
        <v>448</v>
      </c>
      <c r="N287" s="1" t="s">
        <v>448</v>
      </c>
      <c r="O287" s="1">
        <v>20064</v>
      </c>
      <c r="P287" s="1" t="s">
        <v>149</v>
      </c>
      <c r="Q287" s="1" t="s">
        <v>150</v>
      </c>
      <c r="R287" t="str">
        <f t="shared" si="8"/>
        <v/>
      </c>
      <c r="S287" t="str">
        <f t="shared" si="9"/>
        <v/>
      </c>
    </row>
    <row r="288" spans="1:19" x14ac:dyDescent="0.25">
      <c r="A288" s="1" t="s">
        <v>448</v>
      </c>
      <c r="B288" s="5" t="s">
        <v>448</v>
      </c>
      <c r="C288" s="1" t="s">
        <v>448</v>
      </c>
      <c r="D288" s="1" t="s">
        <v>448</v>
      </c>
      <c r="E288" s="1" t="s">
        <v>448</v>
      </c>
      <c r="F288" s="1" t="s">
        <v>448</v>
      </c>
      <c r="G288" s="1" t="s">
        <v>448</v>
      </c>
      <c r="H288" s="1" t="s">
        <v>448</v>
      </c>
      <c r="I288" s="1" t="s">
        <v>448</v>
      </c>
      <c r="J288" s="1" t="s">
        <v>448</v>
      </c>
      <c r="K288" s="1" t="s">
        <v>448</v>
      </c>
      <c r="L288" s="1" t="s">
        <v>448</v>
      </c>
      <c r="M288" s="1" t="s">
        <v>448</v>
      </c>
      <c r="N288" s="1" t="s">
        <v>448</v>
      </c>
      <c r="O288" s="1">
        <v>20064</v>
      </c>
      <c r="P288" s="1" t="s">
        <v>149</v>
      </c>
      <c r="Q288" s="1" t="s">
        <v>150</v>
      </c>
      <c r="R288" t="str">
        <f t="shared" si="8"/>
        <v/>
      </c>
      <c r="S288" t="str">
        <f t="shared" si="9"/>
        <v/>
      </c>
    </row>
    <row r="289" spans="1:19" x14ac:dyDescent="0.25">
      <c r="A289" s="1" t="s">
        <v>448</v>
      </c>
      <c r="B289" s="5" t="s">
        <v>448</v>
      </c>
      <c r="C289" s="1" t="s">
        <v>448</v>
      </c>
      <c r="D289" s="1" t="s">
        <v>448</v>
      </c>
      <c r="E289" s="1" t="s">
        <v>448</v>
      </c>
      <c r="F289" s="1" t="s">
        <v>448</v>
      </c>
      <c r="G289" s="1" t="s">
        <v>448</v>
      </c>
      <c r="H289" s="1" t="s">
        <v>448</v>
      </c>
      <c r="I289" s="1" t="s">
        <v>448</v>
      </c>
      <c r="J289" s="1" t="s">
        <v>448</v>
      </c>
      <c r="K289" s="1" t="s">
        <v>448</v>
      </c>
      <c r="L289" s="1" t="s">
        <v>448</v>
      </c>
      <c r="M289" s="1" t="s">
        <v>448</v>
      </c>
      <c r="N289" s="1" t="s">
        <v>448</v>
      </c>
      <c r="O289" s="1">
        <v>20064</v>
      </c>
      <c r="P289" s="1" t="s">
        <v>149</v>
      </c>
      <c r="Q289" s="1" t="s">
        <v>150</v>
      </c>
      <c r="R289" t="str">
        <f t="shared" si="8"/>
        <v/>
      </c>
      <c r="S289" t="str">
        <f t="shared" si="9"/>
        <v/>
      </c>
    </row>
    <row r="290" spans="1:19" x14ac:dyDescent="0.25">
      <c r="A290" s="1" t="s">
        <v>448</v>
      </c>
      <c r="B290" s="5" t="s">
        <v>448</v>
      </c>
      <c r="C290" s="1" t="s">
        <v>448</v>
      </c>
      <c r="D290" s="1" t="s">
        <v>448</v>
      </c>
      <c r="E290" s="1" t="s">
        <v>448</v>
      </c>
      <c r="F290" s="1" t="s">
        <v>448</v>
      </c>
      <c r="G290" s="1" t="s">
        <v>448</v>
      </c>
      <c r="H290" s="1" t="s">
        <v>448</v>
      </c>
      <c r="I290" s="1" t="s">
        <v>448</v>
      </c>
      <c r="J290" s="1" t="s">
        <v>448</v>
      </c>
      <c r="K290" s="1" t="s">
        <v>448</v>
      </c>
      <c r="L290" s="1" t="s">
        <v>448</v>
      </c>
      <c r="M290" s="1" t="s">
        <v>448</v>
      </c>
      <c r="N290" s="1" t="s">
        <v>448</v>
      </c>
      <c r="O290" s="1">
        <v>20064</v>
      </c>
      <c r="P290" s="1" t="s">
        <v>149</v>
      </c>
      <c r="Q290" s="1" t="s">
        <v>150</v>
      </c>
      <c r="R290" t="str">
        <f t="shared" si="8"/>
        <v/>
      </c>
      <c r="S290" t="str">
        <f t="shared" si="9"/>
        <v/>
      </c>
    </row>
    <row r="291" spans="1:19" x14ac:dyDescent="0.25">
      <c r="A291" s="1" t="s">
        <v>448</v>
      </c>
      <c r="B291" s="5" t="s">
        <v>448</v>
      </c>
      <c r="C291" s="1" t="s">
        <v>448</v>
      </c>
      <c r="D291" s="1" t="s">
        <v>448</v>
      </c>
      <c r="E291" s="1" t="s">
        <v>448</v>
      </c>
      <c r="F291" s="1" t="s">
        <v>448</v>
      </c>
      <c r="G291" s="1" t="s">
        <v>448</v>
      </c>
      <c r="H291" s="1" t="s">
        <v>448</v>
      </c>
      <c r="I291" s="1" t="s">
        <v>448</v>
      </c>
      <c r="J291" s="1" t="s">
        <v>448</v>
      </c>
      <c r="K291" s="1" t="s">
        <v>448</v>
      </c>
      <c r="L291" s="1" t="s">
        <v>448</v>
      </c>
      <c r="M291" s="1" t="s">
        <v>448</v>
      </c>
      <c r="N291" s="1" t="s">
        <v>448</v>
      </c>
      <c r="O291" s="1">
        <v>20064</v>
      </c>
      <c r="P291" s="1" t="s">
        <v>149</v>
      </c>
      <c r="Q291" s="1" t="s">
        <v>150</v>
      </c>
      <c r="R291" t="str">
        <f t="shared" si="8"/>
        <v/>
      </c>
      <c r="S291" t="str">
        <f t="shared" si="9"/>
        <v/>
      </c>
    </row>
    <row r="292" spans="1:19" x14ac:dyDescent="0.25">
      <c r="A292" s="1" t="s">
        <v>448</v>
      </c>
      <c r="B292" s="5" t="s">
        <v>448</v>
      </c>
      <c r="C292" s="1" t="s">
        <v>448</v>
      </c>
      <c r="D292" s="1" t="s">
        <v>448</v>
      </c>
      <c r="E292" s="1" t="s">
        <v>448</v>
      </c>
      <c r="F292" s="1" t="s">
        <v>448</v>
      </c>
      <c r="G292" s="1" t="s">
        <v>448</v>
      </c>
      <c r="H292" s="1" t="s">
        <v>448</v>
      </c>
      <c r="I292" s="1" t="s">
        <v>448</v>
      </c>
      <c r="J292" s="1" t="s">
        <v>448</v>
      </c>
      <c r="K292" s="1" t="s">
        <v>448</v>
      </c>
      <c r="L292" s="1" t="s">
        <v>448</v>
      </c>
      <c r="M292" s="1" t="s">
        <v>448</v>
      </c>
      <c r="N292" s="1" t="s">
        <v>448</v>
      </c>
      <c r="O292" s="1">
        <v>20064</v>
      </c>
      <c r="P292" s="1" t="s">
        <v>149</v>
      </c>
      <c r="Q292" s="1" t="s">
        <v>150</v>
      </c>
      <c r="R292" t="str">
        <f t="shared" si="8"/>
        <v/>
      </c>
      <c r="S292" t="str">
        <f t="shared" si="9"/>
        <v/>
      </c>
    </row>
    <row r="293" spans="1:19" x14ac:dyDescent="0.25">
      <c r="A293" s="1" t="s">
        <v>448</v>
      </c>
      <c r="B293" s="5" t="s">
        <v>448</v>
      </c>
      <c r="C293" s="1" t="s">
        <v>448</v>
      </c>
      <c r="D293" s="1" t="s">
        <v>448</v>
      </c>
      <c r="E293" s="1" t="s">
        <v>448</v>
      </c>
      <c r="F293" s="1" t="s">
        <v>448</v>
      </c>
      <c r="G293" s="1" t="s">
        <v>448</v>
      </c>
      <c r="H293" s="1" t="s">
        <v>448</v>
      </c>
      <c r="I293" s="1" t="s">
        <v>448</v>
      </c>
      <c r="J293" s="1" t="s">
        <v>448</v>
      </c>
      <c r="K293" s="1" t="s">
        <v>448</v>
      </c>
      <c r="L293" s="1" t="s">
        <v>448</v>
      </c>
      <c r="M293" s="1" t="s">
        <v>448</v>
      </c>
      <c r="N293" s="1" t="s">
        <v>448</v>
      </c>
      <c r="O293" s="1">
        <v>20064</v>
      </c>
      <c r="P293" s="1" t="s">
        <v>149</v>
      </c>
      <c r="Q293" s="1" t="s">
        <v>150</v>
      </c>
      <c r="R293" t="str">
        <f t="shared" si="8"/>
        <v/>
      </c>
      <c r="S293" t="str">
        <f t="shared" si="9"/>
        <v/>
      </c>
    </row>
    <row r="294" spans="1:19" x14ac:dyDescent="0.25">
      <c r="A294" s="1" t="s">
        <v>448</v>
      </c>
      <c r="B294" s="5" t="s">
        <v>448</v>
      </c>
      <c r="C294" s="1" t="s">
        <v>448</v>
      </c>
      <c r="D294" s="1" t="s">
        <v>448</v>
      </c>
      <c r="E294" s="1" t="s">
        <v>448</v>
      </c>
      <c r="F294" s="1" t="s">
        <v>448</v>
      </c>
      <c r="G294" s="1" t="s">
        <v>448</v>
      </c>
      <c r="H294" s="1" t="s">
        <v>448</v>
      </c>
      <c r="I294" s="1" t="s">
        <v>448</v>
      </c>
      <c r="J294" s="1" t="s">
        <v>448</v>
      </c>
      <c r="K294" s="1" t="s">
        <v>448</v>
      </c>
      <c r="L294" s="1" t="s">
        <v>448</v>
      </c>
      <c r="M294" s="1" t="s">
        <v>448</v>
      </c>
      <c r="N294" s="1" t="s">
        <v>448</v>
      </c>
      <c r="O294" s="1">
        <v>20064</v>
      </c>
      <c r="P294" s="1" t="s">
        <v>149</v>
      </c>
      <c r="Q294" s="1" t="s">
        <v>150</v>
      </c>
      <c r="R294" t="str">
        <f t="shared" si="8"/>
        <v/>
      </c>
      <c r="S294" t="str">
        <f t="shared" si="9"/>
        <v/>
      </c>
    </row>
    <row r="295" spans="1:19" x14ac:dyDescent="0.25">
      <c r="A295" s="1" t="s">
        <v>448</v>
      </c>
      <c r="B295" s="5" t="s">
        <v>448</v>
      </c>
      <c r="C295" s="1" t="s">
        <v>448</v>
      </c>
      <c r="D295" s="1" t="s">
        <v>448</v>
      </c>
      <c r="E295" s="1" t="s">
        <v>448</v>
      </c>
      <c r="F295" s="1" t="s">
        <v>448</v>
      </c>
      <c r="G295" s="1" t="s">
        <v>448</v>
      </c>
      <c r="H295" s="1" t="s">
        <v>448</v>
      </c>
      <c r="I295" s="1" t="s">
        <v>448</v>
      </c>
      <c r="J295" s="1" t="s">
        <v>448</v>
      </c>
      <c r="K295" s="1" t="s">
        <v>448</v>
      </c>
      <c r="L295" s="1" t="s">
        <v>448</v>
      </c>
      <c r="M295" s="1" t="s">
        <v>448</v>
      </c>
      <c r="N295" s="1" t="s">
        <v>448</v>
      </c>
      <c r="O295" s="1">
        <v>20064</v>
      </c>
      <c r="P295" s="1" t="s">
        <v>149</v>
      </c>
      <c r="Q295" s="1" t="s">
        <v>150</v>
      </c>
      <c r="R295" t="str">
        <f t="shared" si="8"/>
        <v/>
      </c>
      <c r="S295" t="str">
        <f t="shared" si="9"/>
        <v/>
      </c>
    </row>
    <row r="296" spans="1:19" x14ac:dyDescent="0.25">
      <c r="A296" s="1" t="s">
        <v>448</v>
      </c>
      <c r="B296" s="5" t="s">
        <v>448</v>
      </c>
      <c r="C296" s="1" t="s">
        <v>448</v>
      </c>
      <c r="D296" s="1" t="s">
        <v>448</v>
      </c>
      <c r="E296" s="1" t="s">
        <v>448</v>
      </c>
      <c r="F296" s="1" t="s">
        <v>448</v>
      </c>
      <c r="G296" s="1" t="s">
        <v>448</v>
      </c>
      <c r="H296" s="1" t="s">
        <v>448</v>
      </c>
      <c r="I296" s="1" t="s">
        <v>448</v>
      </c>
      <c r="J296" s="1" t="s">
        <v>448</v>
      </c>
      <c r="K296" s="1" t="s">
        <v>448</v>
      </c>
      <c r="L296" s="1" t="s">
        <v>448</v>
      </c>
      <c r="M296" s="1" t="s">
        <v>448</v>
      </c>
      <c r="N296" s="1" t="s">
        <v>448</v>
      </c>
      <c r="O296" s="1">
        <v>20064</v>
      </c>
      <c r="P296" s="1" t="s">
        <v>149</v>
      </c>
      <c r="Q296" s="1" t="s">
        <v>150</v>
      </c>
      <c r="R296" t="str">
        <f t="shared" si="8"/>
        <v/>
      </c>
      <c r="S296" t="str">
        <f t="shared" si="9"/>
        <v/>
      </c>
    </row>
    <row r="297" spans="1:19" x14ac:dyDescent="0.25">
      <c r="A297" s="1" t="s">
        <v>448</v>
      </c>
      <c r="B297" s="5" t="s">
        <v>448</v>
      </c>
      <c r="C297" s="1" t="s">
        <v>448</v>
      </c>
      <c r="D297" s="1" t="s">
        <v>448</v>
      </c>
      <c r="E297" s="1" t="s">
        <v>448</v>
      </c>
      <c r="F297" s="1" t="s">
        <v>448</v>
      </c>
      <c r="G297" s="1" t="s">
        <v>448</v>
      </c>
      <c r="H297" s="1" t="s">
        <v>448</v>
      </c>
      <c r="I297" s="1" t="s">
        <v>448</v>
      </c>
      <c r="J297" s="1" t="s">
        <v>448</v>
      </c>
      <c r="K297" s="1" t="s">
        <v>448</v>
      </c>
      <c r="L297" s="1" t="s">
        <v>448</v>
      </c>
      <c r="M297" s="1" t="s">
        <v>448</v>
      </c>
      <c r="N297" s="1" t="s">
        <v>448</v>
      </c>
      <c r="O297" s="1">
        <v>20064</v>
      </c>
      <c r="P297" s="1" t="s">
        <v>149</v>
      </c>
      <c r="Q297" s="1" t="s">
        <v>150</v>
      </c>
      <c r="R297" t="str">
        <f t="shared" si="8"/>
        <v/>
      </c>
      <c r="S297" t="str">
        <f t="shared" si="9"/>
        <v/>
      </c>
    </row>
    <row r="298" spans="1:19" x14ac:dyDescent="0.25">
      <c r="A298" s="1" t="s">
        <v>448</v>
      </c>
      <c r="B298" s="5" t="s">
        <v>448</v>
      </c>
      <c r="C298" s="1" t="s">
        <v>448</v>
      </c>
      <c r="D298" s="1" t="s">
        <v>448</v>
      </c>
      <c r="E298" s="1" t="s">
        <v>448</v>
      </c>
      <c r="F298" s="1" t="s">
        <v>448</v>
      </c>
      <c r="G298" s="1" t="s">
        <v>448</v>
      </c>
      <c r="H298" s="1" t="s">
        <v>448</v>
      </c>
      <c r="I298" s="1" t="s">
        <v>448</v>
      </c>
      <c r="J298" s="1" t="s">
        <v>448</v>
      </c>
      <c r="K298" s="1" t="s">
        <v>448</v>
      </c>
      <c r="L298" s="1" t="s">
        <v>448</v>
      </c>
      <c r="M298" s="1" t="s">
        <v>448</v>
      </c>
      <c r="N298" s="1" t="s">
        <v>448</v>
      </c>
      <c r="O298" s="1">
        <v>20064</v>
      </c>
      <c r="P298" s="1" t="s">
        <v>149</v>
      </c>
      <c r="Q298" s="1" t="s">
        <v>150</v>
      </c>
      <c r="R298" t="str">
        <f t="shared" si="8"/>
        <v/>
      </c>
      <c r="S298" t="str">
        <f t="shared" si="9"/>
        <v/>
      </c>
    </row>
    <row r="299" spans="1:19" x14ac:dyDescent="0.25">
      <c r="A299" s="1" t="s">
        <v>448</v>
      </c>
      <c r="B299" s="5" t="s">
        <v>448</v>
      </c>
      <c r="C299" s="1" t="s">
        <v>448</v>
      </c>
      <c r="D299" s="1" t="s">
        <v>448</v>
      </c>
      <c r="E299" s="1" t="s">
        <v>448</v>
      </c>
      <c r="F299" s="1" t="s">
        <v>448</v>
      </c>
      <c r="G299" s="1" t="s">
        <v>448</v>
      </c>
      <c r="H299" s="1" t="s">
        <v>448</v>
      </c>
      <c r="I299" s="1" t="s">
        <v>448</v>
      </c>
      <c r="J299" s="1" t="s">
        <v>448</v>
      </c>
      <c r="K299" s="1" t="s">
        <v>448</v>
      </c>
      <c r="L299" s="1" t="s">
        <v>448</v>
      </c>
      <c r="M299" s="1" t="s">
        <v>448</v>
      </c>
      <c r="N299" s="1" t="s">
        <v>448</v>
      </c>
      <c r="O299" s="1">
        <v>20064</v>
      </c>
      <c r="P299" s="1" t="s">
        <v>149</v>
      </c>
      <c r="Q299" s="1" t="s">
        <v>150</v>
      </c>
      <c r="R299" t="str">
        <f t="shared" si="8"/>
        <v/>
      </c>
      <c r="S299" t="str">
        <f t="shared" si="9"/>
        <v/>
      </c>
    </row>
    <row r="300" spans="1:19" x14ac:dyDescent="0.25">
      <c r="A300" s="1" t="s">
        <v>448</v>
      </c>
      <c r="B300" s="5" t="s">
        <v>448</v>
      </c>
      <c r="C300" s="1" t="s">
        <v>448</v>
      </c>
      <c r="D300" s="1" t="s">
        <v>448</v>
      </c>
      <c r="E300" s="1" t="s">
        <v>448</v>
      </c>
      <c r="F300" s="1" t="s">
        <v>448</v>
      </c>
      <c r="G300" s="1" t="s">
        <v>448</v>
      </c>
      <c r="H300" s="1" t="s">
        <v>448</v>
      </c>
      <c r="I300" s="1" t="s">
        <v>448</v>
      </c>
      <c r="J300" s="1" t="s">
        <v>448</v>
      </c>
      <c r="K300" s="1" t="s">
        <v>448</v>
      </c>
      <c r="L300" s="1" t="s">
        <v>448</v>
      </c>
      <c r="M300" s="1" t="s">
        <v>448</v>
      </c>
      <c r="N300" s="1" t="s">
        <v>448</v>
      </c>
      <c r="O300" s="1">
        <v>20064</v>
      </c>
      <c r="P300" s="1" t="s">
        <v>149</v>
      </c>
      <c r="Q300" s="1" t="s">
        <v>150</v>
      </c>
      <c r="R300" t="str">
        <f t="shared" si="8"/>
        <v/>
      </c>
      <c r="S300" t="str">
        <f t="shared" si="9"/>
        <v/>
      </c>
    </row>
    <row r="301" spans="1:19" x14ac:dyDescent="0.25">
      <c r="A301" s="1" t="s">
        <v>448</v>
      </c>
      <c r="B301" s="5" t="s">
        <v>448</v>
      </c>
      <c r="C301" s="1" t="s">
        <v>448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  <c r="J301" s="1" t="s">
        <v>448</v>
      </c>
      <c r="K301" s="1" t="s">
        <v>448</v>
      </c>
      <c r="L301" s="1" t="s">
        <v>448</v>
      </c>
      <c r="M301" s="1" t="s">
        <v>448</v>
      </c>
      <c r="N301" s="1" t="s">
        <v>448</v>
      </c>
      <c r="O301" s="1">
        <v>20064</v>
      </c>
      <c r="P301" s="1" t="s">
        <v>149</v>
      </c>
      <c r="Q301" s="1" t="s">
        <v>150</v>
      </c>
      <c r="R301" t="str">
        <f t="shared" si="8"/>
        <v/>
      </c>
      <c r="S301" t="str">
        <f t="shared" si="9"/>
        <v/>
      </c>
    </row>
    <row r="302" spans="1:19" x14ac:dyDescent="0.25">
      <c r="A302" s="1" t="s">
        <v>448</v>
      </c>
      <c r="B302" s="5" t="s">
        <v>448</v>
      </c>
      <c r="C302" s="1" t="s">
        <v>448</v>
      </c>
      <c r="D302" s="1" t="s">
        <v>448</v>
      </c>
      <c r="E302" s="1" t="s">
        <v>448</v>
      </c>
      <c r="F302" s="1" t="s">
        <v>448</v>
      </c>
      <c r="G302" s="1" t="s">
        <v>448</v>
      </c>
      <c r="H302" s="1" t="s">
        <v>448</v>
      </c>
      <c r="I302" s="1" t="s">
        <v>448</v>
      </c>
      <c r="J302" s="1" t="s">
        <v>448</v>
      </c>
      <c r="K302" s="1" t="s">
        <v>448</v>
      </c>
      <c r="L302" s="1" t="s">
        <v>448</v>
      </c>
      <c r="M302" s="1" t="s">
        <v>448</v>
      </c>
      <c r="N302" s="1" t="s">
        <v>448</v>
      </c>
      <c r="O302" s="1">
        <v>20064</v>
      </c>
      <c r="P302" s="1" t="s">
        <v>149</v>
      </c>
      <c r="Q302" s="1" t="s">
        <v>150</v>
      </c>
      <c r="R302" t="str">
        <f t="shared" si="8"/>
        <v/>
      </c>
      <c r="S302" t="str">
        <f t="shared" si="9"/>
        <v/>
      </c>
    </row>
    <row r="303" spans="1:19" x14ac:dyDescent="0.25">
      <c r="A303" s="1" t="s">
        <v>448</v>
      </c>
      <c r="B303" s="5" t="s">
        <v>448</v>
      </c>
      <c r="C303" s="1" t="s">
        <v>448</v>
      </c>
      <c r="D303" s="1" t="s">
        <v>448</v>
      </c>
      <c r="E303" s="1" t="s">
        <v>448</v>
      </c>
      <c r="F303" s="1" t="s">
        <v>448</v>
      </c>
      <c r="G303" s="1" t="s">
        <v>448</v>
      </c>
      <c r="H303" s="1" t="s">
        <v>448</v>
      </c>
      <c r="I303" s="1" t="s">
        <v>448</v>
      </c>
      <c r="J303" s="1" t="s">
        <v>448</v>
      </c>
      <c r="K303" s="1" t="s">
        <v>448</v>
      </c>
      <c r="L303" s="1" t="s">
        <v>448</v>
      </c>
      <c r="M303" s="1" t="s">
        <v>448</v>
      </c>
      <c r="N303" s="1" t="s">
        <v>448</v>
      </c>
      <c r="O303" s="1">
        <v>20064</v>
      </c>
      <c r="P303" s="1" t="s">
        <v>149</v>
      </c>
      <c r="Q303" s="1" t="s">
        <v>150</v>
      </c>
      <c r="R303" t="str">
        <f t="shared" si="8"/>
        <v/>
      </c>
      <c r="S303" t="str">
        <f t="shared" si="9"/>
        <v/>
      </c>
    </row>
    <row r="304" spans="1:19" x14ac:dyDescent="0.25">
      <c r="A304" s="1" t="s">
        <v>448</v>
      </c>
      <c r="B304" s="5" t="s">
        <v>448</v>
      </c>
      <c r="C304" s="1" t="s">
        <v>448</v>
      </c>
      <c r="D304" s="1" t="s">
        <v>448</v>
      </c>
      <c r="E304" s="1" t="s">
        <v>448</v>
      </c>
      <c r="F304" s="1" t="s">
        <v>448</v>
      </c>
      <c r="G304" s="1" t="s">
        <v>448</v>
      </c>
      <c r="H304" s="1" t="s">
        <v>448</v>
      </c>
      <c r="I304" s="1" t="s">
        <v>448</v>
      </c>
      <c r="J304" s="1" t="s">
        <v>448</v>
      </c>
      <c r="K304" s="1" t="s">
        <v>448</v>
      </c>
      <c r="L304" s="1" t="s">
        <v>448</v>
      </c>
      <c r="M304" s="1" t="s">
        <v>448</v>
      </c>
      <c r="N304" s="1" t="s">
        <v>448</v>
      </c>
      <c r="O304" s="1">
        <v>20064</v>
      </c>
      <c r="P304" s="1" t="s">
        <v>149</v>
      </c>
      <c r="Q304" s="1" t="s">
        <v>150</v>
      </c>
      <c r="R304" t="str">
        <f t="shared" si="8"/>
        <v/>
      </c>
      <c r="S304" t="str">
        <f t="shared" si="9"/>
        <v/>
      </c>
    </row>
    <row r="305" spans="1:19" x14ac:dyDescent="0.25">
      <c r="A305" s="1" t="s">
        <v>448</v>
      </c>
      <c r="B305" s="5" t="s">
        <v>448</v>
      </c>
      <c r="C305" s="1" t="s">
        <v>448</v>
      </c>
      <c r="D305" s="1" t="s">
        <v>448</v>
      </c>
      <c r="E305" s="1" t="s">
        <v>448</v>
      </c>
      <c r="F305" s="1" t="s">
        <v>448</v>
      </c>
      <c r="G305" s="1" t="s">
        <v>448</v>
      </c>
      <c r="H305" s="1" t="s">
        <v>448</v>
      </c>
      <c r="I305" s="1" t="s">
        <v>448</v>
      </c>
      <c r="J305" s="1" t="s">
        <v>448</v>
      </c>
      <c r="K305" s="1" t="s">
        <v>448</v>
      </c>
      <c r="L305" s="1" t="s">
        <v>448</v>
      </c>
      <c r="M305" s="1" t="s">
        <v>448</v>
      </c>
      <c r="N305" s="1" t="s">
        <v>448</v>
      </c>
      <c r="O305" s="1">
        <v>20064</v>
      </c>
      <c r="P305" s="1" t="s">
        <v>149</v>
      </c>
      <c r="Q305" s="1" t="s">
        <v>150</v>
      </c>
      <c r="R305" t="str">
        <f t="shared" si="8"/>
        <v/>
      </c>
      <c r="S305" t="str">
        <f t="shared" si="9"/>
        <v/>
      </c>
    </row>
    <row r="306" spans="1:19" x14ac:dyDescent="0.25">
      <c r="A306" s="1" t="s">
        <v>448</v>
      </c>
      <c r="B306" s="5" t="s">
        <v>448</v>
      </c>
      <c r="C306" s="1" t="s">
        <v>448</v>
      </c>
      <c r="D306" s="1" t="s">
        <v>448</v>
      </c>
      <c r="E306" s="1" t="s">
        <v>448</v>
      </c>
      <c r="F306" s="1" t="s">
        <v>448</v>
      </c>
      <c r="G306" s="1" t="s">
        <v>448</v>
      </c>
      <c r="H306" s="1" t="s">
        <v>448</v>
      </c>
      <c r="I306" s="1" t="s">
        <v>448</v>
      </c>
      <c r="J306" s="1" t="s">
        <v>448</v>
      </c>
      <c r="K306" s="1" t="s">
        <v>448</v>
      </c>
      <c r="L306" s="1" t="s">
        <v>448</v>
      </c>
      <c r="M306" s="1" t="s">
        <v>448</v>
      </c>
      <c r="N306" s="1" t="s">
        <v>448</v>
      </c>
      <c r="O306" s="1">
        <v>20064</v>
      </c>
      <c r="P306" s="1" t="s">
        <v>149</v>
      </c>
      <c r="Q306" s="1" t="s">
        <v>150</v>
      </c>
      <c r="R306" t="str">
        <f t="shared" si="8"/>
        <v/>
      </c>
      <c r="S306" t="str">
        <f t="shared" si="9"/>
        <v/>
      </c>
    </row>
    <row r="307" spans="1:19" x14ac:dyDescent="0.25">
      <c r="A307" s="1" t="s">
        <v>448</v>
      </c>
      <c r="B307" s="5" t="s">
        <v>448</v>
      </c>
      <c r="C307" s="1" t="s">
        <v>448</v>
      </c>
      <c r="D307" s="1" t="s">
        <v>448</v>
      </c>
      <c r="E307" s="1" t="s">
        <v>448</v>
      </c>
      <c r="F307" s="1" t="s">
        <v>448</v>
      </c>
      <c r="G307" s="1" t="s">
        <v>448</v>
      </c>
      <c r="H307" s="1" t="s">
        <v>448</v>
      </c>
      <c r="I307" s="1" t="s">
        <v>448</v>
      </c>
      <c r="J307" s="1" t="s">
        <v>448</v>
      </c>
      <c r="K307" s="1" t="s">
        <v>448</v>
      </c>
      <c r="L307" s="1" t="s">
        <v>448</v>
      </c>
      <c r="M307" s="1" t="s">
        <v>448</v>
      </c>
      <c r="N307" s="1" t="s">
        <v>448</v>
      </c>
      <c r="O307" s="1">
        <v>20064</v>
      </c>
      <c r="P307" s="1" t="s">
        <v>149</v>
      </c>
      <c r="Q307" s="1" t="s">
        <v>150</v>
      </c>
      <c r="R307" t="str">
        <f t="shared" si="8"/>
        <v/>
      </c>
      <c r="S307" t="str">
        <f t="shared" si="9"/>
        <v/>
      </c>
    </row>
    <row r="308" spans="1:19" x14ac:dyDescent="0.25">
      <c r="A308" s="1" t="s">
        <v>448</v>
      </c>
      <c r="B308" s="5" t="s">
        <v>448</v>
      </c>
      <c r="C308" s="1" t="s">
        <v>448</v>
      </c>
      <c r="D308" s="1" t="s">
        <v>448</v>
      </c>
      <c r="E308" s="1" t="s">
        <v>448</v>
      </c>
      <c r="F308" s="1" t="s">
        <v>448</v>
      </c>
      <c r="G308" s="1" t="s">
        <v>448</v>
      </c>
      <c r="H308" s="1" t="s">
        <v>448</v>
      </c>
      <c r="I308" s="1" t="s">
        <v>448</v>
      </c>
      <c r="J308" s="1" t="s">
        <v>448</v>
      </c>
      <c r="K308" s="1" t="s">
        <v>448</v>
      </c>
      <c r="L308" s="1" t="s">
        <v>448</v>
      </c>
      <c r="M308" s="1" t="s">
        <v>448</v>
      </c>
      <c r="N308" s="1" t="s">
        <v>448</v>
      </c>
      <c r="O308" s="1">
        <v>20064</v>
      </c>
      <c r="P308" s="1" t="s">
        <v>149</v>
      </c>
      <c r="Q308" s="1" t="s">
        <v>150</v>
      </c>
      <c r="R308" t="str">
        <f t="shared" si="8"/>
        <v/>
      </c>
      <c r="S308" t="str">
        <f t="shared" si="9"/>
        <v/>
      </c>
    </row>
    <row r="309" spans="1:19" x14ac:dyDescent="0.25">
      <c r="A309" s="1" t="s">
        <v>448</v>
      </c>
      <c r="B309" s="5" t="s">
        <v>448</v>
      </c>
      <c r="C309" s="1" t="s">
        <v>448</v>
      </c>
      <c r="D309" s="1" t="s">
        <v>448</v>
      </c>
      <c r="E309" s="1" t="s">
        <v>448</v>
      </c>
      <c r="F309" s="1" t="s">
        <v>448</v>
      </c>
      <c r="G309" s="1" t="s">
        <v>448</v>
      </c>
      <c r="H309" s="1" t="s">
        <v>448</v>
      </c>
      <c r="I309" s="1" t="s">
        <v>448</v>
      </c>
      <c r="J309" s="1" t="s">
        <v>448</v>
      </c>
      <c r="K309" s="1" t="s">
        <v>448</v>
      </c>
      <c r="L309" s="1" t="s">
        <v>448</v>
      </c>
      <c r="M309" s="1" t="s">
        <v>448</v>
      </c>
      <c r="N309" s="1" t="s">
        <v>448</v>
      </c>
      <c r="O309" s="1">
        <v>20064</v>
      </c>
      <c r="P309" s="1" t="s">
        <v>149</v>
      </c>
      <c r="Q309" s="1" t="s">
        <v>150</v>
      </c>
      <c r="R309" t="str">
        <f t="shared" si="8"/>
        <v/>
      </c>
      <c r="S309" t="str">
        <f t="shared" si="9"/>
        <v/>
      </c>
    </row>
    <row r="310" spans="1:19" x14ac:dyDescent="0.25">
      <c r="A310" s="1" t="s">
        <v>448</v>
      </c>
      <c r="B310" s="5" t="s">
        <v>448</v>
      </c>
      <c r="C310" s="1" t="s">
        <v>448</v>
      </c>
      <c r="D310" s="1" t="s">
        <v>448</v>
      </c>
      <c r="E310" s="1" t="s">
        <v>448</v>
      </c>
      <c r="F310" s="1" t="s">
        <v>448</v>
      </c>
      <c r="G310" s="1" t="s">
        <v>448</v>
      </c>
      <c r="H310" s="1" t="s">
        <v>448</v>
      </c>
      <c r="I310" s="1" t="s">
        <v>448</v>
      </c>
      <c r="J310" s="1" t="s">
        <v>448</v>
      </c>
      <c r="K310" s="1" t="s">
        <v>448</v>
      </c>
      <c r="L310" s="1" t="s">
        <v>448</v>
      </c>
      <c r="M310" s="1" t="s">
        <v>448</v>
      </c>
      <c r="N310" s="1" t="s">
        <v>448</v>
      </c>
      <c r="O310" s="1">
        <v>20064</v>
      </c>
      <c r="P310" s="1" t="s">
        <v>149</v>
      </c>
      <c r="Q310" s="1" t="s">
        <v>150</v>
      </c>
      <c r="R310" t="str">
        <f t="shared" si="8"/>
        <v/>
      </c>
      <c r="S310" t="str">
        <f t="shared" si="9"/>
        <v/>
      </c>
    </row>
    <row r="311" spans="1:19" x14ac:dyDescent="0.25">
      <c r="A311" s="1" t="s">
        <v>448</v>
      </c>
      <c r="B311" s="5" t="s">
        <v>448</v>
      </c>
      <c r="C311" s="1" t="s">
        <v>448</v>
      </c>
      <c r="D311" s="1" t="s">
        <v>448</v>
      </c>
      <c r="E311" s="1" t="s">
        <v>448</v>
      </c>
      <c r="F311" s="1" t="s">
        <v>448</v>
      </c>
      <c r="G311" s="1" t="s">
        <v>448</v>
      </c>
      <c r="H311" s="1" t="s">
        <v>448</v>
      </c>
      <c r="I311" s="1" t="s">
        <v>448</v>
      </c>
      <c r="J311" s="1" t="s">
        <v>448</v>
      </c>
      <c r="K311" s="1" t="s">
        <v>448</v>
      </c>
      <c r="L311" s="1" t="s">
        <v>448</v>
      </c>
      <c r="M311" s="1" t="s">
        <v>448</v>
      </c>
      <c r="N311" s="1" t="s">
        <v>448</v>
      </c>
      <c r="O311" s="1">
        <v>20064</v>
      </c>
      <c r="P311" s="1" t="s">
        <v>149</v>
      </c>
      <c r="Q311" s="1" t="s">
        <v>150</v>
      </c>
      <c r="R311" t="str">
        <f t="shared" si="8"/>
        <v/>
      </c>
      <c r="S311" t="str">
        <f t="shared" si="9"/>
        <v/>
      </c>
    </row>
    <row r="312" spans="1:19" x14ac:dyDescent="0.25">
      <c r="A312" s="1" t="s">
        <v>448</v>
      </c>
      <c r="B312" s="5" t="s">
        <v>448</v>
      </c>
      <c r="C312" s="1" t="s">
        <v>448</v>
      </c>
      <c r="D312" s="1" t="s">
        <v>448</v>
      </c>
      <c r="E312" s="1" t="s">
        <v>448</v>
      </c>
      <c r="F312" s="1" t="s">
        <v>448</v>
      </c>
      <c r="G312" s="1" t="s">
        <v>448</v>
      </c>
      <c r="H312" s="1" t="s">
        <v>448</v>
      </c>
      <c r="I312" s="1" t="s">
        <v>448</v>
      </c>
      <c r="J312" s="1" t="s">
        <v>448</v>
      </c>
      <c r="K312" s="1" t="s">
        <v>448</v>
      </c>
      <c r="L312" s="1" t="s">
        <v>448</v>
      </c>
      <c r="M312" s="1" t="s">
        <v>448</v>
      </c>
      <c r="N312" s="1" t="s">
        <v>448</v>
      </c>
      <c r="O312" s="1">
        <v>20064</v>
      </c>
      <c r="P312" s="1" t="s">
        <v>149</v>
      </c>
      <c r="Q312" s="1" t="s">
        <v>150</v>
      </c>
      <c r="R312" t="str">
        <f t="shared" si="8"/>
        <v/>
      </c>
      <c r="S312" t="str">
        <f t="shared" si="9"/>
        <v/>
      </c>
    </row>
    <row r="313" spans="1:19" x14ac:dyDescent="0.25">
      <c r="A313" s="1" t="s">
        <v>448</v>
      </c>
      <c r="B313" s="5" t="s">
        <v>448</v>
      </c>
      <c r="C313" s="1" t="s">
        <v>448</v>
      </c>
      <c r="D313" s="1" t="s">
        <v>448</v>
      </c>
      <c r="E313" s="1" t="s">
        <v>448</v>
      </c>
      <c r="F313" s="1" t="s">
        <v>448</v>
      </c>
      <c r="G313" s="1" t="s">
        <v>448</v>
      </c>
      <c r="H313" s="1" t="s">
        <v>448</v>
      </c>
      <c r="I313" s="1" t="s">
        <v>448</v>
      </c>
      <c r="J313" s="1" t="s">
        <v>448</v>
      </c>
      <c r="K313" s="1" t="s">
        <v>448</v>
      </c>
      <c r="L313" s="1" t="s">
        <v>448</v>
      </c>
      <c r="M313" s="1" t="s">
        <v>448</v>
      </c>
      <c r="N313" s="1" t="s">
        <v>448</v>
      </c>
      <c r="O313" s="1">
        <v>20064</v>
      </c>
      <c r="P313" s="1" t="s">
        <v>149</v>
      </c>
      <c r="Q313" s="1" t="s">
        <v>150</v>
      </c>
      <c r="R313" t="str">
        <f t="shared" si="8"/>
        <v/>
      </c>
      <c r="S313" t="str">
        <f t="shared" si="9"/>
        <v/>
      </c>
    </row>
    <row r="314" spans="1:19" x14ac:dyDescent="0.25">
      <c r="A314" s="1" t="s">
        <v>448</v>
      </c>
      <c r="B314" s="5" t="s">
        <v>448</v>
      </c>
      <c r="C314" s="1" t="s">
        <v>448</v>
      </c>
      <c r="D314" s="1" t="s">
        <v>448</v>
      </c>
      <c r="E314" s="1" t="s">
        <v>448</v>
      </c>
      <c r="F314" s="1" t="s">
        <v>448</v>
      </c>
      <c r="G314" s="1" t="s">
        <v>448</v>
      </c>
      <c r="H314" s="1" t="s">
        <v>448</v>
      </c>
      <c r="I314" s="1" t="s">
        <v>448</v>
      </c>
      <c r="J314" s="1" t="s">
        <v>448</v>
      </c>
      <c r="K314" s="1" t="s">
        <v>448</v>
      </c>
      <c r="L314" s="1" t="s">
        <v>448</v>
      </c>
      <c r="M314" s="1" t="s">
        <v>448</v>
      </c>
      <c r="N314" s="1" t="s">
        <v>448</v>
      </c>
      <c r="O314" s="1">
        <v>20064</v>
      </c>
      <c r="P314" s="1" t="s">
        <v>149</v>
      </c>
      <c r="Q314" s="1" t="s">
        <v>150</v>
      </c>
      <c r="R314" t="str">
        <f t="shared" si="8"/>
        <v/>
      </c>
      <c r="S314" t="str">
        <f t="shared" si="9"/>
        <v/>
      </c>
    </row>
    <row r="315" spans="1:19" x14ac:dyDescent="0.25">
      <c r="A315" s="1" t="s">
        <v>448</v>
      </c>
      <c r="B315" s="5" t="s">
        <v>448</v>
      </c>
      <c r="C315" s="1" t="s">
        <v>448</v>
      </c>
      <c r="D315" s="1" t="s">
        <v>448</v>
      </c>
      <c r="E315" s="1" t="s">
        <v>448</v>
      </c>
      <c r="F315" s="1" t="s">
        <v>448</v>
      </c>
      <c r="G315" s="1" t="s">
        <v>448</v>
      </c>
      <c r="H315" s="1" t="s">
        <v>448</v>
      </c>
      <c r="I315" s="1" t="s">
        <v>448</v>
      </c>
      <c r="J315" s="1" t="s">
        <v>448</v>
      </c>
      <c r="K315" s="1" t="s">
        <v>448</v>
      </c>
      <c r="L315" s="1" t="s">
        <v>448</v>
      </c>
      <c r="M315" s="1" t="s">
        <v>448</v>
      </c>
      <c r="N315" s="1" t="s">
        <v>448</v>
      </c>
      <c r="O315" s="1">
        <v>20064</v>
      </c>
      <c r="P315" s="1" t="s">
        <v>149</v>
      </c>
      <c r="Q315" s="1" t="s">
        <v>150</v>
      </c>
      <c r="R315" t="str">
        <f t="shared" si="8"/>
        <v/>
      </c>
      <c r="S315" t="str">
        <f t="shared" si="9"/>
        <v/>
      </c>
    </row>
    <row r="316" spans="1:19" x14ac:dyDescent="0.25">
      <c r="A316" s="1" t="s">
        <v>448</v>
      </c>
      <c r="B316" s="5" t="s">
        <v>448</v>
      </c>
      <c r="C316" s="1" t="s">
        <v>448</v>
      </c>
      <c r="D316" s="1" t="s">
        <v>448</v>
      </c>
      <c r="E316" s="1" t="s">
        <v>448</v>
      </c>
      <c r="F316" s="1" t="s">
        <v>448</v>
      </c>
      <c r="G316" s="1" t="s">
        <v>448</v>
      </c>
      <c r="H316" s="1" t="s">
        <v>448</v>
      </c>
      <c r="I316" s="1" t="s">
        <v>448</v>
      </c>
      <c r="J316" s="1" t="s">
        <v>448</v>
      </c>
      <c r="K316" s="1" t="s">
        <v>448</v>
      </c>
      <c r="L316" s="1" t="s">
        <v>448</v>
      </c>
      <c r="M316" s="1" t="s">
        <v>448</v>
      </c>
      <c r="N316" s="1" t="s">
        <v>448</v>
      </c>
      <c r="O316" s="1">
        <v>20064</v>
      </c>
      <c r="P316" s="1" t="s">
        <v>149</v>
      </c>
      <c r="Q316" s="1" t="s">
        <v>150</v>
      </c>
      <c r="R316" t="str">
        <f t="shared" si="8"/>
        <v/>
      </c>
      <c r="S316" t="str">
        <f t="shared" si="9"/>
        <v/>
      </c>
    </row>
    <row r="317" spans="1:19" x14ac:dyDescent="0.25">
      <c r="A317" s="1" t="s">
        <v>448</v>
      </c>
      <c r="B317" s="5" t="s">
        <v>448</v>
      </c>
      <c r="C317" s="1" t="s">
        <v>448</v>
      </c>
      <c r="D317" s="1" t="s">
        <v>448</v>
      </c>
      <c r="E317" s="1" t="s">
        <v>448</v>
      </c>
      <c r="F317" s="1" t="s">
        <v>448</v>
      </c>
      <c r="G317" s="1" t="s">
        <v>448</v>
      </c>
      <c r="H317" s="1" t="s">
        <v>448</v>
      </c>
      <c r="I317" s="1" t="s">
        <v>448</v>
      </c>
      <c r="J317" s="1" t="s">
        <v>448</v>
      </c>
      <c r="K317" s="1" t="s">
        <v>448</v>
      </c>
      <c r="L317" s="1" t="s">
        <v>448</v>
      </c>
      <c r="M317" s="1" t="s">
        <v>448</v>
      </c>
      <c r="N317" s="1" t="s">
        <v>448</v>
      </c>
      <c r="O317" s="1">
        <v>20064</v>
      </c>
      <c r="P317" s="1" t="s">
        <v>149</v>
      </c>
      <c r="Q317" s="1" t="s">
        <v>150</v>
      </c>
      <c r="R317" t="str">
        <f t="shared" si="8"/>
        <v/>
      </c>
      <c r="S317" t="str">
        <f t="shared" si="9"/>
        <v/>
      </c>
    </row>
    <row r="318" spans="1:19" x14ac:dyDescent="0.25">
      <c r="A318" s="1" t="s">
        <v>448</v>
      </c>
      <c r="B318" s="5" t="s">
        <v>448</v>
      </c>
      <c r="C318" s="1" t="s">
        <v>448</v>
      </c>
      <c r="D318" s="1" t="s">
        <v>448</v>
      </c>
      <c r="E318" s="1" t="s">
        <v>448</v>
      </c>
      <c r="F318" s="1" t="s">
        <v>448</v>
      </c>
      <c r="G318" s="1" t="s">
        <v>448</v>
      </c>
      <c r="H318" s="1" t="s">
        <v>448</v>
      </c>
      <c r="I318" s="1" t="s">
        <v>448</v>
      </c>
      <c r="J318" s="1" t="s">
        <v>448</v>
      </c>
      <c r="K318" s="1" t="s">
        <v>448</v>
      </c>
      <c r="L318" s="1" t="s">
        <v>448</v>
      </c>
      <c r="M318" s="1" t="s">
        <v>448</v>
      </c>
      <c r="N318" s="1" t="s">
        <v>448</v>
      </c>
      <c r="O318" s="1">
        <v>20064</v>
      </c>
      <c r="P318" s="1" t="s">
        <v>149</v>
      </c>
      <c r="Q318" s="1" t="s">
        <v>150</v>
      </c>
      <c r="R318" t="str">
        <f t="shared" si="8"/>
        <v/>
      </c>
      <c r="S318" t="str">
        <f t="shared" si="9"/>
        <v/>
      </c>
    </row>
    <row r="319" spans="1:19" x14ac:dyDescent="0.25">
      <c r="A319" s="1" t="s">
        <v>448</v>
      </c>
      <c r="B319" s="5" t="s">
        <v>448</v>
      </c>
      <c r="C319" s="1" t="s">
        <v>448</v>
      </c>
      <c r="D319" s="1" t="s">
        <v>448</v>
      </c>
      <c r="E319" s="1" t="s">
        <v>448</v>
      </c>
      <c r="F319" s="1" t="s">
        <v>448</v>
      </c>
      <c r="G319" s="1" t="s">
        <v>448</v>
      </c>
      <c r="H319" s="1" t="s">
        <v>448</v>
      </c>
      <c r="I319" s="1" t="s">
        <v>448</v>
      </c>
      <c r="J319" s="1" t="s">
        <v>448</v>
      </c>
      <c r="K319" s="1" t="s">
        <v>448</v>
      </c>
      <c r="L319" s="1" t="s">
        <v>448</v>
      </c>
      <c r="M319" s="1" t="s">
        <v>448</v>
      </c>
      <c r="N319" s="1" t="s">
        <v>448</v>
      </c>
      <c r="O319" s="1">
        <v>20064</v>
      </c>
      <c r="P319" s="1" t="s">
        <v>149</v>
      </c>
      <c r="Q319" s="1" t="s">
        <v>150</v>
      </c>
      <c r="R319" t="str">
        <f t="shared" si="8"/>
        <v/>
      </c>
      <c r="S319" t="str">
        <f t="shared" si="9"/>
        <v/>
      </c>
    </row>
    <row r="320" spans="1:19" x14ac:dyDescent="0.25">
      <c r="A320" s="1" t="s">
        <v>448</v>
      </c>
      <c r="B320" s="5" t="s">
        <v>448</v>
      </c>
      <c r="C320" s="1" t="s">
        <v>448</v>
      </c>
      <c r="D320" s="1" t="s">
        <v>448</v>
      </c>
      <c r="E320" s="1" t="s">
        <v>448</v>
      </c>
      <c r="F320" s="1" t="s">
        <v>448</v>
      </c>
      <c r="G320" s="1" t="s">
        <v>448</v>
      </c>
      <c r="H320" s="1" t="s">
        <v>448</v>
      </c>
      <c r="I320" s="1" t="s">
        <v>448</v>
      </c>
      <c r="J320" s="1" t="s">
        <v>448</v>
      </c>
      <c r="K320" s="1" t="s">
        <v>448</v>
      </c>
      <c r="L320" s="1" t="s">
        <v>448</v>
      </c>
      <c r="M320" s="1" t="s">
        <v>448</v>
      </c>
      <c r="N320" s="1" t="s">
        <v>448</v>
      </c>
      <c r="O320" s="1">
        <v>20064</v>
      </c>
      <c r="P320" s="1" t="s">
        <v>149</v>
      </c>
      <c r="Q320" s="1" t="s">
        <v>150</v>
      </c>
      <c r="R320" t="str">
        <f t="shared" si="8"/>
        <v/>
      </c>
      <c r="S320" t="str">
        <f t="shared" si="9"/>
        <v/>
      </c>
    </row>
    <row r="321" spans="1:19" x14ac:dyDescent="0.25">
      <c r="A321" s="1" t="s">
        <v>448</v>
      </c>
      <c r="B321" s="5" t="s">
        <v>448</v>
      </c>
      <c r="C321" s="1" t="s">
        <v>448</v>
      </c>
      <c r="D321" s="1" t="s">
        <v>448</v>
      </c>
      <c r="E321" s="1" t="s">
        <v>448</v>
      </c>
      <c r="F321" s="1" t="s">
        <v>448</v>
      </c>
      <c r="G321" s="1" t="s">
        <v>448</v>
      </c>
      <c r="H321" s="1" t="s">
        <v>448</v>
      </c>
      <c r="I321" s="1" t="s">
        <v>448</v>
      </c>
      <c r="J321" s="1" t="s">
        <v>448</v>
      </c>
      <c r="K321" s="1" t="s">
        <v>448</v>
      </c>
      <c r="L321" s="1" t="s">
        <v>448</v>
      </c>
      <c r="M321" s="1" t="s">
        <v>448</v>
      </c>
      <c r="N321" s="1" t="s">
        <v>448</v>
      </c>
      <c r="O321" s="1">
        <v>20064</v>
      </c>
      <c r="P321" s="1" t="s">
        <v>149</v>
      </c>
      <c r="Q321" s="1" t="s">
        <v>150</v>
      </c>
      <c r="R321" t="str">
        <f t="shared" si="8"/>
        <v/>
      </c>
      <c r="S321" t="str">
        <f t="shared" si="9"/>
        <v/>
      </c>
    </row>
    <row r="322" spans="1:19" x14ac:dyDescent="0.25">
      <c r="A322" s="1" t="s">
        <v>448</v>
      </c>
      <c r="B322" s="5" t="s">
        <v>448</v>
      </c>
      <c r="C322" s="1" t="s">
        <v>448</v>
      </c>
      <c r="D322" s="1" t="s">
        <v>448</v>
      </c>
      <c r="E322" s="1" t="s">
        <v>448</v>
      </c>
      <c r="F322" s="1" t="s">
        <v>448</v>
      </c>
      <c r="G322" s="1" t="s">
        <v>448</v>
      </c>
      <c r="H322" s="1" t="s">
        <v>448</v>
      </c>
      <c r="I322" s="1" t="s">
        <v>448</v>
      </c>
      <c r="J322" s="1" t="s">
        <v>448</v>
      </c>
      <c r="K322" s="1" t="s">
        <v>448</v>
      </c>
      <c r="L322" s="1" t="s">
        <v>448</v>
      </c>
      <c r="M322" s="1" t="s">
        <v>448</v>
      </c>
      <c r="N322" s="1" t="s">
        <v>448</v>
      </c>
      <c r="O322" s="1">
        <v>20064</v>
      </c>
      <c r="P322" s="1" t="s">
        <v>149</v>
      </c>
      <c r="Q322" s="1" t="s">
        <v>150</v>
      </c>
      <c r="R322" t="str">
        <f t="shared" ref="R322:R385" si="10">IF(ISNUMBER(B322),INT(B322*24),"")</f>
        <v/>
      </c>
      <c r="S322" t="str">
        <f t="shared" ref="S322:S385" si="11">IF(ISNUMBER(B322),ROUND((B322*24-R322)*60,0),"")</f>
        <v/>
      </c>
    </row>
    <row r="323" spans="1:19" x14ac:dyDescent="0.25">
      <c r="A323" s="1" t="s">
        <v>448</v>
      </c>
      <c r="B323" s="5" t="s">
        <v>448</v>
      </c>
      <c r="C323" s="1" t="s">
        <v>448</v>
      </c>
      <c r="D323" s="1" t="s">
        <v>448</v>
      </c>
      <c r="E323" s="1" t="s">
        <v>448</v>
      </c>
      <c r="F323" s="1" t="s">
        <v>448</v>
      </c>
      <c r="G323" s="1" t="s">
        <v>448</v>
      </c>
      <c r="H323" s="1" t="s">
        <v>448</v>
      </c>
      <c r="I323" s="1" t="s">
        <v>448</v>
      </c>
      <c r="J323" s="1" t="s">
        <v>448</v>
      </c>
      <c r="K323" s="1" t="s">
        <v>448</v>
      </c>
      <c r="L323" s="1" t="s">
        <v>448</v>
      </c>
      <c r="M323" s="1" t="s">
        <v>448</v>
      </c>
      <c r="N323" s="1" t="s">
        <v>448</v>
      </c>
      <c r="O323" s="1">
        <v>20064</v>
      </c>
      <c r="P323" s="1" t="s">
        <v>149</v>
      </c>
      <c r="Q323" s="1" t="s">
        <v>150</v>
      </c>
      <c r="R323" t="str">
        <f t="shared" si="10"/>
        <v/>
      </c>
      <c r="S323" t="str">
        <f t="shared" si="11"/>
        <v/>
      </c>
    </row>
    <row r="324" spans="1:19" x14ac:dyDescent="0.25">
      <c r="A324" s="1" t="s">
        <v>448</v>
      </c>
      <c r="B324" s="5" t="s">
        <v>448</v>
      </c>
      <c r="C324" s="1" t="s">
        <v>448</v>
      </c>
      <c r="D324" s="1" t="s">
        <v>448</v>
      </c>
      <c r="E324" s="1" t="s">
        <v>448</v>
      </c>
      <c r="F324" s="1" t="s">
        <v>448</v>
      </c>
      <c r="G324" s="1" t="s">
        <v>448</v>
      </c>
      <c r="H324" s="1" t="s">
        <v>448</v>
      </c>
      <c r="I324" s="1" t="s">
        <v>448</v>
      </c>
      <c r="J324" s="1" t="s">
        <v>448</v>
      </c>
      <c r="K324" s="1" t="s">
        <v>448</v>
      </c>
      <c r="L324" s="1" t="s">
        <v>448</v>
      </c>
      <c r="M324" s="1" t="s">
        <v>448</v>
      </c>
      <c r="N324" s="1" t="s">
        <v>448</v>
      </c>
      <c r="O324" s="1">
        <v>20064</v>
      </c>
      <c r="P324" s="1" t="s">
        <v>149</v>
      </c>
      <c r="Q324" s="1" t="s">
        <v>150</v>
      </c>
      <c r="R324" t="str">
        <f t="shared" si="10"/>
        <v/>
      </c>
      <c r="S324" t="str">
        <f t="shared" si="11"/>
        <v/>
      </c>
    </row>
    <row r="325" spans="1:19" x14ac:dyDescent="0.25">
      <c r="A325" s="1" t="s">
        <v>448</v>
      </c>
      <c r="B325" s="5" t="s">
        <v>448</v>
      </c>
      <c r="C325" s="1" t="s">
        <v>448</v>
      </c>
      <c r="D325" s="1" t="s">
        <v>448</v>
      </c>
      <c r="E325" s="1" t="s">
        <v>448</v>
      </c>
      <c r="F325" s="1" t="s">
        <v>448</v>
      </c>
      <c r="G325" s="1" t="s">
        <v>448</v>
      </c>
      <c r="H325" s="1" t="s">
        <v>448</v>
      </c>
      <c r="I325" s="1" t="s">
        <v>448</v>
      </c>
      <c r="J325" s="1" t="s">
        <v>448</v>
      </c>
      <c r="K325" s="1" t="s">
        <v>448</v>
      </c>
      <c r="L325" s="1" t="s">
        <v>448</v>
      </c>
      <c r="M325" s="1" t="s">
        <v>448</v>
      </c>
      <c r="N325" s="1" t="s">
        <v>448</v>
      </c>
      <c r="O325" s="1">
        <v>20064</v>
      </c>
      <c r="P325" s="1" t="s">
        <v>149</v>
      </c>
      <c r="Q325" s="1" t="s">
        <v>150</v>
      </c>
      <c r="R325" t="str">
        <f t="shared" si="10"/>
        <v/>
      </c>
      <c r="S325" t="str">
        <f t="shared" si="11"/>
        <v/>
      </c>
    </row>
    <row r="326" spans="1:19" x14ac:dyDescent="0.25">
      <c r="A326" s="1" t="s">
        <v>448</v>
      </c>
      <c r="B326" s="5" t="s">
        <v>448</v>
      </c>
      <c r="C326" s="1" t="s">
        <v>448</v>
      </c>
      <c r="D326" s="1" t="s">
        <v>448</v>
      </c>
      <c r="E326" s="1" t="s">
        <v>448</v>
      </c>
      <c r="F326" s="1" t="s">
        <v>448</v>
      </c>
      <c r="G326" s="1" t="s">
        <v>448</v>
      </c>
      <c r="H326" s="1" t="s">
        <v>448</v>
      </c>
      <c r="I326" s="1" t="s">
        <v>448</v>
      </c>
      <c r="J326" s="1" t="s">
        <v>448</v>
      </c>
      <c r="K326" s="1" t="s">
        <v>448</v>
      </c>
      <c r="L326" s="1" t="s">
        <v>448</v>
      </c>
      <c r="M326" s="1" t="s">
        <v>448</v>
      </c>
      <c r="N326" s="1" t="s">
        <v>448</v>
      </c>
      <c r="O326" s="1">
        <v>20064</v>
      </c>
      <c r="P326" s="1" t="s">
        <v>149</v>
      </c>
      <c r="Q326" s="1" t="s">
        <v>150</v>
      </c>
      <c r="R326" t="str">
        <f t="shared" si="10"/>
        <v/>
      </c>
      <c r="S326" t="str">
        <f t="shared" si="11"/>
        <v/>
      </c>
    </row>
    <row r="327" spans="1:19" x14ac:dyDescent="0.25">
      <c r="A327" s="1" t="s">
        <v>448</v>
      </c>
      <c r="B327" s="5" t="s">
        <v>448</v>
      </c>
      <c r="C327" s="1" t="s">
        <v>448</v>
      </c>
      <c r="D327" s="1" t="s">
        <v>448</v>
      </c>
      <c r="E327" s="1" t="s">
        <v>448</v>
      </c>
      <c r="F327" s="1" t="s">
        <v>448</v>
      </c>
      <c r="G327" s="1" t="s">
        <v>448</v>
      </c>
      <c r="H327" s="1" t="s">
        <v>448</v>
      </c>
      <c r="I327" s="1" t="s">
        <v>448</v>
      </c>
      <c r="J327" s="1" t="s">
        <v>448</v>
      </c>
      <c r="K327" s="1" t="s">
        <v>448</v>
      </c>
      <c r="L327" s="1" t="s">
        <v>448</v>
      </c>
      <c r="M327" s="1" t="s">
        <v>448</v>
      </c>
      <c r="N327" s="1" t="s">
        <v>448</v>
      </c>
      <c r="O327" s="1">
        <v>20064</v>
      </c>
      <c r="P327" s="1" t="s">
        <v>149</v>
      </c>
      <c r="Q327" s="1" t="s">
        <v>150</v>
      </c>
      <c r="R327" t="str">
        <f t="shared" si="10"/>
        <v/>
      </c>
      <c r="S327" t="str">
        <f t="shared" si="11"/>
        <v/>
      </c>
    </row>
    <row r="328" spans="1:19" x14ac:dyDescent="0.25">
      <c r="A328" s="1" t="s">
        <v>448</v>
      </c>
      <c r="B328" s="5" t="s">
        <v>448</v>
      </c>
      <c r="C328" s="1" t="s">
        <v>448</v>
      </c>
      <c r="D328" s="1" t="s">
        <v>448</v>
      </c>
      <c r="E328" s="1" t="s">
        <v>448</v>
      </c>
      <c r="F328" s="1" t="s">
        <v>448</v>
      </c>
      <c r="G328" s="1" t="s">
        <v>448</v>
      </c>
      <c r="H328" s="1" t="s">
        <v>448</v>
      </c>
      <c r="I328" s="1" t="s">
        <v>448</v>
      </c>
      <c r="J328" s="1" t="s">
        <v>448</v>
      </c>
      <c r="K328" s="1" t="s">
        <v>448</v>
      </c>
      <c r="L328" s="1" t="s">
        <v>448</v>
      </c>
      <c r="M328" s="1" t="s">
        <v>448</v>
      </c>
      <c r="N328" s="1" t="s">
        <v>448</v>
      </c>
      <c r="O328" s="1">
        <v>20064</v>
      </c>
      <c r="P328" s="1" t="s">
        <v>149</v>
      </c>
      <c r="Q328" s="1" t="s">
        <v>150</v>
      </c>
      <c r="R328" t="str">
        <f t="shared" si="10"/>
        <v/>
      </c>
      <c r="S328" t="str">
        <f t="shared" si="11"/>
        <v/>
      </c>
    </row>
    <row r="329" spans="1:19" x14ac:dyDescent="0.25">
      <c r="A329" s="1" t="s">
        <v>448</v>
      </c>
      <c r="B329" s="5" t="s">
        <v>448</v>
      </c>
      <c r="C329" s="1" t="s">
        <v>448</v>
      </c>
      <c r="D329" s="1" t="s">
        <v>448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448</v>
      </c>
      <c r="J329" s="1" t="s">
        <v>448</v>
      </c>
      <c r="K329" s="1" t="s">
        <v>448</v>
      </c>
      <c r="L329" s="1" t="s">
        <v>448</v>
      </c>
      <c r="M329" s="1" t="s">
        <v>448</v>
      </c>
      <c r="N329" s="1" t="s">
        <v>448</v>
      </c>
      <c r="O329" s="1">
        <v>20064</v>
      </c>
      <c r="P329" s="1" t="s">
        <v>149</v>
      </c>
      <c r="Q329" s="1" t="s">
        <v>150</v>
      </c>
      <c r="R329" t="str">
        <f t="shared" si="10"/>
        <v/>
      </c>
      <c r="S329" t="str">
        <f t="shared" si="11"/>
        <v/>
      </c>
    </row>
    <row r="330" spans="1:19" x14ac:dyDescent="0.25">
      <c r="A330" s="1" t="s">
        <v>448</v>
      </c>
      <c r="B330" s="5" t="s">
        <v>448</v>
      </c>
      <c r="C330" s="1" t="s">
        <v>448</v>
      </c>
      <c r="D330" s="1" t="s">
        <v>448</v>
      </c>
      <c r="E330" s="1" t="s">
        <v>448</v>
      </c>
      <c r="F330" s="1" t="s">
        <v>448</v>
      </c>
      <c r="G330" s="1" t="s">
        <v>448</v>
      </c>
      <c r="H330" s="1" t="s">
        <v>448</v>
      </c>
      <c r="I330" s="1" t="s">
        <v>448</v>
      </c>
      <c r="J330" s="1" t="s">
        <v>448</v>
      </c>
      <c r="K330" s="1" t="s">
        <v>448</v>
      </c>
      <c r="L330" s="1" t="s">
        <v>448</v>
      </c>
      <c r="M330" s="1" t="s">
        <v>448</v>
      </c>
      <c r="N330" s="1" t="s">
        <v>448</v>
      </c>
      <c r="O330" s="1">
        <v>20064</v>
      </c>
      <c r="P330" s="1" t="s">
        <v>149</v>
      </c>
      <c r="Q330" s="1" t="s">
        <v>150</v>
      </c>
      <c r="R330" t="str">
        <f t="shared" si="10"/>
        <v/>
      </c>
      <c r="S330" t="str">
        <f t="shared" si="11"/>
        <v/>
      </c>
    </row>
    <row r="331" spans="1:19" x14ac:dyDescent="0.25">
      <c r="A331" s="1" t="s">
        <v>448</v>
      </c>
      <c r="B331" s="5" t="s">
        <v>448</v>
      </c>
      <c r="C331" s="1" t="s">
        <v>448</v>
      </c>
      <c r="D331" s="1" t="s">
        <v>448</v>
      </c>
      <c r="E331" s="1" t="s">
        <v>448</v>
      </c>
      <c r="F331" s="1" t="s">
        <v>448</v>
      </c>
      <c r="G331" s="1" t="s">
        <v>448</v>
      </c>
      <c r="H331" s="1" t="s">
        <v>448</v>
      </c>
      <c r="I331" s="1" t="s">
        <v>448</v>
      </c>
      <c r="J331" s="1" t="s">
        <v>448</v>
      </c>
      <c r="K331" s="1" t="s">
        <v>448</v>
      </c>
      <c r="L331" s="1" t="s">
        <v>448</v>
      </c>
      <c r="M331" s="1" t="s">
        <v>448</v>
      </c>
      <c r="N331" s="1" t="s">
        <v>448</v>
      </c>
      <c r="O331" s="1">
        <v>20064</v>
      </c>
      <c r="P331" s="1" t="s">
        <v>149</v>
      </c>
      <c r="Q331" s="1" t="s">
        <v>150</v>
      </c>
      <c r="R331" t="str">
        <f t="shared" si="10"/>
        <v/>
      </c>
      <c r="S331" t="str">
        <f t="shared" si="11"/>
        <v/>
      </c>
    </row>
    <row r="332" spans="1:19" x14ac:dyDescent="0.25">
      <c r="A332" s="1" t="s">
        <v>448</v>
      </c>
      <c r="B332" s="5" t="s">
        <v>448</v>
      </c>
      <c r="C332" s="1" t="s">
        <v>448</v>
      </c>
      <c r="D332" s="1" t="s">
        <v>448</v>
      </c>
      <c r="E332" s="1" t="s">
        <v>448</v>
      </c>
      <c r="F332" s="1" t="s">
        <v>448</v>
      </c>
      <c r="G332" s="1" t="s">
        <v>448</v>
      </c>
      <c r="H332" s="1" t="s">
        <v>448</v>
      </c>
      <c r="I332" s="1" t="s">
        <v>448</v>
      </c>
      <c r="J332" s="1" t="s">
        <v>448</v>
      </c>
      <c r="K332" s="1" t="s">
        <v>448</v>
      </c>
      <c r="L332" s="1" t="s">
        <v>448</v>
      </c>
      <c r="M332" s="1" t="s">
        <v>448</v>
      </c>
      <c r="N332" s="1" t="s">
        <v>448</v>
      </c>
      <c r="O332" s="1">
        <v>20064</v>
      </c>
      <c r="P332" s="1" t="s">
        <v>149</v>
      </c>
      <c r="Q332" s="1" t="s">
        <v>150</v>
      </c>
      <c r="R332" t="str">
        <f t="shared" si="10"/>
        <v/>
      </c>
      <c r="S332" t="str">
        <f t="shared" si="11"/>
        <v/>
      </c>
    </row>
    <row r="333" spans="1:19" x14ac:dyDescent="0.25">
      <c r="A333" s="1" t="s">
        <v>448</v>
      </c>
      <c r="B333" s="5" t="s">
        <v>448</v>
      </c>
      <c r="C333" s="1" t="s">
        <v>448</v>
      </c>
      <c r="D333" s="1" t="s">
        <v>448</v>
      </c>
      <c r="E333" s="1" t="s">
        <v>448</v>
      </c>
      <c r="F333" s="1" t="s">
        <v>448</v>
      </c>
      <c r="G333" s="1" t="s">
        <v>448</v>
      </c>
      <c r="H333" s="1" t="s">
        <v>448</v>
      </c>
      <c r="I333" s="1" t="s">
        <v>448</v>
      </c>
      <c r="J333" s="1" t="s">
        <v>448</v>
      </c>
      <c r="K333" s="1" t="s">
        <v>448</v>
      </c>
      <c r="L333" s="1" t="s">
        <v>448</v>
      </c>
      <c r="M333" s="1" t="s">
        <v>448</v>
      </c>
      <c r="N333" s="1" t="s">
        <v>448</v>
      </c>
      <c r="O333" s="1">
        <v>20064</v>
      </c>
      <c r="P333" s="1" t="s">
        <v>149</v>
      </c>
      <c r="Q333" s="1" t="s">
        <v>150</v>
      </c>
      <c r="R333" t="str">
        <f t="shared" si="10"/>
        <v/>
      </c>
      <c r="S333" t="str">
        <f t="shared" si="11"/>
        <v/>
      </c>
    </row>
    <row r="334" spans="1:19" x14ac:dyDescent="0.25">
      <c r="A334" s="1" t="s">
        <v>448</v>
      </c>
      <c r="B334" s="5" t="s">
        <v>448</v>
      </c>
      <c r="C334" s="1" t="s">
        <v>448</v>
      </c>
      <c r="D334" s="1" t="s">
        <v>448</v>
      </c>
      <c r="E334" s="1" t="s">
        <v>448</v>
      </c>
      <c r="F334" s="1" t="s">
        <v>448</v>
      </c>
      <c r="G334" s="1" t="s">
        <v>448</v>
      </c>
      <c r="H334" s="1" t="s">
        <v>448</v>
      </c>
      <c r="I334" s="1" t="s">
        <v>448</v>
      </c>
      <c r="J334" s="1" t="s">
        <v>448</v>
      </c>
      <c r="K334" s="1" t="s">
        <v>448</v>
      </c>
      <c r="L334" s="1" t="s">
        <v>448</v>
      </c>
      <c r="M334" s="1" t="s">
        <v>448</v>
      </c>
      <c r="N334" s="1" t="s">
        <v>448</v>
      </c>
      <c r="O334" s="1">
        <v>20064</v>
      </c>
      <c r="P334" s="1" t="s">
        <v>149</v>
      </c>
      <c r="Q334" s="1" t="s">
        <v>150</v>
      </c>
      <c r="R334" t="str">
        <f t="shared" si="10"/>
        <v/>
      </c>
      <c r="S334" t="str">
        <f t="shared" si="11"/>
        <v/>
      </c>
    </row>
    <row r="335" spans="1:19" x14ac:dyDescent="0.25">
      <c r="A335" s="1" t="s">
        <v>448</v>
      </c>
      <c r="B335" s="5" t="s">
        <v>448</v>
      </c>
      <c r="C335" s="1" t="s">
        <v>448</v>
      </c>
      <c r="D335" s="1" t="s">
        <v>448</v>
      </c>
      <c r="E335" s="1" t="s">
        <v>448</v>
      </c>
      <c r="F335" s="1" t="s">
        <v>448</v>
      </c>
      <c r="G335" s="1" t="s">
        <v>448</v>
      </c>
      <c r="H335" s="1" t="s">
        <v>448</v>
      </c>
      <c r="I335" s="1" t="s">
        <v>448</v>
      </c>
      <c r="J335" s="1" t="s">
        <v>448</v>
      </c>
      <c r="K335" s="1" t="s">
        <v>448</v>
      </c>
      <c r="L335" s="1" t="s">
        <v>448</v>
      </c>
      <c r="M335" s="1" t="s">
        <v>448</v>
      </c>
      <c r="N335" s="1" t="s">
        <v>448</v>
      </c>
      <c r="O335" s="1">
        <v>20064</v>
      </c>
      <c r="P335" s="1" t="s">
        <v>149</v>
      </c>
      <c r="Q335" s="1" t="s">
        <v>150</v>
      </c>
      <c r="R335" t="str">
        <f t="shared" si="10"/>
        <v/>
      </c>
      <c r="S335" t="str">
        <f t="shared" si="11"/>
        <v/>
      </c>
    </row>
    <row r="336" spans="1:19" x14ac:dyDescent="0.25">
      <c r="A336" s="1" t="s">
        <v>448</v>
      </c>
      <c r="B336" s="5" t="s">
        <v>448</v>
      </c>
      <c r="C336" s="1" t="s">
        <v>448</v>
      </c>
      <c r="D336" s="1" t="s">
        <v>448</v>
      </c>
      <c r="E336" s="1" t="s">
        <v>448</v>
      </c>
      <c r="F336" s="1" t="s">
        <v>448</v>
      </c>
      <c r="G336" s="1" t="s">
        <v>448</v>
      </c>
      <c r="H336" s="1" t="s">
        <v>448</v>
      </c>
      <c r="I336" s="1" t="s">
        <v>448</v>
      </c>
      <c r="J336" s="1" t="s">
        <v>448</v>
      </c>
      <c r="K336" s="1" t="s">
        <v>448</v>
      </c>
      <c r="L336" s="1" t="s">
        <v>448</v>
      </c>
      <c r="M336" s="1" t="s">
        <v>448</v>
      </c>
      <c r="N336" s="1" t="s">
        <v>448</v>
      </c>
      <c r="O336" s="1">
        <v>20064</v>
      </c>
      <c r="P336" s="1" t="s">
        <v>149</v>
      </c>
      <c r="Q336" s="1" t="s">
        <v>150</v>
      </c>
      <c r="R336" t="str">
        <f t="shared" si="10"/>
        <v/>
      </c>
      <c r="S336" t="str">
        <f t="shared" si="11"/>
        <v/>
      </c>
    </row>
    <row r="337" spans="1:19" x14ac:dyDescent="0.25">
      <c r="A337" s="1" t="s">
        <v>448</v>
      </c>
      <c r="B337" s="5" t="s">
        <v>448</v>
      </c>
      <c r="C337" s="1" t="s">
        <v>448</v>
      </c>
      <c r="D337" s="1" t="s">
        <v>448</v>
      </c>
      <c r="E337" s="1" t="s">
        <v>448</v>
      </c>
      <c r="F337" s="1" t="s">
        <v>448</v>
      </c>
      <c r="G337" s="1" t="s">
        <v>448</v>
      </c>
      <c r="H337" s="1" t="s">
        <v>448</v>
      </c>
      <c r="I337" s="1" t="s">
        <v>448</v>
      </c>
      <c r="J337" s="1" t="s">
        <v>448</v>
      </c>
      <c r="K337" s="1" t="s">
        <v>448</v>
      </c>
      <c r="L337" s="1" t="s">
        <v>448</v>
      </c>
      <c r="M337" s="1" t="s">
        <v>448</v>
      </c>
      <c r="N337" s="1" t="s">
        <v>448</v>
      </c>
      <c r="O337" s="1">
        <v>20064</v>
      </c>
      <c r="P337" s="1" t="s">
        <v>149</v>
      </c>
      <c r="Q337" s="1" t="s">
        <v>150</v>
      </c>
      <c r="R337" t="str">
        <f t="shared" si="10"/>
        <v/>
      </c>
      <c r="S337" t="str">
        <f t="shared" si="11"/>
        <v/>
      </c>
    </row>
    <row r="338" spans="1:19" x14ac:dyDescent="0.25">
      <c r="A338" s="1" t="s">
        <v>448</v>
      </c>
      <c r="B338" s="5" t="s">
        <v>448</v>
      </c>
      <c r="C338" s="1" t="s">
        <v>448</v>
      </c>
      <c r="D338" s="1" t="s">
        <v>448</v>
      </c>
      <c r="E338" s="1" t="s">
        <v>448</v>
      </c>
      <c r="F338" s="1" t="s">
        <v>448</v>
      </c>
      <c r="G338" s="1" t="s">
        <v>448</v>
      </c>
      <c r="H338" s="1" t="s">
        <v>448</v>
      </c>
      <c r="I338" s="1" t="s">
        <v>448</v>
      </c>
      <c r="J338" s="1" t="s">
        <v>448</v>
      </c>
      <c r="K338" s="1" t="s">
        <v>448</v>
      </c>
      <c r="L338" s="1" t="s">
        <v>448</v>
      </c>
      <c r="M338" s="1" t="s">
        <v>448</v>
      </c>
      <c r="N338" s="1" t="s">
        <v>448</v>
      </c>
      <c r="O338" s="1">
        <v>20064</v>
      </c>
      <c r="P338" s="1" t="s">
        <v>149</v>
      </c>
      <c r="Q338" s="1" t="s">
        <v>150</v>
      </c>
      <c r="R338" t="str">
        <f t="shared" si="10"/>
        <v/>
      </c>
      <c r="S338" t="str">
        <f t="shared" si="11"/>
        <v/>
      </c>
    </row>
    <row r="339" spans="1:19" x14ac:dyDescent="0.25">
      <c r="A339" s="1" t="s">
        <v>448</v>
      </c>
      <c r="B339" s="5" t="s">
        <v>448</v>
      </c>
      <c r="C339" s="1" t="s">
        <v>448</v>
      </c>
      <c r="D339" s="1" t="s">
        <v>448</v>
      </c>
      <c r="E339" s="1" t="s">
        <v>448</v>
      </c>
      <c r="F339" s="1" t="s">
        <v>448</v>
      </c>
      <c r="G339" s="1" t="s">
        <v>448</v>
      </c>
      <c r="H339" s="1" t="s">
        <v>448</v>
      </c>
      <c r="I339" s="1" t="s">
        <v>448</v>
      </c>
      <c r="J339" s="1" t="s">
        <v>448</v>
      </c>
      <c r="K339" s="1" t="s">
        <v>448</v>
      </c>
      <c r="L339" s="1" t="s">
        <v>448</v>
      </c>
      <c r="M339" s="1" t="s">
        <v>448</v>
      </c>
      <c r="N339" s="1" t="s">
        <v>448</v>
      </c>
      <c r="O339" s="1">
        <v>20064</v>
      </c>
      <c r="P339" s="1" t="s">
        <v>149</v>
      </c>
      <c r="Q339" s="1" t="s">
        <v>150</v>
      </c>
      <c r="R339" t="str">
        <f t="shared" si="10"/>
        <v/>
      </c>
      <c r="S339" t="str">
        <f t="shared" si="11"/>
        <v/>
      </c>
    </row>
    <row r="340" spans="1:19" x14ac:dyDescent="0.25">
      <c r="A340" s="1" t="s">
        <v>448</v>
      </c>
      <c r="B340" s="5" t="s">
        <v>448</v>
      </c>
      <c r="C340" s="1" t="s">
        <v>448</v>
      </c>
      <c r="D340" s="1" t="s">
        <v>448</v>
      </c>
      <c r="E340" s="1" t="s">
        <v>448</v>
      </c>
      <c r="F340" s="1" t="s">
        <v>448</v>
      </c>
      <c r="G340" s="1" t="s">
        <v>448</v>
      </c>
      <c r="H340" s="1" t="s">
        <v>448</v>
      </c>
      <c r="I340" s="1" t="s">
        <v>448</v>
      </c>
      <c r="J340" s="1" t="s">
        <v>448</v>
      </c>
      <c r="K340" s="1" t="s">
        <v>448</v>
      </c>
      <c r="L340" s="1" t="s">
        <v>448</v>
      </c>
      <c r="M340" s="1" t="s">
        <v>448</v>
      </c>
      <c r="N340" s="1" t="s">
        <v>448</v>
      </c>
      <c r="O340" s="1">
        <v>20064</v>
      </c>
      <c r="P340" s="1" t="s">
        <v>149</v>
      </c>
      <c r="Q340" s="1" t="s">
        <v>150</v>
      </c>
      <c r="R340" t="str">
        <f t="shared" si="10"/>
        <v/>
      </c>
      <c r="S340" t="str">
        <f t="shared" si="11"/>
        <v/>
      </c>
    </row>
    <row r="341" spans="1:19" x14ac:dyDescent="0.25">
      <c r="A341" s="1" t="s">
        <v>448</v>
      </c>
      <c r="B341" s="5" t="s">
        <v>448</v>
      </c>
      <c r="C341" s="1" t="s">
        <v>448</v>
      </c>
      <c r="D341" s="1" t="s">
        <v>448</v>
      </c>
      <c r="E341" s="1" t="s">
        <v>448</v>
      </c>
      <c r="F341" s="1" t="s">
        <v>448</v>
      </c>
      <c r="G341" s="1" t="s">
        <v>448</v>
      </c>
      <c r="H341" s="1" t="s">
        <v>448</v>
      </c>
      <c r="I341" s="1" t="s">
        <v>448</v>
      </c>
      <c r="J341" s="1" t="s">
        <v>448</v>
      </c>
      <c r="K341" s="1" t="s">
        <v>448</v>
      </c>
      <c r="L341" s="1" t="s">
        <v>448</v>
      </c>
      <c r="M341" s="1" t="s">
        <v>448</v>
      </c>
      <c r="N341" s="1" t="s">
        <v>448</v>
      </c>
      <c r="O341" s="1">
        <v>20064</v>
      </c>
      <c r="P341" s="1" t="s">
        <v>149</v>
      </c>
      <c r="Q341" s="1" t="s">
        <v>150</v>
      </c>
      <c r="R341" t="str">
        <f t="shared" si="10"/>
        <v/>
      </c>
      <c r="S341" t="str">
        <f t="shared" si="11"/>
        <v/>
      </c>
    </row>
    <row r="342" spans="1:19" x14ac:dyDescent="0.25">
      <c r="A342" s="1" t="s">
        <v>448</v>
      </c>
      <c r="B342" s="5" t="s">
        <v>448</v>
      </c>
      <c r="C342" s="1" t="s">
        <v>448</v>
      </c>
      <c r="D342" s="1" t="s">
        <v>448</v>
      </c>
      <c r="E342" s="1" t="s">
        <v>448</v>
      </c>
      <c r="F342" s="1" t="s">
        <v>448</v>
      </c>
      <c r="G342" s="1" t="s">
        <v>448</v>
      </c>
      <c r="H342" s="1" t="s">
        <v>448</v>
      </c>
      <c r="I342" s="1" t="s">
        <v>448</v>
      </c>
      <c r="J342" s="1" t="s">
        <v>448</v>
      </c>
      <c r="K342" s="1" t="s">
        <v>448</v>
      </c>
      <c r="L342" s="1" t="s">
        <v>448</v>
      </c>
      <c r="M342" s="1" t="s">
        <v>448</v>
      </c>
      <c r="N342" s="1" t="s">
        <v>448</v>
      </c>
      <c r="O342" s="1">
        <v>20064</v>
      </c>
      <c r="P342" s="1" t="s">
        <v>149</v>
      </c>
      <c r="Q342" s="1" t="s">
        <v>150</v>
      </c>
      <c r="R342" t="str">
        <f t="shared" si="10"/>
        <v/>
      </c>
      <c r="S342" t="str">
        <f t="shared" si="11"/>
        <v/>
      </c>
    </row>
    <row r="343" spans="1:19" x14ac:dyDescent="0.25">
      <c r="A343" s="1" t="s">
        <v>448</v>
      </c>
      <c r="B343" s="5" t="s">
        <v>448</v>
      </c>
      <c r="C343" s="1" t="s">
        <v>448</v>
      </c>
      <c r="D343" s="1" t="s">
        <v>448</v>
      </c>
      <c r="E343" s="1" t="s">
        <v>448</v>
      </c>
      <c r="F343" s="1" t="s">
        <v>448</v>
      </c>
      <c r="G343" s="1" t="s">
        <v>448</v>
      </c>
      <c r="H343" s="1" t="s">
        <v>448</v>
      </c>
      <c r="I343" s="1" t="s">
        <v>448</v>
      </c>
      <c r="J343" s="1" t="s">
        <v>448</v>
      </c>
      <c r="K343" s="1" t="s">
        <v>448</v>
      </c>
      <c r="L343" s="1" t="s">
        <v>448</v>
      </c>
      <c r="M343" s="1" t="s">
        <v>448</v>
      </c>
      <c r="N343" s="1" t="s">
        <v>448</v>
      </c>
      <c r="O343" s="1">
        <v>20064</v>
      </c>
      <c r="P343" s="1" t="s">
        <v>149</v>
      </c>
      <c r="Q343" s="1" t="s">
        <v>150</v>
      </c>
      <c r="R343" t="str">
        <f t="shared" si="10"/>
        <v/>
      </c>
      <c r="S343" t="str">
        <f t="shared" si="11"/>
        <v/>
      </c>
    </row>
    <row r="344" spans="1:19" x14ac:dyDescent="0.25">
      <c r="A344" s="1" t="s">
        <v>448</v>
      </c>
      <c r="B344" s="5" t="s">
        <v>448</v>
      </c>
      <c r="C344" s="1" t="s">
        <v>448</v>
      </c>
      <c r="D344" s="1" t="s">
        <v>448</v>
      </c>
      <c r="E344" s="1" t="s">
        <v>448</v>
      </c>
      <c r="F344" s="1" t="s">
        <v>448</v>
      </c>
      <c r="G344" s="1" t="s">
        <v>448</v>
      </c>
      <c r="H344" s="1" t="s">
        <v>448</v>
      </c>
      <c r="I344" s="1" t="s">
        <v>448</v>
      </c>
      <c r="J344" s="1" t="s">
        <v>448</v>
      </c>
      <c r="K344" s="1" t="s">
        <v>448</v>
      </c>
      <c r="L344" s="1" t="s">
        <v>448</v>
      </c>
      <c r="M344" s="1" t="s">
        <v>448</v>
      </c>
      <c r="N344" s="1" t="s">
        <v>448</v>
      </c>
      <c r="O344" s="1">
        <v>20064</v>
      </c>
      <c r="P344" s="1" t="s">
        <v>149</v>
      </c>
      <c r="Q344" s="1" t="s">
        <v>150</v>
      </c>
      <c r="R344" t="str">
        <f t="shared" si="10"/>
        <v/>
      </c>
      <c r="S344" t="str">
        <f t="shared" si="11"/>
        <v/>
      </c>
    </row>
    <row r="345" spans="1:19" x14ac:dyDescent="0.25">
      <c r="A345" s="1" t="s">
        <v>448</v>
      </c>
      <c r="B345" s="5" t="s">
        <v>448</v>
      </c>
      <c r="C345" s="1" t="s">
        <v>448</v>
      </c>
      <c r="D345" s="1" t="s">
        <v>448</v>
      </c>
      <c r="E345" s="1" t="s">
        <v>448</v>
      </c>
      <c r="F345" s="1" t="s">
        <v>448</v>
      </c>
      <c r="G345" s="1" t="s">
        <v>448</v>
      </c>
      <c r="H345" s="1" t="s">
        <v>448</v>
      </c>
      <c r="I345" s="1" t="s">
        <v>448</v>
      </c>
      <c r="J345" s="1" t="s">
        <v>448</v>
      </c>
      <c r="K345" s="1" t="s">
        <v>448</v>
      </c>
      <c r="L345" s="1" t="s">
        <v>448</v>
      </c>
      <c r="M345" s="1" t="s">
        <v>448</v>
      </c>
      <c r="N345" s="1" t="s">
        <v>448</v>
      </c>
      <c r="O345" s="1">
        <v>20064</v>
      </c>
      <c r="P345" s="1" t="s">
        <v>149</v>
      </c>
      <c r="Q345" s="1" t="s">
        <v>150</v>
      </c>
      <c r="R345" t="str">
        <f t="shared" si="10"/>
        <v/>
      </c>
      <c r="S345" t="str">
        <f t="shared" si="11"/>
        <v/>
      </c>
    </row>
    <row r="346" spans="1:19" x14ac:dyDescent="0.25">
      <c r="A346" s="1" t="s">
        <v>448</v>
      </c>
      <c r="B346" s="5" t="s">
        <v>448</v>
      </c>
      <c r="C346" s="1" t="s">
        <v>448</v>
      </c>
      <c r="D346" s="1" t="s">
        <v>448</v>
      </c>
      <c r="E346" s="1" t="s">
        <v>448</v>
      </c>
      <c r="F346" s="1" t="s">
        <v>448</v>
      </c>
      <c r="G346" s="1" t="s">
        <v>448</v>
      </c>
      <c r="H346" s="1" t="s">
        <v>448</v>
      </c>
      <c r="I346" s="1" t="s">
        <v>448</v>
      </c>
      <c r="J346" s="1" t="s">
        <v>448</v>
      </c>
      <c r="K346" s="1" t="s">
        <v>448</v>
      </c>
      <c r="L346" s="1" t="s">
        <v>448</v>
      </c>
      <c r="M346" s="1" t="s">
        <v>448</v>
      </c>
      <c r="N346" s="1" t="s">
        <v>448</v>
      </c>
      <c r="O346" s="1">
        <v>20064</v>
      </c>
      <c r="P346" s="1" t="s">
        <v>149</v>
      </c>
      <c r="Q346" s="1" t="s">
        <v>150</v>
      </c>
      <c r="R346" t="str">
        <f t="shared" si="10"/>
        <v/>
      </c>
      <c r="S346" t="str">
        <f t="shared" si="11"/>
        <v/>
      </c>
    </row>
    <row r="347" spans="1:19" x14ac:dyDescent="0.25">
      <c r="A347" s="1" t="s">
        <v>448</v>
      </c>
      <c r="B347" s="5" t="s">
        <v>448</v>
      </c>
      <c r="C347" s="1" t="s">
        <v>448</v>
      </c>
      <c r="D347" s="1" t="s">
        <v>448</v>
      </c>
      <c r="E347" s="1" t="s">
        <v>448</v>
      </c>
      <c r="F347" s="1" t="s">
        <v>448</v>
      </c>
      <c r="G347" s="1" t="s">
        <v>448</v>
      </c>
      <c r="H347" s="1" t="s">
        <v>448</v>
      </c>
      <c r="I347" s="1" t="s">
        <v>448</v>
      </c>
      <c r="J347" s="1" t="s">
        <v>448</v>
      </c>
      <c r="K347" s="1" t="s">
        <v>448</v>
      </c>
      <c r="L347" s="1" t="s">
        <v>448</v>
      </c>
      <c r="M347" s="1" t="s">
        <v>448</v>
      </c>
      <c r="N347" s="1" t="s">
        <v>448</v>
      </c>
      <c r="O347" s="1">
        <v>20064</v>
      </c>
      <c r="P347" s="1" t="s">
        <v>149</v>
      </c>
      <c r="Q347" s="1" t="s">
        <v>150</v>
      </c>
      <c r="R347" t="str">
        <f t="shared" si="10"/>
        <v/>
      </c>
      <c r="S347" t="str">
        <f t="shared" si="11"/>
        <v/>
      </c>
    </row>
    <row r="348" spans="1:19" x14ac:dyDescent="0.25">
      <c r="A348" s="1" t="s">
        <v>448</v>
      </c>
      <c r="B348" s="5" t="s">
        <v>448</v>
      </c>
      <c r="C348" s="1" t="s">
        <v>448</v>
      </c>
      <c r="D348" s="1" t="s">
        <v>448</v>
      </c>
      <c r="E348" s="1" t="s">
        <v>448</v>
      </c>
      <c r="F348" s="1" t="s">
        <v>448</v>
      </c>
      <c r="G348" s="1" t="s">
        <v>448</v>
      </c>
      <c r="H348" s="1" t="s">
        <v>448</v>
      </c>
      <c r="I348" s="1" t="s">
        <v>448</v>
      </c>
      <c r="J348" s="1" t="s">
        <v>448</v>
      </c>
      <c r="K348" s="1" t="s">
        <v>448</v>
      </c>
      <c r="L348" s="1" t="s">
        <v>448</v>
      </c>
      <c r="M348" s="1" t="s">
        <v>448</v>
      </c>
      <c r="N348" s="1" t="s">
        <v>448</v>
      </c>
      <c r="O348" s="1">
        <v>20064</v>
      </c>
      <c r="P348" s="1" t="s">
        <v>149</v>
      </c>
      <c r="Q348" s="1" t="s">
        <v>150</v>
      </c>
      <c r="R348" t="str">
        <f t="shared" si="10"/>
        <v/>
      </c>
      <c r="S348" t="str">
        <f t="shared" si="11"/>
        <v/>
      </c>
    </row>
    <row r="349" spans="1:19" x14ac:dyDescent="0.25">
      <c r="A349" s="1" t="s">
        <v>448</v>
      </c>
      <c r="B349" s="5" t="s">
        <v>448</v>
      </c>
      <c r="C349" s="1" t="s">
        <v>448</v>
      </c>
      <c r="D349" s="1" t="s">
        <v>448</v>
      </c>
      <c r="E349" s="1" t="s">
        <v>448</v>
      </c>
      <c r="F349" s="1" t="s">
        <v>448</v>
      </c>
      <c r="G349" s="1" t="s">
        <v>448</v>
      </c>
      <c r="H349" s="1" t="s">
        <v>448</v>
      </c>
      <c r="I349" s="1" t="s">
        <v>448</v>
      </c>
      <c r="J349" s="1" t="s">
        <v>448</v>
      </c>
      <c r="K349" s="1" t="s">
        <v>448</v>
      </c>
      <c r="L349" s="1" t="s">
        <v>448</v>
      </c>
      <c r="M349" s="1" t="s">
        <v>448</v>
      </c>
      <c r="N349" s="1" t="s">
        <v>448</v>
      </c>
      <c r="O349" s="1">
        <v>20064</v>
      </c>
      <c r="P349" s="1" t="s">
        <v>149</v>
      </c>
      <c r="Q349" s="1" t="s">
        <v>150</v>
      </c>
      <c r="R349" t="str">
        <f t="shared" si="10"/>
        <v/>
      </c>
      <c r="S349" t="str">
        <f t="shared" si="11"/>
        <v/>
      </c>
    </row>
    <row r="350" spans="1:19" x14ac:dyDescent="0.25">
      <c r="A350" s="1" t="s">
        <v>448</v>
      </c>
      <c r="B350" s="5" t="s">
        <v>448</v>
      </c>
      <c r="C350" s="1" t="s">
        <v>448</v>
      </c>
      <c r="D350" s="1" t="s">
        <v>448</v>
      </c>
      <c r="E350" s="1" t="s">
        <v>448</v>
      </c>
      <c r="F350" s="1" t="s">
        <v>448</v>
      </c>
      <c r="G350" s="1" t="s">
        <v>448</v>
      </c>
      <c r="H350" s="1" t="s">
        <v>448</v>
      </c>
      <c r="I350" s="1" t="s">
        <v>448</v>
      </c>
      <c r="J350" s="1" t="s">
        <v>448</v>
      </c>
      <c r="K350" s="1" t="s">
        <v>448</v>
      </c>
      <c r="L350" s="1" t="s">
        <v>448</v>
      </c>
      <c r="M350" s="1" t="s">
        <v>448</v>
      </c>
      <c r="N350" s="1" t="s">
        <v>448</v>
      </c>
      <c r="O350" s="1">
        <v>20064</v>
      </c>
      <c r="P350" s="1" t="s">
        <v>149</v>
      </c>
      <c r="Q350" s="1" t="s">
        <v>150</v>
      </c>
      <c r="R350" t="str">
        <f t="shared" si="10"/>
        <v/>
      </c>
      <c r="S350" t="str">
        <f t="shared" si="11"/>
        <v/>
      </c>
    </row>
    <row r="351" spans="1:19" x14ac:dyDescent="0.25">
      <c r="A351" s="1" t="s">
        <v>448</v>
      </c>
      <c r="B351" s="5" t="s">
        <v>448</v>
      </c>
      <c r="C351" s="1" t="s">
        <v>448</v>
      </c>
      <c r="D351" s="1" t="s">
        <v>448</v>
      </c>
      <c r="E351" s="1" t="s">
        <v>448</v>
      </c>
      <c r="F351" s="1" t="s">
        <v>448</v>
      </c>
      <c r="G351" s="1" t="s">
        <v>448</v>
      </c>
      <c r="H351" s="1" t="s">
        <v>448</v>
      </c>
      <c r="I351" s="1" t="s">
        <v>448</v>
      </c>
      <c r="J351" s="1" t="s">
        <v>448</v>
      </c>
      <c r="K351" s="1" t="s">
        <v>448</v>
      </c>
      <c r="L351" s="1" t="s">
        <v>448</v>
      </c>
      <c r="M351" s="1" t="s">
        <v>448</v>
      </c>
      <c r="N351" s="1" t="s">
        <v>448</v>
      </c>
      <c r="O351" s="1">
        <v>20064</v>
      </c>
      <c r="P351" s="1" t="s">
        <v>149</v>
      </c>
      <c r="Q351" s="1" t="s">
        <v>150</v>
      </c>
      <c r="R351" t="str">
        <f t="shared" si="10"/>
        <v/>
      </c>
      <c r="S351" t="str">
        <f t="shared" si="11"/>
        <v/>
      </c>
    </row>
    <row r="352" spans="1:19" x14ac:dyDescent="0.25">
      <c r="A352" s="1" t="s">
        <v>448</v>
      </c>
      <c r="B352" s="5" t="s">
        <v>448</v>
      </c>
      <c r="C352" s="1" t="s">
        <v>448</v>
      </c>
      <c r="D352" s="1" t="s">
        <v>448</v>
      </c>
      <c r="E352" s="1" t="s">
        <v>448</v>
      </c>
      <c r="F352" s="1" t="s">
        <v>448</v>
      </c>
      <c r="G352" s="1" t="s">
        <v>448</v>
      </c>
      <c r="H352" s="1" t="s">
        <v>448</v>
      </c>
      <c r="I352" s="1" t="s">
        <v>448</v>
      </c>
      <c r="J352" s="1" t="s">
        <v>448</v>
      </c>
      <c r="K352" s="1" t="s">
        <v>448</v>
      </c>
      <c r="L352" s="1" t="s">
        <v>448</v>
      </c>
      <c r="M352" s="1" t="s">
        <v>448</v>
      </c>
      <c r="N352" s="1" t="s">
        <v>448</v>
      </c>
      <c r="O352" s="1">
        <v>20064</v>
      </c>
      <c r="P352" s="1" t="s">
        <v>149</v>
      </c>
      <c r="Q352" s="1" t="s">
        <v>150</v>
      </c>
      <c r="R352" t="str">
        <f t="shared" si="10"/>
        <v/>
      </c>
      <c r="S352" t="str">
        <f t="shared" si="11"/>
        <v/>
      </c>
    </row>
    <row r="353" spans="1:19" x14ac:dyDescent="0.25">
      <c r="A353" s="1" t="s">
        <v>448</v>
      </c>
      <c r="B353" s="5" t="s">
        <v>448</v>
      </c>
      <c r="C353" s="1" t="s">
        <v>448</v>
      </c>
      <c r="D353" s="1" t="s">
        <v>448</v>
      </c>
      <c r="E353" s="1" t="s">
        <v>448</v>
      </c>
      <c r="F353" s="1" t="s">
        <v>448</v>
      </c>
      <c r="G353" s="1" t="s">
        <v>448</v>
      </c>
      <c r="H353" s="1" t="s">
        <v>448</v>
      </c>
      <c r="I353" s="1" t="s">
        <v>448</v>
      </c>
      <c r="J353" s="1" t="s">
        <v>448</v>
      </c>
      <c r="K353" s="1" t="s">
        <v>448</v>
      </c>
      <c r="L353" s="1" t="s">
        <v>448</v>
      </c>
      <c r="M353" s="1" t="s">
        <v>448</v>
      </c>
      <c r="N353" s="1" t="s">
        <v>448</v>
      </c>
      <c r="O353" s="1">
        <v>20064</v>
      </c>
      <c r="P353" s="1" t="s">
        <v>149</v>
      </c>
      <c r="Q353" s="1" t="s">
        <v>150</v>
      </c>
      <c r="R353" t="str">
        <f t="shared" si="10"/>
        <v/>
      </c>
      <c r="S353" t="str">
        <f t="shared" si="11"/>
        <v/>
      </c>
    </row>
    <row r="354" spans="1:19" x14ac:dyDescent="0.25">
      <c r="A354" s="1" t="s">
        <v>448</v>
      </c>
      <c r="B354" s="5" t="s">
        <v>448</v>
      </c>
      <c r="C354" s="1" t="s">
        <v>448</v>
      </c>
      <c r="D354" s="1" t="s">
        <v>448</v>
      </c>
      <c r="E354" s="1" t="s">
        <v>448</v>
      </c>
      <c r="F354" s="1" t="s">
        <v>448</v>
      </c>
      <c r="G354" s="1" t="s">
        <v>448</v>
      </c>
      <c r="H354" s="1" t="s">
        <v>448</v>
      </c>
      <c r="I354" s="1" t="s">
        <v>448</v>
      </c>
      <c r="J354" s="1" t="s">
        <v>448</v>
      </c>
      <c r="K354" s="1" t="s">
        <v>448</v>
      </c>
      <c r="L354" s="1" t="s">
        <v>448</v>
      </c>
      <c r="M354" s="1" t="s">
        <v>448</v>
      </c>
      <c r="N354" s="1" t="s">
        <v>448</v>
      </c>
      <c r="O354" s="1">
        <v>20064</v>
      </c>
      <c r="P354" s="1" t="s">
        <v>149</v>
      </c>
      <c r="Q354" s="1" t="s">
        <v>150</v>
      </c>
      <c r="R354" t="str">
        <f t="shared" si="10"/>
        <v/>
      </c>
      <c r="S354" t="str">
        <f t="shared" si="11"/>
        <v/>
      </c>
    </row>
    <row r="355" spans="1:19" x14ac:dyDescent="0.25">
      <c r="A355" s="1" t="s">
        <v>448</v>
      </c>
      <c r="B355" s="5" t="s">
        <v>448</v>
      </c>
      <c r="C355" s="1" t="s">
        <v>448</v>
      </c>
      <c r="D355" s="1" t="s">
        <v>448</v>
      </c>
      <c r="E355" s="1" t="s">
        <v>448</v>
      </c>
      <c r="F355" s="1" t="s">
        <v>448</v>
      </c>
      <c r="G355" s="1" t="s">
        <v>448</v>
      </c>
      <c r="H355" s="1" t="s">
        <v>448</v>
      </c>
      <c r="I355" s="1" t="s">
        <v>448</v>
      </c>
      <c r="J355" s="1" t="s">
        <v>448</v>
      </c>
      <c r="K355" s="1" t="s">
        <v>448</v>
      </c>
      <c r="L355" s="1" t="s">
        <v>448</v>
      </c>
      <c r="M355" s="1" t="s">
        <v>448</v>
      </c>
      <c r="N355" s="1" t="s">
        <v>448</v>
      </c>
      <c r="O355" s="1">
        <v>20064</v>
      </c>
      <c r="P355" s="1" t="s">
        <v>149</v>
      </c>
      <c r="Q355" s="1" t="s">
        <v>150</v>
      </c>
      <c r="R355" t="str">
        <f t="shared" si="10"/>
        <v/>
      </c>
      <c r="S355" t="str">
        <f t="shared" si="11"/>
        <v/>
      </c>
    </row>
    <row r="356" spans="1:19" x14ac:dyDescent="0.25">
      <c r="A356" s="1" t="s">
        <v>448</v>
      </c>
      <c r="B356" s="5" t="s">
        <v>448</v>
      </c>
      <c r="C356" s="1" t="s">
        <v>448</v>
      </c>
      <c r="D356" s="1" t="s">
        <v>448</v>
      </c>
      <c r="E356" s="1" t="s">
        <v>448</v>
      </c>
      <c r="F356" s="1" t="s">
        <v>448</v>
      </c>
      <c r="G356" s="1" t="s">
        <v>448</v>
      </c>
      <c r="H356" s="1" t="s">
        <v>448</v>
      </c>
      <c r="I356" s="1" t="s">
        <v>448</v>
      </c>
      <c r="J356" s="1" t="s">
        <v>448</v>
      </c>
      <c r="K356" s="1" t="s">
        <v>448</v>
      </c>
      <c r="L356" s="1" t="s">
        <v>448</v>
      </c>
      <c r="M356" s="1" t="s">
        <v>448</v>
      </c>
      <c r="N356" s="1" t="s">
        <v>448</v>
      </c>
      <c r="O356" s="1">
        <v>20064</v>
      </c>
      <c r="P356" s="1" t="s">
        <v>149</v>
      </c>
      <c r="Q356" s="1" t="s">
        <v>150</v>
      </c>
      <c r="R356" t="str">
        <f t="shared" si="10"/>
        <v/>
      </c>
      <c r="S356" t="str">
        <f t="shared" si="11"/>
        <v/>
      </c>
    </row>
    <row r="357" spans="1:19" x14ac:dyDescent="0.25">
      <c r="A357" s="1" t="s">
        <v>448</v>
      </c>
      <c r="B357" s="5" t="s">
        <v>448</v>
      </c>
      <c r="C357" s="1" t="s">
        <v>448</v>
      </c>
      <c r="D357" s="1" t="s">
        <v>448</v>
      </c>
      <c r="E357" s="1" t="s">
        <v>448</v>
      </c>
      <c r="F357" s="1" t="s">
        <v>448</v>
      </c>
      <c r="G357" s="1" t="s">
        <v>448</v>
      </c>
      <c r="H357" s="1" t="s">
        <v>448</v>
      </c>
      <c r="I357" s="1" t="s">
        <v>448</v>
      </c>
      <c r="J357" s="1" t="s">
        <v>448</v>
      </c>
      <c r="K357" s="1" t="s">
        <v>448</v>
      </c>
      <c r="L357" s="1" t="s">
        <v>448</v>
      </c>
      <c r="M357" s="1" t="s">
        <v>448</v>
      </c>
      <c r="N357" s="1" t="s">
        <v>448</v>
      </c>
      <c r="O357" s="1">
        <v>20064</v>
      </c>
      <c r="P357" s="1" t="s">
        <v>149</v>
      </c>
      <c r="Q357" s="1" t="s">
        <v>150</v>
      </c>
      <c r="R357" t="str">
        <f t="shared" si="10"/>
        <v/>
      </c>
      <c r="S357" t="str">
        <f t="shared" si="11"/>
        <v/>
      </c>
    </row>
    <row r="358" spans="1:19" x14ac:dyDescent="0.25">
      <c r="A358" s="1" t="s">
        <v>448</v>
      </c>
      <c r="B358" s="5" t="s">
        <v>448</v>
      </c>
      <c r="C358" s="1" t="s">
        <v>448</v>
      </c>
      <c r="D358" s="1" t="s">
        <v>448</v>
      </c>
      <c r="E358" s="1" t="s">
        <v>448</v>
      </c>
      <c r="F358" s="1" t="s">
        <v>448</v>
      </c>
      <c r="G358" s="1" t="s">
        <v>448</v>
      </c>
      <c r="H358" s="1" t="s">
        <v>448</v>
      </c>
      <c r="I358" s="1" t="s">
        <v>448</v>
      </c>
      <c r="J358" s="1" t="s">
        <v>448</v>
      </c>
      <c r="K358" s="1" t="s">
        <v>448</v>
      </c>
      <c r="L358" s="1" t="s">
        <v>448</v>
      </c>
      <c r="M358" s="1" t="s">
        <v>448</v>
      </c>
      <c r="N358" s="1" t="s">
        <v>448</v>
      </c>
      <c r="O358" s="1">
        <v>20064</v>
      </c>
      <c r="P358" s="1" t="s">
        <v>149</v>
      </c>
      <c r="Q358" s="1" t="s">
        <v>150</v>
      </c>
      <c r="R358" t="str">
        <f t="shared" si="10"/>
        <v/>
      </c>
      <c r="S358" t="str">
        <f t="shared" si="11"/>
        <v/>
      </c>
    </row>
    <row r="359" spans="1:19" x14ac:dyDescent="0.25">
      <c r="A359" s="1" t="s">
        <v>448</v>
      </c>
      <c r="B359" s="5" t="s">
        <v>448</v>
      </c>
      <c r="C359" s="1" t="s">
        <v>448</v>
      </c>
      <c r="D359" s="1" t="s">
        <v>448</v>
      </c>
      <c r="E359" s="1" t="s">
        <v>448</v>
      </c>
      <c r="F359" s="1" t="s">
        <v>448</v>
      </c>
      <c r="G359" s="1" t="s">
        <v>448</v>
      </c>
      <c r="H359" s="1" t="s">
        <v>448</v>
      </c>
      <c r="I359" s="1" t="s">
        <v>448</v>
      </c>
      <c r="J359" s="1" t="s">
        <v>448</v>
      </c>
      <c r="K359" s="1" t="s">
        <v>448</v>
      </c>
      <c r="L359" s="1" t="s">
        <v>448</v>
      </c>
      <c r="M359" s="1" t="s">
        <v>448</v>
      </c>
      <c r="N359" s="1" t="s">
        <v>448</v>
      </c>
      <c r="O359" s="1">
        <v>20064</v>
      </c>
      <c r="P359" s="1" t="s">
        <v>149</v>
      </c>
      <c r="Q359" s="1" t="s">
        <v>150</v>
      </c>
      <c r="R359" t="str">
        <f t="shared" si="10"/>
        <v/>
      </c>
      <c r="S359" t="str">
        <f t="shared" si="11"/>
        <v/>
      </c>
    </row>
    <row r="360" spans="1:19" x14ac:dyDescent="0.25">
      <c r="A360" s="1" t="s">
        <v>448</v>
      </c>
      <c r="B360" s="5" t="s">
        <v>448</v>
      </c>
      <c r="C360" s="1" t="s">
        <v>448</v>
      </c>
      <c r="D360" s="1" t="s">
        <v>448</v>
      </c>
      <c r="E360" s="1" t="s">
        <v>448</v>
      </c>
      <c r="F360" s="1" t="s">
        <v>448</v>
      </c>
      <c r="G360" s="1" t="s">
        <v>448</v>
      </c>
      <c r="H360" s="1" t="s">
        <v>448</v>
      </c>
      <c r="I360" s="1" t="s">
        <v>448</v>
      </c>
      <c r="J360" s="1" t="s">
        <v>448</v>
      </c>
      <c r="K360" s="1" t="s">
        <v>448</v>
      </c>
      <c r="L360" s="1" t="s">
        <v>448</v>
      </c>
      <c r="M360" s="1" t="s">
        <v>448</v>
      </c>
      <c r="N360" s="1" t="s">
        <v>448</v>
      </c>
      <c r="O360" s="1">
        <v>20064</v>
      </c>
      <c r="P360" s="1" t="s">
        <v>149</v>
      </c>
      <c r="Q360" s="1" t="s">
        <v>150</v>
      </c>
      <c r="R360" t="str">
        <f t="shared" si="10"/>
        <v/>
      </c>
      <c r="S360" t="str">
        <f t="shared" si="11"/>
        <v/>
      </c>
    </row>
    <row r="361" spans="1:19" x14ac:dyDescent="0.25">
      <c r="A361" s="1" t="s">
        <v>448</v>
      </c>
      <c r="B361" s="5" t="s">
        <v>448</v>
      </c>
      <c r="C361" s="1" t="s">
        <v>448</v>
      </c>
      <c r="D361" s="1" t="s">
        <v>448</v>
      </c>
      <c r="E361" s="1" t="s">
        <v>448</v>
      </c>
      <c r="F361" s="1" t="s">
        <v>448</v>
      </c>
      <c r="G361" s="1" t="s">
        <v>448</v>
      </c>
      <c r="H361" s="1" t="s">
        <v>448</v>
      </c>
      <c r="I361" s="1" t="s">
        <v>448</v>
      </c>
      <c r="J361" s="1" t="s">
        <v>448</v>
      </c>
      <c r="K361" s="1" t="s">
        <v>448</v>
      </c>
      <c r="L361" s="1" t="s">
        <v>448</v>
      </c>
      <c r="M361" s="1" t="s">
        <v>448</v>
      </c>
      <c r="N361" s="1" t="s">
        <v>448</v>
      </c>
      <c r="O361" s="1">
        <v>20064</v>
      </c>
      <c r="P361" s="1" t="s">
        <v>149</v>
      </c>
      <c r="Q361" s="1" t="s">
        <v>150</v>
      </c>
      <c r="R361" t="str">
        <f t="shared" si="10"/>
        <v/>
      </c>
      <c r="S361" t="str">
        <f t="shared" si="11"/>
        <v/>
      </c>
    </row>
    <row r="362" spans="1:19" x14ac:dyDescent="0.25">
      <c r="A362" s="1" t="s">
        <v>448</v>
      </c>
      <c r="B362" s="5" t="s">
        <v>448</v>
      </c>
      <c r="C362" s="1" t="s">
        <v>448</v>
      </c>
      <c r="D362" s="1" t="s">
        <v>448</v>
      </c>
      <c r="E362" s="1" t="s">
        <v>448</v>
      </c>
      <c r="F362" s="1" t="s">
        <v>448</v>
      </c>
      <c r="G362" s="1" t="s">
        <v>448</v>
      </c>
      <c r="H362" s="1" t="s">
        <v>448</v>
      </c>
      <c r="I362" s="1" t="s">
        <v>448</v>
      </c>
      <c r="J362" s="1" t="s">
        <v>448</v>
      </c>
      <c r="K362" s="1" t="s">
        <v>448</v>
      </c>
      <c r="L362" s="1" t="s">
        <v>448</v>
      </c>
      <c r="M362" s="1" t="s">
        <v>448</v>
      </c>
      <c r="N362" s="1" t="s">
        <v>448</v>
      </c>
      <c r="O362" s="1">
        <v>20064</v>
      </c>
      <c r="P362" s="1" t="s">
        <v>149</v>
      </c>
      <c r="Q362" s="1" t="s">
        <v>150</v>
      </c>
      <c r="R362" t="str">
        <f t="shared" si="10"/>
        <v/>
      </c>
      <c r="S362" t="str">
        <f t="shared" si="11"/>
        <v/>
      </c>
    </row>
    <row r="363" spans="1:19" x14ac:dyDescent="0.25">
      <c r="A363" s="1" t="s">
        <v>448</v>
      </c>
      <c r="B363" s="5" t="s">
        <v>448</v>
      </c>
      <c r="C363" s="1" t="s">
        <v>448</v>
      </c>
      <c r="D363" s="1" t="s">
        <v>448</v>
      </c>
      <c r="E363" s="1" t="s">
        <v>448</v>
      </c>
      <c r="F363" s="1" t="s">
        <v>448</v>
      </c>
      <c r="G363" s="1" t="s">
        <v>448</v>
      </c>
      <c r="H363" s="1" t="s">
        <v>448</v>
      </c>
      <c r="I363" s="1" t="s">
        <v>448</v>
      </c>
      <c r="J363" s="1" t="s">
        <v>448</v>
      </c>
      <c r="K363" s="1" t="s">
        <v>448</v>
      </c>
      <c r="L363" s="1" t="s">
        <v>448</v>
      </c>
      <c r="M363" s="1" t="s">
        <v>448</v>
      </c>
      <c r="N363" s="1" t="s">
        <v>448</v>
      </c>
      <c r="O363" s="1">
        <v>20064</v>
      </c>
      <c r="P363" s="1" t="s">
        <v>149</v>
      </c>
      <c r="Q363" s="1" t="s">
        <v>150</v>
      </c>
      <c r="R363" t="str">
        <f t="shared" si="10"/>
        <v/>
      </c>
      <c r="S363" t="str">
        <f t="shared" si="11"/>
        <v/>
      </c>
    </row>
    <row r="364" spans="1:19" x14ac:dyDescent="0.25">
      <c r="A364" s="1" t="s">
        <v>448</v>
      </c>
      <c r="B364" s="5" t="s">
        <v>448</v>
      </c>
      <c r="C364" s="1" t="s">
        <v>448</v>
      </c>
      <c r="D364" s="1" t="s">
        <v>448</v>
      </c>
      <c r="E364" s="1" t="s">
        <v>448</v>
      </c>
      <c r="F364" s="1" t="s">
        <v>448</v>
      </c>
      <c r="G364" s="1" t="s">
        <v>448</v>
      </c>
      <c r="H364" s="1" t="s">
        <v>448</v>
      </c>
      <c r="I364" s="1" t="s">
        <v>448</v>
      </c>
      <c r="J364" s="1" t="s">
        <v>448</v>
      </c>
      <c r="K364" s="1" t="s">
        <v>448</v>
      </c>
      <c r="L364" s="1" t="s">
        <v>448</v>
      </c>
      <c r="M364" s="1" t="s">
        <v>448</v>
      </c>
      <c r="N364" s="1" t="s">
        <v>448</v>
      </c>
      <c r="O364" s="1">
        <v>20064</v>
      </c>
      <c r="P364" s="1" t="s">
        <v>149</v>
      </c>
      <c r="Q364" s="1" t="s">
        <v>150</v>
      </c>
      <c r="R364" t="str">
        <f t="shared" si="10"/>
        <v/>
      </c>
      <c r="S364" t="str">
        <f t="shared" si="11"/>
        <v/>
      </c>
    </row>
    <row r="365" spans="1:19" x14ac:dyDescent="0.25">
      <c r="A365" s="1" t="s">
        <v>448</v>
      </c>
      <c r="B365" s="5" t="s">
        <v>448</v>
      </c>
      <c r="C365" s="1" t="s">
        <v>448</v>
      </c>
      <c r="D365" s="1" t="s">
        <v>448</v>
      </c>
      <c r="E365" s="1" t="s">
        <v>448</v>
      </c>
      <c r="F365" s="1" t="s">
        <v>448</v>
      </c>
      <c r="G365" s="1" t="s">
        <v>448</v>
      </c>
      <c r="H365" s="1" t="s">
        <v>448</v>
      </c>
      <c r="I365" s="1" t="s">
        <v>448</v>
      </c>
      <c r="J365" s="1" t="s">
        <v>448</v>
      </c>
      <c r="K365" s="1" t="s">
        <v>448</v>
      </c>
      <c r="L365" s="1" t="s">
        <v>448</v>
      </c>
      <c r="M365" s="1" t="s">
        <v>448</v>
      </c>
      <c r="N365" s="1" t="s">
        <v>448</v>
      </c>
      <c r="O365" s="1">
        <v>20064</v>
      </c>
      <c r="P365" s="1" t="s">
        <v>149</v>
      </c>
      <c r="Q365" s="1" t="s">
        <v>150</v>
      </c>
      <c r="R365" t="str">
        <f t="shared" si="10"/>
        <v/>
      </c>
      <c r="S365" t="str">
        <f t="shared" si="11"/>
        <v/>
      </c>
    </row>
    <row r="366" spans="1:19" x14ac:dyDescent="0.25">
      <c r="A366" s="1" t="s">
        <v>448</v>
      </c>
      <c r="B366" s="5" t="s">
        <v>448</v>
      </c>
      <c r="C366" s="1" t="s">
        <v>448</v>
      </c>
      <c r="D366" s="1" t="s">
        <v>448</v>
      </c>
      <c r="E366" s="1" t="s">
        <v>448</v>
      </c>
      <c r="F366" s="1" t="s">
        <v>448</v>
      </c>
      <c r="G366" s="1" t="s">
        <v>448</v>
      </c>
      <c r="H366" s="1" t="s">
        <v>448</v>
      </c>
      <c r="I366" s="1" t="s">
        <v>448</v>
      </c>
      <c r="J366" s="1" t="s">
        <v>448</v>
      </c>
      <c r="K366" s="1" t="s">
        <v>448</v>
      </c>
      <c r="L366" s="1" t="s">
        <v>448</v>
      </c>
      <c r="M366" s="1" t="s">
        <v>448</v>
      </c>
      <c r="N366" s="1" t="s">
        <v>448</v>
      </c>
      <c r="O366" s="1">
        <v>20064</v>
      </c>
      <c r="P366" s="1" t="s">
        <v>149</v>
      </c>
      <c r="Q366" s="1" t="s">
        <v>150</v>
      </c>
      <c r="R366" t="str">
        <f t="shared" si="10"/>
        <v/>
      </c>
      <c r="S366" t="str">
        <f t="shared" si="11"/>
        <v/>
      </c>
    </row>
    <row r="367" spans="1:19" x14ac:dyDescent="0.25">
      <c r="A367" s="1" t="s">
        <v>448</v>
      </c>
      <c r="B367" s="5" t="s">
        <v>448</v>
      </c>
      <c r="C367" s="1" t="s">
        <v>448</v>
      </c>
      <c r="D367" s="1" t="s">
        <v>448</v>
      </c>
      <c r="E367" s="1" t="s">
        <v>448</v>
      </c>
      <c r="F367" s="1" t="s">
        <v>448</v>
      </c>
      <c r="G367" s="1" t="s">
        <v>448</v>
      </c>
      <c r="H367" s="1" t="s">
        <v>448</v>
      </c>
      <c r="I367" s="1" t="s">
        <v>448</v>
      </c>
      <c r="J367" s="1" t="s">
        <v>448</v>
      </c>
      <c r="K367" s="1" t="s">
        <v>448</v>
      </c>
      <c r="L367" s="1" t="s">
        <v>448</v>
      </c>
      <c r="M367" s="1" t="s">
        <v>448</v>
      </c>
      <c r="N367" s="1" t="s">
        <v>448</v>
      </c>
      <c r="O367" s="1">
        <v>20064</v>
      </c>
      <c r="P367" s="1" t="s">
        <v>149</v>
      </c>
      <c r="Q367" s="1" t="s">
        <v>150</v>
      </c>
      <c r="R367" t="str">
        <f t="shared" si="10"/>
        <v/>
      </c>
      <c r="S367" t="str">
        <f t="shared" si="11"/>
        <v/>
      </c>
    </row>
    <row r="368" spans="1:19" x14ac:dyDescent="0.25">
      <c r="A368" s="1" t="s">
        <v>448</v>
      </c>
      <c r="B368" s="5" t="s">
        <v>448</v>
      </c>
      <c r="C368" s="1" t="s">
        <v>448</v>
      </c>
      <c r="D368" s="1" t="s">
        <v>448</v>
      </c>
      <c r="E368" s="1" t="s">
        <v>448</v>
      </c>
      <c r="F368" s="1" t="s">
        <v>448</v>
      </c>
      <c r="G368" s="1" t="s">
        <v>448</v>
      </c>
      <c r="H368" s="1" t="s">
        <v>448</v>
      </c>
      <c r="I368" s="1" t="s">
        <v>448</v>
      </c>
      <c r="J368" s="1" t="s">
        <v>448</v>
      </c>
      <c r="K368" s="1" t="s">
        <v>448</v>
      </c>
      <c r="L368" s="1" t="s">
        <v>448</v>
      </c>
      <c r="M368" s="1" t="s">
        <v>448</v>
      </c>
      <c r="N368" s="1" t="s">
        <v>448</v>
      </c>
      <c r="O368" s="1">
        <v>20064</v>
      </c>
      <c r="P368" s="1" t="s">
        <v>149</v>
      </c>
      <c r="Q368" s="1" t="s">
        <v>150</v>
      </c>
      <c r="R368" t="str">
        <f t="shared" si="10"/>
        <v/>
      </c>
      <c r="S368" t="str">
        <f t="shared" si="11"/>
        <v/>
      </c>
    </row>
    <row r="369" spans="1:19" x14ac:dyDescent="0.25">
      <c r="A369" s="1" t="s">
        <v>448</v>
      </c>
      <c r="B369" s="5" t="s">
        <v>448</v>
      </c>
      <c r="C369" s="1" t="s">
        <v>448</v>
      </c>
      <c r="D369" s="1" t="s">
        <v>448</v>
      </c>
      <c r="E369" s="1" t="s">
        <v>448</v>
      </c>
      <c r="F369" s="1" t="s">
        <v>448</v>
      </c>
      <c r="G369" s="1" t="s">
        <v>448</v>
      </c>
      <c r="H369" s="1" t="s">
        <v>448</v>
      </c>
      <c r="I369" s="1" t="s">
        <v>448</v>
      </c>
      <c r="J369" s="1" t="s">
        <v>448</v>
      </c>
      <c r="K369" s="1" t="s">
        <v>448</v>
      </c>
      <c r="L369" s="1" t="s">
        <v>448</v>
      </c>
      <c r="M369" s="1" t="s">
        <v>448</v>
      </c>
      <c r="N369" s="1" t="s">
        <v>448</v>
      </c>
      <c r="O369" s="1">
        <v>20064</v>
      </c>
      <c r="P369" s="1" t="s">
        <v>149</v>
      </c>
      <c r="Q369" s="1" t="s">
        <v>150</v>
      </c>
      <c r="R369" t="str">
        <f t="shared" si="10"/>
        <v/>
      </c>
      <c r="S369" t="str">
        <f t="shared" si="11"/>
        <v/>
      </c>
    </row>
    <row r="370" spans="1:19" x14ac:dyDescent="0.25">
      <c r="A370" s="1" t="s">
        <v>448</v>
      </c>
      <c r="B370" s="5" t="s">
        <v>448</v>
      </c>
      <c r="C370" s="1" t="s">
        <v>448</v>
      </c>
      <c r="D370" s="1" t="s">
        <v>448</v>
      </c>
      <c r="E370" s="1" t="s">
        <v>448</v>
      </c>
      <c r="F370" s="1" t="s">
        <v>448</v>
      </c>
      <c r="G370" s="1" t="s">
        <v>448</v>
      </c>
      <c r="H370" s="1" t="s">
        <v>448</v>
      </c>
      <c r="I370" s="1" t="s">
        <v>448</v>
      </c>
      <c r="J370" s="1" t="s">
        <v>448</v>
      </c>
      <c r="K370" s="1" t="s">
        <v>448</v>
      </c>
      <c r="L370" s="1" t="s">
        <v>448</v>
      </c>
      <c r="M370" s="1" t="s">
        <v>448</v>
      </c>
      <c r="N370" s="1" t="s">
        <v>448</v>
      </c>
      <c r="O370" s="1">
        <v>20064</v>
      </c>
      <c r="P370" s="1" t="s">
        <v>149</v>
      </c>
      <c r="Q370" s="1" t="s">
        <v>150</v>
      </c>
      <c r="R370" t="str">
        <f t="shared" si="10"/>
        <v/>
      </c>
      <c r="S370" t="str">
        <f t="shared" si="11"/>
        <v/>
      </c>
    </row>
    <row r="371" spans="1:19" x14ac:dyDescent="0.25">
      <c r="A371" s="1" t="s">
        <v>448</v>
      </c>
      <c r="B371" s="5" t="s">
        <v>448</v>
      </c>
      <c r="C371" s="1" t="s">
        <v>448</v>
      </c>
      <c r="D371" s="1" t="s">
        <v>448</v>
      </c>
      <c r="E371" s="1" t="s">
        <v>448</v>
      </c>
      <c r="F371" s="1" t="s">
        <v>448</v>
      </c>
      <c r="G371" s="1" t="s">
        <v>448</v>
      </c>
      <c r="H371" s="1" t="s">
        <v>448</v>
      </c>
      <c r="I371" s="1" t="s">
        <v>448</v>
      </c>
      <c r="J371" s="1" t="s">
        <v>448</v>
      </c>
      <c r="K371" s="1" t="s">
        <v>448</v>
      </c>
      <c r="L371" s="1" t="s">
        <v>448</v>
      </c>
      <c r="M371" s="1" t="s">
        <v>448</v>
      </c>
      <c r="N371" s="1" t="s">
        <v>448</v>
      </c>
      <c r="O371" s="1">
        <v>20064</v>
      </c>
      <c r="P371" s="1" t="s">
        <v>149</v>
      </c>
      <c r="Q371" s="1" t="s">
        <v>150</v>
      </c>
      <c r="R371" t="str">
        <f t="shared" si="10"/>
        <v/>
      </c>
      <c r="S371" t="str">
        <f t="shared" si="11"/>
        <v/>
      </c>
    </row>
    <row r="372" spans="1:19" x14ac:dyDescent="0.25">
      <c r="A372" s="1" t="s">
        <v>448</v>
      </c>
      <c r="B372" s="5" t="s">
        <v>448</v>
      </c>
      <c r="C372" s="1" t="s">
        <v>448</v>
      </c>
      <c r="D372" s="1" t="s">
        <v>448</v>
      </c>
      <c r="E372" s="1" t="s">
        <v>448</v>
      </c>
      <c r="F372" s="1" t="s">
        <v>448</v>
      </c>
      <c r="G372" s="1" t="s">
        <v>448</v>
      </c>
      <c r="H372" s="1" t="s">
        <v>448</v>
      </c>
      <c r="I372" s="1" t="s">
        <v>448</v>
      </c>
      <c r="J372" s="1" t="s">
        <v>448</v>
      </c>
      <c r="K372" s="1" t="s">
        <v>448</v>
      </c>
      <c r="L372" s="1" t="s">
        <v>448</v>
      </c>
      <c r="M372" s="1" t="s">
        <v>448</v>
      </c>
      <c r="N372" s="1" t="s">
        <v>448</v>
      </c>
      <c r="O372" s="1">
        <v>20064</v>
      </c>
      <c r="P372" s="1" t="s">
        <v>149</v>
      </c>
      <c r="Q372" s="1" t="s">
        <v>150</v>
      </c>
      <c r="R372" t="str">
        <f t="shared" si="10"/>
        <v/>
      </c>
      <c r="S372" t="str">
        <f t="shared" si="11"/>
        <v/>
      </c>
    </row>
    <row r="373" spans="1:19" x14ac:dyDescent="0.25">
      <c r="A373" s="1" t="s">
        <v>448</v>
      </c>
      <c r="B373" s="5" t="s">
        <v>448</v>
      </c>
      <c r="C373" s="1" t="s">
        <v>448</v>
      </c>
      <c r="D373" s="1" t="s">
        <v>448</v>
      </c>
      <c r="E373" s="1" t="s">
        <v>448</v>
      </c>
      <c r="F373" s="1" t="s">
        <v>448</v>
      </c>
      <c r="G373" s="1" t="s">
        <v>448</v>
      </c>
      <c r="H373" s="1" t="s">
        <v>448</v>
      </c>
      <c r="I373" s="1" t="s">
        <v>448</v>
      </c>
      <c r="J373" s="1" t="s">
        <v>448</v>
      </c>
      <c r="K373" s="1" t="s">
        <v>448</v>
      </c>
      <c r="L373" s="1" t="s">
        <v>448</v>
      </c>
      <c r="M373" s="1" t="s">
        <v>448</v>
      </c>
      <c r="N373" s="1" t="s">
        <v>448</v>
      </c>
      <c r="O373" s="1">
        <v>20064</v>
      </c>
      <c r="P373" s="1" t="s">
        <v>149</v>
      </c>
      <c r="Q373" s="1" t="s">
        <v>150</v>
      </c>
      <c r="R373" t="str">
        <f t="shared" si="10"/>
        <v/>
      </c>
      <c r="S373" t="str">
        <f t="shared" si="11"/>
        <v/>
      </c>
    </row>
    <row r="374" spans="1:19" x14ac:dyDescent="0.25">
      <c r="A374" s="1" t="s">
        <v>448</v>
      </c>
      <c r="B374" s="5" t="s">
        <v>448</v>
      </c>
      <c r="C374" s="1" t="s">
        <v>448</v>
      </c>
      <c r="D374" s="1" t="s">
        <v>448</v>
      </c>
      <c r="E374" s="1" t="s">
        <v>448</v>
      </c>
      <c r="F374" s="1" t="s">
        <v>448</v>
      </c>
      <c r="G374" s="1" t="s">
        <v>448</v>
      </c>
      <c r="H374" s="1" t="s">
        <v>448</v>
      </c>
      <c r="I374" s="1" t="s">
        <v>448</v>
      </c>
      <c r="J374" s="1" t="s">
        <v>448</v>
      </c>
      <c r="K374" s="1" t="s">
        <v>448</v>
      </c>
      <c r="L374" s="1" t="s">
        <v>448</v>
      </c>
      <c r="M374" s="1" t="s">
        <v>448</v>
      </c>
      <c r="N374" s="1" t="s">
        <v>448</v>
      </c>
      <c r="O374" s="1">
        <v>20064</v>
      </c>
      <c r="P374" s="1" t="s">
        <v>149</v>
      </c>
      <c r="Q374" s="1" t="s">
        <v>150</v>
      </c>
      <c r="R374" t="str">
        <f t="shared" si="10"/>
        <v/>
      </c>
      <c r="S374" t="str">
        <f t="shared" si="11"/>
        <v/>
      </c>
    </row>
    <row r="375" spans="1:19" x14ac:dyDescent="0.25">
      <c r="A375" s="1" t="s">
        <v>448</v>
      </c>
      <c r="B375" s="5" t="s">
        <v>448</v>
      </c>
      <c r="C375" s="1" t="s">
        <v>448</v>
      </c>
      <c r="D375" s="1" t="s">
        <v>448</v>
      </c>
      <c r="E375" s="1" t="s">
        <v>448</v>
      </c>
      <c r="F375" s="1" t="s">
        <v>448</v>
      </c>
      <c r="G375" s="1" t="s">
        <v>448</v>
      </c>
      <c r="H375" s="1" t="s">
        <v>448</v>
      </c>
      <c r="I375" s="1" t="s">
        <v>448</v>
      </c>
      <c r="J375" s="1" t="s">
        <v>448</v>
      </c>
      <c r="K375" s="1" t="s">
        <v>448</v>
      </c>
      <c r="L375" s="1" t="s">
        <v>448</v>
      </c>
      <c r="M375" s="1" t="s">
        <v>448</v>
      </c>
      <c r="N375" s="1" t="s">
        <v>448</v>
      </c>
      <c r="O375" s="1">
        <v>20064</v>
      </c>
      <c r="P375" s="1" t="s">
        <v>149</v>
      </c>
      <c r="Q375" s="1" t="s">
        <v>150</v>
      </c>
      <c r="R375" t="str">
        <f t="shared" si="10"/>
        <v/>
      </c>
      <c r="S375" t="str">
        <f t="shared" si="11"/>
        <v/>
      </c>
    </row>
    <row r="376" spans="1:19" x14ac:dyDescent="0.25">
      <c r="A376" s="1" t="s">
        <v>448</v>
      </c>
      <c r="B376" s="5" t="s">
        <v>448</v>
      </c>
      <c r="C376" s="1" t="s">
        <v>448</v>
      </c>
      <c r="D376" s="1" t="s">
        <v>448</v>
      </c>
      <c r="E376" s="1" t="s">
        <v>448</v>
      </c>
      <c r="F376" s="1" t="s">
        <v>448</v>
      </c>
      <c r="G376" s="1" t="s">
        <v>448</v>
      </c>
      <c r="H376" s="1" t="s">
        <v>448</v>
      </c>
      <c r="I376" s="1" t="s">
        <v>448</v>
      </c>
      <c r="J376" s="1" t="s">
        <v>448</v>
      </c>
      <c r="K376" s="1" t="s">
        <v>448</v>
      </c>
      <c r="L376" s="1" t="s">
        <v>448</v>
      </c>
      <c r="M376" s="1" t="s">
        <v>448</v>
      </c>
      <c r="N376" s="1" t="s">
        <v>448</v>
      </c>
      <c r="O376" s="1">
        <v>20064</v>
      </c>
      <c r="P376" s="1" t="s">
        <v>149</v>
      </c>
      <c r="Q376" s="1" t="s">
        <v>150</v>
      </c>
      <c r="R376" t="str">
        <f t="shared" si="10"/>
        <v/>
      </c>
      <c r="S376" t="str">
        <f t="shared" si="11"/>
        <v/>
      </c>
    </row>
    <row r="377" spans="1:19" x14ac:dyDescent="0.25">
      <c r="A377" s="1" t="s">
        <v>448</v>
      </c>
      <c r="B377" s="5" t="s">
        <v>448</v>
      </c>
      <c r="C377" s="1" t="s">
        <v>448</v>
      </c>
      <c r="D377" s="1" t="s">
        <v>448</v>
      </c>
      <c r="E377" s="1" t="s">
        <v>448</v>
      </c>
      <c r="F377" s="1" t="s">
        <v>448</v>
      </c>
      <c r="G377" s="1" t="s">
        <v>448</v>
      </c>
      <c r="H377" s="1" t="s">
        <v>448</v>
      </c>
      <c r="I377" s="1" t="s">
        <v>448</v>
      </c>
      <c r="J377" s="1" t="s">
        <v>448</v>
      </c>
      <c r="K377" s="1" t="s">
        <v>448</v>
      </c>
      <c r="L377" s="1" t="s">
        <v>448</v>
      </c>
      <c r="M377" s="1" t="s">
        <v>448</v>
      </c>
      <c r="N377" s="1" t="s">
        <v>448</v>
      </c>
      <c r="O377" s="1">
        <v>20064</v>
      </c>
      <c r="P377" s="1" t="s">
        <v>149</v>
      </c>
      <c r="Q377" s="1" t="s">
        <v>150</v>
      </c>
      <c r="R377" t="str">
        <f t="shared" si="10"/>
        <v/>
      </c>
      <c r="S377" t="str">
        <f t="shared" si="11"/>
        <v/>
      </c>
    </row>
    <row r="378" spans="1:19" x14ac:dyDescent="0.25">
      <c r="A378" s="1" t="s">
        <v>448</v>
      </c>
      <c r="B378" s="5" t="s">
        <v>448</v>
      </c>
      <c r="C378" s="1" t="s">
        <v>448</v>
      </c>
      <c r="D378" s="1" t="s">
        <v>448</v>
      </c>
      <c r="E378" s="1" t="s">
        <v>448</v>
      </c>
      <c r="F378" s="1" t="s">
        <v>448</v>
      </c>
      <c r="G378" s="1" t="s">
        <v>448</v>
      </c>
      <c r="H378" s="1" t="s">
        <v>448</v>
      </c>
      <c r="I378" s="1" t="s">
        <v>448</v>
      </c>
      <c r="J378" s="1" t="s">
        <v>448</v>
      </c>
      <c r="K378" s="1" t="s">
        <v>448</v>
      </c>
      <c r="L378" s="1" t="s">
        <v>448</v>
      </c>
      <c r="M378" s="1" t="s">
        <v>448</v>
      </c>
      <c r="N378" s="1" t="s">
        <v>448</v>
      </c>
      <c r="O378" s="1">
        <v>20064</v>
      </c>
      <c r="P378" s="1" t="s">
        <v>149</v>
      </c>
      <c r="Q378" s="1" t="s">
        <v>150</v>
      </c>
      <c r="R378" t="str">
        <f t="shared" si="10"/>
        <v/>
      </c>
      <c r="S378" t="str">
        <f t="shared" si="11"/>
        <v/>
      </c>
    </row>
    <row r="379" spans="1:19" x14ac:dyDescent="0.25">
      <c r="A379" s="1" t="s">
        <v>448</v>
      </c>
      <c r="B379" s="5" t="s">
        <v>448</v>
      </c>
      <c r="C379" s="1" t="s">
        <v>448</v>
      </c>
      <c r="D379" s="1" t="s">
        <v>448</v>
      </c>
      <c r="E379" s="1" t="s">
        <v>448</v>
      </c>
      <c r="F379" s="1" t="s">
        <v>448</v>
      </c>
      <c r="G379" s="1" t="s">
        <v>448</v>
      </c>
      <c r="H379" s="1" t="s">
        <v>448</v>
      </c>
      <c r="I379" s="1" t="s">
        <v>448</v>
      </c>
      <c r="J379" s="1" t="s">
        <v>448</v>
      </c>
      <c r="K379" s="1" t="s">
        <v>448</v>
      </c>
      <c r="L379" s="1" t="s">
        <v>448</v>
      </c>
      <c r="M379" s="1" t="s">
        <v>448</v>
      </c>
      <c r="N379" s="1" t="s">
        <v>448</v>
      </c>
      <c r="O379" s="1">
        <v>20064</v>
      </c>
      <c r="P379" s="1" t="s">
        <v>149</v>
      </c>
      <c r="Q379" s="1" t="s">
        <v>150</v>
      </c>
      <c r="R379" t="str">
        <f t="shared" si="10"/>
        <v/>
      </c>
      <c r="S379" t="str">
        <f t="shared" si="11"/>
        <v/>
      </c>
    </row>
    <row r="380" spans="1:19" x14ac:dyDescent="0.25">
      <c r="A380" s="1" t="s">
        <v>448</v>
      </c>
      <c r="B380" s="5" t="s">
        <v>448</v>
      </c>
      <c r="C380" s="1" t="s">
        <v>448</v>
      </c>
      <c r="D380" s="1" t="s">
        <v>448</v>
      </c>
      <c r="E380" s="1" t="s">
        <v>448</v>
      </c>
      <c r="F380" s="1" t="s">
        <v>448</v>
      </c>
      <c r="G380" s="1" t="s">
        <v>448</v>
      </c>
      <c r="H380" s="1" t="s">
        <v>448</v>
      </c>
      <c r="I380" s="1" t="s">
        <v>448</v>
      </c>
      <c r="J380" s="1" t="s">
        <v>448</v>
      </c>
      <c r="K380" s="1" t="s">
        <v>448</v>
      </c>
      <c r="L380" s="1" t="s">
        <v>448</v>
      </c>
      <c r="M380" s="1" t="s">
        <v>448</v>
      </c>
      <c r="N380" s="1" t="s">
        <v>448</v>
      </c>
      <c r="O380" s="1">
        <v>20064</v>
      </c>
      <c r="P380" s="1" t="s">
        <v>149</v>
      </c>
      <c r="Q380" s="1" t="s">
        <v>150</v>
      </c>
      <c r="R380" t="str">
        <f t="shared" si="10"/>
        <v/>
      </c>
      <c r="S380" t="str">
        <f t="shared" si="11"/>
        <v/>
      </c>
    </row>
    <row r="381" spans="1:19" x14ac:dyDescent="0.25">
      <c r="A381" s="1" t="s">
        <v>448</v>
      </c>
      <c r="B381" s="5" t="s">
        <v>448</v>
      </c>
      <c r="C381" s="1" t="s">
        <v>448</v>
      </c>
      <c r="D381" s="1" t="s">
        <v>448</v>
      </c>
      <c r="E381" s="1" t="s">
        <v>448</v>
      </c>
      <c r="F381" s="1" t="s">
        <v>448</v>
      </c>
      <c r="G381" s="1" t="s">
        <v>448</v>
      </c>
      <c r="H381" s="1" t="s">
        <v>448</v>
      </c>
      <c r="I381" s="1" t="s">
        <v>448</v>
      </c>
      <c r="J381" s="1" t="s">
        <v>448</v>
      </c>
      <c r="K381" s="1" t="s">
        <v>448</v>
      </c>
      <c r="L381" s="1" t="s">
        <v>448</v>
      </c>
      <c r="M381" s="1" t="s">
        <v>448</v>
      </c>
      <c r="N381" s="1" t="s">
        <v>448</v>
      </c>
      <c r="O381" s="1">
        <v>20064</v>
      </c>
      <c r="P381" s="1" t="s">
        <v>149</v>
      </c>
      <c r="Q381" s="1" t="s">
        <v>150</v>
      </c>
      <c r="R381" t="str">
        <f t="shared" si="10"/>
        <v/>
      </c>
      <c r="S381" t="str">
        <f t="shared" si="11"/>
        <v/>
      </c>
    </row>
    <row r="382" spans="1:19" x14ac:dyDescent="0.25">
      <c r="A382" s="1" t="s">
        <v>448</v>
      </c>
      <c r="B382" s="5" t="s">
        <v>448</v>
      </c>
      <c r="C382" s="1" t="s">
        <v>448</v>
      </c>
      <c r="D382" s="1" t="s">
        <v>448</v>
      </c>
      <c r="E382" s="1" t="s">
        <v>448</v>
      </c>
      <c r="F382" s="1" t="s">
        <v>448</v>
      </c>
      <c r="G382" s="1" t="s">
        <v>448</v>
      </c>
      <c r="H382" s="1" t="s">
        <v>448</v>
      </c>
      <c r="I382" s="1" t="s">
        <v>448</v>
      </c>
      <c r="J382" s="1" t="s">
        <v>448</v>
      </c>
      <c r="K382" s="1" t="s">
        <v>448</v>
      </c>
      <c r="L382" s="1" t="s">
        <v>448</v>
      </c>
      <c r="M382" s="1" t="s">
        <v>448</v>
      </c>
      <c r="N382" s="1" t="s">
        <v>448</v>
      </c>
      <c r="O382" s="1">
        <v>20064</v>
      </c>
      <c r="P382" s="1" t="s">
        <v>149</v>
      </c>
      <c r="Q382" s="1" t="s">
        <v>150</v>
      </c>
      <c r="R382" t="str">
        <f t="shared" si="10"/>
        <v/>
      </c>
      <c r="S382" t="str">
        <f t="shared" si="11"/>
        <v/>
      </c>
    </row>
    <row r="383" spans="1:19" x14ac:dyDescent="0.25">
      <c r="A383" s="1" t="s">
        <v>448</v>
      </c>
      <c r="B383" s="5" t="s">
        <v>448</v>
      </c>
      <c r="C383" s="1" t="s">
        <v>448</v>
      </c>
      <c r="D383" s="1" t="s">
        <v>448</v>
      </c>
      <c r="E383" s="1" t="s">
        <v>448</v>
      </c>
      <c r="F383" s="1" t="s">
        <v>448</v>
      </c>
      <c r="G383" s="1" t="s">
        <v>448</v>
      </c>
      <c r="H383" s="1" t="s">
        <v>448</v>
      </c>
      <c r="I383" s="1" t="s">
        <v>448</v>
      </c>
      <c r="J383" s="1" t="s">
        <v>448</v>
      </c>
      <c r="K383" s="1" t="s">
        <v>448</v>
      </c>
      <c r="L383" s="1" t="s">
        <v>448</v>
      </c>
      <c r="M383" s="1" t="s">
        <v>448</v>
      </c>
      <c r="N383" s="1" t="s">
        <v>448</v>
      </c>
      <c r="O383" s="1">
        <v>20064</v>
      </c>
      <c r="P383" s="1" t="s">
        <v>149</v>
      </c>
      <c r="Q383" s="1" t="s">
        <v>150</v>
      </c>
      <c r="R383" t="str">
        <f t="shared" si="10"/>
        <v/>
      </c>
      <c r="S383" t="str">
        <f t="shared" si="11"/>
        <v/>
      </c>
    </row>
    <row r="384" spans="1:19" x14ac:dyDescent="0.25">
      <c r="A384" s="1" t="s">
        <v>448</v>
      </c>
      <c r="B384" s="5" t="s">
        <v>448</v>
      </c>
      <c r="C384" s="1" t="s">
        <v>448</v>
      </c>
      <c r="D384" s="1" t="s">
        <v>448</v>
      </c>
      <c r="E384" s="1" t="s">
        <v>448</v>
      </c>
      <c r="F384" s="1" t="s">
        <v>448</v>
      </c>
      <c r="G384" s="1" t="s">
        <v>448</v>
      </c>
      <c r="H384" s="1" t="s">
        <v>448</v>
      </c>
      <c r="I384" s="1" t="s">
        <v>448</v>
      </c>
      <c r="J384" s="1" t="s">
        <v>448</v>
      </c>
      <c r="K384" s="1" t="s">
        <v>448</v>
      </c>
      <c r="L384" s="1" t="s">
        <v>448</v>
      </c>
      <c r="M384" s="1" t="s">
        <v>448</v>
      </c>
      <c r="N384" s="1" t="s">
        <v>448</v>
      </c>
      <c r="O384" s="1">
        <v>20064</v>
      </c>
      <c r="P384" s="1" t="s">
        <v>149</v>
      </c>
      <c r="Q384" s="1" t="s">
        <v>150</v>
      </c>
      <c r="R384" t="str">
        <f t="shared" si="10"/>
        <v/>
      </c>
      <c r="S384" t="str">
        <f t="shared" si="11"/>
        <v/>
      </c>
    </row>
    <row r="385" spans="1:19" x14ac:dyDescent="0.25">
      <c r="A385" s="1" t="s">
        <v>448</v>
      </c>
      <c r="B385" s="5" t="s">
        <v>448</v>
      </c>
      <c r="C385" s="1" t="s">
        <v>448</v>
      </c>
      <c r="D385" s="1" t="s">
        <v>448</v>
      </c>
      <c r="E385" s="1" t="s">
        <v>448</v>
      </c>
      <c r="F385" s="1" t="s">
        <v>448</v>
      </c>
      <c r="G385" s="1" t="s">
        <v>448</v>
      </c>
      <c r="H385" s="1" t="s">
        <v>448</v>
      </c>
      <c r="I385" s="1" t="s">
        <v>448</v>
      </c>
      <c r="J385" s="1" t="s">
        <v>448</v>
      </c>
      <c r="K385" s="1" t="s">
        <v>448</v>
      </c>
      <c r="L385" s="1" t="s">
        <v>448</v>
      </c>
      <c r="M385" s="1" t="s">
        <v>448</v>
      </c>
      <c r="N385" s="1" t="s">
        <v>448</v>
      </c>
      <c r="O385" s="1">
        <v>20064</v>
      </c>
      <c r="P385" s="1" t="s">
        <v>149</v>
      </c>
      <c r="Q385" s="1" t="s">
        <v>150</v>
      </c>
      <c r="R385" t="str">
        <f t="shared" si="10"/>
        <v/>
      </c>
      <c r="S385" t="str">
        <f t="shared" si="11"/>
        <v/>
      </c>
    </row>
    <row r="386" spans="1:19" x14ac:dyDescent="0.25">
      <c r="A386" s="1" t="s">
        <v>448</v>
      </c>
      <c r="B386" s="5" t="s">
        <v>448</v>
      </c>
      <c r="C386" s="1" t="s">
        <v>448</v>
      </c>
      <c r="D386" s="1" t="s">
        <v>448</v>
      </c>
      <c r="E386" s="1" t="s">
        <v>448</v>
      </c>
      <c r="F386" s="1" t="s">
        <v>448</v>
      </c>
      <c r="G386" s="1" t="s">
        <v>448</v>
      </c>
      <c r="H386" s="1" t="s">
        <v>448</v>
      </c>
      <c r="I386" s="1" t="s">
        <v>448</v>
      </c>
      <c r="J386" s="1" t="s">
        <v>448</v>
      </c>
      <c r="K386" s="1" t="s">
        <v>448</v>
      </c>
      <c r="L386" s="1" t="s">
        <v>448</v>
      </c>
      <c r="M386" s="1" t="s">
        <v>448</v>
      </c>
      <c r="N386" s="1" t="s">
        <v>448</v>
      </c>
      <c r="O386" s="1">
        <v>20064</v>
      </c>
      <c r="P386" s="1" t="s">
        <v>149</v>
      </c>
      <c r="Q386" s="1" t="s">
        <v>150</v>
      </c>
      <c r="R386" t="str">
        <f t="shared" ref="R386:R449" si="12">IF(ISNUMBER(B386),INT(B386*24),"")</f>
        <v/>
      </c>
      <c r="S386" t="str">
        <f t="shared" ref="S386:S449" si="13">IF(ISNUMBER(B386),ROUND((B386*24-R386)*60,0),"")</f>
        <v/>
      </c>
    </row>
    <row r="387" spans="1:19" x14ac:dyDescent="0.25">
      <c r="A387" s="1" t="s">
        <v>448</v>
      </c>
      <c r="B387" s="5" t="s">
        <v>448</v>
      </c>
      <c r="C387" s="1" t="s">
        <v>448</v>
      </c>
      <c r="D387" s="1" t="s">
        <v>448</v>
      </c>
      <c r="E387" s="1" t="s">
        <v>448</v>
      </c>
      <c r="F387" s="1" t="s">
        <v>448</v>
      </c>
      <c r="G387" s="1" t="s">
        <v>448</v>
      </c>
      <c r="H387" s="1" t="s">
        <v>448</v>
      </c>
      <c r="I387" s="1" t="s">
        <v>448</v>
      </c>
      <c r="J387" s="1" t="s">
        <v>448</v>
      </c>
      <c r="K387" s="1" t="s">
        <v>448</v>
      </c>
      <c r="L387" s="1" t="s">
        <v>448</v>
      </c>
      <c r="M387" s="1" t="s">
        <v>448</v>
      </c>
      <c r="N387" s="1" t="s">
        <v>448</v>
      </c>
      <c r="O387" s="1">
        <v>20064</v>
      </c>
      <c r="P387" s="1" t="s">
        <v>149</v>
      </c>
      <c r="Q387" s="1" t="s">
        <v>150</v>
      </c>
      <c r="R387" t="str">
        <f t="shared" si="12"/>
        <v/>
      </c>
      <c r="S387" t="str">
        <f t="shared" si="13"/>
        <v/>
      </c>
    </row>
    <row r="388" spans="1:19" x14ac:dyDescent="0.25">
      <c r="A388" s="1" t="s">
        <v>448</v>
      </c>
      <c r="B388" s="5" t="s">
        <v>448</v>
      </c>
      <c r="C388" s="1" t="s">
        <v>448</v>
      </c>
      <c r="D388" s="1" t="s">
        <v>448</v>
      </c>
      <c r="E388" s="1" t="s">
        <v>448</v>
      </c>
      <c r="F388" s="1" t="s">
        <v>448</v>
      </c>
      <c r="G388" s="1" t="s">
        <v>448</v>
      </c>
      <c r="H388" s="1" t="s">
        <v>448</v>
      </c>
      <c r="I388" s="1" t="s">
        <v>448</v>
      </c>
      <c r="J388" s="1" t="s">
        <v>448</v>
      </c>
      <c r="K388" s="1" t="s">
        <v>448</v>
      </c>
      <c r="L388" s="1" t="s">
        <v>448</v>
      </c>
      <c r="M388" s="1" t="s">
        <v>448</v>
      </c>
      <c r="N388" s="1" t="s">
        <v>448</v>
      </c>
      <c r="O388" s="1">
        <v>20064</v>
      </c>
      <c r="P388" s="1" t="s">
        <v>149</v>
      </c>
      <c r="Q388" s="1" t="s">
        <v>150</v>
      </c>
      <c r="R388" t="str">
        <f t="shared" si="12"/>
        <v/>
      </c>
      <c r="S388" t="str">
        <f t="shared" si="13"/>
        <v/>
      </c>
    </row>
    <row r="389" spans="1:19" x14ac:dyDescent="0.25">
      <c r="A389" s="1" t="s">
        <v>448</v>
      </c>
      <c r="B389" s="5" t="s">
        <v>448</v>
      </c>
      <c r="C389" s="1" t="s">
        <v>448</v>
      </c>
      <c r="D389" s="1" t="s">
        <v>448</v>
      </c>
      <c r="E389" s="1" t="s">
        <v>448</v>
      </c>
      <c r="F389" s="1" t="s">
        <v>448</v>
      </c>
      <c r="G389" s="1" t="s">
        <v>448</v>
      </c>
      <c r="H389" s="1" t="s">
        <v>448</v>
      </c>
      <c r="I389" s="1" t="s">
        <v>448</v>
      </c>
      <c r="J389" s="1" t="s">
        <v>448</v>
      </c>
      <c r="K389" s="1" t="s">
        <v>448</v>
      </c>
      <c r="L389" s="1" t="s">
        <v>448</v>
      </c>
      <c r="M389" s="1" t="s">
        <v>448</v>
      </c>
      <c r="N389" s="1" t="s">
        <v>448</v>
      </c>
      <c r="O389" s="1">
        <v>20064</v>
      </c>
      <c r="P389" s="1" t="s">
        <v>149</v>
      </c>
      <c r="Q389" s="1" t="s">
        <v>150</v>
      </c>
      <c r="R389" t="str">
        <f t="shared" si="12"/>
        <v/>
      </c>
      <c r="S389" t="str">
        <f t="shared" si="13"/>
        <v/>
      </c>
    </row>
    <row r="390" spans="1:19" x14ac:dyDescent="0.25">
      <c r="A390" s="1" t="s">
        <v>448</v>
      </c>
      <c r="B390" s="5" t="s">
        <v>448</v>
      </c>
      <c r="C390" s="1" t="s">
        <v>448</v>
      </c>
      <c r="D390" s="1" t="s">
        <v>448</v>
      </c>
      <c r="E390" s="1" t="s">
        <v>448</v>
      </c>
      <c r="F390" s="1" t="s">
        <v>448</v>
      </c>
      <c r="G390" s="1" t="s">
        <v>448</v>
      </c>
      <c r="H390" s="1" t="s">
        <v>448</v>
      </c>
      <c r="I390" s="1" t="s">
        <v>448</v>
      </c>
      <c r="J390" s="1" t="s">
        <v>448</v>
      </c>
      <c r="K390" s="1" t="s">
        <v>448</v>
      </c>
      <c r="L390" s="1" t="s">
        <v>448</v>
      </c>
      <c r="M390" s="1" t="s">
        <v>448</v>
      </c>
      <c r="N390" s="1" t="s">
        <v>448</v>
      </c>
      <c r="O390" s="1">
        <v>20064</v>
      </c>
      <c r="P390" s="1" t="s">
        <v>149</v>
      </c>
      <c r="Q390" s="1" t="s">
        <v>150</v>
      </c>
      <c r="R390" t="str">
        <f t="shared" si="12"/>
        <v/>
      </c>
      <c r="S390" t="str">
        <f t="shared" si="13"/>
        <v/>
      </c>
    </row>
    <row r="391" spans="1:19" x14ac:dyDescent="0.25">
      <c r="A391" s="1" t="s">
        <v>448</v>
      </c>
      <c r="B391" s="5" t="s">
        <v>448</v>
      </c>
      <c r="C391" s="1" t="s">
        <v>448</v>
      </c>
      <c r="D391" s="1" t="s">
        <v>448</v>
      </c>
      <c r="E391" s="1" t="s">
        <v>448</v>
      </c>
      <c r="F391" s="1" t="s">
        <v>448</v>
      </c>
      <c r="G391" s="1" t="s">
        <v>448</v>
      </c>
      <c r="H391" s="1" t="s">
        <v>448</v>
      </c>
      <c r="I391" s="1" t="s">
        <v>448</v>
      </c>
      <c r="J391" s="1" t="s">
        <v>448</v>
      </c>
      <c r="K391" s="1" t="s">
        <v>448</v>
      </c>
      <c r="L391" s="1" t="s">
        <v>448</v>
      </c>
      <c r="M391" s="1" t="s">
        <v>448</v>
      </c>
      <c r="N391" s="1" t="s">
        <v>448</v>
      </c>
      <c r="O391" s="1">
        <v>20064</v>
      </c>
      <c r="P391" s="1" t="s">
        <v>149</v>
      </c>
      <c r="Q391" s="1" t="s">
        <v>150</v>
      </c>
      <c r="R391" t="str">
        <f t="shared" si="12"/>
        <v/>
      </c>
      <c r="S391" t="str">
        <f t="shared" si="13"/>
        <v/>
      </c>
    </row>
    <row r="392" spans="1:19" x14ac:dyDescent="0.25">
      <c r="A392" s="1" t="s">
        <v>448</v>
      </c>
      <c r="B392" s="5" t="s">
        <v>448</v>
      </c>
      <c r="C392" s="1" t="s">
        <v>448</v>
      </c>
      <c r="D392" s="1" t="s">
        <v>448</v>
      </c>
      <c r="E392" s="1" t="s">
        <v>448</v>
      </c>
      <c r="F392" s="1" t="s">
        <v>448</v>
      </c>
      <c r="G392" s="1" t="s">
        <v>448</v>
      </c>
      <c r="H392" s="1" t="s">
        <v>448</v>
      </c>
      <c r="I392" s="1" t="s">
        <v>448</v>
      </c>
      <c r="J392" s="1" t="s">
        <v>448</v>
      </c>
      <c r="K392" s="1" t="s">
        <v>448</v>
      </c>
      <c r="L392" s="1" t="s">
        <v>448</v>
      </c>
      <c r="M392" s="1" t="s">
        <v>448</v>
      </c>
      <c r="N392" s="1" t="s">
        <v>448</v>
      </c>
      <c r="O392" s="1">
        <v>20064</v>
      </c>
      <c r="P392" s="1" t="s">
        <v>149</v>
      </c>
      <c r="Q392" s="1" t="s">
        <v>150</v>
      </c>
      <c r="R392" t="str">
        <f t="shared" si="12"/>
        <v/>
      </c>
      <c r="S392" t="str">
        <f t="shared" si="13"/>
        <v/>
      </c>
    </row>
    <row r="393" spans="1:19" x14ac:dyDescent="0.25">
      <c r="A393" s="1" t="s">
        <v>448</v>
      </c>
      <c r="B393" s="5" t="s">
        <v>448</v>
      </c>
      <c r="C393" s="1" t="s">
        <v>448</v>
      </c>
      <c r="D393" s="1" t="s">
        <v>448</v>
      </c>
      <c r="E393" s="1" t="s">
        <v>448</v>
      </c>
      <c r="F393" s="1" t="s">
        <v>448</v>
      </c>
      <c r="G393" s="1" t="s">
        <v>448</v>
      </c>
      <c r="H393" s="1" t="s">
        <v>448</v>
      </c>
      <c r="I393" s="1" t="s">
        <v>448</v>
      </c>
      <c r="J393" s="1" t="s">
        <v>448</v>
      </c>
      <c r="K393" s="1" t="s">
        <v>448</v>
      </c>
      <c r="L393" s="1" t="s">
        <v>448</v>
      </c>
      <c r="M393" s="1" t="s">
        <v>448</v>
      </c>
      <c r="N393" s="1" t="s">
        <v>448</v>
      </c>
      <c r="O393" s="1">
        <v>20064</v>
      </c>
      <c r="P393" s="1" t="s">
        <v>149</v>
      </c>
      <c r="Q393" s="1" t="s">
        <v>150</v>
      </c>
      <c r="R393" t="str">
        <f t="shared" si="12"/>
        <v/>
      </c>
      <c r="S393" t="str">
        <f t="shared" si="13"/>
        <v/>
      </c>
    </row>
    <row r="394" spans="1:19" x14ac:dyDescent="0.25">
      <c r="A394" s="1" t="s">
        <v>448</v>
      </c>
      <c r="B394" s="5" t="s">
        <v>448</v>
      </c>
      <c r="C394" s="1" t="s">
        <v>448</v>
      </c>
      <c r="D394" s="1" t="s">
        <v>448</v>
      </c>
      <c r="E394" s="1" t="s">
        <v>448</v>
      </c>
      <c r="F394" s="1" t="s">
        <v>448</v>
      </c>
      <c r="G394" s="1" t="s">
        <v>448</v>
      </c>
      <c r="H394" s="1" t="s">
        <v>448</v>
      </c>
      <c r="I394" s="1" t="s">
        <v>448</v>
      </c>
      <c r="J394" s="1" t="s">
        <v>448</v>
      </c>
      <c r="K394" s="1" t="s">
        <v>448</v>
      </c>
      <c r="L394" s="1" t="s">
        <v>448</v>
      </c>
      <c r="M394" s="1" t="s">
        <v>448</v>
      </c>
      <c r="N394" s="1" t="s">
        <v>448</v>
      </c>
      <c r="O394" s="1">
        <v>20064</v>
      </c>
      <c r="P394" s="1" t="s">
        <v>149</v>
      </c>
      <c r="Q394" s="1" t="s">
        <v>150</v>
      </c>
      <c r="R394" t="str">
        <f t="shared" si="12"/>
        <v/>
      </c>
      <c r="S394" t="str">
        <f t="shared" si="13"/>
        <v/>
      </c>
    </row>
    <row r="395" spans="1:19" x14ac:dyDescent="0.25">
      <c r="A395" s="1" t="s">
        <v>448</v>
      </c>
      <c r="B395" s="5" t="s">
        <v>448</v>
      </c>
      <c r="C395" s="1" t="s">
        <v>448</v>
      </c>
      <c r="D395" s="1" t="s">
        <v>448</v>
      </c>
      <c r="E395" s="1" t="s">
        <v>448</v>
      </c>
      <c r="F395" s="1" t="s">
        <v>448</v>
      </c>
      <c r="G395" s="1" t="s">
        <v>448</v>
      </c>
      <c r="H395" s="1" t="s">
        <v>448</v>
      </c>
      <c r="I395" s="1" t="s">
        <v>448</v>
      </c>
      <c r="J395" s="1" t="s">
        <v>448</v>
      </c>
      <c r="K395" s="1" t="s">
        <v>448</v>
      </c>
      <c r="L395" s="1" t="s">
        <v>448</v>
      </c>
      <c r="M395" s="1" t="s">
        <v>448</v>
      </c>
      <c r="N395" s="1" t="s">
        <v>448</v>
      </c>
      <c r="O395" s="1">
        <v>20064</v>
      </c>
      <c r="P395" s="1" t="s">
        <v>149</v>
      </c>
      <c r="Q395" s="1" t="s">
        <v>150</v>
      </c>
      <c r="R395" t="str">
        <f t="shared" si="12"/>
        <v/>
      </c>
      <c r="S395" t="str">
        <f t="shared" si="13"/>
        <v/>
      </c>
    </row>
    <row r="396" spans="1:19" x14ac:dyDescent="0.25">
      <c r="A396" s="1" t="s">
        <v>448</v>
      </c>
      <c r="B396" s="5" t="s">
        <v>448</v>
      </c>
      <c r="C396" s="1" t="s">
        <v>448</v>
      </c>
      <c r="D396" s="1" t="s">
        <v>448</v>
      </c>
      <c r="E396" s="1" t="s">
        <v>448</v>
      </c>
      <c r="F396" s="1" t="s">
        <v>448</v>
      </c>
      <c r="G396" s="1" t="s">
        <v>448</v>
      </c>
      <c r="H396" s="1" t="s">
        <v>448</v>
      </c>
      <c r="I396" s="1" t="s">
        <v>448</v>
      </c>
      <c r="J396" s="1" t="s">
        <v>448</v>
      </c>
      <c r="K396" s="1" t="s">
        <v>448</v>
      </c>
      <c r="L396" s="1" t="s">
        <v>448</v>
      </c>
      <c r="M396" s="1" t="s">
        <v>448</v>
      </c>
      <c r="N396" s="1" t="s">
        <v>448</v>
      </c>
      <c r="O396" s="1">
        <v>20064</v>
      </c>
      <c r="P396" s="1" t="s">
        <v>149</v>
      </c>
      <c r="Q396" s="1" t="s">
        <v>150</v>
      </c>
      <c r="R396" t="str">
        <f t="shared" si="12"/>
        <v/>
      </c>
      <c r="S396" t="str">
        <f t="shared" si="13"/>
        <v/>
      </c>
    </row>
    <row r="397" spans="1:19" x14ac:dyDescent="0.25">
      <c r="A397" s="1" t="s">
        <v>448</v>
      </c>
      <c r="B397" s="5" t="s">
        <v>448</v>
      </c>
      <c r="C397" s="1" t="s">
        <v>448</v>
      </c>
      <c r="D397" s="1" t="s">
        <v>448</v>
      </c>
      <c r="E397" s="1" t="s">
        <v>448</v>
      </c>
      <c r="F397" s="1" t="s">
        <v>448</v>
      </c>
      <c r="G397" s="1" t="s">
        <v>448</v>
      </c>
      <c r="H397" s="1" t="s">
        <v>448</v>
      </c>
      <c r="I397" s="1" t="s">
        <v>448</v>
      </c>
      <c r="J397" s="1" t="s">
        <v>448</v>
      </c>
      <c r="K397" s="1" t="s">
        <v>448</v>
      </c>
      <c r="L397" s="1" t="s">
        <v>448</v>
      </c>
      <c r="M397" s="1" t="s">
        <v>448</v>
      </c>
      <c r="N397" s="1" t="s">
        <v>448</v>
      </c>
      <c r="O397" s="1">
        <v>20064</v>
      </c>
      <c r="P397" s="1" t="s">
        <v>149</v>
      </c>
      <c r="Q397" s="1" t="s">
        <v>150</v>
      </c>
      <c r="R397" t="str">
        <f t="shared" si="12"/>
        <v/>
      </c>
      <c r="S397" t="str">
        <f t="shared" si="13"/>
        <v/>
      </c>
    </row>
    <row r="398" spans="1:19" x14ac:dyDescent="0.25">
      <c r="A398" s="1" t="s">
        <v>448</v>
      </c>
      <c r="B398" s="5" t="s">
        <v>448</v>
      </c>
      <c r="C398" s="1" t="s">
        <v>448</v>
      </c>
      <c r="D398" s="1" t="s">
        <v>448</v>
      </c>
      <c r="E398" s="1" t="s">
        <v>448</v>
      </c>
      <c r="F398" s="1" t="s">
        <v>448</v>
      </c>
      <c r="G398" s="1" t="s">
        <v>448</v>
      </c>
      <c r="H398" s="1" t="s">
        <v>448</v>
      </c>
      <c r="I398" s="1" t="s">
        <v>448</v>
      </c>
      <c r="J398" s="1" t="s">
        <v>448</v>
      </c>
      <c r="K398" s="1" t="s">
        <v>448</v>
      </c>
      <c r="L398" s="1" t="s">
        <v>448</v>
      </c>
      <c r="M398" s="1" t="s">
        <v>448</v>
      </c>
      <c r="N398" s="1" t="s">
        <v>448</v>
      </c>
      <c r="O398" s="1">
        <v>20064</v>
      </c>
      <c r="P398" s="1" t="s">
        <v>149</v>
      </c>
      <c r="Q398" s="1" t="s">
        <v>150</v>
      </c>
      <c r="R398" t="str">
        <f t="shared" si="12"/>
        <v/>
      </c>
      <c r="S398" t="str">
        <f t="shared" si="13"/>
        <v/>
      </c>
    </row>
    <row r="399" spans="1:19" x14ac:dyDescent="0.25">
      <c r="A399" s="1" t="s">
        <v>448</v>
      </c>
      <c r="B399" s="5" t="s">
        <v>448</v>
      </c>
      <c r="C399" s="1" t="s">
        <v>448</v>
      </c>
      <c r="D399" s="1" t="s">
        <v>448</v>
      </c>
      <c r="E399" s="1" t="s">
        <v>448</v>
      </c>
      <c r="F399" s="1" t="s">
        <v>448</v>
      </c>
      <c r="G399" s="1" t="s">
        <v>448</v>
      </c>
      <c r="H399" s="1" t="s">
        <v>448</v>
      </c>
      <c r="I399" s="1" t="s">
        <v>448</v>
      </c>
      <c r="J399" s="1" t="s">
        <v>448</v>
      </c>
      <c r="K399" s="1" t="s">
        <v>448</v>
      </c>
      <c r="L399" s="1" t="s">
        <v>448</v>
      </c>
      <c r="M399" s="1" t="s">
        <v>448</v>
      </c>
      <c r="N399" s="1" t="s">
        <v>448</v>
      </c>
      <c r="O399" s="1">
        <v>20064</v>
      </c>
      <c r="P399" s="1" t="s">
        <v>149</v>
      </c>
      <c r="Q399" s="1" t="s">
        <v>150</v>
      </c>
      <c r="R399" t="str">
        <f t="shared" si="12"/>
        <v/>
      </c>
      <c r="S399" t="str">
        <f t="shared" si="13"/>
        <v/>
      </c>
    </row>
    <row r="400" spans="1:19" x14ac:dyDescent="0.25">
      <c r="A400" s="1" t="s">
        <v>448</v>
      </c>
      <c r="B400" s="5" t="s">
        <v>448</v>
      </c>
      <c r="C400" s="1" t="s">
        <v>448</v>
      </c>
      <c r="D400" s="1" t="s">
        <v>448</v>
      </c>
      <c r="E400" s="1" t="s">
        <v>448</v>
      </c>
      <c r="F400" s="1" t="s">
        <v>448</v>
      </c>
      <c r="G400" s="1" t="s">
        <v>448</v>
      </c>
      <c r="H400" s="1" t="s">
        <v>448</v>
      </c>
      <c r="I400" s="1" t="s">
        <v>448</v>
      </c>
      <c r="J400" s="1" t="s">
        <v>448</v>
      </c>
      <c r="K400" s="1" t="s">
        <v>448</v>
      </c>
      <c r="L400" s="1" t="s">
        <v>448</v>
      </c>
      <c r="M400" s="1" t="s">
        <v>448</v>
      </c>
      <c r="N400" s="1" t="s">
        <v>448</v>
      </c>
      <c r="O400" s="1">
        <v>20064</v>
      </c>
      <c r="P400" s="1" t="s">
        <v>149</v>
      </c>
      <c r="Q400" s="1" t="s">
        <v>150</v>
      </c>
      <c r="R400" t="str">
        <f t="shared" si="12"/>
        <v/>
      </c>
      <c r="S400" t="str">
        <f t="shared" si="13"/>
        <v/>
      </c>
    </row>
    <row r="401" spans="1:19" x14ac:dyDescent="0.25">
      <c r="A401" s="1" t="s">
        <v>448</v>
      </c>
      <c r="B401" s="5" t="s">
        <v>448</v>
      </c>
      <c r="C401" s="1" t="s">
        <v>448</v>
      </c>
      <c r="D401" s="1" t="s">
        <v>448</v>
      </c>
      <c r="E401" s="1" t="s">
        <v>448</v>
      </c>
      <c r="F401" s="1" t="s">
        <v>448</v>
      </c>
      <c r="G401" s="1" t="s">
        <v>448</v>
      </c>
      <c r="H401" s="1" t="s">
        <v>448</v>
      </c>
      <c r="I401" s="1" t="s">
        <v>448</v>
      </c>
      <c r="J401" s="1" t="s">
        <v>448</v>
      </c>
      <c r="K401" s="1" t="s">
        <v>448</v>
      </c>
      <c r="L401" s="1" t="s">
        <v>448</v>
      </c>
      <c r="M401" s="1" t="s">
        <v>448</v>
      </c>
      <c r="N401" s="1" t="s">
        <v>448</v>
      </c>
      <c r="O401" s="1">
        <v>20064</v>
      </c>
      <c r="P401" s="1" t="s">
        <v>149</v>
      </c>
      <c r="Q401" s="1" t="s">
        <v>150</v>
      </c>
      <c r="R401" t="str">
        <f t="shared" si="12"/>
        <v/>
      </c>
      <c r="S401" t="str">
        <f t="shared" si="13"/>
        <v/>
      </c>
    </row>
    <row r="402" spans="1:19" x14ac:dyDescent="0.25">
      <c r="A402" s="1" t="s">
        <v>448</v>
      </c>
      <c r="B402" s="5" t="s">
        <v>448</v>
      </c>
      <c r="C402" s="1" t="s">
        <v>448</v>
      </c>
      <c r="D402" s="1" t="s">
        <v>448</v>
      </c>
      <c r="E402" s="1" t="s">
        <v>448</v>
      </c>
      <c r="F402" s="1" t="s">
        <v>448</v>
      </c>
      <c r="G402" s="1" t="s">
        <v>448</v>
      </c>
      <c r="H402" s="1" t="s">
        <v>448</v>
      </c>
      <c r="I402" s="1" t="s">
        <v>448</v>
      </c>
      <c r="J402" s="1" t="s">
        <v>448</v>
      </c>
      <c r="K402" s="1" t="s">
        <v>448</v>
      </c>
      <c r="L402" s="1" t="s">
        <v>448</v>
      </c>
      <c r="M402" s="1" t="s">
        <v>448</v>
      </c>
      <c r="N402" s="1" t="s">
        <v>448</v>
      </c>
      <c r="O402" s="1">
        <v>20064</v>
      </c>
      <c r="P402" s="1" t="s">
        <v>149</v>
      </c>
      <c r="Q402" s="1" t="s">
        <v>150</v>
      </c>
      <c r="R402" t="str">
        <f t="shared" si="12"/>
        <v/>
      </c>
      <c r="S402" t="str">
        <f t="shared" si="13"/>
        <v/>
      </c>
    </row>
    <row r="403" spans="1:19" x14ac:dyDescent="0.25">
      <c r="A403" s="1" t="s">
        <v>448</v>
      </c>
      <c r="B403" s="5" t="s">
        <v>448</v>
      </c>
      <c r="C403" s="1" t="s">
        <v>448</v>
      </c>
      <c r="D403" s="1" t="s">
        <v>448</v>
      </c>
      <c r="E403" s="1" t="s">
        <v>448</v>
      </c>
      <c r="F403" s="1" t="s">
        <v>448</v>
      </c>
      <c r="G403" s="1" t="s">
        <v>448</v>
      </c>
      <c r="H403" s="1" t="s">
        <v>448</v>
      </c>
      <c r="I403" s="1" t="s">
        <v>448</v>
      </c>
      <c r="J403" s="1" t="s">
        <v>448</v>
      </c>
      <c r="K403" s="1" t="s">
        <v>448</v>
      </c>
      <c r="L403" s="1" t="s">
        <v>448</v>
      </c>
      <c r="M403" s="1" t="s">
        <v>448</v>
      </c>
      <c r="N403" s="1" t="s">
        <v>448</v>
      </c>
      <c r="O403" s="1">
        <v>20064</v>
      </c>
      <c r="P403" s="1" t="s">
        <v>149</v>
      </c>
      <c r="Q403" s="1" t="s">
        <v>150</v>
      </c>
      <c r="R403" t="str">
        <f t="shared" si="12"/>
        <v/>
      </c>
      <c r="S403" t="str">
        <f t="shared" si="13"/>
        <v/>
      </c>
    </row>
    <row r="404" spans="1:19" x14ac:dyDescent="0.25">
      <c r="A404" s="1" t="s">
        <v>448</v>
      </c>
      <c r="B404" s="5" t="s">
        <v>448</v>
      </c>
      <c r="C404" s="1" t="s">
        <v>448</v>
      </c>
      <c r="D404" s="1" t="s">
        <v>448</v>
      </c>
      <c r="E404" s="1" t="s">
        <v>448</v>
      </c>
      <c r="F404" s="1" t="s">
        <v>448</v>
      </c>
      <c r="G404" s="1" t="s">
        <v>448</v>
      </c>
      <c r="H404" s="1" t="s">
        <v>448</v>
      </c>
      <c r="I404" s="1" t="s">
        <v>448</v>
      </c>
      <c r="J404" s="1" t="s">
        <v>448</v>
      </c>
      <c r="K404" s="1" t="s">
        <v>448</v>
      </c>
      <c r="L404" s="1" t="s">
        <v>448</v>
      </c>
      <c r="M404" s="1" t="s">
        <v>448</v>
      </c>
      <c r="N404" s="1" t="s">
        <v>448</v>
      </c>
      <c r="O404" s="1">
        <v>20064</v>
      </c>
      <c r="P404" s="1" t="s">
        <v>149</v>
      </c>
      <c r="Q404" s="1" t="s">
        <v>150</v>
      </c>
      <c r="R404" t="str">
        <f t="shared" si="12"/>
        <v/>
      </c>
      <c r="S404" t="str">
        <f t="shared" si="13"/>
        <v/>
      </c>
    </row>
    <row r="405" spans="1:19" x14ac:dyDescent="0.25">
      <c r="A405" s="1" t="s">
        <v>448</v>
      </c>
      <c r="B405" s="5" t="s">
        <v>448</v>
      </c>
      <c r="C405" s="1" t="s">
        <v>448</v>
      </c>
      <c r="D405" s="1" t="s">
        <v>448</v>
      </c>
      <c r="E405" s="1" t="s">
        <v>448</v>
      </c>
      <c r="F405" s="1" t="s">
        <v>448</v>
      </c>
      <c r="G405" s="1" t="s">
        <v>448</v>
      </c>
      <c r="H405" s="1" t="s">
        <v>448</v>
      </c>
      <c r="I405" s="1" t="s">
        <v>448</v>
      </c>
      <c r="J405" s="1" t="s">
        <v>448</v>
      </c>
      <c r="K405" s="1" t="s">
        <v>448</v>
      </c>
      <c r="L405" s="1" t="s">
        <v>448</v>
      </c>
      <c r="M405" s="1" t="s">
        <v>448</v>
      </c>
      <c r="N405" s="1" t="s">
        <v>448</v>
      </c>
      <c r="O405" s="1">
        <v>20064</v>
      </c>
      <c r="P405" s="1" t="s">
        <v>149</v>
      </c>
      <c r="Q405" s="1" t="s">
        <v>150</v>
      </c>
      <c r="R405" t="str">
        <f t="shared" si="12"/>
        <v/>
      </c>
      <c r="S405" t="str">
        <f t="shared" si="13"/>
        <v/>
      </c>
    </row>
    <row r="406" spans="1:19" x14ac:dyDescent="0.25">
      <c r="A406" s="1" t="s">
        <v>448</v>
      </c>
      <c r="B406" s="5" t="s">
        <v>448</v>
      </c>
      <c r="C406" s="1" t="s">
        <v>448</v>
      </c>
      <c r="D406" s="1" t="s">
        <v>448</v>
      </c>
      <c r="E406" s="1" t="s">
        <v>448</v>
      </c>
      <c r="F406" s="1" t="s">
        <v>448</v>
      </c>
      <c r="G406" s="1" t="s">
        <v>448</v>
      </c>
      <c r="H406" s="1" t="s">
        <v>448</v>
      </c>
      <c r="I406" s="1" t="s">
        <v>448</v>
      </c>
      <c r="J406" s="1" t="s">
        <v>448</v>
      </c>
      <c r="K406" s="1" t="s">
        <v>448</v>
      </c>
      <c r="L406" s="1" t="s">
        <v>448</v>
      </c>
      <c r="M406" s="1" t="s">
        <v>448</v>
      </c>
      <c r="N406" s="1" t="s">
        <v>448</v>
      </c>
      <c r="O406" s="1">
        <v>20064</v>
      </c>
      <c r="P406" s="1" t="s">
        <v>149</v>
      </c>
      <c r="Q406" s="1" t="s">
        <v>150</v>
      </c>
      <c r="R406" t="str">
        <f t="shared" si="12"/>
        <v/>
      </c>
      <c r="S406" t="str">
        <f t="shared" si="13"/>
        <v/>
      </c>
    </row>
    <row r="407" spans="1:19" x14ac:dyDescent="0.25">
      <c r="A407" s="1" t="s">
        <v>448</v>
      </c>
      <c r="B407" s="5" t="s">
        <v>448</v>
      </c>
      <c r="C407" s="1" t="s">
        <v>448</v>
      </c>
      <c r="D407" s="1" t="s">
        <v>448</v>
      </c>
      <c r="E407" s="1" t="s">
        <v>448</v>
      </c>
      <c r="F407" s="1" t="s">
        <v>448</v>
      </c>
      <c r="G407" s="1" t="s">
        <v>448</v>
      </c>
      <c r="H407" s="1" t="s">
        <v>448</v>
      </c>
      <c r="I407" s="1" t="s">
        <v>448</v>
      </c>
      <c r="J407" s="1" t="s">
        <v>448</v>
      </c>
      <c r="K407" s="1" t="s">
        <v>448</v>
      </c>
      <c r="L407" s="1" t="s">
        <v>448</v>
      </c>
      <c r="M407" s="1" t="s">
        <v>448</v>
      </c>
      <c r="N407" s="1" t="s">
        <v>448</v>
      </c>
      <c r="O407" s="1">
        <v>20064</v>
      </c>
      <c r="P407" s="1" t="s">
        <v>149</v>
      </c>
      <c r="Q407" s="1" t="s">
        <v>150</v>
      </c>
      <c r="R407" t="str">
        <f t="shared" si="12"/>
        <v/>
      </c>
      <c r="S407" t="str">
        <f t="shared" si="13"/>
        <v/>
      </c>
    </row>
    <row r="408" spans="1:19" x14ac:dyDescent="0.25">
      <c r="A408" s="1" t="s">
        <v>448</v>
      </c>
      <c r="B408" s="5" t="s">
        <v>448</v>
      </c>
      <c r="C408" s="1" t="s">
        <v>448</v>
      </c>
      <c r="D408" s="1" t="s">
        <v>448</v>
      </c>
      <c r="E408" s="1" t="s">
        <v>448</v>
      </c>
      <c r="F408" s="1" t="s">
        <v>448</v>
      </c>
      <c r="G408" s="1" t="s">
        <v>448</v>
      </c>
      <c r="H408" s="1" t="s">
        <v>448</v>
      </c>
      <c r="I408" s="1" t="s">
        <v>448</v>
      </c>
      <c r="J408" s="1" t="s">
        <v>448</v>
      </c>
      <c r="K408" s="1" t="s">
        <v>448</v>
      </c>
      <c r="L408" s="1" t="s">
        <v>448</v>
      </c>
      <c r="M408" s="1" t="s">
        <v>448</v>
      </c>
      <c r="N408" s="1" t="s">
        <v>448</v>
      </c>
      <c r="O408" s="1">
        <v>20064</v>
      </c>
      <c r="P408" s="1" t="s">
        <v>149</v>
      </c>
      <c r="Q408" s="1" t="s">
        <v>150</v>
      </c>
      <c r="R408" t="str">
        <f t="shared" si="12"/>
        <v/>
      </c>
      <c r="S408" t="str">
        <f t="shared" si="13"/>
        <v/>
      </c>
    </row>
    <row r="409" spans="1:19" x14ac:dyDescent="0.25">
      <c r="A409" s="1" t="s">
        <v>448</v>
      </c>
      <c r="B409" s="5" t="s">
        <v>448</v>
      </c>
      <c r="C409" s="1" t="s">
        <v>448</v>
      </c>
      <c r="D409" s="1" t="s">
        <v>448</v>
      </c>
      <c r="E409" s="1" t="s">
        <v>448</v>
      </c>
      <c r="F409" s="1" t="s">
        <v>448</v>
      </c>
      <c r="G409" s="1" t="s">
        <v>448</v>
      </c>
      <c r="H409" s="1" t="s">
        <v>448</v>
      </c>
      <c r="I409" s="1" t="s">
        <v>448</v>
      </c>
      <c r="J409" s="1" t="s">
        <v>448</v>
      </c>
      <c r="K409" s="1" t="s">
        <v>448</v>
      </c>
      <c r="L409" s="1" t="s">
        <v>448</v>
      </c>
      <c r="M409" s="1" t="s">
        <v>448</v>
      </c>
      <c r="N409" s="1" t="s">
        <v>448</v>
      </c>
      <c r="O409" s="1">
        <v>20064</v>
      </c>
      <c r="P409" s="1" t="s">
        <v>149</v>
      </c>
      <c r="Q409" s="1" t="s">
        <v>150</v>
      </c>
      <c r="R409" t="str">
        <f t="shared" si="12"/>
        <v/>
      </c>
      <c r="S409" t="str">
        <f t="shared" si="13"/>
        <v/>
      </c>
    </row>
    <row r="410" spans="1:19" x14ac:dyDescent="0.25">
      <c r="A410" s="1" t="s">
        <v>448</v>
      </c>
      <c r="B410" s="5" t="s">
        <v>448</v>
      </c>
      <c r="C410" s="1" t="s">
        <v>448</v>
      </c>
      <c r="D410" s="1" t="s">
        <v>448</v>
      </c>
      <c r="E410" s="1" t="s">
        <v>448</v>
      </c>
      <c r="F410" s="1" t="s">
        <v>448</v>
      </c>
      <c r="G410" s="1" t="s">
        <v>448</v>
      </c>
      <c r="H410" s="1" t="s">
        <v>448</v>
      </c>
      <c r="I410" s="1" t="s">
        <v>448</v>
      </c>
      <c r="J410" s="1" t="s">
        <v>448</v>
      </c>
      <c r="K410" s="1" t="s">
        <v>448</v>
      </c>
      <c r="L410" s="1" t="s">
        <v>448</v>
      </c>
      <c r="M410" s="1" t="s">
        <v>448</v>
      </c>
      <c r="N410" s="1" t="s">
        <v>448</v>
      </c>
      <c r="O410" s="1">
        <v>20064</v>
      </c>
      <c r="P410" s="1" t="s">
        <v>149</v>
      </c>
      <c r="Q410" s="1" t="s">
        <v>150</v>
      </c>
      <c r="R410" t="str">
        <f t="shared" si="12"/>
        <v/>
      </c>
      <c r="S410" t="str">
        <f t="shared" si="13"/>
        <v/>
      </c>
    </row>
    <row r="411" spans="1:19" x14ac:dyDescent="0.25">
      <c r="A411" s="1" t="s">
        <v>448</v>
      </c>
      <c r="B411" s="5" t="s">
        <v>448</v>
      </c>
      <c r="C411" s="1" t="s">
        <v>448</v>
      </c>
      <c r="D411" s="1" t="s">
        <v>448</v>
      </c>
      <c r="E411" s="1" t="s">
        <v>448</v>
      </c>
      <c r="F411" s="1" t="s">
        <v>448</v>
      </c>
      <c r="G411" s="1" t="s">
        <v>448</v>
      </c>
      <c r="H411" s="1" t="s">
        <v>448</v>
      </c>
      <c r="I411" s="1" t="s">
        <v>448</v>
      </c>
      <c r="J411" s="1" t="s">
        <v>448</v>
      </c>
      <c r="K411" s="1" t="s">
        <v>448</v>
      </c>
      <c r="L411" s="1" t="s">
        <v>448</v>
      </c>
      <c r="M411" s="1" t="s">
        <v>448</v>
      </c>
      <c r="N411" s="1" t="s">
        <v>448</v>
      </c>
      <c r="O411" s="1">
        <v>20064</v>
      </c>
      <c r="P411" s="1" t="s">
        <v>149</v>
      </c>
      <c r="Q411" s="1" t="s">
        <v>150</v>
      </c>
      <c r="R411" t="str">
        <f t="shared" si="12"/>
        <v/>
      </c>
      <c r="S411" t="str">
        <f t="shared" si="13"/>
        <v/>
      </c>
    </row>
    <row r="412" spans="1:19" x14ac:dyDescent="0.25">
      <c r="A412" s="1" t="s">
        <v>448</v>
      </c>
      <c r="B412" s="5" t="s">
        <v>448</v>
      </c>
      <c r="C412" s="1" t="s">
        <v>448</v>
      </c>
      <c r="D412" s="1" t="s">
        <v>448</v>
      </c>
      <c r="E412" s="1" t="s">
        <v>448</v>
      </c>
      <c r="F412" s="1" t="s">
        <v>448</v>
      </c>
      <c r="G412" s="1" t="s">
        <v>448</v>
      </c>
      <c r="H412" s="1" t="s">
        <v>448</v>
      </c>
      <c r="I412" s="1" t="s">
        <v>448</v>
      </c>
      <c r="J412" s="1" t="s">
        <v>448</v>
      </c>
      <c r="K412" s="1" t="s">
        <v>448</v>
      </c>
      <c r="L412" s="1" t="s">
        <v>448</v>
      </c>
      <c r="M412" s="1" t="s">
        <v>448</v>
      </c>
      <c r="N412" s="1" t="s">
        <v>448</v>
      </c>
      <c r="O412" s="1">
        <v>20064</v>
      </c>
      <c r="P412" s="1" t="s">
        <v>149</v>
      </c>
      <c r="Q412" s="1" t="s">
        <v>150</v>
      </c>
      <c r="R412" t="str">
        <f t="shared" si="12"/>
        <v/>
      </c>
      <c r="S412" t="str">
        <f t="shared" si="13"/>
        <v/>
      </c>
    </row>
    <row r="413" spans="1:19" x14ac:dyDescent="0.25">
      <c r="A413" s="1" t="s">
        <v>448</v>
      </c>
      <c r="B413" s="5" t="s">
        <v>448</v>
      </c>
      <c r="C413" s="1" t="s">
        <v>448</v>
      </c>
      <c r="D413" s="1" t="s">
        <v>448</v>
      </c>
      <c r="E413" s="1" t="s">
        <v>448</v>
      </c>
      <c r="F413" s="1" t="s">
        <v>448</v>
      </c>
      <c r="G413" s="1" t="s">
        <v>448</v>
      </c>
      <c r="H413" s="1" t="s">
        <v>448</v>
      </c>
      <c r="I413" s="1" t="s">
        <v>448</v>
      </c>
      <c r="J413" s="1" t="s">
        <v>448</v>
      </c>
      <c r="K413" s="1" t="s">
        <v>448</v>
      </c>
      <c r="L413" s="1" t="s">
        <v>448</v>
      </c>
      <c r="M413" s="1" t="s">
        <v>448</v>
      </c>
      <c r="N413" s="1" t="s">
        <v>448</v>
      </c>
      <c r="O413" s="1">
        <v>20064</v>
      </c>
      <c r="P413" s="1" t="s">
        <v>149</v>
      </c>
      <c r="Q413" s="1" t="s">
        <v>150</v>
      </c>
      <c r="R413" t="str">
        <f t="shared" si="12"/>
        <v/>
      </c>
      <c r="S413" t="str">
        <f t="shared" si="13"/>
        <v/>
      </c>
    </row>
    <row r="414" spans="1:19" x14ac:dyDescent="0.25">
      <c r="A414" s="1" t="s">
        <v>448</v>
      </c>
      <c r="B414" s="5" t="s">
        <v>448</v>
      </c>
      <c r="C414" s="1" t="s">
        <v>448</v>
      </c>
      <c r="D414" s="1" t="s">
        <v>448</v>
      </c>
      <c r="E414" s="1" t="s">
        <v>448</v>
      </c>
      <c r="F414" s="1" t="s">
        <v>448</v>
      </c>
      <c r="G414" s="1" t="s">
        <v>448</v>
      </c>
      <c r="H414" s="1" t="s">
        <v>448</v>
      </c>
      <c r="I414" s="1" t="s">
        <v>448</v>
      </c>
      <c r="J414" s="1" t="s">
        <v>448</v>
      </c>
      <c r="K414" s="1" t="s">
        <v>448</v>
      </c>
      <c r="L414" s="1" t="s">
        <v>448</v>
      </c>
      <c r="M414" s="1" t="s">
        <v>448</v>
      </c>
      <c r="N414" s="1" t="s">
        <v>448</v>
      </c>
      <c r="O414" s="1">
        <v>20064</v>
      </c>
      <c r="P414" s="1" t="s">
        <v>149</v>
      </c>
      <c r="Q414" s="1" t="s">
        <v>150</v>
      </c>
      <c r="R414" t="str">
        <f t="shared" si="12"/>
        <v/>
      </c>
      <c r="S414" t="str">
        <f t="shared" si="13"/>
        <v/>
      </c>
    </row>
    <row r="415" spans="1:19" x14ac:dyDescent="0.25">
      <c r="A415" s="1" t="s">
        <v>448</v>
      </c>
      <c r="B415" s="5" t="s">
        <v>448</v>
      </c>
      <c r="C415" s="1" t="s">
        <v>448</v>
      </c>
      <c r="D415" s="1" t="s">
        <v>448</v>
      </c>
      <c r="E415" s="1" t="s">
        <v>448</v>
      </c>
      <c r="F415" s="1" t="s">
        <v>448</v>
      </c>
      <c r="G415" s="1" t="s">
        <v>448</v>
      </c>
      <c r="H415" s="1" t="s">
        <v>448</v>
      </c>
      <c r="I415" s="1" t="s">
        <v>448</v>
      </c>
      <c r="J415" s="1" t="s">
        <v>448</v>
      </c>
      <c r="K415" s="1" t="s">
        <v>448</v>
      </c>
      <c r="L415" s="1" t="s">
        <v>448</v>
      </c>
      <c r="M415" s="1" t="s">
        <v>448</v>
      </c>
      <c r="N415" s="1" t="s">
        <v>448</v>
      </c>
      <c r="O415" s="1">
        <v>20064</v>
      </c>
      <c r="P415" s="1" t="s">
        <v>149</v>
      </c>
      <c r="Q415" s="1" t="s">
        <v>150</v>
      </c>
      <c r="R415" t="str">
        <f t="shared" si="12"/>
        <v/>
      </c>
      <c r="S415" t="str">
        <f t="shared" si="13"/>
        <v/>
      </c>
    </row>
    <row r="416" spans="1:19" x14ac:dyDescent="0.25">
      <c r="A416" s="1" t="s">
        <v>448</v>
      </c>
      <c r="B416" s="5" t="s">
        <v>448</v>
      </c>
      <c r="C416" s="1" t="s">
        <v>448</v>
      </c>
      <c r="D416" s="1" t="s">
        <v>448</v>
      </c>
      <c r="E416" s="1" t="s">
        <v>448</v>
      </c>
      <c r="F416" s="1" t="s">
        <v>448</v>
      </c>
      <c r="G416" s="1" t="s">
        <v>448</v>
      </c>
      <c r="H416" s="1" t="s">
        <v>448</v>
      </c>
      <c r="I416" s="1" t="s">
        <v>448</v>
      </c>
      <c r="J416" s="1" t="s">
        <v>448</v>
      </c>
      <c r="K416" s="1" t="s">
        <v>448</v>
      </c>
      <c r="L416" s="1" t="s">
        <v>448</v>
      </c>
      <c r="M416" s="1" t="s">
        <v>448</v>
      </c>
      <c r="N416" s="1" t="s">
        <v>448</v>
      </c>
      <c r="O416" s="1">
        <v>20064</v>
      </c>
      <c r="P416" s="1" t="s">
        <v>149</v>
      </c>
      <c r="Q416" s="1" t="s">
        <v>150</v>
      </c>
      <c r="R416" t="str">
        <f t="shared" si="12"/>
        <v/>
      </c>
      <c r="S416" t="str">
        <f t="shared" si="13"/>
        <v/>
      </c>
    </row>
    <row r="417" spans="1:19" x14ac:dyDescent="0.25">
      <c r="A417" s="1" t="s">
        <v>448</v>
      </c>
      <c r="B417" s="5" t="s">
        <v>448</v>
      </c>
      <c r="C417" s="1" t="s">
        <v>448</v>
      </c>
      <c r="D417" s="1" t="s">
        <v>448</v>
      </c>
      <c r="E417" s="1" t="s">
        <v>448</v>
      </c>
      <c r="F417" s="1" t="s">
        <v>448</v>
      </c>
      <c r="G417" s="1" t="s">
        <v>448</v>
      </c>
      <c r="H417" s="1" t="s">
        <v>448</v>
      </c>
      <c r="I417" s="1" t="s">
        <v>448</v>
      </c>
      <c r="J417" s="1" t="s">
        <v>448</v>
      </c>
      <c r="K417" s="1" t="s">
        <v>448</v>
      </c>
      <c r="L417" s="1" t="s">
        <v>448</v>
      </c>
      <c r="M417" s="1" t="s">
        <v>448</v>
      </c>
      <c r="N417" s="1" t="s">
        <v>448</v>
      </c>
      <c r="O417" s="1">
        <v>20064</v>
      </c>
      <c r="P417" s="1" t="s">
        <v>149</v>
      </c>
      <c r="Q417" s="1" t="s">
        <v>150</v>
      </c>
      <c r="R417" t="str">
        <f t="shared" si="12"/>
        <v/>
      </c>
      <c r="S417" t="str">
        <f t="shared" si="13"/>
        <v/>
      </c>
    </row>
    <row r="418" spans="1:19" x14ac:dyDescent="0.25">
      <c r="A418" s="1" t="s">
        <v>448</v>
      </c>
      <c r="B418" s="5" t="s">
        <v>448</v>
      </c>
      <c r="C418" s="1" t="s">
        <v>448</v>
      </c>
      <c r="D418" s="1" t="s">
        <v>448</v>
      </c>
      <c r="E418" s="1" t="s">
        <v>448</v>
      </c>
      <c r="F418" s="1" t="s">
        <v>448</v>
      </c>
      <c r="G418" s="1" t="s">
        <v>448</v>
      </c>
      <c r="H418" s="1" t="s">
        <v>448</v>
      </c>
      <c r="I418" s="1" t="s">
        <v>448</v>
      </c>
      <c r="J418" s="1" t="s">
        <v>448</v>
      </c>
      <c r="K418" s="1" t="s">
        <v>448</v>
      </c>
      <c r="L418" s="1" t="s">
        <v>448</v>
      </c>
      <c r="M418" s="1" t="s">
        <v>448</v>
      </c>
      <c r="N418" s="1" t="s">
        <v>448</v>
      </c>
      <c r="O418" s="1">
        <v>20064</v>
      </c>
      <c r="P418" s="1" t="s">
        <v>149</v>
      </c>
      <c r="Q418" s="1" t="s">
        <v>150</v>
      </c>
      <c r="R418" t="str">
        <f t="shared" si="12"/>
        <v/>
      </c>
      <c r="S418" t="str">
        <f t="shared" si="13"/>
        <v/>
      </c>
    </row>
    <row r="419" spans="1:19" x14ac:dyDescent="0.25">
      <c r="A419" s="1" t="s">
        <v>448</v>
      </c>
      <c r="B419" s="5" t="s">
        <v>448</v>
      </c>
      <c r="C419" s="1" t="s">
        <v>448</v>
      </c>
      <c r="D419" s="1" t="s">
        <v>448</v>
      </c>
      <c r="E419" s="1" t="s">
        <v>448</v>
      </c>
      <c r="F419" s="1" t="s">
        <v>448</v>
      </c>
      <c r="G419" s="1" t="s">
        <v>448</v>
      </c>
      <c r="H419" s="1" t="s">
        <v>448</v>
      </c>
      <c r="I419" s="1" t="s">
        <v>448</v>
      </c>
      <c r="J419" s="1" t="s">
        <v>448</v>
      </c>
      <c r="K419" s="1" t="s">
        <v>448</v>
      </c>
      <c r="L419" s="1" t="s">
        <v>448</v>
      </c>
      <c r="M419" s="1" t="s">
        <v>448</v>
      </c>
      <c r="N419" s="1" t="s">
        <v>448</v>
      </c>
      <c r="O419" s="1">
        <v>20064</v>
      </c>
      <c r="P419" s="1" t="s">
        <v>149</v>
      </c>
      <c r="Q419" s="1" t="s">
        <v>150</v>
      </c>
      <c r="R419" t="str">
        <f t="shared" si="12"/>
        <v/>
      </c>
      <c r="S419" t="str">
        <f t="shared" si="13"/>
        <v/>
      </c>
    </row>
    <row r="420" spans="1:19" x14ac:dyDescent="0.25">
      <c r="A420" s="1" t="s">
        <v>448</v>
      </c>
      <c r="B420" s="5" t="s">
        <v>448</v>
      </c>
      <c r="C420" s="1" t="s">
        <v>448</v>
      </c>
      <c r="D420" s="1" t="s">
        <v>448</v>
      </c>
      <c r="E420" s="1" t="s">
        <v>448</v>
      </c>
      <c r="F420" s="1" t="s">
        <v>448</v>
      </c>
      <c r="G420" s="1" t="s">
        <v>448</v>
      </c>
      <c r="H420" s="1" t="s">
        <v>448</v>
      </c>
      <c r="I420" s="1" t="s">
        <v>448</v>
      </c>
      <c r="J420" s="1" t="s">
        <v>448</v>
      </c>
      <c r="K420" s="1" t="s">
        <v>448</v>
      </c>
      <c r="L420" s="1" t="s">
        <v>448</v>
      </c>
      <c r="M420" s="1" t="s">
        <v>448</v>
      </c>
      <c r="N420" s="1" t="s">
        <v>448</v>
      </c>
      <c r="O420" s="1">
        <v>20064</v>
      </c>
      <c r="P420" s="1" t="s">
        <v>149</v>
      </c>
      <c r="Q420" s="1" t="s">
        <v>150</v>
      </c>
      <c r="R420" t="str">
        <f t="shared" si="12"/>
        <v/>
      </c>
      <c r="S420" t="str">
        <f t="shared" si="13"/>
        <v/>
      </c>
    </row>
    <row r="421" spans="1:19" x14ac:dyDescent="0.25">
      <c r="A421" s="1" t="s">
        <v>448</v>
      </c>
      <c r="B421" s="5" t="s">
        <v>448</v>
      </c>
      <c r="C421" s="1" t="s">
        <v>448</v>
      </c>
      <c r="D421" s="1" t="s">
        <v>448</v>
      </c>
      <c r="E421" s="1" t="s">
        <v>448</v>
      </c>
      <c r="F421" s="1" t="s">
        <v>448</v>
      </c>
      <c r="G421" s="1" t="s">
        <v>448</v>
      </c>
      <c r="H421" s="1" t="s">
        <v>448</v>
      </c>
      <c r="I421" s="1" t="s">
        <v>448</v>
      </c>
      <c r="J421" s="1" t="s">
        <v>448</v>
      </c>
      <c r="K421" s="1" t="s">
        <v>448</v>
      </c>
      <c r="L421" s="1" t="s">
        <v>448</v>
      </c>
      <c r="M421" s="1" t="s">
        <v>448</v>
      </c>
      <c r="N421" s="1" t="s">
        <v>448</v>
      </c>
      <c r="O421" s="1">
        <v>20064</v>
      </c>
      <c r="P421" s="1" t="s">
        <v>149</v>
      </c>
      <c r="Q421" s="1" t="s">
        <v>150</v>
      </c>
      <c r="R421" t="str">
        <f t="shared" si="12"/>
        <v/>
      </c>
      <c r="S421" t="str">
        <f t="shared" si="13"/>
        <v/>
      </c>
    </row>
    <row r="422" spans="1:19" x14ac:dyDescent="0.25">
      <c r="A422" s="1" t="s">
        <v>448</v>
      </c>
      <c r="B422" s="5" t="s">
        <v>448</v>
      </c>
      <c r="C422" s="1" t="s">
        <v>448</v>
      </c>
      <c r="D422" s="1" t="s">
        <v>448</v>
      </c>
      <c r="E422" s="1" t="s">
        <v>448</v>
      </c>
      <c r="F422" s="1" t="s">
        <v>448</v>
      </c>
      <c r="G422" s="1" t="s">
        <v>448</v>
      </c>
      <c r="H422" s="1" t="s">
        <v>448</v>
      </c>
      <c r="I422" s="1" t="s">
        <v>448</v>
      </c>
      <c r="J422" s="1" t="s">
        <v>448</v>
      </c>
      <c r="K422" s="1" t="s">
        <v>448</v>
      </c>
      <c r="L422" s="1" t="s">
        <v>448</v>
      </c>
      <c r="M422" s="1" t="s">
        <v>448</v>
      </c>
      <c r="N422" s="1" t="s">
        <v>448</v>
      </c>
      <c r="O422" s="1">
        <v>20064</v>
      </c>
      <c r="P422" s="1" t="s">
        <v>149</v>
      </c>
      <c r="Q422" s="1" t="s">
        <v>150</v>
      </c>
      <c r="R422" t="str">
        <f t="shared" si="12"/>
        <v/>
      </c>
      <c r="S422" t="str">
        <f t="shared" si="13"/>
        <v/>
      </c>
    </row>
    <row r="423" spans="1:19" x14ac:dyDescent="0.25">
      <c r="A423" s="1" t="s">
        <v>448</v>
      </c>
      <c r="B423" s="5" t="s">
        <v>448</v>
      </c>
      <c r="C423" s="1" t="s">
        <v>448</v>
      </c>
      <c r="D423" s="1" t="s">
        <v>448</v>
      </c>
      <c r="E423" s="1" t="s">
        <v>448</v>
      </c>
      <c r="F423" s="1" t="s">
        <v>448</v>
      </c>
      <c r="G423" s="1" t="s">
        <v>448</v>
      </c>
      <c r="H423" s="1" t="s">
        <v>448</v>
      </c>
      <c r="I423" s="1" t="s">
        <v>448</v>
      </c>
      <c r="J423" s="1" t="s">
        <v>448</v>
      </c>
      <c r="K423" s="1" t="s">
        <v>448</v>
      </c>
      <c r="L423" s="1" t="s">
        <v>448</v>
      </c>
      <c r="M423" s="1" t="s">
        <v>448</v>
      </c>
      <c r="N423" s="1" t="s">
        <v>448</v>
      </c>
      <c r="O423" s="1">
        <v>20064</v>
      </c>
      <c r="P423" s="1" t="s">
        <v>149</v>
      </c>
      <c r="Q423" s="1" t="s">
        <v>150</v>
      </c>
      <c r="R423" t="str">
        <f t="shared" si="12"/>
        <v/>
      </c>
      <c r="S423" t="str">
        <f t="shared" si="13"/>
        <v/>
      </c>
    </row>
    <row r="424" spans="1:19" x14ac:dyDescent="0.25">
      <c r="A424" s="1" t="s">
        <v>448</v>
      </c>
      <c r="B424" s="5" t="s">
        <v>448</v>
      </c>
      <c r="C424" s="1" t="s">
        <v>448</v>
      </c>
      <c r="D424" s="1" t="s">
        <v>448</v>
      </c>
      <c r="E424" s="1" t="s">
        <v>448</v>
      </c>
      <c r="F424" s="1" t="s">
        <v>448</v>
      </c>
      <c r="G424" s="1" t="s">
        <v>448</v>
      </c>
      <c r="H424" s="1" t="s">
        <v>448</v>
      </c>
      <c r="I424" s="1" t="s">
        <v>448</v>
      </c>
      <c r="J424" s="1" t="s">
        <v>448</v>
      </c>
      <c r="K424" s="1" t="s">
        <v>448</v>
      </c>
      <c r="L424" s="1" t="s">
        <v>448</v>
      </c>
      <c r="M424" s="1" t="s">
        <v>448</v>
      </c>
      <c r="N424" s="1" t="s">
        <v>448</v>
      </c>
      <c r="O424" s="1">
        <v>20064</v>
      </c>
      <c r="P424" s="1" t="s">
        <v>149</v>
      </c>
      <c r="Q424" s="1" t="s">
        <v>150</v>
      </c>
      <c r="R424" t="str">
        <f t="shared" si="12"/>
        <v/>
      </c>
      <c r="S424" t="str">
        <f t="shared" si="13"/>
        <v/>
      </c>
    </row>
    <row r="425" spans="1:19" x14ac:dyDescent="0.25">
      <c r="A425" s="1" t="s">
        <v>448</v>
      </c>
      <c r="B425" s="5" t="s">
        <v>448</v>
      </c>
      <c r="C425" s="1" t="s">
        <v>448</v>
      </c>
      <c r="D425" s="1" t="s">
        <v>448</v>
      </c>
      <c r="E425" s="1" t="s">
        <v>448</v>
      </c>
      <c r="F425" s="1" t="s">
        <v>448</v>
      </c>
      <c r="G425" s="1" t="s">
        <v>448</v>
      </c>
      <c r="H425" s="1" t="s">
        <v>448</v>
      </c>
      <c r="I425" s="1" t="s">
        <v>448</v>
      </c>
      <c r="J425" s="1" t="s">
        <v>448</v>
      </c>
      <c r="K425" s="1" t="s">
        <v>448</v>
      </c>
      <c r="L425" s="1" t="s">
        <v>448</v>
      </c>
      <c r="M425" s="1" t="s">
        <v>448</v>
      </c>
      <c r="N425" s="1" t="s">
        <v>448</v>
      </c>
      <c r="O425" s="1">
        <v>20064</v>
      </c>
      <c r="P425" s="1" t="s">
        <v>149</v>
      </c>
      <c r="Q425" s="1" t="s">
        <v>150</v>
      </c>
      <c r="R425" t="str">
        <f t="shared" si="12"/>
        <v/>
      </c>
      <c r="S425" t="str">
        <f t="shared" si="13"/>
        <v/>
      </c>
    </row>
    <row r="426" spans="1:19" x14ac:dyDescent="0.25">
      <c r="A426" s="1" t="s">
        <v>448</v>
      </c>
      <c r="B426" s="5" t="s">
        <v>448</v>
      </c>
      <c r="C426" s="1" t="s">
        <v>448</v>
      </c>
      <c r="D426" s="1" t="s">
        <v>448</v>
      </c>
      <c r="E426" s="1" t="s">
        <v>448</v>
      </c>
      <c r="F426" s="1" t="s">
        <v>448</v>
      </c>
      <c r="G426" s="1" t="s">
        <v>448</v>
      </c>
      <c r="H426" s="1" t="s">
        <v>448</v>
      </c>
      <c r="I426" s="1" t="s">
        <v>448</v>
      </c>
      <c r="J426" s="1" t="s">
        <v>448</v>
      </c>
      <c r="K426" s="1" t="s">
        <v>448</v>
      </c>
      <c r="L426" s="1" t="s">
        <v>448</v>
      </c>
      <c r="M426" s="1" t="s">
        <v>448</v>
      </c>
      <c r="N426" s="1" t="s">
        <v>448</v>
      </c>
      <c r="O426" s="1">
        <v>20064</v>
      </c>
      <c r="P426" s="1" t="s">
        <v>149</v>
      </c>
      <c r="Q426" s="1" t="s">
        <v>150</v>
      </c>
      <c r="R426" t="str">
        <f t="shared" si="12"/>
        <v/>
      </c>
      <c r="S426" t="str">
        <f t="shared" si="13"/>
        <v/>
      </c>
    </row>
    <row r="427" spans="1:19" x14ac:dyDescent="0.25">
      <c r="A427" s="1" t="s">
        <v>448</v>
      </c>
      <c r="B427" s="5" t="s">
        <v>448</v>
      </c>
      <c r="C427" s="1" t="s">
        <v>448</v>
      </c>
      <c r="D427" s="1" t="s">
        <v>448</v>
      </c>
      <c r="E427" s="1" t="s">
        <v>448</v>
      </c>
      <c r="F427" s="1" t="s">
        <v>448</v>
      </c>
      <c r="G427" s="1" t="s">
        <v>448</v>
      </c>
      <c r="H427" s="1" t="s">
        <v>448</v>
      </c>
      <c r="I427" s="1" t="s">
        <v>448</v>
      </c>
      <c r="J427" s="1" t="s">
        <v>448</v>
      </c>
      <c r="K427" s="1" t="s">
        <v>448</v>
      </c>
      <c r="L427" s="1" t="s">
        <v>448</v>
      </c>
      <c r="M427" s="1" t="s">
        <v>448</v>
      </c>
      <c r="N427" s="1" t="s">
        <v>448</v>
      </c>
      <c r="O427" s="1">
        <v>20064</v>
      </c>
      <c r="P427" s="1" t="s">
        <v>149</v>
      </c>
      <c r="Q427" s="1" t="s">
        <v>150</v>
      </c>
      <c r="R427" t="str">
        <f t="shared" si="12"/>
        <v/>
      </c>
      <c r="S427" t="str">
        <f t="shared" si="13"/>
        <v/>
      </c>
    </row>
    <row r="428" spans="1:19" x14ac:dyDescent="0.25">
      <c r="A428" s="1" t="s">
        <v>448</v>
      </c>
      <c r="B428" s="5" t="s">
        <v>448</v>
      </c>
      <c r="C428" s="1" t="s">
        <v>448</v>
      </c>
      <c r="D428" s="1" t="s">
        <v>448</v>
      </c>
      <c r="E428" s="1" t="s">
        <v>448</v>
      </c>
      <c r="F428" s="1" t="s">
        <v>448</v>
      </c>
      <c r="G428" s="1" t="s">
        <v>448</v>
      </c>
      <c r="H428" s="1" t="s">
        <v>448</v>
      </c>
      <c r="I428" s="1" t="s">
        <v>448</v>
      </c>
      <c r="J428" s="1" t="s">
        <v>448</v>
      </c>
      <c r="K428" s="1" t="s">
        <v>448</v>
      </c>
      <c r="L428" s="1" t="s">
        <v>448</v>
      </c>
      <c r="M428" s="1" t="s">
        <v>448</v>
      </c>
      <c r="N428" s="1" t="s">
        <v>448</v>
      </c>
      <c r="O428" s="1">
        <v>20064</v>
      </c>
      <c r="P428" s="1" t="s">
        <v>149</v>
      </c>
      <c r="Q428" s="1" t="s">
        <v>150</v>
      </c>
      <c r="R428" t="str">
        <f t="shared" si="12"/>
        <v/>
      </c>
      <c r="S428" t="str">
        <f t="shared" si="13"/>
        <v/>
      </c>
    </row>
    <row r="429" spans="1:19" x14ac:dyDescent="0.25">
      <c r="A429" s="1" t="s">
        <v>448</v>
      </c>
      <c r="B429" s="5" t="s">
        <v>448</v>
      </c>
      <c r="C429" s="1" t="s">
        <v>448</v>
      </c>
      <c r="D429" s="1" t="s">
        <v>448</v>
      </c>
      <c r="E429" s="1" t="s">
        <v>448</v>
      </c>
      <c r="F429" s="1" t="s">
        <v>448</v>
      </c>
      <c r="G429" s="1" t="s">
        <v>448</v>
      </c>
      <c r="H429" s="1" t="s">
        <v>448</v>
      </c>
      <c r="I429" s="1" t="s">
        <v>448</v>
      </c>
      <c r="J429" s="1" t="s">
        <v>448</v>
      </c>
      <c r="K429" s="1" t="s">
        <v>448</v>
      </c>
      <c r="L429" s="1" t="s">
        <v>448</v>
      </c>
      <c r="M429" s="1" t="s">
        <v>448</v>
      </c>
      <c r="N429" s="1" t="s">
        <v>448</v>
      </c>
      <c r="O429" s="1">
        <v>20064</v>
      </c>
      <c r="P429" s="1" t="s">
        <v>149</v>
      </c>
      <c r="Q429" s="1" t="s">
        <v>150</v>
      </c>
      <c r="R429" t="str">
        <f t="shared" si="12"/>
        <v/>
      </c>
      <c r="S429" t="str">
        <f t="shared" si="13"/>
        <v/>
      </c>
    </row>
    <row r="430" spans="1:19" x14ac:dyDescent="0.25">
      <c r="A430" s="1" t="s">
        <v>448</v>
      </c>
      <c r="B430" s="5" t="s">
        <v>448</v>
      </c>
      <c r="C430" s="1" t="s">
        <v>448</v>
      </c>
      <c r="D430" s="1" t="s">
        <v>448</v>
      </c>
      <c r="E430" s="1" t="s">
        <v>448</v>
      </c>
      <c r="F430" s="1" t="s">
        <v>448</v>
      </c>
      <c r="G430" s="1" t="s">
        <v>448</v>
      </c>
      <c r="H430" s="1" t="s">
        <v>448</v>
      </c>
      <c r="I430" s="1" t="s">
        <v>448</v>
      </c>
      <c r="J430" s="1" t="s">
        <v>448</v>
      </c>
      <c r="K430" s="1" t="s">
        <v>448</v>
      </c>
      <c r="L430" s="1" t="s">
        <v>448</v>
      </c>
      <c r="M430" s="1" t="s">
        <v>448</v>
      </c>
      <c r="N430" s="1" t="s">
        <v>448</v>
      </c>
      <c r="O430" s="1">
        <v>20064</v>
      </c>
      <c r="P430" s="1" t="s">
        <v>149</v>
      </c>
      <c r="Q430" s="1" t="s">
        <v>150</v>
      </c>
      <c r="R430" t="str">
        <f t="shared" si="12"/>
        <v/>
      </c>
      <c r="S430" t="str">
        <f t="shared" si="13"/>
        <v/>
      </c>
    </row>
    <row r="431" spans="1:19" x14ac:dyDescent="0.25">
      <c r="A431" s="1" t="s">
        <v>448</v>
      </c>
      <c r="B431" s="5" t="s">
        <v>448</v>
      </c>
      <c r="C431" s="1" t="s">
        <v>448</v>
      </c>
      <c r="D431" s="1" t="s">
        <v>448</v>
      </c>
      <c r="E431" s="1" t="s">
        <v>448</v>
      </c>
      <c r="F431" s="1" t="s">
        <v>448</v>
      </c>
      <c r="G431" s="1" t="s">
        <v>448</v>
      </c>
      <c r="H431" s="1" t="s">
        <v>448</v>
      </c>
      <c r="I431" s="1" t="s">
        <v>448</v>
      </c>
      <c r="J431" s="1" t="s">
        <v>448</v>
      </c>
      <c r="K431" s="1" t="s">
        <v>448</v>
      </c>
      <c r="L431" s="1" t="s">
        <v>448</v>
      </c>
      <c r="M431" s="1" t="s">
        <v>448</v>
      </c>
      <c r="N431" s="1" t="s">
        <v>448</v>
      </c>
      <c r="O431" s="1">
        <v>20064</v>
      </c>
      <c r="P431" s="1" t="s">
        <v>149</v>
      </c>
      <c r="Q431" s="1" t="s">
        <v>150</v>
      </c>
      <c r="R431" t="str">
        <f t="shared" si="12"/>
        <v/>
      </c>
      <c r="S431" t="str">
        <f t="shared" si="13"/>
        <v/>
      </c>
    </row>
    <row r="432" spans="1:19" x14ac:dyDescent="0.25">
      <c r="A432" s="1" t="s">
        <v>448</v>
      </c>
      <c r="B432" s="5" t="s">
        <v>448</v>
      </c>
      <c r="C432" s="1" t="s">
        <v>448</v>
      </c>
      <c r="D432" s="1" t="s">
        <v>448</v>
      </c>
      <c r="E432" s="1" t="s">
        <v>448</v>
      </c>
      <c r="F432" s="1" t="s">
        <v>448</v>
      </c>
      <c r="G432" s="1" t="s">
        <v>448</v>
      </c>
      <c r="H432" s="1" t="s">
        <v>448</v>
      </c>
      <c r="I432" s="1" t="s">
        <v>448</v>
      </c>
      <c r="J432" s="1" t="s">
        <v>448</v>
      </c>
      <c r="K432" s="1" t="s">
        <v>448</v>
      </c>
      <c r="L432" s="1" t="s">
        <v>448</v>
      </c>
      <c r="M432" s="1" t="s">
        <v>448</v>
      </c>
      <c r="N432" s="1" t="s">
        <v>448</v>
      </c>
      <c r="O432" s="1">
        <v>20064</v>
      </c>
      <c r="P432" s="1" t="s">
        <v>149</v>
      </c>
      <c r="Q432" s="1" t="s">
        <v>150</v>
      </c>
      <c r="R432" t="str">
        <f t="shared" si="12"/>
        <v/>
      </c>
      <c r="S432" t="str">
        <f t="shared" si="13"/>
        <v/>
      </c>
    </row>
    <row r="433" spans="1:19" x14ac:dyDescent="0.25">
      <c r="A433" s="1" t="s">
        <v>448</v>
      </c>
      <c r="B433" s="5" t="s">
        <v>448</v>
      </c>
      <c r="C433" s="1" t="s">
        <v>448</v>
      </c>
      <c r="D433" s="1" t="s">
        <v>448</v>
      </c>
      <c r="E433" s="1" t="s">
        <v>448</v>
      </c>
      <c r="F433" s="1" t="s">
        <v>448</v>
      </c>
      <c r="G433" s="1" t="s">
        <v>448</v>
      </c>
      <c r="H433" s="1" t="s">
        <v>448</v>
      </c>
      <c r="I433" s="1" t="s">
        <v>448</v>
      </c>
      <c r="J433" s="1" t="s">
        <v>448</v>
      </c>
      <c r="K433" s="1" t="s">
        <v>448</v>
      </c>
      <c r="L433" s="1" t="s">
        <v>448</v>
      </c>
      <c r="M433" s="1" t="s">
        <v>448</v>
      </c>
      <c r="N433" s="1" t="s">
        <v>448</v>
      </c>
      <c r="O433" s="1">
        <v>20064</v>
      </c>
      <c r="P433" s="1" t="s">
        <v>149</v>
      </c>
      <c r="Q433" s="1" t="s">
        <v>150</v>
      </c>
      <c r="R433" t="str">
        <f t="shared" si="12"/>
        <v/>
      </c>
      <c r="S433" t="str">
        <f t="shared" si="13"/>
        <v/>
      </c>
    </row>
    <row r="434" spans="1:19" x14ac:dyDescent="0.25">
      <c r="A434" s="1" t="s">
        <v>448</v>
      </c>
      <c r="B434" s="5" t="s">
        <v>448</v>
      </c>
      <c r="C434" s="1" t="s">
        <v>448</v>
      </c>
      <c r="D434" s="1" t="s">
        <v>448</v>
      </c>
      <c r="E434" s="1" t="s">
        <v>448</v>
      </c>
      <c r="F434" s="1" t="s">
        <v>448</v>
      </c>
      <c r="G434" s="1" t="s">
        <v>448</v>
      </c>
      <c r="H434" s="1" t="s">
        <v>448</v>
      </c>
      <c r="I434" s="1" t="s">
        <v>448</v>
      </c>
      <c r="J434" s="1" t="s">
        <v>448</v>
      </c>
      <c r="K434" s="1" t="s">
        <v>448</v>
      </c>
      <c r="L434" s="1" t="s">
        <v>448</v>
      </c>
      <c r="M434" s="1" t="s">
        <v>448</v>
      </c>
      <c r="N434" s="1" t="s">
        <v>448</v>
      </c>
      <c r="O434" s="1">
        <v>20064</v>
      </c>
      <c r="P434" s="1" t="s">
        <v>149</v>
      </c>
      <c r="Q434" s="1" t="s">
        <v>150</v>
      </c>
      <c r="R434" t="str">
        <f t="shared" si="12"/>
        <v/>
      </c>
      <c r="S434" t="str">
        <f t="shared" si="13"/>
        <v/>
      </c>
    </row>
    <row r="435" spans="1:19" x14ac:dyDescent="0.25">
      <c r="A435" s="1" t="s">
        <v>448</v>
      </c>
      <c r="B435" s="5" t="s">
        <v>448</v>
      </c>
      <c r="C435" s="1" t="s">
        <v>448</v>
      </c>
      <c r="D435" s="1" t="s">
        <v>448</v>
      </c>
      <c r="E435" s="1" t="s">
        <v>448</v>
      </c>
      <c r="F435" s="1" t="s">
        <v>448</v>
      </c>
      <c r="G435" s="1" t="s">
        <v>448</v>
      </c>
      <c r="H435" s="1" t="s">
        <v>448</v>
      </c>
      <c r="I435" s="1" t="s">
        <v>448</v>
      </c>
      <c r="J435" s="1" t="s">
        <v>448</v>
      </c>
      <c r="K435" s="1" t="s">
        <v>448</v>
      </c>
      <c r="L435" s="1" t="s">
        <v>448</v>
      </c>
      <c r="M435" s="1" t="s">
        <v>448</v>
      </c>
      <c r="N435" s="1" t="s">
        <v>448</v>
      </c>
      <c r="O435" s="1">
        <v>20064</v>
      </c>
      <c r="P435" s="1" t="s">
        <v>149</v>
      </c>
      <c r="Q435" s="1" t="s">
        <v>150</v>
      </c>
      <c r="R435" t="str">
        <f t="shared" si="12"/>
        <v/>
      </c>
      <c r="S435" t="str">
        <f t="shared" si="13"/>
        <v/>
      </c>
    </row>
    <row r="436" spans="1:19" x14ac:dyDescent="0.25">
      <c r="A436" s="1" t="s">
        <v>448</v>
      </c>
      <c r="B436" s="5" t="s">
        <v>448</v>
      </c>
      <c r="C436" s="1" t="s">
        <v>448</v>
      </c>
      <c r="D436" s="1" t="s">
        <v>448</v>
      </c>
      <c r="E436" s="1" t="s">
        <v>448</v>
      </c>
      <c r="F436" s="1" t="s">
        <v>448</v>
      </c>
      <c r="G436" s="1" t="s">
        <v>448</v>
      </c>
      <c r="H436" s="1" t="s">
        <v>448</v>
      </c>
      <c r="I436" s="1" t="s">
        <v>448</v>
      </c>
      <c r="J436" s="1" t="s">
        <v>448</v>
      </c>
      <c r="K436" s="1" t="s">
        <v>448</v>
      </c>
      <c r="L436" s="1" t="s">
        <v>448</v>
      </c>
      <c r="M436" s="1" t="s">
        <v>448</v>
      </c>
      <c r="N436" s="1" t="s">
        <v>448</v>
      </c>
      <c r="O436" s="1">
        <v>20064</v>
      </c>
      <c r="P436" s="1" t="s">
        <v>149</v>
      </c>
      <c r="Q436" s="1" t="s">
        <v>150</v>
      </c>
      <c r="R436" t="str">
        <f t="shared" si="12"/>
        <v/>
      </c>
      <c r="S436" t="str">
        <f t="shared" si="13"/>
        <v/>
      </c>
    </row>
    <row r="437" spans="1:19" x14ac:dyDescent="0.25">
      <c r="A437" s="1" t="s">
        <v>448</v>
      </c>
      <c r="B437" s="5" t="s">
        <v>448</v>
      </c>
      <c r="C437" s="1" t="s">
        <v>448</v>
      </c>
      <c r="D437" s="1" t="s">
        <v>448</v>
      </c>
      <c r="E437" s="1" t="s">
        <v>448</v>
      </c>
      <c r="F437" s="1" t="s">
        <v>448</v>
      </c>
      <c r="G437" s="1" t="s">
        <v>448</v>
      </c>
      <c r="H437" s="1" t="s">
        <v>448</v>
      </c>
      <c r="I437" s="1" t="s">
        <v>448</v>
      </c>
      <c r="J437" s="1" t="s">
        <v>448</v>
      </c>
      <c r="K437" s="1" t="s">
        <v>448</v>
      </c>
      <c r="L437" s="1" t="s">
        <v>448</v>
      </c>
      <c r="M437" s="1" t="s">
        <v>448</v>
      </c>
      <c r="N437" s="1" t="s">
        <v>448</v>
      </c>
      <c r="O437" s="1">
        <v>20064</v>
      </c>
      <c r="P437" s="1" t="s">
        <v>149</v>
      </c>
      <c r="Q437" s="1" t="s">
        <v>150</v>
      </c>
      <c r="R437" t="str">
        <f t="shared" si="12"/>
        <v/>
      </c>
      <c r="S437" t="str">
        <f t="shared" si="13"/>
        <v/>
      </c>
    </row>
    <row r="438" spans="1:19" x14ac:dyDescent="0.25">
      <c r="A438" s="1" t="s">
        <v>448</v>
      </c>
      <c r="B438" s="5" t="s">
        <v>448</v>
      </c>
      <c r="C438" s="1" t="s">
        <v>448</v>
      </c>
      <c r="D438" s="1" t="s">
        <v>448</v>
      </c>
      <c r="E438" s="1" t="s">
        <v>448</v>
      </c>
      <c r="F438" s="1" t="s">
        <v>448</v>
      </c>
      <c r="G438" s="1" t="s">
        <v>448</v>
      </c>
      <c r="H438" s="1" t="s">
        <v>448</v>
      </c>
      <c r="I438" s="1" t="s">
        <v>448</v>
      </c>
      <c r="J438" s="1" t="s">
        <v>448</v>
      </c>
      <c r="K438" s="1" t="s">
        <v>448</v>
      </c>
      <c r="L438" s="1" t="s">
        <v>448</v>
      </c>
      <c r="M438" s="1" t="s">
        <v>448</v>
      </c>
      <c r="N438" s="1" t="s">
        <v>448</v>
      </c>
      <c r="O438" s="1">
        <v>20064</v>
      </c>
      <c r="P438" s="1" t="s">
        <v>149</v>
      </c>
      <c r="Q438" s="1" t="s">
        <v>150</v>
      </c>
      <c r="R438" t="str">
        <f t="shared" si="12"/>
        <v/>
      </c>
      <c r="S438" t="str">
        <f t="shared" si="13"/>
        <v/>
      </c>
    </row>
    <row r="439" spans="1:19" x14ac:dyDescent="0.25">
      <c r="A439" s="1" t="s">
        <v>448</v>
      </c>
      <c r="B439" s="5" t="s">
        <v>448</v>
      </c>
      <c r="C439" s="1" t="s">
        <v>448</v>
      </c>
      <c r="D439" s="1" t="s">
        <v>448</v>
      </c>
      <c r="E439" s="1" t="s">
        <v>448</v>
      </c>
      <c r="F439" s="1" t="s">
        <v>448</v>
      </c>
      <c r="G439" s="1" t="s">
        <v>448</v>
      </c>
      <c r="H439" s="1" t="s">
        <v>448</v>
      </c>
      <c r="I439" s="1" t="s">
        <v>448</v>
      </c>
      <c r="J439" s="1" t="s">
        <v>448</v>
      </c>
      <c r="K439" s="1" t="s">
        <v>448</v>
      </c>
      <c r="L439" s="1" t="s">
        <v>448</v>
      </c>
      <c r="M439" s="1" t="s">
        <v>448</v>
      </c>
      <c r="N439" s="1" t="s">
        <v>448</v>
      </c>
      <c r="O439" s="1">
        <v>20064</v>
      </c>
      <c r="P439" s="1" t="s">
        <v>149</v>
      </c>
      <c r="Q439" s="1" t="s">
        <v>150</v>
      </c>
      <c r="R439" t="str">
        <f t="shared" si="12"/>
        <v/>
      </c>
      <c r="S439" t="str">
        <f t="shared" si="13"/>
        <v/>
      </c>
    </row>
    <row r="440" spans="1:19" x14ac:dyDescent="0.25">
      <c r="A440" s="1" t="s">
        <v>448</v>
      </c>
      <c r="B440" s="5" t="s">
        <v>448</v>
      </c>
      <c r="C440" s="1" t="s">
        <v>448</v>
      </c>
      <c r="D440" s="1" t="s">
        <v>448</v>
      </c>
      <c r="E440" s="1" t="s">
        <v>448</v>
      </c>
      <c r="F440" s="1" t="s">
        <v>448</v>
      </c>
      <c r="G440" s="1" t="s">
        <v>448</v>
      </c>
      <c r="H440" s="1" t="s">
        <v>448</v>
      </c>
      <c r="I440" s="1" t="s">
        <v>448</v>
      </c>
      <c r="J440" s="1" t="s">
        <v>448</v>
      </c>
      <c r="K440" s="1" t="s">
        <v>448</v>
      </c>
      <c r="L440" s="1" t="s">
        <v>448</v>
      </c>
      <c r="M440" s="1" t="s">
        <v>448</v>
      </c>
      <c r="N440" s="1" t="s">
        <v>448</v>
      </c>
      <c r="O440" s="1">
        <v>20064</v>
      </c>
      <c r="P440" s="1" t="s">
        <v>149</v>
      </c>
      <c r="Q440" s="1" t="s">
        <v>150</v>
      </c>
      <c r="R440" t="str">
        <f t="shared" si="12"/>
        <v/>
      </c>
      <c r="S440" t="str">
        <f t="shared" si="13"/>
        <v/>
      </c>
    </row>
    <row r="441" spans="1:19" x14ac:dyDescent="0.25">
      <c r="A441" s="1" t="s">
        <v>448</v>
      </c>
      <c r="B441" s="5" t="s">
        <v>448</v>
      </c>
      <c r="C441" s="1" t="s">
        <v>448</v>
      </c>
      <c r="D441" s="1" t="s">
        <v>448</v>
      </c>
      <c r="E441" s="1" t="s">
        <v>448</v>
      </c>
      <c r="F441" s="1" t="s">
        <v>448</v>
      </c>
      <c r="G441" s="1" t="s">
        <v>448</v>
      </c>
      <c r="H441" s="1" t="s">
        <v>448</v>
      </c>
      <c r="I441" s="1" t="s">
        <v>448</v>
      </c>
      <c r="J441" s="1" t="s">
        <v>448</v>
      </c>
      <c r="K441" s="1" t="s">
        <v>448</v>
      </c>
      <c r="L441" s="1" t="s">
        <v>448</v>
      </c>
      <c r="M441" s="1" t="s">
        <v>448</v>
      </c>
      <c r="N441" s="1" t="s">
        <v>448</v>
      </c>
      <c r="O441" s="1">
        <v>20064</v>
      </c>
      <c r="P441" s="1" t="s">
        <v>149</v>
      </c>
      <c r="Q441" s="1" t="s">
        <v>150</v>
      </c>
      <c r="R441" t="str">
        <f t="shared" si="12"/>
        <v/>
      </c>
      <c r="S441" t="str">
        <f t="shared" si="13"/>
        <v/>
      </c>
    </row>
    <row r="442" spans="1:19" x14ac:dyDescent="0.25">
      <c r="A442" s="1" t="s">
        <v>448</v>
      </c>
      <c r="B442" s="5" t="s">
        <v>448</v>
      </c>
      <c r="C442" s="1" t="s">
        <v>448</v>
      </c>
      <c r="D442" s="1" t="s">
        <v>448</v>
      </c>
      <c r="E442" s="1" t="s">
        <v>448</v>
      </c>
      <c r="F442" s="1" t="s">
        <v>448</v>
      </c>
      <c r="G442" s="1" t="s">
        <v>448</v>
      </c>
      <c r="H442" s="1" t="s">
        <v>448</v>
      </c>
      <c r="I442" s="1" t="s">
        <v>448</v>
      </c>
      <c r="J442" s="1" t="s">
        <v>448</v>
      </c>
      <c r="K442" s="1" t="s">
        <v>448</v>
      </c>
      <c r="L442" s="1" t="s">
        <v>448</v>
      </c>
      <c r="M442" s="1" t="s">
        <v>448</v>
      </c>
      <c r="N442" s="1" t="s">
        <v>448</v>
      </c>
      <c r="O442" s="1">
        <v>20064</v>
      </c>
      <c r="P442" s="1" t="s">
        <v>149</v>
      </c>
      <c r="Q442" s="1" t="s">
        <v>150</v>
      </c>
      <c r="R442" t="str">
        <f t="shared" si="12"/>
        <v/>
      </c>
      <c r="S442" t="str">
        <f t="shared" si="13"/>
        <v/>
      </c>
    </row>
    <row r="443" spans="1:19" x14ac:dyDescent="0.25">
      <c r="A443" s="1" t="s">
        <v>448</v>
      </c>
      <c r="B443" s="5" t="s">
        <v>448</v>
      </c>
      <c r="C443" s="1" t="s">
        <v>448</v>
      </c>
      <c r="D443" s="1" t="s">
        <v>448</v>
      </c>
      <c r="E443" s="1" t="s">
        <v>448</v>
      </c>
      <c r="F443" s="1" t="s">
        <v>448</v>
      </c>
      <c r="G443" s="1" t="s">
        <v>448</v>
      </c>
      <c r="H443" s="1" t="s">
        <v>448</v>
      </c>
      <c r="I443" s="1" t="s">
        <v>448</v>
      </c>
      <c r="J443" s="1" t="s">
        <v>448</v>
      </c>
      <c r="K443" s="1" t="s">
        <v>448</v>
      </c>
      <c r="L443" s="1" t="s">
        <v>448</v>
      </c>
      <c r="M443" s="1" t="s">
        <v>448</v>
      </c>
      <c r="N443" s="1" t="s">
        <v>448</v>
      </c>
      <c r="O443" s="1">
        <v>20064</v>
      </c>
      <c r="P443" s="1" t="s">
        <v>149</v>
      </c>
      <c r="Q443" s="1" t="s">
        <v>150</v>
      </c>
      <c r="R443" t="str">
        <f t="shared" si="12"/>
        <v/>
      </c>
      <c r="S443" t="str">
        <f t="shared" si="13"/>
        <v/>
      </c>
    </row>
    <row r="444" spans="1:19" x14ac:dyDescent="0.25">
      <c r="A444" s="1" t="s">
        <v>448</v>
      </c>
      <c r="B444" s="5" t="s">
        <v>448</v>
      </c>
      <c r="C444" s="1" t="s">
        <v>448</v>
      </c>
      <c r="D444" s="1" t="s">
        <v>448</v>
      </c>
      <c r="E444" s="1" t="s">
        <v>448</v>
      </c>
      <c r="F444" s="1" t="s">
        <v>448</v>
      </c>
      <c r="G444" s="1" t="s">
        <v>448</v>
      </c>
      <c r="H444" s="1" t="s">
        <v>448</v>
      </c>
      <c r="I444" s="1" t="s">
        <v>448</v>
      </c>
      <c r="J444" s="1" t="s">
        <v>448</v>
      </c>
      <c r="K444" s="1" t="s">
        <v>448</v>
      </c>
      <c r="L444" s="1" t="s">
        <v>448</v>
      </c>
      <c r="M444" s="1" t="s">
        <v>448</v>
      </c>
      <c r="N444" s="1" t="s">
        <v>448</v>
      </c>
      <c r="O444" s="1">
        <v>20064</v>
      </c>
      <c r="P444" s="1" t="s">
        <v>149</v>
      </c>
      <c r="Q444" s="1" t="s">
        <v>150</v>
      </c>
      <c r="R444" t="str">
        <f t="shared" si="12"/>
        <v/>
      </c>
      <c r="S444" t="str">
        <f t="shared" si="13"/>
        <v/>
      </c>
    </row>
    <row r="445" spans="1:19" x14ac:dyDescent="0.25">
      <c r="A445" s="1" t="s">
        <v>448</v>
      </c>
      <c r="B445" s="5" t="s">
        <v>448</v>
      </c>
      <c r="C445" s="1" t="s">
        <v>448</v>
      </c>
      <c r="D445" s="1" t="s">
        <v>448</v>
      </c>
      <c r="E445" s="1" t="s">
        <v>448</v>
      </c>
      <c r="F445" s="1" t="s">
        <v>448</v>
      </c>
      <c r="G445" s="1" t="s">
        <v>448</v>
      </c>
      <c r="H445" s="1" t="s">
        <v>448</v>
      </c>
      <c r="I445" s="1" t="s">
        <v>448</v>
      </c>
      <c r="J445" s="1" t="s">
        <v>448</v>
      </c>
      <c r="K445" s="1" t="s">
        <v>448</v>
      </c>
      <c r="L445" s="1" t="s">
        <v>448</v>
      </c>
      <c r="M445" s="1" t="s">
        <v>448</v>
      </c>
      <c r="N445" s="1" t="s">
        <v>448</v>
      </c>
      <c r="O445" s="1">
        <v>20064</v>
      </c>
      <c r="P445" s="1" t="s">
        <v>149</v>
      </c>
      <c r="Q445" s="1" t="s">
        <v>150</v>
      </c>
      <c r="R445" t="str">
        <f t="shared" si="12"/>
        <v/>
      </c>
      <c r="S445" t="str">
        <f t="shared" si="13"/>
        <v/>
      </c>
    </row>
    <row r="446" spans="1:19" x14ac:dyDescent="0.25">
      <c r="A446" s="1" t="s">
        <v>448</v>
      </c>
      <c r="B446" s="5" t="s">
        <v>448</v>
      </c>
      <c r="C446" s="1" t="s">
        <v>448</v>
      </c>
      <c r="D446" s="1" t="s">
        <v>448</v>
      </c>
      <c r="E446" s="1" t="s">
        <v>448</v>
      </c>
      <c r="F446" s="1" t="s">
        <v>448</v>
      </c>
      <c r="G446" s="1" t="s">
        <v>448</v>
      </c>
      <c r="H446" s="1" t="s">
        <v>448</v>
      </c>
      <c r="I446" s="1" t="s">
        <v>448</v>
      </c>
      <c r="J446" s="1" t="s">
        <v>448</v>
      </c>
      <c r="K446" s="1" t="s">
        <v>448</v>
      </c>
      <c r="L446" s="1" t="s">
        <v>448</v>
      </c>
      <c r="M446" s="1" t="s">
        <v>448</v>
      </c>
      <c r="N446" s="1" t="s">
        <v>448</v>
      </c>
      <c r="O446" s="1">
        <v>20064</v>
      </c>
      <c r="P446" s="1" t="s">
        <v>149</v>
      </c>
      <c r="Q446" s="1" t="s">
        <v>150</v>
      </c>
      <c r="R446" t="str">
        <f t="shared" si="12"/>
        <v/>
      </c>
      <c r="S446" t="str">
        <f t="shared" si="13"/>
        <v/>
      </c>
    </row>
    <row r="447" spans="1:19" x14ac:dyDescent="0.25">
      <c r="A447" s="1" t="s">
        <v>448</v>
      </c>
      <c r="B447" s="5" t="s">
        <v>448</v>
      </c>
      <c r="C447" s="1" t="s">
        <v>448</v>
      </c>
      <c r="D447" s="1" t="s">
        <v>448</v>
      </c>
      <c r="E447" s="1" t="s">
        <v>448</v>
      </c>
      <c r="F447" s="1" t="s">
        <v>448</v>
      </c>
      <c r="G447" s="1" t="s">
        <v>448</v>
      </c>
      <c r="H447" s="1" t="s">
        <v>448</v>
      </c>
      <c r="I447" s="1" t="s">
        <v>448</v>
      </c>
      <c r="J447" s="1" t="s">
        <v>448</v>
      </c>
      <c r="K447" s="1" t="s">
        <v>448</v>
      </c>
      <c r="L447" s="1" t="s">
        <v>448</v>
      </c>
      <c r="M447" s="1" t="s">
        <v>448</v>
      </c>
      <c r="N447" s="1" t="s">
        <v>448</v>
      </c>
      <c r="O447" s="1">
        <v>20064</v>
      </c>
      <c r="P447" s="1" t="s">
        <v>149</v>
      </c>
      <c r="Q447" s="1" t="s">
        <v>150</v>
      </c>
      <c r="R447" t="str">
        <f t="shared" si="12"/>
        <v/>
      </c>
      <c r="S447" t="str">
        <f t="shared" si="13"/>
        <v/>
      </c>
    </row>
    <row r="448" spans="1:19" x14ac:dyDescent="0.25">
      <c r="A448" s="1" t="s">
        <v>448</v>
      </c>
      <c r="B448" s="5" t="s">
        <v>448</v>
      </c>
      <c r="C448" s="1" t="s">
        <v>448</v>
      </c>
      <c r="D448" s="1" t="s">
        <v>448</v>
      </c>
      <c r="E448" s="1" t="s">
        <v>448</v>
      </c>
      <c r="F448" s="1" t="s">
        <v>448</v>
      </c>
      <c r="G448" s="1" t="s">
        <v>448</v>
      </c>
      <c r="H448" s="1" t="s">
        <v>448</v>
      </c>
      <c r="I448" s="1" t="s">
        <v>448</v>
      </c>
      <c r="J448" s="1" t="s">
        <v>448</v>
      </c>
      <c r="K448" s="1" t="s">
        <v>448</v>
      </c>
      <c r="L448" s="1" t="s">
        <v>448</v>
      </c>
      <c r="M448" s="1" t="s">
        <v>448</v>
      </c>
      <c r="N448" s="1" t="s">
        <v>448</v>
      </c>
      <c r="O448" s="1">
        <v>20064</v>
      </c>
      <c r="P448" s="1" t="s">
        <v>149</v>
      </c>
      <c r="Q448" s="1" t="s">
        <v>150</v>
      </c>
      <c r="R448" t="str">
        <f t="shared" si="12"/>
        <v/>
      </c>
      <c r="S448" t="str">
        <f t="shared" si="13"/>
        <v/>
      </c>
    </row>
    <row r="449" spans="1:19" x14ac:dyDescent="0.25">
      <c r="A449" s="1" t="s">
        <v>448</v>
      </c>
      <c r="B449" s="5" t="s">
        <v>448</v>
      </c>
      <c r="C449" s="1" t="s">
        <v>448</v>
      </c>
      <c r="D449" s="1" t="s">
        <v>448</v>
      </c>
      <c r="E449" s="1" t="s">
        <v>448</v>
      </c>
      <c r="F449" s="1" t="s">
        <v>448</v>
      </c>
      <c r="G449" s="1" t="s">
        <v>448</v>
      </c>
      <c r="H449" s="1" t="s">
        <v>448</v>
      </c>
      <c r="I449" s="1" t="s">
        <v>448</v>
      </c>
      <c r="J449" s="1" t="s">
        <v>448</v>
      </c>
      <c r="K449" s="1" t="s">
        <v>448</v>
      </c>
      <c r="L449" s="1" t="s">
        <v>448</v>
      </c>
      <c r="M449" s="1" t="s">
        <v>448</v>
      </c>
      <c r="N449" s="1" t="s">
        <v>448</v>
      </c>
      <c r="O449" s="1">
        <v>20064</v>
      </c>
      <c r="P449" s="1" t="s">
        <v>149</v>
      </c>
      <c r="Q449" s="1" t="s">
        <v>150</v>
      </c>
      <c r="R449" t="str">
        <f t="shared" si="12"/>
        <v/>
      </c>
      <c r="S449" t="str">
        <f t="shared" si="13"/>
        <v/>
      </c>
    </row>
    <row r="450" spans="1:19" x14ac:dyDescent="0.25">
      <c r="A450" s="1" t="s">
        <v>448</v>
      </c>
      <c r="B450" s="5" t="s">
        <v>448</v>
      </c>
      <c r="C450" s="1" t="s">
        <v>448</v>
      </c>
      <c r="D450" s="1" t="s">
        <v>448</v>
      </c>
      <c r="E450" s="1" t="s">
        <v>448</v>
      </c>
      <c r="F450" s="1" t="s">
        <v>448</v>
      </c>
      <c r="G450" s="1" t="s">
        <v>448</v>
      </c>
      <c r="H450" s="1" t="s">
        <v>448</v>
      </c>
      <c r="I450" s="1" t="s">
        <v>448</v>
      </c>
      <c r="J450" s="1" t="s">
        <v>448</v>
      </c>
      <c r="K450" s="1" t="s">
        <v>448</v>
      </c>
      <c r="L450" s="1" t="s">
        <v>448</v>
      </c>
      <c r="M450" s="1" t="s">
        <v>448</v>
      </c>
      <c r="N450" s="1" t="s">
        <v>448</v>
      </c>
      <c r="O450" s="1">
        <v>20064</v>
      </c>
      <c r="P450" s="1" t="s">
        <v>149</v>
      </c>
      <c r="Q450" s="1" t="s">
        <v>150</v>
      </c>
      <c r="R450" t="str">
        <f t="shared" ref="R450:R513" si="14">IF(ISNUMBER(B450),INT(B450*24),"")</f>
        <v/>
      </c>
      <c r="S450" t="str">
        <f t="shared" ref="S450:S513" si="15">IF(ISNUMBER(B450),ROUND((B450*24-R450)*60,0),"")</f>
        <v/>
      </c>
    </row>
    <row r="451" spans="1:19" x14ac:dyDescent="0.25">
      <c r="A451" s="1" t="s">
        <v>448</v>
      </c>
      <c r="B451" s="5" t="s">
        <v>448</v>
      </c>
      <c r="C451" s="1" t="s">
        <v>448</v>
      </c>
      <c r="D451" s="1" t="s">
        <v>448</v>
      </c>
      <c r="E451" s="1" t="s">
        <v>448</v>
      </c>
      <c r="F451" s="1" t="s">
        <v>448</v>
      </c>
      <c r="G451" s="1" t="s">
        <v>448</v>
      </c>
      <c r="H451" s="1" t="s">
        <v>448</v>
      </c>
      <c r="I451" s="1" t="s">
        <v>448</v>
      </c>
      <c r="J451" s="1" t="s">
        <v>448</v>
      </c>
      <c r="K451" s="1" t="s">
        <v>448</v>
      </c>
      <c r="L451" s="1" t="s">
        <v>448</v>
      </c>
      <c r="M451" s="1" t="s">
        <v>448</v>
      </c>
      <c r="N451" s="1" t="s">
        <v>448</v>
      </c>
      <c r="O451" s="1">
        <v>20064</v>
      </c>
      <c r="P451" s="1" t="s">
        <v>149</v>
      </c>
      <c r="Q451" s="1" t="s">
        <v>150</v>
      </c>
      <c r="R451" t="str">
        <f t="shared" si="14"/>
        <v/>
      </c>
      <c r="S451" t="str">
        <f t="shared" si="15"/>
        <v/>
      </c>
    </row>
    <row r="452" spans="1:19" x14ac:dyDescent="0.25">
      <c r="A452" s="1" t="s">
        <v>448</v>
      </c>
      <c r="B452" s="5" t="s">
        <v>448</v>
      </c>
      <c r="C452" s="1" t="s">
        <v>448</v>
      </c>
      <c r="D452" s="1" t="s">
        <v>448</v>
      </c>
      <c r="E452" s="1" t="s">
        <v>448</v>
      </c>
      <c r="F452" s="1" t="s">
        <v>448</v>
      </c>
      <c r="G452" s="1" t="s">
        <v>448</v>
      </c>
      <c r="H452" s="1" t="s">
        <v>448</v>
      </c>
      <c r="I452" s="1" t="s">
        <v>448</v>
      </c>
      <c r="J452" s="1" t="s">
        <v>448</v>
      </c>
      <c r="K452" s="1" t="s">
        <v>448</v>
      </c>
      <c r="L452" s="1" t="s">
        <v>448</v>
      </c>
      <c r="M452" s="1" t="s">
        <v>448</v>
      </c>
      <c r="N452" s="1" t="s">
        <v>448</v>
      </c>
      <c r="O452" s="1">
        <v>20064</v>
      </c>
      <c r="P452" s="1" t="s">
        <v>149</v>
      </c>
      <c r="Q452" s="1" t="s">
        <v>150</v>
      </c>
      <c r="R452" t="str">
        <f t="shared" si="14"/>
        <v/>
      </c>
      <c r="S452" t="str">
        <f t="shared" si="15"/>
        <v/>
      </c>
    </row>
    <row r="453" spans="1:19" x14ac:dyDescent="0.25">
      <c r="A453" s="1" t="s">
        <v>448</v>
      </c>
      <c r="B453" s="5" t="s">
        <v>448</v>
      </c>
      <c r="C453" s="1" t="s">
        <v>448</v>
      </c>
      <c r="D453" s="1" t="s">
        <v>448</v>
      </c>
      <c r="E453" s="1" t="s">
        <v>448</v>
      </c>
      <c r="F453" s="1" t="s">
        <v>448</v>
      </c>
      <c r="G453" s="1" t="s">
        <v>448</v>
      </c>
      <c r="H453" s="1" t="s">
        <v>448</v>
      </c>
      <c r="I453" s="1" t="s">
        <v>448</v>
      </c>
      <c r="J453" s="1" t="s">
        <v>448</v>
      </c>
      <c r="K453" s="1" t="s">
        <v>448</v>
      </c>
      <c r="L453" s="1" t="s">
        <v>448</v>
      </c>
      <c r="M453" s="1" t="s">
        <v>448</v>
      </c>
      <c r="N453" s="1" t="s">
        <v>448</v>
      </c>
      <c r="O453" s="1">
        <v>20064</v>
      </c>
      <c r="P453" s="1" t="s">
        <v>149</v>
      </c>
      <c r="Q453" s="1" t="s">
        <v>150</v>
      </c>
      <c r="R453" t="str">
        <f t="shared" si="14"/>
        <v/>
      </c>
      <c r="S453" t="str">
        <f t="shared" si="15"/>
        <v/>
      </c>
    </row>
    <row r="454" spans="1:19" x14ac:dyDescent="0.25">
      <c r="A454" s="1" t="s">
        <v>448</v>
      </c>
      <c r="B454" s="5" t="s">
        <v>448</v>
      </c>
      <c r="C454" s="1" t="s">
        <v>448</v>
      </c>
      <c r="D454" s="1" t="s">
        <v>448</v>
      </c>
      <c r="E454" s="1" t="s">
        <v>448</v>
      </c>
      <c r="F454" s="1" t="s">
        <v>448</v>
      </c>
      <c r="G454" s="1" t="s">
        <v>448</v>
      </c>
      <c r="H454" s="1" t="s">
        <v>448</v>
      </c>
      <c r="I454" s="1" t="s">
        <v>448</v>
      </c>
      <c r="J454" s="1" t="s">
        <v>448</v>
      </c>
      <c r="K454" s="1" t="s">
        <v>448</v>
      </c>
      <c r="L454" s="1" t="s">
        <v>448</v>
      </c>
      <c r="M454" s="1" t="s">
        <v>448</v>
      </c>
      <c r="N454" s="1" t="s">
        <v>448</v>
      </c>
      <c r="O454" s="1">
        <v>20064</v>
      </c>
      <c r="P454" s="1" t="s">
        <v>149</v>
      </c>
      <c r="Q454" s="1" t="s">
        <v>150</v>
      </c>
      <c r="R454" t="str">
        <f t="shared" si="14"/>
        <v/>
      </c>
      <c r="S454" t="str">
        <f t="shared" si="15"/>
        <v/>
      </c>
    </row>
    <row r="455" spans="1:19" x14ac:dyDescent="0.25">
      <c r="A455" s="1" t="s">
        <v>448</v>
      </c>
      <c r="B455" s="5" t="s">
        <v>448</v>
      </c>
      <c r="C455" s="1" t="s">
        <v>448</v>
      </c>
      <c r="D455" s="1" t="s">
        <v>448</v>
      </c>
      <c r="E455" s="1" t="s">
        <v>448</v>
      </c>
      <c r="F455" s="1" t="s">
        <v>448</v>
      </c>
      <c r="G455" s="1" t="s">
        <v>448</v>
      </c>
      <c r="H455" s="1" t="s">
        <v>448</v>
      </c>
      <c r="I455" s="1" t="s">
        <v>448</v>
      </c>
      <c r="J455" s="1" t="s">
        <v>448</v>
      </c>
      <c r="K455" s="1" t="s">
        <v>448</v>
      </c>
      <c r="L455" s="1" t="s">
        <v>448</v>
      </c>
      <c r="M455" s="1" t="s">
        <v>448</v>
      </c>
      <c r="N455" s="1" t="s">
        <v>448</v>
      </c>
      <c r="O455" s="1">
        <v>20064</v>
      </c>
      <c r="P455" s="1" t="s">
        <v>149</v>
      </c>
      <c r="Q455" s="1" t="s">
        <v>150</v>
      </c>
      <c r="R455" t="str">
        <f t="shared" si="14"/>
        <v/>
      </c>
      <c r="S455" t="str">
        <f t="shared" si="15"/>
        <v/>
      </c>
    </row>
    <row r="456" spans="1:19" x14ac:dyDescent="0.25">
      <c r="A456" s="1" t="s">
        <v>448</v>
      </c>
      <c r="B456" s="5" t="s">
        <v>448</v>
      </c>
      <c r="C456" s="1" t="s">
        <v>448</v>
      </c>
      <c r="D456" s="1" t="s">
        <v>448</v>
      </c>
      <c r="E456" s="1" t="s">
        <v>448</v>
      </c>
      <c r="F456" s="1" t="s">
        <v>448</v>
      </c>
      <c r="G456" s="1" t="s">
        <v>448</v>
      </c>
      <c r="H456" s="1" t="s">
        <v>448</v>
      </c>
      <c r="I456" s="1" t="s">
        <v>448</v>
      </c>
      <c r="J456" s="1" t="s">
        <v>448</v>
      </c>
      <c r="K456" s="1" t="s">
        <v>448</v>
      </c>
      <c r="L456" s="1" t="s">
        <v>448</v>
      </c>
      <c r="M456" s="1" t="s">
        <v>448</v>
      </c>
      <c r="N456" s="1" t="s">
        <v>448</v>
      </c>
      <c r="O456" s="1">
        <v>20064</v>
      </c>
      <c r="P456" s="1" t="s">
        <v>149</v>
      </c>
      <c r="Q456" s="1" t="s">
        <v>150</v>
      </c>
      <c r="R456" t="str">
        <f t="shared" si="14"/>
        <v/>
      </c>
      <c r="S456" t="str">
        <f t="shared" si="15"/>
        <v/>
      </c>
    </row>
    <row r="457" spans="1:19" x14ac:dyDescent="0.25">
      <c r="A457" s="1" t="s">
        <v>448</v>
      </c>
      <c r="B457" s="5" t="s">
        <v>448</v>
      </c>
      <c r="C457" s="1" t="s">
        <v>448</v>
      </c>
      <c r="D457" s="1" t="s">
        <v>448</v>
      </c>
      <c r="E457" s="1" t="s">
        <v>448</v>
      </c>
      <c r="F457" s="1" t="s">
        <v>448</v>
      </c>
      <c r="G457" s="1" t="s">
        <v>448</v>
      </c>
      <c r="H457" s="1" t="s">
        <v>448</v>
      </c>
      <c r="I457" s="1" t="s">
        <v>448</v>
      </c>
      <c r="J457" s="1" t="s">
        <v>448</v>
      </c>
      <c r="K457" s="1" t="s">
        <v>448</v>
      </c>
      <c r="L457" s="1" t="s">
        <v>448</v>
      </c>
      <c r="M457" s="1" t="s">
        <v>448</v>
      </c>
      <c r="N457" s="1" t="s">
        <v>448</v>
      </c>
      <c r="O457" s="1">
        <v>20064</v>
      </c>
      <c r="P457" s="1" t="s">
        <v>149</v>
      </c>
      <c r="Q457" s="1" t="s">
        <v>150</v>
      </c>
      <c r="R457" t="str">
        <f t="shared" si="14"/>
        <v/>
      </c>
      <c r="S457" t="str">
        <f t="shared" si="15"/>
        <v/>
      </c>
    </row>
    <row r="458" spans="1:19" x14ac:dyDescent="0.25">
      <c r="A458" s="1" t="s">
        <v>448</v>
      </c>
      <c r="B458" s="5" t="s">
        <v>448</v>
      </c>
      <c r="C458" s="1" t="s">
        <v>448</v>
      </c>
      <c r="D458" s="1" t="s">
        <v>448</v>
      </c>
      <c r="E458" s="1" t="s">
        <v>448</v>
      </c>
      <c r="F458" s="1" t="s">
        <v>448</v>
      </c>
      <c r="G458" s="1" t="s">
        <v>448</v>
      </c>
      <c r="H458" s="1" t="s">
        <v>448</v>
      </c>
      <c r="I458" s="1" t="s">
        <v>448</v>
      </c>
      <c r="J458" s="1" t="s">
        <v>448</v>
      </c>
      <c r="K458" s="1" t="s">
        <v>448</v>
      </c>
      <c r="L458" s="1" t="s">
        <v>448</v>
      </c>
      <c r="M458" s="1" t="s">
        <v>448</v>
      </c>
      <c r="N458" s="1" t="s">
        <v>448</v>
      </c>
      <c r="O458" s="1">
        <v>20064</v>
      </c>
      <c r="P458" s="1" t="s">
        <v>149</v>
      </c>
      <c r="Q458" s="1" t="s">
        <v>150</v>
      </c>
      <c r="R458" t="str">
        <f t="shared" si="14"/>
        <v/>
      </c>
      <c r="S458" t="str">
        <f t="shared" si="15"/>
        <v/>
      </c>
    </row>
    <row r="459" spans="1:19" x14ac:dyDescent="0.25">
      <c r="A459" s="1" t="s">
        <v>448</v>
      </c>
      <c r="B459" s="5" t="s">
        <v>448</v>
      </c>
      <c r="C459" s="1" t="s">
        <v>448</v>
      </c>
      <c r="D459" s="1" t="s">
        <v>448</v>
      </c>
      <c r="E459" s="1" t="s">
        <v>448</v>
      </c>
      <c r="F459" s="1" t="s">
        <v>448</v>
      </c>
      <c r="G459" s="1" t="s">
        <v>448</v>
      </c>
      <c r="H459" s="1" t="s">
        <v>448</v>
      </c>
      <c r="I459" s="1" t="s">
        <v>448</v>
      </c>
      <c r="J459" s="1" t="s">
        <v>448</v>
      </c>
      <c r="K459" s="1" t="s">
        <v>448</v>
      </c>
      <c r="L459" s="1" t="s">
        <v>448</v>
      </c>
      <c r="M459" s="1" t="s">
        <v>448</v>
      </c>
      <c r="N459" s="1" t="s">
        <v>448</v>
      </c>
      <c r="O459" s="1">
        <v>20064</v>
      </c>
      <c r="P459" s="1" t="s">
        <v>149</v>
      </c>
      <c r="Q459" s="1" t="s">
        <v>150</v>
      </c>
      <c r="R459" t="str">
        <f t="shared" si="14"/>
        <v/>
      </c>
      <c r="S459" t="str">
        <f t="shared" si="15"/>
        <v/>
      </c>
    </row>
    <row r="460" spans="1:19" x14ac:dyDescent="0.25">
      <c r="A460" s="1" t="s">
        <v>448</v>
      </c>
      <c r="B460" s="5" t="s">
        <v>448</v>
      </c>
      <c r="C460" s="1" t="s">
        <v>448</v>
      </c>
      <c r="D460" s="1" t="s">
        <v>448</v>
      </c>
      <c r="E460" s="1" t="s">
        <v>448</v>
      </c>
      <c r="F460" s="1" t="s">
        <v>448</v>
      </c>
      <c r="G460" s="1" t="s">
        <v>448</v>
      </c>
      <c r="H460" s="1" t="s">
        <v>448</v>
      </c>
      <c r="I460" s="1" t="s">
        <v>448</v>
      </c>
      <c r="J460" s="1" t="s">
        <v>448</v>
      </c>
      <c r="K460" s="1" t="s">
        <v>448</v>
      </c>
      <c r="L460" s="1" t="s">
        <v>448</v>
      </c>
      <c r="M460" s="1" t="s">
        <v>448</v>
      </c>
      <c r="N460" s="1" t="s">
        <v>448</v>
      </c>
      <c r="O460" s="1">
        <v>20064</v>
      </c>
      <c r="P460" s="1" t="s">
        <v>149</v>
      </c>
      <c r="Q460" s="1" t="s">
        <v>150</v>
      </c>
      <c r="R460" t="str">
        <f t="shared" si="14"/>
        <v/>
      </c>
      <c r="S460" t="str">
        <f t="shared" si="15"/>
        <v/>
      </c>
    </row>
    <row r="461" spans="1:19" x14ac:dyDescent="0.25">
      <c r="A461" s="1" t="s">
        <v>448</v>
      </c>
      <c r="B461" s="5" t="s">
        <v>448</v>
      </c>
      <c r="C461" s="1" t="s">
        <v>448</v>
      </c>
      <c r="D461" s="1" t="s">
        <v>448</v>
      </c>
      <c r="E461" s="1" t="s">
        <v>448</v>
      </c>
      <c r="F461" s="1" t="s">
        <v>448</v>
      </c>
      <c r="G461" s="1" t="s">
        <v>448</v>
      </c>
      <c r="H461" s="1" t="s">
        <v>448</v>
      </c>
      <c r="I461" s="1" t="s">
        <v>448</v>
      </c>
      <c r="J461" s="1" t="s">
        <v>448</v>
      </c>
      <c r="K461" s="1" t="s">
        <v>448</v>
      </c>
      <c r="L461" s="1" t="s">
        <v>448</v>
      </c>
      <c r="M461" s="1" t="s">
        <v>448</v>
      </c>
      <c r="N461" s="1" t="s">
        <v>448</v>
      </c>
      <c r="O461" s="1">
        <v>20064</v>
      </c>
      <c r="P461" s="1" t="s">
        <v>149</v>
      </c>
      <c r="Q461" s="1" t="s">
        <v>150</v>
      </c>
      <c r="R461" t="str">
        <f t="shared" si="14"/>
        <v/>
      </c>
      <c r="S461" t="str">
        <f t="shared" si="15"/>
        <v/>
      </c>
    </row>
    <row r="462" spans="1:19" x14ac:dyDescent="0.25">
      <c r="A462" s="1" t="s">
        <v>448</v>
      </c>
      <c r="B462" s="5" t="s">
        <v>448</v>
      </c>
      <c r="C462" s="1" t="s">
        <v>448</v>
      </c>
      <c r="D462" s="1" t="s">
        <v>448</v>
      </c>
      <c r="E462" s="1" t="s">
        <v>448</v>
      </c>
      <c r="F462" s="1" t="s">
        <v>448</v>
      </c>
      <c r="G462" s="1" t="s">
        <v>448</v>
      </c>
      <c r="H462" s="1" t="s">
        <v>448</v>
      </c>
      <c r="I462" s="1" t="s">
        <v>448</v>
      </c>
      <c r="J462" s="1" t="s">
        <v>448</v>
      </c>
      <c r="K462" s="1" t="s">
        <v>448</v>
      </c>
      <c r="L462" s="1" t="s">
        <v>448</v>
      </c>
      <c r="M462" s="1" t="s">
        <v>448</v>
      </c>
      <c r="N462" s="1" t="s">
        <v>448</v>
      </c>
      <c r="O462" s="1">
        <v>20064</v>
      </c>
      <c r="P462" s="1" t="s">
        <v>149</v>
      </c>
      <c r="Q462" s="1" t="s">
        <v>150</v>
      </c>
      <c r="R462" t="str">
        <f t="shared" si="14"/>
        <v/>
      </c>
      <c r="S462" t="str">
        <f t="shared" si="15"/>
        <v/>
      </c>
    </row>
    <row r="463" spans="1:19" x14ac:dyDescent="0.25">
      <c r="A463" s="1" t="s">
        <v>448</v>
      </c>
      <c r="B463" s="5" t="s">
        <v>448</v>
      </c>
      <c r="C463" s="1" t="s">
        <v>448</v>
      </c>
      <c r="D463" s="1" t="s">
        <v>448</v>
      </c>
      <c r="E463" s="1" t="s">
        <v>448</v>
      </c>
      <c r="F463" s="1" t="s">
        <v>448</v>
      </c>
      <c r="G463" s="1" t="s">
        <v>448</v>
      </c>
      <c r="H463" s="1" t="s">
        <v>448</v>
      </c>
      <c r="I463" s="1" t="s">
        <v>448</v>
      </c>
      <c r="J463" s="1" t="s">
        <v>448</v>
      </c>
      <c r="K463" s="1" t="s">
        <v>448</v>
      </c>
      <c r="L463" s="1" t="s">
        <v>448</v>
      </c>
      <c r="M463" s="1" t="s">
        <v>448</v>
      </c>
      <c r="N463" s="1" t="s">
        <v>448</v>
      </c>
      <c r="O463" s="1">
        <v>20064</v>
      </c>
      <c r="P463" s="1" t="s">
        <v>149</v>
      </c>
      <c r="Q463" s="1" t="s">
        <v>150</v>
      </c>
      <c r="R463" t="str">
        <f t="shared" si="14"/>
        <v/>
      </c>
      <c r="S463" t="str">
        <f t="shared" si="15"/>
        <v/>
      </c>
    </row>
    <row r="464" spans="1:19" x14ac:dyDescent="0.25">
      <c r="A464" s="1" t="s">
        <v>448</v>
      </c>
      <c r="B464" s="5" t="s">
        <v>448</v>
      </c>
      <c r="C464" s="1" t="s">
        <v>448</v>
      </c>
      <c r="D464" s="1" t="s">
        <v>448</v>
      </c>
      <c r="E464" s="1" t="s">
        <v>448</v>
      </c>
      <c r="F464" s="1" t="s">
        <v>448</v>
      </c>
      <c r="G464" s="1" t="s">
        <v>448</v>
      </c>
      <c r="H464" s="1" t="s">
        <v>448</v>
      </c>
      <c r="I464" s="1" t="s">
        <v>448</v>
      </c>
      <c r="J464" s="1" t="s">
        <v>448</v>
      </c>
      <c r="K464" s="1" t="s">
        <v>448</v>
      </c>
      <c r="L464" s="1" t="s">
        <v>448</v>
      </c>
      <c r="M464" s="1" t="s">
        <v>448</v>
      </c>
      <c r="N464" s="1" t="s">
        <v>448</v>
      </c>
      <c r="O464" s="1">
        <v>20064</v>
      </c>
      <c r="P464" s="1" t="s">
        <v>149</v>
      </c>
      <c r="Q464" s="1" t="s">
        <v>150</v>
      </c>
      <c r="R464" t="str">
        <f t="shared" si="14"/>
        <v/>
      </c>
      <c r="S464" t="str">
        <f t="shared" si="15"/>
        <v/>
      </c>
    </row>
    <row r="465" spans="1:19" x14ac:dyDescent="0.25">
      <c r="A465" s="1" t="s">
        <v>448</v>
      </c>
      <c r="B465" s="5" t="s">
        <v>448</v>
      </c>
      <c r="C465" s="1" t="s">
        <v>448</v>
      </c>
      <c r="D465" s="1" t="s">
        <v>448</v>
      </c>
      <c r="E465" s="1" t="s">
        <v>448</v>
      </c>
      <c r="F465" s="1" t="s">
        <v>448</v>
      </c>
      <c r="G465" s="1" t="s">
        <v>448</v>
      </c>
      <c r="H465" s="1" t="s">
        <v>448</v>
      </c>
      <c r="I465" s="1" t="s">
        <v>448</v>
      </c>
      <c r="J465" s="1" t="s">
        <v>448</v>
      </c>
      <c r="K465" s="1" t="s">
        <v>448</v>
      </c>
      <c r="L465" s="1" t="s">
        <v>448</v>
      </c>
      <c r="M465" s="1" t="s">
        <v>448</v>
      </c>
      <c r="N465" s="1" t="s">
        <v>448</v>
      </c>
      <c r="O465" s="1">
        <v>20064</v>
      </c>
      <c r="P465" s="1" t="s">
        <v>149</v>
      </c>
      <c r="Q465" s="1" t="s">
        <v>150</v>
      </c>
      <c r="R465" t="str">
        <f t="shared" si="14"/>
        <v/>
      </c>
      <c r="S465" t="str">
        <f t="shared" si="15"/>
        <v/>
      </c>
    </row>
    <row r="466" spans="1:19" x14ac:dyDescent="0.25">
      <c r="A466" s="1" t="s">
        <v>448</v>
      </c>
      <c r="B466" s="5" t="s">
        <v>448</v>
      </c>
      <c r="C466" s="1" t="s">
        <v>448</v>
      </c>
      <c r="D466" s="1" t="s">
        <v>448</v>
      </c>
      <c r="E466" s="1" t="s">
        <v>448</v>
      </c>
      <c r="F466" s="1" t="s">
        <v>448</v>
      </c>
      <c r="G466" s="1" t="s">
        <v>448</v>
      </c>
      <c r="H466" s="1" t="s">
        <v>448</v>
      </c>
      <c r="I466" s="1" t="s">
        <v>448</v>
      </c>
      <c r="J466" s="1" t="s">
        <v>448</v>
      </c>
      <c r="K466" s="1" t="s">
        <v>448</v>
      </c>
      <c r="L466" s="1" t="s">
        <v>448</v>
      </c>
      <c r="M466" s="1" t="s">
        <v>448</v>
      </c>
      <c r="N466" s="1" t="s">
        <v>448</v>
      </c>
      <c r="O466" s="1">
        <v>20064</v>
      </c>
      <c r="P466" s="1" t="s">
        <v>149</v>
      </c>
      <c r="Q466" s="1" t="s">
        <v>150</v>
      </c>
      <c r="R466" t="str">
        <f t="shared" si="14"/>
        <v/>
      </c>
      <c r="S466" t="str">
        <f t="shared" si="15"/>
        <v/>
      </c>
    </row>
    <row r="467" spans="1:19" x14ac:dyDescent="0.25">
      <c r="A467" s="1" t="s">
        <v>448</v>
      </c>
      <c r="B467" s="5" t="s">
        <v>448</v>
      </c>
      <c r="C467" s="1" t="s">
        <v>448</v>
      </c>
      <c r="D467" s="1" t="s">
        <v>448</v>
      </c>
      <c r="E467" s="1" t="s">
        <v>448</v>
      </c>
      <c r="F467" s="1" t="s">
        <v>448</v>
      </c>
      <c r="G467" s="1" t="s">
        <v>448</v>
      </c>
      <c r="H467" s="1" t="s">
        <v>448</v>
      </c>
      <c r="I467" s="1" t="s">
        <v>448</v>
      </c>
      <c r="J467" s="1" t="s">
        <v>448</v>
      </c>
      <c r="K467" s="1" t="s">
        <v>448</v>
      </c>
      <c r="L467" s="1" t="s">
        <v>448</v>
      </c>
      <c r="M467" s="1" t="s">
        <v>448</v>
      </c>
      <c r="N467" s="1" t="s">
        <v>448</v>
      </c>
      <c r="O467" s="1">
        <v>20064</v>
      </c>
      <c r="P467" s="1" t="s">
        <v>149</v>
      </c>
      <c r="Q467" s="1" t="s">
        <v>150</v>
      </c>
      <c r="R467" t="str">
        <f t="shared" si="14"/>
        <v/>
      </c>
      <c r="S467" t="str">
        <f t="shared" si="15"/>
        <v/>
      </c>
    </row>
    <row r="468" spans="1:19" x14ac:dyDescent="0.25">
      <c r="A468" s="1" t="s">
        <v>448</v>
      </c>
      <c r="B468" s="5" t="s">
        <v>448</v>
      </c>
      <c r="C468" s="1" t="s">
        <v>448</v>
      </c>
      <c r="D468" s="1" t="s">
        <v>448</v>
      </c>
      <c r="E468" s="1" t="s">
        <v>448</v>
      </c>
      <c r="F468" s="1" t="s">
        <v>448</v>
      </c>
      <c r="G468" s="1" t="s">
        <v>448</v>
      </c>
      <c r="H468" s="1" t="s">
        <v>448</v>
      </c>
      <c r="I468" s="1" t="s">
        <v>448</v>
      </c>
      <c r="J468" s="1" t="s">
        <v>448</v>
      </c>
      <c r="K468" s="1" t="s">
        <v>448</v>
      </c>
      <c r="L468" s="1" t="s">
        <v>448</v>
      </c>
      <c r="M468" s="1" t="s">
        <v>448</v>
      </c>
      <c r="N468" s="1" t="s">
        <v>448</v>
      </c>
      <c r="O468" s="1">
        <v>20064</v>
      </c>
      <c r="P468" s="1" t="s">
        <v>149</v>
      </c>
      <c r="Q468" s="1" t="s">
        <v>150</v>
      </c>
      <c r="R468" t="str">
        <f t="shared" si="14"/>
        <v/>
      </c>
      <c r="S468" t="str">
        <f t="shared" si="15"/>
        <v/>
      </c>
    </row>
    <row r="469" spans="1:19" x14ac:dyDescent="0.25">
      <c r="A469" s="1" t="s">
        <v>448</v>
      </c>
      <c r="B469" s="5" t="s">
        <v>448</v>
      </c>
      <c r="C469" s="1" t="s">
        <v>448</v>
      </c>
      <c r="D469" s="1" t="s">
        <v>448</v>
      </c>
      <c r="E469" s="1" t="s">
        <v>448</v>
      </c>
      <c r="F469" s="1" t="s">
        <v>448</v>
      </c>
      <c r="G469" s="1" t="s">
        <v>448</v>
      </c>
      <c r="H469" s="1" t="s">
        <v>448</v>
      </c>
      <c r="I469" s="1" t="s">
        <v>448</v>
      </c>
      <c r="J469" s="1" t="s">
        <v>448</v>
      </c>
      <c r="K469" s="1" t="s">
        <v>448</v>
      </c>
      <c r="L469" s="1" t="s">
        <v>448</v>
      </c>
      <c r="M469" s="1" t="s">
        <v>448</v>
      </c>
      <c r="N469" s="1" t="s">
        <v>448</v>
      </c>
      <c r="O469" s="1">
        <v>20064</v>
      </c>
      <c r="P469" s="1" t="s">
        <v>149</v>
      </c>
      <c r="Q469" s="1" t="s">
        <v>150</v>
      </c>
      <c r="R469" t="str">
        <f t="shared" si="14"/>
        <v/>
      </c>
      <c r="S469" t="str">
        <f t="shared" si="15"/>
        <v/>
      </c>
    </row>
    <row r="470" spans="1:19" x14ac:dyDescent="0.25">
      <c r="A470" s="1" t="s">
        <v>448</v>
      </c>
      <c r="B470" s="5" t="s">
        <v>448</v>
      </c>
      <c r="C470" s="1" t="s">
        <v>448</v>
      </c>
      <c r="D470" s="1" t="s">
        <v>448</v>
      </c>
      <c r="E470" s="1" t="s">
        <v>448</v>
      </c>
      <c r="F470" s="1" t="s">
        <v>448</v>
      </c>
      <c r="G470" s="1" t="s">
        <v>448</v>
      </c>
      <c r="H470" s="1" t="s">
        <v>448</v>
      </c>
      <c r="I470" s="1" t="s">
        <v>448</v>
      </c>
      <c r="J470" s="1" t="s">
        <v>448</v>
      </c>
      <c r="K470" s="1" t="s">
        <v>448</v>
      </c>
      <c r="L470" s="1" t="s">
        <v>448</v>
      </c>
      <c r="M470" s="1" t="s">
        <v>448</v>
      </c>
      <c r="N470" s="1" t="s">
        <v>448</v>
      </c>
      <c r="O470" s="1">
        <v>20064</v>
      </c>
      <c r="P470" s="1" t="s">
        <v>149</v>
      </c>
      <c r="Q470" s="1" t="s">
        <v>150</v>
      </c>
      <c r="R470" t="str">
        <f t="shared" si="14"/>
        <v/>
      </c>
      <c r="S470" t="str">
        <f t="shared" si="15"/>
        <v/>
      </c>
    </row>
    <row r="471" spans="1:19" x14ac:dyDescent="0.25">
      <c r="A471" s="1" t="s">
        <v>448</v>
      </c>
      <c r="B471" s="5" t="s">
        <v>448</v>
      </c>
      <c r="C471" s="1" t="s">
        <v>448</v>
      </c>
      <c r="D471" s="1" t="s">
        <v>448</v>
      </c>
      <c r="E471" s="1" t="s">
        <v>448</v>
      </c>
      <c r="F471" s="1" t="s">
        <v>448</v>
      </c>
      <c r="G471" s="1" t="s">
        <v>448</v>
      </c>
      <c r="H471" s="1" t="s">
        <v>448</v>
      </c>
      <c r="I471" s="1" t="s">
        <v>448</v>
      </c>
      <c r="J471" s="1" t="s">
        <v>448</v>
      </c>
      <c r="K471" s="1" t="s">
        <v>448</v>
      </c>
      <c r="L471" s="1" t="s">
        <v>448</v>
      </c>
      <c r="M471" s="1" t="s">
        <v>448</v>
      </c>
      <c r="N471" s="1" t="s">
        <v>448</v>
      </c>
      <c r="O471" s="1">
        <v>20064</v>
      </c>
      <c r="P471" s="1" t="s">
        <v>149</v>
      </c>
      <c r="Q471" s="1" t="s">
        <v>150</v>
      </c>
      <c r="R471" t="str">
        <f t="shared" si="14"/>
        <v/>
      </c>
      <c r="S471" t="str">
        <f t="shared" si="15"/>
        <v/>
      </c>
    </row>
    <row r="472" spans="1:19" x14ac:dyDescent="0.25">
      <c r="A472" s="1" t="s">
        <v>448</v>
      </c>
      <c r="B472" s="5" t="s">
        <v>448</v>
      </c>
      <c r="C472" s="1" t="s">
        <v>448</v>
      </c>
      <c r="D472" s="1" t="s">
        <v>448</v>
      </c>
      <c r="E472" s="1" t="s">
        <v>448</v>
      </c>
      <c r="F472" s="1" t="s">
        <v>448</v>
      </c>
      <c r="G472" s="1" t="s">
        <v>448</v>
      </c>
      <c r="H472" s="1" t="s">
        <v>448</v>
      </c>
      <c r="I472" s="1" t="s">
        <v>448</v>
      </c>
      <c r="J472" s="1" t="s">
        <v>448</v>
      </c>
      <c r="K472" s="1" t="s">
        <v>448</v>
      </c>
      <c r="L472" s="1" t="s">
        <v>448</v>
      </c>
      <c r="M472" s="1" t="s">
        <v>448</v>
      </c>
      <c r="N472" s="1" t="s">
        <v>448</v>
      </c>
      <c r="O472" s="1">
        <v>20064</v>
      </c>
      <c r="P472" s="1" t="s">
        <v>149</v>
      </c>
      <c r="Q472" s="1" t="s">
        <v>150</v>
      </c>
      <c r="R472" t="str">
        <f t="shared" si="14"/>
        <v/>
      </c>
      <c r="S472" t="str">
        <f t="shared" si="15"/>
        <v/>
      </c>
    </row>
    <row r="473" spans="1:19" x14ac:dyDescent="0.25">
      <c r="A473" s="1" t="s">
        <v>448</v>
      </c>
      <c r="B473" s="5" t="s">
        <v>448</v>
      </c>
      <c r="C473" s="1" t="s">
        <v>448</v>
      </c>
      <c r="D473" s="1" t="s">
        <v>448</v>
      </c>
      <c r="E473" s="1" t="s">
        <v>448</v>
      </c>
      <c r="F473" s="1" t="s">
        <v>448</v>
      </c>
      <c r="G473" s="1" t="s">
        <v>448</v>
      </c>
      <c r="H473" s="1" t="s">
        <v>448</v>
      </c>
      <c r="I473" s="1" t="s">
        <v>448</v>
      </c>
      <c r="J473" s="1" t="s">
        <v>448</v>
      </c>
      <c r="K473" s="1" t="s">
        <v>448</v>
      </c>
      <c r="L473" s="1" t="s">
        <v>448</v>
      </c>
      <c r="M473" s="1" t="s">
        <v>448</v>
      </c>
      <c r="N473" s="1" t="s">
        <v>448</v>
      </c>
      <c r="O473" s="1">
        <v>20064</v>
      </c>
      <c r="P473" s="1" t="s">
        <v>149</v>
      </c>
      <c r="Q473" s="1" t="s">
        <v>150</v>
      </c>
      <c r="R473" t="str">
        <f t="shared" si="14"/>
        <v/>
      </c>
      <c r="S473" t="str">
        <f t="shared" si="15"/>
        <v/>
      </c>
    </row>
    <row r="474" spans="1:19" x14ac:dyDescent="0.25">
      <c r="A474" s="1" t="s">
        <v>448</v>
      </c>
      <c r="B474" s="5" t="s">
        <v>448</v>
      </c>
      <c r="C474" s="1" t="s">
        <v>448</v>
      </c>
      <c r="D474" s="1" t="s">
        <v>448</v>
      </c>
      <c r="E474" s="1" t="s">
        <v>448</v>
      </c>
      <c r="F474" s="1" t="s">
        <v>448</v>
      </c>
      <c r="G474" s="1" t="s">
        <v>448</v>
      </c>
      <c r="H474" s="1" t="s">
        <v>448</v>
      </c>
      <c r="I474" s="1" t="s">
        <v>448</v>
      </c>
      <c r="J474" s="1" t="s">
        <v>448</v>
      </c>
      <c r="K474" s="1" t="s">
        <v>448</v>
      </c>
      <c r="L474" s="1" t="s">
        <v>448</v>
      </c>
      <c r="M474" s="1" t="s">
        <v>448</v>
      </c>
      <c r="N474" s="1" t="s">
        <v>448</v>
      </c>
      <c r="O474" s="1">
        <v>20064</v>
      </c>
      <c r="P474" s="1" t="s">
        <v>149</v>
      </c>
      <c r="Q474" s="1" t="s">
        <v>150</v>
      </c>
      <c r="R474" t="str">
        <f t="shared" si="14"/>
        <v/>
      </c>
      <c r="S474" t="str">
        <f t="shared" si="15"/>
        <v/>
      </c>
    </row>
    <row r="475" spans="1:19" x14ac:dyDescent="0.25">
      <c r="A475" s="1" t="s">
        <v>448</v>
      </c>
      <c r="B475" s="5" t="s">
        <v>448</v>
      </c>
      <c r="C475" s="1" t="s">
        <v>448</v>
      </c>
      <c r="D475" s="1" t="s">
        <v>448</v>
      </c>
      <c r="E475" s="1" t="s">
        <v>448</v>
      </c>
      <c r="F475" s="1" t="s">
        <v>448</v>
      </c>
      <c r="G475" s="1" t="s">
        <v>448</v>
      </c>
      <c r="H475" s="1" t="s">
        <v>448</v>
      </c>
      <c r="I475" s="1" t="s">
        <v>448</v>
      </c>
      <c r="J475" s="1" t="s">
        <v>448</v>
      </c>
      <c r="K475" s="1" t="s">
        <v>448</v>
      </c>
      <c r="L475" s="1" t="s">
        <v>448</v>
      </c>
      <c r="M475" s="1" t="s">
        <v>448</v>
      </c>
      <c r="N475" s="1" t="s">
        <v>448</v>
      </c>
      <c r="O475" s="1">
        <v>20064</v>
      </c>
      <c r="P475" s="1" t="s">
        <v>149</v>
      </c>
      <c r="Q475" s="1" t="s">
        <v>150</v>
      </c>
      <c r="R475" t="str">
        <f t="shared" si="14"/>
        <v/>
      </c>
      <c r="S475" t="str">
        <f t="shared" si="15"/>
        <v/>
      </c>
    </row>
    <row r="476" spans="1:19" x14ac:dyDescent="0.25">
      <c r="A476" s="1" t="s">
        <v>448</v>
      </c>
      <c r="B476" s="5" t="s">
        <v>448</v>
      </c>
      <c r="C476" s="1" t="s">
        <v>448</v>
      </c>
      <c r="D476" s="1" t="s">
        <v>448</v>
      </c>
      <c r="E476" s="1" t="s">
        <v>448</v>
      </c>
      <c r="F476" s="1" t="s">
        <v>448</v>
      </c>
      <c r="G476" s="1" t="s">
        <v>448</v>
      </c>
      <c r="H476" s="1" t="s">
        <v>448</v>
      </c>
      <c r="I476" s="1" t="s">
        <v>448</v>
      </c>
      <c r="J476" s="1" t="s">
        <v>448</v>
      </c>
      <c r="K476" s="1" t="s">
        <v>448</v>
      </c>
      <c r="L476" s="1" t="s">
        <v>448</v>
      </c>
      <c r="M476" s="1" t="s">
        <v>448</v>
      </c>
      <c r="N476" s="1" t="s">
        <v>448</v>
      </c>
      <c r="O476" s="1">
        <v>20064</v>
      </c>
      <c r="P476" s="1" t="s">
        <v>149</v>
      </c>
      <c r="Q476" s="1" t="s">
        <v>150</v>
      </c>
      <c r="R476" t="str">
        <f t="shared" si="14"/>
        <v/>
      </c>
      <c r="S476" t="str">
        <f t="shared" si="15"/>
        <v/>
      </c>
    </row>
    <row r="477" spans="1:19" x14ac:dyDescent="0.25">
      <c r="A477" s="1" t="s">
        <v>448</v>
      </c>
      <c r="B477" s="5" t="s">
        <v>448</v>
      </c>
      <c r="C477" s="1" t="s">
        <v>448</v>
      </c>
      <c r="D477" s="1" t="s">
        <v>448</v>
      </c>
      <c r="E477" s="1" t="s">
        <v>448</v>
      </c>
      <c r="F477" s="1" t="s">
        <v>448</v>
      </c>
      <c r="G477" s="1" t="s">
        <v>448</v>
      </c>
      <c r="H477" s="1" t="s">
        <v>448</v>
      </c>
      <c r="I477" s="1" t="s">
        <v>448</v>
      </c>
      <c r="J477" s="1" t="s">
        <v>448</v>
      </c>
      <c r="K477" s="1" t="s">
        <v>448</v>
      </c>
      <c r="L477" s="1" t="s">
        <v>448</v>
      </c>
      <c r="M477" s="1" t="s">
        <v>448</v>
      </c>
      <c r="N477" s="1" t="s">
        <v>448</v>
      </c>
      <c r="O477" s="1">
        <v>20064</v>
      </c>
      <c r="P477" s="1" t="s">
        <v>149</v>
      </c>
      <c r="Q477" s="1" t="s">
        <v>150</v>
      </c>
      <c r="R477" t="str">
        <f t="shared" si="14"/>
        <v/>
      </c>
      <c r="S477" t="str">
        <f t="shared" si="15"/>
        <v/>
      </c>
    </row>
    <row r="478" spans="1:19" x14ac:dyDescent="0.25">
      <c r="A478" s="1" t="s">
        <v>448</v>
      </c>
      <c r="B478" s="5" t="s">
        <v>448</v>
      </c>
      <c r="C478" s="1" t="s">
        <v>448</v>
      </c>
      <c r="D478" s="1" t="s">
        <v>448</v>
      </c>
      <c r="E478" s="1" t="s">
        <v>448</v>
      </c>
      <c r="F478" s="1" t="s">
        <v>448</v>
      </c>
      <c r="G478" s="1" t="s">
        <v>448</v>
      </c>
      <c r="H478" s="1" t="s">
        <v>448</v>
      </c>
      <c r="I478" s="1" t="s">
        <v>448</v>
      </c>
      <c r="J478" s="1" t="s">
        <v>448</v>
      </c>
      <c r="K478" s="1" t="s">
        <v>448</v>
      </c>
      <c r="L478" s="1" t="s">
        <v>448</v>
      </c>
      <c r="M478" s="1" t="s">
        <v>448</v>
      </c>
      <c r="N478" s="1" t="s">
        <v>448</v>
      </c>
      <c r="O478" s="1">
        <v>20064</v>
      </c>
      <c r="P478" s="1" t="s">
        <v>149</v>
      </c>
      <c r="Q478" s="1" t="s">
        <v>150</v>
      </c>
      <c r="R478" t="str">
        <f t="shared" si="14"/>
        <v/>
      </c>
      <c r="S478" t="str">
        <f t="shared" si="15"/>
        <v/>
      </c>
    </row>
    <row r="479" spans="1:19" x14ac:dyDescent="0.25">
      <c r="A479" s="1" t="s">
        <v>448</v>
      </c>
      <c r="B479" s="5" t="s">
        <v>448</v>
      </c>
      <c r="C479" s="1" t="s">
        <v>448</v>
      </c>
      <c r="D479" s="1" t="s">
        <v>448</v>
      </c>
      <c r="E479" s="1" t="s">
        <v>448</v>
      </c>
      <c r="F479" s="1" t="s">
        <v>448</v>
      </c>
      <c r="G479" s="1" t="s">
        <v>448</v>
      </c>
      <c r="H479" s="1" t="s">
        <v>448</v>
      </c>
      <c r="I479" s="1" t="s">
        <v>448</v>
      </c>
      <c r="J479" s="1" t="s">
        <v>448</v>
      </c>
      <c r="K479" s="1" t="s">
        <v>448</v>
      </c>
      <c r="L479" s="1" t="s">
        <v>448</v>
      </c>
      <c r="M479" s="1" t="s">
        <v>448</v>
      </c>
      <c r="N479" s="1" t="s">
        <v>448</v>
      </c>
      <c r="O479" s="1">
        <v>20064</v>
      </c>
      <c r="P479" s="1" t="s">
        <v>149</v>
      </c>
      <c r="Q479" s="1" t="s">
        <v>150</v>
      </c>
      <c r="R479" t="str">
        <f t="shared" si="14"/>
        <v/>
      </c>
      <c r="S479" t="str">
        <f t="shared" si="15"/>
        <v/>
      </c>
    </row>
    <row r="480" spans="1:19" x14ac:dyDescent="0.25">
      <c r="A480" s="1" t="s">
        <v>448</v>
      </c>
      <c r="B480" s="5" t="s">
        <v>448</v>
      </c>
      <c r="C480" s="1" t="s">
        <v>448</v>
      </c>
      <c r="D480" s="1" t="s">
        <v>448</v>
      </c>
      <c r="E480" s="1" t="s">
        <v>448</v>
      </c>
      <c r="F480" s="1" t="s">
        <v>448</v>
      </c>
      <c r="G480" s="1" t="s">
        <v>448</v>
      </c>
      <c r="H480" s="1" t="s">
        <v>448</v>
      </c>
      <c r="I480" s="1" t="s">
        <v>448</v>
      </c>
      <c r="J480" s="1" t="s">
        <v>448</v>
      </c>
      <c r="K480" s="1" t="s">
        <v>448</v>
      </c>
      <c r="L480" s="1" t="s">
        <v>448</v>
      </c>
      <c r="M480" s="1" t="s">
        <v>448</v>
      </c>
      <c r="N480" s="1" t="s">
        <v>448</v>
      </c>
      <c r="O480" s="1">
        <v>20064</v>
      </c>
      <c r="P480" s="1" t="s">
        <v>149</v>
      </c>
      <c r="Q480" s="1" t="s">
        <v>150</v>
      </c>
      <c r="R480" t="str">
        <f t="shared" si="14"/>
        <v/>
      </c>
      <c r="S480" t="str">
        <f t="shared" si="15"/>
        <v/>
      </c>
    </row>
    <row r="481" spans="1:19" x14ac:dyDescent="0.25">
      <c r="A481" s="1" t="s">
        <v>448</v>
      </c>
      <c r="B481" s="5" t="s">
        <v>448</v>
      </c>
      <c r="C481" s="1" t="s">
        <v>448</v>
      </c>
      <c r="D481" s="1" t="s">
        <v>448</v>
      </c>
      <c r="E481" s="1" t="s">
        <v>448</v>
      </c>
      <c r="F481" s="1" t="s">
        <v>448</v>
      </c>
      <c r="G481" s="1" t="s">
        <v>448</v>
      </c>
      <c r="H481" s="1" t="s">
        <v>448</v>
      </c>
      <c r="I481" s="1" t="s">
        <v>448</v>
      </c>
      <c r="J481" s="1" t="s">
        <v>448</v>
      </c>
      <c r="K481" s="1" t="s">
        <v>448</v>
      </c>
      <c r="L481" s="1" t="s">
        <v>448</v>
      </c>
      <c r="M481" s="1" t="s">
        <v>448</v>
      </c>
      <c r="N481" s="1" t="s">
        <v>448</v>
      </c>
      <c r="O481" s="1">
        <v>20064</v>
      </c>
      <c r="P481" s="1" t="s">
        <v>149</v>
      </c>
      <c r="Q481" s="1" t="s">
        <v>150</v>
      </c>
      <c r="R481" t="str">
        <f t="shared" si="14"/>
        <v/>
      </c>
      <c r="S481" t="str">
        <f t="shared" si="15"/>
        <v/>
      </c>
    </row>
    <row r="482" spans="1:19" x14ac:dyDescent="0.25">
      <c r="A482" s="1" t="s">
        <v>448</v>
      </c>
      <c r="B482" s="5" t="s">
        <v>448</v>
      </c>
      <c r="C482" s="1" t="s">
        <v>448</v>
      </c>
      <c r="D482" s="1" t="s">
        <v>448</v>
      </c>
      <c r="E482" s="1" t="s">
        <v>448</v>
      </c>
      <c r="F482" s="1" t="s">
        <v>448</v>
      </c>
      <c r="G482" s="1" t="s">
        <v>448</v>
      </c>
      <c r="H482" s="1" t="s">
        <v>448</v>
      </c>
      <c r="I482" s="1" t="s">
        <v>448</v>
      </c>
      <c r="J482" s="1" t="s">
        <v>448</v>
      </c>
      <c r="K482" s="1" t="s">
        <v>448</v>
      </c>
      <c r="L482" s="1" t="s">
        <v>448</v>
      </c>
      <c r="M482" s="1" t="s">
        <v>448</v>
      </c>
      <c r="N482" s="1" t="s">
        <v>448</v>
      </c>
      <c r="O482" s="1">
        <v>20064</v>
      </c>
      <c r="P482" s="1" t="s">
        <v>149</v>
      </c>
      <c r="Q482" s="1" t="s">
        <v>150</v>
      </c>
      <c r="R482" t="str">
        <f t="shared" si="14"/>
        <v/>
      </c>
      <c r="S482" t="str">
        <f t="shared" si="15"/>
        <v/>
      </c>
    </row>
    <row r="483" spans="1:19" x14ac:dyDescent="0.25">
      <c r="A483" s="1" t="s">
        <v>448</v>
      </c>
      <c r="B483" s="5" t="s">
        <v>448</v>
      </c>
      <c r="C483" s="1" t="s">
        <v>448</v>
      </c>
      <c r="D483" s="1" t="s">
        <v>448</v>
      </c>
      <c r="E483" s="1" t="s">
        <v>448</v>
      </c>
      <c r="F483" s="1" t="s">
        <v>448</v>
      </c>
      <c r="G483" s="1" t="s">
        <v>448</v>
      </c>
      <c r="H483" s="1" t="s">
        <v>448</v>
      </c>
      <c r="I483" s="1" t="s">
        <v>448</v>
      </c>
      <c r="J483" s="1" t="s">
        <v>448</v>
      </c>
      <c r="K483" s="1" t="s">
        <v>448</v>
      </c>
      <c r="L483" s="1" t="s">
        <v>448</v>
      </c>
      <c r="M483" s="1" t="s">
        <v>448</v>
      </c>
      <c r="N483" s="1" t="s">
        <v>448</v>
      </c>
      <c r="O483" s="1">
        <v>20064</v>
      </c>
      <c r="P483" s="1" t="s">
        <v>149</v>
      </c>
      <c r="Q483" s="1" t="s">
        <v>150</v>
      </c>
      <c r="R483" t="str">
        <f t="shared" si="14"/>
        <v/>
      </c>
      <c r="S483" t="str">
        <f t="shared" si="15"/>
        <v/>
      </c>
    </row>
    <row r="484" spans="1:19" x14ac:dyDescent="0.25">
      <c r="A484" s="1" t="s">
        <v>448</v>
      </c>
      <c r="B484" s="5" t="s">
        <v>448</v>
      </c>
      <c r="C484" s="1" t="s">
        <v>448</v>
      </c>
      <c r="D484" s="1" t="s">
        <v>448</v>
      </c>
      <c r="E484" s="1" t="s">
        <v>448</v>
      </c>
      <c r="F484" s="1" t="s">
        <v>448</v>
      </c>
      <c r="G484" s="1" t="s">
        <v>448</v>
      </c>
      <c r="H484" s="1" t="s">
        <v>448</v>
      </c>
      <c r="I484" s="1" t="s">
        <v>448</v>
      </c>
      <c r="J484" s="1" t="s">
        <v>448</v>
      </c>
      <c r="K484" s="1" t="s">
        <v>448</v>
      </c>
      <c r="L484" s="1" t="s">
        <v>448</v>
      </c>
      <c r="M484" s="1" t="s">
        <v>448</v>
      </c>
      <c r="N484" s="1" t="s">
        <v>448</v>
      </c>
      <c r="O484" s="1">
        <v>20064</v>
      </c>
      <c r="P484" s="1" t="s">
        <v>149</v>
      </c>
      <c r="Q484" s="1" t="s">
        <v>150</v>
      </c>
      <c r="R484" t="str">
        <f t="shared" si="14"/>
        <v/>
      </c>
      <c r="S484" t="str">
        <f t="shared" si="15"/>
        <v/>
      </c>
    </row>
    <row r="485" spans="1:19" x14ac:dyDescent="0.25">
      <c r="A485" s="1" t="s">
        <v>448</v>
      </c>
      <c r="B485" s="5" t="s">
        <v>448</v>
      </c>
      <c r="C485" s="1" t="s">
        <v>448</v>
      </c>
      <c r="D485" s="1" t="s">
        <v>448</v>
      </c>
      <c r="E485" s="1" t="s">
        <v>448</v>
      </c>
      <c r="F485" s="1" t="s">
        <v>448</v>
      </c>
      <c r="G485" s="1" t="s">
        <v>448</v>
      </c>
      <c r="H485" s="1" t="s">
        <v>448</v>
      </c>
      <c r="I485" s="1" t="s">
        <v>448</v>
      </c>
      <c r="J485" s="1" t="s">
        <v>448</v>
      </c>
      <c r="K485" s="1" t="s">
        <v>448</v>
      </c>
      <c r="L485" s="1" t="s">
        <v>448</v>
      </c>
      <c r="M485" s="1" t="s">
        <v>448</v>
      </c>
      <c r="N485" s="1" t="s">
        <v>448</v>
      </c>
      <c r="O485" s="1">
        <v>20064</v>
      </c>
      <c r="P485" s="1" t="s">
        <v>149</v>
      </c>
      <c r="Q485" s="1" t="s">
        <v>150</v>
      </c>
      <c r="R485" t="str">
        <f t="shared" si="14"/>
        <v/>
      </c>
      <c r="S485" t="str">
        <f t="shared" si="15"/>
        <v/>
      </c>
    </row>
    <row r="486" spans="1:19" x14ac:dyDescent="0.25">
      <c r="A486" s="1" t="s">
        <v>448</v>
      </c>
      <c r="B486" s="5" t="s">
        <v>448</v>
      </c>
      <c r="C486" s="1" t="s">
        <v>448</v>
      </c>
      <c r="D486" s="1" t="s">
        <v>448</v>
      </c>
      <c r="E486" s="1" t="s">
        <v>448</v>
      </c>
      <c r="F486" s="1" t="s">
        <v>448</v>
      </c>
      <c r="G486" s="1" t="s">
        <v>448</v>
      </c>
      <c r="H486" s="1" t="s">
        <v>448</v>
      </c>
      <c r="I486" s="1" t="s">
        <v>448</v>
      </c>
      <c r="J486" s="1" t="s">
        <v>448</v>
      </c>
      <c r="K486" s="1" t="s">
        <v>448</v>
      </c>
      <c r="L486" s="1" t="s">
        <v>448</v>
      </c>
      <c r="M486" s="1" t="s">
        <v>448</v>
      </c>
      <c r="N486" s="1" t="s">
        <v>448</v>
      </c>
      <c r="O486" s="1">
        <v>20064</v>
      </c>
      <c r="P486" s="1" t="s">
        <v>149</v>
      </c>
      <c r="Q486" s="1" t="s">
        <v>150</v>
      </c>
      <c r="R486" t="str">
        <f t="shared" si="14"/>
        <v/>
      </c>
      <c r="S486" t="str">
        <f t="shared" si="15"/>
        <v/>
      </c>
    </row>
    <row r="487" spans="1:19" x14ac:dyDescent="0.25">
      <c r="A487" s="1" t="s">
        <v>448</v>
      </c>
      <c r="B487" s="5" t="s">
        <v>448</v>
      </c>
      <c r="C487" s="1" t="s">
        <v>448</v>
      </c>
      <c r="D487" s="1" t="s">
        <v>448</v>
      </c>
      <c r="E487" s="1" t="s">
        <v>448</v>
      </c>
      <c r="F487" s="1" t="s">
        <v>448</v>
      </c>
      <c r="G487" s="1" t="s">
        <v>448</v>
      </c>
      <c r="H487" s="1" t="s">
        <v>448</v>
      </c>
      <c r="I487" s="1" t="s">
        <v>448</v>
      </c>
      <c r="J487" s="1" t="s">
        <v>448</v>
      </c>
      <c r="K487" s="1" t="s">
        <v>448</v>
      </c>
      <c r="L487" s="1" t="s">
        <v>448</v>
      </c>
      <c r="M487" s="1" t="s">
        <v>448</v>
      </c>
      <c r="N487" s="1" t="s">
        <v>448</v>
      </c>
      <c r="O487" s="1">
        <v>20064</v>
      </c>
      <c r="P487" s="1" t="s">
        <v>149</v>
      </c>
      <c r="Q487" s="1" t="s">
        <v>150</v>
      </c>
      <c r="R487" t="str">
        <f t="shared" si="14"/>
        <v/>
      </c>
      <c r="S487" t="str">
        <f t="shared" si="15"/>
        <v/>
      </c>
    </row>
    <row r="488" spans="1:19" x14ac:dyDescent="0.25">
      <c r="A488" s="1" t="s">
        <v>448</v>
      </c>
      <c r="B488" s="5" t="s">
        <v>448</v>
      </c>
      <c r="C488" s="1" t="s">
        <v>448</v>
      </c>
      <c r="D488" s="1" t="s">
        <v>448</v>
      </c>
      <c r="E488" s="1" t="s">
        <v>448</v>
      </c>
      <c r="F488" s="1" t="s">
        <v>448</v>
      </c>
      <c r="G488" s="1" t="s">
        <v>448</v>
      </c>
      <c r="H488" s="1" t="s">
        <v>448</v>
      </c>
      <c r="I488" s="1" t="s">
        <v>448</v>
      </c>
      <c r="J488" s="1" t="s">
        <v>448</v>
      </c>
      <c r="K488" s="1" t="s">
        <v>448</v>
      </c>
      <c r="L488" s="1" t="s">
        <v>448</v>
      </c>
      <c r="M488" s="1" t="s">
        <v>448</v>
      </c>
      <c r="N488" s="1" t="s">
        <v>448</v>
      </c>
      <c r="O488" s="1">
        <v>20064</v>
      </c>
      <c r="P488" s="1" t="s">
        <v>149</v>
      </c>
      <c r="Q488" s="1" t="s">
        <v>150</v>
      </c>
      <c r="R488" t="str">
        <f t="shared" si="14"/>
        <v/>
      </c>
      <c r="S488" t="str">
        <f t="shared" si="15"/>
        <v/>
      </c>
    </row>
    <row r="489" spans="1:19" x14ac:dyDescent="0.25">
      <c r="A489" s="1" t="s">
        <v>448</v>
      </c>
      <c r="B489" s="5" t="s">
        <v>448</v>
      </c>
      <c r="C489" s="1" t="s">
        <v>448</v>
      </c>
      <c r="D489" s="1" t="s">
        <v>448</v>
      </c>
      <c r="E489" s="1" t="s">
        <v>448</v>
      </c>
      <c r="F489" s="1" t="s">
        <v>448</v>
      </c>
      <c r="G489" s="1" t="s">
        <v>448</v>
      </c>
      <c r="H489" s="1" t="s">
        <v>448</v>
      </c>
      <c r="I489" s="1" t="s">
        <v>448</v>
      </c>
      <c r="J489" s="1" t="s">
        <v>448</v>
      </c>
      <c r="K489" s="1" t="s">
        <v>448</v>
      </c>
      <c r="L489" s="1" t="s">
        <v>448</v>
      </c>
      <c r="M489" s="1" t="s">
        <v>448</v>
      </c>
      <c r="N489" s="1" t="s">
        <v>448</v>
      </c>
      <c r="O489" s="1">
        <v>20064</v>
      </c>
      <c r="P489" s="1" t="s">
        <v>149</v>
      </c>
      <c r="Q489" s="1" t="s">
        <v>150</v>
      </c>
      <c r="R489" t="str">
        <f t="shared" si="14"/>
        <v/>
      </c>
      <c r="S489" t="str">
        <f t="shared" si="15"/>
        <v/>
      </c>
    </row>
    <row r="490" spans="1:19" x14ac:dyDescent="0.25">
      <c r="A490" s="1" t="s">
        <v>448</v>
      </c>
      <c r="B490" s="5" t="s">
        <v>448</v>
      </c>
      <c r="C490" s="1" t="s">
        <v>448</v>
      </c>
      <c r="D490" s="1" t="s">
        <v>448</v>
      </c>
      <c r="E490" s="1" t="s">
        <v>448</v>
      </c>
      <c r="F490" s="1" t="s">
        <v>448</v>
      </c>
      <c r="G490" s="1" t="s">
        <v>448</v>
      </c>
      <c r="H490" s="1" t="s">
        <v>448</v>
      </c>
      <c r="I490" s="1" t="s">
        <v>448</v>
      </c>
      <c r="J490" s="1" t="s">
        <v>448</v>
      </c>
      <c r="K490" s="1" t="s">
        <v>448</v>
      </c>
      <c r="L490" s="1" t="s">
        <v>448</v>
      </c>
      <c r="M490" s="1" t="s">
        <v>448</v>
      </c>
      <c r="N490" s="1" t="s">
        <v>448</v>
      </c>
      <c r="O490" s="1">
        <v>20064</v>
      </c>
      <c r="P490" s="1" t="s">
        <v>149</v>
      </c>
      <c r="Q490" s="1" t="s">
        <v>150</v>
      </c>
      <c r="R490" t="str">
        <f t="shared" si="14"/>
        <v/>
      </c>
      <c r="S490" t="str">
        <f t="shared" si="15"/>
        <v/>
      </c>
    </row>
    <row r="491" spans="1:19" x14ac:dyDescent="0.25">
      <c r="A491" s="1" t="s">
        <v>448</v>
      </c>
      <c r="B491" s="5" t="s">
        <v>448</v>
      </c>
      <c r="C491" s="1" t="s">
        <v>448</v>
      </c>
      <c r="D491" s="1" t="s">
        <v>448</v>
      </c>
      <c r="E491" s="1" t="s">
        <v>448</v>
      </c>
      <c r="F491" s="1" t="s">
        <v>448</v>
      </c>
      <c r="G491" s="1" t="s">
        <v>448</v>
      </c>
      <c r="H491" s="1" t="s">
        <v>448</v>
      </c>
      <c r="I491" s="1" t="s">
        <v>448</v>
      </c>
      <c r="J491" s="1" t="s">
        <v>448</v>
      </c>
      <c r="K491" s="1" t="s">
        <v>448</v>
      </c>
      <c r="L491" s="1" t="s">
        <v>448</v>
      </c>
      <c r="M491" s="1" t="s">
        <v>448</v>
      </c>
      <c r="N491" s="1" t="s">
        <v>448</v>
      </c>
      <c r="O491" s="1">
        <v>20064</v>
      </c>
      <c r="P491" s="1" t="s">
        <v>149</v>
      </c>
      <c r="Q491" s="1" t="s">
        <v>150</v>
      </c>
      <c r="R491" t="str">
        <f t="shared" si="14"/>
        <v/>
      </c>
      <c r="S491" t="str">
        <f t="shared" si="15"/>
        <v/>
      </c>
    </row>
    <row r="492" spans="1:19" x14ac:dyDescent="0.25">
      <c r="A492" s="1" t="s">
        <v>448</v>
      </c>
      <c r="B492" s="5" t="s">
        <v>448</v>
      </c>
      <c r="C492" s="1" t="s">
        <v>448</v>
      </c>
      <c r="D492" s="1" t="s">
        <v>448</v>
      </c>
      <c r="E492" s="1" t="s">
        <v>448</v>
      </c>
      <c r="F492" s="1" t="s">
        <v>448</v>
      </c>
      <c r="G492" s="1" t="s">
        <v>448</v>
      </c>
      <c r="H492" s="1" t="s">
        <v>448</v>
      </c>
      <c r="I492" s="1" t="s">
        <v>448</v>
      </c>
      <c r="J492" s="1" t="s">
        <v>448</v>
      </c>
      <c r="K492" s="1" t="s">
        <v>448</v>
      </c>
      <c r="L492" s="1" t="s">
        <v>448</v>
      </c>
      <c r="M492" s="1" t="s">
        <v>448</v>
      </c>
      <c r="N492" s="1" t="s">
        <v>448</v>
      </c>
      <c r="O492" s="1">
        <v>20064</v>
      </c>
      <c r="P492" s="1" t="s">
        <v>149</v>
      </c>
      <c r="Q492" s="1" t="s">
        <v>150</v>
      </c>
      <c r="R492" t="str">
        <f t="shared" si="14"/>
        <v/>
      </c>
      <c r="S492" t="str">
        <f t="shared" si="15"/>
        <v/>
      </c>
    </row>
    <row r="493" spans="1:19" x14ac:dyDescent="0.25">
      <c r="A493" s="1" t="s">
        <v>448</v>
      </c>
      <c r="B493" s="5" t="s">
        <v>448</v>
      </c>
      <c r="C493" s="1" t="s">
        <v>448</v>
      </c>
      <c r="D493" s="1" t="s">
        <v>448</v>
      </c>
      <c r="E493" s="1" t="s">
        <v>448</v>
      </c>
      <c r="F493" s="1" t="s">
        <v>448</v>
      </c>
      <c r="G493" s="1" t="s">
        <v>448</v>
      </c>
      <c r="H493" s="1" t="s">
        <v>448</v>
      </c>
      <c r="I493" s="1" t="s">
        <v>448</v>
      </c>
      <c r="J493" s="1" t="s">
        <v>448</v>
      </c>
      <c r="K493" s="1" t="s">
        <v>448</v>
      </c>
      <c r="L493" s="1" t="s">
        <v>448</v>
      </c>
      <c r="M493" s="1" t="s">
        <v>448</v>
      </c>
      <c r="N493" s="1" t="s">
        <v>448</v>
      </c>
      <c r="O493" s="1">
        <v>20064</v>
      </c>
      <c r="P493" s="1" t="s">
        <v>149</v>
      </c>
      <c r="Q493" s="1" t="s">
        <v>150</v>
      </c>
      <c r="R493" t="str">
        <f t="shared" si="14"/>
        <v/>
      </c>
      <c r="S493" t="str">
        <f t="shared" si="15"/>
        <v/>
      </c>
    </row>
    <row r="494" spans="1:19" x14ac:dyDescent="0.25">
      <c r="A494" s="1" t="s">
        <v>448</v>
      </c>
      <c r="B494" s="5" t="s">
        <v>448</v>
      </c>
      <c r="C494" s="1" t="s">
        <v>448</v>
      </c>
      <c r="D494" s="1" t="s">
        <v>448</v>
      </c>
      <c r="E494" s="1" t="s">
        <v>448</v>
      </c>
      <c r="F494" s="1" t="s">
        <v>448</v>
      </c>
      <c r="G494" s="1" t="s">
        <v>448</v>
      </c>
      <c r="H494" s="1" t="s">
        <v>448</v>
      </c>
      <c r="I494" s="1" t="s">
        <v>448</v>
      </c>
      <c r="J494" s="1" t="s">
        <v>448</v>
      </c>
      <c r="K494" s="1" t="s">
        <v>448</v>
      </c>
      <c r="L494" s="1" t="s">
        <v>448</v>
      </c>
      <c r="M494" s="1" t="s">
        <v>448</v>
      </c>
      <c r="N494" s="1" t="s">
        <v>448</v>
      </c>
      <c r="O494" s="1">
        <v>20064</v>
      </c>
      <c r="P494" s="1" t="s">
        <v>149</v>
      </c>
      <c r="Q494" s="1" t="s">
        <v>150</v>
      </c>
      <c r="R494" t="str">
        <f t="shared" si="14"/>
        <v/>
      </c>
      <c r="S494" t="str">
        <f t="shared" si="15"/>
        <v/>
      </c>
    </row>
    <row r="495" spans="1:19" x14ac:dyDescent="0.25">
      <c r="A495" s="1" t="s">
        <v>448</v>
      </c>
      <c r="B495" s="5" t="s">
        <v>448</v>
      </c>
      <c r="C495" s="1" t="s">
        <v>448</v>
      </c>
      <c r="D495" s="1" t="s">
        <v>448</v>
      </c>
      <c r="E495" s="1" t="s">
        <v>448</v>
      </c>
      <c r="F495" s="1" t="s">
        <v>448</v>
      </c>
      <c r="G495" s="1" t="s">
        <v>448</v>
      </c>
      <c r="H495" s="1" t="s">
        <v>448</v>
      </c>
      <c r="I495" s="1" t="s">
        <v>448</v>
      </c>
      <c r="J495" s="1" t="s">
        <v>448</v>
      </c>
      <c r="K495" s="1" t="s">
        <v>448</v>
      </c>
      <c r="L495" s="1" t="s">
        <v>448</v>
      </c>
      <c r="M495" s="1" t="s">
        <v>448</v>
      </c>
      <c r="N495" s="1" t="s">
        <v>448</v>
      </c>
      <c r="O495" s="1">
        <v>20064</v>
      </c>
      <c r="P495" s="1" t="s">
        <v>149</v>
      </c>
      <c r="Q495" s="1" t="s">
        <v>150</v>
      </c>
      <c r="R495" t="str">
        <f t="shared" si="14"/>
        <v/>
      </c>
      <c r="S495" t="str">
        <f t="shared" si="15"/>
        <v/>
      </c>
    </row>
    <row r="496" spans="1:19" x14ac:dyDescent="0.25">
      <c r="A496" s="1" t="s">
        <v>448</v>
      </c>
      <c r="B496" s="5" t="s">
        <v>448</v>
      </c>
      <c r="C496" s="1" t="s">
        <v>448</v>
      </c>
      <c r="D496" s="1" t="s">
        <v>448</v>
      </c>
      <c r="E496" s="1" t="s">
        <v>448</v>
      </c>
      <c r="F496" s="1" t="s">
        <v>448</v>
      </c>
      <c r="G496" s="1" t="s">
        <v>448</v>
      </c>
      <c r="H496" s="1" t="s">
        <v>448</v>
      </c>
      <c r="I496" s="1" t="s">
        <v>448</v>
      </c>
      <c r="J496" s="1" t="s">
        <v>448</v>
      </c>
      <c r="K496" s="1" t="s">
        <v>448</v>
      </c>
      <c r="L496" s="1" t="s">
        <v>448</v>
      </c>
      <c r="M496" s="1" t="s">
        <v>448</v>
      </c>
      <c r="N496" s="1" t="s">
        <v>448</v>
      </c>
      <c r="O496" s="1">
        <v>20064</v>
      </c>
      <c r="P496" s="1" t="s">
        <v>149</v>
      </c>
      <c r="Q496" s="1" t="s">
        <v>150</v>
      </c>
      <c r="R496" t="str">
        <f t="shared" si="14"/>
        <v/>
      </c>
      <c r="S496" t="str">
        <f t="shared" si="15"/>
        <v/>
      </c>
    </row>
    <row r="497" spans="1:19" x14ac:dyDescent="0.25">
      <c r="A497" s="1" t="s">
        <v>448</v>
      </c>
      <c r="B497" s="5" t="s">
        <v>448</v>
      </c>
      <c r="C497" s="1" t="s">
        <v>448</v>
      </c>
      <c r="D497" s="1" t="s">
        <v>448</v>
      </c>
      <c r="E497" s="1" t="s">
        <v>448</v>
      </c>
      <c r="F497" s="1" t="s">
        <v>448</v>
      </c>
      <c r="G497" s="1" t="s">
        <v>448</v>
      </c>
      <c r="H497" s="1" t="s">
        <v>448</v>
      </c>
      <c r="I497" s="1" t="s">
        <v>448</v>
      </c>
      <c r="J497" s="1" t="s">
        <v>448</v>
      </c>
      <c r="K497" s="1" t="s">
        <v>448</v>
      </c>
      <c r="L497" s="1" t="s">
        <v>448</v>
      </c>
      <c r="M497" s="1" t="s">
        <v>448</v>
      </c>
      <c r="N497" s="1" t="s">
        <v>448</v>
      </c>
      <c r="O497" s="1">
        <v>20064</v>
      </c>
      <c r="P497" s="1" t="s">
        <v>149</v>
      </c>
      <c r="Q497" s="1" t="s">
        <v>150</v>
      </c>
      <c r="R497" t="str">
        <f t="shared" si="14"/>
        <v/>
      </c>
      <c r="S497" t="str">
        <f t="shared" si="15"/>
        <v/>
      </c>
    </row>
    <row r="498" spans="1:19" x14ac:dyDescent="0.25">
      <c r="A498" s="1" t="s">
        <v>448</v>
      </c>
      <c r="B498" s="5" t="s">
        <v>448</v>
      </c>
      <c r="C498" s="1" t="s">
        <v>448</v>
      </c>
      <c r="D498" s="1" t="s">
        <v>448</v>
      </c>
      <c r="E498" s="1" t="s">
        <v>448</v>
      </c>
      <c r="F498" s="1" t="s">
        <v>448</v>
      </c>
      <c r="G498" s="1" t="s">
        <v>448</v>
      </c>
      <c r="H498" s="1" t="s">
        <v>448</v>
      </c>
      <c r="I498" s="1" t="s">
        <v>448</v>
      </c>
      <c r="J498" s="1" t="s">
        <v>448</v>
      </c>
      <c r="K498" s="1" t="s">
        <v>448</v>
      </c>
      <c r="L498" s="1" t="s">
        <v>448</v>
      </c>
      <c r="M498" s="1" t="s">
        <v>448</v>
      </c>
      <c r="N498" s="1" t="s">
        <v>448</v>
      </c>
      <c r="O498" s="1">
        <v>20064</v>
      </c>
      <c r="P498" s="1" t="s">
        <v>149</v>
      </c>
      <c r="Q498" s="1" t="s">
        <v>150</v>
      </c>
      <c r="R498" t="str">
        <f t="shared" si="14"/>
        <v/>
      </c>
      <c r="S498" t="str">
        <f t="shared" si="15"/>
        <v/>
      </c>
    </row>
    <row r="499" spans="1:19" x14ac:dyDescent="0.25">
      <c r="A499" s="1" t="s">
        <v>448</v>
      </c>
      <c r="B499" s="5" t="s">
        <v>448</v>
      </c>
      <c r="C499" s="1" t="s">
        <v>448</v>
      </c>
      <c r="D499" s="1" t="s">
        <v>448</v>
      </c>
      <c r="E499" s="1" t="s">
        <v>448</v>
      </c>
      <c r="F499" s="1" t="s">
        <v>448</v>
      </c>
      <c r="G499" s="1" t="s">
        <v>448</v>
      </c>
      <c r="H499" s="1" t="s">
        <v>448</v>
      </c>
      <c r="I499" s="1" t="s">
        <v>448</v>
      </c>
      <c r="J499" s="1" t="s">
        <v>448</v>
      </c>
      <c r="K499" s="1" t="s">
        <v>448</v>
      </c>
      <c r="L499" s="1" t="s">
        <v>448</v>
      </c>
      <c r="M499" s="1" t="s">
        <v>448</v>
      </c>
      <c r="N499" s="1" t="s">
        <v>448</v>
      </c>
      <c r="O499" s="1">
        <v>20064</v>
      </c>
      <c r="P499" s="1" t="s">
        <v>149</v>
      </c>
      <c r="Q499" s="1" t="s">
        <v>150</v>
      </c>
      <c r="R499" t="str">
        <f t="shared" si="14"/>
        <v/>
      </c>
      <c r="S499" t="str">
        <f t="shared" si="15"/>
        <v/>
      </c>
    </row>
    <row r="500" spans="1:19" x14ac:dyDescent="0.25">
      <c r="A500" s="1" t="s">
        <v>448</v>
      </c>
      <c r="B500" s="5" t="s">
        <v>448</v>
      </c>
      <c r="C500" s="1" t="s">
        <v>448</v>
      </c>
      <c r="D500" s="1" t="s">
        <v>448</v>
      </c>
      <c r="E500" s="1" t="s">
        <v>448</v>
      </c>
      <c r="F500" s="1" t="s">
        <v>448</v>
      </c>
      <c r="G500" s="1" t="s">
        <v>448</v>
      </c>
      <c r="H500" s="1" t="s">
        <v>448</v>
      </c>
      <c r="I500" s="1" t="s">
        <v>448</v>
      </c>
      <c r="J500" s="1" t="s">
        <v>448</v>
      </c>
      <c r="K500" s="1" t="s">
        <v>448</v>
      </c>
      <c r="L500" s="1" t="s">
        <v>448</v>
      </c>
      <c r="M500" s="1" t="s">
        <v>448</v>
      </c>
      <c r="N500" s="1" t="s">
        <v>448</v>
      </c>
      <c r="O500" s="1">
        <v>20064</v>
      </c>
      <c r="P500" s="1" t="s">
        <v>149</v>
      </c>
      <c r="Q500" s="1" t="s">
        <v>150</v>
      </c>
      <c r="R500" t="str">
        <f t="shared" si="14"/>
        <v/>
      </c>
      <c r="S500" t="str">
        <f t="shared" si="15"/>
        <v/>
      </c>
    </row>
    <row r="501" spans="1:19" x14ac:dyDescent="0.25">
      <c r="A501" s="1" t="s">
        <v>448</v>
      </c>
      <c r="B501" s="5" t="s">
        <v>448</v>
      </c>
      <c r="C501" s="1" t="s">
        <v>448</v>
      </c>
      <c r="D501" s="1" t="s">
        <v>448</v>
      </c>
      <c r="E501" s="1" t="s">
        <v>448</v>
      </c>
      <c r="F501" s="1" t="s">
        <v>448</v>
      </c>
      <c r="G501" s="1" t="s">
        <v>448</v>
      </c>
      <c r="H501" s="1" t="s">
        <v>448</v>
      </c>
      <c r="I501" s="1" t="s">
        <v>448</v>
      </c>
      <c r="J501" s="1" t="s">
        <v>448</v>
      </c>
      <c r="K501" s="1" t="s">
        <v>448</v>
      </c>
      <c r="L501" s="1" t="s">
        <v>448</v>
      </c>
      <c r="M501" s="1" t="s">
        <v>448</v>
      </c>
      <c r="N501" s="1" t="s">
        <v>448</v>
      </c>
      <c r="O501" s="1">
        <v>20064</v>
      </c>
      <c r="P501" s="1" t="s">
        <v>149</v>
      </c>
      <c r="Q501" s="1" t="s">
        <v>150</v>
      </c>
      <c r="R501" t="str">
        <f t="shared" si="14"/>
        <v/>
      </c>
      <c r="S501" t="str">
        <f t="shared" si="15"/>
        <v/>
      </c>
    </row>
    <row r="502" spans="1:19" x14ac:dyDescent="0.25">
      <c r="A502" s="1" t="s">
        <v>448</v>
      </c>
      <c r="B502" s="5" t="s">
        <v>448</v>
      </c>
      <c r="C502" s="1" t="s">
        <v>448</v>
      </c>
      <c r="D502" s="1" t="s">
        <v>448</v>
      </c>
      <c r="E502" s="1" t="s">
        <v>448</v>
      </c>
      <c r="F502" s="1" t="s">
        <v>448</v>
      </c>
      <c r="G502" s="1" t="s">
        <v>448</v>
      </c>
      <c r="H502" s="1" t="s">
        <v>448</v>
      </c>
      <c r="I502" s="1" t="s">
        <v>448</v>
      </c>
      <c r="J502" s="1" t="s">
        <v>448</v>
      </c>
      <c r="K502" s="1" t="s">
        <v>448</v>
      </c>
      <c r="L502" s="1" t="s">
        <v>448</v>
      </c>
      <c r="M502" s="1" t="s">
        <v>448</v>
      </c>
      <c r="N502" s="1" t="s">
        <v>448</v>
      </c>
      <c r="O502" s="1">
        <v>20064</v>
      </c>
      <c r="P502" s="1" t="s">
        <v>149</v>
      </c>
      <c r="Q502" s="1" t="s">
        <v>150</v>
      </c>
      <c r="R502" t="str">
        <f t="shared" si="14"/>
        <v/>
      </c>
      <c r="S502" t="str">
        <f t="shared" si="15"/>
        <v/>
      </c>
    </row>
    <row r="503" spans="1:19" x14ac:dyDescent="0.25">
      <c r="A503" s="1" t="s">
        <v>448</v>
      </c>
      <c r="B503" s="5" t="s">
        <v>448</v>
      </c>
      <c r="C503" s="1" t="s">
        <v>448</v>
      </c>
      <c r="D503" s="1" t="s">
        <v>448</v>
      </c>
      <c r="E503" s="1" t="s">
        <v>448</v>
      </c>
      <c r="F503" s="1" t="s">
        <v>448</v>
      </c>
      <c r="G503" s="1" t="s">
        <v>448</v>
      </c>
      <c r="H503" s="1" t="s">
        <v>448</v>
      </c>
      <c r="I503" s="1" t="s">
        <v>448</v>
      </c>
      <c r="J503" s="1" t="s">
        <v>448</v>
      </c>
      <c r="K503" s="1" t="s">
        <v>448</v>
      </c>
      <c r="L503" s="1" t="s">
        <v>448</v>
      </c>
      <c r="M503" s="1" t="s">
        <v>448</v>
      </c>
      <c r="N503" s="1" t="s">
        <v>448</v>
      </c>
      <c r="O503" s="1">
        <v>20064</v>
      </c>
      <c r="P503" s="1" t="s">
        <v>149</v>
      </c>
      <c r="Q503" s="1" t="s">
        <v>150</v>
      </c>
      <c r="R503" t="str">
        <f t="shared" si="14"/>
        <v/>
      </c>
      <c r="S503" t="str">
        <f t="shared" si="15"/>
        <v/>
      </c>
    </row>
    <row r="504" spans="1:19" x14ac:dyDescent="0.25">
      <c r="A504" s="1" t="s">
        <v>448</v>
      </c>
      <c r="B504" s="5" t="s">
        <v>448</v>
      </c>
      <c r="C504" s="1" t="s">
        <v>448</v>
      </c>
      <c r="D504" s="1" t="s">
        <v>448</v>
      </c>
      <c r="E504" s="1" t="s">
        <v>448</v>
      </c>
      <c r="F504" s="1" t="s">
        <v>448</v>
      </c>
      <c r="G504" s="1" t="s">
        <v>448</v>
      </c>
      <c r="H504" s="1" t="s">
        <v>448</v>
      </c>
      <c r="I504" s="1" t="s">
        <v>448</v>
      </c>
      <c r="J504" s="1" t="s">
        <v>448</v>
      </c>
      <c r="K504" s="1" t="s">
        <v>448</v>
      </c>
      <c r="L504" s="1" t="s">
        <v>448</v>
      </c>
      <c r="M504" s="1" t="s">
        <v>448</v>
      </c>
      <c r="N504" s="1" t="s">
        <v>448</v>
      </c>
      <c r="O504" s="1">
        <v>20064</v>
      </c>
      <c r="P504" s="1" t="s">
        <v>149</v>
      </c>
      <c r="Q504" s="1" t="s">
        <v>150</v>
      </c>
      <c r="R504" t="str">
        <f t="shared" si="14"/>
        <v/>
      </c>
      <c r="S504" t="str">
        <f t="shared" si="15"/>
        <v/>
      </c>
    </row>
    <row r="505" spans="1:19" x14ac:dyDescent="0.25">
      <c r="A505" s="1" t="s">
        <v>448</v>
      </c>
      <c r="B505" s="5" t="s">
        <v>448</v>
      </c>
      <c r="C505" s="1" t="s">
        <v>448</v>
      </c>
      <c r="D505" s="1" t="s">
        <v>448</v>
      </c>
      <c r="E505" s="1" t="s">
        <v>448</v>
      </c>
      <c r="F505" s="1" t="s">
        <v>448</v>
      </c>
      <c r="G505" s="1" t="s">
        <v>448</v>
      </c>
      <c r="H505" s="1" t="s">
        <v>448</v>
      </c>
      <c r="I505" s="1" t="s">
        <v>448</v>
      </c>
      <c r="J505" s="1" t="s">
        <v>448</v>
      </c>
      <c r="K505" s="1" t="s">
        <v>448</v>
      </c>
      <c r="L505" s="1" t="s">
        <v>448</v>
      </c>
      <c r="M505" s="1" t="s">
        <v>448</v>
      </c>
      <c r="N505" s="1" t="s">
        <v>448</v>
      </c>
      <c r="O505" s="1">
        <v>20064</v>
      </c>
      <c r="P505" s="1" t="s">
        <v>149</v>
      </c>
      <c r="Q505" s="1" t="s">
        <v>150</v>
      </c>
      <c r="R505" t="str">
        <f t="shared" si="14"/>
        <v/>
      </c>
      <c r="S505" t="str">
        <f t="shared" si="15"/>
        <v/>
      </c>
    </row>
    <row r="506" spans="1:19" x14ac:dyDescent="0.25">
      <c r="A506" s="1" t="s">
        <v>448</v>
      </c>
      <c r="B506" s="5" t="s">
        <v>448</v>
      </c>
      <c r="C506" s="1" t="s">
        <v>448</v>
      </c>
      <c r="D506" s="1" t="s">
        <v>448</v>
      </c>
      <c r="E506" s="1" t="s">
        <v>448</v>
      </c>
      <c r="F506" s="1" t="s">
        <v>448</v>
      </c>
      <c r="G506" s="1" t="s">
        <v>448</v>
      </c>
      <c r="H506" s="1" t="s">
        <v>448</v>
      </c>
      <c r="I506" s="1" t="s">
        <v>448</v>
      </c>
      <c r="J506" s="1" t="s">
        <v>448</v>
      </c>
      <c r="K506" s="1" t="s">
        <v>448</v>
      </c>
      <c r="L506" s="1" t="s">
        <v>448</v>
      </c>
      <c r="M506" s="1" t="s">
        <v>448</v>
      </c>
      <c r="N506" s="1" t="s">
        <v>448</v>
      </c>
      <c r="O506" s="1">
        <v>20064</v>
      </c>
      <c r="P506" s="1" t="s">
        <v>149</v>
      </c>
      <c r="Q506" s="1" t="s">
        <v>150</v>
      </c>
      <c r="R506" t="str">
        <f t="shared" si="14"/>
        <v/>
      </c>
      <c r="S506" t="str">
        <f t="shared" si="15"/>
        <v/>
      </c>
    </row>
    <row r="507" spans="1:19" x14ac:dyDescent="0.25">
      <c r="A507" s="1" t="s">
        <v>448</v>
      </c>
      <c r="B507" s="5" t="s">
        <v>448</v>
      </c>
      <c r="C507" s="1" t="s">
        <v>448</v>
      </c>
      <c r="D507" s="1" t="s">
        <v>448</v>
      </c>
      <c r="E507" s="1" t="s">
        <v>448</v>
      </c>
      <c r="F507" s="1" t="s">
        <v>448</v>
      </c>
      <c r="G507" s="1" t="s">
        <v>448</v>
      </c>
      <c r="H507" s="1" t="s">
        <v>448</v>
      </c>
      <c r="I507" s="1" t="s">
        <v>448</v>
      </c>
      <c r="J507" s="1" t="s">
        <v>448</v>
      </c>
      <c r="K507" s="1" t="s">
        <v>448</v>
      </c>
      <c r="L507" s="1" t="s">
        <v>448</v>
      </c>
      <c r="M507" s="1" t="s">
        <v>448</v>
      </c>
      <c r="N507" s="1" t="s">
        <v>448</v>
      </c>
      <c r="O507" s="1">
        <v>20064</v>
      </c>
      <c r="P507" s="1" t="s">
        <v>149</v>
      </c>
      <c r="Q507" s="1" t="s">
        <v>150</v>
      </c>
      <c r="R507" t="str">
        <f t="shared" si="14"/>
        <v/>
      </c>
      <c r="S507" t="str">
        <f t="shared" si="15"/>
        <v/>
      </c>
    </row>
    <row r="508" spans="1:19" x14ac:dyDescent="0.25">
      <c r="A508" s="1" t="s">
        <v>448</v>
      </c>
      <c r="B508" s="5" t="s">
        <v>448</v>
      </c>
      <c r="C508" s="1" t="s">
        <v>448</v>
      </c>
      <c r="D508" s="1" t="s">
        <v>448</v>
      </c>
      <c r="E508" s="1" t="s">
        <v>448</v>
      </c>
      <c r="F508" s="1" t="s">
        <v>448</v>
      </c>
      <c r="G508" s="1" t="s">
        <v>448</v>
      </c>
      <c r="H508" s="1" t="s">
        <v>448</v>
      </c>
      <c r="I508" s="1" t="s">
        <v>448</v>
      </c>
      <c r="J508" s="1" t="s">
        <v>448</v>
      </c>
      <c r="K508" s="1" t="s">
        <v>448</v>
      </c>
      <c r="L508" s="1" t="s">
        <v>448</v>
      </c>
      <c r="M508" s="1" t="s">
        <v>448</v>
      </c>
      <c r="N508" s="1" t="s">
        <v>448</v>
      </c>
      <c r="O508" s="1">
        <v>20064</v>
      </c>
      <c r="P508" s="1" t="s">
        <v>149</v>
      </c>
      <c r="Q508" s="1" t="s">
        <v>150</v>
      </c>
      <c r="R508" t="str">
        <f t="shared" si="14"/>
        <v/>
      </c>
      <c r="S508" t="str">
        <f t="shared" si="15"/>
        <v/>
      </c>
    </row>
    <row r="509" spans="1:19" x14ac:dyDescent="0.25">
      <c r="A509" s="1" t="s">
        <v>448</v>
      </c>
      <c r="B509" s="5" t="s">
        <v>448</v>
      </c>
      <c r="C509" s="1" t="s">
        <v>448</v>
      </c>
      <c r="D509" s="1" t="s">
        <v>448</v>
      </c>
      <c r="E509" s="1" t="s">
        <v>448</v>
      </c>
      <c r="F509" s="1" t="s">
        <v>448</v>
      </c>
      <c r="G509" s="1" t="s">
        <v>448</v>
      </c>
      <c r="H509" s="1" t="s">
        <v>448</v>
      </c>
      <c r="I509" s="1" t="s">
        <v>448</v>
      </c>
      <c r="J509" s="1" t="s">
        <v>448</v>
      </c>
      <c r="K509" s="1" t="s">
        <v>448</v>
      </c>
      <c r="L509" s="1" t="s">
        <v>448</v>
      </c>
      <c r="M509" s="1" t="s">
        <v>448</v>
      </c>
      <c r="N509" s="1" t="s">
        <v>448</v>
      </c>
      <c r="O509" s="1">
        <v>20064</v>
      </c>
      <c r="P509" s="1" t="s">
        <v>149</v>
      </c>
      <c r="Q509" s="1" t="s">
        <v>150</v>
      </c>
      <c r="R509" t="str">
        <f t="shared" si="14"/>
        <v/>
      </c>
      <c r="S509" t="str">
        <f t="shared" si="15"/>
        <v/>
      </c>
    </row>
    <row r="510" spans="1:19" x14ac:dyDescent="0.25">
      <c r="A510" s="1" t="s">
        <v>448</v>
      </c>
      <c r="B510" s="5" t="s">
        <v>448</v>
      </c>
      <c r="C510" s="1" t="s">
        <v>448</v>
      </c>
      <c r="D510" s="1" t="s">
        <v>448</v>
      </c>
      <c r="E510" s="1" t="s">
        <v>448</v>
      </c>
      <c r="F510" s="1" t="s">
        <v>448</v>
      </c>
      <c r="G510" s="1" t="s">
        <v>448</v>
      </c>
      <c r="H510" s="1" t="s">
        <v>448</v>
      </c>
      <c r="I510" s="1" t="s">
        <v>448</v>
      </c>
      <c r="J510" s="1" t="s">
        <v>448</v>
      </c>
      <c r="K510" s="1" t="s">
        <v>448</v>
      </c>
      <c r="L510" s="1" t="s">
        <v>448</v>
      </c>
      <c r="M510" s="1" t="s">
        <v>448</v>
      </c>
      <c r="N510" s="1" t="s">
        <v>448</v>
      </c>
      <c r="O510" s="1">
        <v>20064</v>
      </c>
      <c r="P510" s="1" t="s">
        <v>149</v>
      </c>
      <c r="Q510" s="1" t="s">
        <v>150</v>
      </c>
      <c r="R510" t="str">
        <f t="shared" si="14"/>
        <v/>
      </c>
      <c r="S510" t="str">
        <f t="shared" si="15"/>
        <v/>
      </c>
    </row>
    <row r="511" spans="1:19" x14ac:dyDescent="0.25">
      <c r="A511" s="1" t="s">
        <v>448</v>
      </c>
      <c r="B511" s="5" t="s">
        <v>448</v>
      </c>
      <c r="C511" s="1" t="s">
        <v>448</v>
      </c>
      <c r="D511" s="1" t="s">
        <v>448</v>
      </c>
      <c r="E511" s="1" t="s">
        <v>448</v>
      </c>
      <c r="F511" s="1" t="s">
        <v>448</v>
      </c>
      <c r="G511" s="1" t="s">
        <v>448</v>
      </c>
      <c r="H511" s="1" t="s">
        <v>448</v>
      </c>
      <c r="I511" s="1" t="s">
        <v>448</v>
      </c>
      <c r="J511" s="1" t="s">
        <v>448</v>
      </c>
      <c r="K511" s="1" t="s">
        <v>448</v>
      </c>
      <c r="L511" s="1" t="s">
        <v>448</v>
      </c>
      <c r="M511" s="1" t="s">
        <v>448</v>
      </c>
      <c r="N511" s="1" t="s">
        <v>448</v>
      </c>
      <c r="O511" s="1">
        <v>20064</v>
      </c>
      <c r="P511" s="1" t="s">
        <v>149</v>
      </c>
      <c r="Q511" s="1" t="s">
        <v>150</v>
      </c>
      <c r="R511" t="str">
        <f t="shared" si="14"/>
        <v/>
      </c>
      <c r="S511" t="str">
        <f t="shared" si="15"/>
        <v/>
      </c>
    </row>
    <row r="512" spans="1:19" x14ac:dyDescent="0.25">
      <c r="A512" s="1" t="s">
        <v>448</v>
      </c>
      <c r="B512" s="5" t="s">
        <v>448</v>
      </c>
      <c r="C512" s="1" t="s">
        <v>448</v>
      </c>
      <c r="D512" s="1" t="s">
        <v>448</v>
      </c>
      <c r="E512" s="1" t="s">
        <v>448</v>
      </c>
      <c r="F512" s="1" t="s">
        <v>448</v>
      </c>
      <c r="G512" s="1" t="s">
        <v>448</v>
      </c>
      <c r="H512" s="1" t="s">
        <v>448</v>
      </c>
      <c r="I512" s="1" t="s">
        <v>448</v>
      </c>
      <c r="J512" s="1" t="s">
        <v>448</v>
      </c>
      <c r="K512" s="1" t="s">
        <v>448</v>
      </c>
      <c r="L512" s="1" t="s">
        <v>448</v>
      </c>
      <c r="M512" s="1" t="s">
        <v>448</v>
      </c>
      <c r="N512" s="1" t="s">
        <v>448</v>
      </c>
      <c r="O512" s="1">
        <v>20064</v>
      </c>
      <c r="P512" s="1" t="s">
        <v>149</v>
      </c>
      <c r="Q512" s="1" t="s">
        <v>150</v>
      </c>
      <c r="R512" t="str">
        <f t="shared" si="14"/>
        <v/>
      </c>
      <c r="S512" t="str">
        <f t="shared" si="15"/>
        <v/>
      </c>
    </row>
    <row r="513" spans="1:19" x14ac:dyDescent="0.25">
      <c r="A513" s="1" t="s">
        <v>448</v>
      </c>
      <c r="B513" s="5" t="s">
        <v>448</v>
      </c>
      <c r="C513" s="1" t="s">
        <v>448</v>
      </c>
      <c r="D513" s="1" t="s">
        <v>448</v>
      </c>
      <c r="E513" s="1" t="s">
        <v>448</v>
      </c>
      <c r="F513" s="1" t="s">
        <v>448</v>
      </c>
      <c r="G513" s="1" t="s">
        <v>448</v>
      </c>
      <c r="H513" s="1" t="s">
        <v>448</v>
      </c>
      <c r="I513" s="1" t="s">
        <v>448</v>
      </c>
      <c r="J513" s="1" t="s">
        <v>448</v>
      </c>
      <c r="K513" s="1" t="s">
        <v>448</v>
      </c>
      <c r="L513" s="1" t="s">
        <v>448</v>
      </c>
      <c r="M513" s="1" t="s">
        <v>448</v>
      </c>
      <c r="N513" s="1" t="s">
        <v>448</v>
      </c>
      <c r="O513" s="1">
        <v>20064</v>
      </c>
      <c r="P513" s="1" t="s">
        <v>149</v>
      </c>
      <c r="Q513" s="1" t="s">
        <v>150</v>
      </c>
      <c r="R513" t="str">
        <f t="shared" si="14"/>
        <v/>
      </c>
      <c r="S513" t="str">
        <f t="shared" si="15"/>
        <v/>
      </c>
    </row>
    <row r="514" spans="1:19" x14ac:dyDescent="0.25">
      <c r="A514" s="1" t="s">
        <v>448</v>
      </c>
      <c r="B514" s="5" t="s">
        <v>448</v>
      </c>
      <c r="C514" s="1" t="s">
        <v>448</v>
      </c>
      <c r="D514" s="1" t="s">
        <v>448</v>
      </c>
      <c r="E514" s="1" t="s">
        <v>448</v>
      </c>
      <c r="F514" s="1" t="s">
        <v>448</v>
      </c>
      <c r="G514" s="1" t="s">
        <v>448</v>
      </c>
      <c r="H514" s="1" t="s">
        <v>448</v>
      </c>
      <c r="I514" s="1" t="s">
        <v>448</v>
      </c>
      <c r="J514" s="1" t="s">
        <v>448</v>
      </c>
      <c r="K514" s="1" t="s">
        <v>448</v>
      </c>
      <c r="L514" s="1" t="s">
        <v>448</v>
      </c>
      <c r="M514" s="1" t="s">
        <v>448</v>
      </c>
      <c r="N514" s="1" t="s">
        <v>448</v>
      </c>
      <c r="O514" s="1">
        <v>20064</v>
      </c>
      <c r="P514" s="1" t="s">
        <v>149</v>
      </c>
      <c r="Q514" s="1" t="s">
        <v>150</v>
      </c>
      <c r="R514" t="str">
        <f t="shared" ref="R514:R577" si="16">IF(ISNUMBER(B514),INT(B514*24),"")</f>
        <v/>
      </c>
      <c r="S514" t="str">
        <f t="shared" ref="S514:S577" si="17">IF(ISNUMBER(B514),ROUND((B514*24-R514)*60,0),"")</f>
        <v/>
      </c>
    </row>
    <row r="515" spans="1:19" x14ac:dyDescent="0.25">
      <c r="A515" s="1" t="s">
        <v>448</v>
      </c>
      <c r="B515" s="5" t="s">
        <v>448</v>
      </c>
      <c r="C515" s="1" t="s">
        <v>448</v>
      </c>
      <c r="D515" s="1" t="s">
        <v>448</v>
      </c>
      <c r="E515" s="1" t="s">
        <v>448</v>
      </c>
      <c r="F515" s="1" t="s">
        <v>448</v>
      </c>
      <c r="G515" s="1" t="s">
        <v>448</v>
      </c>
      <c r="H515" s="1" t="s">
        <v>448</v>
      </c>
      <c r="I515" s="1" t="s">
        <v>448</v>
      </c>
      <c r="J515" s="1" t="s">
        <v>448</v>
      </c>
      <c r="K515" s="1" t="s">
        <v>448</v>
      </c>
      <c r="L515" s="1" t="s">
        <v>448</v>
      </c>
      <c r="M515" s="1" t="s">
        <v>448</v>
      </c>
      <c r="N515" s="1" t="s">
        <v>448</v>
      </c>
      <c r="O515" s="1">
        <v>20064</v>
      </c>
      <c r="P515" s="1" t="s">
        <v>149</v>
      </c>
      <c r="Q515" s="1" t="s">
        <v>150</v>
      </c>
      <c r="R515" t="str">
        <f t="shared" si="16"/>
        <v/>
      </c>
      <c r="S515" t="str">
        <f t="shared" si="17"/>
        <v/>
      </c>
    </row>
    <row r="516" spans="1:19" x14ac:dyDescent="0.25">
      <c r="A516" s="1" t="s">
        <v>448</v>
      </c>
      <c r="B516" s="5" t="s">
        <v>448</v>
      </c>
      <c r="C516" s="1" t="s">
        <v>448</v>
      </c>
      <c r="D516" s="1" t="s">
        <v>448</v>
      </c>
      <c r="E516" s="1" t="s">
        <v>448</v>
      </c>
      <c r="F516" s="1" t="s">
        <v>448</v>
      </c>
      <c r="G516" s="1" t="s">
        <v>448</v>
      </c>
      <c r="H516" s="1" t="s">
        <v>448</v>
      </c>
      <c r="I516" s="1" t="s">
        <v>448</v>
      </c>
      <c r="J516" s="1" t="s">
        <v>448</v>
      </c>
      <c r="K516" s="1" t="s">
        <v>448</v>
      </c>
      <c r="L516" s="1" t="s">
        <v>448</v>
      </c>
      <c r="M516" s="1" t="s">
        <v>448</v>
      </c>
      <c r="N516" s="1" t="s">
        <v>448</v>
      </c>
      <c r="O516" s="1">
        <v>20064</v>
      </c>
      <c r="P516" s="1" t="s">
        <v>149</v>
      </c>
      <c r="Q516" s="1" t="s">
        <v>150</v>
      </c>
      <c r="R516" t="str">
        <f t="shared" si="16"/>
        <v/>
      </c>
      <c r="S516" t="str">
        <f t="shared" si="17"/>
        <v/>
      </c>
    </row>
    <row r="517" spans="1:19" x14ac:dyDescent="0.25">
      <c r="A517" s="1" t="s">
        <v>448</v>
      </c>
      <c r="B517" s="5" t="s">
        <v>448</v>
      </c>
      <c r="C517" s="1" t="s">
        <v>448</v>
      </c>
      <c r="D517" s="1" t="s">
        <v>448</v>
      </c>
      <c r="E517" s="1" t="s">
        <v>448</v>
      </c>
      <c r="F517" s="1" t="s">
        <v>448</v>
      </c>
      <c r="G517" s="1" t="s">
        <v>448</v>
      </c>
      <c r="H517" s="1" t="s">
        <v>448</v>
      </c>
      <c r="I517" s="1" t="s">
        <v>448</v>
      </c>
      <c r="J517" s="1" t="s">
        <v>448</v>
      </c>
      <c r="K517" s="1" t="s">
        <v>448</v>
      </c>
      <c r="L517" s="1" t="s">
        <v>448</v>
      </c>
      <c r="M517" s="1" t="s">
        <v>448</v>
      </c>
      <c r="N517" s="1" t="s">
        <v>448</v>
      </c>
      <c r="O517" s="1">
        <v>20064</v>
      </c>
      <c r="P517" s="1" t="s">
        <v>149</v>
      </c>
      <c r="Q517" s="1" t="s">
        <v>150</v>
      </c>
      <c r="R517" t="str">
        <f t="shared" si="16"/>
        <v/>
      </c>
      <c r="S517" t="str">
        <f t="shared" si="17"/>
        <v/>
      </c>
    </row>
    <row r="518" spans="1:19" x14ac:dyDescent="0.25">
      <c r="A518" s="1" t="s">
        <v>448</v>
      </c>
      <c r="B518" s="5" t="s">
        <v>448</v>
      </c>
      <c r="C518" s="1" t="s">
        <v>448</v>
      </c>
      <c r="D518" s="1" t="s">
        <v>448</v>
      </c>
      <c r="E518" s="1" t="s">
        <v>448</v>
      </c>
      <c r="F518" s="1" t="s">
        <v>448</v>
      </c>
      <c r="G518" s="1" t="s">
        <v>448</v>
      </c>
      <c r="H518" s="1" t="s">
        <v>448</v>
      </c>
      <c r="I518" s="1" t="s">
        <v>448</v>
      </c>
      <c r="J518" s="1" t="s">
        <v>448</v>
      </c>
      <c r="K518" s="1" t="s">
        <v>448</v>
      </c>
      <c r="L518" s="1" t="s">
        <v>448</v>
      </c>
      <c r="M518" s="1" t="s">
        <v>448</v>
      </c>
      <c r="N518" s="1" t="s">
        <v>448</v>
      </c>
      <c r="O518" s="1">
        <v>20064</v>
      </c>
      <c r="P518" s="1" t="s">
        <v>149</v>
      </c>
      <c r="Q518" s="1" t="s">
        <v>150</v>
      </c>
      <c r="R518" t="str">
        <f t="shared" si="16"/>
        <v/>
      </c>
      <c r="S518" t="str">
        <f t="shared" si="17"/>
        <v/>
      </c>
    </row>
    <row r="519" spans="1:19" x14ac:dyDescent="0.25">
      <c r="A519" s="1" t="s">
        <v>448</v>
      </c>
      <c r="B519" s="5" t="s">
        <v>448</v>
      </c>
      <c r="C519" s="1" t="s">
        <v>448</v>
      </c>
      <c r="D519" s="1" t="s">
        <v>448</v>
      </c>
      <c r="E519" s="1" t="s">
        <v>448</v>
      </c>
      <c r="F519" s="1" t="s">
        <v>448</v>
      </c>
      <c r="G519" s="1" t="s">
        <v>448</v>
      </c>
      <c r="H519" s="1" t="s">
        <v>448</v>
      </c>
      <c r="I519" s="1" t="s">
        <v>448</v>
      </c>
      <c r="J519" s="1" t="s">
        <v>448</v>
      </c>
      <c r="K519" s="1" t="s">
        <v>448</v>
      </c>
      <c r="L519" s="1" t="s">
        <v>448</v>
      </c>
      <c r="M519" s="1" t="s">
        <v>448</v>
      </c>
      <c r="N519" s="1" t="s">
        <v>448</v>
      </c>
      <c r="O519" s="1">
        <v>20064</v>
      </c>
      <c r="P519" s="1" t="s">
        <v>149</v>
      </c>
      <c r="Q519" s="1" t="s">
        <v>150</v>
      </c>
      <c r="R519" t="str">
        <f t="shared" si="16"/>
        <v/>
      </c>
      <c r="S519" t="str">
        <f t="shared" si="17"/>
        <v/>
      </c>
    </row>
    <row r="520" spans="1:19" x14ac:dyDescent="0.25">
      <c r="A520" s="1" t="s">
        <v>448</v>
      </c>
      <c r="B520" s="5" t="s">
        <v>448</v>
      </c>
      <c r="C520" s="1" t="s">
        <v>448</v>
      </c>
      <c r="D520" s="1" t="s">
        <v>448</v>
      </c>
      <c r="E520" s="1" t="s">
        <v>448</v>
      </c>
      <c r="F520" s="1" t="s">
        <v>448</v>
      </c>
      <c r="G520" s="1" t="s">
        <v>448</v>
      </c>
      <c r="H520" s="1" t="s">
        <v>448</v>
      </c>
      <c r="I520" s="1" t="s">
        <v>448</v>
      </c>
      <c r="J520" s="1" t="s">
        <v>448</v>
      </c>
      <c r="K520" s="1" t="s">
        <v>448</v>
      </c>
      <c r="L520" s="1" t="s">
        <v>448</v>
      </c>
      <c r="M520" s="1" t="s">
        <v>448</v>
      </c>
      <c r="N520" s="1" t="s">
        <v>448</v>
      </c>
      <c r="O520" s="1">
        <v>20064</v>
      </c>
      <c r="P520" s="1" t="s">
        <v>149</v>
      </c>
      <c r="Q520" s="1" t="s">
        <v>150</v>
      </c>
      <c r="R520" t="str">
        <f t="shared" si="16"/>
        <v/>
      </c>
      <c r="S520" t="str">
        <f t="shared" si="17"/>
        <v/>
      </c>
    </row>
    <row r="521" spans="1:19" x14ac:dyDescent="0.25">
      <c r="A521" s="1" t="s">
        <v>448</v>
      </c>
      <c r="B521" s="5" t="s">
        <v>448</v>
      </c>
      <c r="C521" s="1" t="s">
        <v>448</v>
      </c>
      <c r="D521" s="1" t="s">
        <v>448</v>
      </c>
      <c r="E521" s="1" t="s">
        <v>448</v>
      </c>
      <c r="F521" s="1" t="s">
        <v>448</v>
      </c>
      <c r="G521" s="1" t="s">
        <v>448</v>
      </c>
      <c r="H521" s="1" t="s">
        <v>448</v>
      </c>
      <c r="I521" s="1" t="s">
        <v>448</v>
      </c>
      <c r="J521" s="1" t="s">
        <v>448</v>
      </c>
      <c r="K521" s="1" t="s">
        <v>448</v>
      </c>
      <c r="L521" s="1" t="s">
        <v>448</v>
      </c>
      <c r="M521" s="1" t="s">
        <v>448</v>
      </c>
      <c r="N521" s="1" t="s">
        <v>448</v>
      </c>
      <c r="O521" s="1">
        <v>20064</v>
      </c>
      <c r="P521" s="1" t="s">
        <v>149</v>
      </c>
      <c r="Q521" s="1" t="s">
        <v>150</v>
      </c>
      <c r="R521" t="str">
        <f t="shared" si="16"/>
        <v/>
      </c>
      <c r="S521" t="str">
        <f t="shared" si="17"/>
        <v/>
      </c>
    </row>
    <row r="522" spans="1:19" x14ac:dyDescent="0.25">
      <c r="A522" s="1" t="s">
        <v>448</v>
      </c>
      <c r="B522" s="5" t="s">
        <v>448</v>
      </c>
      <c r="C522" s="1" t="s">
        <v>448</v>
      </c>
      <c r="D522" s="1" t="s">
        <v>448</v>
      </c>
      <c r="E522" s="1" t="s">
        <v>448</v>
      </c>
      <c r="F522" s="1" t="s">
        <v>448</v>
      </c>
      <c r="G522" s="1" t="s">
        <v>448</v>
      </c>
      <c r="H522" s="1" t="s">
        <v>448</v>
      </c>
      <c r="I522" s="1" t="s">
        <v>448</v>
      </c>
      <c r="J522" s="1" t="s">
        <v>448</v>
      </c>
      <c r="K522" s="1" t="s">
        <v>448</v>
      </c>
      <c r="L522" s="1" t="s">
        <v>448</v>
      </c>
      <c r="M522" s="1" t="s">
        <v>448</v>
      </c>
      <c r="N522" s="1" t="s">
        <v>448</v>
      </c>
      <c r="O522" s="1">
        <v>20064</v>
      </c>
      <c r="P522" s="1" t="s">
        <v>149</v>
      </c>
      <c r="Q522" s="1" t="s">
        <v>150</v>
      </c>
      <c r="R522" t="str">
        <f t="shared" si="16"/>
        <v/>
      </c>
      <c r="S522" t="str">
        <f t="shared" si="17"/>
        <v/>
      </c>
    </row>
    <row r="523" spans="1:19" x14ac:dyDescent="0.25">
      <c r="A523" s="1" t="s">
        <v>448</v>
      </c>
      <c r="B523" s="5" t="s">
        <v>448</v>
      </c>
      <c r="C523" s="1" t="s">
        <v>448</v>
      </c>
      <c r="D523" s="1" t="s">
        <v>448</v>
      </c>
      <c r="E523" s="1" t="s">
        <v>448</v>
      </c>
      <c r="F523" s="1" t="s">
        <v>448</v>
      </c>
      <c r="G523" s="1" t="s">
        <v>448</v>
      </c>
      <c r="H523" s="1" t="s">
        <v>448</v>
      </c>
      <c r="I523" s="1" t="s">
        <v>448</v>
      </c>
      <c r="J523" s="1" t="s">
        <v>448</v>
      </c>
      <c r="K523" s="1" t="s">
        <v>448</v>
      </c>
      <c r="L523" s="1" t="s">
        <v>448</v>
      </c>
      <c r="M523" s="1" t="s">
        <v>448</v>
      </c>
      <c r="N523" s="1" t="s">
        <v>448</v>
      </c>
      <c r="O523" s="1">
        <v>20064</v>
      </c>
      <c r="P523" s="1" t="s">
        <v>149</v>
      </c>
      <c r="Q523" s="1" t="s">
        <v>150</v>
      </c>
      <c r="R523" t="str">
        <f t="shared" si="16"/>
        <v/>
      </c>
      <c r="S523" t="str">
        <f t="shared" si="17"/>
        <v/>
      </c>
    </row>
    <row r="524" spans="1:19" x14ac:dyDescent="0.25">
      <c r="A524" s="1" t="s">
        <v>448</v>
      </c>
      <c r="B524" s="5" t="s">
        <v>448</v>
      </c>
      <c r="C524" s="1" t="s">
        <v>448</v>
      </c>
      <c r="D524" s="1" t="s">
        <v>448</v>
      </c>
      <c r="E524" s="1" t="s">
        <v>448</v>
      </c>
      <c r="F524" s="1" t="s">
        <v>448</v>
      </c>
      <c r="G524" s="1" t="s">
        <v>448</v>
      </c>
      <c r="H524" s="1" t="s">
        <v>448</v>
      </c>
      <c r="I524" s="1" t="s">
        <v>448</v>
      </c>
      <c r="J524" s="1" t="s">
        <v>448</v>
      </c>
      <c r="K524" s="1" t="s">
        <v>448</v>
      </c>
      <c r="L524" s="1" t="s">
        <v>448</v>
      </c>
      <c r="M524" s="1" t="s">
        <v>448</v>
      </c>
      <c r="N524" s="1" t="s">
        <v>448</v>
      </c>
      <c r="O524" s="1">
        <v>20064</v>
      </c>
      <c r="P524" s="1" t="s">
        <v>149</v>
      </c>
      <c r="Q524" s="1" t="s">
        <v>150</v>
      </c>
      <c r="R524" t="str">
        <f t="shared" si="16"/>
        <v/>
      </c>
      <c r="S524" t="str">
        <f t="shared" si="17"/>
        <v/>
      </c>
    </row>
    <row r="525" spans="1:19" x14ac:dyDescent="0.25">
      <c r="A525" s="1" t="s">
        <v>448</v>
      </c>
      <c r="B525" s="5" t="s">
        <v>448</v>
      </c>
      <c r="C525" s="1" t="s">
        <v>448</v>
      </c>
      <c r="D525" s="1" t="s">
        <v>448</v>
      </c>
      <c r="E525" s="1" t="s">
        <v>448</v>
      </c>
      <c r="F525" s="1" t="s">
        <v>448</v>
      </c>
      <c r="G525" s="1" t="s">
        <v>448</v>
      </c>
      <c r="H525" s="1" t="s">
        <v>448</v>
      </c>
      <c r="I525" s="1" t="s">
        <v>448</v>
      </c>
      <c r="J525" s="1" t="s">
        <v>448</v>
      </c>
      <c r="K525" s="1" t="s">
        <v>448</v>
      </c>
      <c r="L525" s="1" t="s">
        <v>448</v>
      </c>
      <c r="M525" s="1" t="s">
        <v>448</v>
      </c>
      <c r="N525" s="1" t="s">
        <v>448</v>
      </c>
      <c r="O525" s="1">
        <v>20064</v>
      </c>
      <c r="P525" s="1" t="s">
        <v>149</v>
      </c>
      <c r="Q525" s="1" t="s">
        <v>150</v>
      </c>
      <c r="R525" t="str">
        <f t="shared" si="16"/>
        <v/>
      </c>
      <c r="S525" t="str">
        <f t="shared" si="17"/>
        <v/>
      </c>
    </row>
    <row r="526" spans="1:19" x14ac:dyDescent="0.25">
      <c r="A526" s="1" t="s">
        <v>448</v>
      </c>
      <c r="B526" s="5" t="s">
        <v>448</v>
      </c>
      <c r="C526" s="1" t="s">
        <v>448</v>
      </c>
      <c r="D526" s="1" t="s">
        <v>448</v>
      </c>
      <c r="E526" s="1" t="s">
        <v>448</v>
      </c>
      <c r="F526" s="1" t="s">
        <v>448</v>
      </c>
      <c r="G526" s="1" t="s">
        <v>448</v>
      </c>
      <c r="H526" s="1" t="s">
        <v>448</v>
      </c>
      <c r="I526" s="1" t="s">
        <v>448</v>
      </c>
      <c r="J526" s="1" t="s">
        <v>448</v>
      </c>
      <c r="K526" s="1" t="s">
        <v>448</v>
      </c>
      <c r="L526" s="1" t="s">
        <v>448</v>
      </c>
      <c r="M526" s="1" t="s">
        <v>448</v>
      </c>
      <c r="N526" s="1" t="s">
        <v>448</v>
      </c>
      <c r="O526" s="1">
        <v>20064</v>
      </c>
      <c r="P526" s="1" t="s">
        <v>149</v>
      </c>
      <c r="Q526" s="1" t="s">
        <v>150</v>
      </c>
      <c r="R526" t="str">
        <f t="shared" si="16"/>
        <v/>
      </c>
      <c r="S526" t="str">
        <f t="shared" si="17"/>
        <v/>
      </c>
    </row>
    <row r="527" spans="1:19" x14ac:dyDescent="0.25">
      <c r="A527" s="1" t="s">
        <v>448</v>
      </c>
      <c r="B527" s="5" t="s">
        <v>448</v>
      </c>
      <c r="C527" s="1" t="s">
        <v>448</v>
      </c>
      <c r="D527" s="1" t="s">
        <v>448</v>
      </c>
      <c r="E527" s="1" t="s">
        <v>448</v>
      </c>
      <c r="F527" s="1" t="s">
        <v>448</v>
      </c>
      <c r="G527" s="1" t="s">
        <v>448</v>
      </c>
      <c r="H527" s="1" t="s">
        <v>448</v>
      </c>
      <c r="I527" s="1" t="s">
        <v>448</v>
      </c>
      <c r="J527" s="1" t="s">
        <v>448</v>
      </c>
      <c r="K527" s="1" t="s">
        <v>448</v>
      </c>
      <c r="L527" s="1" t="s">
        <v>448</v>
      </c>
      <c r="M527" s="1" t="s">
        <v>448</v>
      </c>
      <c r="N527" s="1" t="s">
        <v>448</v>
      </c>
      <c r="O527" s="1">
        <v>20064</v>
      </c>
      <c r="P527" s="1" t="s">
        <v>149</v>
      </c>
      <c r="Q527" s="1" t="s">
        <v>150</v>
      </c>
      <c r="R527" t="str">
        <f t="shared" si="16"/>
        <v/>
      </c>
      <c r="S527" t="str">
        <f t="shared" si="17"/>
        <v/>
      </c>
    </row>
    <row r="528" spans="1:19" x14ac:dyDescent="0.25">
      <c r="A528" s="1" t="s">
        <v>448</v>
      </c>
      <c r="B528" s="5" t="s">
        <v>448</v>
      </c>
      <c r="C528" s="1" t="s">
        <v>448</v>
      </c>
      <c r="D528" s="1" t="s">
        <v>448</v>
      </c>
      <c r="E528" s="1" t="s">
        <v>448</v>
      </c>
      <c r="F528" s="1" t="s">
        <v>448</v>
      </c>
      <c r="G528" s="1" t="s">
        <v>448</v>
      </c>
      <c r="H528" s="1" t="s">
        <v>448</v>
      </c>
      <c r="I528" s="1" t="s">
        <v>448</v>
      </c>
      <c r="J528" s="1" t="s">
        <v>448</v>
      </c>
      <c r="K528" s="1" t="s">
        <v>448</v>
      </c>
      <c r="L528" s="1" t="s">
        <v>448</v>
      </c>
      <c r="M528" s="1" t="s">
        <v>448</v>
      </c>
      <c r="N528" s="1" t="s">
        <v>448</v>
      </c>
      <c r="O528" s="1">
        <v>20064</v>
      </c>
      <c r="P528" s="1" t="s">
        <v>149</v>
      </c>
      <c r="Q528" s="1" t="s">
        <v>150</v>
      </c>
      <c r="R528" t="str">
        <f t="shared" si="16"/>
        <v/>
      </c>
      <c r="S528" t="str">
        <f t="shared" si="17"/>
        <v/>
      </c>
    </row>
    <row r="529" spans="1:19" x14ac:dyDescent="0.25">
      <c r="A529" s="1" t="s">
        <v>448</v>
      </c>
      <c r="B529" s="5" t="s">
        <v>448</v>
      </c>
      <c r="C529" s="1" t="s">
        <v>448</v>
      </c>
      <c r="D529" s="1" t="s">
        <v>448</v>
      </c>
      <c r="E529" s="1" t="s">
        <v>448</v>
      </c>
      <c r="F529" s="1" t="s">
        <v>448</v>
      </c>
      <c r="G529" s="1" t="s">
        <v>448</v>
      </c>
      <c r="H529" s="1" t="s">
        <v>448</v>
      </c>
      <c r="I529" s="1" t="s">
        <v>448</v>
      </c>
      <c r="J529" s="1" t="s">
        <v>448</v>
      </c>
      <c r="K529" s="1" t="s">
        <v>448</v>
      </c>
      <c r="L529" s="1" t="s">
        <v>448</v>
      </c>
      <c r="M529" s="1" t="s">
        <v>448</v>
      </c>
      <c r="N529" s="1" t="s">
        <v>448</v>
      </c>
      <c r="O529" s="1">
        <v>20064</v>
      </c>
      <c r="P529" s="1" t="s">
        <v>149</v>
      </c>
      <c r="Q529" s="1" t="s">
        <v>150</v>
      </c>
      <c r="R529" t="str">
        <f t="shared" si="16"/>
        <v/>
      </c>
      <c r="S529" t="str">
        <f t="shared" si="17"/>
        <v/>
      </c>
    </row>
    <row r="530" spans="1:19" x14ac:dyDescent="0.25">
      <c r="A530" s="1" t="s">
        <v>448</v>
      </c>
      <c r="B530" s="5" t="s">
        <v>448</v>
      </c>
      <c r="C530" s="1" t="s">
        <v>448</v>
      </c>
      <c r="D530" s="1" t="s">
        <v>448</v>
      </c>
      <c r="E530" s="1" t="s">
        <v>448</v>
      </c>
      <c r="F530" s="1" t="s">
        <v>448</v>
      </c>
      <c r="G530" s="1" t="s">
        <v>448</v>
      </c>
      <c r="H530" s="1" t="s">
        <v>448</v>
      </c>
      <c r="I530" s="1" t="s">
        <v>448</v>
      </c>
      <c r="J530" s="1" t="s">
        <v>448</v>
      </c>
      <c r="K530" s="1" t="s">
        <v>448</v>
      </c>
      <c r="L530" s="1" t="s">
        <v>448</v>
      </c>
      <c r="M530" s="1" t="s">
        <v>448</v>
      </c>
      <c r="N530" s="1" t="s">
        <v>448</v>
      </c>
      <c r="O530" s="1">
        <v>20064</v>
      </c>
      <c r="P530" s="1" t="s">
        <v>149</v>
      </c>
      <c r="Q530" s="1" t="s">
        <v>150</v>
      </c>
      <c r="R530" t="str">
        <f t="shared" si="16"/>
        <v/>
      </c>
      <c r="S530" t="str">
        <f t="shared" si="17"/>
        <v/>
      </c>
    </row>
    <row r="531" spans="1:19" x14ac:dyDescent="0.25">
      <c r="A531" s="1" t="s">
        <v>448</v>
      </c>
      <c r="B531" s="5" t="s">
        <v>448</v>
      </c>
      <c r="C531" s="1" t="s">
        <v>448</v>
      </c>
      <c r="D531" s="1" t="s">
        <v>448</v>
      </c>
      <c r="E531" s="1" t="s">
        <v>448</v>
      </c>
      <c r="F531" s="1" t="s">
        <v>448</v>
      </c>
      <c r="G531" s="1" t="s">
        <v>448</v>
      </c>
      <c r="H531" s="1" t="s">
        <v>448</v>
      </c>
      <c r="I531" s="1" t="s">
        <v>448</v>
      </c>
      <c r="J531" s="1" t="s">
        <v>448</v>
      </c>
      <c r="K531" s="1" t="s">
        <v>448</v>
      </c>
      <c r="L531" s="1" t="s">
        <v>448</v>
      </c>
      <c r="M531" s="1" t="s">
        <v>448</v>
      </c>
      <c r="N531" s="1" t="s">
        <v>448</v>
      </c>
      <c r="O531" s="1">
        <v>20064</v>
      </c>
      <c r="P531" s="1" t="s">
        <v>149</v>
      </c>
      <c r="Q531" s="1" t="s">
        <v>150</v>
      </c>
      <c r="R531" t="str">
        <f t="shared" si="16"/>
        <v/>
      </c>
      <c r="S531" t="str">
        <f t="shared" si="17"/>
        <v/>
      </c>
    </row>
    <row r="532" spans="1:19" x14ac:dyDescent="0.25">
      <c r="A532" s="1" t="s">
        <v>448</v>
      </c>
      <c r="B532" s="5" t="s">
        <v>448</v>
      </c>
      <c r="C532" s="1" t="s">
        <v>448</v>
      </c>
      <c r="D532" s="1" t="s">
        <v>448</v>
      </c>
      <c r="E532" s="1" t="s">
        <v>448</v>
      </c>
      <c r="F532" s="1" t="s">
        <v>448</v>
      </c>
      <c r="G532" s="1" t="s">
        <v>448</v>
      </c>
      <c r="H532" s="1" t="s">
        <v>448</v>
      </c>
      <c r="I532" s="1" t="s">
        <v>448</v>
      </c>
      <c r="J532" s="1" t="s">
        <v>448</v>
      </c>
      <c r="K532" s="1" t="s">
        <v>448</v>
      </c>
      <c r="L532" s="1" t="s">
        <v>448</v>
      </c>
      <c r="M532" s="1" t="s">
        <v>448</v>
      </c>
      <c r="N532" s="1" t="s">
        <v>448</v>
      </c>
      <c r="O532" s="1">
        <v>20064</v>
      </c>
      <c r="P532" s="1" t="s">
        <v>149</v>
      </c>
      <c r="Q532" s="1" t="s">
        <v>150</v>
      </c>
      <c r="R532" t="str">
        <f t="shared" si="16"/>
        <v/>
      </c>
      <c r="S532" t="str">
        <f t="shared" si="17"/>
        <v/>
      </c>
    </row>
    <row r="533" spans="1:19" x14ac:dyDescent="0.25">
      <c r="A533" s="1" t="s">
        <v>448</v>
      </c>
      <c r="B533" s="5" t="s">
        <v>448</v>
      </c>
      <c r="C533" s="1" t="s">
        <v>448</v>
      </c>
      <c r="D533" s="1" t="s">
        <v>448</v>
      </c>
      <c r="E533" s="1" t="s">
        <v>448</v>
      </c>
      <c r="F533" s="1" t="s">
        <v>448</v>
      </c>
      <c r="G533" s="1" t="s">
        <v>448</v>
      </c>
      <c r="H533" s="1" t="s">
        <v>448</v>
      </c>
      <c r="I533" s="1" t="s">
        <v>448</v>
      </c>
      <c r="J533" s="1" t="s">
        <v>448</v>
      </c>
      <c r="K533" s="1" t="s">
        <v>448</v>
      </c>
      <c r="L533" s="1" t="s">
        <v>448</v>
      </c>
      <c r="M533" s="1" t="s">
        <v>448</v>
      </c>
      <c r="N533" s="1" t="s">
        <v>448</v>
      </c>
      <c r="O533" s="1">
        <v>20064</v>
      </c>
      <c r="P533" s="1" t="s">
        <v>149</v>
      </c>
      <c r="Q533" s="1" t="s">
        <v>150</v>
      </c>
      <c r="R533" t="str">
        <f t="shared" si="16"/>
        <v/>
      </c>
      <c r="S533" t="str">
        <f t="shared" si="17"/>
        <v/>
      </c>
    </row>
    <row r="534" spans="1:19" x14ac:dyDescent="0.25">
      <c r="A534" s="1" t="s">
        <v>448</v>
      </c>
      <c r="B534" s="5" t="s">
        <v>448</v>
      </c>
      <c r="C534" s="1" t="s">
        <v>448</v>
      </c>
      <c r="D534" s="1" t="s">
        <v>448</v>
      </c>
      <c r="E534" s="1" t="s">
        <v>448</v>
      </c>
      <c r="F534" s="1" t="s">
        <v>448</v>
      </c>
      <c r="G534" s="1" t="s">
        <v>448</v>
      </c>
      <c r="H534" s="1" t="s">
        <v>448</v>
      </c>
      <c r="I534" s="1" t="s">
        <v>448</v>
      </c>
      <c r="J534" s="1" t="s">
        <v>448</v>
      </c>
      <c r="K534" s="1" t="s">
        <v>448</v>
      </c>
      <c r="L534" s="1" t="s">
        <v>448</v>
      </c>
      <c r="M534" s="1" t="s">
        <v>448</v>
      </c>
      <c r="N534" s="1" t="s">
        <v>448</v>
      </c>
      <c r="O534" s="1">
        <v>20064</v>
      </c>
      <c r="P534" s="1" t="s">
        <v>149</v>
      </c>
      <c r="Q534" s="1" t="s">
        <v>150</v>
      </c>
      <c r="R534" t="str">
        <f t="shared" si="16"/>
        <v/>
      </c>
      <c r="S534" t="str">
        <f t="shared" si="17"/>
        <v/>
      </c>
    </row>
    <row r="535" spans="1:19" x14ac:dyDescent="0.25">
      <c r="A535" s="1" t="s">
        <v>448</v>
      </c>
      <c r="B535" s="5" t="s">
        <v>448</v>
      </c>
      <c r="C535" s="1" t="s">
        <v>448</v>
      </c>
      <c r="D535" s="1" t="s">
        <v>448</v>
      </c>
      <c r="E535" s="1" t="s">
        <v>448</v>
      </c>
      <c r="F535" s="1" t="s">
        <v>448</v>
      </c>
      <c r="G535" s="1" t="s">
        <v>448</v>
      </c>
      <c r="H535" s="1" t="s">
        <v>448</v>
      </c>
      <c r="I535" s="1" t="s">
        <v>448</v>
      </c>
      <c r="J535" s="1" t="s">
        <v>448</v>
      </c>
      <c r="K535" s="1" t="s">
        <v>448</v>
      </c>
      <c r="L535" s="1" t="s">
        <v>448</v>
      </c>
      <c r="M535" s="1" t="s">
        <v>448</v>
      </c>
      <c r="N535" s="1" t="s">
        <v>448</v>
      </c>
      <c r="O535" s="1">
        <v>20064</v>
      </c>
      <c r="P535" s="1" t="s">
        <v>149</v>
      </c>
      <c r="Q535" s="1" t="s">
        <v>150</v>
      </c>
      <c r="R535" t="str">
        <f t="shared" si="16"/>
        <v/>
      </c>
      <c r="S535" t="str">
        <f t="shared" si="17"/>
        <v/>
      </c>
    </row>
    <row r="536" spans="1:19" x14ac:dyDescent="0.25">
      <c r="A536" s="1" t="s">
        <v>448</v>
      </c>
      <c r="B536" s="5" t="s">
        <v>448</v>
      </c>
      <c r="C536" s="1" t="s">
        <v>448</v>
      </c>
      <c r="D536" s="1" t="s">
        <v>448</v>
      </c>
      <c r="E536" s="1" t="s">
        <v>448</v>
      </c>
      <c r="F536" s="1" t="s">
        <v>448</v>
      </c>
      <c r="G536" s="1" t="s">
        <v>448</v>
      </c>
      <c r="H536" s="1" t="s">
        <v>448</v>
      </c>
      <c r="I536" s="1" t="s">
        <v>448</v>
      </c>
      <c r="J536" s="1" t="s">
        <v>448</v>
      </c>
      <c r="K536" s="1" t="s">
        <v>448</v>
      </c>
      <c r="L536" s="1" t="s">
        <v>448</v>
      </c>
      <c r="M536" s="1" t="s">
        <v>448</v>
      </c>
      <c r="N536" s="1" t="s">
        <v>448</v>
      </c>
      <c r="O536" s="1">
        <v>20064</v>
      </c>
      <c r="P536" s="1" t="s">
        <v>149</v>
      </c>
      <c r="Q536" s="1" t="s">
        <v>150</v>
      </c>
      <c r="R536" t="str">
        <f t="shared" si="16"/>
        <v/>
      </c>
      <c r="S536" t="str">
        <f t="shared" si="17"/>
        <v/>
      </c>
    </row>
    <row r="537" spans="1:19" x14ac:dyDescent="0.25">
      <c r="A537" s="1" t="s">
        <v>448</v>
      </c>
      <c r="B537" s="5" t="s">
        <v>448</v>
      </c>
      <c r="C537" s="1" t="s">
        <v>448</v>
      </c>
      <c r="D537" s="1" t="s">
        <v>448</v>
      </c>
      <c r="E537" s="1" t="s">
        <v>448</v>
      </c>
      <c r="F537" s="1" t="s">
        <v>448</v>
      </c>
      <c r="G537" s="1" t="s">
        <v>448</v>
      </c>
      <c r="H537" s="1" t="s">
        <v>448</v>
      </c>
      <c r="I537" s="1" t="s">
        <v>448</v>
      </c>
      <c r="J537" s="1" t="s">
        <v>448</v>
      </c>
      <c r="K537" s="1" t="s">
        <v>448</v>
      </c>
      <c r="L537" s="1" t="s">
        <v>448</v>
      </c>
      <c r="M537" s="1" t="s">
        <v>448</v>
      </c>
      <c r="N537" s="1" t="s">
        <v>448</v>
      </c>
      <c r="O537" s="1">
        <v>20064</v>
      </c>
      <c r="P537" s="1" t="s">
        <v>149</v>
      </c>
      <c r="Q537" s="1" t="s">
        <v>150</v>
      </c>
      <c r="R537" t="str">
        <f t="shared" si="16"/>
        <v/>
      </c>
      <c r="S537" t="str">
        <f t="shared" si="17"/>
        <v/>
      </c>
    </row>
    <row r="538" spans="1:19" x14ac:dyDescent="0.25">
      <c r="A538" s="1" t="s">
        <v>448</v>
      </c>
      <c r="B538" s="5" t="s">
        <v>448</v>
      </c>
      <c r="C538" s="1" t="s">
        <v>448</v>
      </c>
      <c r="D538" s="1" t="s">
        <v>448</v>
      </c>
      <c r="E538" s="1" t="s">
        <v>448</v>
      </c>
      <c r="F538" s="1" t="s">
        <v>448</v>
      </c>
      <c r="G538" s="1" t="s">
        <v>448</v>
      </c>
      <c r="H538" s="1" t="s">
        <v>448</v>
      </c>
      <c r="I538" s="1" t="s">
        <v>448</v>
      </c>
      <c r="J538" s="1" t="s">
        <v>448</v>
      </c>
      <c r="K538" s="1" t="s">
        <v>448</v>
      </c>
      <c r="L538" s="1" t="s">
        <v>448</v>
      </c>
      <c r="M538" s="1" t="s">
        <v>448</v>
      </c>
      <c r="N538" s="1" t="s">
        <v>448</v>
      </c>
      <c r="O538" s="1">
        <v>20064</v>
      </c>
      <c r="P538" s="1" t="s">
        <v>149</v>
      </c>
      <c r="Q538" s="1" t="s">
        <v>150</v>
      </c>
      <c r="R538" t="str">
        <f t="shared" si="16"/>
        <v/>
      </c>
      <c r="S538" t="str">
        <f t="shared" si="17"/>
        <v/>
      </c>
    </row>
    <row r="539" spans="1:19" x14ac:dyDescent="0.25">
      <c r="A539" s="1" t="s">
        <v>448</v>
      </c>
      <c r="B539" s="5" t="s">
        <v>448</v>
      </c>
      <c r="C539" s="1" t="s">
        <v>448</v>
      </c>
      <c r="D539" s="1" t="s">
        <v>448</v>
      </c>
      <c r="E539" s="1" t="s">
        <v>448</v>
      </c>
      <c r="F539" s="1" t="s">
        <v>448</v>
      </c>
      <c r="G539" s="1" t="s">
        <v>448</v>
      </c>
      <c r="H539" s="1" t="s">
        <v>448</v>
      </c>
      <c r="I539" s="1" t="s">
        <v>448</v>
      </c>
      <c r="J539" s="1" t="s">
        <v>448</v>
      </c>
      <c r="K539" s="1" t="s">
        <v>448</v>
      </c>
      <c r="L539" s="1" t="s">
        <v>448</v>
      </c>
      <c r="M539" s="1" t="s">
        <v>448</v>
      </c>
      <c r="N539" s="1" t="s">
        <v>448</v>
      </c>
      <c r="O539" s="1">
        <v>20064</v>
      </c>
      <c r="P539" s="1" t="s">
        <v>149</v>
      </c>
      <c r="Q539" s="1" t="s">
        <v>150</v>
      </c>
      <c r="R539" t="str">
        <f t="shared" si="16"/>
        <v/>
      </c>
      <c r="S539" t="str">
        <f t="shared" si="17"/>
        <v/>
      </c>
    </row>
    <row r="540" spans="1:19" x14ac:dyDescent="0.25">
      <c r="A540" s="1" t="s">
        <v>448</v>
      </c>
      <c r="B540" s="5" t="s">
        <v>448</v>
      </c>
      <c r="C540" s="1" t="s">
        <v>448</v>
      </c>
      <c r="D540" s="1" t="s">
        <v>448</v>
      </c>
      <c r="E540" s="1" t="s">
        <v>448</v>
      </c>
      <c r="F540" s="1" t="s">
        <v>448</v>
      </c>
      <c r="G540" s="1" t="s">
        <v>448</v>
      </c>
      <c r="H540" s="1" t="s">
        <v>448</v>
      </c>
      <c r="I540" s="1" t="s">
        <v>448</v>
      </c>
      <c r="J540" s="1" t="s">
        <v>448</v>
      </c>
      <c r="K540" s="1" t="s">
        <v>448</v>
      </c>
      <c r="L540" s="1" t="s">
        <v>448</v>
      </c>
      <c r="M540" s="1" t="s">
        <v>448</v>
      </c>
      <c r="N540" s="1" t="s">
        <v>448</v>
      </c>
      <c r="O540" s="1">
        <v>20064</v>
      </c>
      <c r="P540" s="1" t="s">
        <v>149</v>
      </c>
      <c r="Q540" s="1" t="s">
        <v>150</v>
      </c>
      <c r="R540" t="str">
        <f t="shared" si="16"/>
        <v/>
      </c>
      <c r="S540" t="str">
        <f t="shared" si="17"/>
        <v/>
      </c>
    </row>
    <row r="541" spans="1:19" x14ac:dyDescent="0.25">
      <c r="A541" s="1" t="s">
        <v>448</v>
      </c>
      <c r="B541" s="5" t="s">
        <v>448</v>
      </c>
      <c r="C541" s="1" t="s">
        <v>448</v>
      </c>
      <c r="D541" s="1" t="s">
        <v>448</v>
      </c>
      <c r="E541" s="1" t="s">
        <v>448</v>
      </c>
      <c r="F541" s="1" t="s">
        <v>448</v>
      </c>
      <c r="G541" s="1" t="s">
        <v>448</v>
      </c>
      <c r="H541" s="1" t="s">
        <v>448</v>
      </c>
      <c r="I541" s="1" t="s">
        <v>448</v>
      </c>
      <c r="J541" s="1" t="s">
        <v>448</v>
      </c>
      <c r="K541" s="1" t="s">
        <v>448</v>
      </c>
      <c r="L541" s="1" t="s">
        <v>448</v>
      </c>
      <c r="M541" s="1" t="s">
        <v>448</v>
      </c>
      <c r="N541" s="1" t="s">
        <v>448</v>
      </c>
      <c r="O541" s="1">
        <v>20064</v>
      </c>
      <c r="P541" s="1" t="s">
        <v>149</v>
      </c>
      <c r="Q541" s="1" t="s">
        <v>150</v>
      </c>
      <c r="R541" t="str">
        <f t="shared" si="16"/>
        <v/>
      </c>
      <c r="S541" t="str">
        <f t="shared" si="17"/>
        <v/>
      </c>
    </row>
    <row r="542" spans="1:19" x14ac:dyDescent="0.25">
      <c r="A542" s="1" t="s">
        <v>448</v>
      </c>
      <c r="B542" s="5" t="s">
        <v>448</v>
      </c>
      <c r="C542" s="1" t="s">
        <v>448</v>
      </c>
      <c r="D542" s="1" t="s">
        <v>448</v>
      </c>
      <c r="E542" s="1" t="s">
        <v>448</v>
      </c>
      <c r="F542" s="1" t="s">
        <v>448</v>
      </c>
      <c r="G542" s="1" t="s">
        <v>448</v>
      </c>
      <c r="H542" s="1" t="s">
        <v>448</v>
      </c>
      <c r="I542" s="1" t="s">
        <v>448</v>
      </c>
      <c r="J542" s="1" t="s">
        <v>448</v>
      </c>
      <c r="K542" s="1" t="s">
        <v>448</v>
      </c>
      <c r="L542" s="1" t="s">
        <v>448</v>
      </c>
      <c r="M542" s="1" t="s">
        <v>448</v>
      </c>
      <c r="N542" s="1" t="s">
        <v>448</v>
      </c>
      <c r="O542" s="1">
        <v>20064</v>
      </c>
      <c r="P542" s="1" t="s">
        <v>149</v>
      </c>
      <c r="Q542" s="1" t="s">
        <v>150</v>
      </c>
      <c r="R542" t="str">
        <f t="shared" si="16"/>
        <v/>
      </c>
      <c r="S542" t="str">
        <f t="shared" si="17"/>
        <v/>
      </c>
    </row>
    <row r="543" spans="1:19" x14ac:dyDescent="0.25">
      <c r="A543" s="1" t="s">
        <v>448</v>
      </c>
      <c r="B543" s="5" t="s">
        <v>448</v>
      </c>
      <c r="C543" s="1" t="s">
        <v>448</v>
      </c>
      <c r="D543" s="1" t="s">
        <v>448</v>
      </c>
      <c r="E543" s="1" t="s">
        <v>448</v>
      </c>
      <c r="F543" s="1" t="s">
        <v>448</v>
      </c>
      <c r="G543" s="1" t="s">
        <v>448</v>
      </c>
      <c r="H543" s="1" t="s">
        <v>448</v>
      </c>
      <c r="I543" s="1" t="s">
        <v>448</v>
      </c>
      <c r="J543" s="1" t="s">
        <v>448</v>
      </c>
      <c r="K543" s="1" t="s">
        <v>448</v>
      </c>
      <c r="L543" s="1" t="s">
        <v>448</v>
      </c>
      <c r="M543" s="1" t="s">
        <v>448</v>
      </c>
      <c r="N543" s="1" t="s">
        <v>448</v>
      </c>
      <c r="O543" s="1">
        <v>20064</v>
      </c>
      <c r="P543" s="1" t="s">
        <v>149</v>
      </c>
      <c r="Q543" s="1" t="s">
        <v>150</v>
      </c>
      <c r="R543" t="str">
        <f t="shared" si="16"/>
        <v/>
      </c>
      <c r="S543" t="str">
        <f t="shared" si="17"/>
        <v/>
      </c>
    </row>
    <row r="544" spans="1:19" x14ac:dyDescent="0.25">
      <c r="A544" s="1" t="s">
        <v>448</v>
      </c>
      <c r="B544" s="5" t="s">
        <v>448</v>
      </c>
      <c r="C544" s="1" t="s">
        <v>448</v>
      </c>
      <c r="D544" s="1" t="s">
        <v>448</v>
      </c>
      <c r="E544" s="1" t="s">
        <v>448</v>
      </c>
      <c r="F544" s="1" t="s">
        <v>448</v>
      </c>
      <c r="G544" s="1" t="s">
        <v>448</v>
      </c>
      <c r="H544" s="1" t="s">
        <v>448</v>
      </c>
      <c r="I544" s="1" t="s">
        <v>448</v>
      </c>
      <c r="J544" s="1" t="s">
        <v>448</v>
      </c>
      <c r="K544" s="1" t="s">
        <v>448</v>
      </c>
      <c r="L544" s="1" t="s">
        <v>448</v>
      </c>
      <c r="M544" s="1" t="s">
        <v>448</v>
      </c>
      <c r="N544" s="1" t="s">
        <v>448</v>
      </c>
      <c r="O544" s="1">
        <v>20064</v>
      </c>
      <c r="P544" s="1" t="s">
        <v>149</v>
      </c>
      <c r="Q544" s="1" t="s">
        <v>150</v>
      </c>
      <c r="R544" t="str">
        <f t="shared" si="16"/>
        <v/>
      </c>
      <c r="S544" t="str">
        <f t="shared" si="17"/>
        <v/>
      </c>
    </row>
    <row r="545" spans="1:19" x14ac:dyDescent="0.25">
      <c r="A545" s="1" t="s">
        <v>448</v>
      </c>
      <c r="B545" s="5" t="s">
        <v>448</v>
      </c>
      <c r="C545" s="1" t="s">
        <v>448</v>
      </c>
      <c r="D545" s="1" t="s">
        <v>448</v>
      </c>
      <c r="E545" s="1" t="s">
        <v>448</v>
      </c>
      <c r="F545" s="1" t="s">
        <v>448</v>
      </c>
      <c r="G545" s="1" t="s">
        <v>448</v>
      </c>
      <c r="H545" s="1" t="s">
        <v>448</v>
      </c>
      <c r="I545" s="1" t="s">
        <v>448</v>
      </c>
      <c r="J545" s="1" t="s">
        <v>448</v>
      </c>
      <c r="K545" s="1" t="s">
        <v>448</v>
      </c>
      <c r="L545" s="1" t="s">
        <v>448</v>
      </c>
      <c r="M545" s="1" t="s">
        <v>448</v>
      </c>
      <c r="N545" s="1" t="s">
        <v>448</v>
      </c>
      <c r="O545" s="1">
        <v>20064</v>
      </c>
      <c r="P545" s="1" t="s">
        <v>149</v>
      </c>
      <c r="Q545" s="1" t="s">
        <v>150</v>
      </c>
      <c r="R545" t="str">
        <f t="shared" si="16"/>
        <v/>
      </c>
      <c r="S545" t="str">
        <f t="shared" si="17"/>
        <v/>
      </c>
    </row>
    <row r="546" spans="1:19" x14ac:dyDescent="0.25">
      <c r="A546" s="1" t="s">
        <v>448</v>
      </c>
      <c r="B546" s="5" t="s">
        <v>448</v>
      </c>
      <c r="C546" s="1" t="s">
        <v>448</v>
      </c>
      <c r="D546" s="1" t="s">
        <v>448</v>
      </c>
      <c r="E546" s="1" t="s">
        <v>448</v>
      </c>
      <c r="F546" s="1" t="s">
        <v>448</v>
      </c>
      <c r="G546" s="1" t="s">
        <v>448</v>
      </c>
      <c r="H546" s="1" t="s">
        <v>448</v>
      </c>
      <c r="I546" s="1" t="s">
        <v>448</v>
      </c>
      <c r="J546" s="1" t="s">
        <v>448</v>
      </c>
      <c r="K546" s="1" t="s">
        <v>448</v>
      </c>
      <c r="L546" s="1" t="s">
        <v>448</v>
      </c>
      <c r="M546" s="1" t="s">
        <v>448</v>
      </c>
      <c r="N546" s="1" t="s">
        <v>448</v>
      </c>
      <c r="O546" s="1">
        <v>20064</v>
      </c>
      <c r="P546" s="1" t="s">
        <v>149</v>
      </c>
      <c r="Q546" s="1" t="s">
        <v>150</v>
      </c>
      <c r="R546" t="str">
        <f t="shared" si="16"/>
        <v/>
      </c>
      <c r="S546" t="str">
        <f t="shared" si="17"/>
        <v/>
      </c>
    </row>
    <row r="547" spans="1:19" x14ac:dyDescent="0.25">
      <c r="A547" s="1" t="s">
        <v>448</v>
      </c>
      <c r="B547" s="5" t="s">
        <v>448</v>
      </c>
      <c r="C547" s="1" t="s">
        <v>448</v>
      </c>
      <c r="D547" s="1" t="s">
        <v>448</v>
      </c>
      <c r="E547" s="1" t="s">
        <v>448</v>
      </c>
      <c r="F547" s="1" t="s">
        <v>448</v>
      </c>
      <c r="G547" s="1" t="s">
        <v>448</v>
      </c>
      <c r="H547" s="1" t="s">
        <v>448</v>
      </c>
      <c r="I547" s="1" t="s">
        <v>448</v>
      </c>
      <c r="J547" s="1" t="s">
        <v>448</v>
      </c>
      <c r="K547" s="1" t="s">
        <v>448</v>
      </c>
      <c r="L547" s="1" t="s">
        <v>448</v>
      </c>
      <c r="M547" s="1" t="s">
        <v>448</v>
      </c>
      <c r="N547" s="1" t="s">
        <v>448</v>
      </c>
      <c r="O547" s="1">
        <v>20064</v>
      </c>
      <c r="P547" s="1" t="s">
        <v>149</v>
      </c>
      <c r="Q547" s="1" t="s">
        <v>150</v>
      </c>
      <c r="R547" t="str">
        <f t="shared" si="16"/>
        <v/>
      </c>
      <c r="S547" t="str">
        <f t="shared" si="17"/>
        <v/>
      </c>
    </row>
    <row r="548" spans="1:19" x14ac:dyDescent="0.25">
      <c r="A548" s="1" t="s">
        <v>448</v>
      </c>
      <c r="B548" s="5" t="s">
        <v>448</v>
      </c>
      <c r="C548" s="1" t="s">
        <v>448</v>
      </c>
      <c r="D548" s="1" t="s">
        <v>448</v>
      </c>
      <c r="E548" s="1" t="s">
        <v>448</v>
      </c>
      <c r="F548" s="1" t="s">
        <v>448</v>
      </c>
      <c r="G548" s="1" t="s">
        <v>448</v>
      </c>
      <c r="H548" s="1" t="s">
        <v>448</v>
      </c>
      <c r="I548" s="1" t="s">
        <v>448</v>
      </c>
      <c r="J548" s="1" t="s">
        <v>448</v>
      </c>
      <c r="K548" s="1" t="s">
        <v>448</v>
      </c>
      <c r="L548" s="1" t="s">
        <v>448</v>
      </c>
      <c r="M548" s="1" t="s">
        <v>448</v>
      </c>
      <c r="N548" s="1" t="s">
        <v>448</v>
      </c>
      <c r="O548" s="1">
        <v>20064</v>
      </c>
      <c r="P548" s="1" t="s">
        <v>149</v>
      </c>
      <c r="Q548" s="1" t="s">
        <v>150</v>
      </c>
      <c r="R548" t="str">
        <f t="shared" si="16"/>
        <v/>
      </c>
      <c r="S548" t="str">
        <f t="shared" si="17"/>
        <v/>
      </c>
    </row>
    <row r="549" spans="1:19" x14ac:dyDescent="0.25">
      <c r="A549" s="1" t="s">
        <v>448</v>
      </c>
      <c r="B549" s="5" t="s">
        <v>448</v>
      </c>
      <c r="C549" s="1" t="s">
        <v>448</v>
      </c>
      <c r="D549" s="1" t="s">
        <v>448</v>
      </c>
      <c r="E549" s="1" t="s">
        <v>448</v>
      </c>
      <c r="F549" s="1" t="s">
        <v>448</v>
      </c>
      <c r="G549" s="1" t="s">
        <v>448</v>
      </c>
      <c r="H549" s="1" t="s">
        <v>448</v>
      </c>
      <c r="I549" s="1" t="s">
        <v>448</v>
      </c>
      <c r="J549" s="1" t="s">
        <v>448</v>
      </c>
      <c r="K549" s="1" t="s">
        <v>448</v>
      </c>
      <c r="L549" s="1" t="s">
        <v>448</v>
      </c>
      <c r="M549" s="1" t="s">
        <v>448</v>
      </c>
      <c r="N549" s="1" t="s">
        <v>448</v>
      </c>
      <c r="O549" s="1">
        <v>20064</v>
      </c>
      <c r="P549" s="1" t="s">
        <v>149</v>
      </c>
      <c r="Q549" s="1" t="s">
        <v>150</v>
      </c>
      <c r="R549" t="str">
        <f t="shared" si="16"/>
        <v/>
      </c>
      <c r="S549" t="str">
        <f t="shared" si="17"/>
        <v/>
      </c>
    </row>
    <row r="550" spans="1:19" x14ac:dyDescent="0.25">
      <c r="A550" s="1" t="s">
        <v>448</v>
      </c>
      <c r="B550" s="5" t="s">
        <v>448</v>
      </c>
      <c r="C550" s="1" t="s">
        <v>448</v>
      </c>
      <c r="D550" s="1" t="s">
        <v>448</v>
      </c>
      <c r="E550" s="1" t="s">
        <v>448</v>
      </c>
      <c r="F550" s="1" t="s">
        <v>448</v>
      </c>
      <c r="G550" s="1" t="s">
        <v>448</v>
      </c>
      <c r="H550" s="1" t="s">
        <v>448</v>
      </c>
      <c r="I550" s="1" t="s">
        <v>448</v>
      </c>
      <c r="J550" s="1" t="s">
        <v>448</v>
      </c>
      <c r="K550" s="1" t="s">
        <v>448</v>
      </c>
      <c r="L550" s="1" t="s">
        <v>448</v>
      </c>
      <c r="M550" s="1" t="s">
        <v>448</v>
      </c>
      <c r="N550" s="1" t="s">
        <v>448</v>
      </c>
      <c r="O550" s="1">
        <v>20064</v>
      </c>
      <c r="P550" s="1" t="s">
        <v>149</v>
      </c>
      <c r="Q550" s="1" t="s">
        <v>150</v>
      </c>
      <c r="R550" t="str">
        <f t="shared" si="16"/>
        <v/>
      </c>
      <c r="S550" t="str">
        <f t="shared" si="17"/>
        <v/>
      </c>
    </row>
    <row r="551" spans="1:19" x14ac:dyDescent="0.25">
      <c r="A551" s="1" t="s">
        <v>448</v>
      </c>
      <c r="B551" s="5" t="s">
        <v>448</v>
      </c>
      <c r="C551" s="1" t="s">
        <v>448</v>
      </c>
      <c r="D551" s="1" t="s">
        <v>448</v>
      </c>
      <c r="E551" s="1" t="s">
        <v>448</v>
      </c>
      <c r="F551" s="1" t="s">
        <v>448</v>
      </c>
      <c r="G551" s="1" t="s">
        <v>448</v>
      </c>
      <c r="H551" s="1" t="s">
        <v>448</v>
      </c>
      <c r="I551" s="1" t="s">
        <v>448</v>
      </c>
      <c r="J551" s="1" t="s">
        <v>448</v>
      </c>
      <c r="K551" s="1" t="s">
        <v>448</v>
      </c>
      <c r="L551" s="1" t="s">
        <v>448</v>
      </c>
      <c r="M551" s="1" t="s">
        <v>448</v>
      </c>
      <c r="N551" s="1" t="s">
        <v>448</v>
      </c>
      <c r="O551" s="1">
        <v>20064</v>
      </c>
      <c r="P551" s="1" t="s">
        <v>149</v>
      </c>
      <c r="Q551" s="1" t="s">
        <v>150</v>
      </c>
      <c r="R551" t="str">
        <f t="shared" si="16"/>
        <v/>
      </c>
      <c r="S551" t="str">
        <f t="shared" si="17"/>
        <v/>
      </c>
    </row>
    <row r="552" spans="1:19" x14ac:dyDescent="0.25">
      <c r="A552" s="1" t="s">
        <v>448</v>
      </c>
      <c r="B552" s="5" t="s">
        <v>448</v>
      </c>
      <c r="C552" s="1" t="s">
        <v>448</v>
      </c>
      <c r="D552" s="1" t="s">
        <v>448</v>
      </c>
      <c r="E552" s="1" t="s">
        <v>448</v>
      </c>
      <c r="F552" s="1" t="s">
        <v>448</v>
      </c>
      <c r="G552" s="1" t="s">
        <v>448</v>
      </c>
      <c r="H552" s="1" t="s">
        <v>448</v>
      </c>
      <c r="I552" s="1" t="s">
        <v>448</v>
      </c>
      <c r="J552" s="1" t="s">
        <v>448</v>
      </c>
      <c r="K552" s="1" t="s">
        <v>448</v>
      </c>
      <c r="L552" s="1" t="s">
        <v>448</v>
      </c>
      <c r="M552" s="1" t="s">
        <v>448</v>
      </c>
      <c r="N552" s="1" t="s">
        <v>448</v>
      </c>
      <c r="O552" s="1">
        <v>20064</v>
      </c>
      <c r="P552" s="1" t="s">
        <v>149</v>
      </c>
      <c r="Q552" s="1" t="s">
        <v>150</v>
      </c>
      <c r="R552" t="str">
        <f t="shared" si="16"/>
        <v/>
      </c>
      <c r="S552" t="str">
        <f t="shared" si="17"/>
        <v/>
      </c>
    </row>
    <row r="553" spans="1:19" x14ac:dyDescent="0.25">
      <c r="A553" s="1" t="s">
        <v>448</v>
      </c>
      <c r="B553" s="5" t="s">
        <v>448</v>
      </c>
      <c r="C553" s="1" t="s">
        <v>448</v>
      </c>
      <c r="D553" s="1" t="s">
        <v>448</v>
      </c>
      <c r="E553" s="1" t="s">
        <v>448</v>
      </c>
      <c r="F553" s="1" t="s">
        <v>448</v>
      </c>
      <c r="G553" s="1" t="s">
        <v>448</v>
      </c>
      <c r="H553" s="1" t="s">
        <v>448</v>
      </c>
      <c r="I553" s="1" t="s">
        <v>448</v>
      </c>
      <c r="J553" s="1" t="s">
        <v>448</v>
      </c>
      <c r="K553" s="1" t="s">
        <v>448</v>
      </c>
      <c r="L553" s="1" t="s">
        <v>448</v>
      </c>
      <c r="M553" s="1" t="s">
        <v>448</v>
      </c>
      <c r="N553" s="1" t="s">
        <v>448</v>
      </c>
      <c r="O553" s="1">
        <v>20064</v>
      </c>
      <c r="P553" s="1" t="s">
        <v>149</v>
      </c>
      <c r="Q553" s="1" t="s">
        <v>150</v>
      </c>
      <c r="R553" t="str">
        <f t="shared" si="16"/>
        <v/>
      </c>
      <c r="S553" t="str">
        <f t="shared" si="17"/>
        <v/>
      </c>
    </row>
    <row r="554" spans="1:19" x14ac:dyDescent="0.25">
      <c r="A554" s="1" t="s">
        <v>448</v>
      </c>
      <c r="B554" s="5" t="s">
        <v>448</v>
      </c>
      <c r="C554" s="1" t="s">
        <v>448</v>
      </c>
      <c r="D554" s="1" t="s">
        <v>448</v>
      </c>
      <c r="E554" s="1" t="s">
        <v>448</v>
      </c>
      <c r="F554" s="1" t="s">
        <v>448</v>
      </c>
      <c r="G554" s="1" t="s">
        <v>448</v>
      </c>
      <c r="H554" s="1" t="s">
        <v>448</v>
      </c>
      <c r="I554" s="1" t="s">
        <v>448</v>
      </c>
      <c r="J554" s="1" t="s">
        <v>448</v>
      </c>
      <c r="K554" s="1" t="s">
        <v>448</v>
      </c>
      <c r="L554" s="1" t="s">
        <v>448</v>
      </c>
      <c r="M554" s="1" t="s">
        <v>448</v>
      </c>
      <c r="N554" s="1" t="s">
        <v>448</v>
      </c>
      <c r="O554" s="1">
        <v>20064</v>
      </c>
      <c r="P554" s="1" t="s">
        <v>149</v>
      </c>
      <c r="Q554" s="1" t="s">
        <v>150</v>
      </c>
      <c r="R554" t="str">
        <f t="shared" si="16"/>
        <v/>
      </c>
      <c r="S554" t="str">
        <f t="shared" si="17"/>
        <v/>
      </c>
    </row>
    <row r="555" spans="1:19" x14ac:dyDescent="0.25">
      <c r="A555" s="1" t="s">
        <v>448</v>
      </c>
      <c r="B555" s="5" t="s">
        <v>448</v>
      </c>
      <c r="C555" s="1" t="s">
        <v>448</v>
      </c>
      <c r="D555" s="1" t="s">
        <v>448</v>
      </c>
      <c r="E555" s="1" t="s">
        <v>448</v>
      </c>
      <c r="F555" s="1" t="s">
        <v>448</v>
      </c>
      <c r="G555" s="1" t="s">
        <v>448</v>
      </c>
      <c r="H555" s="1" t="s">
        <v>448</v>
      </c>
      <c r="I555" s="1" t="s">
        <v>448</v>
      </c>
      <c r="J555" s="1" t="s">
        <v>448</v>
      </c>
      <c r="K555" s="1" t="s">
        <v>448</v>
      </c>
      <c r="L555" s="1" t="s">
        <v>448</v>
      </c>
      <c r="M555" s="1" t="s">
        <v>448</v>
      </c>
      <c r="N555" s="1" t="s">
        <v>448</v>
      </c>
      <c r="O555" s="1">
        <v>20064</v>
      </c>
      <c r="P555" s="1" t="s">
        <v>149</v>
      </c>
      <c r="Q555" s="1" t="s">
        <v>150</v>
      </c>
      <c r="R555" t="str">
        <f t="shared" si="16"/>
        <v/>
      </c>
      <c r="S555" t="str">
        <f t="shared" si="17"/>
        <v/>
      </c>
    </row>
    <row r="556" spans="1:19" x14ac:dyDescent="0.25">
      <c r="A556" s="1" t="s">
        <v>448</v>
      </c>
      <c r="B556" s="5" t="s">
        <v>448</v>
      </c>
      <c r="C556" s="1" t="s">
        <v>448</v>
      </c>
      <c r="D556" s="1" t="s">
        <v>448</v>
      </c>
      <c r="E556" s="1" t="s">
        <v>448</v>
      </c>
      <c r="F556" s="1" t="s">
        <v>448</v>
      </c>
      <c r="G556" s="1" t="s">
        <v>448</v>
      </c>
      <c r="H556" s="1" t="s">
        <v>448</v>
      </c>
      <c r="I556" s="1" t="s">
        <v>448</v>
      </c>
      <c r="J556" s="1" t="s">
        <v>448</v>
      </c>
      <c r="K556" s="1" t="s">
        <v>448</v>
      </c>
      <c r="L556" s="1" t="s">
        <v>448</v>
      </c>
      <c r="M556" s="1" t="s">
        <v>448</v>
      </c>
      <c r="N556" s="1" t="s">
        <v>448</v>
      </c>
      <c r="O556" s="1">
        <v>20064</v>
      </c>
      <c r="P556" s="1" t="s">
        <v>149</v>
      </c>
      <c r="Q556" s="1" t="s">
        <v>150</v>
      </c>
      <c r="R556" t="str">
        <f t="shared" si="16"/>
        <v/>
      </c>
      <c r="S556" t="str">
        <f t="shared" si="17"/>
        <v/>
      </c>
    </row>
    <row r="557" spans="1:19" x14ac:dyDescent="0.25">
      <c r="A557" s="1" t="s">
        <v>448</v>
      </c>
      <c r="B557" s="5" t="s">
        <v>448</v>
      </c>
      <c r="C557" s="1" t="s">
        <v>448</v>
      </c>
      <c r="D557" s="1" t="s">
        <v>448</v>
      </c>
      <c r="E557" s="1" t="s">
        <v>448</v>
      </c>
      <c r="F557" s="1" t="s">
        <v>448</v>
      </c>
      <c r="G557" s="1" t="s">
        <v>448</v>
      </c>
      <c r="H557" s="1" t="s">
        <v>448</v>
      </c>
      <c r="I557" s="1" t="s">
        <v>448</v>
      </c>
      <c r="J557" s="1" t="s">
        <v>448</v>
      </c>
      <c r="K557" s="1" t="s">
        <v>448</v>
      </c>
      <c r="L557" s="1" t="s">
        <v>448</v>
      </c>
      <c r="M557" s="1" t="s">
        <v>448</v>
      </c>
      <c r="N557" s="1" t="s">
        <v>448</v>
      </c>
      <c r="O557" s="1">
        <v>20064</v>
      </c>
      <c r="P557" s="1" t="s">
        <v>149</v>
      </c>
      <c r="Q557" s="1" t="s">
        <v>150</v>
      </c>
      <c r="R557" t="str">
        <f t="shared" si="16"/>
        <v/>
      </c>
      <c r="S557" t="str">
        <f t="shared" si="17"/>
        <v/>
      </c>
    </row>
    <row r="558" spans="1:19" x14ac:dyDescent="0.25">
      <c r="A558" s="1" t="s">
        <v>448</v>
      </c>
      <c r="B558" s="5" t="s">
        <v>448</v>
      </c>
      <c r="C558" s="1" t="s">
        <v>448</v>
      </c>
      <c r="D558" s="1" t="s">
        <v>448</v>
      </c>
      <c r="E558" s="1" t="s">
        <v>448</v>
      </c>
      <c r="F558" s="1" t="s">
        <v>448</v>
      </c>
      <c r="G558" s="1" t="s">
        <v>448</v>
      </c>
      <c r="H558" s="1" t="s">
        <v>448</v>
      </c>
      <c r="I558" s="1" t="s">
        <v>448</v>
      </c>
      <c r="J558" s="1" t="s">
        <v>448</v>
      </c>
      <c r="K558" s="1" t="s">
        <v>448</v>
      </c>
      <c r="L558" s="1" t="s">
        <v>448</v>
      </c>
      <c r="M558" s="1" t="s">
        <v>448</v>
      </c>
      <c r="N558" s="1" t="s">
        <v>448</v>
      </c>
      <c r="O558" s="1">
        <v>20064</v>
      </c>
      <c r="P558" s="1" t="s">
        <v>149</v>
      </c>
      <c r="Q558" s="1" t="s">
        <v>150</v>
      </c>
      <c r="R558" t="str">
        <f t="shared" si="16"/>
        <v/>
      </c>
      <c r="S558" t="str">
        <f t="shared" si="17"/>
        <v/>
      </c>
    </row>
    <row r="559" spans="1:19" x14ac:dyDescent="0.25">
      <c r="A559" s="1" t="s">
        <v>448</v>
      </c>
      <c r="B559" s="5" t="s">
        <v>448</v>
      </c>
      <c r="C559" s="1" t="s">
        <v>448</v>
      </c>
      <c r="D559" s="1" t="s">
        <v>448</v>
      </c>
      <c r="E559" s="1" t="s">
        <v>448</v>
      </c>
      <c r="F559" s="1" t="s">
        <v>448</v>
      </c>
      <c r="G559" s="1" t="s">
        <v>448</v>
      </c>
      <c r="H559" s="1" t="s">
        <v>448</v>
      </c>
      <c r="I559" s="1" t="s">
        <v>448</v>
      </c>
      <c r="J559" s="1" t="s">
        <v>448</v>
      </c>
      <c r="K559" s="1" t="s">
        <v>448</v>
      </c>
      <c r="L559" s="1" t="s">
        <v>448</v>
      </c>
      <c r="M559" s="1" t="s">
        <v>448</v>
      </c>
      <c r="N559" s="1" t="s">
        <v>448</v>
      </c>
      <c r="O559" s="1">
        <v>20064</v>
      </c>
      <c r="P559" s="1" t="s">
        <v>149</v>
      </c>
      <c r="Q559" s="1" t="s">
        <v>150</v>
      </c>
      <c r="R559" t="str">
        <f t="shared" si="16"/>
        <v/>
      </c>
      <c r="S559" t="str">
        <f t="shared" si="17"/>
        <v/>
      </c>
    </row>
    <row r="560" spans="1:19" x14ac:dyDescent="0.25">
      <c r="A560" s="1" t="s">
        <v>448</v>
      </c>
      <c r="B560" s="5" t="s">
        <v>448</v>
      </c>
      <c r="C560" s="1" t="s">
        <v>448</v>
      </c>
      <c r="D560" s="1" t="s">
        <v>448</v>
      </c>
      <c r="E560" s="1" t="s">
        <v>448</v>
      </c>
      <c r="F560" s="1" t="s">
        <v>448</v>
      </c>
      <c r="G560" s="1" t="s">
        <v>448</v>
      </c>
      <c r="H560" s="1" t="s">
        <v>448</v>
      </c>
      <c r="I560" s="1" t="s">
        <v>448</v>
      </c>
      <c r="J560" s="1" t="s">
        <v>448</v>
      </c>
      <c r="K560" s="1" t="s">
        <v>448</v>
      </c>
      <c r="L560" s="1" t="s">
        <v>448</v>
      </c>
      <c r="M560" s="1" t="s">
        <v>448</v>
      </c>
      <c r="N560" s="1" t="s">
        <v>448</v>
      </c>
      <c r="O560" s="1">
        <v>20064</v>
      </c>
      <c r="P560" s="1" t="s">
        <v>149</v>
      </c>
      <c r="Q560" s="1" t="s">
        <v>150</v>
      </c>
      <c r="R560" t="str">
        <f t="shared" si="16"/>
        <v/>
      </c>
      <c r="S560" t="str">
        <f t="shared" si="17"/>
        <v/>
      </c>
    </row>
    <row r="561" spans="1:19" x14ac:dyDescent="0.25">
      <c r="A561" s="1" t="s">
        <v>448</v>
      </c>
      <c r="B561" s="5" t="s">
        <v>448</v>
      </c>
      <c r="C561" s="1" t="s">
        <v>448</v>
      </c>
      <c r="D561" s="1" t="s">
        <v>448</v>
      </c>
      <c r="E561" s="1" t="s">
        <v>448</v>
      </c>
      <c r="F561" s="1" t="s">
        <v>448</v>
      </c>
      <c r="G561" s="1" t="s">
        <v>448</v>
      </c>
      <c r="H561" s="1" t="s">
        <v>448</v>
      </c>
      <c r="I561" s="1" t="s">
        <v>448</v>
      </c>
      <c r="J561" s="1" t="s">
        <v>448</v>
      </c>
      <c r="K561" s="1" t="s">
        <v>448</v>
      </c>
      <c r="L561" s="1" t="s">
        <v>448</v>
      </c>
      <c r="M561" s="1" t="s">
        <v>448</v>
      </c>
      <c r="N561" s="1" t="s">
        <v>448</v>
      </c>
      <c r="O561" s="1">
        <v>20064</v>
      </c>
      <c r="P561" s="1" t="s">
        <v>149</v>
      </c>
      <c r="Q561" s="1" t="s">
        <v>150</v>
      </c>
      <c r="R561" t="str">
        <f t="shared" si="16"/>
        <v/>
      </c>
      <c r="S561" t="str">
        <f t="shared" si="17"/>
        <v/>
      </c>
    </row>
    <row r="562" spans="1:19" x14ac:dyDescent="0.25">
      <c r="A562" s="1" t="s">
        <v>448</v>
      </c>
      <c r="B562" s="5" t="s">
        <v>448</v>
      </c>
      <c r="C562" s="1" t="s">
        <v>448</v>
      </c>
      <c r="D562" s="1" t="s">
        <v>448</v>
      </c>
      <c r="E562" s="1" t="s">
        <v>448</v>
      </c>
      <c r="F562" s="1" t="s">
        <v>448</v>
      </c>
      <c r="G562" s="1" t="s">
        <v>448</v>
      </c>
      <c r="H562" s="1" t="s">
        <v>448</v>
      </c>
      <c r="I562" s="1" t="s">
        <v>448</v>
      </c>
      <c r="J562" s="1" t="s">
        <v>448</v>
      </c>
      <c r="K562" s="1" t="s">
        <v>448</v>
      </c>
      <c r="L562" s="1" t="s">
        <v>448</v>
      </c>
      <c r="M562" s="1" t="s">
        <v>448</v>
      </c>
      <c r="N562" s="1" t="s">
        <v>448</v>
      </c>
      <c r="O562" s="1">
        <v>20064</v>
      </c>
      <c r="P562" s="1" t="s">
        <v>149</v>
      </c>
      <c r="Q562" s="1" t="s">
        <v>150</v>
      </c>
      <c r="R562" t="str">
        <f t="shared" si="16"/>
        <v/>
      </c>
      <c r="S562" t="str">
        <f t="shared" si="17"/>
        <v/>
      </c>
    </row>
    <row r="563" spans="1:19" x14ac:dyDescent="0.25">
      <c r="A563" s="1" t="s">
        <v>448</v>
      </c>
      <c r="B563" s="5" t="s">
        <v>448</v>
      </c>
      <c r="C563" s="1" t="s">
        <v>448</v>
      </c>
      <c r="D563" s="1" t="s">
        <v>448</v>
      </c>
      <c r="E563" s="1" t="s">
        <v>448</v>
      </c>
      <c r="F563" s="1" t="s">
        <v>448</v>
      </c>
      <c r="G563" s="1" t="s">
        <v>448</v>
      </c>
      <c r="H563" s="1" t="s">
        <v>448</v>
      </c>
      <c r="I563" s="1" t="s">
        <v>448</v>
      </c>
      <c r="J563" s="1" t="s">
        <v>448</v>
      </c>
      <c r="K563" s="1" t="s">
        <v>448</v>
      </c>
      <c r="L563" s="1" t="s">
        <v>448</v>
      </c>
      <c r="M563" s="1" t="s">
        <v>448</v>
      </c>
      <c r="N563" s="1" t="s">
        <v>448</v>
      </c>
      <c r="O563" s="1">
        <v>20064</v>
      </c>
      <c r="P563" s="1" t="s">
        <v>149</v>
      </c>
      <c r="Q563" s="1" t="s">
        <v>150</v>
      </c>
      <c r="R563" t="str">
        <f t="shared" si="16"/>
        <v/>
      </c>
      <c r="S563" t="str">
        <f t="shared" si="17"/>
        <v/>
      </c>
    </row>
    <row r="564" spans="1:19" x14ac:dyDescent="0.25">
      <c r="A564" s="1" t="s">
        <v>448</v>
      </c>
      <c r="B564" s="5" t="s">
        <v>448</v>
      </c>
      <c r="C564" s="1" t="s">
        <v>448</v>
      </c>
      <c r="D564" s="1" t="s">
        <v>448</v>
      </c>
      <c r="E564" s="1" t="s">
        <v>448</v>
      </c>
      <c r="F564" s="1" t="s">
        <v>448</v>
      </c>
      <c r="G564" s="1" t="s">
        <v>448</v>
      </c>
      <c r="H564" s="1" t="s">
        <v>448</v>
      </c>
      <c r="I564" s="1" t="s">
        <v>448</v>
      </c>
      <c r="J564" s="1" t="s">
        <v>448</v>
      </c>
      <c r="K564" s="1" t="s">
        <v>448</v>
      </c>
      <c r="L564" s="1" t="s">
        <v>448</v>
      </c>
      <c r="M564" s="1" t="s">
        <v>448</v>
      </c>
      <c r="N564" s="1" t="s">
        <v>448</v>
      </c>
      <c r="O564" s="1">
        <v>20064</v>
      </c>
      <c r="P564" s="1" t="s">
        <v>149</v>
      </c>
      <c r="Q564" s="1" t="s">
        <v>150</v>
      </c>
      <c r="R564" t="str">
        <f t="shared" si="16"/>
        <v/>
      </c>
      <c r="S564" t="str">
        <f t="shared" si="17"/>
        <v/>
      </c>
    </row>
    <row r="565" spans="1:19" x14ac:dyDescent="0.25">
      <c r="A565" s="1" t="s">
        <v>448</v>
      </c>
      <c r="B565" s="5" t="s">
        <v>448</v>
      </c>
      <c r="C565" s="1" t="s">
        <v>448</v>
      </c>
      <c r="D565" s="1" t="s">
        <v>448</v>
      </c>
      <c r="E565" s="1" t="s">
        <v>448</v>
      </c>
      <c r="F565" s="1" t="s">
        <v>448</v>
      </c>
      <c r="G565" s="1" t="s">
        <v>448</v>
      </c>
      <c r="H565" s="1" t="s">
        <v>448</v>
      </c>
      <c r="I565" s="1" t="s">
        <v>448</v>
      </c>
      <c r="J565" s="1" t="s">
        <v>448</v>
      </c>
      <c r="K565" s="1" t="s">
        <v>448</v>
      </c>
      <c r="L565" s="1" t="s">
        <v>448</v>
      </c>
      <c r="M565" s="1" t="s">
        <v>448</v>
      </c>
      <c r="N565" s="1" t="s">
        <v>448</v>
      </c>
      <c r="O565" s="1">
        <v>20064</v>
      </c>
      <c r="P565" s="1" t="s">
        <v>149</v>
      </c>
      <c r="Q565" s="1" t="s">
        <v>150</v>
      </c>
      <c r="R565" t="str">
        <f t="shared" si="16"/>
        <v/>
      </c>
      <c r="S565" t="str">
        <f t="shared" si="17"/>
        <v/>
      </c>
    </row>
    <row r="566" spans="1:19" x14ac:dyDescent="0.25">
      <c r="A566" s="1" t="s">
        <v>448</v>
      </c>
      <c r="B566" s="5" t="s">
        <v>448</v>
      </c>
      <c r="C566" s="1" t="s">
        <v>448</v>
      </c>
      <c r="D566" s="1" t="s">
        <v>448</v>
      </c>
      <c r="E566" s="1" t="s">
        <v>448</v>
      </c>
      <c r="F566" s="1" t="s">
        <v>448</v>
      </c>
      <c r="G566" s="1" t="s">
        <v>448</v>
      </c>
      <c r="H566" s="1" t="s">
        <v>448</v>
      </c>
      <c r="I566" s="1" t="s">
        <v>448</v>
      </c>
      <c r="J566" s="1" t="s">
        <v>448</v>
      </c>
      <c r="K566" s="1" t="s">
        <v>448</v>
      </c>
      <c r="L566" s="1" t="s">
        <v>448</v>
      </c>
      <c r="M566" s="1" t="s">
        <v>448</v>
      </c>
      <c r="N566" s="1" t="s">
        <v>448</v>
      </c>
      <c r="O566" s="1">
        <v>20064</v>
      </c>
      <c r="P566" s="1" t="s">
        <v>149</v>
      </c>
      <c r="Q566" s="1" t="s">
        <v>150</v>
      </c>
      <c r="R566" t="str">
        <f t="shared" si="16"/>
        <v/>
      </c>
      <c r="S566" t="str">
        <f t="shared" si="17"/>
        <v/>
      </c>
    </row>
    <row r="567" spans="1:19" x14ac:dyDescent="0.25">
      <c r="A567" s="1" t="s">
        <v>448</v>
      </c>
      <c r="B567" s="5" t="s">
        <v>448</v>
      </c>
      <c r="C567" s="1" t="s">
        <v>448</v>
      </c>
      <c r="D567" s="1" t="s">
        <v>448</v>
      </c>
      <c r="E567" s="1" t="s">
        <v>448</v>
      </c>
      <c r="F567" s="1" t="s">
        <v>448</v>
      </c>
      <c r="G567" s="1" t="s">
        <v>448</v>
      </c>
      <c r="H567" s="1" t="s">
        <v>448</v>
      </c>
      <c r="I567" s="1" t="s">
        <v>448</v>
      </c>
      <c r="J567" s="1" t="s">
        <v>448</v>
      </c>
      <c r="K567" s="1" t="s">
        <v>448</v>
      </c>
      <c r="L567" s="1" t="s">
        <v>448</v>
      </c>
      <c r="M567" s="1" t="s">
        <v>448</v>
      </c>
      <c r="N567" s="1" t="s">
        <v>448</v>
      </c>
      <c r="O567" s="1">
        <v>20064</v>
      </c>
      <c r="P567" s="1" t="s">
        <v>149</v>
      </c>
      <c r="Q567" s="1" t="s">
        <v>150</v>
      </c>
      <c r="R567" t="str">
        <f t="shared" si="16"/>
        <v/>
      </c>
      <c r="S567" t="str">
        <f t="shared" si="17"/>
        <v/>
      </c>
    </row>
    <row r="568" spans="1:19" x14ac:dyDescent="0.25">
      <c r="A568" s="1" t="s">
        <v>448</v>
      </c>
      <c r="B568" s="5" t="s">
        <v>448</v>
      </c>
      <c r="C568" s="1" t="s">
        <v>448</v>
      </c>
      <c r="D568" s="1" t="s">
        <v>448</v>
      </c>
      <c r="E568" s="1" t="s">
        <v>448</v>
      </c>
      <c r="F568" s="1" t="s">
        <v>448</v>
      </c>
      <c r="G568" s="1" t="s">
        <v>448</v>
      </c>
      <c r="H568" s="1" t="s">
        <v>448</v>
      </c>
      <c r="I568" s="1" t="s">
        <v>448</v>
      </c>
      <c r="J568" s="1" t="s">
        <v>448</v>
      </c>
      <c r="K568" s="1" t="s">
        <v>448</v>
      </c>
      <c r="L568" s="1" t="s">
        <v>448</v>
      </c>
      <c r="M568" s="1" t="s">
        <v>448</v>
      </c>
      <c r="N568" s="1" t="s">
        <v>448</v>
      </c>
      <c r="O568" s="1">
        <v>20064</v>
      </c>
      <c r="P568" s="1" t="s">
        <v>149</v>
      </c>
      <c r="Q568" s="1" t="s">
        <v>150</v>
      </c>
      <c r="R568" t="str">
        <f t="shared" si="16"/>
        <v/>
      </c>
      <c r="S568" t="str">
        <f t="shared" si="17"/>
        <v/>
      </c>
    </row>
    <row r="569" spans="1:19" x14ac:dyDescent="0.25">
      <c r="A569" s="1" t="s">
        <v>448</v>
      </c>
      <c r="B569" s="5" t="s">
        <v>448</v>
      </c>
      <c r="C569" s="1" t="s">
        <v>448</v>
      </c>
      <c r="D569" s="1" t="s">
        <v>448</v>
      </c>
      <c r="E569" s="1" t="s">
        <v>448</v>
      </c>
      <c r="F569" s="1" t="s">
        <v>448</v>
      </c>
      <c r="G569" s="1" t="s">
        <v>448</v>
      </c>
      <c r="H569" s="1" t="s">
        <v>448</v>
      </c>
      <c r="I569" s="1" t="s">
        <v>448</v>
      </c>
      <c r="J569" s="1" t="s">
        <v>448</v>
      </c>
      <c r="K569" s="1" t="s">
        <v>448</v>
      </c>
      <c r="L569" s="1" t="s">
        <v>448</v>
      </c>
      <c r="M569" s="1" t="s">
        <v>448</v>
      </c>
      <c r="N569" s="1" t="s">
        <v>448</v>
      </c>
      <c r="O569" s="1">
        <v>20064</v>
      </c>
      <c r="P569" s="1" t="s">
        <v>149</v>
      </c>
      <c r="Q569" s="1" t="s">
        <v>150</v>
      </c>
      <c r="R569" t="str">
        <f t="shared" si="16"/>
        <v/>
      </c>
      <c r="S569" t="str">
        <f t="shared" si="17"/>
        <v/>
      </c>
    </row>
    <row r="570" spans="1:19" x14ac:dyDescent="0.25">
      <c r="A570" s="1" t="s">
        <v>448</v>
      </c>
      <c r="B570" s="5" t="s">
        <v>448</v>
      </c>
      <c r="C570" s="1" t="s">
        <v>448</v>
      </c>
      <c r="D570" s="1" t="s">
        <v>448</v>
      </c>
      <c r="E570" s="1" t="s">
        <v>448</v>
      </c>
      <c r="F570" s="1" t="s">
        <v>448</v>
      </c>
      <c r="G570" s="1" t="s">
        <v>448</v>
      </c>
      <c r="H570" s="1" t="s">
        <v>448</v>
      </c>
      <c r="I570" s="1" t="s">
        <v>448</v>
      </c>
      <c r="J570" s="1" t="s">
        <v>448</v>
      </c>
      <c r="K570" s="1" t="s">
        <v>448</v>
      </c>
      <c r="L570" s="1" t="s">
        <v>448</v>
      </c>
      <c r="M570" s="1" t="s">
        <v>448</v>
      </c>
      <c r="N570" s="1" t="s">
        <v>448</v>
      </c>
      <c r="O570" s="1">
        <v>20064</v>
      </c>
      <c r="P570" s="1" t="s">
        <v>149</v>
      </c>
      <c r="Q570" s="1" t="s">
        <v>150</v>
      </c>
      <c r="R570" t="str">
        <f t="shared" si="16"/>
        <v/>
      </c>
      <c r="S570" t="str">
        <f t="shared" si="17"/>
        <v/>
      </c>
    </row>
    <row r="571" spans="1:19" x14ac:dyDescent="0.25">
      <c r="A571" s="1" t="s">
        <v>448</v>
      </c>
      <c r="B571" s="5" t="s">
        <v>448</v>
      </c>
      <c r="C571" s="1" t="s">
        <v>448</v>
      </c>
      <c r="D571" s="1" t="s">
        <v>448</v>
      </c>
      <c r="E571" s="1" t="s">
        <v>448</v>
      </c>
      <c r="F571" s="1" t="s">
        <v>448</v>
      </c>
      <c r="G571" s="1" t="s">
        <v>448</v>
      </c>
      <c r="H571" s="1" t="s">
        <v>448</v>
      </c>
      <c r="I571" s="1" t="s">
        <v>448</v>
      </c>
      <c r="J571" s="1" t="s">
        <v>448</v>
      </c>
      <c r="K571" s="1" t="s">
        <v>448</v>
      </c>
      <c r="L571" s="1" t="s">
        <v>448</v>
      </c>
      <c r="M571" s="1" t="s">
        <v>448</v>
      </c>
      <c r="N571" s="1" t="s">
        <v>448</v>
      </c>
      <c r="O571" s="1">
        <v>20064</v>
      </c>
      <c r="P571" s="1" t="s">
        <v>149</v>
      </c>
      <c r="Q571" s="1" t="s">
        <v>150</v>
      </c>
      <c r="R571" t="str">
        <f t="shared" si="16"/>
        <v/>
      </c>
      <c r="S571" t="str">
        <f t="shared" si="17"/>
        <v/>
      </c>
    </row>
    <row r="572" spans="1:19" x14ac:dyDescent="0.25">
      <c r="A572" s="1" t="s">
        <v>448</v>
      </c>
      <c r="B572" s="5" t="s">
        <v>448</v>
      </c>
      <c r="C572" s="1" t="s">
        <v>448</v>
      </c>
      <c r="D572" s="1" t="s">
        <v>448</v>
      </c>
      <c r="E572" s="1" t="s">
        <v>448</v>
      </c>
      <c r="F572" s="1" t="s">
        <v>448</v>
      </c>
      <c r="G572" s="1" t="s">
        <v>448</v>
      </c>
      <c r="H572" s="1" t="s">
        <v>448</v>
      </c>
      <c r="I572" s="1" t="s">
        <v>448</v>
      </c>
      <c r="J572" s="1" t="s">
        <v>448</v>
      </c>
      <c r="K572" s="1" t="s">
        <v>448</v>
      </c>
      <c r="L572" s="1" t="s">
        <v>448</v>
      </c>
      <c r="M572" s="1" t="s">
        <v>448</v>
      </c>
      <c r="N572" s="1" t="s">
        <v>448</v>
      </c>
      <c r="O572" s="1">
        <v>20064</v>
      </c>
      <c r="P572" s="1" t="s">
        <v>149</v>
      </c>
      <c r="Q572" s="1" t="s">
        <v>150</v>
      </c>
      <c r="R572" t="str">
        <f t="shared" si="16"/>
        <v/>
      </c>
      <c r="S572" t="str">
        <f t="shared" si="17"/>
        <v/>
      </c>
    </row>
    <row r="573" spans="1:19" x14ac:dyDescent="0.25">
      <c r="A573" s="1" t="s">
        <v>448</v>
      </c>
      <c r="B573" s="5" t="s">
        <v>448</v>
      </c>
      <c r="C573" s="1" t="s">
        <v>448</v>
      </c>
      <c r="D573" s="1" t="s">
        <v>448</v>
      </c>
      <c r="E573" s="1" t="s">
        <v>448</v>
      </c>
      <c r="F573" s="1" t="s">
        <v>448</v>
      </c>
      <c r="G573" s="1" t="s">
        <v>448</v>
      </c>
      <c r="H573" s="1" t="s">
        <v>448</v>
      </c>
      <c r="I573" s="1" t="s">
        <v>448</v>
      </c>
      <c r="J573" s="1" t="s">
        <v>448</v>
      </c>
      <c r="K573" s="1" t="s">
        <v>448</v>
      </c>
      <c r="L573" s="1" t="s">
        <v>448</v>
      </c>
      <c r="M573" s="1" t="s">
        <v>448</v>
      </c>
      <c r="N573" s="1" t="s">
        <v>448</v>
      </c>
      <c r="O573" s="1">
        <v>20064</v>
      </c>
      <c r="P573" s="1" t="s">
        <v>149</v>
      </c>
      <c r="Q573" s="1" t="s">
        <v>150</v>
      </c>
      <c r="R573" t="str">
        <f t="shared" si="16"/>
        <v/>
      </c>
      <c r="S573" t="str">
        <f t="shared" si="17"/>
        <v/>
      </c>
    </row>
    <row r="574" spans="1:19" x14ac:dyDescent="0.25">
      <c r="A574" s="1" t="s">
        <v>448</v>
      </c>
      <c r="B574" s="5" t="s">
        <v>448</v>
      </c>
      <c r="C574" s="1" t="s">
        <v>448</v>
      </c>
      <c r="D574" s="1" t="s">
        <v>448</v>
      </c>
      <c r="E574" s="1" t="s">
        <v>448</v>
      </c>
      <c r="F574" s="1" t="s">
        <v>448</v>
      </c>
      <c r="G574" s="1" t="s">
        <v>448</v>
      </c>
      <c r="H574" s="1" t="s">
        <v>448</v>
      </c>
      <c r="I574" s="1" t="s">
        <v>448</v>
      </c>
      <c r="J574" s="1" t="s">
        <v>448</v>
      </c>
      <c r="K574" s="1" t="s">
        <v>448</v>
      </c>
      <c r="L574" s="1" t="s">
        <v>448</v>
      </c>
      <c r="M574" s="1" t="s">
        <v>448</v>
      </c>
      <c r="N574" s="1" t="s">
        <v>448</v>
      </c>
      <c r="O574" s="1">
        <v>20064</v>
      </c>
      <c r="P574" s="1" t="s">
        <v>149</v>
      </c>
      <c r="Q574" s="1" t="s">
        <v>150</v>
      </c>
      <c r="R574" t="str">
        <f t="shared" si="16"/>
        <v/>
      </c>
      <c r="S574" t="str">
        <f t="shared" si="17"/>
        <v/>
      </c>
    </row>
    <row r="575" spans="1:19" x14ac:dyDescent="0.25">
      <c r="A575" s="1" t="s">
        <v>448</v>
      </c>
      <c r="B575" s="5" t="s">
        <v>448</v>
      </c>
      <c r="C575" s="1" t="s">
        <v>448</v>
      </c>
      <c r="D575" s="1" t="s">
        <v>448</v>
      </c>
      <c r="E575" s="1" t="s">
        <v>448</v>
      </c>
      <c r="F575" s="1" t="s">
        <v>448</v>
      </c>
      <c r="G575" s="1" t="s">
        <v>448</v>
      </c>
      <c r="H575" s="1" t="s">
        <v>448</v>
      </c>
      <c r="I575" s="1" t="s">
        <v>448</v>
      </c>
      <c r="J575" s="1" t="s">
        <v>448</v>
      </c>
      <c r="K575" s="1" t="s">
        <v>448</v>
      </c>
      <c r="L575" s="1" t="s">
        <v>448</v>
      </c>
      <c r="M575" s="1" t="s">
        <v>448</v>
      </c>
      <c r="N575" s="1" t="s">
        <v>448</v>
      </c>
      <c r="O575" s="1">
        <v>20064</v>
      </c>
      <c r="P575" s="1" t="s">
        <v>149</v>
      </c>
      <c r="Q575" s="1" t="s">
        <v>150</v>
      </c>
      <c r="R575" t="str">
        <f t="shared" si="16"/>
        <v/>
      </c>
      <c r="S575" t="str">
        <f t="shared" si="17"/>
        <v/>
      </c>
    </row>
    <row r="576" spans="1:19" x14ac:dyDescent="0.25">
      <c r="A576" s="1" t="s">
        <v>448</v>
      </c>
      <c r="B576" s="5" t="s">
        <v>448</v>
      </c>
      <c r="C576" s="1" t="s">
        <v>448</v>
      </c>
      <c r="D576" s="1" t="s">
        <v>448</v>
      </c>
      <c r="E576" s="1" t="s">
        <v>448</v>
      </c>
      <c r="F576" s="1" t="s">
        <v>448</v>
      </c>
      <c r="G576" s="1" t="s">
        <v>448</v>
      </c>
      <c r="H576" s="1" t="s">
        <v>448</v>
      </c>
      <c r="I576" s="1" t="s">
        <v>448</v>
      </c>
      <c r="J576" s="1" t="s">
        <v>448</v>
      </c>
      <c r="K576" s="1" t="s">
        <v>448</v>
      </c>
      <c r="L576" s="1" t="s">
        <v>448</v>
      </c>
      <c r="M576" s="1" t="s">
        <v>448</v>
      </c>
      <c r="N576" s="1" t="s">
        <v>448</v>
      </c>
      <c r="O576" s="1">
        <v>20064</v>
      </c>
      <c r="P576" s="1" t="s">
        <v>149</v>
      </c>
      <c r="Q576" s="1" t="s">
        <v>150</v>
      </c>
      <c r="R576" t="str">
        <f t="shared" si="16"/>
        <v/>
      </c>
      <c r="S576" t="str">
        <f t="shared" si="17"/>
        <v/>
      </c>
    </row>
    <row r="577" spans="1:19" x14ac:dyDescent="0.25">
      <c r="A577" s="1" t="s">
        <v>448</v>
      </c>
      <c r="B577" s="5" t="s">
        <v>448</v>
      </c>
      <c r="C577" s="1" t="s">
        <v>448</v>
      </c>
      <c r="D577" s="1" t="s">
        <v>448</v>
      </c>
      <c r="E577" s="1" t="s">
        <v>448</v>
      </c>
      <c r="F577" s="1" t="s">
        <v>448</v>
      </c>
      <c r="G577" s="1" t="s">
        <v>448</v>
      </c>
      <c r="H577" s="1" t="s">
        <v>448</v>
      </c>
      <c r="I577" s="1" t="s">
        <v>448</v>
      </c>
      <c r="J577" s="1" t="s">
        <v>448</v>
      </c>
      <c r="K577" s="1" t="s">
        <v>448</v>
      </c>
      <c r="L577" s="1" t="s">
        <v>448</v>
      </c>
      <c r="M577" s="1" t="s">
        <v>448</v>
      </c>
      <c r="N577" s="1" t="s">
        <v>448</v>
      </c>
      <c r="O577" s="1">
        <v>20064</v>
      </c>
      <c r="P577" s="1" t="s">
        <v>149</v>
      </c>
      <c r="Q577" s="1" t="s">
        <v>150</v>
      </c>
      <c r="R577" t="str">
        <f t="shared" si="16"/>
        <v/>
      </c>
      <c r="S577" t="str">
        <f t="shared" si="17"/>
        <v/>
      </c>
    </row>
    <row r="578" spans="1:19" x14ac:dyDescent="0.25">
      <c r="A578" s="1" t="s">
        <v>448</v>
      </c>
      <c r="B578" s="5" t="s">
        <v>448</v>
      </c>
      <c r="C578" s="1" t="s">
        <v>448</v>
      </c>
      <c r="D578" s="1" t="s">
        <v>448</v>
      </c>
      <c r="E578" s="1" t="s">
        <v>448</v>
      </c>
      <c r="F578" s="1" t="s">
        <v>448</v>
      </c>
      <c r="G578" s="1" t="s">
        <v>448</v>
      </c>
      <c r="H578" s="1" t="s">
        <v>448</v>
      </c>
      <c r="I578" s="1" t="s">
        <v>448</v>
      </c>
      <c r="J578" s="1" t="s">
        <v>448</v>
      </c>
      <c r="K578" s="1" t="s">
        <v>448</v>
      </c>
      <c r="L578" s="1" t="s">
        <v>448</v>
      </c>
      <c r="M578" s="1" t="s">
        <v>448</v>
      </c>
      <c r="N578" s="1" t="s">
        <v>448</v>
      </c>
      <c r="O578" s="1">
        <v>20064</v>
      </c>
      <c r="P578" s="1" t="s">
        <v>149</v>
      </c>
      <c r="Q578" s="1" t="s">
        <v>150</v>
      </c>
      <c r="R578" t="str">
        <f t="shared" ref="R578:R641" si="18">IF(ISNUMBER(B578),INT(B578*24),"")</f>
        <v/>
      </c>
      <c r="S578" t="str">
        <f t="shared" ref="S578:S641" si="19">IF(ISNUMBER(B578),ROUND((B578*24-R578)*60,0),"")</f>
        <v/>
      </c>
    </row>
    <row r="579" spans="1:19" x14ac:dyDescent="0.25">
      <c r="A579" s="1" t="s">
        <v>448</v>
      </c>
      <c r="B579" s="5" t="s">
        <v>448</v>
      </c>
      <c r="C579" s="1" t="s">
        <v>448</v>
      </c>
      <c r="D579" s="1" t="s">
        <v>448</v>
      </c>
      <c r="E579" s="1" t="s">
        <v>448</v>
      </c>
      <c r="F579" s="1" t="s">
        <v>448</v>
      </c>
      <c r="G579" s="1" t="s">
        <v>448</v>
      </c>
      <c r="H579" s="1" t="s">
        <v>448</v>
      </c>
      <c r="I579" s="1" t="s">
        <v>448</v>
      </c>
      <c r="J579" s="1" t="s">
        <v>448</v>
      </c>
      <c r="K579" s="1" t="s">
        <v>448</v>
      </c>
      <c r="L579" s="1" t="s">
        <v>448</v>
      </c>
      <c r="M579" s="1" t="s">
        <v>448</v>
      </c>
      <c r="N579" s="1" t="s">
        <v>448</v>
      </c>
      <c r="O579" s="1">
        <v>20064</v>
      </c>
      <c r="P579" s="1" t="s">
        <v>149</v>
      </c>
      <c r="Q579" s="1" t="s">
        <v>150</v>
      </c>
      <c r="R579" t="str">
        <f t="shared" si="18"/>
        <v/>
      </c>
      <c r="S579" t="str">
        <f t="shared" si="19"/>
        <v/>
      </c>
    </row>
    <row r="580" spans="1:19" x14ac:dyDescent="0.25">
      <c r="A580" s="1" t="s">
        <v>448</v>
      </c>
      <c r="B580" s="5" t="s">
        <v>448</v>
      </c>
      <c r="C580" s="1" t="s">
        <v>448</v>
      </c>
      <c r="D580" s="1" t="s">
        <v>448</v>
      </c>
      <c r="E580" s="1" t="s">
        <v>448</v>
      </c>
      <c r="F580" s="1" t="s">
        <v>448</v>
      </c>
      <c r="G580" s="1" t="s">
        <v>448</v>
      </c>
      <c r="H580" s="1" t="s">
        <v>448</v>
      </c>
      <c r="I580" s="1" t="s">
        <v>448</v>
      </c>
      <c r="J580" s="1" t="s">
        <v>448</v>
      </c>
      <c r="K580" s="1" t="s">
        <v>448</v>
      </c>
      <c r="L580" s="1" t="s">
        <v>448</v>
      </c>
      <c r="M580" s="1" t="s">
        <v>448</v>
      </c>
      <c r="N580" s="1" t="s">
        <v>448</v>
      </c>
      <c r="O580" s="1">
        <v>20064</v>
      </c>
      <c r="P580" s="1" t="s">
        <v>149</v>
      </c>
      <c r="Q580" s="1" t="s">
        <v>150</v>
      </c>
      <c r="R580" t="str">
        <f t="shared" si="18"/>
        <v/>
      </c>
      <c r="S580" t="str">
        <f t="shared" si="19"/>
        <v/>
      </c>
    </row>
    <row r="581" spans="1:19" x14ac:dyDescent="0.25">
      <c r="A581" s="1" t="s">
        <v>448</v>
      </c>
      <c r="B581" s="5" t="s">
        <v>448</v>
      </c>
      <c r="C581" s="1" t="s">
        <v>448</v>
      </c>
      <c r="D581" s="1" t="s">
        <v>448</v>
      </c>
      <c r="E581" s="1" t="s">
        <v>448</v>
      </c>
      <c r="F581" s="1" t="s">
        <v>448</v>
      </c>
      <c r="G581" s="1" t="s">
        <v>448</v>
      </c>
      <c r="H581" s="1" t="s">
        <v>448</v>
      </c>
      <c r="I581" s="1" t="s">
        <v>448</v>
      </c>
      <c r="J581" s="1" t="s">
        <v>448</v>
      </c>
      <c r="K581" s="1" t="s">
        <v>448</v>
      </c>
      <c r="L581" s="1" t="s">
        <v>448</v>
      </c>
      <c r="M581" s="1" t="s">
        <v>448</v>
      </c>
      <c r="N581" s="1" t="s">
        <v>448</v>
      </c>
      <c r="O581" s="1">
        <v>20064</v>
      </c>
      <c r="P581" s="1" t="s">
        <v>149</v>
      </c>
      <c r="Q581" s="1" t="s">
        <v>150</v>
      </c>
      <c r="R581" t="str">
        <f t="shared" si="18"/>
        <v/>
      </c>
      <c r="S581" t="str">
        <f t="shared" si="19"/>
        <v/>
      </c>
    </row>
    <row r="582" spans="1:19" x14ac:dyDescent="0.25">
      <c r="A582" s="1" t="s">
        <v>448</v>
      </c>
      <c r="B582" s="5" t="s">
        <v>448</v>
      </c>
      <c r="C582" s="1" t="s">
        <v>448</v>
      </c>
      <c r="D582" s="1" t="s">
        <v>448</v>
      </c>
      <c r="E582" s="1" t="s">
        <v>448</v>
      </c>
      <c r="F582" s="1" t="s">
        <v>448</v>
      </c>
      <c r="G582" s="1" t="s">
        <v>448</v>
      </c>
      <c r="H582" s="1" t="s">
        <v>448</v>
      </c>
      <c r="I582" s="1" t="s">
        <v>448</v>
      </c>
      <c r="J582" s="1" t="s">
        <v>448</v>
      </c>
      <c r="K582" s="1" t="s">
        <v>448</v>
      </c>
      <c r="L582" s="1" t="s">
        <v>448</v>
      </c>
      <c r="M582" s="1" t="s">
        <v>448</v>
      </c>
      <c r="N582" s="1" t="s">
        <v>448</v>
      </c>
      <c r="O582" s="1">
        <v>20064</v>
      </c>
      <c r="P582" s="1" t="s">
        <v>149</v>
      </c>
      <c r="Q582" s="1" t="s">
        <v>150</v>
      </c>
      <c r="R582" t="str">
        <f t="shared" si="18"/>
        <v/>
      </c>
      <c r="S582" t="str">
        <f t="shared" si="19"/>
        <v/>
      </c>
    </row>
    <row r="583" spans="1:19" x14ac:dyDescent="0.25">
      <c r="A583" s="1" t="s">
        <v>448</v>
      </c>
      <c r="B583" s="5" t="s">
        <v>448</v>
      </c>
      <c r="C583" s="1" t="s">
        <v>448</v>
      </c>
      <c r="D583" s="1" t="s">
        <v>448</v>
      </c>
      <c r="E583" s="1" t="s">
        <v>448</v>
      </c>
      <c r="F583" s="1" t="s">
        <v>448</v>
      </c>
      <c r="G583" s="1" t="s">
        <v>448</v>
      </c>
      <c r="H583" s="1" t="s">
        <v>448</v>
      </c>
      <c r="I583" s="1" t="s">
        <v>448</v>
      </c>
      <c r="J583" s="1" t="s">
        <v>448</v>
      </c>
      <c r="K583" s="1" t="s">
        <v>448</v>
      </c>
      <c r="L583" s="1" t="s">
        <v>448</v>
      </c>
      <c r="M583" s="1" t="s">
        <v>448</v>
      </c>
      <c r="N583" s="1" t="s">
        <v>448</v>
      </c>
      <c r="O583" s="1">
        <v>20064</v>
      </c>
      <c r="P583" s="1" t="s">
        <v>149</v>
      </c>
      <c r="Q583" s="1" t="s">
        <v>150</v>
      </c>
      <c r="R583" t="str">
        <f t="shared" si="18"/>
        <v/>
      </c>
      <c r="S583" t="str">
        <f t="shared" si="19"/>
        <v/>
      </c>
    </row>
    <row r="584" spans="1:19" x14ac:dyDescent="0.25">
      <c r="A584" s="1" t="s">
        <v>448</v>
      </c>
      <c r="B584" s="5" t="s">
        <v>448</v>
      </c>
      <c r="C584" s="1" t="s">
        <v>448</v>
      </c>
      <c r="D584" s="1" t="s">
        <v>448</v>
      </c>
      <c r="E584" s="1" t="s">
        <v>448</v>
      </c>
      <c r="F584" s="1" t="s">
        <v>448</v>
      </c>
      <c r="G584" s="1" t="s">
        <v>448</v>
      </c>
      <c r="H584" s="1" t="s">
        <v>448</v>
      </c>
      <c r="I584" s="1" t="s">
        <v>448</v>
      </c>
      <c r="J584" s="1" t="s">
        <v>448</v>
      </c>
      <c r="K584" s="1" t="s">
        <v>448</v>
      </c>
      <c r="L584" s="1" t="s">
        <v>448</v>
      </c>
      <c r="M584" s="1" t="s">
        <v>448</v>
      </c>
      <c r="N584" s="1" t="s">
        <v>448</v>
      </c>
      <c r="O584" s="1">
        <v>20064</v>
      </c>
      <c r="P584" s="1" t="s">
        <v>149</v>
      </c>
      <c r="Q584" s="1" t="s">
        <v>150</v>
      </c>
      <c r="R584" t="str">
        <f t="shared" si="18"/>
        <v/>
      </c>
      <c r="S584" t="str">
        <f t="shared" si="19"/>
        <v/>
      </c>
    </row>
    <row r="585" spans="1:19" x14ac:dyDescent="0.25">
      <c r="A585" s="1" t="s">
        <v>448</v>
      </c>
      <c r="B585" s="5" t="s">
        <v>448</v>
      </c>
      <c r="C585" s="1" t="s">
        <v>448</v>
      </c>
      <c r="D585" s="1" t="s">
        <v>448</v>
      </c>
      <c r="E585" s="1" t="s">
        <v>448</v>
      </c>
      <c r="F585" s="1" t="s">
        <v>448</v>
      </c>
      <c r="G585" s="1" t="s">
        <v>448</v>
      </c>
      <c r="H585" s="1" t="s">
        <v>448</v>
      </c>
      <c r="I585" s="1" t="s">
        <v>448</v>
      </c>
      <c r="J585" s="1" t="s">
        <v>448</v>
      </c>
      <c r="K585" s="1" t="s">
        <v>448</v>
      </c>
      <c r="L585" s="1" t="s">
        <v>448</v>
      </c>
      <c r="M585" s="1" t="s">
        <v>448</v>
      </c>
      <c r="N585" s="1" t="s">
        <v>448</v>
      </c>
      <c r="O585" s="1">
        <v>20064</v>
      </c>
      <c r="P585" s="1" t="s">
        <v>149</v>
      </c>
      <c r="Q585" s="1" t="s">
        <v>150</v>
      </c>
      <c r="R585" t="str">
        <f t="shared" si="18"/>
        <v/>
      </c>
      <c r="S585" t="str">
        <f t="shared" si="19"/>
        <v/>
      </c>
    </row>
    <row r="586" spans="1:19" x14ac:dyDescent="0.25">
      <c r="A586" s="1" t="s">
        <v>448</v>
      </c>
      <c r="B586" s="5" t="s">
        <v>448</v>
      </c>
      <c r="C586" s="1" t="s">
        <v>448</v>
      </c>
      <c r="D586" s="1" t="s">
        <v>448</v>
      </c>
      <c r="E586" s="1" t="s">
        <v>448</v>
      </c>
      <c r="F586" s="1" t="s">
        <v>448</v>
      </c>
      <c r="G586" s="1" t="s">
        <v>448</v>
      </c>
      <c r="H586" s="1" t="s">
        <v>448</v>
      </c>
      <c r="I586" s="1" t="s">
        <v>448</v>
      </c>
      <c r="J586" s="1" t="s">
        <v>448</v>
      </c>
      <c r="K586" s="1" t="s">
        <v>448</v>
      </c>
      <c r="L586" s="1" t="s">
        <v>448</v>
      </c>
      <c r="M586" s="1" t="s">
        <v>448</v>
      </c>
      <c r="N586" s="1" t="s">
        <v>448</v>
      </c>
      <c r="O586" s="1">
        <v>20064</v>
      </c>
      <c r="P586" s="1" t="s">
        <v>149</v>
      </c>
      <c r="Q586" s="1" t="s">
        <v>150</v>
      </c>
      <c r="R586" t="str">
        <f t="shared" si="18"/>
        <v/>
      </c>
      <c r="S586" t="str">
        <f t="shared" si="19"/>
        <v/>
      </c>
    </row>
    <row r="587" spans="1:19" x14ac:dyDescent="0.25">
      <c r="A587" s="1" t="s">
        <v>448</v>
      </c>
      <c r="B587" s="5" t="s">
        <v>448</v>
      </c>
      <c r="C587" s="1" t="s">
        <v>448</v>
      </c>
      <c r="D587" s="1" t="s">
        <v>448</v>
      </c>
      <c r="E587" s="1" t="s">
        <v>448</v>
      </c>
      <c r="F587" s="1" t="s">
        <v>448</v>
      </c>
      <c r="G587" s="1" t="s">
        <v>448</v>
      </c>
      <c r="H587" s="1" t="s">
        <v>448</v>
      </c>
      <c r="I587" s="1" t="s">
        <v>448</v>
      </c>
      <c r="J587" s="1" t="s">
        <v>448</v>
      </c>
      <c r="K587" s="1" t="s">
        <v>448</v>
      </c>
      <c r="L587" s="1" t="s">
        <v>448</v>
      </c>
      <c r="M587" s="1" t="s">
        <v>448</v>
      </c>
      <c r="N587" s="1" t="s">
        <v>448</v>
      </c>
      <c r="O587" s="1">
        <v>20064</v>
      </c>
      <c r="P587" s="1" t="s">
        <v>149</v>
      </c>
      <c r="Q587" s="1" t="s">
        <v>150</v>
      </c>
      <c r="R587" t="str">
        <f t="shared" si="18"/>
        <v/>
      </c>
      <c r="S587" t="str">
        <f t="shared" si="19"/>
        <v/>
      </c>
    </row>
    <row r="588" spans="1:19" x14ac:dyDescent="0.25">
      <c r="A588" s="1" t="s">
        <v>448</v>
      </c>
      <c r="B588" s="5" t="s">
        <v>448</v>
      </c>
      <c r="C588" s="1" t="s">
        <v>448</v>
      </c>
      <c r="D588" s="1" t="s">
        <v>448</v>
      </c>
      <c r="E588" s="1" t="s">
        <v>448</v>
      </c>
      <c r="F588" s="1" t="s">
        <v>448</v>
      </c>
      <c r="G588" s="1" t="s">
        <v>448</v>
      </c>
      <c r="H588" s="1" t="s">
        <v>448</v>
      </c>
      <c r="I588" s="1" t="s">
        <v>448</v>
      </c>
      <c r="J588" s="1" t="s">
        <v>448</v>
      </c>
      <c r="K588" s="1" t="s">
        <v>448</v>
      </c>
      <c r="L588" s="1" t="s">
        <v>448</v>
      </c>
      <c r="M588" s="1" t="s">
        <v>448</v>
      </c>
      <c r="N588" s="1" t="s">
        <v>448</v>
      </c>
      <c r="O588" s="1">
        <v>20064</v>
      </c>
      <c r="P588" s="1" t="s">
        <v>149</v>
      </c>
      <c r="Q588" s="1" t="s">
        <v>150</v>
      </c>
      <c r="R588" t="str">
        <f t="shared" si="18"/>
        <v/>
      </c>
      <c r="S588" t="str">
        <f t="shared" si="19"/>
        <v/>
      </c>
    </row>
    <row r="589" spans="1:19" x14ac:dyDescent="0.25">
      <c r="A589" s="1" t="s">
        <v>448</v>
      </c>
      <c r="B589" s="5" t="s">
        <v>448</v>
      </c>
      <c r="C589" s="1" t="s">
        <v>448</v>
      </c>
      <c r="D589" s="1" t="s">
        <v>448</v>
      </c>
      <c r="E589" s="1" t="s">
        <v>448</v>
      </c>
      <c r="F589" s="1" t="s">
        <v>448</v>
      </c>
      <c r="G589" s="1" t="s">
        <v>448</v>
      </c>
      <c r="H589" s="1" t="s">
        <v>448</v>
      </c>
      <c r="I589" s="1" t="s">
        <v>448</v>
      </c>
      <c r="J589" s="1" t="s">
        <v>448</v>
      </c>
      <c r="K589" s="1" t="s">
        <v>448</v>
      </c>
      <c r="L589" s="1" t="s">
        <v>448</v>
      </c>
      <c r="M589" s="1" t="s">
        <v>448</v>
      </c>
      <c r="N589" s="1" t="s">
        <v>448</v>
      </c>
      <c r="O589" s="1">
        <v>20064</v>
      </c>
      <c r="P589" s="1" t="s">
        <v>149</v>
      </c>
      <c r="Q589" s="1" t="s">
        <v>150</v>
      </c>
      <c r="R589" t="str">
        <f t="shared" si="18"/>
        <v/>
      </c>
      <c r="S589" t="str">
        <f t="shared" si="19"/>
        <v/>
      </c>
    </row>
    <row r="590" spans="1:19" x14ac:dyDescent="0.25">
      <c r="A590" s="1" t="s">
        <v>448</v>
      </c>
      <c r="B590" s="5" t="s">
        <v>448</v>
      </c>
      <c r="C590" s="1" t="s">
        <v>448</v>
      </c>
      <c r="D590" s="1" t="s">
        <v>448</v>
      </c>
      <c r="E590" s="1" t="s">
        <v>448</v>
      </c>
      <c r="F590" s="1" t="s">
        <v>448</v>
      </c>
      <c r="G590" s="1" t="s">
        <v>448</v>
      </c>
      <c r="H590" s="1" t="s">
        <v>448</v>
      </c>
      <c r="I590" s="1" t="s">
        <v>448</v>
      </c>
      <c r="J590" s="1" t="s">
        <v>448</v>
      </c>
      <c r="K590" s="1" t="s">
        <v>448</v>
      </c>
      <c r="L590" s="1" t="s">
        <v>448</v>
      </c>
      <c r="M590" s="1" t="s">
        <v>448</v>
      </c>
      <c r="N590" s="1" t="s">
        <v>448</v>
      </c>
      <c r="O590" s="1">
        <v>20064</v>
      </c>
      <c r="P590" s="1" t="s">
        <v>149</v>
      </c>
      <c r="Q590" s="1" t="s">
        <v>150</v>
      </c>
      <c r="R590" t="str">
        <f t="shared" si="18"/>
        <v/>
      </c>
      <c r="S590" t="str">
        <f t="shared" si="19"/>
        <v/>
      </c>
    </row>
    <row r="591" spans="1:19" x14ac:dyDescent="0.25">
      <c r="A591" s="1" t="s">
        <v>448</v>
      </c>
      <c r="B591" s="5" t="s">
        <v>448</v>
      </c>
      <c r="C591" s="1" t="s">
        <v>448</v>
      </c>
      <c r="D591" s="1" t="s">
        <v>448</v>
      </c>
      <c r="E591" s="1" t="s">
        <v>448</v>
      </c>
      <c r="F591" s="1" t="s">
        <v>448</v>
      </c>
      <c r="G591" s="1" t="s">
        <v>448</v>
      </c>
      <c r="H591" s="1" t="s">
        <v>448</v>
      </c>
      <c r="I591" s="1" t="s">
        <v>448</v>
      </c>
      <c r="J591" s="1" t="s">
        <v>448</v>
      </c>
      <c r="K591" s="1" t="s">
        <v>448</v>
      </c>
      <c r="L591" s="1" t="s">
        <v>448</v>
      </c>
      <c r="M591" s="1" t="s">
        <v>448</v>
      </c>
      <c r="N591" s="1" t="s">
        <v>448</v>
      </c>
      <c r="O591" s="1">
        <v>20064</v>
      </c>
      <c r="P591" s="1" t="s">
        <v>149</v>
      </c>
      <c r="Q591" s="1" t="s">
        <v>150</v>
      </c>
      <c r="R591" t="str">
        <f t="shared" si="18"/>
        <v/>
      </c>
      <c r="S591" t="str">
        <f t="shared" si="19"/>
        <v/>
      </c>
    </row>
    <row r="592" spans="1:19" x14ac:dyDescent="0.25">
      <c r="A592" s="1" t="s">
        <v>448</v>
      </c>
      <c r="B592" s="5" t="s">
        <v>448</v>
      </c>
      <c r="C592" s="1" t="s">
        <v>448</v>
      </c>
      <c r="D592" s="1" t="s">
        <v>448</v>
      </c>
      <c r="E592" s="1" t="s">
        <v>448</v>
      </c>
      <c r="F592" s="1" t="s">
        <v>448</v>
      </c>
      <c r="G592" s="1" t="s">
        <v>448</v>
      </c>
      <c r="H592" s="1" t="s">
        <v>448</v>
      </c>
      <c r="I592" s="1" t="s">
        <v>448</v>
      </c>
      <c r="J592" s="1" t="s">
        <v>448</v>
      </c>
      <c r="K592" s="1" t="s">
        <v>448</v>
      </c>
      <c r="L592" s="1" t="s">
        <v>448</v>
      </c>
      <c r="M592" s="1" t="s">
        <v>448</v>
      </c>
      <c r="N592" s="1" t="s">
        <v>448</v>
      </c>
      <c r="O592" s="1">
        <v>20064</v>
      </c>
      <c r="P592" s="1" t="s">
        <v>149</v>
      </c>
      <c r="Q592" s="1" t="s">
        <v>150</v>
      </c>
      <c r="R592" t="str">
        <f t="shared" si="18"/>
        <v/>
      </c>
      <c r="S592" t="str">
        <f t="shared" si="19"/>
        <v/>
      </c>
    </row>
    <row r="593" spans="1:19" x14ac:dyDescent="0.25">
      <c r="A593" s="1" t="s">
        <v>448</v>
      </c>
      <c r="B593" s="5" t="s">
        <v>448</v>
      </c>
      <c r="C593" s="1" t="s">
        <v>448</v>
      </c>
      <c r="D593" s="1" t="s">
        <v>448</v>
      </c>
      <c r="E593" s="1" t="s">
        <v>448</v>
      </c>
      <c r="F593" s="1" t="s">
        <v>448</v>
      </c>
      <c r="G593" s="1" t="s">
        <v>448</v>
      </c>
      <c r="H593" s="1" t="s">
        <v>448</v>
      </c>
      <c r="I593" s="1" t="s">
        <v>448</v>
      </c>
      <c r="J593" s="1" t="s">
        <v>448</v>
      </c>
      <c r="K593" s="1" t="s">
        <v>448</v>
      </c>
      <c r="L593" s="1" t="s">
        <v>448</v>
      </c>
      <c r="M593" s="1" t="s">
        <v>448</v>
      </c>
      <c r="N593" s="1" t="s">
        <v>448</v>
      </c>
      <c r="O593" s="1">
        <v>20064</v>
      </c>
      <c r="P593" s="1" t="s">
        <v>149</v>
      </c>
      <c r="Q593" s="1" t="s">
        <v>150</v>
      </c>
      <c r="R593" t="str">
        <f t="shared" si="18"/>
        <v/>
      </c>
      <c r="S593" t="str">
        <f t="shared" si="19"/>
        <v/>
      </c>
    </row>
    <row r="594" spans="1:19" x14ac:dyDescent="0.25">
      <c r="A594" s="1" t="s">
        <v>448</v>
      </c>
      <c r="B594" s="5" t="s">
        <v>448</v>
      </c>
      <c r="C594" s="1" t="s">
        <v>448</v>
      </c>
      <c r="D594" s="1" t="s">
        <v>448</v>
      </c>
      <c r="E594" s="1" t="s">
        <v>448</v>
      </c>
      <c r="F594" s="1" t="s">
        <v>448</v>
      </c>
      <c r="G594" s="1" t="s">
        <v>448</v>
      </c>
      <c r="H594" s="1" t="s">
        <v>448</v>
      </c>
      <c r="I594" s="1" t="s">
        <v>448</v>
      </c>
      <c r="J594" s="1" t="s">
        <v>448</v>
      </c>
      <c r="K594" s="1" t="s">
        <v>448</v>
      </c>
      <c r="L594" s="1" t="s">
        <v>448</v>
      </c>
      <c r="M594" s="1" t="s">
        <v>448</v>
      </c>
      <c r="N594" s="1" t="s">
        <v>448</v>
      </c>
      <c r="O594" s="1">
        <v>20064</v>
      </c>
      <c r="P594" s="1" t="s">
        <v>149</v>
      </c>
      <c r="Q594" s="1" t="s">
        <v>150</v>
      </c>
      <c r="R594" t="str">
        <f t="shared" si="18"/>
        <v/>
      </c>
      <c r="S594" t="str">
        <f t="shared" si="19"/>
        <v/>
      </c>
    </row>
    <row r="595" spans="1:19" x14ac:dyDescent="0.25">
      <c r="A595" s="1" t="s">
        <v>448</v>
      </c>
      <c r="B595" s="5" t="s">
        <v>448</v>
      </c>
      <c r="C595" s="1" t="s">
        <v>448</v>
      </c>
      <c r="D595" s="1" t="s">
        <v>448</v>
      </c>
      <c r="E595" s="1" t="s">
        <v>448</v>
      </c>
      <c r="F595" s="1" t="s">
        <v>448</v>
      </c>
      <c r="G595" s="1" t="s">
        <v>448</v>
      </c>
      <c r="H595" s="1" t="s">
        <v>448</v>
      </c>
      <c r="I595" s="1" t="s">
        <v>448</v>
      </c>
      <c r="J595" s="1" t="s">
        <v>448</v>
      </c>
      <c r="K595" s="1" t="s">
        <v>448</v>
      </c>
      <c r="L595" s="1" t="s">
        <v>448</v>
      </c>
      <c r="M595" s="1" t="s">
        <v>448</v>
      </c>
      <c r="N595" s="1" t="s">
        <v>448</v>
      </c>
      <c r="O595" s="1">
        <v>20064</v>
      </c>
      <c r="P595" s="1" t="s">
        <v>149</v>
      </c>
      <c r="Q595" s="1" t="s">
        <v>150</v>
      </c>
      <c r="R595" t="str">
        <f t="shared" si="18"/>
        <v/>
      </c>
      <c r="S595" t="str">
        <f t="shared" si="19"/>
        <v/>
      </c>
    </row>
    <row r="596" spans="1:19" x14ac:dyDescent="0.25">
      <c r="A596" s="1" t="s">
        <v>448</v>
      </c>
      <c r="B596" s="5" t="s">
        <v>448</v>
      </c>
      <c r="C596" s="1" t="s">
        <v>448</v>
      </c>
      <c r="D596" s="1" t="s">
        <v>448</v>
      </c>
      <c r="E596" s="1" t="s">
        <v>448</v>
      </c>
      <c r="F596" s="1" t="s">
        <v>448</v>
      </c>
      <c r="G596" s="1" t="s">
        <v>448</v>
      </c>
      <c r="H596" s="1" t="s">
        <v>448</v>
      </c>
      <c r="I596" s="1" t="s">
        <v>448</v>
      </c>
      <c r="J596" s="1" t="s">
        <v>448</v>
      </c>
      <c r="K596" s="1" t="s">
        <v>448</v>
      </c>
      <c r="L596" s="1" t="s">
        <v>448</v>
      </c>
      <c r="M596" s="1" t="s">
        <v>448</v>
      </c>
      <c r="N596" s="1" t="s">
        <v>448</v>
      </c>
      <c r="O596" s="1">
        <v>20064</v>
      </c>
      <c r="P596" s="1" t="s">
        <v>149</v>
      </c>
      <c r="Q596" s="1" t="s">
        <v>150</v>
      </c>
      <c r="R596" t="str">
        <f t="shared" si="18"/>
        <v/>
      </c>
      <c r="S596" t="str">
        <f t="shared" si="19"/>
        <v/>
      </c>
    </row>
    <row r="597" spans="1:19" x14ac:dyDescent="0.25">
      <c r="A597" s="1" t="s">
        <v>448</v>
      </c>
      <c r="B597" s="5" t="s">
        <v>448</v>
      </c>
      <c r="C597" s="1" t="s">
        <v>448</v>
      </c>
      <c r="D597" s="1" t="s">
        <v>448</v>
      </c>
      <c r="E597" s="1" t="s">
        <v>448</v>
      </c>
      <c r="F597" s="1" t="s">
        <v>448</v>
      </c>
      <c r="G597" s="1" t="s">
        <v>448</v>
      </c>
      <c r="H597" s="1" t="s">
        <v>448</v>
      </c>
      <c r="I597" s="1" t="s">
        <v>448</v>
      </c>
      <c r="J597" s="1" t="s">
        <v>448</v>
      </c>
      <c r="K597" s="1" t="s">
        <v>448</v>
      </c>
      <c r="L597" s="1" t="s">
        <v>448</v>
      </c>
      <c r="M597" s="1" t="s">
        <v>448</v>
      </c>
      <c r="N597" s="1" t="s">
        <v>448</v>
      </c>
      <c r="O597" s="1">
        <v>20064</v>
      </c>
      <c r="P597" s="1" t="s">
        <v>149</v>
      </c>
      <c r="Q597" s="1" t="s">
        <v>150</v>
      </c>
      <c r="R597" t="str">
        <f t="shared" si="18"/>
        <v/>
      </c>
      <c r="S597" t="str">
        <f t="shared" si="19"/>
        <v/>
      </c>
    </row>
    <row r="598" spans="1:19" x14ac:dyDescent="0.25">
      <c r="A598" s="1" t="s">
        <v>448</v>
      </c>
      <c r="B598" s="5" t="s">
        <v>448</v>
      </c>
      <c r="C598" s="1" t="s">
        <v>448</v>
      </c>
      <c r="D598" s="1" t="s">
        <v>448</v>
      </c>
      <c r="E598" s="1" t="s">
        <v>448</v>
      </c>
      <c r="F598" s="1" t="s">
        <v>448</v>
      </c>
      <c r="G598" s="1" t="s">
        <v>448</v>
      </c>
      <c r="H598" s="1" t="s">
        <v>448</v>
      </c>
      <c r="I598" s="1" t="s">
        <v>448</v>
      </c>
      <c r="J598" s="1" t="s">
        <v>448</v>
      </c>
      <c r="K598" s="1" t="s">
        <v>448</v>
      </c>
      <c r="L598" s="1" t="s">
        <v>448</v>
      </c>
      <c r="M598" s="1" t="s">
        <v>448</v>
      </c>
      <c r="N598" s="1" t="s">
        <v>448</v>
      </c>
      <c r="O598" s="1">
        <v>20064</v>
      </c>
      <c r="P598" s="1" t="s">
        <v>149</v>
      </c>
      <c r="Q598" s="1" t="s">
        <v>150</v>
      </c>
      <c r="R598" t="str">
        <f t="shared" si="18"/>
        <v/>
      </c>
      <c r="S598" t="str">
        <f t="shared" si="19"/>
        <v/>
      </c>
    </row>
    <row r="599" spans="1:19" x14ac:dyDescent="0.25">
      <c r="A599" s="1" t="s">
        <v>448</v>
      </c>
      <c r="B599" s="5" t="s">
        <v>448</v>
      </c>
      <c r="C599" s="1" t="s">
        <v>448</v>
      </c>
      <c r="D599" s="1" t="s">
        <v>448</v>
      </c>
      <c r="E599" s="1" t="s">
        <v>448</v>
      </c>
      <c r="F599" s="1" t="s">
        <v>448</v>
      </c>
      <c r="G599" s="1" t="s">
        <v>448</v>
      </c>
      <c r="H599" s="1" t="s">
        <v>448</v>
      </c>
      <c r="I599" s="1" t="s">
        <v>448</v>
      </c>
      <c r="J599" s="1" t="s">
        <v>448</v>
      </c>
      <c r="K599" s="1" t="s">
        <v>448</v>
      </c>
      <c r="L599" s="1" t="s">
        <v>448</v>
      </c>
      <c r="M599" s="1" t="s">
        <v>448</v>
      </c>
      <c r="N599" s="1" t="s">
        <v>448</v>
      </c>
      <c r="O599" s="1">
        <v>20064</v>
      </c>
      <c r="P599" s="1" t="s">
        <v>149</v>
      </c>
      <c r="Q599" s="1" t="s">
        <v>150</v>
      </c>
      <c r="R599" t="str">
        <f t="shared" si="18"/>
        <v/>
      </c>
      <c r="S599" t="str">
        <f t="shared" si="19"/>
        <v/>
      </c>
    </row>
    <row r="600" spans="1:19" x14ac:dyDescent="0.25">
      <c r="A600" s="1" t="s">
        <v>448</v>
      </c>
      <c r="B600" s="5" t="s">
        <v>448</v>
      </c>
      <c r="C600" s="1" t="s">
        <v>448</v>
      </c>
      <c r="D600" s="1" t="s">
        <v>448</v>
      </c>
      <c r="E600" s="1" t="s">
        <v>448</v>
      </c>
      <c r="F600" s="1" t="s">
        <v>448</v>
      </c>
      <c r="G600" s="1" t="s">
        <v>448</v>
      </c>
      <c r="H600" s="1" t="s">
        <v>448</v>
      </c>
      <c r="I600" s="1" t="s">
        <v>448</v>
      </c>
      <c r="J600" s="1" t="s">
        <v>448</v>
      </c>
      <c r="K600" s="1" t="s">
        <v>448</v>
      </c>
      <c r="L600" s="1" t="s">
        <v>448</v>
      </c>
      <c r="M600" s="1" t="s">
        <v>448</v>
      </c>
      <c r="N600" s="1" t="s">
        <v>448</v>
      </c>
      <c r="O600" s="1">
        <v>20064</v>
      </c>
      <c r="P600" s="1" t="s">
        <v>149</v>
      </c>
      <c r="Q600" s="1" t="s">
        <v>150</v>
      </c>
      <c r="R600" t="str">
        <f t="shared" si="18"/>
        <v/>
      </c>
      <c r="S600" t="str">
        <f t="shared" si="19"/>
        <v/>
      </c>
    </row>
    <row r="601" spans="1:19" x14ac:dyDescent="0.25">
      <c r="R601" t="str">
        <f t="shared" si="18"/>
        <v/>
      </c>
      <c r="S601" t="str">
        <f t="shared" si="19"/>
        <v/>
      </c>
    </row>
    <row r="602" spans="1:19" x14ac:dyDescent="0.25">
      <c r="R602" t="str">
        <f t="shared" si="18"/>
        <v/>
      </c>
      <c r="S602" t="str">
        <f t="shared" si="19"/>
        <v/>
      </c>
    </row>
    <row r="603" spans="1:19" x14ac:dyDescent="0.25">
      <c r="R603" t="str">
        <f t="shared" si="18"/>
        <v/>
      </c>
      <c r="S603" t="str">
        <f t="shared" si="19"/>
        <v/>
      </c>
    </row>
    <row r="604" spans="1:19" x14ac:dyDescent="0.25">
      <c r="R604" t="str">
        <f t="shared" si="18"/>
        <v/>
      </c>
      <c r="S604" t="str">
        <f t="shared" si="19"/>
        <v/>
      </c>
    </row>
    <row r="605" spans="1:19" x14ac:dyDescent="0.25">
      <c r="R605" t="str">
        <f t="shared" si="18"/>
        <v/>
      </c>
      <c r="S605" t="str">
        <f t="shared" si="19"/>
        <v/>
      </c>
    </row>
    <row r="606" spans="1:19" x14ac:dyDescent="0.25">
      <c r="R606" t="str">
        <f t="shared" si="18"/>
        <v/>
      </c>
      <c r="S606" t="str">
        <f t="shared" si="19"/>
        <v/>
      </c>
    </row>
    <row r="607" spans="1:19" x14ac:dyDescent="0.25">
      <c r="R607" t="str">
        <f t="shared" si="18"/>
        <v/>
      </c>
      <c r="S607" t="str">
        <f t="shared" si="19"/>
        <v/>
      </c>
    </row>
    <row r="608" spans="1:19" x14ac:dyDescent="0.25">
      <c r="R608" t="str">
        <f t="shared" si="18"/>
        <v/>
      </c>
      <c r="S608" t="str">
        <f t="shared" si="19"/>
        <v/>
      </c>
    </row>
    <row r="609" spans="18:19" x14ac:dyDescent="0.25">
      <c r="R609" t="str">
        <f t="shared" si="18"/>
        <v/>
      </c>
      <c r="S609" t="str">
        <f t="shared" si="19"/>
        <v/>
      </c>
    </row>
    <row r="610" spans="18:19" x14ac:dyDescent="0.25">
      <c r="R610" t="str">
        <f t="shared" si="18"/>
        <v/>
      </c>
      <c r="S610" t="str">
        <f t="shared" si="19"/>
        <v/>
      </c>
    </row>
    <row r="611" spans="18:19" x14ac:dyDescent="0.25">
      <c r="R611" t="str">
        <f t="shared" si="18"/>
        <v/>
      </c>
      <c r="S611" t="str">
        <f t="shared" si="19"/>
        <v/>
      </c>
    </row>
    <row r="612" spans="18:19" x14ac:dyDescent="0.25">
      <c r="R612" t="str">
        <f t="shared" si="18"/>
        <v/>
      </c>
      <c r="S612" t="str">
        <f t="shared" si="19"/>
        <v/>
      </c>
    </row>
    <row r="613" spans="18:19" x14ac:dyDescent="0.25">
      <c r="R613" t="str">
        <f t="shared" si="18"/>
        <v/>
      </c>
      <c r="S613" t="str">
        <f t="shared" si="19"/>
        <v/>
      </c>
    </row>
    <row r="614" spans="18:19" x14ac:dyDescent="0.25">
      <c r="R614" t="str">
        <f t="shared" si="18"/>
        <v/>
      </c>
      <c r="S614" t="str">
        <f t="shared" si="19"/>
        <v/>
      </c>
    </row>
    <row r="615" spans="18:19" x14ac:dyDescent="0.25">
      <c r="R615" t="str">
        <f t="shared" si="18"/>
        <v/>
      </c>
      <c r="S615" t="str">
        <f t="shared" si="19"/>
        <v/>
      </c>
    </row>
    <row r="616" spans="18:19" x14ac:dyDescent="0.25">
      <c r="R616" t="str">
        <f t="shared" si="18"/>
        <v/>
      </c>
      <c r="S616" t="str">
        <f t="shared" si="19"/>
        <v/>
      </c>
    </row>
    <row r="617" spans="18:19" x14ac:dyDescent="0.25">
      <c r="R617" t="str">
        <f t="shared" si="18"/>
        <v/>
      </c>
      <c r="S617" t="str">
        <f t="shared" si="19"/>
        <v/>
      </c>
    </row>
    <row r="618" spans="18:19" x14ac:dyDescent="0.25">
      <c r="R618" t="str">
        <f t="shared" si="18"/>
        <v/>
      </c>
      <c r="S618" t="str">
        <f t="shared" si="19"/>
        <v/>
      </c>
    </row>
    <row r="619" spans="18:19" x14ac:dyDescent="0.25">
      <c r="R619" t="str">
        <f t="shared" si="18"/>
        <v/>
      </c>
      <c r="S619" t="str">
        <f t="shared" si="19"/>
        <v/>
      </c>
    </row>
    <row r="620" spans="18:19" x14ac:dyDescent="0.25">
      <c r="R620" t="str">
        <f t="shared" si="18"/>
        <v/>
      </c>
      <c r="S620" t="str">
        <f t="shared" si="19"/>
        <v/>
      </c>
    </row>
    <row r="621" spans="18:19" x14ac:dyDescent="0.25">
      <c r="R621" t="str">
        <f t="shared" si="18"/>
        <v/>
      </c>
      <c r="S621" t="str">
        <f t="shared" si="19"/>
        <v/>
      </c>
    </row>
    <row r="622" spans="18:19" x14ac:dyDescent="0.25">
      <c r="R622" t="str">
        <f t="shared" si="18"/>
        <v/>
      </c>
      <c r="S622" t="str">
        <f t="shared" si="19"/>
        <v/>
      </c>
    </row>
    <row r="623" spans="18:19" x14ac:dyDescent="0.25">
      <c r="R623" t="str">
        <f t="shared" si="18"/>
        <v/>
      </c>
      <c r="S623" t="str">
        <f t="shared" si="19"/>
        <v/>
      </c>
    </row>
    <row r="624" spans="18:19" x14ac:dyDescent="0.25">
      <c r="R624" t="str">
        <f t="shared" si="18"/>
        <v/>
      </c>
      <c r="S624" t="str">
        <f t="shared" si="19"/>
        <v/>
      </c>
    </row>
    <row r="625" spans="18:19" x14ac:dyDescent="0.25">
      <c r="R625" t="str">
        <f t="shared" si="18"/>
        <v/>
      </c>
      <c r="S625" t="str">
        <f t="shared" si="19"/>
        <v/>
      </c>
    </row>
    <row r="626" spans="18:19" x14ac:dyDescent="0.25">
      <c r="R626" t="str">
        <f t="shared" si="18"/>
        <v/>
      </c>
      <c r="S626" t="str">
        <f t="shared" si="19"/>
        <v/>
      </c>
    </row>
    <row r="627" spans="18:19" x14ac:dyDescent="0.25">
      <c r="R627" t="str">
        <f t="shared" si="18"/>
        <v/>
      </c>
      <c r="S627" t="str">
        <f t="shared" si="19"/>
        <v/>
      </c>
    </row>
    <row r="628" spans="18:19" x14ac:dyDescent="0.25">
      <c r="R628" t="str">
        <f t="shared" si="18"/>
        <v/>
      </c>
      <c r="S628" t="str">
        <f t="shared" si="19"/>
        <v/>
      </c>
    </row>
    <row r="629" spans="18:19" x14ac:dyDescent="0.25">
      <c r="R629" t="str">
        <f t="shared" si="18"/>
        <v/>
      </c>
      <c r="S629" t="str">
        <f t="shared" si="19"/>
        <v/>
      </c>
    </row>
    <row r="630" spans="18:19" x14ac:dyDescent="0.25">
      <c r="R630" t="str">
        <f t="shared" si="18"/>
        <v/>
      </c>
      <c r="S630" t="str">
        <f t="shared" si="19"/>
        <v/>
      </c>
    </row>
    <row r="631" spans="18:19" x14ac:dyDescent="0.25">
      <c r="R631" t="str">
        <f t="shared" si="18"/>
        <v/>
      </c>
      <c r="S631" t="str">
        <f t="shared" si="19"/>
        <v/>
      </c>
    </row>
    <row r="632" spans="18:19" x14ac:dyDescent="0.25">
      <c r="R632" t="str">
        <f t="shared" si="18"/>
        <v/>
      </c>
      <c r="S632" t="str">
        <f t="shared" si="19"/>
        <v/>
      </c>
    </row>
    <row r="633" spans="18:19" x14ac:dyDescent="0.25">
      <c r="R633" t="str">
        <f t="shared" si="18"/>
        <v/>
      </c>
      <c r="S633" t="str">
        <f t="shared" si="19"/>
        <v/>
      </c>
    </row>
    <row r="634" spans="18:19" x14ac:dyDescent="0.25">
      <c r="R634" t="str">
        <f t="shared" si="18"/>
        <v/>
      </c>
      <c r="S634" t="str">
        <f t="shared" si="19"/>
        <v/>
      </c>
    </row>
    <row r="635" spans="18:19" x14ac:dyDescent="0.25">
      <c r="R635" t="str">
        <f t="shared" si="18"/>
        <v/>
      </c>
      <c r="S635" t="str">
        <f t="shared" si="19"/>
        <v/>
      </c>
    </row>
    <row r="636" spans="18:19" x14ac:dyDescent="0.25">
      <c r="R636" t="str">
        <f t="shared" si="18"/>
        <v/>
      </c>
      <c r="S636" t="str">
        <f t="shared" si="19"/>
        <v/>
      </c>
    </row>
    <row r="637" spans="18:19" x14ac:dyDescent="0.25">
      <c r="R637" t="str">
        <f t="shared" si="18"/>
        <v/>
      </c>
      <c r="S637" t="str">
        <f t="shared" si="19"/>
        <v/>
      </c>
    </row>
    <row r="638" spans="18:19" x14ac:dyDescent="0.25">
      <c r="R638" t="str">
        <f t="shared" si="18"/>
        <v/>
      </c>
      <c r="S638" t="str">
        <f t="shared" si="19"/>
        <v/>
      </c>
    </row>
    <row r="639" spans="18:19" x14ac:dyDescent="0.25">
      <c r="R639" t="str">
        <f t="shared" si="18"/>
        <v/>
      </c>
      <c r="S639" t="str">
        <f t="shared" si="19"/>
        <v/>
      </c>
    </row>
    <row r="640" spans="18:19" x14ac:dyDescent="0.25">
      <c r="R640" t="str">
        <f t="shared" si="18"/>
        <v/>
      </c>
      <c r="S640" t="str">
        <f t="shared" si="19"/>
        <v/>
      </c>
    </row>
    <row r="641" spans="18:19" x14ac:dyDescent="0.25">
      <c r="R641" t="str">
        <f t="shared" si="18"/>
        <v/>
      </c>
      <c r="S641" t="str">
        <f t="shared" si="19"/>
        <v/>
      </c>
    </row>
    <row r="642" spans="18:19" x14ac:dyDescent="0.25">
      <c r="R642" t="str">
        <f t="shared" ref="R642:R705" si="20">IF(ISNUMBER(B642),INT(B642*24),"")</f>
        <v/>
      </c>
      <c r="S642" t="str">
        <f t="shared" ref="S642:S705" si="21">IF(ISNUMBER(B642),ROUND((B642*24-R642)*60,0),"")</f>
        <v/>
      </c>
    </row>
    <row r="643" spans="18:19" x14ac:dyDescent="0.25">
      <c r="R643" t="str">
        <f t="shared" si="20"/>
        <v/>
      </c>
      <c r="S643" t="str">
        <f t="shared" si="21"/>
        <v/>
      </c>
    </row>
    <row r="644" spans="18:19" x14ac:dyDescent="0.25">
      <c r="R644" t="str">
        <f t="shared" si="20"/>
        <v/>
      </c>
      <c r="S644" t="str">
        <f t="shared" si="21"/>
        <v/>
      </c>
    </row>
    <row r="645" spans="18:19" x14ac:dyDescent="0.25">
      <c r="R645" t="str">
        <f t="shared" si="20"/>
        <v/>
      </c>
      <c r="S645" t="str">
        <f t="shared" si="21"/>
        <v/>
      </c>
    </row>
    <row r="646" spans="18:19" x14ac:dyDescent="0.25">
      <c r="R646" t="str">
        <f t="shared" si="20"/>
        <v/>
      </c>
      <c r="S646" t="str">
        <f t="shared" si="21"/>
        <v/>
      </c>
    </row>
    <row r="647" spans="18:19" x14ac:dyDescent="0.25">
      <c r="R647" t="str">
        <f t="shared" si="20"/>
        <v/>
      </c>
      <c r="S647" t="str">
        <f t="shared" si="21"/>
        <v/>
      </c>
    </row>
    <row r="648" spans="18:19" x14ac:dyDescent="0.25">
      <c r="R648" t="str">
        <f t="shared" si="20"/>
        <v/>
      </c>
      <c r="S648" t="str">
        <f t="shared" si="21"/>
        <v/>
      </c>
    </row>
    <row r="649" spans="18:19" x14ac:dyDescent="0.25">
      <c r="R649" t="str">
        <f t="shared" si="20"/>
        <v/>
      </c>
      <c r="S649" t="str">
        <f t="shared" si="21"/>
        <v/>
      </c>
    </row>
    <row r="650" spans="18:19" x14ac:dyDescent="0.25">
      <c r="R650" t="str">
        <f t="shared" si="20"/>
        <v/>
      </c>
      <c r="S650" t="str">
        <f t="shared" si="21"/>
        <v/>
      </c>
    </row>
    <row r="651" spans="18:19" x14ac:dyDescent="0.25">
      <c r="R651" t="str">
        <f t="shared" si="20"/>
        <v/>
      </c>
      <c r="S651" t="str">
        <f t="shared" si="21"/>
        <v/>
      </c>
    </row>
    <row r="652" spans="18:19" x14ac:dyDescent="0.25">
      <c r="R652" t="str">
        <f t="shared" si="20"/>
        <v/>
      </c>
      <c r="S652" t="str">
        <f t="shared" si="21"/>
        <v/>
      </c>
    </row>
    <row r="653" spans="18:19" x14ac:dyDescent="0.25">
      <c r="R653" t="str">
        <f t="shared" si="20"/>
        <v/>
      </c>
      <c r="S653" t="str">
        <f t="shared" si="21"/>
        <v/>
      </c>
    </row>
    <row r="654" spans="18:19" x14ac:dyDescent="0.25">
      <c r="R654" t="str">
        <f t="shared" si="20"/>
        <v/>
      </c>
      <c r="S654" t="str">
        <f t="shared" si="21"/>
        <v/>
      </c>
    </row>
    <row r="655" spans="18:19" x14ac:dyDescent="0.25">
      <c r="R655" t="str">
        <f t="shared" si="20"/>
        <v/>
      </c>
      <c r="S655" t="str">
        <f t="shared" si="21"/>
        <v/>
      </c>
    </row>
    <row r="656" spans="18:19" x14ac:dyDescent="0.25">
      <c r="R656" t="str">
        <f t="shared" si="20"/>
        <v/>
      </c>
      <c r="S656" t="str">
        <f t="shared" si="21"/>
        <v/>
      </c>
    </row>
    <row r="657" spans="18:19" x14ac:dyDescent="0.25">
      <c r="R657" t="str">
        <f t="shared" si="20"/>
        <v/>
      </c>
      <c r="S657" t="str">
        <f t="shared" si="21"/>
        <v/>
      </c>
    </row>
    <row r="658" spans="18:19" x14ac:dyDescent="0.25">
      <c r="R658" t="str">
        <f t="shared" si="20"/>
        <v/>
      </c>
      <c r="S658" t="str">
        <f t="shared" si="21"/>
        <v/>
      </c>
    </row>
    <row r="659" spans="18:19" x14ac:dyDescent="0.25">
      <c r="R659" t="str">
        <f t="shared" si="20"/>
        <v/>
      </c>
      <c r="S659" t="str">
        <f t="shared" si="21"/>
        <v/>
      </c>
    </row>
    <row r="660" spans="18:19" x14ac:dyDescent="0.25">
      <c r="R660" t="str">
        <f t="shared" si="20"/>
        <v/>
      </c>
      <c r="S660" t="str">
        <f t="shared" si="21"/>
        <v/>
      </c>
    </row>
    <row r="661" spans="18:19" x14ac:dyDescent="0.25">
      <c r="R661" t="str">
        <f t="shared" si="20"/>
        <v/>
      </c>
      <c r="S661" t="str">
        <f t="shared" si="21"/>
        <v/>
      </c>
    </row>
    <row r="662" spans="18:19" x14ac:dyDescent="0.25">
      <c r="R662" t="str">
        <f t="shared" si="20"/>
        <v/>
      </c>
      <c r="S662" t="str">
        <f t="shared" si="21"/>
        <v/>
      </c>
    </row>
    <row r="663" spans="18:19" x14ac:dyDescent="0.25">
      <c r="R663" t="str">
        <f t="shared" si="20"/>
        <v/>
      </c>
      <c r="S663" t="str">
        <f t="shared" si="21"/>
        <v/>
      </c>
    </row>
    <row r="664" spans="18:19" x14ac:dyDescent="0.25">
      <c r="R664" t="str">
        <f t="shared" si="20"/>
        <v/>
      </c>
      <c r="S664" t="str">
        <f t="shared" si="21"/>
        <v/>
      </c>
    </row>
    <row r="665" spans="18:19" x14ac:dyDescent="0.25">
      <c r="R665" t="str">
        <f t="shared" si="20"/>
        <v/>
      </c>
      <c r="S665" t="str">
        <f t="shared" si="21"/>
        <v/>
      </c>
    </row>
    <row r="666" spans="18:19" x14ac:dyDescent="0.25">
      <c r="R666" t="str">
        <f t="shared" si="20"/>
        <v/>
      </c>
      <c r="S666" t="str">
        <f t="shared" si="21"/>
        <v/>
      </c>
    </row>
    <row r="667" spans="18:19" x14ac:dyDescent="0.25">
      <c r="R667" t="str">
        <f t="shared" si="20"/>
        <v/>
      </c>
      <c r="S667" t="str">
        <f t="shared" si="21"/>
        <v/>
      </c>
    </row>
    <row r="668" spans="18:19" x14ac:dyDescent="0.25">
      <c r="R668" t="str">
        <f t="shared" si="20"/>
        <v/>
      </c>
      <c r="S668" t="str">
        <f t="shared" si="21"/>
        <v/>
      </c>
    </row>
    <row r="669" spans="18:19" x14ac:dyDescent="0.25">
      <c r="R669" t="str">
        <f t="shared" si="20"/>
        <v/>
      </c>
      <c r="S669" t="str">
        <f t="shared" si="21"/>
        <v/>
      </c>
    </row>
    <row r="670" spans="18:19" x14ac:dyDescent="0.25">
      <c r="R670" t="str">
        <f t="shared" si="20"/>
        <v/>
      </c>
      <c r="S670" t="str">
        <f t="shared" si="21"/>
        <v/>
      </c>
    </row>
    <row r="671" spans="18:19" x14ac:dyDescent="0.25">
      <c r="R671" t="str">
        <f t="shared" si="20"/>
        <v/>
      </c>
      <c r="S671" t="str">
        <f t="shared" si="21"/>
        <v/>
      </c>
    </row>
    <row r="672" spans="18:19" x14ac:dyDescent="0.25">
      <c r="R672" t="str">
        <f t="shared" si="20"/>
        <v/>
      </c>
      <c r="S672" t="str">
        <f t="shared" si="21"/>
        <v/>
      </c>
    </row>
    <row r="673" spans="18:19" x14ac:dyDescent="0.25">
      <c r="R673" t="str">
        <f t="shared" si="20"/>
        <v/>
      </c>
      <c r="S673" t="str">
        <f t="shared" si="21"/>
        <v/>
      </c>
    </row>
    <row r="674" spans="18:19" x14ac:dyDescent="0.25">
      <c r="R674" t="str">
        <f t="shared" si="20"/>
        <v/>
      </c>
      <c r="S674" t="str">
        <f t="shared" si="21"/>
        <v/>
      </c>
    </row>
    <row r="675" spans="18:19" x14ac:dyDescent="0.25">
      <c r="R675" t="str">
        <f t="shared" si="20"/>
        <v/>
      </c>
      <c r="S675" t="str">
        <f t="shared" si="21"/>
        <v/>
      </c>
    </row>
    <row r="676" spans="18:19" x14ac:dyDescent="0.25">
      <c r="R676" t="str">
        <f t="shared" si="20"/>
        <v/>
      </c>
      <c r="S676" t="str">
        <f t="shared" si="21"/>
        <v/>
      </c>
    </row>
    <row r="677" spans="18:19" x14ac:dyDescent="0.25">
      <c r="R677" t="str">
        <f t="shared" si="20"/>
        <v/>
      </c>
      <c r="S677" t="str">
        <f t="shared" si="21"/>
        <v/>
      </c>
    </row>
    <row r="678" spans="18:19" x14ac:dyDescent="0.25">
      <c r="R678" t="str">
        <f t="shared" si="20"/>
        <v/>
      </c>
      <c r="S678" t="str">
        <f t="shared" si="21"/>
        <v/>
      </c>
    </row>
    <row r="679" spans="18:19" x14ac:dyDescent="0.25">
      <c r="R679" t="str">
        <f t="shared" si="20"/>
        <v/>
      </c>
      <c r="S679" t="str">
        <f t="shared" si="21"/>
        <v/>
      </c>
    </row>
    <row r="680" spans="18:19" x14ac:dyDescent="0.25">
      <c r="R680" t="str">
        <f t="shared" si="20"/>
        <v/>
      </c>
      <c r="S680" t="str">
        <f t="shared" si="21"/>
        <v/>
      </c>
    </row>
    <row r="681" spans="18:19" x14ac:dyDescent="0.25">
      <c r="R681" t="str">
        <f t="shared" si="20"/>
        <v/>
      </c>
      <c r="S681" t="str">
        <f t="shared" si="21"/>
        <v/>
      </c>
    </row>
    <row r="682" spans="18:19" x14ac:dyDescent="0.25">
      <c r="R682" t="str">
        <f t="shared" si="20"/>
        <v/>
      </c>
      <c r="S682" t="str">
        <f t="shared" si="21"/>
        <v/>
      </c>
    </row>
    <row r="683" spans="18:19" x14ac:dyDescent="0.25">
      <c r="R683" t="str">
        <f t="shared" si="20"/>
        <v/>
      </c>
      <c r="S683" t="str">
        <f t="shared" si="21"/>
        <v/>
      </c>
    </row>
    <row r="684" spans="18:19" x14ac:dyDescent="0.25">
      <c r="R684" t="str">
        <f t="shared" si="20"/>
        <v/>
      </c>
      <c r="S684" t="str">
        <f t="shared" si="21"/>
        <v/>
      </c>
    </row>
    <row r="685" spans="18:19" x14ac:dyDescent="0.25">
      <c r="R685" t="str">
        <f t="shared" si="20"/>
        <v/>
      </c>
      <c r="S685" t="str">
        <f t="shared" si="21"/>
        <v/>
      </c>
    </row>
    <row r="686" spans="18:19" x14ac:dyDescent="0.25">
      <c r="R686" t="str">
        <f t="shared" si="20"/>
        <v/>
      </c>
      <c r="S686" t="str">
        <f t="shared" si="21"/>
        <v/>
      </c>
    </row>
    <row r="687" spans="18:19" x14ac:dyDescent="0.25">
      <c r="R687" t="str">
        <f t="shared" si="20"/>
        <v/>
      </c>
      <c r="S687" t="str">
        <f t="shared" si="21"/>
        <v/>
      </c>
    </row>
    <row r="688" spans="18:19" x14ac:dyDescent="0.25">
      <c r="R688" t="str">
        <f t="shared" si="20"/>
        <v/>
      </c>
      <c r="S688" t="str">
        <f t="shared" si="21"/>
        <v/>
      </c>
    </row>
    <row r="689" spans="18:19" x14ac:dyDescent="0.25">
      <c r="R689" t="str">
        <f t="shared" si="20"/>
        <v/>
      </c>
      <c r="S689" t="str">
        <f t="shared" si="21"/>
        <v/>
      </c>
    </row>
    <row r="690" spans="18:19" x14ac:dyDescent="0.25">
      <c r="R690" t="str">
        <f t="shared" si="20"/>
        <v/>
      </c>
      <c r="S690" t="str">
        <f t="shared" si="21"/>
        <v/>
      </c>
    </row>
    <row r="691" spans="18:19" x14ac:dyDescent="0.25">
      <c r="R691" t="str">
        <f t="shared" si="20"/>
        <v/>
      </c>
      <c r="S691" t="str">
        <f t="shared" si="21"/>
        <v/>
      </c>
    </row>
    <row r="692" spans="18:19" x14ac:dyDescent="0.25">
      <c r="R692" t="str">
        <f t="shared" si="20"/>
        <v/>
      </c>
      <c r="S692" t="str">
        <f t="shared" si="21"/>
        <v/>
      </c>
    </row>
    <row r="693" spans="18:19" x14ac:dyDescent="0.25">
      <c r="R693" t="str">
        <f t="shared" si="20"/>
        <v/>
      </c>
      <c r="S693" t="str">
        <f t="shared" si="21"/>
        <v/>
      </c>
    </row>
    <row r="694" spans="18:19" x14ac:dyDescent="0.25">
      <c r="R694" t="str">
        <f t="shared" si="20"/>
        <v/>
      </c>
      <c r="S694" t="str">
        <f t="shared" si="21"/>
        <v/>
      </c>
    </row>
    <row r="695" spans="18:19" x14ac:dyDescent="0.25">
      <c r="R695" t="str">
        <f t="shared" si="20"/>
        <v/>
      </c>
      <c r="S695" t="str">
        <f t="shared" si="21"/>
        <v/>
      </c>
    </row>
    <row r="696" spans="18:19" x14ac:dyDescent="0.25">
      <c r="R696" t="str">
        <f t="shared" si="20"/>
        <v/>
      </c>
      <c r="S696" t="str">
        <f t="shared" si="21"/>
        <v/>
      </c>
    </row>
    <row r="697" spans="18:19" x14ac:dyDescent="0.25">
      <c r="R697" t="str">
        <f t="shared" si="20"/>
        <v/>
      </c>
      <c r="S697" t="str">
        <f t="shared" si="21"/>
        <v/>
      </c>
    </row>
    <row r="698" spans="18:19" x14ac:dyDescent="0.25">
      <c r="R698" t="str">
        <f t="shared" si="20"/>
        <v/>
      </c>
      <c r="S698" t="str">
        <f t="shared" si="21"/>
        <v/>
      </c>
    </row>
    <row r="699" spans="18:19" x14ac:dyDescent="0.25">
      <c r="R699" t="str">
        <f t="shared" si="20"/>
        <v/>
      </c>
      <c r="S699" t="str">
        <f t="shared" si="21"/>
        <v/>
      </c>
    </row>
    <row r="700" spans="18:19" x14ac:dyDescent="0.25">
      <c r="R700" t="str">
        <f t="shared" si="20"/>
        <v/>
      </c>
      <c r="S700" t="str">
        <f t="shared" si="21"/>
        <v/>
      </c>
    </row>
    <row r="701" spans="18:19" x14ac:dyDescent="0.25">
      <c r="R701" t="str">
        <f t="shared" si="20"/>
        <v/>
      </c>
      <c r="S701" t="str">
        <f t="shared" si="21"/>
        <v/>
      </c>
    </row>
    <row r="702" spans="18:19" x14ac:dyDescent="0.25">
      <c r="R702" t="str">
        <f t="shared" si="20"/>
        <v/>
      </c>
      <c r="S702" t="str">
        <f t="shared" si="21"/>
        <v/>
      </c>
    </row>
    <row r="703" spans="18:19" x14ac:dyDescent="0.25">
      <c r="R703" t="str">
        <f t="shared" si="20"/>
        <v/>
      </c>
      <c r="S703" t="str">
        <f t="shared" si="21"/>
        <v/>
      </c>
    </row>
    <row r="704" spans="18:19" x14ac:dyDescent="0.25">
      <c r="R704" t="str">
        <f t="shared" si="20"/>
        <v/>
      </c>
      <c r="S704" t="str">
        <f t="shared" si="21"/>
        <v/>
      </c>
    </row>
    <row r="705" spans="18:19" x14ac:dyDescent="0.25">
      <c r="R705" t="str">
        <f t="shared" si="20"/>
        <v/>
      </c>
      <c r="S705" t="str">
        <f t="shared" si="21"/>
        <v/>
      </c>
    </row>
    <row r="706" spans="18:19" x14ac:dyDescent="0.25">
      <c r="R706" t="str">
        <f t="shared" ref="R706:R769" si="22">IF(ISNUMBER(B706),INT(B706*24),"")</f>
        <v/>
      </c>
      <c r="S706" t="str">
        <f t="shared" ref="S706:S769" si="23">IF(ISNUMBER(B706),ROUND((B706*24-R706)*60,0),"")</f>
        <v/>
      </c>
    </row>
    <row r="707" spans="18:19" x14ac:dyDescent="0.25">
      <c r="R707" t="str">
        <f t="shared" si="22"/>
        <v/>
      </c>
      <c r="S707" t="str">
        <f t="shared" si="23"/>
        <v/>
      </c>
    </row>
    <row r="708" spans="18:19" x14ac:dyDescent="0.25">
      <c r="R708" t="str">
        <f t="shared" si="22"/>
        <v/>
      </c>
      <c r="S708" t="str">
        <f t="shared" si="23"/>
        <v/>
      </c>
    </row>
    <row r="709" spans="18:19" x14ac:dyDescent="0.25">
      <c r="R709" t="str">
        <f t="shared" si="22"/>
        <v/>
      </c>
      <c r="S709" t="str">
        <f t="shared" si="23"/>
        <v/>
      </c>
    </row>
    <row r="710" spans="18:19" x14ac:dyDescent="0.25">
      <c r="R710" t="str">
        <f t="shared" si="22"/>
        <v/>
      </c>
      <c r="S710" t="str">
        <f t="shared" si="23"/>
        <v/>
      </c>
    </row>
    <row r="711" spans="18:19" x14ac:dyDescent="0.25">
      <c r="R711" t="str">
        <f t="shared" si="22"/>
        <v/>
      </c>
      <c r="S711" t="str">
        <f t="shared" si="23"/>
        <v/>
      </c>
    </row>
    <row r="712" spans="18:19" x14ac:dyDescent="0.25">
      <c r="R712" t="str">
        <f t="shared" si="22"/>
        <v/>
      </c>
      <c r="S712" t="str">
        <f t="shared" si="23"/>
        <v/>
      </c>
    </row>
    <row r="713" spans="18:19" x14ac:dyDescent="0.25">
      <c r="R713" t="str">
        <f t="shared" si="22"/>
        <v/>
      </c>
      <c r="S713" t="str">
        <f t="shared" si="23"/>
        <v/>
      </c>
    </row>
    <row r="714" spans="18:19" x14ac:dyDescent="0.25">
      <c r="R714" t="str">
        <f t="shared" si="22"/>
        <v/>
      </c>
      <c r="S714" t="str">
        <f t="shared" si="23"/>
        <v/>
      </c>
    </row>
    <row r="715" spans="18:19" x14ac:dyDescent="0.25">
      <c r="R715" t="str">
        <f t="shared" si="22"/>
        <v/>
      </c>
      <c r="S715" t="str">
        <f t="shared" si="23"/>
        <v/>
      </c>
    </row>
    <row r="716" spans="18:19" x14ac:dyDescent="0.25">
      <c r="R716" t="str">
        <f t="shared" si="22"/>
        <v/>
      </c>
      <c r="S716" t="str">
        <f t="shared" si="23"/>
        <v/>
      </c>
    </row>
    <row r="717" spans="18:19" x14ac:dyDescent="0.25">
      <c r="R717" t="str">
        <f t="shared" si="22"/>
        <v/>
      </c>
      <c r="S717" t="str">
        <f t="shared" si="23"/>
        <v/>
      </c>
    </row>
    <row r="718" spans="18:19" x14ac:dyDescent="0.25">
      <c r="R718" t="str">
        <f t="shared" si="22"/>
        <v/>
      </c>
      <c r="S718" t="str">
        <f t="shared" si="23"/>
        <v/>
      </c>
    </row>
    <row r="719" spans="18:19" x14ac:dyDescent="0.25">
      <c r="R719" t="str">
        <f t="shared" si="22"/>
        <v/>
      </c>
      <c r="S719" t="str">
        <f t="shared" si="23"/>
        <v/>
      </c>
    </row>
    <row r="720" spans="18:19" x14ac:dyDescent="0.25">
      <c r="R720" t="str">
        <f t="shared" si="22"/>
        <v/>
      </c>
      <c r="S720" t="str">
        <f t="shared" si="23"/>
        <v/>
      </c>
    </row>
    <row r="721" spans="18:19" x14ac:dyDescent="0.25">
      <c r="R721" t="str">
        <f t="shared" si="22"/>
        <v/>
      </c>
      <c r="S721" t="str">
        <f t="shared" si="23"/>
        <v/>
      </c>
    </row>
    <row r="722" spans="18:19" x14ac:dyDescent="0.25">
      <c r="R722" t="str">
        <f t="shared" si="22"/>
        <v/>
      </c>
      <c r="S722" t="str">
        <f t="shared" si="23"/>
        <v/>
      </c>
    </row>
    <row r="723" spans="18:19" x14ac:dyDescent="0.25">
      <c r="R723" t="str">
        <f t="shared" si="22"/>
        <v/>
      </c>
      <c r="S723" t="str">
        <f t="shared" si="23"/>
        <v/>
      </c>
    </row>
    <row r="724" spans="18:19" x14ac:dyDescent="0.25">
      <c r="R724" t="str">
        <f t="shared" si="22"/>
        <v/>
      </c>
      <c r="S724" t="str">
        <f t="shared" si="23"/>
        <v/>
      </c>
    </row>
    <row r="725" spans="18:19" x14ac:dyDescent="0.25">
      <c r="R725" t="str">
        <f t="shared" si="22"/>
        <v/>
      </c>
      <c r="S725" t="str">
        <f t="shared" si="23"/>
        <v/>
      </c>
    </row>
    <row r="726" spans="18:19" x14ac:dyDescent="0.25">
      <c r="R726" t="str">
        <f t="shared" si="22"/>
        <v/>
      </c>
      <c r="S726" t="str">
        <f t="shared" si="23"/>
        <v/>
      </c>
    </row>
    <row r="727" spans="18:19" x14ac:dyDescent="0.25">
      <c r="R727" t="str">
        <f t="shared" si="22"/>
        <v/>
      </c>
      <c r="S727" t="str">
        <f t="shared" si="23"/>
        <v/>
      </c>
    </row>
    <row r="728" spans="18:19" x14ac:dyDescent="0.25">
      <c r="R728" t="str">
        <f t="shared" si="22"/>
        <v/>
      </c>
      <c r="S728" t="str">
        <f t="shared" si="23"/>
        <v/>
      </c>
    </row>
    <row r="729" spans="18:19" x14ac:dyDescent="0.25">
      <c r="R729" t="str">
        <f t="shared" si="22"/>
        <v/>
      </c>
      <c r="S729" t="str">
        <f t="shared" si="23"/>
        <v/>
      </c>
    </row>
    <row r="730" spans="18:19" x14ac:dyDescent="0.25">
      <c r="R730" t="str">
        <f t="shared" si="22"/>
        <v/>
      </c>
      <c r="S730" t="str">
        <f t="shared" si="23"/>
        <v/>
      </c>
    </row>
    <row r="731" spans="18:19" x14ac:dyDescent="0.25">
      <c r="R731" t="str">
        <f t="shared" si="22"/>
        <v/>
      </c>
      <c r="S731" t="str">
        <f t="shared" si="23"/>
        <v/>
      </c>
    </row>
    <row r="732" spans="18:19" x14ac:dyDescent="0.25">
      <c r="R732" t="str">
        <f t="shared" si="22"/>
        <v/>
      </c>
      <c r="S732" t="str">
        <f t="shared" si="23"/>
        <v/>
      </c>
    </row>
    <row r="733" spans="18:19" x14ac:dyDescent="0.25">
      <c r="R733" t="str">
        <f t="shared" si="22"/>
        <v/>
      </c>
      <c r="S733" t="str">
        <f t="shared" si="23"/>
        <v/>
      </c>
    </row>
    <row r="734" spans="18:19" x14ac:dyDescent="0.25">
      <c r="R734" t="str">
        <f t="shared" si="22"/>
        <v/>
      </c>
      <c r="S734" t="str">
        <f t="shared" si="23"/>
        <v/>
      </c>
    </row>
    <row r="735" spans="18:19" x14ac:dyDescent="0.25">
      <c r="R735" t="str">
        <f t="shared" si="22"/>
        <v/>
      </c>
      <c r="S735" t="str">
        <f t="shared" si="23"/>
        <v/>
      </c>
    </row>
    <row r="736" spans="18:19" x14ac:dyDescent="0.25">
      <c r="R736" t="str">
        <f t="shared" si="22"/>
        <v/>
      </c>
      <c r="S736" t="str">
        <f t="shared" si="23"/>
        <v/>
      </c>
    </row>
    <row r="737" spans="18:19" x14ac:dyDescent="0.25">
      <c r="R737" t="str">
        <f t="shared" si="22"/>
        <v/>
      </c>
      <c r="S737" t="str">
        <f t="shared" si="23"/>
        <v/>
      </c>
    </row>
    <row r="738" spans="18:19" x14ac:dyDescent="0.25">
      <c r="R738" t="str">
        <f t="shared" si="22"/>
        <v/>
      </c>
      <c r="S738" t="str">
        <f t="shared" si="23"/>
        <v/>
      </c>
    </row>
    <row r="739" spans="18:19" x14ac:dyDescent="0.25">
      <c r="R739" t="str">
        <f t="shared" si="22"/>
        <v/>
      </c>
      <c r="S739" t="str">
        <f t="shared" si="23"/>
        <v/>
      </c>
    </row>
    <row r="740" spans="18:19" x14ac:dyDescent="0.25">
      <c r="R740" t="str">
        <f t="shared" si="22"/>
        <v/>
      </c>
      <c r="S740" t="str">
        <f t="shared" si="23"/>
        <v/>
      </c>
    </row>
    <row r="741" spans="18:19" x14ac:dyDescent="0.25">
      <c r="R741" t="str">
        <f t="shared" si="22"/>
        <v/>
      </c>
      <c r="S741" t="str">
        <f t="shared" si="23"/>
        <v/>
      </c>
    </row>
    <row r="742" spans="18:19" x14ac:dyDescent="0.25">
      <c r="R742" t="str">
        <f t="shared" si="22"/>
        <v/>
      </c>
      <c r="S742" t="str">
        <f t="shared" si="23"/>
        <v/>
      </c>
    </row>
    <row r="743" spans="18:19" x14ac:dyDescent="0.25">
      <c r="R743" t="str">
        <f t="shared" si="22"/>
        <v/>
      </c>
      <c r="S743" t="str">
        <f t="shared" si="23"/>
        <v/>
      </c>
    </row>
    <row r="744" spans="18:19" x14ac:dyDescent="0.25">
      <c r="R744" t="str">
        <f t="shared" si="22"/>
        <v/>
      </c>
      <c r="S744" t="str">
        <f t="shared" si="23"/>
        <v/>
      </c>
    </row>
    <row r="745" spans="18:19" x14ac:dyDescent="0.25">
      <c r="R745" t="str">
        <f t="shared" si="22"/>
        <v/>
      </c>
      <c r="S745" t="str">
        <f t="shared" si="23"/>
        <v/>
      </c>
    </row>
    <row r="746" spans="18:19" x14ac:dyDescent="0.25">
      <c r="R746" t="str">
        <f t="shared" si="22"/>
        <v/>
      </c>
      <c r="S746" t="str">
        <f t="shared" si="23"/>
        <v/>
      </c>
    </row>
    <row r="747" spans="18:19" x14ac:dyDescent="0.25">
      <c r="R747" t="str">
        <f t="shared" si="22"/>
        <v/>
      </c>
      <c r="S747" t="str">
        <f t="shared" si="23"/>
        <v/>
      </c>
    </row>
    <row r="748" spans="18:19" x14ac:dyDescent="0.25">
      <c r="R748" t="str">
        <f t="shared" si="22"/>
        <v/>
      </c>
      <c r="S748" t="str">
        <f t="shared" si="23"/>
        <v/>
      </c>
    </row>
    <row r="749" spans="18:19" x14ac:dyDescent="0.25">
      <c r="R749" t="str">
        <f t="shared" si="22"/>
        <v/>
      </c>
      <c r="S749" t="str">
        <f t="shared" si="23"/>
        <v/>
      </c>
    </row>
    <row r="750" spans="18:19" x14ac:dyDescent="0.25">
      <c r="R750" t="str">
        <f t="shared" si="22"/>
        <v/>
      </c>
      <c r="S750" t="str">
        <f t="shared" si="23"/>
        <v/>
      </c>
    </row>
    <row r="751" spans="18:19" x14ac:dyDescent="0.25">
      <c r="R751" t="str">
        <f t="shared" si="22"/>
        <v/>
      </c>
      <c r="S751" t="str">
        <f t="shared" si="23"/>
        <v/>
      </c>
    </row>
    <row r="752" spans="18:19" x14ac:dyDescent="0.25">
      <c r="R752" t="str">
        <f t="shared" si="22"/>
        <v/>
      </c>
      <c r="S752" t="str">
        <f t="shared" si="23"/>
        <v/>
      </c>
    </row>
    <row r="753" spans="18:19" x14ac:dyDescent="0.25">
      <c r="R753" t="str">
        <f t="shared" si="22"/>
        <v/>
      </c>
      <c r="S753" t="str">
        <f t="shared" si="23"/>
        <v/>
      </c>
    </row>
    <row r="754" spans="18:19" x14ac:dyDescent="0.25">
      <c r="R754" t="str">
        <f t="shared" si="22"/>
        <v/>
      </c>
      <c r="S754" t="str">
        <f t="shared" si="23"/>
        <v/>
      </c>
    </row>
    <row r="755" spans="18:19" x14ac:dyDescent="0.25">
      <c r="R755" t="str">
        <f t="shared" si="22"/>
        <v/>
      </c>
      <c r="S755" t="str">
        <f t="shared" si="23"/>
        <v/>
      </c>
    </row>
    <row r="756" spans="18:19" x14ac:dyDescent="0.25">
      <c r="R756" t="str">
        <f t="shared" si="22"/>
        <v/>
      </c>
      <c r="S756" t="str">
        <f t="shared" si="23"/>
        <v/>
      </c>
    </row>
    <row r="757" spans="18:19" x14ac:dyDescent="0.25">
      <c r="R757" t="str">
        <f t="shared" si="22"/>
        <v/>
      </c>
      <c r="S757" t="str">
        <f t="shared" si="23"/>
        <v/>
      </c>
    </row>
    <row r="758" spans="18:19" x14ac:dyDescent="0.25">
      <c r="R758" t="str">
        <f t="shared" si="22"/>
        <v/>
      </c>
      <c r="S758" t="str">
        <f t="shared" si="23"/>
        <v/>
      </c>
    </row>
    <row r="759" spans="18:19" x14ac:dyDescent="0.25">
      <c r="R759" t="str">
        <f t="shared" si="22"/>
        <v/>
      </c>
      <c r="S759" t="str">
        <f t="shared" si="23"/>
        <v/>
      </c>
    </row>
    <row r="760" spans="18:19" x14ac:dyDescent="0.25">
      <c r="R760" t="str">
        <f t="shared" si="22"/>
        <v/>
      </c>
      <c r="S760" t="str">
        <f t="shared" si="23"/>
        <v/>
      </c>
    </row>
    <row r="761" spans="18:19" x14ac:dyDescent="0.25">
      <c r="R761" t="str">
        <f t="shared" si="22"/>
        <v/>
      </c>
      <c r="S761" t="str">
        <f t="shared" si="23"/>
        <v/>
      </c>
    </row>
    <row r="762" spans="18:19" x14ac:dyDescent="0.25">
      <c r="R762" t="str">
        <f t="shared" si="22"/>
        <v/>
      </c>
      <c r="S762" t="str">
        <f t="shared" si="23"/>
        <v/>
      </c>
    </row>
    <row r="763" spans="18:19" x14ac:dyDescent="0.25">
      <c r="R763" t="str">
        <f t="shared" si="22"/>
        <v/>
      </c>
      <c r="S763" t="str">
        <f t="shared" si="23"/>
        <v/>
      </c>
    </row>
    <row r="764" spans="18:19" x14ac:dyDescent="0.25">
      <c r="R764" t="str">
        <f t="shared" si="22"/>
        <v/>
      </c>
      <c r="S764" t="str">
        <f t="shared" si="23"/>
        <v/>
      </c>
    </row>
    <row r="765" spans="18:19" x14ac:dyDescent="0.25">
      <c r="R765" t="str">
        <f t="shared" si="22"/>
        <v/>
      </c>
      <c r="S765" t="str">
        <f t="shared" si="23"/>
        <v/>
      </c>
    </row>
    <row r="766" spans="18:19" x14ac:dyDescent="0.25">
      <c r="R766" t="str">
        <f t="shared" si="22"/>
        <v/>
      </c>
      <c r="S766" t="str">
        <f t="shared" si="23"/>
        <v/>
      </c>
    </row>
    <row r="767" spans="18:19" x14ac:dyDescent="0.25">
      <c r="R767" t="str">
        <f t="shared" si="22"/>
        <v/>
      </c>
      <c r="S767" t="str">
        <f t="shared" si="23"/>
        <v/>
      </c>
    </row>
    <row r="768" spans="18:19" x14ac:dyDescent="0.25">
      <c r="R768" t="str">
        <f t="shared" si="22"/>
        <v/>
      </c>
      <c r="S768" t="str">
        <f t="shared" si="23"/>
        <v/>
      </c>
    </row>
    <row r="769" spans="18:19" x14ac:dyDescent="0.25">
      <c r="R769" t="str">
        <f t="shared" si="22"/>
        <v/>
      </c>
      <c r="S769" t="str">
        <f t="shared" si="23"/>
        <v/>
      </c>
    </row>
    <row r="770" spans="18:19" x14ac:dyDescent="0.25">
      <c r="R770" t="str">
        <f t="shared" ref="R770:R793" si="24">IF(ISNUMBER(B770),INT(B770*24),"")</f>
        <v/>
      </c>
      <c r="S770" t="str">
        <f t="shared" ref="S770:S793" si="25">IF(ISNUMBER(B770),ROUND((B770*24-R770)*60,0),"")</f>
        <v/>
      </c>
    </row>
    <row r="771" spans="18:19" x14ac:dyDescent="0.25">
      <c r="R771" t="str">
        <f t="shared" si="24"/>
        <v/>
      </c>
      <c r="S771" t="str">
        <f t="shared" si="25"/>
        <v/>
      </c>
    </row>
    <row r="772" spans="18:19" x14ac:dyDescent="0.25">
      <c r="R772" t="str">
        <f t="shared" si="24"/>
        <v/>
      </c>
      <c r="S772" t="str">
        <f t="shared" si="25"/>
        <v/>
      </c>
    </row>
    <row r="773" spans="18:19" x14ac:dyDescent="0.25">
      <c r="R773" t="str">
        <f t="shared" si="24"/>
        <v/>
      </c>
      <c r="S773" t="str">
        <f t="shared" si="25"/>
        <v/>
      </c>
    </row>
    <row r="774" spans="18:19" x14ac:dyDescent="0.25">
      <c r="R774" t="str">
        <f t="shared" si="24"/>
        <v/>
      </c>
      <c r="S774" t="str">
        <f t="shared" si="25"/>
        <v/>
      </c>
    </row>
    <row r="775" spans="18:19" x14ac:dyDescent="0.25">
      <c r="R775" t="str">
        <f t="shared" si="24"/>
        <v/>
      </c>
      <c r="S775" t="str">
        <f t="shared" si="25"/>
        <v/>
      </c>
    </row>
    <row r="776" spans="18:19" x14ac:dyDescent="0.25">
      <c r="R776" t="str">
        <f t="shared" si="24"/>
        <v/>
      </c>
      <c r="S776" t="str">
        <f t="shared" si="25"/>
        <v/>
      </c>
    </row>
    <row r="777" spans="18:19" x14ac:dyDescent="0.25">
      <c r="R777" t="str">
        <f t="shared" si="24"/>
        <v/>
      </c>
      <c r="S777" t="str">
        <f t="shared" si="25"/>
        <v/>
      </c>
    </row>
    <row r="778" spans="18:19" x14ac:dyDescent="0.25">
      <c r="R778" t="str">
        <f t="shared" si="24"/>
        <v/>
      </c>
      <c r="S778" t="str">
        <f t="shared" si="25"/>
        <v/>
      </c>
    </row>
    <row r="779" spans="18:19" x14ac:dyDescent="0.25">
      <c r="R779" t="str">
        <f t="shared" si="24"/>
        <v/>
      </c>
      <c r="S779" t="str">
        <f t="shared" si="25"/>
        <v/>
      </c>
    </row>
    <row r="780" spans="18:19" x14ac:dyDescent="0.25">
      <c r="R780" t="str">
        <f t="shared" si="24"/>
        <v/>
      </c>
      <c r="S780" t="str">
        <f t="shared" si="25"/>
        <v/>
      </c>
    </row>
    <row r="781" spans="18:19" x14ac:dyDescent="0.25">
      <c r="R781" t="str">
        <f t="shared" si="24"/>
        <v/>
      </c>
      <c r="S781" t="str">
        <f t="shared" si="25"/>
        <v/>
      </c>
    </row>
    <row r="782" spans="18:19" x14ac:dyDescent="0.25">
      <c r="R782" t="str">
        <f t="shared" si="24"/>
        <v/>
      </c>
      <c r="S782" t="str">
        <f t="shared" si="25"/>
        <v/>
      </c>
    </row>
    <row r="783" spans="18:19" x14ac:dyDescent="0.25">
      <c r="R783" t="str">
        <f t="shared" si="24"/>
        <v/>
      </c>
      <c r="S783" t="str">
        <f t="shared" si="25"/>
        <v/>
      </c>
    </row>
    <row r="784" spans="18:19" x14ac:dyDescent="0.25">
      <c r="R784" t="str">
        <f t="shared" si="24"/>
        <v/>
      </c>
      <c r="S784" t="str">
        <f t="shared" si="25"/>
        <v/>
      </c>
    </row>
    <row r="785" spans="18:19" x14ac:dyDescent="0.25">
      <c r="R785" t="str">
        <f t="shared" si="24"/>
        <v/>
      </c>
      <c r="S785" t="str">
        <f t="shared" si="25"/>
        <v/>
      </c>
    </row>
    <row r="786" spans="18:19" x14ac:dyDescent="0.25">
      <c r="R786" t="str">
        <f t="shared" si="24"/>
        <v/>
      </c>
      <c r="S786" t="str">
        <f t="shared" si="25"/>
        <v/>
      </c>
    </row>
    <row r="787" spans="18:19" x14ac:dyDescent="0.25">
      <c r="R787" t="str">
        <f t="shared" si="24"/>
        <v/>
      </c>
      <c r="S787" t="str">
        <f t="shared" si="25"/>
        <v/>
      </c>
    </row>
    <row r="788" spans="18:19" x14ac:dyDescent="0.25">
      <c r="R788" t="str">
        <f t="shared" si="24"/>
        <v/>
      </c>
      <c r="S788" t="str">
        <f t="shared" si="25"/>
        <v/>
      </c>
    </row>
    <row r="789" spans="18:19" x14ac:dyDescent="0.25">
      <c r="R789" t="str">
        <f t="shared" si="24"/>
        <v/>
      </c>
      <c r="S789" t="str">
        <f t="shared" si="25"/>
        <v/>
      </c>
    </row>
    <row r="790" spans="18:19" x14ac:dyDescent="0.25">
      <c r="R790" t="str">
        <f t="shared" si="24"/>
        <v/>
      </c>
      <c r="S790" t="str">
        <f t="shared" si="25"/>
        <v/>
      </c>
    </row>
    <row r="791" spans="18:19" x14ac:dyDescent="0.25">
      <c r="R791" t="str">
        <f t="shared" si="24"/>
        <v/>
      </c>
      <c r="S791" t="str">
        <f t="shared" si="25"/>
        <v/>
      </c>
    </row>
    <row r="792" spans="18:19" x14ac:dyDescent="0.25">
      <c r="R792" t="str">
        <f t="shared" si="24"/>
        <v/>
      </c>
      <c r="S792" t="str">
        <f t="shared" si="25"/>
        <v/>
      </c>
    </row>
    <row r="793" spans="18:19" x14ac:dyDescent="0.25">
      <c r="R793" t="str">
        <f t="shared" si="24"/>
        <v/>
      </c>
      <c r="S793" t="str">
        <f t="shared" si="25"/>
        <v/>
      </c>
    </row>
  </sheetData>
  <sortState ref="A2:O600">
    <sortCondition ref="A2:A600"/>
    <sortCondition descending="1" ref="B2:B60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4" sqref="B2:C14"/>
    </sheetView>
  </sheetViews>
  <sheetFormatPr defaultRowHeight="15" x14ac:dyDescent="0.25"/>
  <cols>
    <col min="1" max="1" width="10.5703125" bestFit="1" customWidth="1"/>
    <col min="2" max="2" width="10.42578125" bestFit="1" customWidth="1"/>
  </cols>
  <sheetData>
    <row r="1" spans="1:3" x14ac:dyDescent="0.25">
      <c r="A1" s="38"/>
      <c r="B1" s="38" t="s">
        <v>95</v>
      </c>
      <c r="C1" s="38" t="s">
        <v>96</v>
      </c>
    </row>
    <row r="2" spans="1:3" x14ac:dyDescent="0.25">
      <c r="A2" s="38" t="s">
        <v>75</v>
      </c>
      <c r="B2" s="40">
        <f>'Home Lines'!D33</f>
        <v>63</v>
      </c>
      <c r="C2" s="40">
        <f>'Road Lines'!D33</f>
        <v>56</v>
      </c>
    </row>
    <row r="3" spans="1:3" x14ac:dyDescent="0.25">
      <c r="A3" s="38" t="s">
        <v>76</v>
      </c>
      <c r="B3" s="45">
        <f>'Home Lines'!E33</f>
        <v>38</v>
      </c>
      <c r="C3" s="45">
        <f>'Road Lines'!E33</f>
        <v>26</v>
      </c>
    </row>
    <row r="4" spans="1:3" x14ac:dyDescent="0.25">
      <c r="A4" s="38" t="s">
        <v>97</v>
      </c>
      <c r="B4" s="45">
        <f>'Home Lines'!F33</f>
        <v>38</v>
      </c>
      <c r="C4" s="45">
        <f>'Road Lines'!F33</f>
        <v>24</v>
      </c>
    </row>
    <row r="5" spans="1:3" x14ac:dyDescent="0.25">
      <c r="A5" s="38" t="s">
        <v>72</v>
      </c>
      <c r="B5" s="45">
        <f>B4/B2</f>
        <v>0.60317460317460314</v>
      </c>
      <c r="C5" s="45">
        <f>C4/C2</f>
        <v>0.42857142857142855</v>
      </c>
    </row>
    <row r="6" spans="1:3" x14ac:dyDescent="0.25">
      <c r="A6" s="38" t="s">
        <v>76</v>
      </c>
      <c r="B6" s="45">
        <f>'Home Lines'!G33</f>
        <v>28</v>
      </c>
      <c r="C6" s="45">
        <f>'Road Lines'!G33</f>
        <v>14</v>
      </c>
    </row>
    <row r="7" spans="1:3" x14ac:dyDescent="0.25">
      <c r="A7" s="38" t="s">
        <v>88</v>
      </c>
      <c r="B7" s="45">
        <f>B2-B4</f>
        <v>25</v>
      </c>
      <c r="C7" s="45">
        <f>C2-C4</f>
        <v>32</v>
      </c>
    </row>
    <row r="8" spans="1:3" x14ac:dyDescent="0.25">
      <c r="A8" s="38" t="s">
        <v>76</v>
      </c>
      <c r="B8" s="45">
        <f>B3-B6</f>
        <v>10</v>
      </c>
      <c r="C8" s="45">
        <f>C3-C6</f>
        <v>12</v>
      </c>
    </row>
    <row r="9" spans="1:3" x14ac:dyDescent="0.25">
      <c r="A9" s="38" t="s">
        <v>98</v>
      </c>
      <c r="B9" s="45">
        <f>'Home Lines'!J33</f>
        <v>4</v>
      </c>
      <c r="C9" s="45">
        <f>'Road Lines'!J33</f>
        <v>9</v>
      </c>
    </row>
    <row r="10" spans="1:3" x14ac:dyDescent="0.25">
      <c r="A10" s="38" t="s">
        <v>99</v>
      </c>
      <c r="B10" s="45">
        <f>'Home Lines'!L33</f>
        <v>3</v>
      </c>
      <c r="C10" s="45">
        <f>'Road Lines'!L33</f>
        <v>4</v>
      </c>
    </row>
    <row r="11" spans="1:3" x14ac:dyDescent="0.25">
      <c r="A11" s="38" t="s">
        <v>100</v>
      </c>
      <c r="B11" s="45">
        <f>'Home Lines'!K33</f>
        <v>13</v>
      </c>
      <c r="C11" s="45">
        <f>'Road Lines'!K33</f>
        <v>7</v>
      </c>
    </row>
    <row r="12" spans="1:3" x14ac:dyDescent="0.25">
      <c r="A12" s="38" t="s">
        <v>92</v>
      </c>
      <c r="B12" s="45">
        <f>'Home Lines'!N33</f>
        <v>21</v>
      </c>
      <c r="C12" s="45">
        <f>'Road Lines'!N33</f>
        <v>21</v>
      </c>
    </row>
    <row r="13" spans="1:3" x14ac:dyDescent="0.25">
      <c r="A13" s="38" t="s">
        <v>93</v>
      </c>
      <c r="B13" s="45">
        <f>'Home Lines'!O33</f>
        <v>24</v>
      </c>
      <c r="C13" s="45">
        <f>'Road Lines'!O33</f>
        <v>10</v>
      </c>
    </row>
    <row r="14" spans="1:3" x14ac:dyDescent="0.25">
      <c r="A14" s="38" t="s">
        <v>94</v>
      </c>
      <c r="B14" s="45">
        <f>'Home Lines'!P33</f>
        <v>21</v>
      </c>
      <c r="C14" s="45">
        <f>'Road Lines'!P33</f>
        <v>29</v>
      </c>
    </row>
    <row r="15" spans="1:3" x14ac:dyDescent="0.25">
      <c r="A15" s="39"/>
      <c r="B15" s="41"/>
      <c r="C15" s="41"/>
    </row>
    <row r="16" spans="1:3" x14ac:dyDescent="0.25">
      <c r="A16" s="39"/>
      <c r="B16" s="41"/>
      <c r="C16" s="41"/>
    </row>
    <row r="17" spans="1:3" x14ac:dyDescent="0.25">
      <c r="A17" s="39"/>
      <c r="B17" s="41"/>
      <c r="C17" s="4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3"/>
  <sheetViews>
    <sheetView workbookViewId="0">
      <selection activeCell="A32" sqref="A1:P32"/>
    </sheetView>
  </sheetViews>
  <sheetFormatPr defaultRowHeight="15" x14ac:dyDescent="0.25"/>
  <cols>
    <col min="1" max="1" width="5.28515625" bestFit="1" customWidth="1"/>
    <col min="2" max="2" width="13.42578125" bestFit="1" customWidth="1"/>
    <col min="3" max="3" width="4.140625" bestFit="1" customWidth="1"/>
    <col min="4" max="4" width="10.5703125" bestFit="1" customWidth="1"/>
    <col min="5" max="5" width="5.85546875" bestFit="1" customWidth="1"/>
    <col min="6" max="6" width="10.5703125" bestFit="1" customWidth="1"/>
    <col min="7" max="7" width="5.85546875" bestFit="1" customWidth="1"/>
    <col min="8" max="8" width="10.5703125" bestFit="1" customWidth="1"/>
    <col min="9" max="9" width="5.85546875" bestFit="1" customWidth="1"/>
    <col min="10" max="10" width="17.28515625" bestFit="1" customWidth="1"/>
    <col min="11" max="11" width="6.85546875" style="42" bestFit="1" customWidth="1"/>
    <col min="12" max="12" width="13.140625" bestFit="1" customWidth="1"/>
    <col min="13" max="13" width="9.5703125" bestFit="1" customWidth="1"/>
  </cols>
  <sheetData>
    <row r="1" spans="1:16" x14ac:dyDescent="0.25">
      <c r="A1" s="36" t="s">
        <v>135</v>
      </c>
      <c r="B1" s="36" t="s">
        <v>3</v>
      </c>
      <c r="C1" s="36" t="s">
        <v>65</v>
      </c>
      <c r="D1" s="36" t="s">
        <v>75</v>
      </c>
      <c r="E1" s="36" t="s">
        <v>76</v>
      </c>
      <c r="F1" s="36" t="s">
        <v>77</v>
      </c>
      <c r="G1" s="36" t="s">
        <v>76</v>
      </c>
      <c r="H1" s="36" t="s">
        <v>79</v>
      </c>
      <c r="I1" s="36" t="s">
        <v>76</v>
      </c>
      <c r="J1" s="36" t="s">
        <v>81</v>
      </c>
      <c r="K1" s="38" t="s">
        <v>101</v>
      </c>
      <c r="L1" s="36" t="s">
        <v>82</v>
      </c>
      <c r="M1" s="36" t="s">
        <v>72</v>
      </c>
      <c r="N1" s="39" t="s">
        <v>92</v>
      </c>
      <c r="O1" s="39" t="s">
        <v>93</v>
      </c>
      <c r="P1" s="39" t="s">
        <v>94</v>
      </c>
    </row>
    <row r="2" spans="1:16" x14ac:dyDescent="0.25">
      <c r="A2" s="36">
        <v>8</v>
      </c>
      <c r="B2" s="36" t="s">
        <v>449</v>
      </c>
      <c r="C2" s="36" t="s">
        <v>83</v>
      </c>
      <c r="D2" s="37">
        <f>COUNTIF('5v5 entries'!D:D,A2&amp;A$1)-COUNTIF('5v5 entries'!L:L,A2&amp;A$1)</f>
        <v>4</v>
      </c>
      <c r="E2" s="37">
        <f>SUMIF('5v5 entries'!D:D,A2&amp;A$1,'5v5 entries'!J:J)</f>
        <v>2</v>
      </c>
      <c r="F2" s="37">
        <f>COUNTIF('5v5 entries'!I:I,A2&amp;A$1)</f>
        <v>3</v>
      </c>
      <c r="G2" s="37">
        <f>SUMIF('5v5 entries'!I:I,A2&amp;A$1,'5v5 entries'!J:J)</f>
        <v>2</v>
      </c>
      <c r="H2" s="37">
        <f>D2-F2</f>
        <v>1</v>
      </c>
      <c r="I2" s="37">
        <f>E2-G2</f>
        <v>0</v>
      </c>
      <c r="J2" s="44">
        <f>COUNTIFS('5v5 entries'!H:H,A2&amp;A$1)</f>
        <v>0</v>
      </c>
      <c r="K2" s="49">
        <f>COUNTIFS('5v5 entries'!D:D,A2&amp;A$1,'5v5 entries'!F:F,"Y")</f>
        <v>1</v>
      </c>
      <c r="L2" s="37">
        <f>COUNTIF('5v5 entries'!L:L,A2&amp;A$1)</f>
        <v>0</v>
      </c>
      <c r="M2" s="37">
        <f>F2/D2</f>
        <v>0.75</v>
      </c>
      <c r="N2" s="40">
        <f>COUNTIFS('5v5 entries'!D:D,A2&amp;A$1,'5v5 entries'!G:G,"L")</f>
        <v>0</v>
      </c>
      <c r="O2" s="40">
        <f>COUNTIFS('5v5 entries'!D:D,A2&amp;A$1,'5v5 entries'!G:G,"C")</f>
        <v>1</v>
      </c>
      <c r="P2" s="40">
        <f>COUNTIFS('5v5 entries'!D:D,A2&amp;A$1,'5v5 entries'!G:G,"R")</f>
        <v>3</v>
      </c>
    </row>
    <row r="3" spans="1:16" x14ac:dyDescent="0.25">
      <c r="A3" s="36">
        <v>51</v>
      </c>
      <c r="B3" s="36" t="s">
        <v>450</v>
      </c>
      <c r="C3" s="36" t="s">
        <v>74</v>
      </c>
      <c r="D3" s="37">
        <f>COUNTIF('5v5 entries'!D:D,A3&amp;A$1)-COUNTIF('5v5 entries'!L:L,A3&amp;A$1)</f>
        <v>7</v>
      </c>
      <c r="E3" s="37">
        <f>SUMIF('5v5 entries'!D:D,A3&amp;A$1,'5v5 entries'!J:J)</f>
        <v>4</v>
      </c>
      <c r="F3" s="37">
        <f>COUNTIF('5v5 entries'!I:I,A3&amp;A$1)</f>
        <v>6</v>
      </c>
      <c r="G3" s="37">
        <f>SUMIF('5v5 entries'!I:I,A3&amp;A$1,'5v5 entries'!J:J)</f>
        <v>4</v>
      </c>
      <c r="H3" s="37">
        <f t="shared" ref="H3:H4" si="0">D3-F3</f>
        <v>1</v>
      </c>
      <c r="I3" s="37">
        <f t="shared" ref="I3:I4" si="1">E3-G3</f>
        <v>0</v>
      </c>
      <c r="J3" s="44">
        <f>COUNTIFS('5v5 entries'!H:H,A3&amp;A$1)</f>
        <v>0</v>
      </c>
      <c r="K3" s="49">
        <f>COUNTIFS('5v5 entries'!D:D,A3&amp;A$1,'5v5 entries'!F:F,"Y")</f>
        <v>5</v>
      </c>
      <c r="L3" s="37">
        <f>COUNTIF('5v5 entries'!L:L,A3&amp;A$1)</f>
        <v>0</v>
      </c>
      <c r="M3" s="37">
        <f>F3/D3</f>
        <v>0.8571428571428571</v>
      </c>
      <c r="N3" s="44">
        <f>COUNTIFS('5v5 entries'!D:D,A3&amp;A$1,'5v5 entries'!G:G,"L")</f>
        <v>2</v>
      </c>
      <c r="O3" s="44">
        <f>COUNTIFS('5v5 entries'!D:D,A3&amp;A$1,'5v5 entries'!G:G,"C")</f>
        <v>5</v>
      </c>
      <c r="P3" s="44">
        <f>COUNTIFS('5v5 entries'!D:D,A3&amp;A$1,'5v5 entries'!G:G,"R")</f>
        <v>0</v>
      </c>
    </row>
    <row r="4" spans="1:16" x14ac:dyDescent="0.25">
      <c r="A4" s="36">
        <v>71</v>
      </c>
      <c r="B4" s="36" t="s">
        <v>451</v>
      </c>
      <c r="C4" s="36" t="s">
        <v>84</v>
      </c>
      <c r="D4" s="37">
        <f>COUNTIF('5v5 entries'!D:D,A4&amp;A$1)-COUNTIF('5v5 entries'!L:L,A4&amp;A$1)</f>
        <v>7</v>
      </c>
      <c r="E4" s="37">
        <f>SUMIF('5v5 entries'!D:D,A4&amp;A$1,'5v5 entries'!J:J)</f>
        <v>4</v>
      </c>
      <c r="F4" s="37">
        <f>COUNTIF('5v5 entries'!I:I,A4&amp;A$1)</f>
        <v>5</v>
      </c>
      <c r="G4" s="37">
        <f>SUMIF('5v5 entries'!I:I,A4&amp;A$1,'5v5 entries'!J:J)</f>
        <v>3</v>
      </c>
      <c r="H4" s="37">
        <f t="shared" si="0"/>
        <v>2</v>
      </c>
      <c r="I4" s="37">
        <f t="shared" si="1"/>
        <v>1</v>
      </c>
      <c r="J4" s="44">
        <f>COUNTIFS('5v5 entries'!H:H,A4&amp;A$1)</f>
        <v>1</v>
      </c>
      <c r="K4" s="49">
        <f>COUNTIFS('5v5 entries'!D:D,A4&amp;A$1,'5v5 entries'!F:F,"Y")</f>
        <v>1</v>
      </c>
      <c r="L4" s="37">
        <f>COUNTIF('5v5 entries'!L:L,A4&amp;A$1)</f>
        <v>0</v>
      </c>
      <c r="M4" s="37">
        <f>F4/D4</f>
        <v>0.7142857142857143</v>
      </c>
      <c r="N4" s="44">
        <f>COUNTIFS('5v5 entries'!D:D,A4&amp;A$1,'5v5 entries'!G:G,"L")</f>
        <v>4</v>
      </c>
      <c r="O4" s="44">
        <f>COUNTIFS('5v5 entries'!D:D,A4&amp;A$1,'5v5 entries'!G:G,"C")</f>
        <v>1</v>
      </c>
      <c r="P4" s="44">
        <f>COUNTIFS('5v5 entries'!D:D,A4&amp;A$1,'5v5 entries'!G:G,"R")</f>
        <v>2</v>
      </c>
    </row>
    <row r="5" spans="1:16" x14ac:dyDescent="0.25">
      <c r="A5" s="36"/>
      <c r="B5" s="36" t="s">
        <v>85</v>
      </c>
      <c r="C5" s="36"/>
      <c r="D5" s="36">
        <f t="shared" ref="D5:L5" si="2">D2+D3+D4</f>
        <v>18</v>
      </c>
      <c r="E5" s="36">
        <f t="shared" si="2"/>
        <v>10</v>
      </c>
      <c r="F5" s="36">
        <f t="shared" si="2"/>
        <v>14</v>
      </c>
      <c r="G5" s="36">
        <f t="shared" si="2"/>
        <v>9</v>
      </c>
      <c r="H5" s="36">
        <f t="shared" si="2"/>
        <v>4</v>
      </c>
      <c r="I5" s="36">
        <f t="shared" si="2"/>
        <v>1</v>
      </c>
      <c r="J5" s="36">
        <f t="shared" si="2"/>
        <v>1</v>
      </c>
      <c r="K5" s="47">
        <f t="shared" si="2"/>
        <v>7</v>
      </c>
      <c r="L5" s="36">
        <f t="shared" si="2"/>
        <v>0</v>
      </c>
      <c r="M5" s="37">
        <f>F5/D5</f>
        <v>0.77777777777777779</v>
      </c>
      <c r="N5" s="40">
        <f>SUM(N2:N4)</f>
        <v>6</v>
      </c>
      <c r="O5" s="40">
        <f t="shared" ref="O5:P5" si="3">SUM(O2:O4)</f>
        <v>7</v>
      </c>
      <c r="P5" s="40">
        <f t="shared" si="3"/>
        <v>5</v>
      </c>
    </row>
    <row r="7" spans="1:16" x14ac:dyDescent="0.25">
      <c r="A7" s="36">
        <v>21</v>
      </c>
      <c r="B7" s="36" t="s">
        <v>452</v>
      </c>
      <c r="C7" s="36" t="s">
        <v>83</v>
      </c>
      <c r="D7" s="37">
        <f>COUNTIF('5v5 entries'!D:D,A7&amp;A$1)-COUNTIF('5v5 entries'!L:L,A7&amp;A$1)</f>
        <v>6</v>
      </c>
      <c r="E7" s="37">
        <f>SUMIF('5v5 entries'!D:D,A7&amp;A$1,'5v5 entries'!J:J)</f>
        <v>3</v>
      </c>
      <c r="F7" s="37">
        <f>COUNTIF('5v5 entries'!I:I,A7&amp;A$1)</f>
        <v>3</v>
      </c>
      <c r="G7" s="37">
        <f>SUMIF('5v5 entries'!I:I,A7&amp;A$1,'5v5 entries'!J:J)</f>
        <v>3</v>
      </c>
      <c r="H7" s="37">
        <f>D7-F7</f>
        <v>3</v>
      </c>
      <c r="I7" s="37">
        <f>E7-G7</f>
        <v>0</v>
      </c>
      <c r="J7" s="44">
        <f>COUNTIFS('5v5 entries'!H:H,A7&amp;A$1)</f>
        <v>1</v>
      </c>
      <c r="K7" s="49">
        <f>COUNTIFS('5v5 entries'!D:D,A7&amp;A$1,'5v5 entries'!F:F,"Y")</f>
        <v>1</v>
      </c>
      <c r="L7" s="37">
        <f>COUNTIF('5v5 entries'!L:L,A7&amp;A$1)</f>
        <v>0</v>
      </c>
      <c r="M7" s="37">
        <f>F7/D7</f>
        <v>0.5</v>
      </c>
      <c r="N7" s="40">
        <f>COUNTIFS('5v5 entries'!D:D,A7&amp;A$1,'5v5 entries'!G:G,"L")</f>
        <v>1</v>
      </c>
      <c r="O7" s="40">
        <f>COUNTIFS('5v5 entries'!D:D,A7&amp;A$1,'5v5 entries'!G:G,"C")</f>
        <v>4</v>
      </c>
      <c r="P7" s="44">
        <f>COUNTIFS('5v5 entries'!D:D,A7&amp;A$1,'5v5 entries'!G:G,"R")</f>
        <v>1</v>
      </c>
    </row>
    <row r="8" spans="1:16" x14ac:dyDescent="0.25">
      <c r="A8" s="36">
        <v>40</v>
      </c>
      <c r="B8" s="36" t="s">
        <v>453</v>
      </c>
      <c r="C8" s="36" t="s">
        <v>74</v>
      </c>
      <c r="D8" s="37">
        <f>COUNTIF('5v5 entries'!D:D,A8&amp;A$1)-COUNTIF('5v5 entries'!L:L,A8&amp;A$1)</f>
        <v>5</v>
      </c>
      <c r="E8" s="37">
        <f>SUMIF('5v5 entries'!D:D,A8&amp;A$1,'5v5 entries'!J:J)</f>
        <v>4</v>
      </c>
      <c r="F8" s="37">
        <f>COUNTIF('5v5 entries'!I:I,A8&amp;A$1)</f>
        <v>3</v>
      </c>
      <c r="G8" s="37">
        <f>SUMIF('5v5 entries'!I:I,A8&amp;A$1,'5v5 entries'!J:J)</f>
        <v>3</v>
      </c>
      <c r="H8" s="37">
        <f t="shared" ref="H8:H9" si="4">D8-F8</f>
        <v>2</v>
      </c>
      <c r="I8" s="37">
        <f t="shared" ref="I8:I9" si="5">E8-G8</f>
        <v>1</v>
      </c>
      <c r="J8" s="44">
        <f>COUNTIFS('5v5 entries'!H:H,A8&amp;A$1)</f>
        <v>1</v>
      </c>
      <c r="K8" s="49">
        <f>COUNTIFS('5v5 entries'!D:D,A8&amp;A$1,'5v5 entries'!F:F,"Y")</f>
        <v>1</v>
      </c>
      <c r="L8" s="37">
        <f>COUNTIF('5v5 entries'!L:L,A8&amp;A$1)</f>
        <v>0</v>
      </c>
      <c r="M8" s="37">
        <f>F8/D8</f>
        <v>0.6</v>
      </c>
      <c r="N8" s="40">
        <f>COUNTIFS('5v5 entries'!D:D,A8&amp;A$1,'5v5 entries'!G:G,"L")</f>
        <v>4</v>
      </c>
      <c r="O8" s="40">
        <f>COUNTIFS('5v5 entries'!D:D,A8&amp;A$1,'5v5 entries'!G:G,"C")</f>
        <v>0</v>
      </c>
      <c r="P8" s="44">
        <f>COUNTIFS('5v5 entries'!D:D,A8&amp;A$1,'5v5 entries'!G:G,"R")</f>
        <v>1</v>
      </c>
    </row>
    <row r="9" spans="1:16" x14ac:dyDescent="0.25">
      <c r="A9" s="36">
        <v>15</v>
      </c>
      <c r="B9" s="36" t="s">
        <v>454</v>
      </c>
      <c r="C9" s="36" t="s">
        <v>84</v>
      </c>
      <c r="D9" s="37">
        <f>COUNTIF('5v5 entries'!D:D,A9&amp;A$1)-COUNTIF('5v5 entries'!L:L,A9&amp;A$1)</f>
        <v>5</v>
      </c>
      <c r="E9" s="37">
        <f>SUMIF('5v5 entries'!D:D,A9&amp;A$1,'5v5 entries'!J:J)</f>
        <v>2</v>
      </c>
      <c r="F9" s="37">
        <f>COUNTIF('5v5 entries'!I:I,A9&amp;A$1)</f>
        <v>2</v>
      </c>
      <c r="G9" s="37">
        <f>SUMIF('5v5 entries'!I:I,A9&amp;A$1,'5v5 entries'!J:J)</f>
        <v>1</v>
      </c>
      <c r="H9" s="37">
        <f t="shared" si="4"/>
        <v>3</v>
      </c>
      <c r="I9" s="37">
        <f t="shared" si="5"/>
        <v>1</v>
      </c>
      <c r="J9" s="44">
        <f>COUNTIFS('5v5 entries'!H:H,A9&amp;A$1)</f>
        <v>0</v>
      </c>
      <c r="K9" s="49">
        <f>COUNTIFS('5v5 entries'!D:D,A9&amp;A$1,'5v5 entries'!F:F,"Y")</f>
        <v>1</v>
      </c>
      <c r="L9" s="37">
        <f>COUNTIF('5v5 entries'!L:L,A9&amp;A$1)</f>
        <v>0</v>
      </c>
      <c r="M9" s="37">
        <f>F9/D9</f>
        <v>0.4</v>
      </c>
      <c r="N9" s="40">
        <f>COUNTIFS('5v5 entries'!D:D,A9&amp;A$1,'5v5 entries'!G:G,"L")</f>
        <v>2</v>
      </c>
      <c r="O9" s="40">
        <f>COUNTIFS('5v5 entries'!D:D,A9&amp;A$1,'5v5 entries'!G:G,"C")</f>
        <v>1</v>
      </c>
      <c r="P9" s="44">
        <f>COUNTIFS('5v5 entries'!D:D,A9&amp;A$1,'5v5 entries'!G:G,"R")</f>
        <v>2</v>
      </c>
    </row>
    <row r="10" spans="1:16" x14ac:dyDescent="0.25">
      <c r="A10" s="36"/>
      <c r="B10" s="36" t="s">
        <v>85</v>
      </c>
      <c r="C10" s="36"/>
      <c r="D10" s="36">
        <f t="shared" ref="D10:L10" si="6">D7+D8+D9</f>
        <v>16</v>
      </c>
      <c r="E10" s="36">
        <f t="shared" si="6"/>
        <v>9</v>
      </c>
      <c r="F10" s="36">
        <f t="shared" si="6"/>
        <v>8</v>
      </c>
      <c r="G10" s="36">
        <f t="shared" si="6"/>
        <v>7</v>
      </c>
      <c r="H10" s="36">
        <f t="shared" si="6"/>
        <v>8</v>
      </c>
      <c r="I10" s="36">
        <f t="shared" si="6"/>
        <v>2</v>
      </c>
      <c r="J10" s="36">
        <f t="shared" si="6"/>
        <v>2</v>
      </c>
      <c r="K10" s="47">
        <f t="shared" si="6"/>
        <v>3</v>
      </c>
      <c r="L10" s="36">
        <f t="shared" si="6"/>
        <v>0</v>
      </c>
      <c r="M10" s="36">
        <f>F10/D10</f>
        <v>0.5</v>
      </c>
      <c r="N10" s="40">
        <f>SUM(N7:N9)</f>
        <v>7</v>
      </c>
      <c r="O10" s="40">
        <f t="shared" ref="O10" si="7">SUM(O7:O9)</f>
        <v>5</v>
      </c>
      <c r="P10" s="40">
        <f t="shared" ref="P10" si="8">SUM(P7:P9)</f>
        <v>4</v>
      </c>
    </row>
    <row r="12" spans="1:16" x14ac:dyDescent="0.25">
      <c r="A12" s="36">
        <v>14</v>
      </c>
      <c r="B12" s="36" t="s">
        <v>455</v>
      </c>
      <c r="C12" s="36" t="s">
        <v>83</v>
      </c>
      <c r="D12" s="37">
        <f>COUNTIF('5v5 entries'!D:D,A12&amp;A$1)-COUNTIF('5v5 entries'!L:L,A12&amp;A$1)</f>
        <v>4</v>
      </c>
      <c r="E12" s="37">
        <f>SUMIF('5v5 entries'!D:D,A12&amp;A$1,'5v5 entries'!J:J)</f>
        <v>3</v>
      </c>
      <c r="F12" s="37">
        <f>COUNTIF('5v5 entries'!I:I,A12&amp;A$1)</f>
        <v>2</v>
      </c>
      <c r="G12" s="37">
        <f>SUMIF('5v5 entries'!I:I,A12&amp;A$1,'5v5 entries'!J:J)</f>
        <v>2</v>
      </c>
      <c r="H12" s="37">
        <f>D12-F12</f>
        <v>2</v>
      </c>
      <c r="I12" s="37">
        <f>E12-G12</f>
        <v>1</v>
      </c>
      <c r="J12" s="44">
        <f>COUNTIFS('5v5 entries'!H:H,A12&amp;A$1)</f>
        <v>0</v>
      </c>
      <c r="K12" s="49">
        <f>COUNTIFS('5v5 entries'!D:D,A12&amp;A$1,'5v5 entries'!F:F,"Y")</f>
        <v>0</v>
      </c>
      <c r="L12" s="37">
        <f>COUNTIF('5v5 entries'!L:L,A12&amp;A$1)</f>
        <v>1</v>
      </c>
      <c r="M12" s="37">
        <f>F12/D12</f>
        <v>0.5</v>
      </c>
      <c r="N12" s="40">
        <f>COUNTIFS('5v5 entries'!D:D,A12&amp;A$1,'5v5 entries'!G:G,"L")</f>
        <v>0</v>
      </c>
      <c r="O12" s="40">
        <f>COUNTIFS('5v5 entries'!D:D,A12&amp;A$1,'5v5 entries'!G:G,"C")</f>
        <v>3</v>
      </c>
      <c r="P12" s="44">
        <f>COUNTIFS('5v5 entries'!D:D,A12&amp;A$1,'5v5 entries'!G:G,"R")</f>
        <v>2</v>
      </c>
    </row>
    <row r="13" spans="1:16" x14ac:dyDescent="0.25">
      <c r="A13" s="36">
        <v>43</v>
      </c>
      <c r="B13" s="36" t="s">
        <v>456</v>
      </c>
      <c r="C13" s="36" t="s">
        <v>74</v>
      </c>
      <c r="D13" s="37">
        <f>COUNTIF('5v5 entries'!D:D,A13&amp;A$1)-COUNTIF('5v5 entries'!L:L,A13&amp;A$1)</f>
        <v>5</v>
      </c>
      <c r="E13" s="37">
        <f>SUMIF('5v5 entries'!D:D,A13&amp;A$1,'5v5 entries'!J:J)</f>
        <v>1</v>
      </c>
      <c r="F13" s="37">
        <f>COUNTIF('5v5 entries'!I:I,A13&amp;A$1)</f>
        <v>2</v>
      </c>
      <c r="G13" s="37">
        <f>SUMIF('5v5 entries'!I:I,A13&amp;A$1,'5v5 entries'!J:J)</f>
        <v>1</v>
      </c>
      <c r="H13" s="37">
        <f t="shared" ref="H13:H14" si="9">D13-F13</f>
        <v>3</v>
      </c>
      <c r="I13" s="37">
        <f t="shared" ref="I13:I14" si="10">E13-G13</f>
        <v>0</v>
      </c>
      <c r="J13" s="44">
        <f>COUNTIFS('5v5 entries'!H:H,A13&amp;A$1)</f>
        <v>0</v>
      </c>
      <c r="K13" s="49">
        <f>COUNTIFS('5v5 entries'!D:D,A13&amp;A$1,'5v5 entries'!F:F,"Y")</f>
        <v>0</v>
      </c>
      <c r="L13" s="37">
        <f>COUNTIF('5v5 entries'!L:L,A13&amp;A$1)</f>
        <v>0</v>
      </c>
      <c r="M13" s="37">
        <f>F13/D13</f>
        <v>0.4</v>
      </c>
      <c r="N13" s="40">
        <f>COUNTIFS('5v5 entries'!D:D,A13&amp;A$1,'5v5 entries'!G:G,"L")</f>
        <v>1</v>
      </c>
      <c r="O13" s="40">
        <f>COUNTIFS('5v5 entries'!D:D,A13&amp;A$1,'5v5 entries'!G:G,"C")</f>
        <v>3</v>
      </c>
      <c r="P13" s="44">
        <f>COUNTIFS('5v5 entries'!D:D,A13&amp;A$1,'5v5 entries'!G:G,"R")</f>
        <v>1</v>
      </c>
    </row>
    <row r="14" spans="1:16" x14ac:dyDescent="0.25">
      <c r="A14" s="36">
        <v>62</v>
      </c>
      <c r="B14" s="36" t="s">
        <v>457</v>
      </c>
      <c r="C14" s="36" t="s">
        <v>84</v>
      </c>
      <c r="D14" s="37">
        <f>COUNTIF('5v5 entries'!D:D,A14&amp;A$1)-COUNTIF('5v5 entries'!L:L,A14&amp;A$1)</f>
        <v>4</v>
      </c>
      <c r="E14" s="37">
        <f>SUMIF('5v5 entries'!D:D,A14&amp;A$1,'5v5 entries'!J:J)</f>
        <v>4</v>
      </c>
      <c r="F14" s="37">
        <f>COUNTIF('5v5 entries'!I:I,A14&amp;A$1)</f>
        <v>2</v>
      </c>
      <c r="G14" s="37">
        <f>SUMIF('5v5 entries'!I:I,A14&amp;A$1,'5v5 entries'!J:J)</f>
        <v>2</v>
      </c>
      <c r="H14" s="37">
        <f t="shared" si="9"/>
        <v>2</v>
      </c>
      <c r="I14" s="37">
        <f t="shared" si="10"/>
        <v>2</v>
      </c>
      <c r="J14" s="44">
        <f>COUNTIFS('5v5 entries'!H:H,A14&amp;A$1)</f>
        <v>0</v>
      </c>
      <c r="K14" s="49">
        <f>COUNTIFS('5v5 entries'!D:D,A14&amp;A$1,'5v5 entries'!F:F,"Y")</f>
        <v>0</v>
      </c>
      <c r="L14" s="37">
        <f>COUNTIF('5v5 entries'!L:L,A14&amp;A$1)</f>
        <v>1</v>
      </c>
      <c r="M14" s="37">
        <f>F14/D14</f>
        <v>0.5</v>
      </c>
      <c r="N14" s="40">
        <f>COUNTIFS('5v5 entries'!D:D,A14&amp;A$1,'5v5 entries'!G:G,"L")</f>
        <v>1</v>
      </c>
      <c r="O14" s="40">
        <f>COUNTIFS('5v5 entries'!D:D,A14&amp;A$1,'5v5 entries'!G:G,"C")</f>
        <v>2</v>
      </c>
      <c r="P14" s="44">
        <f>COUNTIFS('5v5 entries'!D:D,A14&amp;A$1,'5v5 entries'!G:G,"R")</f>
        <v>2</v>
      </c>
    </row>
    <row r="15" spans="1:16" x14ac:dyDescent="0.25">
      <c r="A15" s="36"/>
      <c r="B15" s="36" t="s">
        <v>85</v>
      </c>
      <c r="C15" s="36"/>
      <c r="D15" s="36">
        <f t="shared" ref="D15:L15" si="11">D12+D13+D14</f>
        <v>13</v>
      </c>
      <c r="E15" s="36">
        <f t="shared" si="11"/>
        <v>8</v>
      </c>
      <c r="F15" s="36">
        <f t="shared" si="11"/>
        <v>6</v>
      </c>
      <c r="G15" s="36">
        <f t="shared" si="11"/>
        <v>5</v>
      </c>
      <c r="H15" s="36">
        <f t="shared" si="11"/>
        <v>7</v>
      </c>
      <c r="I15" s="36">
        <f t="shared" si="11"/>
        <v>3</v>
      </c>
      <c r="J15" s="36">
        <f t="shared" si="11"/>
        <v>0</v>
      </c>
      <c r="K15" s="47">
        <f t="shared" si="11"/>
        <v>0</v>
      </c>
      <c r="L15" s="36">
        <f t="shared" si="11"/>
        <v>2</v>
      </c>
      <c r="M15" s="36">
        <f>F15/D15</f>
        <v>0.46153846153846156</v>
      </c>
      <c r="N15" s="40">
        <f>SUM(N12:N14)</f>
        <v>2</v>
      </c>
      <c r="O15" s="40">
        <f t="shared" ref="O15" si="12">SUM(O12:O14)</f>
        <v>8</v>
      </c>
      <c r="P15" s="40">
        <f t="shared" ref="P15" si="13">SUM(P12:P14)</f>
        <v>5</v>
      </c>
    </row>
    <row r="17" spans="1:16" x14ac:dyDescent="0.25">
      <c r="A17" s="36">
        <v>29</v>
      </c>
      <c r="B17" s="36" t="s">
        <v>458</v>
      </c>
      <c r="C17" s="36" t="s">
        <v>83</v>
      </c>
      <c r="D17" s="37">
        <f>COUNTIF('5v5 entries'!D:D,A17&amp;A$1)-COUNTIF('5v5 entries'!L:L,A17&amp;A$1)</f>
        <v>2</v>
      </c>
      <c r="E17" s="37">
        <f>SUMIF('5v5 entries'!D:D,A17&amp;A$1,'5v5 entries'!J:J)</f>
        <v>0</v>
      </c>
      <c r="F17" s="37">
        <f>COUNTIF('5v5 entries'!I:I,A17&amp;A$1)</f>
        <v>1</v>
      </c>
      <c r="G17" s="37">
        <f>SUMIF('5v5 entries'!I:I,A17&amp;A$1,'5v5 entries'!J:J)</f>
        <v>0</v>
      </c>
      <c r="H17" s="37">
        <f>D17-F17</f>
        <v>1</v>
      </c>
      <c r="I17" s="37">
        <f>E17-G17</f>
        <v>0</v>
      </c>
      <c r="J17" s="44">
        <f>COUNTIFS('5v5 entries'!H:H,A17&amp;A$1)</f>
        <v>0</v>
      </c>
      <c r="K17" s="49">
        <f>COUNTIFS('5v5 entries'!D:D,A17&amp;A$1,'5v5 entries'!F:F,"Y")</f>
        <v>0</v>
      </c>
      <c r="L17" s="37">
        <f>COUNTIF('5v5 entries'!L:L,A17&amp;A$1)</f>
        <v>1</v>
      </c>
      <c r="M17" s="37">
        <f>F17/D17</f>
        <v>0.5</v>
      </c>
      <c r="N17" s="40">
        <f>COUNTIFS('5v5 entries'!D:D,A17&amp;A$1,'5v5 entries'!G:G,"L")</f>
        <v>2</v>
      </c>
      <c r="O17" s="40">
        <f>COUNTIFS('5v5 entries'!D:D,A17&amp;A$1,'5v5 entries'!G:G,"C")</f>
        <v>1</v>
      </c>
      <c r="P17" s="44">
        <f>COUNTIFS('5v5 entries'!D:D,A17&amp;A$1,'5v5 entries'!G:G,"R")</f>
        <v>0</v>
      </c>
    </row>
    <row r="18" spans="1:16" x14ac:dyDescent="0.25">
      <c r="A18" s="36">
        <v>41</v>
      </c>
      <c r="B18" s="36" t="s">
        <v>459</v>
      </c>
      <c r="C18" s="36" t="s">
        <v>74</v>
      </c>
      <c r="D18" s="37">
        <f>COUNTIF('5v5 entries'!D:D,A18&amp;A$1)-COUNTIF('5v5 entries'!L:L,A18&amp;A$1)</f>
        <v>7</v>
      </c>
      <c r="E18" s="37">
        <f>SUMIF('5v5 entries'!D:D,A18&amp;A$1,'5v5 entries'!J:J)</f>
        <v>8</v>
      </c>
      <c r="F18" s="37">
        <f>COUNTIF('5v5 entries'!I:I,A18&amp;A$1)</f>
        <v>5</v>
      </c>
      <c r="G18" s="37">
        <f>SUMIF('5v5 entries'!I:I,A18&amp;A$1,'5v5 entries'!J:J)</f>
        <v>6</v>
      </c>
      <c r="H18" s="37">
        <f t="shared" ref="H18:H19" si="14">D18-F18</f>
        <v>2</v>
      </c>
      <c r="I18" s="37">
        <f t="shared" ref="I18:I19" si="15">E18-G18</f>
        <v>2</v>
      </c>
      <c r="J18" s="44">
        <f>COUNTIFS('5v5 entries'!H:H,A18&amp;A$1)</f>
        <v>0</v>
      </c>
      <c r="K18" s="49">
        <f>COUNTIFS('5v5 entries'!D:D,A18&amp;A$1,'5v5 entries'!F:F,"Y")</f>
        <v>2</v>
      </c>
      <c r="L18" s="37">
        <f>COUNTIF('5v5 entries'!L:L,A18&amp;A$1)</f>
        <v>0</v>
      </c>
      <c r="M18" s="37">
        <f>F18/D18</f>
        <v>0.7142857142857143</v>
      </c>
      <c r="N18" s="40">
        <f>COUNTIFS('5v5 entries'!D:D,A18&amp;A$1,'5v5 entries'!G:G,"L")</f>
        <v>1</v>
      </c>
      <c r="O18" s="40">
        <f>COUNTIFS('5v5 entries'!D:D,A18&amp;A$1,'5v5 entries'!G:G,"C")</f>
        <v>3</v>
      </c>
      <c r="P18" s="44">
        <f>COUNTIFS('5v5 entries'!D:D,A18&amp;A$1,'5v5 entries'!G:G,"R")</f>
        <v>3</v>
      </c>
    </row>
    <row r="19" spans="1:16" x14ac:dyDescent="0.25">
      <c r="A19" s="36">
        <v>20</v>
      </c>
      <c r="B19" s="36" t="s">
        <v>460</v>
      </c>
      <c r="C19" s="36" t="s">
        <v>84</v>
      </c>
      <c r="D19" s="37">
        <f>COUNTIF('5v5 entries'!D:D,A19&amp;A$1)-COUNTIF('5v5 entries'!L:L,A19&amp;A$1)</f>
        <v>0</v>
      </c>
      <c r="E19" s="37">
        <f>SUMIF('5v5 entries'!D:D,A19&amp;A$1,'5v5 entries'!J:J)</f>
        <v>0</v>
      </c>
      <c r="F19" s="37">
        <f>COUNTIF('5v5 entries'!I:I,A19&amp;A$1)</f>
        <v>0</v>
      </c>
      <c r="G19" s="37">
        <f>SUMIF('5v5 entries'!I:I,A19&amp;A$1,'5v5 entries'!J:J)</f>
        <v>0</v>
      </c>
      <c r="H19" s="37">
        <f t="shared" si="14"/>
        <v>0</v>
      </c>
      <c r="I19" s="37">
        <f t="shared" si="15"/>
        <v>0</v>
      </c>
      <c r="J19" s="44">
        <f>COUNTIFS('5v5 entries'!H:H,A19&amp;A$1)</f>
        <v>1</v>
      </c>
      <c r="K19" s="49">
        <f>COUNTIFS('5v5 entries'!D:D,A19&amp;A$1,'5v5 entries'!F:F,"Y")</f>
        <v>0</v>
      </c>
      <c r="L19" s="37">
        <f>COUNTIF('5v5 entries'!L:L,A19&amp;A$1)</f>
        <v>0</v>
      </c>
      <c r="M19" s="37" t="e">
        <f>F19/D19</f>
        <v>#DIV/0!</v>
      </c>
      <c r="N19" s="40">
        <f>COUNTIFS('5v5 entries'!D:D,A19&amp;A$1,'5v5 entries'!G:G,"L")</f>
        <v>0</v>
      </c>
      <c r="O19" s="40">
        <f>COUNTIFS('5v5 entries'!D:D,A19&amp;A$1,'5v5 entries'!G:G,"C")</f>
        <v>0</v>
      </c>
      <c r="P19" s="44">
        <f>COUNTIFS('5v5 entries'!D:D,A19&amp;A$1,'5v5 entries'!G:G,"R")</f>
        <v>0</v>
      </c>
    </row>
    <row r="20" spans="1:16" x14ac:dyDescent="0.25">
      <c r="A20" s="36"/>
      <c r="B20" s="36" t="s">
        <v>85</v>
      </c>
      <c r="C20" s="36"/>
      <c r="D20" s="36">
        <f t="shared" ref="D20:L20" si="16">D17+D18+D19</f>
        <v>9</v>
      </c>
      <c r="E20" s="36">
        <f t="shared" si="16"/>
        <v>8</v>
      </c>
      <c r="F20" s="36">
        <f t="shared" si="16"/>
        <v>6</v>
      </c>
      <c r="G20" s="36">
        <f t="shared" si="16"/>
        <v>6</v>
      </c>
      <c r="H20" s="36">
        <f t="shared" si="16"/>
        <v>3</v>
      </c>
      <c r="I20" s="36">
        <f t="shared" si="16"/>
        <v>2</v>
      </c>
      <c r="J20" s="36">
        <f t="shared" si="16"/>
        <v>1</v>
      </c>
      <c r="K20" s="47">
        <f t="shared" si="16"/>
        <v>2</v>
      </c>
      <c r="L20" s="36">
        <f t="shared" si="16"/>
        <v>1</v>
      </c>
      <c r="M20" s="36">
        <f>F20/D20</f>
        <v>0.66666666666666663</v>
      </c>
      <c r="N20" s="40">
        <f>SUM(N17:N19)</f>
        <v>3</v>
      </c>
      <c r="O20" s="40">
        <f t="shared" ref="O20" si="17">SUM(O17:O19)</f>
        <v>4</v>
      </c>
      <c r="P20" s="40">
        <f t="shared" ref="P20" si="18">SUM(P17:P19)</f>
        <v>3</v>
      </c>
    </row>
    <row r="22" spans="1:16" x14ac:dyDescent="0.25">
      <c r="A22" s="36">
        <v>65</v>
      </c>
      <c r="B22" s="36" t="s">
        <v>461</v>
      </c>
      <c r="C22" s="36" t="s">
        <v>86</v>
      </c>
      <c r="D22" s="37">
        <f>COUNTIF('5v5 entries'!D:D,A22&amp;A$1)-COUNTIF('5v5 entries'!L:L,A22&amp;A$1)</f>
        <v>0</v>
      </c>
      <c r="E22" s="37">
        <f>SUMIF('5v5 entries'!D:D,A22&amp;A$1,'5v5 entries'!J:J)</f>
        <v>0</v>
      </c>
      <c r="F22" s="37">
        <f>COUNTIF('5v5 entries'!I:I,A22&amp;A$1)</f>
        <v>0</v>
      </c>
      <c r="G22" s="37">
        <f>SUMIF('5v5 entries'!I:I,A22&amp;A$1,'5v5 entries'!J:J)</f>
        <v>0</v>
      </c>
      <c r="H22" s="37">
        <f t="shared" ref="H22:H23" si="19">D22-F22</f>
        <v>0</v>
      </c>
      <c r="I22" s="37">
        <f t="shared" ref="I22:I23" si="20">E22-G22</f>
        <v>0</v>
      </c>
      <c r="J22" s="44">
        <f>COUNTIFS('5v5 entries'!H:H,A22&amp;A$1)</f>
        <v>0</v>
      </c>
      <c r="K22" s="49">
        <f>COUNTIFS('5v5 entries'!D:D,A22&amp;A$1,'5v5 entries'!F:F,"Y")</f>
        <v>0</v>
      </c>
      <c r="L22" s="37">
        <f>COUNTIF('5v5 entries'!L:L,A22&amp;A$1)</f>
        <v>0</v>
      </c>
      <c r="M22" s="37" t="e">
        <f>F22/D22</f>
        <v>#DIV/0!</v>
      </c>
      <c r="N22" s="40">
        <f>COUNTIFS('5v5 entries'!D:D,A22&amp;A$1,'5v5 entries'!G:G,"L")</f>
        <v>0</v>
      </c>
      <c r="O22" s="40">
        <f>COUNTIFS('5v5 entries'!D:D,A22&amp;A$1,'5v5 entries'!G:G,"C")</f>
        <v>0</v>
      </c>
      <c r="P22" s="40">
        <f>COUNTIFS('5v5 entries'!D:D,A22&amp;A$1,'5v5 entries'!G:G,"R")</f>
        <v>0</v>
      </c>
    </row>
    <row r="23" spans="1:16" x14ac:dyDescent="0.25">
      <c r="A23" s="36">
        <v>25</v>
      </c>
      <c r="B23" s="36" t="s">
        <v>462</v>
      </c>
      <c r="C23" s="36" t="s">
        <v>87</v>
      </c>
      <c r="D23" s="37">
        <f>COUNTIF('5v5 entries'!D:D,A23&amp;A$1)-COUNTIF('5v5 entries'!L:L,A23&amp;A$1)</f>
        <v>3</v>
      </c>
      <c r="E23" s="37">
        <f>SUMIF('5v5 entries'!D:D,A23&amp;A$1,'5v5 entries'!J:J)</f>
        <v>0</v>
      </c>
      <c r="F23" s="37">
        <f>COUNTIF('5v5 entries'!I:I,A23&amp;A$1)</f>
        <v>2</v>
      </c>
      <c r="G23" s="37">
        <f>SUMIF('5v5 entries'!I:I,A23&amp;A$1,'5v5 entries'!J:J)</f>
        <v>0</v>
      </c>
      <c r="H23" s="37">
        <f t="shared" si="19"/>
        <v>1</v>
      </c>
      <c r="I23" s="37">
        <f t="shared" si="20"/>
        <v>0</v>
      </c>
      <c r="J23" s="44">
        <f>COUNTIFS('5v5 entries'!H:H,A23&amp;A$1)</f>
        <v>0</v>
      </c>
      <c r="K23" s="49">
        <f>COUNTIFS('5v5 entries'!D:D,A23&amp;A$1,'5v5 entries'!F:F,"Y")</f>
        <v>1</v>
      </c>
      <c r="L23" s="37">
        <f>COUNTIF('5v5 entries'!L:L,A23&amp;A$1)</f>
        <v>0</v>
      </c>
      <c r="M23" s="37">
        <f>F23/D23</f>
        <v>0.66666666666666663</v>
      </c>
      <c r="N23" s="40">
        <f>COUNTIFS('5v5 entries'!D:D,A23&amp;A$1,'5v5 entries'!G:G,"L")</f>
        <v>0</v>
      </c>
      <c r="O23" s="40">
        <f>COUNTIFS('5v5 entries'!D:D,A23&amp;A$1,'5v5 entries'!G:G,"C")</f>
        <v>0</v>
      </c>
      <c r="P23" s="44">
        <f>COUNTIFS('5v5 entries'!D:D,A23&amp;A$1,'5v5 entries'!G:G,"R")</f>
        <v>3</v>
      </c>
    </row>
    <row r="24" spans="1:16" x14ac:dyDescent="0.25">
      <c r="A24" s="36"/>
      <c r="B24" s="36" t="s">
        <v>85</v>
      </c>
      <c r="C24" s="36"/>
      <c r="D24" s="37">
        <f t="shared" ref="D24:L24" si="21">D21+D22+D23</f>
        <v>3</v>
      </c>
      <c r="E24" s="37">
        <f t="shared" si="21"/>
        <v>0</v>
      </c>
      <c r="F24" s="37">
        <f t="shared" si="21"/>
        <v>2</v>
      </c>
      <c r="G24" s="37">
        <f t="shared" si="21"/>
        <v>0</v>
      </c>
      <c r="H24" s="37">
        <f t="shared" si="21"/>
        <v>1</v>
      </c>
      <c r="I24" s="37">
        <f t="shared" si="21"/>
        <v>0</v>
      </c>
      <c r="J24" s="37">
        <f t="shared" si="21"/>
        <v>0</v>
      </c>
      <c r="K24" s="49">
        <f t="shared" si="21"/>
        <v>1</v>
      </c>
      <c r="L24" s="37">
        <f t="shared" si="21"/>
        <v>0</v>
      </c>
      <c r="M24" s="37">
        <f>F24/D24</f>
        <v>0.66666666666666663</v>
      </c>
      <c r="N24" s="40">
        <f>SUM(N21:N23)</f>
        <v>0</v>
      </c>
      <c r="O24" s="40">
        <f t="shared" ref="O24" si="22">SUM(O21:O23)</f>
        <v>0</v>
      </c>
      <c r="P24" s="40">
        <f t="shared" ref="P24" si="23">SUM(P21:P23)</f>
        <v>3</v>
      </c>
    </row>
    <row r="26" spans="1:16" x14ac:dyDescent="0.25">
      <c r="A26" s="36">
        <v>52</v>
      </c>
      <c r="B26" s="36" t="s">
        <v>463</v>
      </c>
      <c r="C26" s="36" t="s">
        <v>86</v>
      </c>
      <c r="D26" s="37">
        <f>COUNTIF('5v5 entries'!D:D,A26&amp;A$1)-COUNTIF('5v5 entries'!L:L,A26&amp;A$1)</f>
        <v>1</v>
      </c>
      <c r="E26" s="37">
        <f>SUMIF('5v5 entries'!D:D,A26&amp;A$1,'5v5 entries'!J:J)</f>
        <v>2</v>
      </c>
      <c r="F26" s="37">
        <f>COUNTIF('5v5 entries'!I:I,A26&amp;A$1)</f>
        <v>0</v>
      </c>
      <c r="G26" s="37">
        <f>SUMIF('5v5 entries'!I:I,A26&amp;A$1,'5v5 entries'!J:J)</f>
        <v>0</v>
      </c>
      <c r="H26" s="37">
        <f t="shared" ref="H26:H27" si="24">D26-F26</f>
        <v>1</v>
      </c>
      <c r="I26" s="37">
        <f t="shared" ref="I26:I27" si="25">E26-G26</f>
        <v>2</v>
      </c>
      <c r="J26" s="44">
        <f>COUNTIFS('5v5 entries'!H:H,A26&amp;A$1)</f>
        <v>0</v>
      </c>
      <c r="K26" s="49">
        <f>COUNTIFS('5v5 entries'!D:D,A26&amp;A$1,'5v5 entries'!F:F,"Y")</f>
        <v>0</v>
      </c>
      <c r="L26" s="37">
        <f>COUNTIF('5v5 entries'!L:L,A26&amp;A$1)</f>
        <v>0</v>
      </c>
      <c r="M26" s="37">
        <f>F26/D26</f>
        <v>0</v>
      </c>
      <c r="N26" s="40">
        <f>COUNTIFS('5v5 entries'!D:D,A26&amp;A$1,'5v5 entries'!G:G,"L")</f>
        <v>1</v>
      </c>
      <c r="O26" s="40">
        <f>COUNTIFS('5v5 entries'!D:D,A26&amp;A$1,'5v5 entries'!G:G,"C")</f>
        <v>0</v>
      </c>
      <c r="P26" s="44">
        <f>COUNTIFS('5v5 entries'!D:D,A26&amp;A$1,'5v5 entries'!G:G,"R")</f>
        <v>0</v>
      </c>
    </row>
    <row r="27" spans="1:16" x14ac:dyDescent="0.25">
      <c r="A27" s="36">
        <v>53</v>
      </c>
      <c r="B27" s="36" t="s">
        <v>464</v>
      </c>
      <c r="C27" s="36" t="s">
        <v>87</v>
      </c>
      <c r="D27" s="37">
        <f>COUNTIF('5v5 entries'!D:D,A27&amp;A$1)-COUNTIF('5v5 entries'!L:L,A27&amp;A$1)</f>
        <v>1</v>
      </c>
      <c r="E27" s="37">
        <f>SUMIF('5v5 entries'!D:D,A27&amp;A$1,'5v5 entries'!J:J)</f>
        <v>0</v>
      </c>
      <c r="F27" s="37">
        <f>COUNTIF('5v5 entries'!I:I,A27&amp;A$1)</f>
        <v>1</v>
      </c>
      <c r="G27" s="37">
        <f>SUMIF('5v5 entries'!I:I,A27&amp;A$1,'5v5 entries'!J:J)</f>
        <v>0</v>
      </c>
      <c r="H27" s="37">
        <f t="shared" si="24"/>
        <v>0</v>
      </c>
      <c r="I27" s="37">
        <f t="shared" si="25"/>
        <v>0</v>
      </c>
      <c r="J27" s="44">
        <f>COUNTIFS('5v5 entries'!H:H,A27&amp;A$1)</f>
        <v>0</v>
      </c>
      <c r="K27" s="49">
        <f>COUNTIFS('5v5 entries'!D:D,A27&amp;A$1,'5v5 entries'!F:F,"Y")</f>
        <v>0</v>
      </c>
      <c r="L27" s="37">
        <f>COUNTIF('5v5 entries'!L:L,A27&amp;A$1)</f>
        <v>0</v>
      </c>
      <c r="M27" s="37">
        <f>F27/D27</f>
        <v>1</v>
      </c>
      <c r="N27" s="40">
        <f>COUNTIFS('5v5 entries'!D:D,A27&amp;A$1,'5v5 entries'!G:G,"L")</f>
        <v>0</v>
      </c>
      <c r="O27" s="40">
        <f>COUNTIFS('5v5 entries'!D:D,A27&amp;A$1,'5v5 entries'!G:G,"C")</f>
        <v>0</v>
      </c>
      <c r="P27" s="44">
        <f>COUNTIFS('5v5 entries'!D:D,A27&amp;A$1,'5v5 entries'!G:G,"R")</f>
        <v>1</v>
      </c>
    </row>
    <row r="28" spans="1:16" x14ac:dyDescent="0.25">
      <c r="A28" s="36"/>
      <c r="B28" s="36" t="s">
        <v>85</v>
      </c>
      <c r="C28" s="36"/>
      <c r="D28" s="37">
        <f t="shared" ref="D28:L28" si="26">D25+D26+D27</f>
        <v>2</v>
      </c>
      <c r="E28" s="37">
        <f t="shared" si="26"/>
        <v>2</v>
      </c>
      <c r="F28" s="37">
        <f t="shared" si="26"/>
        <v>1</v>
      </c>
      <c r="G28" s="37">
        <f t="shared" si="26"/>
        <v>0</v>
      </c>
      <c r="H28" s="37">
        <f t="shared" si="26"/>
        <v>1</v>
      </c>
      <c r="I28" s="37">
        <f t="shared" si="26"/>
        <v>2</v>
      </c>
      <c r="J28" s="37">
        <f t="shared" si="26"/>
        <v>0</v>
      </c>
      <c r="K28" s="49">
        <f t="shared" si="26"/>
        <v>0</v>
      </c>
      <c r="L28" s="37">
        <f t="shared" si="26"/>
        <v>0</v>
      </c>
      <c r="M28" s="37">
        <f>F28/D28</f>
        <v>0.5</v>
      </c>
      <c r="N28" s="40">
        <f>SUM(N25:N27)</f>
        <v>1</v>
      </c>
      <c r="O28" s="40">
        <f t="shared" ref="O28" si="27">SUM(O25:O27)</f>
        <v>0</v>
      </c>
      <c r="P28" s="40">
        <f t="shared" ref="P28" si="28">SUM(P25:P27)</f>
        <v>1</v>
      </c>
    </row>
    <row r="30" spans="1:16" x14ac:dyDescent="0.25">
      <c r="A30" s="36">
        <v>2</v>
      </c>
      <c r="B30" s="36" t="s">
        <v>465</v>
      </c>
      <c r="C30" s="36" t="s">
        <v>86</v>
      </c>
      <c r="D30" s="37">
        <f>COUNTIF('5v5 entries'!D:D,A30&amp;A$1)-COUNTIF('5v5 entries'!L:L,A30&amp;A$1)</f>
        <v>2</v>
      </c>
      <c r="E30" s="37">
        <f>SUMIF('5v5 entries'!D:D,A30&amp;A$1,'5v5 entries'!J:J)</f>
        <v>1</v>
      </c>
      <c r="F30" s="37">
        <f>COUNTIF('5v5 entries'!I:I,A30&amp;A$1)</f>
        <v>1</v>
      </c>
      <c r="G30" s="37">
        <f>SUMIF('5v5 entries'!I:I,A30&amp;A$1,'5v5 entries'!J:J)</f>
        <v>1</v>
      </c>
      <c r="H30" s="37">
        <f t="shared" ref="H30:H31" si="29">D30-F30</f>
        <v>1</v>
      </c>
      <c r="I30" s="37">
        <f t="shared" ref="I30:I31" si="30">E30-G30</f>
        <v>0</v>
      </c>
      <c r="J30" s="44">
        <f>COUNTIFS('5v5 entries'!H:H,A30&amp;A$1)</f>
        <v>0</v>
      </c>
      <c r="K30" s="49">
        <f>COUNTIFS('5v5 entries'!D:D,A30&amp;A$1,'5v5 entries'!F:F,"Y")</f>
        <v>0</v>
      </c>
      <c r="L30" s="37">
        <f>COUNTIF('5v5 entries'!L:L,A30&amp;A$1)</f>
        <v>0</v>
      </c>
      <c r="M30" s="37">
        <f>F30/D30</f>
        <v>0.5</v>
      </c>
      <c r="N30" s="40">
        <f>COUNTIFS('5v5 entries'!D:D,A30&amp;A$1,'5v5 entries'!G:G,"L")</f>
        <v>2</v>
      </c>
      <c r="O30" s="40">
        <f>COUNTIFS('5v5 entries'!D:D,A30&amp;A$1,'5v5 entries'!G:G,"C")</f>
        <v>0</v>
      </c>
      <c r="P30" s="44">
        <f>COUNTIFS('5v5 entries'!D:D,A30&amp;A$1,'5v5 entries'!G:G,"R")</f>
        <v>0</v>
      </c>
    </row>
    <row r="31" spans="1:16" x14ac:dyDescent="0.25">
      <c r="A31" s="36">
        <v>48</v>
      </c>
      <c r="B31" s="36" t="s">
        <v>466</v>
      </c>
      <c r="C31" s="36" t="s">
        <v>87</v>
      </c>
      <c r="D31" s="37">
        <f>COUNTIF('5v5 entries'!D:D,A31&amp;A$1)-COUNTIF('5v5 entries'!L:L,A31&amp;A$1)</f>
        <v>0</v>
      </c>
      <c r="E31" s="37">
        <f>SUMIF('5v5 entries'!D:D,A31&amp;A$1,'5v5 entries'!J:J)</f>
        <v>0</v>
      </c>
      <c r="F31" s="37">
        <f>COUNTIF('5v5 entries'!I:I,A31&amp;A$1)</f>
        <v>0</v>
      </c>
      <c r="G31" s="37">
        <f>SUMIF('5v5 entries'!I:I,A31&amp;A$1,'5v5 entries'!J:J)</f>
        <v>0</v>
      </c>
      <c r="H31" s="37">
        <f t="shared" si="29"/>
        <v>0</v>
      </c>
      <c r="I31" s="37">
        <f t="shared" si="30"/>
        <v>0</v>
      </c>
      <c r="J31" s="44">
        <f>COUNTIFS('5v5 entries'!H:H,A31&amp;A$1)</f>
        <v>0</v>
      </c>
      <c r="K31" s="49">
        <f>COUNTIFS('5v5 entries'!D:D,A31&amp;A$1,'5v5 entries'!F:F,"Y")</f>
        <v>0</v>
      </c>
      <c r="L31" s="37">
        <f>COUNTIF('5v5 entries'!L:L,A31&amp;A$1)</f>
        <v>0</v>
      </c>
      <c r="M31" s="37" t="e">
        <f>F31/D31</f>
        <v>#DIV/0!</v>
      </c>
      <c r="N31" s="40">
        <f>COUNTIFS('5v5 entries'!D:D,A31&amp;A$1,'5v5 entries'!G:G,"L")</f>
        <v>0</v>
      </c>
      <c r="O31" s="40">
        <f>COUNTIFS('5v5 entries'!D:D,A31&amp;A$1,'5v5 entries'!G:G,"C")</f>
        <v>0</v>
      </c>
      <c r="P31" s="44">
        <f>COUNTIFS('5v5 entries'!D:D,A31&amp;A$1,'5v5 entries'!G:G,"R")</f>
        <v>0</v>
      </c>
    </row>
    <row r="32" spans="1:16" x14ac:dyDescent="0.25">
      <c r="A32" s="36"/>
      <c r="B32" s="36" t="s">
        <v>85</v>
      </c>
      <c r="C32" s="36"/>
      <c r="D32" s="37">
        <f t="shared" ref="D32:L32" si="31">D29+D30+D31</f>
        <v>2</v>
      </c>
      <c r="E32" s="37">
        <f t="shared" si="31"/>
        <v>1</v>
      </c>
      <c r="F32" s="37">
        <f t="shared" si="31"/>
        <v>1</v>
      </c>
      <c r="G32" s="37">
        <f t="shared" si="31"/>
        <v>1</v>
      </c>
      <c r="H32" s="37">
        <f t="shared" si="31"/>
        <v>1</v>
      </c>
      <c r="I32" s="37">
        <f t="shared" si="31"/>
        <v>0</v>
      </c>
      <c r="J32" s="37">
        <f t="shared" si="31"/>
        <v>0</v>
      </c>
      <c r="K32" s="49">
        <f t="shared" si="31"/>
        <v>0</v>
      </c>
      <c r="L32" s="37">
        <f t="shared" si="31"/>
        <v>0</v>
      </c>
      <c r="M32" s="37">
        <f>F32/D32</f>
        <v>0.5</v>
      </c>
      <c r="N32" s="40">
        <f>SUM(N29:N31)</f>
        <v>2</v>
      </c>
      <c r="O32" s="40">
        <f t="shared" ref="O32" si="32">SUM(O29:O31)</f>
        <v>0</v>
      </c>
      <c r="P32" s="40">
        <f t="shared" ref="P32" si="33">SUM(P29:P31)</f>
        <v>0</v>
      </c>
    </row>
    <row r="33" spans="4:16" x14ac:dyDescent="0.25">
      <c r="D33">
        <f>D5+D10+D15+D20+D24+D28+D32</f>
        <v>63</v>
      </c>
      <c r="E33" s="42">
        <f t="shared" ref="E33:L33" si="34">E5+E10+E15+E20+E24+E28+E32</f>
        <v>38</v>
      </c>
      <c r="F33" s="42">
        <f t="shared" si="34"/>
        <v>38</v>
      </c>
      <c r="G33" s="42">
        <f t="shared" si="34"/>
        <v>28</v>
      </c>
      <c r="H33" s="42">
        <f t="shared" si="34"/>
        <v>25</v>
      </c>
      <c r="I33" s="42">
        <f t="shared" si="34"/>
        <v>10</v>
      </c>
      <c r="J33" s="42">
        <f t="shared" si="34"/>
        <v>4</v>
      </c>
      <c r="K33" s="46">
        <f t="shared" si="34"/>
        <v>13</v>
      </c>
      <c r="L33" s="42">
        <f t="shared" si="34"/>
        <v>3</v>
      </c>
      <c r="M33" s="42"/>
      <c r="N33" s="42">
        <f t="shared" ref="N33" si="35">N5+N10+N15+N20+N24+N28+N32</f>
        <v>21</v>
      </c>
      <c r="O33" s="42">
        <f t="shared" ref="O33" si="36">O5+O10+O15+O20+O24+O28+O32</f>
        <v>24</v>
      </c>
      <c r="P33" s="42">
        <f t="shared" ref="P33" si="37">P5+P10+P15+P20+P24+P28+P32</f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3"/>
  <sheetViews>
    <sheetView workbookViewId="0">
      <selection activeCell="A32" sqref="A1:P32"/>
    </sheetView>
  </sheetViews>
  <sheetFormatPr defaultRowHeight="15" x14ac:dyDescent="0.25"/>
  <cols>
    <col min="1" max="1" width="5.28515625" bestFit="1" customWidth="1"/>
    <col min="2" max="2" width="13.42578125" bestFit="1" customWidth="1"/>
    <col min="3" max="3" width="4.140625" bestFit="1" customWidth="1"/>
    <col min="4" max="4" width="10.5703125" bestFit="1" customWidth="1"/>
    <col min="5" max="5" width="5.85546875" bestFit="1" customWidth="1"/>
    <col min="6" max="6" width="10.5703125" bestFit="1" customWidth="1"/>
    <col min="7" max="7" width="15.5703125" bestFit="1" customWidth="1"/>
    <col min="8" max="8" width="10.5703125" bestFit="1" customWidth="1"/>
    <col min="9" max="9" width="15.5703125" bestFit="1" customWidth="1"/>
    <col min="10" max="10" width="17.28515625" bestFit="1" customWidth="1"/>
    <col min="11" max="11" width="6.85546875" style="46" bestFit="1" customWidth="1"/>
    <col min="12" max="12" width="13.140625" bestFit="1" customWidth="1"/>
    <col min="13" max="13" width="9.5703125" bestFit="1" customWidth="1"/>
    <col min="14" max="14" width="4.42578125" style="44" bestFit="1" customWidth="1"/>
    <col min="15" max="15" width="7" style="44" bestFit="1" customWidth="1"/>
    <col min="16" max="16" width="5.5703125" style="44" bestFit="1" customWidth="1"/>
  </cols>
  <sheetData>
    <row r="1" spans="1:16" x14ac:dyDescent="0.25">
      <c r="A1" s="36" t="s">
        <v>149</v>
      </c>
      <c r="B1" s="36" t="s">
        <v>3</v>
      </c>
      <c r="C1" s="36" t="s">
        <v>65</v>
      </c>
      <c r="D1" s="36" t="s">
        <v>75</v>
      </c>
      <c r="E1" s="36" t="s">
        <v>76</v>
      </c>
      <c r="F1" s="36" t="s">
        <v>77</v>
      </c>
      <c r="G1" s="36" t="s">
        <v>78</v>
      </c>
      <c r="H1" s="36" t="s">
        <v>79</v>
      </c>
      <c r="I1" s="36" t="s">
        <v>80</v>
      </c>
      <c r="J1" s="36" t="s">
        <v>81</v>
      </c>
      <c r="K1" s="47" t="s">
        <v>101</v>
      </c>
      <c r="L1" s="36" t="s">
        <v>82</v>
      </c>
      <c r="M1" s="36" t="s">
        <v>72</v>
      </c>
      <c r="N1" s="43" t="s">
        <v>92</v>
      </c>
      <c r="O1" s="43" t="s">
        <v>93</v>
      </c>
      <c r="P1" s="43" t="s">
        <v>94</v>
      </c>
    </row>
    <row r="2" spans="1:16" x14ac:dyDescent="0.25">
      <c r="A2" s="36">
        <v>19</v>
      </c>
      <c r="B2" s="36" t="s">
        <v>467</v>
      </c>
      <c r="C2" s="36" t="s">
        <v>83</v>
      </c>
      <c r="D2" s="37">
        <f>COUNTIF('5v5 entries'!D:D,A2&amp;A$1)-COUNTIF('5v5 entries'!L:L,A2&amp;A$1)</f>
        <v>3</v>
      </c>
      <c r="E2" s="37">
        <f>SUMIF('5v5 entries'!D:D,A2&amp;A$1,'5v5 entries'!J:J)</f>
        <v>1</v>
      </c>
      <c r="F2" s="37">
        <f>COUNTIF('5v5 entries'!I:I,A2&amp;A$1)</f>
        <v>1</v>
      </c>
      <c r="G2" s="37">
        <f>SUMIF('5v5 entries'!I:I,A2&amp;A$1,'5v5 entries'!J:J)</f>
        <v>0</v>
      </c>
      <c r="H2" s="37">
        <f>D2-F2</f>
        <v>2</v>
      </c>
      <c r="I2" s="37">
        <f>E2-G2</f>
        <v>1</v>
      </c>
      <c r="J2" s="37">
        <f>COUNTIFS('5v5 entries'!H:H,A2&amp;A$1)</f>
        <v>2</v>
      </c>
      <c r="K2" s="49">
        <f>COUNTIFS('5v5 entries'!D:D,A2&amp;A$1,'5v5 entries'!F:F,"Y")</f>
        <v>0</v>
      </c>
      <c r="L2" s="37">
        <f>COUNTIF('5v5 entries'!L:L,A2&amp;A$1)</f>
        <v>0</v>
      </c>
      <c r="M2" s="37">
        <f>F2/D2</f>
        <v>0.33333333333333331</v>
      </c>
      <c r="N2" s="44">
        <f>COUNTIFS('5v5 entries'!D:D,A2&amp;A$1,'5v5 entries'!G:G,"L")</f>
        <v>2</v>
      </c>
      <c r="O2" s="44">
        <f>COUNTIFS('5v5 entries'!D:D,A2&amp;A$1,'5v5 entries'!G:G,"C")</f>
        <v>0</v>
      </c>
      <c r="P2" s="49">
        <f>COUNTIFS('5v5 entries'!D:D,A2&amp;A$1,'5v5 entries'!G:G,"R")</f>
        <v>1</v>
      </c>
    </row>
    <row r="3" spans="1:16" x14ac:dyDescent="0.25">
      <c r="A3" s="36">
        <v>92</v>
      </c>
      <c r="B3" s="36" t="s">
        <v>468</v>
      </c>
      <c r="C3" s="36" t="s">
        <v>74</v>
      </c>
      <c r="D3" s="37">
        <f>COUNTIF('5v5 entries'!D:D,A3&amp;A$1)-COUNTIF('5v5 entries'!L:L,A3&amp;A$1)</f>
        <v>2</v>
      </c>
      <c r="E3" s="37">
        <f>SUMIF('5v5 entries'!D:D,A3&amp;A$1,'5v5 entries'!J:J)</f>
        <v>6</v>
      </c>
      <c r="F3" s="37">
        <f>COUNTIF('5v5 entries'!I:I,A3&amp;A$1)</f>
        <v>1</v>
      </c>
      <c r="G3" s="37">
        <f>SUMIF('5v5 entries'!I:I,A3&amp;A$1,'5v5 entries'!J:J)</f>
        <v>2</v>
      </c>
      <c r="H3" s="37">
        <f t="shared" ref="H3:I4" si="0">D3-F3</f>
        <v>1</v>
      </c>
      <c r="I3" s="37">
        <f t="shared" si="0"/>
        <v>4</v>
      </c>
      <c r="J3" s="44">
        <f>COUNTIFS('5v5 entries'!H:H,A3&amp;A$1)</f>
        <v>0</v>
      </c>
      <c r="K3" s="49">
        <f>COUNTIFS('5v5 entries'!D:D,A3&amp;A$1,'5v5 entries'!F:F,"Y")</f>
        <v>0</v>
      </c>
      <c r="L3" s="37">
        <f>COUNTIF('5v5 entries'!L:L,A3&amp;A$1)</f>
        <v>1</v>
      </c>
      <c r="M3" s="37">
        <f>F3/D3</f>
        <v>0.5</v>
      </c>
      <c r="N3" s="44">
        <f>COUNTIFS('5v5 entries'!D:D,A3&amp;A$1,'5v5 entries'!G:G,"L")</f>
        <v>0</v>
      </c>
      <c r="O3" s="44">
        <f>COUNTIFS('5v5 entries'!D:D,A3&amp;A$1,'5v5 entries'!G:G,"C")</f>
        <v>0</v>
      </c>
      <c r="P3" s="44">
        <f>COUNTIFS('5v5 entries'!D:D,A3&amp;A$1,'5v5 entries'!G:G,"R")</f>
        <v>3</v>
      </c>
    </row>
    <row r="4" spans="1:16" x14ac:dyDescent="0.25">
      <c r="A4" s="36">
        <v>18</v>
      </c>
      <c r="B4" s="36" t="s">
        <v>469</v>
      </c>
      <c r="C4" s="36" t="s">
        <v>84</v>
      </c>
      <c r="D4" s="37">
        <f>COUNTIF('5v5 entries'!D:D,A4&amp;A$1)-COUNTIF('5v5 entries'!L:L,A4&amp;A$1)</f>
        <v>6</v>
      </c>
      <c r="E4" s="37">
        <f>SUMIF('5v5 entries'!D:D,A4&amp;A$1,'5v5 entries'!J:J)</f>
        <v>3</v>
      </c>
      <c r="F4" s="37">
        <f>COUNTIF('5v5 entries'!I:I,A4&amp;A$1)</f>
        <v>3</v>
      </c>
      <c r="G4" s="37">
        <f>SUMIF('5v5 entries'!I:I,A4&amp;A$1,'5v5 entries'!J:J)</f>
        <v>2</v>
      </c>
      <c r="H4" s="37">
        <f t="shared" si="0"/>
        <v>3</v>
      </c>
      <c r="I4" s="37">
        <f t="shared" si="0"/>
        <v>1</v>
      </c>
      <c r="J4" s="44">
        <f>COUNTIFS('5v5 entries'!H:H,A4&amp;A$1)</f>
        <v>2</v>
      </c>
      <c r="K4" s="49">
        <f>COUNTIFS('5v5 entries'!D:D,A4&amp;A$1,'5v5 entries'!F:F,"Y")</f>
        <v>2</v>
      </c>
      <c r="L4" s="37">
        <f>COUNTIF('5v5 entries'!L:L,A4&amp;A$1)</f>
        <v>0</v>
      </c>
      <c r="M4" s="37">
        <f>F4/D4</f>
        <v>0.5</v>
      </c>
      <c r="N4" s="44">
        <f>COUNTIFS('5v5 entries'!D:D,A4&amp;A$1,'5v5 entries'!G:G,"L")</f>
        <v>2</v>
      </c>
      <c r="O4" s="44">
        <f>COUNTIFS('5v5 entries'!D:D,A4&amp;A$1,'5v5 entries'!G:G,"C")</f>
        <v>1</v>
      </c>
      <c r="P4" s="49">
        <f>COUNTIFS('5v5 entries'!D:D,A4&amp;A$1,'5v5 entries'!G:G,"R")</f>
        <v>3</v>
      </c>
    </row>
    <row r="5" spans="1:16" x14ac:dyDescent="0.25">
      <c r="A5" s="36"/>
      <c r="B5" s="36" t="s">
        <v>85</v>
      </c>
      <c r="C5" s="36"/>
      <c r="D5" s="36">
        <f t="shared" ref="D5:L5" si="1">D2+D3+D4</f>
        <v>11</v>
      </c>
      <c r="E5" s="36">
        <f t="shared" si="1"/>
        <v>10</v>
      </c>
      <c r="F5" s="36">
        <f t="shared" si="1"/>
        <v>5</v>
      </c>
      <c r="G5" s="36">
        <f t="shared" si="1"/>
        <v>4</v>
      </c>
      <c r="H5" s="36">
        <f t="shared" si="1"/>
        <v>6</v>
      </c>
      <c r="I5" s="36">
        <f t="shared" si="1"/>
        <v>6</v>
      </c>
      <c r="J5" s="36">
        <f t="shared" si="1"/>
        <v>4</v>
      </c>
      <c r="K5" s="47">
        <f t="shared" si="1"/>
        <v>2</v>
      </c>
      <c r="L5" s="36">
        <f t="shared" si="1"/>
        <v>1</v>
      </c>
      <c r="M5" s="37">
        <f>F5/D5</f>
        <v>0.45454545454545453</v>
      </c>
      <c r="N5" s="44">
        <f>SUM(N2:N4)</f>
        <v>4</v>
      </c>
      <c r="O5" s="44">
        <f t="shared" ref="O5:P5" si="2">SUM(O2:O4)</f>
        <v>1</v>
      </c>
      <c r="P5" s="44">
        <f t="shared" si="2"/>
        <v>7</v>
      </c>
    </row>
    <row r="6" spans="1:16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L6" s="34"/>
      <c r="M6" s="34"/>
    </row>
    <row r="7" spans="1:16" x14ac:dyDescent="0.25">
      <c r="A7" s="36">
        <v>15</v>
      </c>
      <c r="B7" s="36" t="s">
        <v>470</v>
      </c>
      <c r="C7" s="36" t="s">
        <v>83</v>
      </c>
      <c r="D7" s="37">
        <f>COUNTIF('5v5 entries'!D:D,A7&amp;A$1)-COUNTIF('5v5 entries'!L:L,A7&amp;A$1)</f>
        <v>2</v>
      </c>
      <c r="E7" s="37">
        <f>SUMIF('5v5 entries'!D:D,A7&amp;A$1,'5v5 entries'!J:J)</f>
        <v>1</v>
      </c>
      <c r="F7" s="37">
        <f>COUNTIF('5v5 entries'!I:I,A7&amp;A$1)</f>
        <v>0</v>
      </c>
      <c r="G7" s="37">
        <f>SUMIF('5v5 entries'!I:I,A7&amp;A$1,'5v5 entries'!J:J)</f>
        <v>0</v>
      </c>
      <c r="H7" s="37">
        <f>D7-F7</f>
        <v>2</v>
      </c>
      <c r="I7" s="37">
        <f>E7-G7</f>
        <v>1</v>
      </c>
      <c r="J7" s="44">
        <f>COUNTIFS('5v5 entries'!H:H,A7&amp;A$1)</f>
        <v>0</v>
      </c>
      <c r="K7" s="49">
        <f>COUNTIFS('5v5 entries'!D:D,A7&amp;A$1,'5v5 entries'!F:F,"Y")</f>
        <v>0</v>
      </c>
      <c r="L7" s="37">
        <f>COUNTIF('5v5 entries'!L:L,A7&amp;A$1)</f>
        <v>0</v>
      </c>
      <c r="M7" s="37">
        <f>F7/D7</f>
        <v>0</v>
      </c>
      <c r="N7" s="44">
        <f>COUNTIFS('5v5 entries'!D:D,A7&amp;A$1,'5v5 entries'!G:G,"L")</f>
        <v>1</v>
      </c>
      <c r="O7" s="44">
        <f>COUNTIFS('5v5 entries'!D:D,A7&amp;A$1,'5v5 entries'!G:G,"C")</f>
        <v>1</v>
      </c>
      <c r="P7" s="49">
        <f>COUNTIFS('5v5 entries'!D:D,A7&amp;A$1,'5v5 entries'!G:G,"R")</f>
        <v>0</v>
      </c>
    </row>
    <row r="8" spans="1:16" x14ac:dyDescent="0.25">
      <c r="A8" s="36">
        <v>63</v>
      </c>
      <c r="B8" s="36" t="s">
        <v>471</v>
      </c>
      <c r="C8" s="36" t="s">
        <v>74</v>
      </c>
      <c r="D8" s="37">
        <f>COUNTIF('5v5 entries'!D:D,A8&amp;A$1)-COUNTIF('5v5 entries'!L:L,A8&amp;A$1)</f>
        <v>5</v>
      </c>
      <c r="E8" s="37">
        <f>SUMIF('5v5 entries'!D:D,A8&amp;A$1,'5v5 entries'!J:J)</f>
        <v>1</v>
      </c>
      <c r="F8" s="37">
        <f>COUNTIF('5v5 entries'!I:I,A8&amp;A$1)</f>
        <v>3</v>
      </c>
      <c r="G8" s="37">
        <f>SUMIF('5v5 entries'!I:I,A8&amp;A$1,'5v5 entries'!J:J)</f>
        <v>1</v>
      </c>
      <c r="H8" s="37">
        <f t="shared" ref="H8:I9" si="3">D8-F8</f>
        <v>2</v>
      </c>
      <c r="I8" s="37">
        <f t="shared" si="3"/>
        <v>0</v>
      </c>
      <c r="J8" s="44">
        <f>COUNTIFS('5v5 entries'!H:H,A8&amp;A$1)</f>
        <v>0</v>
      </c>
      <c r="K8" s="49">
        <f>COUNTIFS('5v5 entries'!D:D,A8&amp;A$1,'5v5 entries'!F:F,"Y")</f>
        <v>1</v>
      </c>
      <c r="L8" s="37">
        <f>COUNTIF('5v5 entries'!L:L,A8&amp;A$1)</f>
        <v>1</v>
      </c>
      <c r="M8" s="37">
        <f>F8/D8</f>
        <v>0.6</v>
      </c>
      <c r="N8" s="44">
        <f>COUNTIFS('5v5 entries'!D:D,A8&amp;A$1,'5v5 entries'!G:G,"L")</f>
        <v>2</v>
      </c>
      <c r="O8" s="44">
        <f>COUNTIFS('5v5 entries'!D:D,A8&amp;A$1,'5v5 entries'!G:G,"C")</f>
        <v>1</v>
      </c>
      <c r="P8" s="49">
        <f>COUNTIFS('5v5 entries'!D:D,A8&amp;A$1,'5v5 entries'!G:G,"R")</f>
        <v>3</v>
      </c>
    </row>
    <row r="9" spans="1:16" x14ac:dyDescent="0.25">
      <c r="A9" s="36">
        <v>9</v>
      </c>
      <c r="B9" s="36" t="s">
        <v>472</v>
      </c>
      <c r="C9" s="36" t="s">
        <v>84</v>
      </c>
      <c r="D9" s="37">
        <f>COUNTIF('5v5 entries'!D:D,A9&amp;A$1)-COUNTIF('5v5 entries'!L:L,A9&amp;A$1)</f>
        <v>5</v>
      </c>
      <c r="E9" s="37">
        <f>SUMIF('5v5 entries'!D:D,A9&amp;A$1,'5v5 entries'!J:J)</f>
        <v>2</v>
      </c>
      <c r="F9" s="37">
        <f>COUNTIF('5v5 entries'!I:I,A9&amp;A$1)</f>
        <v>1</v>
      </c>
      <c r="G9" s="37">
        <f>SUMIF('5v5 entries'!I:I,A9&amp;A$1,'5v5 entries'!J:J)</f>
        <v>1</v>
      </c>
      <c r="H9" s="37">
        <f t="shared" si="3"/>
        <v>4</v>
      </c>
      <c r="I9" s="37">
        <f t="shared" si="3"/>
        <v>1</v>
      </c>
      <c r="J9" s="44">
        <f>COUNTIFS('5v5 entries'!H:H,A9&amp;A$1)</f>
        <v>1</v>
      </c>
      <c r="K9" s="49">
        <f>COUNTIFS('5v5 entries'!D:D,A9&amp;A$1,'5v5 entries'!F:F,"Y")</f>
        <v>0</v>
      </c>
      <c r="L9" s="37">
        <f>COUNTIF('5v5 entries'!L:L,A9&amp;A$1)</f>
        <v>0</v>
      </c>
      <c r="M9" s="37">
        <f>F9/D9</f>
        <v>0.2</v>
      </c>
      <c r="N9" s="44">
        <f>COUNTIFS('5v5 entries'!D:D,A9&amp;A$1,'5v5 entries'!G:G,"L")</f>
        <v>3</v>
      </c>
      <c r="O9" s="44">
        <f>COUNTIFS('5v5 entries'!D:D,A9&amp;A$1,'5v5 entries'!G:G,"C")</f>
        <v>1</v>
      </c>
      <c r="P9" s="49">
        <f>COUNTIFS('5v5 entries'!D:D,A9&amp;A$1,'5v5 entries'!G:G,"R")</f>
        <v>1</v>
      </c>
    </row>
    <row r="10" spans="1:16" x14ac:dyDescent="0.25">
      <c r="A10" s="36"/>
      <c r="B10" s="36" t="s">
        <v>85</v>
      </c>
      <c r="C10" s="36"/>
      <c r="D10" s="36">
        <f t="shared" ref="D10:L10" si="4">D7+D8+D9</f>
        <v>12</v>
      </c>
      <c r="E10" s="36">
        <f t="shared" si="4"/>
        <v>4</v>
      </c>
      <c r="F10" s="36">
        <f t="shared" si="4"/>
        <v>4</v>
      </c>
      <c r="G10" s="36">
        <f t="shared" si="4"/>
        <v>2</v>
      </c>
      <c r="H10" s="36">
        <f t="shared" si="4"/>
        <v>8</v>
      </c>
      <c r="I10" s="36">
        <f t="shared" si="4"/>
        <v>2</v>
      </c>
      <c r="J10" s="36">
        <f t="shared" si="4"/>
        <v>1</v>
      </c>
      <c r="K10" s="47">
        <f t="shared" si="4"/>
        <v>1</v>
      </c>
      <c r="L10" s="36">
        <f t="shared" si="4"/>
        <v>1</v>
      </c>
      <c r="M10" s="36">
        <f>F10/D10</f>
        <v>0.33333333333333331</v>
      </c>
      <c r="N10" s="44">
        <f>SUM(N7:N9)</f>
        <v>6</v>
      </c>
      <c r="O10" s="44">
        <f t="shared" ref="O10:P10" si="5">SUM(O7:O9)</f>
        <v>3</v>
      </c>
      <c r="P10" s="44">
        <f t="shared" si="5"/>
        <v>4</v>
      </c>
    </row>
    <row r="11" spans="1:16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L11" s="34"/>
      <c r="M11" s="34"/>
    </row>
    <row r="12" spans="1:16" x14ac:dyDescent="0.25">
      <c r="A12" s="36">
        <v>33</v>
      </c>
      <c r="B12" s="36" t="s">
        <v>473</v>
      </c>
      <c r="C12" s="36" t="s">
        <v>83</v>
      </c>
      <c r="D12" s="37">
        <f>COUNTIF('5v5 entries'!D:D,A12&amp;A$1)-COUNTIF('5v5 entries'!L:L,A12&amp;A$1)</f>
        <v>2</v>
      </c>
      <c r="E12" s="37">
        <f>SUMIF('5v5 entries'!D:D,A12&amp;A$1,'5v5 entries'!J:J)</f>
        <v>2</v>
      </c>
      <c r="F12" s="37">
        <f>COUNTIF('5v5 entries'!I:I,A12&amp;A$1)</f>
        <v>1</v>
      </c>
      <c r="G12" s="37">
        <f>SUMIF('5v5 entries'!I:I,A12&amp;A$1,'5v5 entries'!J:J)</f>
        <v>0</v>
      </c>
      <c r="H12" s="37">
        <f>D12-F12</f>
        <v>1</v>
      </c>
      <c r="I12" s="37">
        <f>E12-G12</f>
        <v>2</v>
      </c>
      <c r="J12" s="44">
        <f>COUNTIFS('5v5 entries'!H:H,A12&amp;A$1)</f>
        <v>1</v>
      </c>
      <c r="K12" s="49">
        <f>COUNTIFS('5v5 entries'!D:D,A12&amp;A$1,'5v5 entries'!F:F,"Y")</f>
        <v>0</v>
      </c>
      <c r="L12" s="37">
        <f>COUNTIF('5v5 entries'!L:L,A12&amp;A$1)</f>
        <v>0</v>
      </c>
      <c r="M12" s="37">
        <f>F12/D12</f>
        <v>0.5</v>
      </c>
      <c r="N12" s="44">
        <f>COUNTIFS('5v5 entries'!D:D,A12&amp;A$1,'5v5 entries'!G:G,"L")</f>
        <v>1</v>
      </c>
      <c r="O12" s="44">
        <f>COUNTIFS('5v5 entries'!D:D,A12&amp;A$1,'5v5 entries'!G:G,"C")</f>
        <v>0</v>
      </c>
      <c r="P12" s="49">
        <f>COUNTIFS('5v5 entries'!D:D,A12&amp;A$1,'5v5 entries'!G:G,"R")</f>
        <v>1</v>
      </c>
    </row>
    <row r="13" spans="1:16" x14ac:dyDescent="0.25">
      <c r="A13" s="36">
        <v>12</v>
      </c>
      <c r="B13" s="36" t="s">
        <v>474</v>
      </c>
      <c r="C13" s="36" t="s">
        <v>74</v>
      </c>
      <c r="D13" s="37">
        <f>COUNTIF('5v5 entries'!D:D,A13&amp;A$1)-COUNTIF('5v5 entries'!L:L,A13&amp;A$1)</f>
        <v>2</v>
      </c>
      <c r="E13" s="37">
        <f>SUMIF('5v5 entries'!D:D,A13&amp;A$1,'5v5 entries'!J:J)</f>
        <v>0</v>
      </c>
      <c r="F13" s="37">
        <f>COUNTIF('5v5 entries'!I:I,A13&amp;A$1)</f>
        <v>0</v>
      </c>
      <c r="G13" s="37">
        <f>SUMIF('5v5 entries'!I:I,A13&amp;A$1,'5v5 entries'!J:J)</f>
        <v>0</v>
      </c>
      <c r="H13" s="37">
        <f t="shared" ref="H13:I14" si="6">D13-F13</f>
        <v>2</v>
      </c>
      <c r="I13" s="37">
        <f t="shared" si="6"/>
        <v>0</v>
      </c>
      <c r="J13" s="44">
        <f>COUNTIFS('5v5 entries'!H:H,A13&amp;A$1)</f>
        <v>0</v>
      </c>
      <c r="K13" s="49">
        <f>COUNTIFS('5v5 entries'!D:D,A13&amp;A$1,'5v5 entries'!F:F,"Y")</f>
        <v>0</v>
      </c>
      <c r="L13" s="37">
        <f>COUNTIF('5v5 entries'!L:L,A13&amp;A$1)</f>
        <v>0</v>
      </c>
      <c r="M13" s="37">
        <f>F13/D13</f>
        <v>0</v>
      </c>
      <c r="N13" s="44">
        <f>COUNTIFS('5v5 entries'!D:D,A13&amp;A$1,'5v5 entries'!G:G,"L")</f>
        <v>1</v>
      </c>
      <c r="O13" s="44">
        <f>COUNTIFS('5v5 entries'!D:D,A13&amp;A$1,'5v5 entries'!G:G,"C")</f>
        <v>0</v>
      </c>
      <c r="P13" s="49">
        <f>COUNTIFS('5v5 entries'!D:D,A13&amp;A$1,'5v5 entries'!G:G,"R")</f>
        <v>1</v>
      </c>
    </row>
    <row r="14" spans="1:16" x14ac:dyDescent="0.25">
      <c r="A14" s="36">
        <v>38</v>
      </c>
      <c r="B14" s="36" t="s">
        <v>475</v>
      </c>
      <c r="C14" s="36" t="s">
        <v>84</v>
      </c>
      <c r="D14" s="37">
        <f>COUNTIF('5v5 entries'!D:D,A14&amp;A$1)-COUNTIF('5v5 entries'!L:L,A14&amp;A$1)</f>
        <v>9</v>
      </c>
      <c r="E14" s="37">
        <f>SUMIF('5v5 entries'!D:D,A14&amp;A$1,'5v5 entries'!J:J)</f>
        <v>4</v>
      </c>
      <c r="F14" s="37">
        <f>COUNTIF('5v5 entries'!I:I,A14&amp;A$1)</f>
        <v>6</v>
      </c>
      <c r="G14" s="37">
        <f>SUMIF('5v5 entries'!I:I,A14&amp;A$1,'5v5 entries'!J:J)</f>
        <v>3</v>
      </c>
      <c r="H14" s="37">
        <f t="shared" si="6"/>
        <v>3</v>
      </c>
      <c r="I14" s="37">
        <f t="shared" si="6"/>
        <v>1</v>
      </c>
      <c r="J14" s="44">
        <f>COUNTIFS('5v5 entries'!H:H,A14&amp;A$1)</f>
        <v>0</v>
      </c>
      <c r="K14" s="49">
        <f>COUNTIFS('5v5 entries'!D:D,A14&amp;A$1,'5v5 entries'!F:F,"Y")</f>
        <v>0</v>
      </c>
      <c r="L14" s="37">
        <f>COUNTIF('5v5 entries'!L:L,A14&amp;A$1)</f>
        <v>1</v>
      </c>
      <c r="M14" s="37">
        <f>F14/D14</f>
        <v>0.66666666666666663</v>
      </c>
      <c r="N14" s="44">
        <f>COUNTIFS('5v5 entries'!D:D,A14&amp;A$1,'5v5 entries'!G:G,"L")</f>
        <v>1</v>
      </c>
      <c r="O14" s="44">
        <f>COUNTIFS('5v5 entries'!D:D,A14&amp;A$1,'5v5 entries'!G:G,"C")</f>
        <v>2</v>
      </c>
      <c r="P14" s="49">
        <f>COUNTIFS('5v5 entries'!D:D,A14&amp;A$1,'5v5 entries'!G:G,"R")</f>
        <v>7</v>
      </c>
    </row>
    <row r="15" spans="1:16" x14ac:dyDescent="0.25">
      <c r="A15" s="36"/>
      <c r="B15" s="36" t="s">
        <v>85</v>
      </c>
      <c r="C15" s="36"/>
      <c r="D15" s="36">
        <f t="shared" ref="D15:L15" si="7">D12+D13+D14</f>
        <v>13</v>
      </c>
      <c r="E15" s="36">
        <f t="shared" si="7"/>
        <v>6</v>
      </c>
      <c r="F15" s="36">
        <f t="shared" si="7"/>
        <v>7</v>
      </c>
      <c r="G15" s="36">
        <f t="shared" si="7"/>
        <v>3</v>
      </c>
      <c r="H15" s="36">
        <f t="shared" si="7"/>
        <v>6</v>
      </c>
      <c r="I15" s="36">
        <f t="shared" si="7"/>
        <v>3</v>
      </c>
      <c r="J15" s="36">
        <f t="shared" si="7"/>
        <v>1</v>
      </c>
      <c r="K15" s="47">
        <f t="shared" si="7"/>
        <v>0</v>
      </c>
      <c r="L15" s="36">
        <f t="shared" si="7"/>
        <v>1</v>
      </c>
      <c r="M15" s="36">
        <f>F15/D15</f>
        <v>0.53846153846153844</v>
      </c>
      <c r="N15" s="44">
        <f>SUM(N12:N14)</f>
        <v>3</v>
      </c>
      <c r="O15" s="44">
        <f t="shared" ref="O15:P15" si="8">SUM(O12:O14)</f>
        <v>2</v>
      </c>
      <c r="P15" s="44">
        <f t="shared" si="8"/>
        <v>9</v>
      </c>
    </row>
    <row r="16" spans="1:16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L16" s="34"/>
      <c r="M16" s="34"/>
    </row>
    <row r="17" spans="1:16" x14ac:dyDescent="0.25">
      <c r="A17" s="36">
        <v>56</v>
      </c>
      <c r="B17" s="36" t="s">
        <v>476</v>
      </c>
      <c r="C17" s="36" t="s">
        <v>83</v>
      </c>
      <c r="D17" s="37">
        <f>COUNTIF('5v5 entries'!D:D,A17&amp;A$1)-COUNTIF('5v5 entries'!L:L,A17&amp;A$1)</f>
        <v>7</v>
      </c>
      <c r="E17" s="37">
        <f>SUMIF('5v5 entries'!D:D,A17&amp;A$1,'5v5 entries'!J:J)</f>
        <v>2</v>
      </c>
      <c r="F17" s="37">
        <f>COUNTIF('5v5 entries'!I:I,A17&amp;A$1)</f>
        <v>3</v>
      </c>
      <c r="G17" s="37">
        <f>SUMIF('5v5 entries'!I:I,A17&amp;A$1,'5v5 entries'!J:J)</f>
        <v>2</v>
      </c>
      <c r="H17" s="37">
        <f>D17-F17</f>
        <v>4</v>
      </c>
      <c r="I17" s="37">
        <f>E17-G17</f>
        <v>0</v>
      </c>
      <c r="J17" s="44">
        <f>COUNTIFS('5v5 entries'!H:H,A17&amp;A$1)</f>
        <v>1</v>
      </c>
      <c r="K17" s="49">
        <f>COUNTIFS('5v5 entries'!D:D,A17&amp;A$1,'5v5 entries'!F:F,"Y")</f>
        <v>2</v>
      </c>
      <c r="L17" s="37">
        <f>COUNTIF('5v5 entries'!L:L,A17&amp;A$1)</f>
        <v>0</v>
      </c>
      <c r="M17" s="37">
        <f>F17/D17</f>
        <v>0.42857142857142855</v>
      </c>
      <c r="N17" s="44">
        <f>COUNTIFS('5v5 entries'!D:D,A17&amp;A$1,'5v5 entries'!G:G,"L")</f>
        <v>2</v>
      </c>
      <c r="O17" s="44">
        <f>COUNTIFS('5v5 entries'!D:D,A17&amp;A$1,'5v5 entries'!G:G,"C")</f>
        <v>2</v>
      </c>
      <c r="P17" s="49">
        <f>COUNTIFS('5v5 entries'!D:D,A17&amp;A$1,'5v5 entries'!G:G,"R")</f>
        <v>3</v>
      </c>
    </row>
    <row r="18" spans="1:16" x14ac:dyDescent="0.25">
      <c r="A18" s="36">
        <v>10</v>
      </c>
      <c r="B18" s="36" t="s">
        <v>477</v>
      </c>
      <c r="C18" s="36" t="s">
        <v>74</v>
      </c>
      <c r="D18" s="37">
        <f>COUNTIF('5v5 entries'!D:D,A18&amp;A$1)-COUNTIF('5v5 entries'!L:L,A18&amp;A$1)</f>
        <v>4</v>
      </c>
      <c r="E18" s="37">
        <f>SUMIF('5v5 entries'!D:D,A18&amp;A$1,'5v5 entries'!J:J)</f>
        <v>2</v>
      </c>
      <c r="F18" s="37">
        <f>COUNTIF('5v5 entries'!I:I,A18&amp;A$1)</f>
        <v>3</v>
      </c>
      <c r="G18" s="37">
        <f>SUMIF('5v5 entries'!I:I,A18&amp;A$1,'5v5 entries'!J:J)</f>
        <v>2</v>
      </c>
      <c r="H18" s="37">
        <f t="shared" ref="H18:I19" si="9">D18-F18</f>
        <v>1</v>
      </c>
      <c r="I18" s="37">
        <f t="shared" si="9"/>
        <v>0</v>
      </c>
      <c r="J18" s="44">
        <f>COUNTIFS('5v5 entries'!H:H,A18&amp;A$1)</f>
        <v>0</v>
      </c>
      <c r="K18" s="49">
        <f>COUNTIFS('5v5 entries'!D:D,A18&amp;A$1,'5v5 entries'!F:F,"Y")</f>
        <v>1</v>
      </c>
      <c r="L18" s="37">
        <f>COUNTIF('5v5 entries'!L:L,A18&amp;A$1)</f>
        <v>0</v>
      </c>
      <c r="M18" s="37">
        <f>F18/D18</f>
        <v>0.75</v>
      </c>
      <c r="N18" s="44">
        <f>COUNTIFS('5v5 entries'!D:D,A18&amp;A$1,'5v5 entries'!G:G,"L")</f>
        <v>2</v>
      </c>
      <c r="O18" s="44">
        <f>COUNTIFS('5v5 entries'!D:D,A18&amp;A$1,'5v5 entries'!G:G,"C")</f>
        <v>0</v>
      </c>
      <c r="P18" s="49">
        <f>COUNTIFS('5v5 entries'!D:D,A18&amp;A$1,'5v5 entries'!G:G,"R")</f>
        <v>2</v>
      </c>
    </row>
    <row r="19" spans="1:16" x14ac:dyDescent="0.25">
      <c r="A19" s="36">
        <v>16</v>
      </c>
      <c r="B19" s="36" t="s">
        <v>478</v>
      </c>
      <c r="C19" s="36" t="s">
        <v>84</v>
      </c>
      <c r="D19" s="37">
        <f>COUNTIF('5v5 entries'!D:D,A19&amp;A$1)-COUNTIF('5v5 entries'!L:L,A19&amp;A$1)</f>
        <v>1</v>
      </c>
      <c r="E19" s="37">
        <f>SUMIF('5v5 entries'!D:D,A19&amp;A$1,'5v5 entries'!J:J)</f>
        <v>0</v>
      </c>
      <c r="F19" s="37">
        <f>COUNTIF('5v5 entries'!I:I,A19&amp;A$1)</f>
        <v>0</v>
      </c>
      <c r="G19" s="37">
        <f>SUMIF('5v5 entries'!I:I,A19&amp;A$1,'5v5 entries'!J:J)</f>
        <v>0</v>
      </c>
      <c r="H19" s="37">
        <f t="shared" si="9"/>
        <v>1</v>
      </c>
      <c r="I19" s="37">
        <f t="shared" si="9"/>
        <v>0</v>
      </c>
      <c r="J19" s="44">
        <f>COUNTIFS('5v5 entries'!H:H,A19&amp;A$1)</f>
        <v>0</v>
      </c>
      <c r="K19" s="49">
        <f>COUNTIFS('5v5 entries'!D:D,A19&amp;A$1,'5v5 entries'!F:F,"Y")</f>
        <v>0</v>
      </c>
      <c r="L19" s="37">
        <f>COUNTIF('5v5 entries'!L:L,A19&amp;A$1)</f>
        <v>0</v>
      </c>
      <c r="M19" s="37">
        <f>F19/D19</f>
        <v>0</v>
      </c>
      <c r="N19" s="44">
        <f>COUNTIFS('5v5 entries'!D:D,A19&amp;A$1,'5v5 entries'!G:G,"L")</f>
        <v>0</v>
      </c>
      <c r="O19" s="44">
        <f>COUNTIFS('5v5 entries'!D:D,A19&amp;A$1,'5v5 entries'!G:G,"C")</f>
        <v>0</v>
      </c>
      <c r="P19" s="49">
        <f>COUNTIFS('5v5 entries'!D:D,A19&amp;A$1,'5v5 entries'!G:G,"R")</f>
        <v>1</v>
      </c>
    </row>
    <row r="20" spans="1:16" x14ac:dyDescent="0.25">
      <c r="A20" s="36"/>
      <c r="B20" s="36" t="s">
        <v>85</v>
      </c>
      <c r="C20" s="36"/>
      <c r="D20" s="36">
        <f t="shared" ref="D20:L20" si="10">D17+D18+D19</f>
        <v>12</v>
      </c>
      <c r="E20" s="36">
        <f t="shared" si="10"/>
        <v>4</v>
      </c>
      <c r="F20" s="36">
        <f t="shared" si="10"/>
        <v>6</v>
      </c>
      <c r="G20" s="36">
        <f t="shared" si="10"/>
        <v>4</v>
      </c>
      <c r="H20" s="36">
        <f t="shared" si="10"/>
        <v>6</v>
      </c>
      <c r="I20" s="36">
        <f t="shared" si="10"/>
        <v>0</v>
      </c>
      <c r="J20" s="36">
        <f t="shared" si="10"/>
        <v>1</v>
      </c>
      <c r="K20" s="47">
        <f t="shared" si="10"/>
        <v>3</v>
      </c>
      <c r="L20" s="36">
        <f t="shared" si="10"/>
        <v>0</v>
      </c>
      <c r="M20" s="36">
        <f>F20/D20</f>
        <v>0.5</v>
      </c>
      <c r="N20" s="44">
        <f>SUM(N17:N19)</f>
        <v>4</v>
      </c>
      <c r="O20" s="44">
        <f t="shared" ref="O20:P20" si="11">SUM(O17:O19)</f>
        <v>2</v>
      </c>
      <c r="P20" s="44">
        <f t="shared" si="11"/>
        <v>6</v>
      </c>
    </row>
    <row r="21" spans="1:16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L21" s="34"/>
      <c r="M21" s="34"/>
    </row>
    <row r="22" spans="1:16" x14ac:dyDescent="0.25">
      <c r="A22" s="36">
        <v>59</v>
      </c>
      <c r="B22" s="36" t="s">
        <v>479</v>
      </c>
      <c r="C22" s="36" t="s">
        <v>86</v>
      </c>
      <c r="D22" s="37">
        <f>COUNTIF('5v5 entries'!D:D,A22&amp;A$1)-COUNTIF('5v5 entries'!L:L,A22&amp;A$1)</f>
        <v>2</v>
      </c>
      <c r="E22" s="37">
        <f>SUMIF('5v5 entries'!D:D,A22&amp;A$1,'5v5 entries'!J:J)</f>
        <v>0</v>
      </c>
      <c r="F22" s="37">
        <f>COUNTIF('5v5 entries'!I:I,A22&amp;A$1)</f>
        <v>1</v>
      </c>
      <c r="G22" s="37">
        <f>SUMIF('5v5 entries'!I:I,A22&amp;A$1,'5v5 entries'!J:J)</f>
        <v>0</v>
      </c>
      <c r="H22" s="37">
        <f t="shared" ref="H22:I23" si="12">D22-F22</f>
        <v>1</v>
      </c>
      <c r="I22" s="37">
        <f t="shared" si="12"/>
        <v>0</v>
      </c>
      <c r="J22" s="44">
        <f>COUNTIFS('5v5 entries'!H:H,A2&amp;A$1)</f>
        <v>2</v>
      </c>
      <c r="K22" s="49">
        <f>COUNTIFS('5v5 entries'!D:D,A22&amp;A$1,'5v5 entries'!F:F,"Y")</f>
        <v>1</v>
      </c>
      <c r="L22" s="37">
        <f>COUNTIF('5v5 entries'!L:L,A22&amp;A$1)</f>
        <v>0</v>
      </c>
      <c r="M22" s="37">
        <f>F22/D22</f>
        <v>0.5</v>
      </c>
      <c r="N22" s="44">
        <f>COUNTIFS('5v5 entries'!D:D,A22&amp;A$1,'5v5 entries'!G:G,"L")</f>
        <v>2</v>
      </c>
      <c r="O22" s="44">
        <f>COUNTIFS('5v5 entries'!D:D,A22&amp;A$1,'5v5 entries'!G:G,"C")</f>
        <v>0</v>
      </c>
      <c r="P22" s="49">
        <f>COUNTIFS('5v5 entries'!D:D,A22&amp;A$1,'5v5 entries'!G:G,"R")</f>
        <v>0</v>
      </c>
    </row>
    <row r="23" spans="1:16" x14ac:dyDescent="0.25">
      <c r="A23" s="36">
        <v>76</v>
      </c>
      <c r="B23" s="36" t="s">
        <v>480</v>
      </c>
      <c r="C23" s="36" t="s">
        <v>87</v>
      </c>
      <c r="D23" s="37">
        <f>COUNTIF('5v5 entries'!D:D,A23&amp;A$1)-COUNTIF('5v5 entries'!L:L,A23&amp;A$1)</f>
        <v>1</v>
      </c>
      <c r="E23" s="37">
        <f>SUMIF('5v5 entries'!D:D,A23&amp;A$1,'5v5 entries'!J:J)</f>
        <v>1</v>
      </c>
      <c r="F23" s="37">
        <f>COUNTIF('5v5 entries'!I:I,A23&amp;A$1)</f>
        <v>0</v>
      </c>
      <c r="G23" s="37">
        <f>SUMIF('5v5 entries'!I:I,A23&amp;A$1,'5v5 entries'!J:J)</f>
        <v>0</v>
      </c>
      <c r="H23" s="37">
        <f t="shared" si="12"/>
        <v>1</v>
      </c>
      <c r="I23" s="37">
        <f t="shared" si="12"/>
        <v>1</v>
      </c>
      <c r="J23" s="44">
        <f>COUNTIFS('5v5 entries'!H:H,A3&amp;A$1)</f>
        <v>0</v>
      </c>
      <c r="K23" s="49">
        <f>COUNTIFS('5v5 entries'!D:D,A23&amp;A$1,'5v5 entries'!F:F,"Y")</f>
        <v>0</v>
      </c>
      <c r="L23" s="37">
        <f>COUNTIF('5v5 entries'!L:L,A23&amp;A$1)</f>
        <v>1</v>
      </c>
      <c r="M23" s="37">
        <f>F23/D23</f>
        <v>0</v>
      </c>
      <c r="N23" s="44">
        <f>COUNTIFS('5v5 entries'!D:D,A23&amp;A$1,'5v5 entries'!G:G,"L")</f>
        <v>0</v>
      </c>
      <c r="O23" s="44">
        <f>COUNTIFS('5v5 entries'!D:D,A23&amp;A$1,'5v5 entries'!G:G,"C")</f>
        <v>1</v>
      </c>
      <c r="P23" s="49">
        <f>COUNTIFS('5v5 entries'!D:D,A23&amp;A$1,'5v5 entries'!G:G,"R")</f>
        <v>1</v>
      </c>
    </row>
    <row r="24" spans="1:16" x14ac:dyDescent="0.25">
      <c r="A24" s="36"/>
      <c r="B24" s="36" t="s">
        <v>85</v>
      </c>
      <c r="C24" s="36"/>
      <c r="D24" s="37">
        <f t="shared" ref="D24:L24" si="13">D21+D22+D23</f>
        <v>3</v>
      </c>
      <c r="E24" s="37">
        <f t="shared" si="13"/>
        <v>1</v>
      </c>
      <c r="F24" s="37">
        <f t="shared" si="13"/>
        <v>1</v>
      </c>
      <c r="G24" s="37">
        <f t="shared" si="13"/>
        <v>0</v>
      </c>
      <c r="H24" s="37">
        <f t="shared" si="13"/>
        <v>2</v>
      </c>
      <c r="I24" s="37">
        <f t="shared" si="13"/>
        <v>1</v>
      </c>
      <c r="J24" s="37">
        <f t="shared" si="13"/>
        <v>2</v>
      </c>
      <c r="K24" s="49">
        <f t="shared" si="13"/>
        <v>1</v>
      </c>
      <c r="L24" s="37">
        <f t="shared" si="13"/>
        <v>1</v>
      </c>
      <c r="M24" s="37">
        <f>F24/D24</f>
        <v>0.33333333333333331</v>
      </c>
      <c r="N24" s="44">
        <f>SUM(N21:N23)</f>
        <v>2</v>
      </c>
      <c r="O24" s="44">
        <f t="shared" ref="O24:P24" si="14">SUM(O21:O23)</f>
        <v>1</v>
      </c>
      <c r="P24" s="44">
        <f t="shared" si="14"/>
        <v>1</v>
      </c>
    </row>
    <row r="25" spans="1:16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L25" s="34"/>
      <c r="M25" s="34"/>
    </row>
    <row r="26" spans="1:16" x14ac:dyDescent="0.25">
      <c r="A26" s="36">
        <v>14</v>
      </c>
      <c r="B26" s="36" t="s">
        <v>481</v>
      </c>
      <c r="C26" s="36" t="s">
        <v>86</v>
      </c>
      <c r="D26" s="37">
        <f>COUNTIF('5v5 entries'!D:D,A26&amp;A$1)-COUNTIF('5v5 entries'!L:L,A26&amp;A$1)</f>
        <v>3</v>
      </c>
      <c r="E26" s="37">
        <f>SUMIF('5v5 entries'!D:D,A26&amp;A$1,'5v5 entries'!J:J)</f>
        <v>1</v>
      </c>
      <c r="F26" s="37">
        <f>COUNTIF('5v5 entries'!I:I,A26&amp;A$1)</f>
        <v>1</v>
      </c>
      <c r="G26" s="37">
        <f>SUMIF('5v5 entries'!I:I,A26&amp;A$1,'5v5 entries'!J:J)</f>
        <v>1</v>
      </c>
      <c r="H26" s="37">
        <f t="shared" ref="H26:I27" si="15">D26-F26</f>
        <v>2</v>
      </c>
      <c r="I26" s="37">
        <f t="shared" si="15"/>
        <v>0</v>
      </c>
      <c r="J26" s="44">
        <f>COUNTIFS('5v5 entries'!H:H,A6&amp;A$1)</f>
        <v>0</v>
      </c>
      <c r="K26" s="49">
        <f>COUNTIFS('5v5 entries'!D:D,A26&amp;A$1,'5v5 entries'!F:F,"Y")</f>
        <v>0</v>
      </c>
      <c r="L26" s="37">
        <f>COUNTIF('5v5 entries'!L:L,A26&amp;A$1)</f>
        <v>0</v>
      </c>
      <c r="M26" s="37">
        <f>F26/D26</f>
        <v>0.33333333333333331</v>
      </c>
      <c r="N26" s="44">
        <f>COUNTIFS('5v5 entries'!D:D,A26&amp;A$1,'5v5 entries'!G:G,"L")</f>
        <v>2</v>
      </c>
      <c r="O26" s="44">
        <f>COUNTIFS('5v5 entries'!D:D,A26&amp;A$1,'5v5 entries'!G:G,"C")</f>
        <v>1</v>
      </c>
      <c r="P26" s="49">
        <f>COUNTIFS('5v5 entries'!D:D,A26&amp;A$1,'5v5 entries'!G:G,"R")</f>
        <v>0</v>
      </c>
    </row>
    <row r="27" spans="1:16" x14ac:dyDescent="0.25">
      <c r="A27" s="36">
        <v>4</v>
      </c>
      <c r="B27" s="36" t="s">
        <v>482</v>
      </c>
      <c r="C27" s="36" t="s">
        <v>87</v>
      </c>
      <c r="D27" s="37">
        <f>COUNTIF('5v5 entries'!D:D,A27&amp;A$1)-COUNTIF('5v5 entries'!L:L,A27&amp;A$1)</f>
        <v>1</v>
      </c>
      <c r="E27" s="37">
        <f>SUMIF('5v5 entries'!D:D,A27&amp;A$1,'5v5 entries'!J:J)</f>
        <v>0</v>
      </c>
      <c r="F27" s="37">
        <f>COUNTIF('5v5 entries'!I:I,A27&amp;A$1)</f>
        <v>0</v>
      </c>
      <c r="G27" s="37">
        <f>SUMIF('5v5 entries'!I:I,A27&amp;A$1,'5v5 entries'!J:J)</f>
        <v>0</v>
      </c>
      <c r="H27" s="37">
        <f t="shared" si="15"/>
        <v>1</v>
      </c>
      <c r="I27" s="37">
        <f t="shared" si="15"/>
        <v>0</v>
      </c>
      <c r="J27" s="44">
        <f>COUNTIFS('5v5 entries'!H:H,A7&amp;A$1)</f>
        <v>0</v>
      </c>
      <c r="K27" s="49">
        <f>COUNTIFS('5v5 entries'!D:D,A27&amp;A$1,'5v5 entries'!F:F,"Y")</f>
        <v>0</v>
      </c>
      <c r="L27" s="37">
        <f>COUNTIF('5v5 entries'!L:L,A27&amp;A$1)</f>
        <v>0</v>
      </c>
      <c r="M27" s="37">
        <f>F27/D27</f>
        <v>0</v>
      </c>
      <c r="N27" s="44">
        <f>COUNTIFS('5v5 entries'!D:D,A27&amp;A$1,'5v5 entries'!G:G,"L")</f>
        <v>0</v>
      </c>
      <c r="O27" s="44">
        <f>COUNTIFS('5v5 entries'!D:D,A27&amp;A$1,'5v5 entries'!G:G,"C")</f>
        <v>0</v>
      </c>
      <c r="P27" s="49">
        <f>COUNTIFS('5v5 entries'!D:D,A27&amp;A$1,'5v5 entries'!G:G,"R")</f>
        <v>1</v>
      </c>
    </row>
    <row r="28" spans="1:16" x14ac:dyDescent="0.25">
      <c r="A28" s="36"/>
      <c r="B28" s="36" t="s">
        <v>85</v>
      </c>
      <c r="C28" s="36"/>
      <c r="D28" s="37">
        <f t="shared" ref="D28:L28" si="16">D25+D26+D27</f>
        <v>4</v>
      </c>
      <c r="E28" s="37">
        <f t="shared" si="16"/>
        <v>1</v>
      </c>
      <c r="F28" s="37">
        <f t="shared" si="16"/>
        <v>1</v>
      </c>
      <c r="G28" s="37">
        <f t="shared" si="16"/>
        <v>1</v>
      </c>
      <c r="H28" s="37">
        <f t="shared" si="16"/>
        <v>3</v>
      </c>
      <c r="I28" s="37">
        <f t="shared" si="16"/>
        <v>0</v>
      </c>
      <c r="J28" s="37">
        <f t="shared" si="16"/>
        <v>0</v>
      </c>
      <c r="K28" s="49">
        <f t="shared" si="16"/>
        <v>0</v>
      </c>
      <c r="L28" s="37">
        <f t="shared" si="16"/>
        <v>0</v>
      </c>
      <c r="M28" s="37">
        <f>F28/D28</f>
        <v>0.25</v>
      </c>
      <c r="N28" s="44">
        <f>SUM(N25:N27)</f>
        <v>2</v>
      </c>
      <c r="O28" s="44">
        <f t="shared" ref="O28:P28" si="17">SUM(O25:O27)</f>
        <v>1</v>
      </c>
      <c r="P28" s="44">
        <f t="shared" si="17"/>
        <v>1</v>
      </c>
    </row>
    <row r="29" spans="1:16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L29" s="34"/>
      <c r="M29" s="34"/>
    </row>
    <row r="30" spans="1:16" x14ac:dyDescent="0.25">
      <c r="A30" s="36">
        <v>25</v>
      </c>
      <c r="B30" s="36" t="s">
        <v>483</v>
      </c>
      <c r="C30" s="36" t="s">
        <v>86</v>
      </c>
      <c r="D30" s="37">
        <f>COUNTIF('5v5 entries'!D:D,A30&amp;A$1)-COUNTIF('5v5 entries'!L:L,A30&amp;A$1)</f>
        <v>0</v>
      </c>
      <c r="E30" s="37">
        <f>SUMIF('5v5 entries'!D:D,A30&amp;A$1,'5v5 entries'!J:J)</f>
        <v>0</v>
      </c>
      <c r="F30" s="37">
        <f>COUNTIF('5v5 entries'!I:I,A30&amp;A$1)</f>
        <v>0</v>
      </c>
      <c r="G30" s="37">
        <f>SUMIF('5v5 entries'!I:I,A30&amp;A$1,'5v5 entries'!J:J)</f>
        <v>0</v>
      </c>
      <c r="H30" s="37">
        <f t="shared" ref="H30:I31" si="18">D30-F30</f>
        <v>0</v>
      </c>
      <c r="I30" s="37">
        <f t="shared" si="18"/>
        <v>0</v>
      </c>
      <c r="J30" s="44">
        <f>COUNTIFS('5v5 entries'!H:H,A10&amp;A$1)</f>
        <v>0</v>
      </c>
      <c r="K30" s="49">
        <f>COUNTIFS('5v5 entries'!D:D,A30&amp;A$1,'5v5 entries'!F:F,"Y")</f>
        <v>0</v>
      </c>
      <c r="L30" s="37">
        <f>COUNTIF('5v5 entries'!L:L,A30&amp;A$1)</f>
        <v>0</v>
      </c>
      <c r="M30" s="37" t="e">
        <f>F30/D30</f>
        <v>#DIV/0!</v>
      </c>
      <c r="N30" s="44">
        <f>COUNTIFS('5v5 entries'!D:D,A30&amp;A$1,'5v5 entries'!G:G,"L")</f>
        <v>0</v>
      </c>
      <c r="O30" s="44">
        <f>COUNTIFS('5v5 entries'!D:D,A30&amp;A$1,'5v5 entries'!G:G,"C")</f>
        <v>0</v>
      </c>
      <c r="P30" s="49">
        <f>COUNTIFS('5v5 entries'!D:D,A30&amp;A$1,'5v5 entries'!G:G,"R")</f>
        <v>0</v>
      </c>
    </row>
    <row r="31" spans="1:16" x14ac:dyDescent="0.25">
      <c r="A31" s="36">
        <v>7</v>
      </c>
      <c r="B31" s="36" t="s">
        <v>484</v>
      </c>
      <c r="C31" s="36" t="s">
        <v>87</v>
      </c>
      <c r="D31" s="37">
        <f>COUNTIF('5v5 entries'!D:D,A31&amp;A$1)-COUNTIF('5v5 entries'!L:L,A31&amp;A$1)</f>
        <v>1</v>
      </c>
      <c r="E31" s="37">
        <f>SUMIF('5v5 entries'!D:D,A31&amp;A$1,'5v5 entries'!J:J)</f>
        <v>0</v>
      </c>
      <c r="F31" s="37">
        <f>COUNTIF('5v5 entries'!I:I,A31&amp;A$1)</f>
        <v>0</v>
      </c>
      <c r="G31" s="37">
        <f>SUMIF('5v5 entries'!I:I,A31&amp;A$1,'5v5 entries'!J:J)</f>
        <v>0</v>
      </c>
      <c r="H31" s="37">
        <f t="shared" si="18"/>
        <v>1</v>
      </c>
      <c r="I31" s="37">
        <f t="shared" si="18"/>
        <v>0</v>
      </c>
      <c r="J31" s="44">
        <f>COUNTIFS('5v5 entries'!H:H,A11&amp;A$1)</f>
        <v>0</v>
      </c>
      <c r="K31" s="49">
        <f>COUNTIFS('5v5 entries'!D:D,A31&amp;A$1,'5v5 entries'!F:F,"Y")</f>
        <v>0</v>
      </c>
      <c r="L31" s="37">
        <f>COUNTIF('5v5 entries'!L:L,A31&amp;A$1)</f>
        <v>0</v>
      </c>
      <c r="M31" s="37">
        <f>F31/D31</f>
        <v>0</v>
      </c>
      <c r="N31" s="44">
        <f>COUNTIFS('5v5 entries'!D:D,A31&amp;A$1,'5v5 entries'!G:G,"L")</f>
        <v>0</v>
      </c>
      <c r="O31" s="44">
        <f>COUNTIFS('5v5 entries'!D:D,A31&amp;A$1,'5v5 entries'!G:G,"C")</f>
        <v>0</v>
      </c>
      <c r="P31" s="49">
        <f>COUNTIFS('5v5 entries'!D:D,A31&amp;A$1,'5v5 entries'!G:G,"R")</f>
        <v>1</v>
      </c>
    </row>
    <row r="32" spans="1:16" x14ac:dyDescent="0.25">
      <c r="A32" s="36"/>
      <c r="B32" s="36" t="s">
        <v>85</v>
      </c>
      <c r="C32" s="36"/>
      <c r="D32" s="37">
        <f t="shared" ref="D32:L32" si="19">D29+D30+D31</f>
        <v>1</v>
      </c>
      <c r="E32" s="37">
        <f t="shared" si="19"/>
        <v>0</v>
      </c>
      <c r="F32" s="37">
        <f t="shared" si="19"/>
        <v>0</v>
      </c>
      <c r="G32" s="37">
        <f t="shared" si="19"/>
        <v>0</v>
      </c>
      <c r="H32" s="37">
        <f t="shared" si="19"/>
        <v>1</v>
      </c>
      <c r="I32" s="37">
        <f t="shared" si="19"/>
        <v>0</v>
      </c>
      <c r="J32" s="37">
        <f t="shared" si="19"/>
        <v>0</v>
      </c>
      <c r="K32" s="49">
        <f t="shared" si="19"/>
        <v>0</v>
      </c>
      <c r="L32" s="37">
        <f t="shared" si="19"/>
        <v>0</v>
      </c>
      <c r="M32" s="37">
        <f>F32/D32</f>
        <v>0</v>
      </c>
      <c r="N32" s="44">
        <f>SUM(N29:N31)</f>
        <v>0</v>
      </c>
      <c r="O32" s="44">
        <f t="shared" ref="O32:P32" si="20">SUM(O29:O31)</f>
        <v>0</v>
      </c>
      <c r="P32" s="44">
        <f t="shared" si="20"/>
        <v>1</v>
      </c>
    </row>
    <row r="33" spans="4:16" x14ac:dyDescent="0.25">
      <c r="D33">
        <f>D5+D10+D15+D20+D24+D28+D32</f>
        <v>56</v>
      </c>
      <c r="E33">
        <f t="shared" ref="E33:L33" si="21">E5+E10+E15+E20+E24+E28+E32</f>
        <v>26</v>
      </c>
      <c r="F33">
        <f t="shared" si="21"/>
        <v>24</v>
      </c>
      <c r="G33">
        <f t="shared" si="21"/>
        <v>14</v>
      </c>
      <c r="H33">
        <f t="shared" si="21"/>
        <v>32</v>
      </c>
      <c r="I33">
        <f t="shared" si="21"/>
        <v>12</v>
      </c>
      <c r="J33">
        <f t="shared" si="21"/>
        <v>9</v>
      </c>
      <c r="K33" s="46">
        <f t="shared" si="21"/>
        <v>7</v>
      </c>
      <c r="L33">
        <f t="shared" si="21"/>
        <v>4</v>
      </c>
      <c r="N33" s="44">
        <f t="shared" ref="N33:P33" si="22">N5+N10+N15+N20+N24+N28+N32</f>
        <v>21</v>
      </c>
      <c r="O33" s="44">
        <f t="shared" si="22"/>
        <v>10</v>
      </c>
      <c r="P33" s="49">
        <f t="shared" si="22"/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"/>
  <sheetViews>
    <sheetView workbookViewId="0">
      <selection activeCell="L20" sqref="A1:L20"/>
    </sheetView>
  </sheetViews>
  <sheetFormatPr defaultRowHeight="15" x14ac:dyDescent="0.25"/>
  <cols>
    <col min="1" max="1" width="5.28515625" bestFit="1" customWidth="1"/>
    <col min="2" max="2" width="13.42578125" bestFit="1" customWidth="1"/>
    <col min="3" max="3" width="4.140625" bestFit="1" customWidth="1"/>
    <col min="8" max="8" width="15.5703125" bestFit="1" customWidth="1"/>
    <col min="9" max="9" width="14.85546875" style="46" bestFit="1" customWidth="1"/>
  </cols>
  <sheetData>
    <row r="1" spans="1:12" x14ac:dyDescent="0.25">
      <c r="A1" s="24" t="s">
        <v>135</v>
      </c>
      <c r="B1" s="25" t="s">
        <v>3</v>
      </c>
      <c r="C1" s="47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47" t="s">
        <v>102</v>
      </c>
      <c r="J1" s="22" t="s">
        <v>71</v>
      </c>
      <c r="K1" s="26" t="s">
        <v>72</v>
      </c>
      <c r="L1" s="26" t="s">
        <v>73</v>
      </c>
    </row>
    <row r="2" spans="1:12" x14ac:dyDescent="0.25">
      <c r="A2" s="23">
        <v>8</v>
      </c>
      <c r="B2" s="25" t="s">
        <v>449</v>
      </c>
      <c r="C2" s="47" t="s">
        <v>83</v>
      </c>
      <c r="D2" s="32">
        <f>COUNTIF('5v5 entries'!E:E,A2&amp;A$1)</f>
        <v>0</v>
      </c>
      <c r="E2" s="32">
        <f>COUNTIFS('5v5 entries'!E:E,A2&amp;A$1,'5v5 entries'!C:C,"C")</f>
        <v>0</v>
      </c>
      <c r="F2" s="32">
        <f>COUNTIFS('5v5 entries'!E:E,A2&amp;A$1,'5v5 entries'!C:C,"D")</f>
        <v>0</v>
      </c>
      <c r="G2" s="32">
        <f>COUNTIFS('5v5 entries'!E:E,A2&amp;A$1,'5v5 entries'!C:C,"F")</f>
        <v>0</v>
      </c>
      <c r="H2" s="32">
        <f>SUMIF('5v5 entries'!E:E,A2&amp;A$1,'5v5 entries'!J:J)</f>
        <v>0</v>
      </c>
      <c r="I2" s="48">
        <f>COUNTIFS('5v5 entries'!E:E,A2&amp;A$1,'5v5 entries'!F:F,"Y")</f>
        <v>0</v>
      </c>
      <c r="J2" s="32" t="e">
        <f>H2/(E2+F2)</f>
        <v>#DIV/0!</v>
      </c>
      <c r="K2" s="33" t="e">
        <f>E2/D2</f>
        <v>#DIV/0!</v>
      </c>
      <c r="L2" s="33" t="e">
        <f xml:space="preserve"> G2/D2</f>
        <v>#DIV/0!</v>
      </c>
    </row>
    <row r="3" spans="1:12" x14ac:dyDescent="0.25">
      <c r="A3" s="23">
        <v>51</v>
      </c>
      <c r="B3" s="25" t="s">
        <v>450</v>
      </c>
      <c r="C3" s="47" t="s">
        <v>74</v>
      </c>
      <c r="D3" s="32">
        <f>COUNTIF('5v5 entries'!E:E,A3&amp;A$1)</f>
        <v>0</v>
      </c>
      <c r="E3" s="32">
        <f>COUNTIFS('5v5 entries'!E:E,A3&amp;A$1,'5v5 entries'!C:C,"C")</f>
        <v>0</v>
      </c>
      <c r="F3" s="32">
        <f>COUNTIFS('5v5 entries'!E:E,A3&amp;A$1,'5v5 entries'!C:C,"D")</f>
        <v>0</v>
      </c>
      <c r="G3" s="32">
        <f>COUNTIFS('5v5 entries'!E:E,A3&amp;A$1,'5v5 entries'!C:C,"F")</f>
        <v>0</v>
      </c>
      <c r="H3" s="32">
        <f>SUMIF('5v5 entries'!E:E,A3&amp;A$1,'5v5 entries'!J:J)</f>
        <v>0</v>
      </c>
      <c r="I3" s="48">
        <f>COUNTIFS('5v5 entries'!E:E,A3&amp;A$1,'5v5 entries'!F:F,"Y")</f>
        <v>0</v>
      </c>
      <c r="J3" s="32" t="e">
        <f t="shared" ref="J3:J19" si="0">H3/(E3+F3)</f>
        <v>#DIV/0!</v>
      </c>
      <c r="K3" s="33" t="e">
        <f t="shared" ref="K3:K19" si="1">E3/D3</f>
        <v>#DIV/0!</v>
      </c>
      <c r="L3" s="33" t="e">
        <f t="shared" ref="L3:L19" si="2" xml:space="preserve"> G3/D3</f>
        <v>#DIV/0!</v>
      </c>
    </row>
    <row r="4" spans="1:12" x14ac:dyDescent="0.25">
      <c r="A4" s="23">
        <v>71</v>
      </c>
      <c r="B4" s="25" t="s">
        <v>451</v>
      </c>
      <c r="C4" s="47" t="s">
        <v>84</v>
      </c>
      <c r="D4" s="32">
        <f>COUNTIF('5v5 entries'!E:E,A4&amp;A$1)</f>
        <v>1</v>
      </c>
      <c r="E4" s="32">
        <f>COUNTIFS('5v5 entries'!E:E,A4&amp;A$1,'5v5 entries'!C:C,"C")</f>
        <v>0</v>
      </c>
      <c r="F4" s="32">
        <f>COUNTIFS('5v5 entries'!E:E,A4&amp;A$1,'5v5 entries'!C:C,"D")</f>
        <v>1</v>
      </c>
      <c r="G4" s="32">
        <f>COUNTIFS('5v5 entries'!E:E,A4&amp;A$1,'5v5 entries'!C:C,"F")</f>
        <v>0</v>
      </c>
      <c r="H4" s="32">
        <f>SUMIF('5v5 entries'!E:E,A4&amp;A$1,'5v5 entries'!J:J)</f>
        <v>0</v>
      </c>
      <c r="I4" s="48">
        <f>COUNTIFS('5v5 entries'!E:E,A4&amp;A$1,'5v5 entries'!F:F,"Y")</f>
        <v>0</v>
      </c>
      <c r="J4" s="32">
        <f t="shared" si="0"/>
        <v>0</v>
      </c>
      <c r="K4" s="33">
        <f t="shared" si="1"/>
        <v>0</v>
      </c>
      <c r="L4" s="33">
        <f t="shared" si="2"/>
        <v>0</v>
      </c>
    </row>
    <row r="5" spans="1:12" x14ac:dyDescent="0.25">
      <c r="A5" s="23"/>
      <c r="B5" s="25" t="s">
        <v>85</v>
      </c>
      <c r="C5" s="47"/>
      <c r="D5" s="32">
        <f>D2+D3+D4</f>
        <v>1</v>
      </c>
      <c r="E5" s="32">
        <f t="shared" ref="E5:I5" si="3">E2+E3+E4</f>
        <v>0</v>
      </c>
      <c r="F5" s="32">
        <f t="shared" si="3"/>
        <v>1</v>
      </c>
      <c r="G5" s="32">
        <f t="shared" si="3"/>
        <v>0</v>
      </c>
      <c r="H5" s="32">
        <f t="shared" si="3"/>
        <v>0</v>
      </c>
      <c r="I5" s="48">
        <f t="shared" si="3"/>
        <v>0</v>
      </c>
      <c r="J5" s="32">
        <f>H5/(E5+F5)</f>
        <v>0</v>
      </c>
      <c r="K5" s="33">
        <f>(E5/D5)</f>
        <v>0</v>
      </c>
      <c r="L5" s="33">
        <f>(G5/D5)</f>
        <v>0</v>
      </c>
    </row>
    <row r="6" spans="1:12" x14ac:dyDescent="0.25">
      <c r="A6" s="23"/>
      <c r="B6" s="25"/>
      <c r="C6" s="46"/>
      <c r="D6" s="32"/>
      <c r="E6" s="32"/>
      <c r="F6" s="32"/>
      <c r="G6" s="32"/>
      <c r="H6" s="32"/>
      <c r="I6" s="48"/>
      <c r="J6" s="32"/>
      <c r="K6" s="33"/>
      <c r="L6" s="33"/>
    </row>
    <row r="7" spans="1:12" x14ac:dyDescent="0.25">
      <c r="A7" s="23">
        <v>21</v>
      </c>
      <c r="B7" s="25" t="s">
        <v>452</v>
      </c>
      <c r="C7" s="47" t="s">
        <v>83</v>
      </c>
      <c r="D7" s="32">
        <f>COUNTIF('5v5 entries'!E:E,A7&amp;A$1)</f>
        <v>0</v>
      </c>
      <c r="E7" s="32">
        <f>COUNTIFS('5v5 entries'!E:E,A7&amp;A$1,'5v5 entries'!C:C,"C")</f>
        <v>0</v>
      </c>
      <c r="F7" s="32">
        <f>COUNTIFS('5v5 entries'!E:E,A7&amp;A$1,'5v5 entries'!C:C,"D")</f>
        <v>0</v>
      </c>
      <c r="G7" s="32">
        <f>COUNTIFS('5v5 entries'!E:E,A7&amp;A$1,'5v5 entries'!C:C,"F")</f>
        <v>0</v>
      </c>
      <c r="H7" s="32">
        <f>SUMIF('5v5 entries'!E:E,A7&amp;A$1,'5v5 entries'!J:J)</f>
        <v>0</v>
      </c>
      <c r="I7" s="48">
        <f>COUNTIFS('5v5 entries'!E:E,A7&amp;A$1,'5v5 entries'!F:F,"Y")</f>
        <v>0</v>
      </c>
      <c r="J7" s="32" t="e">
        <f t="shared" si="0"/>
        <v>#DIV/0!</v>
      </c>
      <c r="K7" s="33" t="e">
        <f t="shared" si="1"/>
        <v>#DIV/0!</v>
      </c>
      <c r="L7" s="33" t="e">
        <f t="shared" si="2"/>
        <v>#DIV/0!</v>
      </c>
    </row>
    <row r="8" spans="1:12" x14ac:dyDescent="0.25">
      <c r="A8" s="23">
        <v>40</v>
      </c>
      <c r="B8" s="25" t="s">
        <v>453</v>
      </c>
      <c r="C8" s="47" t="s">
        <v>74</v>
      </c>
      <c r="D8" s="32">
        <f>COUNTIF('5v5 entries'!E:E,A8&amp;A$1)</f>
        <v>2</v>
      </c>
      <c r="E8" s="32">
        <f>COUNTIFS('5v5 entries'!E:E,A8&amp;A$1,'5v5 entries'!C:C,"C")</f>
        <v>0</v>
      </c>
      <c r="F8" s="32">
        <f>COUNTIFS('5v5 entries'!E:E,A8&amp;A$1,'5v5 entries'!C:C,"D")</f>
        <v>1</v>
      </c>
      <c r="G8" s="32">
        <f>COUNTIFS('5v5 entries'!E:E,A8&amp;A$1,'5v5 entries'!C:C,"F")</f>
        <v>1</v>
      </c>
      <c r="H8" s="32">
        <f>SUMIF('5v5 entries'!E:E,A8&amp;A$1,'5v5 entries'!J:J)</f>
        <v>0</v>
      </c>
      <c r="I8" s="48">
        <f>COUNTIFS('5v5 entries'!E:E,A8&amp;A$1,'5v5 entries'!F:F,"Y")</f>
        <v>0</v>
      </c>
      <c r="J8" s="32">
        <f t="shared" si="0"/>
        <v>0</v>
      </c>
      <c r="K8" s="33">
        <f t="shared" si="1"/>
        <v>0</v>
      </c>
      <c r="L8" s="33">
        <f t="shared" si="2"/>
        <v>0.5</v>
      </c>
    </row>
    <row r="9" spans="1:12" x14ac:dyDescent="0.25">
      <c r="A9" s="23">
        <v>15</v>
      </c>
      <c r="B9" s="25" t="s">
        <v>454</v>
      </c>
      <c r="C9" s="47" t="s">
        <v>84</v>
      </c>
      <c r="D9" s="32">
        <f>COUNTIF('5v5 entries'!E:E,A9&amp;A$1)</f>
        <v>1</v>
      </c>
      <c r="E9" s="32">
        <f>COUNTIFS('5v5 entries'!E:E,A9&amp;A$1,'5v5 entries'!C:C,"C")</f>
        <v>0</v>
      </c>
      <c r="F9" s="32">
        <f>COUNTIFS('5v5 entries'!E:E,A9&amp;A$1,'5v5 entries'!C:C,"D")</f>
        <v>1</v>
      </c>
      <c r="G9" s="32">
        <f>COUNTIFS('5v5 entries'!E:E,A9&amp;A$1,'5v5 entries'!C:C,"F")</f>
        <v>0</v>
      </c>
      <c r="H9" s="32">
        <f>SUMIF('5v5 entries'!E:E,A9&amp;A$1,'5v5 entries'!J:J)</f>
        <v>1</v>
      </c>
      <c r="I9" s="48">
        <f>COUNTIFS('5v5 entries'!E:E,A9&amp;A$1,'5v5 entries'!F:F,"Y")</f>
        <v>0</v>
      </c>
      <c r="J9" s="32">
        <f t="shared" si="0"/>
        <v>1</v>
      </c>
      <c r="K9" s="33">
        <f t="shared" si="1"/>
        <v>0</v>
      </c>
      <c r="L9" s="33">
        <f t="shared" si="2"/>
        <v>0</v>
      </c>
    </row>
    <row r="10" spans="1:12" x14ac:dyDescent="0.25">
      <c r="A10" s="23"/>
      <c r="B10" s="25" t="s">
        <v>85</v>
      </c>
      <c r="C10" s="47"/>
      <c r="D10" s="32">
        <f>D7+D8+D9</f>
        <v>3</v>
      </c>
      <c r="E10" s="32">
        <f t="shared" ref="E10:I10" si="4">E7+E8+E9</f>
        <v>0</v>
      </c>
      <c r="F10" s="32">
        <f t="shared" si="4"/>
        <v>2</v>
      </c>
      <c r="G10" s="32">
        <f t="shared" si="4"/>
        <v>1</v>
      </c>
      <c r="H10" s="32">
        <f t="shared" si="4"/>
        <v>1</v>
      </c>
      <c r="I10" s="48">
        <f t="shared" si="4"/>
        <v>0</v>
      </c>
      <c r="J10" s="32">
        <f>H10/(E10+F10)</f>
        <v>0.5</v>
      </c>
      <c r="K10" s="33">
        <f>(E10/D10)</f>
        <v>0</v>
      </c>
      <c r="L10" s="33">
        <f>(G10/D10)</f>
        <v>0.33333333333333331</v>
      </c>
    </row>
    <row r="11" spans="1:12" x14ac:dyDescent="0.25">
      <c r="A11" s="23"/>
      <c r="B11" s="25"/>
      <c r="C11" s="46"/>
      <c r="D11" s="32"/>
      <c r="E11" s="32"/>
      <c r="F11" s="32"/>
      <c r="G11" s="32"/>
      <c r="H11" s="32"/>
      <c r="I11" s="48"/>
      <c r="J11" s="32"/>
      <c r="K11" s="33"/>
      <c r="L11" s="33"/>
    </row>
    <row r="12" spans="1:12" x14ac:dyDescent="0.25">
      <c r="A12" s="23">
        <v>14</v>
      </c>
      <c r="B12" s="25" t="s">
        <v>455</v>
      </c>
      <c r="C12" s="47" t="s">
        <v>83</v>
      </c>
      <c r="D12" s="32">
        <f>COUNTIF('5v5 entries'!E:E,A12&amp;A$1)</f>
        <v>0</v>
      </c>
      <c r="E12" s="32">
        <f>COUNTIFS('5v5 entries'!E:E,A12&amp;A$1,'5v5 entries'!C:C,"C")</f>
        <v>0</v>
      </c>
      <c r="F12" s="32">
        <f>COUNTIFS('5v5 entries'!E:E,A12&amp;A$1,'5v5 entries'!C:C,"D")</f>
        <v>0</v>
      </c>
      <c r="G12" s="32">
        <f>COUNTIFS('5v5 entries'!E:E,A12&amp;A$1,'5v5 entries'!C:C,"F")</f>
        <v>0</v>
      </c>
      <c r="H12" s="32">
        <f>SUMIF('5v5 entries'!E:E,A12&amp;A$1,'5v5 entries'!J:J)</f>
        <v>0</v>
      </c>
      <c r="I12" s="48">
        <f>COUNTIFS('5v5 entries'!E:E,A12&amp;A$1,'5v5 entries'!F:F,"Y")</f>
        <v>0</v>
      </c>
      <c r="J12" s="32" t="e">
        <f t="shared" si="0"/>
        <v>#DIV/0!</v>
      </c>
      <c r="K12" s="33" t="e">
        <f t="shared" si="1"/>
        <v>#DIV/0!</v>
      </c>
      <c r="L12" s="33" t="e">
        <f t="shared" si="2"/>
        <v>#DIV/0!</v>
      </c>
    </row>
    <row r="13" spans="1:12" x14ac:dyDescent="0.25">
      <c r="A13" s="23">
        <v>43</v>
      </c>
      <c r="B13" s="25" t="s">
        <v>456</v>
      </c>
      <c r="C13" s="47" t="s">
        <v>74</v>
      </c>
      <c r="D13" s="32">
        <f>COUNTIF('5v5 entries'!E:E,A13&amp;A$1)</f>
        <v>0</v>
      </c>
      <c r="E13" s="32">
        <f>COUNTIFS('5v5 entries'!E:E,A13&amp;A$1,'5v5 entries'!C:C,"C")</f>
        <v>0</v>
      </c>
      <c r="F13" s="32">
        <f>COUNTIFS('5v5 entries'!E:E,A13&amp;A$1,'5v5 entries'!C:C,"D")</f>
        <v>0</v>
      </c>
      <c r="G13" s="32">
        <f>COUNTIFS('5v5 entries'!E:E,A13&amp;A$1,'5v5 entries'!C:C,"F")</f>
        <v>0</v>
      </c>
      <c r="H13" s="32">
        <f>SUMIF('5v5 entries'!E:E,A13&amp;A$1,'5v5 entries'!J:J)</f>
        <v>0</v>
      </c>
      <c r="I13" s="48">
        <f>COUNTIFS('5v5 entries'!E:E,A13&amp;A$1,'5v5 entries'!F:F,"Y")</f>
        <v>0</v>
      </c>
      <c r="J13" s="32" t="e">
        <f t="shared" si="0"/>
        <v>#DIV/0!</v>
      </c>
      <c r="K13" s="33" t="e">
        <f t="shared" si="1"/>
        <v>#DIV/0!</v>
      </c>
      <c r="L13" s="33" t="e">
        <f t="shared" si="2"/>
        <v>#DIV/0!</v>
      </c>
    </row>
    <row r="14" spans="1:12" x14ac:dyDescent="0.25">
      <c r="A14" s="23">
        <v>62</v>
      </c>
      <c r="B14" s="25" t="s">
        <v>457</v>
      </c>
      <c r="C14" s="47" t="s">
        <v>84</v>
      </c>
      <c r="D14" s="32">
        <f>COUNTIF('5v5 entries'!E:E,A14&amp;A$1)</f>
        <v>0</v>
      </c>
      <c r="E14" s="32">
        <f>COUNTIFS('5v5 entries'!E:E,A14&amp;A$1,'5v5 entries'!C:C,"C")</f>
        <v>0</v>
      </c>
      <c r="F14" s="32">
        <f>COUNTIFS('5v5 entries'!E:E,A14&amp;A$1,'5v5 entries'!C:C,"D")</f>
        <v>0</v>
      </c>
      <c r="G14" s="32">
        <f>COUNTIFS('5v5 entries'!E:E,A14&amp;A$1,'5v5 entries'!C:C,"F")</f>
        <v>0</v>
      </c>
      <c r="H14" s="32">
        <f>SUMIF('5v5 entries'!E:E,A14&amp;A$1,'5v5 entries'!J:J)</f>
        <v>0</v>
      </c>
      <c r="I14" s="48">
        <f>COUNTIFS('5v5 entries'!E:E,A14&amp;A$1,'5v5 entries'!F:F,"Y")</f>
        <v>0</v>
      </c>
      <c r="J14" s="32" t="e">
        <f t="shared" si="0"/>
        <v>#DIV/0!</v>
      </c>
      <c r="K14" s="33" t="e">
        <f t="shared" si="1"/>
        <v>#DIV/0!</v>
      </c>
      <c r="L14" s="33" t="e">
        <f t="shared" si="2"/>
        <v>#DIV/0!</v>
      </c>
    </row>
    <row r="15" spans="1:12" x14ac:dyDescent="0.25">
      <c r="A15" s="23"/>
      <c r="B15" s="25" t="s">
        <v>85</v>
      </c>
      <c r="C15" s="47"/>
      <c r="D15" s="32">
        <f>D12+D13+D14</f>
        <v>0</v>
      </c>
      <c r="E15" s="32">
        <f t="shared" ref="E15:I15" si="5">E12+E13+E14</f>
        <v>0</v>
      </c>
      <c r="F15" s="32">
        <f t="shared" si="5"/>
        <v>0</v>
      </c>
      <c r="G15" s="32">
        <f t="shared" si="5"/>
        <v>0</v>
      </c>
      <c r="H15" s="32">
        <f t="shared" si="5"/>
        <v>0</v>
      </c>
      <c r="I15" s="48">
        <f t="shared" si="5"/>
        <v>0</v>
      </c>
      <c r="J15" s="32" t="e">
        <f>H15/(E15+F15)</f>
        <v>#DIV/0!</v>
      </c>
      <c r="K15" s="33" t="e">
        <f>(E15/D15)</f>
        <v>#DIV/0!</v>
      </c>
      <c r="L15" s="33" t="e">
        <f>(G15/D15)</f>
        <v>#DIV/0!</v>
      </c>
    </row>
    <row r="16" spans="1:12" x14ac:dyDescent="0.25">
      <c r="A16" s="23"/>
      <c r="B16" s="25"/>
      <c r="C16" s="46"/>
      <c r="D16" s="32"/>
      <c r="E16" s="32"/>
      <c r="F16" s="32"/>
      <c r="G16" s="32"/>
      <c r="H16" s="32"/>
      <c r="I16" s="48"/>
      <c r="J16" s="32"/>
      <c r="K16" s="33"/>
      <c r="L16" s="33"/>
    </row>
    <row r="17" spans="1:12" x14ac:dyDescent="0.25">
      <c r="A17" s="23">
        <v>29</v>
      </c>
      <c r="B17" s="25" t="s">
        <v>458</v>
      </c>
      <c r="C17" s="47" t="s">
        <v>83</v>
      </c>
      <c r="D17" s="32">
        <f>COUNTIF('5v5 entries'!E:E,A17&amp;A$1)</f>
        <v>0</v>
      </c>
      <c r="E17" s="32">
        <f>COUNTIFS('5v5 entries'!E:E,A17&amp;A$1,'5v5 entries'!C:C,"C")</f>
        <v>0</v>
      </c>
      <c r="F17" s="32">
        <f>COUNTIFS('5v5 entries'!E:E,A17&amp;A$1,'5v5 entries'!C:C,"D")</f>
        <v>0</v>
      </c>
      <c r="G17" s="32">
        <f>COUNTIFS('5v5 entries'!E:E,A17&amp;A$1,'5v5 entries'!C:C,"F")</f>
        <v>0</v>
      </c>
      <c r="H17" s="32">
        <f>SUMIF('5v5 entries'!E:E,A17&amp;A$1,'5v5 entries'!J:J)</f>
        <v>0</v>
      </c>
      <c r="I17" s="48">
        <f>COUNTIFS('5v5 entries'!E:E,A17&amp;A$1,'5v5 entries'!F:F,"Y")</f>
        <v>0</v>
      </c>
      <c r="J17" s="32" t="e">
        <f t="shared" si="0"/>
        <v>#DIV/0!</v>
      </c>
      <c r="K17" s="33" t="e">
        <f t="shared" si="1"/>
        <v>#DIV/0!</v>
      </c>
      <c r="L17" s="33" t="e">
        <f t="shared" si="2"/>
        <v>#DIV/0!</v>
      </c>
    </row>
    <row r="18" spans="1:12" x14ac:dyDescent="0.25">
      <c r="A18" s="23">
        <v>41</v>
      </c>
      <c r="B18" s="25" t="s">
        <v>459</v>
      </c>
      <c r="C18" s="47" t="s">
        <v>74</v>
      </c>
      <c r="D18" s="32">
        <f>COUNTIF('5v5 entries'!E:E,A18&amp;A$1)</f>
        <v>0</v>
      </c>
      <c r="E18" s="32">
        <f>COUNTIFS('5v5 entries'!E:E,A18&amp;A$1,'5v5 entries'!C:C,"C")</f>
        <v>0</v>
      </c>
      <c r="F18" s="32">
        <f>COUNTIFS('5v5 entries'!E:E,A18&amp;A$1,'5v5 entries'!C:C,"D")</f>
        <v>0</v>
      </c>
      <c r="G18" s="32">
        <f>COUNTIFS('5v5 entries'!E:E,A18&amp;A$1,'5v5 entries'!C:C,"F")</f>
        <v>0</v>
      </c>
      <c r="H18" s="32">
        <f>SUMIF('5v5 entries'!E:E,A18&amp;A$1,'5v5 entries'!J:J)</f>
        <v>0</v>
      </c>
      <c r="I18" s="48">
        <f>COUNTIFS('5v5 entries'!E:E,A18&amp;A$1,'5v5 entries'!F:F,"Y")</f>
        <v>0</v>
      </c>
      <c r="J18" s="32" t="e">
        <f t="shared" si="0"/>
        <v>#DIV/0!</v>
      </c>
      <c r="K18" s="33" t="e">
        <f t="shared" si="1"/>
        <v>#DIV/0!</v>
      </c>
      <c r="L18" s="33" t="e">
        <f t="shared" si="2"/>
        <v>#DIV/0!</v>
      </c>
    </row>
    <row r="19" spans="1:12" x14ac:dyDescent="0.25">
      <c r="A19" s="23">
        <v>20</v>
      </c>
      <c r="B19" s="25" t="s">
        <v>460</v>
      </c>
      <c r="C19" s="47" t="s">
        <v>84</v>
      </c>
      <c r="D19" s="32">
        <f>COUNTIF('5v5 entries'!E:E,A19&amp;A$1)</f>
        <v>0</v>
      </c>
      <c r="E19" s="32">
        <f>COUNTIFS('5v5 entries'!E:E,A19&amp;A$1,'5v5 entries'!C:C,"C")</f>
        <v>0</v>
      </c>
      <c r="F19" s="32">
        <f>COUNTIFS('5v5 entries'!E:E,A19&amp;A$1,'5v5 entries'!C:C,"D")</f>
        <v>0</v>
      </c>
      <c r="G19" s="32">
        <f>COUNTIFS('5v5 entries'!E:E,A19&amp;A$1,'5v5 entries'!C:C,"F")</f>
        <v>0</v>
      </c>
      <c r="H19" s="32">
        <f>SUMIF('5v5 entries'!E:E,A19&amp;A$1,'5v5 entries'!J:J)</f>
        <v>0</v>
      </c>
      <c r="I19" s="48">
        <f>COUNTIFS('5v5 entries'!E:E,A19&amp;A$1,'5v5 entries'!F:F,"Y")</f>
        <v>0</v>
      </c>
      <c r="J19" s="32" t="e">
        <f t="shared" si="0"/>
        <v>#DIV/0!</v>
      </c>
      <c r="K19" s="33" t="e">
        <f t="shared" si="1"/>
        <v>#DIV/0!</v>
      </c>
      <c r="L19" s="33" t="e">
        <f t="shared" si="2"/>
        <v>#DIV/0!</v>
      </c>
    </row>
    <row r="20" spans="1:12" x14ac:dyDescent="0.25">
      <c r="A20" s="28"/>
      <c r="B20" s="30" t="s">
        <v>85</v>
      </c>
      <c r="C20" s="47"/>
      <c r="D20" s="48">
        <f>D17+D18+D19</f>
        <v>0</v>
      </c>
      <c r="E20" s="48">
        <f t="shared" ref="E20:I20" si="6">E17+E18+E19</f>
        <v>0</v>
      </c>
      <c r="F20" s="48">
        <f t="shared" si="6"/>
        <v>0</v>
      </c>
      <c r="G20" s="48">
        <f t="shared" si="6"/>
        <v>0</v>
      </c>
      <c r="H20" s="48">
        <f t="shared" si="6"/>
        <v>0</v>
      </c>
      <c r="I20" s="48">
        <f t="shared" si="6"/>
        <v>0</v>
      </c>
      <c r="J20" s="48" t="e">
        <f>H20/(E20+F20)</f>
        <v>#DIV/0!</v>
      </c>
      <c r="K20" s="33" t="e">
        <f>(E20/D20)</f>
        <v>#DIV/0!</v>
      </c>
      <c r="L20" s="33" t="e">
        <f>(G20/D20)</f>
        <v>#DIV/0!</v>
      </c>
    </row>
    <row r="21" spans="1:12" x14ac:dyDescent="0.25">
      <c r="A21" s="28"/>
      <c r="B21" s="30"/>
      <c r="C21" s="46"/>
      <c r="D21" s="48"/>
      <c r="E21" s="48"/>
      <c r="F21" s="48"/>
      <c r="G21" s="48"/>
      <c r="H21" s="48"/>
      <c r="I21" s="48"/>
      <c r="J21" s="48"/>
      <c r="K21" s="33"/>
      <c r="L21" s="33"/>
    </row>
    <row r="22" spans="1:12" x14ac:dyDescent="0.25">
      <c r="A22" s="28">
        <v>65</v>
      </c>
      <c r="B22" s="30" t="s">
        <v>461</v>
      </c>
      <c r="C22" s="47" t="s">
        <v>86</v>
      </c>
      <c r="D22" s="48">
        <f>COUNTIF('5v5 entries'!E:E,A22&amp;A$1)</f>
        <v>7</v>
      </c>
      <c r="E22" s="48">
        <f>COUNTIFS('5v5 entries'!E:E,A22&amp;A$1,'5v5 entries'!C:C,"C")</f>
        <v>4</v>
      </c>
      <c r="F22" s="48">
        <f>COUNTIFS('5v5 entries'!E:E,A22&amp;A$1,'5v5 entries'!C:C,"D")</f>
        <v>3</v>
      </c>
      <c r="G22" s="48">
        <f>COUNTIFS('5v5 entries'!E:E,A22&amp;A$1,'5v5 entries'!C:C,"F")</f>
        <v>0</v>
      </c>
      <c r="H22" s="48">
        <f>SUMIF('5v5 entries'!E:E,A22&amp;A$1,'5v5 entries'!J:J)</f>
        <v>2</v>
      </c>
      <c r="I22" s="48">
        <f>COUNTIFS('5v5 entries'!E:E,A22&amp;A$1,'5v5 entries'!F:F,"Y")</f>
        <v>0</v>
      </c>
      <c r="J22" s="48">
        <f t="shared" ref="J22:J32" si="7">H22/(E22+F22)</f>
        <v>0.2857142857142857</v>
      </c>
      <c r="K22" s="33">
        <f t="shared" ref="K22:K32" si="8">E22/D22</f>
        <v>0.5714285714285714</v>
      </c>
      <c r="L22" s="33">
        <f t="shared" ref="L22:L32" si="9" xml:space="preserve"> G22/D22</f>
        <v>0</v>
      </c>
    </row>
    <row r="23" spans="1:12" x14ac:dyDescent="0.25">
      <c r="A23" s="28">
        <v>25</v>
      </c>
      <c r="B23" s="30" t="s">
        <v>462</v>
      </c>
      <c r="C23" s="47" t="s">
        <v>87</v>
      </c>
      <c r="D23" s="48">
        <f>COUNTIF('5v5 entries'!E:E,A23&amp;A$1)</f>
        <v>6</v>
      </c>
      <c r="E23" s="48">
        <f>COUNTIFS('5v5 entries'!E:E,A23&amp;A$1,'5v5 entries'!C:C,"C")</f>
        <v>4</v>
      </c>
      <c r="F23" s="48">
        <f>COUNTIFS('5v5 entries'!E:E,A23&amp;A$1,'5v5 entries'!C:C,"D")</f>
        <v>2</v>
      </c>
      <c r="G23" s="48">
        <f>COUNTIFS('5v5 entries'!E:E,A23&amp;A$1,'5v5 entries'!C:C,"F")</f>
        <v>0</v>
      </c>
      <c r="H23" s="48">
        <f>SUMIF('5v5 entries'!E:E,A23&amp;A$1,'5v5 entries'!J:J)</f>
        <v>1</v>
      </c>
      <c r="I23" s="48">
        <f>COUNTIFS('5v5 entries'!E:E,A23&amp;A$1,'5v5 entries'!F:F,"Y")</f>
        <v>2</v>
      </c>
      <c r="J23" s="48">
        <f t="shared" si="7"/>
        <v>0.16666666666666666</v>
      </c>
      <c r="K23" s="33">
        <f t="shared" si="8"/>
        <v>0.66666666666666663</v>
      </c>
      <c r="L23" s="33">
        <f t="shared" si="9"/>
        <v>0</v>
      </c>
    </row>
    <row r="24" spans="1:12" x14ac:dyDescent="0.25">
      <c r="A24" s="28"/>
      <c r="B24" s="30" t="s">
        <v>85</v>
      </c>
      <c r="C24" s="47"/>
      <c r="D24" s="48">
        <f>D22+D23</f>
        <v>13</v>
      </c>
      <c r="E24" s="48">
        <f t="shared" ref="E24:I24" si="10">E22+E23</f>
        <v>8</v>
      </c>
      <c r="F24" s="48">
        <f t="shared" si="10"/>
        <v>5</v>
      </c>
      <c r="G24" s="48">
        <f t="shared" si="10"/>
        <v>0</v>
      </c>
      <c r="H24" s="48">
        <f t="shared" si="10"/>
        <v>3</v>
      </c>
      <c r="I24" s="48">
        <f t="shared" si="10"/>
        <v>2</v>
      </c>
      <c r="J24" s="48">
        <f>H24/(E24+F24)</f>
        <v>0.23076923076923078</v>
      </c>
      <c r="K24" s="33">
        <f>(E24/D24)</f>
        <v>0.61538461538461542</v>
      </c>
      <c r="L24" s="33">
        <f>(G24/D24)</f>
        <v>0</v>
      </c>
    </row>
    <row r="25" spans="1:12" x14ac:dyDescent="0.25">
      <c r="A25" s="28"/>
      <c r="B25" s="30"/>
      <c r="C25" s="46"/>
      <c r="D25" s="48"/>
      <c r="E25" s="48"/>
      <c r="F25" s="48"/>
      <c r="G25" s="48"/>
      <c r="H25" s="48"/>
      <c r="I25" s="48"/>
      <c r="J25" s="48"/>
      <c r="K25" s="33"/>
      <c r="L25" s="33"/>
    </row>
    <row r="26" spans="1:12" x14ac:dyDescent="0.25">
      <c r="A26" s="28">
        <v>52</v>
      </c>
      <c r="B26" s="30" t="s">
        <v>463</v>
      </c>
      <c r="C26" s="47" t="s">
        <v>86</v>
      </c>
      <c r="D26" s="48">
        <f>COUNTIF('5v5 entries'!E:E,A26&amp;A$1)</f>
        <v>9</v>
      </c>
      <c r="E26" s="48">
        <f>COUNTIFS('5v5 entries'!E:E,A26&amp;A$1,'5v5 entries'!C:C,"C")</f>
        <v>4</v>
      </c>
      <c r="F26" s="48">
        <f>COUNTIFS('5v5 entries'!E:E,A26&amp;A$1,'5v5 entries'!C:C,"D")</f>
        <v>4</v>
      </c>
      <c r="G26" s="48">
        <f>COUNTIFS('5v5 entries'!E:E,A26&amp;A$1,'5v5 entries'!C:C,"F")</f>
        <v>1</v>
      </c>
      <c r="H26" s="48">
        <f>SUMIF('5v5 entries'!E:E,A26&amp;A$1,'5v5 entries'!J:J)</f>
        <v>2</v>
      </c>
      <c r="I26" s="48">
        <f>COUNTIFS('5v5 entries'!E:E,A26&amp;A$1,'5v5 entries'!F:F,"Y")</f>
        <v>2</v>
      </c>
      <c r="J26" s="48">
        <f t="shared" si="7"/>
        <v>0.25</v>
      </c>
      <c r="K26" s="33">
        <f t="shared" si="8"/>
        <v>0.44444444444444442</v>
      </c>
      <c r="L26" s="33">
        <f t="shared" si="9"/>
        <v>0.1111111111111111</v>
      </c>
    </row>
    <row r="27" spans="1:12" x14ac:dyDescent="0.25">
      <c r="A27" s="28">
        <v>53</v>
      </c>
      <c r="B27" s="30" t="s">
        <v>464</v>
      </c>
      <c r="C27" s="47" t="s">
        <v>87</v>
      </c>
      <c r="D27" s="48">
        <f>COUNTIF('5v5 entries'!E:E,A27&amp;A$1)</f>
        <v>3</v>
      </c>
      <c r="E27" s="48">
        <f>COUNTIFS('5v5 entries'!E:E,A27&amp;A$1,'5v5 entries'!C:C,"C")</f>
        <v>1</v>
      </c>
      <c r="F27" s="48">
        <f>COUNTIFS('5v5 entries'!E:E,A27&amp;A$1,'5v5 entries'!C:C,"D")</f>
        <v>0</v>
      </c>
      <c r="G27" s="48">
        <f>COUNTIFS('5v5 entries'!E:E,A27&amp;A$1,'5v5 entries'!C:C,"F")</f>
        <v>2</v>
      </c>
      <c r="H27" s="48">
        <f>SUMIF('5v5 entries'!E:E,A27&amp;A$1,'5v5 entries'!J:J)</f>
        <v>1</v>
      </c>
      <c r="I27" s="48">
        <f>COUNTIFS('5v5 entries'!E:E,A27&amp;A$1,'5v5 entries'!F:F,"Y")</f>
        <v>0</v>
      </c>
      <c r="J27" s="48">
        <f t="shared" si="7"/>
        <v>1</v>
      </c>
      <c r="K27" s="33">
        <f t="shared" si="8"/>
        <v>0.33333333333333331</v>
      </c>
      <c r="L27" s="33">
        <f t="shared" si="9"/>
        <v>0.66666666666666663</v>
      </c>
    </row>
    <row r="28" spans="1:12" x14ac:dyDescent="0.25">
      <c r="A28" s="28"/>
      <c r="B28" s="30" t="s">
        <v>85</v>
      </c>
      <c r="C28" s="47"/>
      <c r="D28" s="48">
        <f>D26+D27</f>
        <v>12</v>
      </c>
      <c r="E28" s="48">
        <f t="shared" ref="E28:I28" si="11">E26+E27</f>
        <v>5</v>
      </c>
      <c r="F28" s="48">
        <f t="shared" si="11"/>
        <v>4</v>
      </c>
      <c r="G28" s="48">
        <f t="shared" si="11"/>
        <v>3</v>
      </c>
      <c r="H28" s="48">
        <f t="shared" si="11"/>
        <v>3</v>
      </c>
      <c r="I28" s="48">
        <f t="shared" si="11"/>
        <v>2</v>
      </c>
      <c r="J28" s="48">
        <f t="shared" si="7"/>
        <v>0.33333333333333331</v>
      </c>
      <c r="K28" s="33">
        <f t="shared" si="8"/>
        <v>0.41666666666666669</v>
      </c>
      <c r="L28" s="33">
        <f t="shared" si="9"/>
        <v>0.25</v>
      </c>
    </row>
    <row r="29" spans="1:12" x14ac:dyDescent="0.25">
      <c r="A29" s="28"/>
      <c r="B29" s="30"/>
      <c r="C29" s="46"/>
      <c r="D29" s="48"/>
      <c r="E29" s="48"/>
      <c r="F29" s="48"/>
      <c r="G29" s="48"/>
      <c r="H29" s="48"/>
      <c r="I29" s="48"/>
      <c r="J29" s="48"/>
      <c r="K29" s="33"/>
      <c r="L29" s="33"/>
    </row>
    <row r="30" spans="1:12" x14ac:dyDescent="0.25">
      <c r="A30" s="28">
        <v>2</v>
      </c>
      <c r="B30" s="30" t="s">
        <v>465</v>
      </c>
      <c r="C30" s="47" t="s">
        <v>86</v>
      </c>
      <c r="D30" s="48">
        <f>COUNTIF('5v5 entries'!E:E,A30&amp;A$1)</f>
        <v>5</v>
      </c>
      <c r="E30" s="48">
        <f>COUNTIFS('5v5 entries'!E:E,A30&amp;A$1,'5v5 entries'!C:C,"C")</f>
        <v>5</v>
      </c>
      <c r="F30" s="48">
        <f>COUNTIFS('5v5 entries'!E:E,A30&amp;A$1,'5v5 entries'!C:C,"D")</f>
        <v>0</v>
      </c>
      <c r="G30" s="48">
        <f>COUNTIFS('5v5 entries'!E:E,A30&amp;A$1,'5v5 entries'!C:C,"F")</f>
        <v>0</v>
      </c>
      <c r="H30" s="48">
        <f>SUMIF('5v5 entries'!E:E,A30&amp;A$1,'5v5 entries'!J:J)</f>
        <v>3</v>
      </c>
      <c r="I30" s="48">
        <f>COUNTIFS('5v5 entries'!E:E,A30&amp;A$1,'5v5 entries'!F:F,"Y")</f>
        <v>1</v>
      </c>
      <c r="J30" s="48">
        <f t="shared" si="7"/>
        <v>0.6</v>
      </c>
      <c r="K30" s="33">
        <f t="shared" si="8"/>
        <v>1</v>
      </c>
      <c r="L30" s="33">
        <f t="shared" si="9"/>
        <v>0</v>
      </c>
    </row>
    <row r="31" spans="1:12" x14ac:dyDescent="0.25">
      <c r="A31" s="28">
        <v>48</v>
      </c>
      <c r="B31" s="30" t="s">
        <v>466</v>
      </c>
      <c r="C31" s="47" t="s">
        <v>87</v>
      </c>
      <c r="D31" s="48">
        <f>COUNTIF('5v5 entries'!E:E,A31&amp;A$1)</f>
        <v>6</v>
      </c>
      <c r="E31" s="48">
        <f>COUNTIFS('5v5 entries'!E:E,A31&amp;A$1,'5v5 entries'!C:C,"C")</f>
        <v>3</v>
      </c>
      <c r="F31" s="48">
        <f>COUNTIFS('5v5 entries'!E:E,A31&amp;A$1,'5v5 entries'!C:C,"D")</f>
        <v>3</v>
      </c>
      <c r="G31" s="48">
        <f>COUNTIFS('5v5 entries'!E:E,A31&amp;A$1,'5v5 entries'!C:C,"F")</f>
        <v>0</v>
      </c>
      <c r="H31" s="48">
        <f>SUMIF('5v5 entries'!E:E,A31&amp;A$1,'5v5 entries'!J:J)</f>
        <v>5</v>
      </c>
      <c r="I31" s="48">
        <f>COUNTIFS('5v5 entries'!E:E,A31&amp;A$1,'5v5 entries'!F:F,"Y")</f>
        <v>2</v>
      </c>
      <c r="J31" s="48">
        <f t="shared" si="7"/>
        <v>0.83333333333333337</v>
      </c>
      <c r="K31" s="33">
        <f t="shared" si="8"/>
        <v>0.5</v>
      </c>
      <c r="L31" s="33">
        <f t="shared" si="9"/>
        <v>0</v>
      </c>
    </row>
    <row r="32" spans="1:12" x14ac:dyDescent="0.25">
      <c r="B32" t="s">
        <v>85</v>
      </c>
      <c r="D32">
        <f>D30+D31</f>
        <v>11</v>
      </c>
      <c r="E32">
        <f t="shared" ref="E32:I32" si="12">E30+E31</f>
        <v>8</v>
      </c>
      <c r="F32">
        <f t="shared" si="12"/>
        <v>3</v>
      </c>
      <c r="G32">
        <f t="shared" si="12"/>
        <v>0</v>
      </c>
      <c r="H32">
        <f t="shared" si="12"/>
        <v>8</v>
      </c>
      <c r="I32" s="46">
        <f t="shared" si="12"/>
        <v>3</v>
      </c>
      <c r="J32">
        <f t="shared" si="7"/>
        <v>0.72727272727272729</v>
      </c>
      <c r="K32">
        <f t="shared" si="8"/>
        <v>0.72727272727272729</v>
      </c>
      <c r="L32">
        <f t="shared" si="9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"/>
  <sheetViews>
    <sheetView workbookViewId="0">
      <selection activeCell="L20" sqref="A1:L20"/>
    </sheetView>
  </sheetViews>
  <sheetFormatPr defaultRowHeight="15" x14ac:dyDescent="0.25"/>
  <cols>
    <col min="1" max="1" width="5.28515625" bestFit="1" customWidth="1"/>
    <col min="2" max="2" width="13.42578125" bestFit="1" customWidth="1"/>
    <col min="3" max="3" width="4.140625" bestFit="1" customWidth="1"/>
    <col min="4" max="4" width="7.42578125" bestFit="1" customWidth="1"/>
    <col min="5" max="5" width="8" bestFit="1" customWidth="1"/>
    <col min="6" max="6" width="8.7109375" bestFit="1" customWidth="1"/>
    <col min="7" max="7" width="9" bestFit="1" customWidth="1"/>
    <col min="8" max="8" width="15.5703125" bestFit="1" customWidth="1"/>
    <col min="9" max="9" width="14.85546875" style="46" bestFit="1" customWidth="1"/>
  </cols>
  <sheetData>
    <row r="1" spans="1:12" x14ac:dyDescent="0.25">
      <c r="A1" s="29" t="s">
        <v>149</v>
      </c>
      <c r="B1" s="30" t="s">
        <v>3</v>
      </c>
      <c r="C1" s="28" t="s">
        <v>65</v>
      </c>
      <c r="D1" s="27" t="s">
        <v>66</v>
      </c>
      <c r="E1" s="27" t="s">
        <v>67</v>
      </c>
      <c r="F1" s="27" t="s">
        <v>68</v>
      </c>
      <c r="G1" s="27" t="s">
        <v>69</v>
      </c>
      <c r="H1" s="27" t="s">
        <v>70</v>
      </c>
      <c r="I1" s="47" t="s">
        <v>102</v>
      </c>
      <c r="J1" s="27" t="s">
        <v>71</v>
      </c>
      <c r="K1" s="31" t="s">
        <v>72</v>
      </c>
      <c r="L1" s="31" t="s">
        <v>73</v>
      </c>
    </row>
    <row r="2" spans="1:12" x14ac:dyDescent="0.25">
      <c r="A2" s="28">
        <v>19</v>
      </c>
      <c r="B2" s="30" t="s">
        <v>467</v>
      </c>
      <c r="C2" s="47" t="s">
        <v>83</v>
      </c>
      <c r="D2" s="32">
        <f>COUNTIF('5v5 entries'!E:E,A2&amp;A$1)</f>
        <v>1</v>
      </c>
      <c r="E2" s="32">
        <f>COUNTIFS('5v5 entries'!E:E,A2&amp;A$1,'5v5 entries'!C:C,"C")</f>
        <v>1</v>
      </c>
      <c r="F2" s="32">
        <f>COUNTIFS('5v5 entries'!E:E,A2&amp;A$1,'5v5 entries'!C:C,"D")</f>
        <v>0</v>
      </c>
      <c r="G2" s="32">
        <f>COUNTIFS('5v5 entries'!E:E,A2&amp;A$1,'5v5 entries'!C:C,"F")</f>
        <v>0</v>
      </c>
      <c r="H2" s="32">
        <f>SUMIF('5v5 entries'!E:E,A2&amp;A$1,'5v5 entries'!J:J)</f>
        <v>1</v>
      </c>
      <c r="I2" s="48">
        <f>COUNTIFS('5v5 entries'!E:E,A2&amp;A$1,'5v5 entries'!F:F,"Y")</f>
        <v>0</v>
      </c>
      <c r="J2" s="32">
        <f>H2/(E2+F2)</f>
        <v>1</v>
      </c>
      <c r="K2" s="33">
        <f>E2/D2</f>
        <v>1</v>
      </c>
      <c r="L2" s="33">
        <f xml:space="preserve"> G2/D2</f>
        <v>0</v>
      </c>
    </row>
    <row r="3" spans="1:12" x14ac:dyDescent="0.25">
      <c r="A3" s="28">
        <v>92</v>
      </c>
      <c r="B3" s="30" t="s">
        <v>468</v>
      </c>
      <c r="C3" s="47" t="s">
        <v>74</v>
      </c>
      <c r="D3" s="32">
        <f>COUNTIF('5v5 entries'!E:E,A3&amp;A$1)</f>
        <v>0</v>
      </c>
      <c r="E3" s="32">
        <f>COUNTIFS('5v5 entries'!E:E,A3&amp;A$1,'5v5 entries'!C:C,"C")</f>
        <v>0</v>
      </c>
      <c r="F3" s="32">
        <f>COUNTIFS('5v5 entries'!E:E,A3&amp;A$1,'5v5 entries'!C:C,"D")</f>
        <v>0</v>
      </c>
      <c r="G3" s="32">
        <f>COUNTIFS('5v5 entries'!E:E,A3&amp;A$1,'5v5 entries'!C:C,"F")</f>
        <v>0</v>
      </c>
      <c r="H3" s="32">
        <f>SUMIF('5v5 entries'!E:E,A3&amp;A$1,'5v5 entries'!J:J)</f>
        <v>0</v>
      </c>
      <c r="I3" s="48">
        <f>COUNTIFS('5v5 entries'!E:E,A3&amp;A$1,'5v5 entries'!F:F,"Y")</f>
        <v>0</v>
      </c>
      <c r="J3" s="32" t="e">
        <f t="shared" ref="J3:J19" si="0">H3/(E3+F3)</f>
        <v>#DIV/0!</v>
      </c>
      <c r="K3" s="33" t="e">
        <f t="shared" ref="K3:K19" si="1">E3/D3</f>
        <v>#DIV/0!</v>
      </c>
      <c r="L3" s="33" t="e">
        <f t="shared" ref="L3:L19" si="2" xml:space="preserve"> G3/D3</f>
        <v>#DIV/0!</v>
      </c>
    </row>
    <row r="4" spans="1:12" x14ac:dyDescent="0.25">
      <c r="A4" s="28">
        <v>18</v>
      </c>
      <c r="B4" s="30" t="s">
        <v>469</v>
      </c>
      <c r="C4" s="47" t="s">
        <v>84</v>
      </c>
      <c r="D4" s="32">
        <f>COUNTIF('5v5 entries'!E:E,A4&amp;A$1)</f>
        <v>0</v>
      </c>
      <c r="E4" s="32">
        <f>COUNTIFS('5v5 entries'!E:E,A4&amp;A$1,'5v5 entries'!C:C,"C")</f>
        <v>0</v>
      </c>
      <c r="F4" s="32">
        <f>COUNTIFS('5v5 entries'!E:E,A4&amp;A$1,'5v5 entries'!C:C,"D")</f>
        <v>0</v>
      </c>
      <c r="G4" s="32">
        <f>COUNTIFS('5v5 entries'!E:E,A4&amp;A$1,'5v5 entries'!C:C,"F")</f>
        <v>0</v>
      </c>
      <c r="H4" s="32">
        <f>SUMIF('5v5 entries'!E:E,A4&amp;A$1,'5v5 entries'!J:J)</f>
        <v>0</v>
      </c>
      <c r="I4" s="48">
        <f>COUNTIFS('5v5 entries'!E:E,A4&amp;A$1,'5v5 entries'!F:F,"Y")</f>
        <v>0</v>
      </c>
      <c r="J4" s="32" t="e">
        <f t="shared" si="0"/>
        <v>#DIV/0!</v>
      </c>
      <c r="K4" s="33" t="e">
        <f t="shared" si="1"/>
        <v>#DIV/0!</v>
      </c>
      <c r="L4" s="33" t="e">
        <f t="shared" si="2"/>
        <v>#DIV/0!</v>
      </c>
    </row>
    <row r="5" spans="1:12" s="52" customFormat="1" x14ac:dyDescent="0.25">
      <c r="A5" s="28"/>
      <c r="B5" s="30" t="s">
        <v>85</v>
      </c>
      <c r="C5" s="47"/>
      <c r="D5" s="50">
        <f>D2+D3+D4</f>
        <v>1</v>
      </c>
      <c r="E5" s="50">
        <f t="shared" ref="E5:I5" si="3">E2+E3+E4</f>
        <v>1</v>
      </c>
      <c r="F5" s="50">
        <f t="shared" si="3"/>
        <v>0</v>
      </c>
      <c r="G5" s="50">
        <f t="shared" si="3"/>
        <v>0</v>
      </c>
      <c r="H5" s="50">
        <f t="shared" si="3"/>
        <v>1</v>
      </c>
      <c r="I5" s="50">
        <f t="shared" si="3"/>
        <v>0</v>
      </c>
      <c r="J5" s="50">
        <f>H5/(E5+F5)</f>
        <v>1</v>
      </c>
      <c r="K5" s="51">
        <f>(E5/D5)</f>
        <v>1</v>
      </c>
      <c r="L5" s="51">
        <f>(G5/D5)</f>
        <v>0</v>
      </c>
    </row>
    <row r="6" spans="1:12" x14ac:dyDescent="0.25">
      <c r="A6" s="28"/>
      <c r="B6" s="30"/>
      <c r="C6" s="46"/>
      <c r="D6" s="32"/>
      <c r="E6" s="32"/>
      <c r="F6" s="32"/>
      <c r="G6" s="32"/>
      <c r="H6" s="32"/>
      <c r="I6" s="48"/>
      <c r="J6" s="32"/>
      <c r="K6" s="33"/>
      <c r="L6" s="33"/>
    </row>
    <row r="7" spans="1:12" x14ac:dyDescent="0.25">
      <c r="A7" s="28">
        <v>15</v>
      </c>
      <c r="B7" s="30" t="s">
        <v>470</v>
      </c>
      <c r="C7" s="47" t="s">
        <v>83</v>
      </c>
      <c r="D7" s="32">
        <f>COUNTIF('5v5 entries'!E:E,A7&amp;A$1)</f>
        <v>2</v>
      </c>
      <c r="E7" s="32">
        <f>COUNTIFS('5v5 entries'!E:E,A7&amp;A$1,'5v5 entries'!C:C,"C")</f>
        <v>0</v>
      </c>
      <c r="F7" s="32">
        <f>COUNTIFS('5v5 entries'!E:E,A7&amp;A$1,'5v5 entries'!C:C,"D")</f>
        <v>2</v>
      </c>
      <c r="G7" s="32">
        <f>COUNTIFS('5v5 entries'!E:E,A7&amp;A$1,'5v5 entries'!C:C,"F")</f>
        <v>0</v>
      </c>
      <c r="H7" s="32">
        <f>SUMIF('5v5 entries'!E:E,A7&amp;A$1,'5v5 entries'!J:J)</f>
        <v>1</v>
      </c>
      <c r="I7" s="48">
        <f>COUNTIFS('5v5 entries'!E:E,A7&amp;A$1,'5v5 entries'!F:F,"Y")</f>
        <v>0</v>
      </c>
      <c r="J7" s="32">
        <f t="shared" si="0"/>
        <v>0.5</v>
      </c>
      <c r="K7" s="33">
        <f t="shared" si="1"/>
        <v>0</v>
      </c>
      <c r="L7" s="33">
        <f t="shared" si="2"/>
        <v>0</v>
      </c>
    </row>
    <row r="8" spans="1:12" x14ac:dyDescent="0.25">
      <c r="A8" s="28">
        <v>63</v>
      </c>
      <c r="B8" s="30" t="s">
        <v>471</v>
      </c>
      <c r="C8" s="47" t="s">
        <v>74</v>
      </c>
      <c r="D8" s="32">
        <f>COUNTIF('5v5 entries'!E:E,A8&amp;A$1)</f>
        <v>0</v>
      </c>
      <c r="E8" s="32">
        <f>COUNTIFS('5v5 entries'!E:E,A8&amp;A$1,'5v5 entries'!C:C,"C")</f>
        <v>0</v>
      </c>
      <c r="F8" s="32">
        <f>COUNTIFS('5v5 entries'!E:E,A8&amp;A$1,'5v5 entries'!C:C,"D")</f>
        <v>0</v>
      </c>
      <c r="G8" s="32">
        <f>COUNTIFS('5v5 entries'!E:E,A8&amp;A$1,'5v5 entries'!C:C,"F")</f>
        <v>0</v>
      </c>
      <c r="H8" s="32">
        <f>SUMIF('5v5 entries'!E:E,A8&amp;A$1,'5v5 entries'!J:J)</f>
        <v>0</v>
      </c>
      <c r="I8" s="48">
        <f>COUNTIFS('5v5 entries'!E:E,A8&amp;A$1,'5v5 entries'!F:F,"Y")</f>
        <v>0</v>
      </c>
      <c r="J8" s="32" t="e">
        <f t="shared" si="0"/>
        <v>#DIV/0!</v>
      </c>
      <c r="K8" s="33" t="e">
        <f t="shared" si="1"/>
        <v>#DIV/0!</v>
      </c>
      <c r="L8" s="33" t="e">
        <f t="shared" si="2"/>
        <v>#DIV/0!</v>
      </c>
    </row>
    <row r="9" spans="1:12" x14ac:dyDescent="0.25">
      <c r="A9" s="28">
        <v>9</v>
      </c>
      <c r="B9" s="30" t="s">
        <v>472</v>
      </c>
      <c r="C9" s="47" t="s">
        <v>84</v>
      </c>
      <c r="D9" s="32">
        <f>COUNTIF('5v5 entries'!E:E,A9&amp;A$1)</f>
        <v>0</v>
      </c>
      <c r="E9" s="32">
        <f>COUNTIFS('5v5 entries'!E:E,A9&amp;A$1,'5v5 entries'!C:C,"C")</f>
        <v>0</v>
      </c>
      <c r="F9" s="32">
        <f>COUNTIFS('5v5 entries'!E:E,A9&amp;A$1,'5v5 entries'!C:C,"D")</f>
        <v>0</v>
      </c>
      <c r="G9" s="32">
        <f>COUNTIFS('5v5 entries'!E:E,A9&amp;A$1,'5v5 entries'!C:C,"F")</f>
        <v>0</v>
      </c>
      <c r="H9" s="32">
        <f>SUMIF('5v5 entries'!E:E,A9&amp;A$1,'5v5 entries'!J:J)</f>
        <v>0</v>
      </c>
      <c r="I9" s="48">
        <f>COUNTIFS('5v5 entries'!E:E,A9&amp;A$1,'5v5 entries'!F:F,"Y")</f>
        <v>0</v>
      </c>
      <c r="J9" s="32" t="e">
        <f t="shared" si="0"/>
        <v>#DIV/0!</v>
      </c>
      <c r="K9" s="33" t="e">
        <f t="shared" si="1"/>
        <v>#DIV/0!</v>
      </c>
      <c r="L9" s="33" t="e">
        <f t="shared" si="2"/>
        <v>#DIV/0!</v>
      </c>
    </row>
    <row r="10" spans="1:12" s="52" customFormat="1" x14ac:dyDescent="0.25">
      <c r="A10" s="28"/>
      <c r="B10" s="30" t="s">
        <v>85</v>
      </c>
      <c r="C10" s="47"/>
      <c r="D10" s="50">
        <f>D7+D8+D9</f>
        <v>2</v>
      </c>
      <c r="E10" s="50">
        <f t="shared" ref="E10" si="4">E7+E8+E9</f>
        <v>0</v>
      </c>
      <c r="F10" s="50">
        <f t="shared" ref="F10" si="5">F7+F8+F9</f>
        <v>2</v>
      </c>
      <c r="G10" s="50">
        <f t="shared" ref="G10" si="6">G7+G8+G9</f>
        <v>0</v>
      </c>
      <c r="H10" s="50">
        <f t="shared" ref="H10" si="7">H7+H8+H9</f>
        <v>1</v>
      </c>
      <c r="I10" s="50">
        <f t="shared" ref="I10" si="8">I7+I8+I9</f>
        <v>0</v>
      </c>
      <c r="J10" s="50">
        <f>H10/(E10+F10)</f>
        <v>0.5</v>
      </c>
      <c r="K10" s="51">
        <f>(E10/D10)</f>
        <v>0</v>
      </c>
      <c r="L10" s="51">
        <f>(G10/D10)</f>
        <v>0</v>
      </c>
    </row>
    <row r="11" spans="1:12" x14ac:dyDescent="0.25">
      <c r="A11" s="28"/>
      <c r="B11" s="30"/>
      <c r="C11" s="46"/>
      <c r="D11" s="32"/>
      <c r="E11" s="32"/>
      <c r="F11" s="32"/>
      <c r="G11" s="32"/>
      <c r="H11" s="32"/>
      <c r="I11" s="48"/>
      <c r="J11" s="32"/>
      <c r="K11" s="33"/>
      <c r="L11" s="33"/>
    </row>
    <row r="12" spans="1:12" x14ac:dyDescent="0.25">
      <c r="A12" s="28">
        <v>33</v>
      </c>
      <c r="B12" s="30" t="s">
        <v>473</v>
      </c>
      <c r="C12" s="47" t="s">
        <v>83</v>
      </c>
      <c r="D12" s="32">
        <f>COUNTIF('5v5 entries'!E:E,A12&amp;A$1)</f>
        <v>0</v>
      </c>
      <c r="E12" s="32">
        <f>COUNTIFS('5v5 entries'!E:E,A12&amp;A$1,'5v5 entries'!C:C,"C")</f>
        <v>0</v>
      </c>
      <c r="F12" s="32">
        <f>COUNTIFS('5v5 entries'!E:E,A12&amp;A$1,'5v5 entries'!C:C,"D")</f>
        <v>0</v>
      </c>
      <c r="G12" s="32">
        <f>COUNTIFS('5v5 entries'!E:E,A12&amp;A$1,'5v5 entries'!C:C,"F")</f>
        <v>0</v>
      </c>
      <c r="H12" s="32">
        <f>SUMIF('5v5 entries'!E:E,A12&amp;A$1,'5v5 entries'!J:J)</f>
        <v>0</v>
      </c>
      <c r="I12" s="48">
        <f>COUNTIFS('5v5 entries'!E:E,A12&amp;A$1,'5v5 entries'!F:F,"Y")</f>
        <v>0</v>
      </c>
      <c r="J12" s="32" t="e">
        <f t="shared" si="0"/>
        <v>#DIV/0!</v>
      </c>
      <c r="K12" s="33" t="e">
        <f t="shared" si="1"/>
        <v>#DIV/0!</v>
      </c>
      <c r="L12" s="33" t="e">
        <f t="shared" si="2"/>
        <v>#DIV/0!</v>
      </c>
    </row>
    <row r="13" spans="1:12" x14ac:dyDescent="0.25">
      <c r="A13" s="28">
        <v>12</v>
      </c>
      <c r="B13" s="30" t="s">
        <v>474</v>
      </c>
      <c r="C13" s="47" t="s">
        <v>74</v>
      </c>
      <c r="D13" s="32">
        <f>COUNTIF('5v5 entries'!E:E,A13&amp;A$1)</f>
        <v>1</v>
      </c>
      <c r="E13" s="32">
        <f>COUNTIFS('5v5 entries'!E:E,A13&amp;A$1,'5v5 entries'!C:C,"C")</f>
        <v>0</v>
      </c>
      <c r="F13" s="32">
        <f>COUNTIFS('5v5 entries'!E:E,A13&amp;A$1,'5v5 entries'!C:C,"D")</f>
        <v>1</v>
      </c>
      <c r="G13" s="32">
        <f>COUNTIFS('5v5 entries'!E:E,A13&amp;A$1,'5v5 entries'!C:C,"F")</f>
        <v>0</v>
      </c>
      <c r="H13" s="32">
        <f>SUMIF('5v5 entries'!E:E,A13&amp;A$1,'5v5 entries'!J:J)</f>
        <v>0</v>
      </c>
      <c r="I13" s="48">
        <f>COUNTIFS('5v5 entries'!E:E,A13&amp;A$1,'5v5 entries'!F:F,"Y")</f>
        <v>0</v>
      </c>
      <c r="J13" s="32">
        <f t="shared" si="0"/>
        <v>0</v>
      </c>
      <c r="K13" s="33">
        <f t="shared" si="1"/>
        <v>0</v>
      </c>
      <c r="L13" s="33">
        <f t="shared" si="2"/>
        <v>0</v>
      </c>
    </row>
    <row r="14" spans="1:12" x14ac:dyDescent="0.25">
      <c r="A14" s="28">
        <v>38</v>
      </c>
      <c r="B14" s="30" t="s">
        <v>475</v>
      </c>
      <c r="C14" s="47" t="s">
        <v>84</v>
      </c>
      <c r="D14" s="32">
        <f>COUNTIF('5v5 entries'!E:E,A14&amp;A$1)</f>
        <v>2</v>
      </c>
      <c r="E14" s="32">
        <f>COUNTIFS('5v5 entries'!E:E,A14&amp;A$1,'5v5 entries'!C:C,"C")</f>
        <v>1</v>
      </c>
      <c r="F14" s="32">
        <f>COUNTIFS('5v5 entries'!E:E,A14&amp;A$1,'5v5 entries'!C:C,"D")</f>
        <v>1</v>
      </c>
      <c r="G14" s="32">
        <f>COUNTIFS('5v5 entries'!E:E,A14&amp;A$1,'5v5 entries'!C:C,"F")</f>
        <v>0</v>
      </c>
      <c r="H14" s="32">
        <f>SUMIF('5v5 entries'!E:E,A14&amp;A$1,'5v5 entries'!J:J)</f>
        <v>1</v>
      </c>
      <c r="I14" s="48">
        <f>COUNTIFS('5v5 entries'!E:E,A14&amp;A$1,'5v5 entries'!F:F,"Y")</f>
        <v>0</v>
      </c>
      <c r="J14" s="32">
        <f t="shared" si="0"/>
        <v>0.5</v>
      </c>
      <c r="K14" s="33">
        <f t="shared" si="1"/>
        <v>0.5</v>
      </c>
      <c r="L14" s="33">
        <f t="shared" si="2"/>
        <v>0</v>
      </c>
    </row>
    <row r="15" spans="1:12" s="52" customFormat="1" x14ac:dyDescent="0.25">
      <c r="A15" s="28"/>
      <c r="B15" s="30" t="s">
        <v>85</v>
      </c>
      <c r="C15" s="47"/>
      <c r="D15" s="50">
        <f>D12+D13+D14</f>
        <v>3</v>
      </c>
      <c r="E15" s="50">
        <f t="shared" ref="E15" si="9">E12+E13+E14</f>
        <v>1</v>
      </c>
      <c r="F15" s="50">
        <f t="shared" ref="F15" si="10">F12+F13+F14</f>
        <v>2</v>
      </c>
      <c r="G15" s="50">
        <f t="shared" ref="G15" si="11">G12+G13+G14</f>
        <v>0</v>
      </c>
      <c r="H15" s="50">
        <f t="shared" ref="H15" si="12">H12+H13+H14</f>
        <v>1</v>
      </c>
      <c r="I15" s="50">
        <f t="shared" ref="I15" si="13">I12+I13+I14</f>
        <v>0</v>
      </c>
      <c r="J15" s="50">
        <f>H15/(E15+F15)</f>
        <v>0.33333333333333331</v>
      </c>
      <c r="K15" s="51">
        <f>(E15/D15)</f>
        <v>0.33333333333333331</v>
      </c>
      <c r="L15" s="51">
        <f>(G15/D15)</f>
        <v>0</v>
      </c>
    </row>
    <row r="16" spans="1:12" x14ac:dyDescent="0.25">
      <c r="A16" s="28"/>
      <c r="B16" s="30"/>
      <c r="C16" s="46"/>
      <c r="D16" s="32"/>
      <c r="E16" s="32"/>
      <c r="F16" s="32"/>
      <c r="G16" s="32"/>
      <c r="H16" s="32"/>
      <c r="I16" s="48"/>
      <c r="J16" s="32"/>
      <c r="K16" s="33"/>
      <c r="L16" s="33"/>
    </row>
    <row r="17" spans="1:12" x14ac:dyDescent="0.25">
      <c r="A17" s="28">
        <v>56</v>
      </c>
      <c r="B17" s="30" t="s">
        <v>476</v>
      </c>
      <c r="C17" s="47" t="s">
        <v>83</v>
      </c>
      <c r="D17" s="32">
        <f>COUNTIF('5v5 entries'!E:E,A17&amp;A$1)</f>
        <v>1</v>
      </c>
      <c r="E17" s="32">
        <f>COUNTIFS('5v5 entries'!E:E,A17&amp;A$1,'5v5 entries'!C:C,"C")</f>
        <v>0</v>
      </c>
      <c r="F17" s="32">
        <f>COUNTIFS('5v5 entries'!E:E,A17&amp;A$1,'5v5 entries'!C:C,"D")</f>
        <v>1</v>
      </c>
      <c r="G17" s="32">
        <f>COUNTIFS('5v5 entries'!E:E,A17&amp;A$1,'5v5 entries'!C:C,"F")</f>
        <v>0</v>
      </c>
      <c r="H17" s="32">
        <f>SUMIF('5v5 entries'!E:E,A17&amp;A$1,'5v5 entries'!J:J)</f>
        <v>0</v>
      </c>
      <c r="I17" s="48">
        <f>COUNTIFS('5v5 entries'!E:E,A17&amp;A$1,'5v5 entries'!F:F,"Y")</f>
        <v>0</v>
      </c>
      <c r="J17" s="32">
        <f t="shared" si="0"/>
        <v>0</v>
      </c>
      <c r="K17" s="33">
        <f t="shared" si="1"/>
        <v>0</v>
      </c>
      <c r="L17" s="33">
        <f t="shared" si="2"/>
        <v>0</v>
      </c>
    </row>
    <row r="18" spans="1:12" x14ac:dyDescent="0.25">
      <c r="A18" s="28">
        <v>10</v>
      </c>
      <c r="B18" s="30" t="s">
        <v>477</v>
      </c>
      <c r="C18" s="47" t="s">
        <v>74</v>
      </c>
      <c r="D18" s="32">
        <f>COUNTIF('5v5 entries'!E:E,A18&amp;A$1)</f>
        <v>1</v>
      </c>
      <c r="E18" s="32">
        <f>COUNTIFS('5v5 entries'!E:E,A18&amp;A$1,'5v5 entries'!C:C,"C")</f>
        <v>1</v>
      </c>
      <c r="F18" s="32">
        <f>COUNTIFS('5v5 entries'!E:E,A18&amp;A$1,'5v5 entries'!C:C,"D")</f>
        <v>0</v>
      </c>
      <c r="G18" s="32">
        <f>COUNTIFS('5v5 entries'!E:E,A18&amp;A$1,'5v5 entries'!C:C,"F")</f>
        <v>0</v>
      </c>
      <c r="H18" s="32">
        <f>SUMIF('5v5 entries'!E:E,A18&amp;A$1,'5v5 entries'!J:J)</f>
        <v>0</v>
      </c>
      <c r="I18" s="48">
        <f>COUNTIFS('5v5 entries'!E:E,A18&amp;A$1,'5v5 entries'!F:F,"Y")</f>
        <v>0</v>
      </c>
      <c r="J18" s="32">
        <f t="shared" si="0"/>
        <v>0</v>
      </c>
      <c r="K18" s="33">
        <f t="shared" si="1"/>
        <v>1</v>
      </c>
      <c r="L18" s="33">
        <f t="shared" si="2"/>
        <v>0</v>
      </c>
    </row>
    <row r="19" spans="1:12" x14ac:dyDescent="0.25">
      <c r="A19" s="28">
        <v>16</v>
      </c>
      <c r="B19" s="30" t="s">
        <v>478</v>
      </c>
      <c r="C19" s="47" t="s">
        <v>84</v>
      </c>
      <c r="D19" s="32">
        <f>COUNTIF('5v5 entries'!E:E,A19&amp;A$1)</f>
        <v>0</v>
      </c>
      <c r="E19" s="32">
        <f>COUNTIFS('5v5 entries'!E:E,A19&amp;A$1,'5v5 entries'!C:C,"C")</f>
        <v>0</v>
      </c>
      <c r="F19" s="32">
        <f>COUNTIFS('5v5 entries'!E:E,A19&amp;A$1,'5v5 entries'!C:C,"D")</f>
        <v>0</v>
      </c>
      <c r="G19" s="32">
        <f>COUNTIFS('5v5 entries'!E:E,A19&amp;A$1,'5v5 entries'!C:C,"F")</f>
        <v>0</v>
      </c>
      <c r="H19" s="32">
        <f>SUMIF('5v5 entries'!E:E,A19&amp;A$1,'5v5 entries'!J:J)</f>
        <v>0</v>
      </c>
      <c r="I19" s="48">
        <f>COUNTIFS('5v5 entries'!E:E,A19&amp;A$1,'5v5 entries'!F:F,"Y")</f>
        <v>0</v>
      </c>
      <c r="J19" s="32" t="e">
        <f t="shared" si="0"/>
        <v>#DIV/0!</v>
      </c>
      <c r="K19" s="33" t="e">
        <f t="shared" si="1"/>
        <v>#DIV/0!</v>
      </c>
      <c r="L19" s="33" t="e">
        <f t="shared" si="2"/>
        <v>#DIV/0!</v>
      </c>
    </row>
    <row r="20" spans="1:12" s="52" customFormat="1" x14ac:dyDescent="0.25">
      <c r="A20" s="28"/>
      <c r="B20" s="30" t="s">
        <v>85</v>
      </c>
      <c r="C20" s="47"/>
      <c r="D20" s="50">
        <f>D17+D18+D19</f>
        <v>2</v>
      </c>
      <c r="E20" s="50">
        <f t="shared" ref="E20" si="14">E17+E18+E19</f>
        <v>1</v>
      </c>
      <c r="F20" s="50">
        <f t="shared" ref="F20" si="15">F17+F18+F19</f>
        <v>1</v>
      </c>
      <c r="G20" s="50">
        <f t="shared" ref="G20" si="16">G17+G18+G19</f>
        <v>0</v>
      </c>
      <c r="H20" s="50">
        <f t="shared" ref="H20" si="17">H17+H18+H19</f>
        <v>0</v>
      </c>
      <c r="I20" s="50">
        <f t="shared" ref="I20" si="18">I17+I18+I19</f>
        <v>0</v>
      </c>
      <c r="J20" s="50">
        <f>H20/(E20+F20)</f>
        <v>0</v>
      </c>
      <c r="K20" s="51">
        <f>(E20/D20)</f>
        <v>0.5</v>
      </c>
      <c r="L20" s="51">
        <f>(G20/D20)</f>
        <v>0</v>
      </c>
    </row>
    <row r="21" spans="1:12" x14ac:dyDescent="0.25">
      <c r="A21" s="28"/>
      <c r="B21" s="30"/>
      <c r="C21" s="46"/>
      <c r="D21" s="48"/>
      <c r="E21" s="48"/>
      <c r="F21" s="48"/>
      <c r="G21" s="48"/>
      <c r="H21" s="48"/>
      <c r="I21" s="48"/>
      <c r="J21" s="48"/>
      <c r="K21" s="33"/>
      <c r="L21" s="33"/>
    </row>
    <row r="22" spans="1:12" x14ac:dyDescent="0.25">
      <c r="A22" s="28">
        <v>59</v>
      </c>
      <c r="B22" s="30" t="s">
        <v>479</v>
      </c>
      <c r="C22" s="47" t="s">
        <v>86</v>
      </c>
      <c r="D22" s="48">
        <f>COUNTIF('5v5 entries'!E:E,A22&amp;A$1)</f>
        <v>9</v>
      </c>
      <c r="E22" s="48">
        <f>COUNTIFS('5v5 entries'!E:E,A22&amp;A$1,'5v5 entries'!C:C,"C")</f>
        <v>8</v>
      </c>
      <c r="F22" s="48">
        <f>COUNTIFS('5v5 entries'!E:E,A22&amp;A$1,'5v5 entries'!C:C,"D")</f>
        <v>1</v>
      </c>
      <c r="G22" s="48">
        <f>COUNTIFS('5v5 entries'!E:E,A22&amp;A$1,'5v5 entries'!C:C,"F")</f>
        <v>0</v>
      </c>
      <c r="H22" s="48">
        <f>SUMIF('5v5 entries'!E:E,A22&amp;A$1,'5v5 entries'!J:J)</f>
        <v>7</v>
      </c>
      <c r="I22" s="48">
        <f>COUNTIFS('5v5 entries'!E:E,A22&amp;A$1,'5v5 entries'!F:F,"Y")</f>
        <v>3</v>
      </c>
      <c r="J22" s="48">
        <f t="shared" ref="J22:J31" si="19">H22/(E22+F22)</f>
        <v>0.77777777777777779</v>
      </c>
      <c r="K22" s="33">
        <f t="shared" ref="K22:K31" si="20">E22/D22</f>
        <v>0.88888888888888884</v>
      </c>
      <c r="L22" s="33">
        <f t="shared" ref="L22:L31" si="21" xml:space="preserve"> G22/D22</f>
        <v>0</v>
      </c>
    </row>
    <row r="23" spans="1:12" x14ac:dyDescent="0.25">
      <c r="A23" s="28">
        <v>76</v>
      </c>
      <c r="B23" s="30" t="s">
        <v>480</v>
      </c>
      <c r="C23" s="47" t="s">
        <v>87</v>
      </c>
      <c r="D23" s="48">
        <f>COUNTIF('5v5 entries'!E:E,A23&amp;A$1)</f>
        <v>9</v>
      </c>
      <c r="E23" s="48">
        <f>COUNTIFS('5v5 entries'!E:E,A23&amp;A$1,'5v5 entries'!C:C,"C")</f>
        <v>5</v>
      </c>
      <c r="F23" s="48">
        <f>COUNTIFS('5v5 entries'!E:E,A23&amp;A$1,'5v5 entries'!C:C,"D")</f>
        <v>2</v>
      </c>
      <c r="G23" s="48">
        <f>COUNTIFS('5v5 entries'!E:E,A23&amp;A$1,'5v5 entries'!C:C,"F")</f>
        <v>2</v>
      </c>
      <c r="H23" s="48">
        <f>SUMIF('5v5 entries'!E:E,A23&amp;A$1,'5v5 entries'!J:J)</f>
        <v>3</v>
      </c>
      <c r="I23" s="48">
        <f>COUNTIFS('5v5 entries'!E:E,A23&amp;A$1,'5v5 entries'!F:F,"Y")</f>
        <v>2</v>
      </c>
      <c r="J23" s="48">
        <f t="shared" si="19"/>
        <v>0.42857142857142855</v>
      </c>
      <c r="K23" s="33">
        <f t="shared" si="20"/>
        <v>0.55555555555555558</v>
      </c>
      <c r="L23" s="33">
        <f t="shared" si="21"/>
        <v>0.22222222222222221</v>
      </c>
    </row>
    <row r="24" spans="1:12" s="52" customFormat="1" x14ac:dyDescent="0.25">
      <c r="A24" s="28"/>
      <c r="B24" s="30" t="s">
        <v>85</v>
      </c>
      <c r="C24" s="47"/>
      <c r="D24" s="50">
        <f>D22+D23</f>
        <v>18</v>
      </c>
      <c r="E24" s="50">
        <f t="shared" ref="E24:I24" si="22">E22+E23</f>
        <v>13</v>
      </c>
      <c r="F24" s="50">
        <f t="shared" si="22"/>
        <v>3</v>
      </c>
      <c r="G24" s="50">
        <f t="shared" si="22"/>
        <v>2</v>
      </c>
      <c r="H24" s="50">
        <f t="shared" si="22"/>
        <v>10</v>
      </c>
      <c r="I24" s="50">
        <f t="shared" si="22"/>
        <v>5</v>
      </c>
      <c r="J24" s="50">
        <f>H24/(E24+F24)</f>
        <v>0.625</v>
      </c>
      <c r="K24" s="51">
        <f>(E24/D24)</f>
        <v>0.72222222222222221</v>
      </c>
      <c r="L24" s="51">
        <f>(G24/D24)</f>
        <v>0.1111111111111111</v>
      </c>
    </row>
    <row r="25" spans="1:12" x14ac:dyDescent="0.25">
      <c r="A25" s="28"/>
      <c r="B25" s="30"/>
      <c r="C25" s="46"/>
      <c r="D25" s="48"/>
      <c r="E25" s="48"/>
      <c r="F25" s="48"/>
      <c r="G25" s="48"/>
      <c r="H25" s="48"/>
      <c r="I25" s="48"/>
      <c r="J25" s="48"/>
      <c r="K25" s="33"/>
      <c r="L25" s="33"/>
    </row>
    <row r="26" spans="1:12" x14ac:dyDescent="0.25">
      <c r="A26" s="28">
        <v>14</v>
      </c>
      <c r="B26" s="30" t="s">
        <v>481</v>
      </c>
      <c r="C26" s="47" t="s">
        <v>86</v>
      </c>
      <c r="D26" s="48">
        <f>COUNTIF('5v5 entries'!E:E,A26&amp;A$1)</f>
        <v>7</v>
      </c>
      <c r="E26" s="48">
        <f>COUNTIFS('5v5 entries'!E:E,A26&amp;A$1,'5v5 entries'!C:C,"C")</f>
        <v>6</v>
      </c>
      <c r="F26" s="48">
        <f>COUNTIFS('5v5 entries'!E:E,A26&amp;A$1,'5v5 entries'!C:C,"D")</f>
        <v>1</v>
      </c>
      <c r="G26" s="48">
        <f>COUNTIFS('5v5 entries'!E:E,A26&amp;A$1,'5v5 entries'!C:C,"F")</f>
        <v>0</v>
      </c>
      <c r="H26" s="48">
        <f>SUMIF('5v5 entries'!E:E,A26&amp;A$1,'5v5 entries'!J:J)</f>
        <v>3</v>
      </c>
      <c r="I26" s="48">
        <f>COUNTIFS('5v5 entries'!E:E,A26&amp;A$1,'5v5 entries'!F:F,"Y")</f>
        <v>1</v>
      </c>
      <c r="J26" s="48">
        <f t="shared" si="19"/>
        <v>0.42857142857142855</v>
      </c>
      <c r="K26" s="33">
        <f t="shared" si="20"/>
        <v>0.8571428571428571</v>
      </c>
      <c r="L26" s="33">
        <f t="shared" si="21"/>
        <v>0</v>
      </c>
    </row>
    <row r="27" spans="1:12" x14ac:dyDescent="0.25">
      <c r="A27" s="28">
        <v>4</v>
      </c>
      <c r="B27" s="30" t="s">
        <v>482</v>
      </c>
      <c r="C27" s="47" t="s">
        <v>87</v>
      </c>
      <c r="D27" s="48">
        <f>COUNTIF('5v5 entries'!E:E,A27&amp;A$1)</f>
        <v>15</v>
      </c>
      <c r="E27" s="48">
        <f>COUNTIFS('5v5 entries'!E:E,A27&amp;A$1,'5v5 entries'!C:C,"C")</f>
        <v>7</v>
      </c>
      <c r="F27" s="48">
        <f>COUNTIFS('5v5 entries'!E:E,A27&amp;A$1,'5v5 entries'!C:C,"D")</f>
        <v>7</v>
      </c>
      <c r="G27" s="48">
        <f>COUNTIFS('5v5 entries'!E:E,A27&amp;A$1,'5v5 entries'!C:C,"F")</f>
        <v>1</v>
      </c>
      <c r="H27" s="48">
        <f>SUMIF('5v5 entries'!E:E,A27&amp;A$1,'5v5 entries'!J:J)</f>
        <v>8</v>
      </c>
      <c r="I27" s="48">
        <f>COUNTIFS('5v5 entries'!E:E,A27&amp;A$1,'5v5 entries'!F:F,"Y")</f>
        <v>3</v>
      </c>
      <c r="J27" s="48">
        <f t="shared" si="19"/>
        <v>0.5714285714285714</v>
      </c>
      <c r="K27" s="33">
        <f t="shared" si="20"/>
        <v>0.46666666666666667</v>
      </c>
      <c r="L27" s="33">
        <f t="shared" si="21"/>
        <v>6.6666666666666666E-2</v>
      </c>
    </row>
    <row r="28" spans="1:12" s="52" customFormat="1" x14ac:dyDescent="0.25">
      <c r="A28" s="28"/>
      <c r="B28" s="30" t="s">
        <v>85</v>
      </c>
      <c r="C28" s="47"/>
      <c r="D28" s="50">
        <f>D26+D27</f>
        <v>22</v>
      </c>
      <c r="E28" s="50">
        <f t="shared" ref="E28" si="23">E26+E27</f>
        <v>13</v>
      </c>
      <c r="F28" s="50">
        <f t="shared" ref="F28" si="24">F26+F27</f>
        <v>8</v>
      </c>
      <c r="G28" s="50">
        <f t="shared" ref="G28" si="25">G26+G27</f>
        <v>1</v>
      </c>
      <c r="H28" s="50">
        <f t="shared" ref="H28" si="26">H26+H27</f>
        <v>11</v>
      </c>
      <c r="I28" s="50">
        <f t="shared" ref="I28" si="27">I26+I27</f>
        <v>4</v>
      </c>
      <c r="J28" s="50">
        <f t="shared" ref="J28" si="28">H28/(E28+F28)</f>
        <v>0.52380952380952384</v>
      </c>
      <c r="K28" s="51">
        <f t="shared" ref="K28" si="29">E28/D28</f>
        <v>0.59090909090909094</v>
      </c>
      <c r="L28" s="51">
        <f t="shared" ref="L28" si="30" xml:space="preserve"> G28/D28</f>
        <v>4.5454545454545456E-2</v>
      </c>
    </row>
    <row r="29" spans="1:12" x14ac:dyDescent="0.25">
      <c r="A29" s="28"/>
      <c r="B29" s="30"/>
      <c r="C29" s="46"/>
      <c r="D29" s="48"/>
      <c r="E29" s="48"/>
      <c r="F29" s="48"/>
      <c r="G29" s="48"/>
      <c r="H29" s="48"/>
      <c r="I29" s="48"/>
      <c r="J29" s="48"/>
      <c r="K29" s="33"/>
      <c r="L29" s="33"/>
    </row>
    <row r="30" spans="1:12" x14ac:dyDescent="0.25">
      <c r="A30" s="28">
        <v>25</v>
      </c>
      <c r="B30" s="30" t="s">
        <v>483</v>
      </c>
      <c r="C30" s="47" t="s">
        <v>86</v>
      </c>
      <c r="D30" s="48">
        <f>COUNTIF('5v5 entries'!E:E,A30&amp;A$1)</f>
        <v>4</v>
      </c>
      <c r="E30" s="48">
        <f>COUNTIFS('5v5 entries'!E:E,A30&amp;A$1,'5v5 entries'!C:C,"C")</f>
        <v>2</v>
      </c>
      <c r="F30" s="48">
        <f>COUNTIFS('5v5 entries'!E:E,A30&amp;A$1,'5v5 entries'!C:C,"D")</f>
        <v>1</v>
      </c>
      <c r="G30" s="48">
        <f>COUNTIFS('5v5 entries'!E:E,A30&amp;A$1,'5v5 entries'!C:C,"F")</f>
        <v>0</v>
      </c>
      <c r="H30" s="48">
        <f>SUMIF('5v5 entries'!E:E,A30&amp;A$1,'5v5 entries'!J:J)</f>
        <v>4</v>
      </c>
      <c r="I30" s="48">
        <f>COUNTIFS('5v5 entries'!E:E,A30&amp;A$1,'5v5 entries'!F:F,"Y")</f>
        <v>1</v>
      </c>
      <c r="J30" s="48">
        <f t="shared" si="19"/>
        <v>1.3333333333333333</v>
      </c>
      <c r="K30" s="33">
        <f t="shared" si="20"/>
        <v>0.5</v>
      </c>
      <c r="L30" s="33">
        <f t="shared" si="21"/>
        <v>0</v>
      </c>
    </row>
    <row r="31" spans="1:12" x14ac:dyDescent="0.25">
      <c r="A31" s="28">
        <v>7</v>
      </c>
      <c r="B31" s="30" t="s">
        <v>484</v>
      </c>
      <c r="C31" s="47" t="s">
        <v>87</v>
      </c>
      <c r="D31" s="48">
        <f>COUNTIF('5v5 entries'!E:E,A31&amp;A$1)</f>
        <v>5</v>
      </c>
      <c r="E31" s="48">
        <f>COUNTIFS('5v5 entries'!E:E,A31&amp;A$1,'5v5 entries'!C:C,"C")</f>
        <v>5</v>
      </c>
      <c r="F31" s="48">
        <f>COUNTIFS('5v5 entries'!E:E,A31&amp;A$1,'5v5 entries'!C:C,"D")</f>
        <v>0</v>
      </c>
      <c r="G31" s="48">
        <f>COUNTIFS('5v5 entries'!E:E,A31&amp;A$1,'5v5 entries'!C:C,"F")</f>
        <v>0</v>
      </c>
      <c r="H31" s="48">
        <f>SUMIF('5v5 entries'!E:E,A31&amp;A$1,'5v5 entries'!J:J)</f>
        <v>4</v>
      </c>
      <c r="I31" s="48">
        <f>COUNTIFS('5v5 entries'!E:E,A31&amp;A$1,'5v5 entries'!F:F,"Y")</f>
        <v>2</v>
      </c>
      <c r="J31" s="48">
        <f t="shared" si="19"/>
        <v>0.8</v>
      </c>
      <c r="K31" s="33">
        <f t="shared" si="20"/>
        <v>1</v>
      </c>
      <c r="L31" s="33">
        <f t="shared" si="21"/>
        <v>0</v>
      </c>
    </row>
    <row r="32" spans="1:12" s="52" customFormat="1" x14ac:dyDescent="0.25">
      <c r="A32" s="28"/>
      <c r="B32" s="30" t="s">
        <v>85</v>
      </c>
      <c r="C32" s="47"/>
      <c r="D32" s="47">
        <f>D30+D31</f>
        <v>9</v>
      </c>
      <c r="E32" s="47">
        <f t="shared" ref="E32" si="31">E30+E31</f>
        <v>7</v>
      </c>
      <c r="F32" s="47">
        <f t="shared" ref="F32" si="32">F30+F31</f>
        <v>1</v>
      </c>
      <c r="G32" s="47">
        <f t="shared" ref="G32" si="33">G30+G31</f>
        <v>0</v>
      </c>
      <c r="H32" s="47">
        <f t="shared" ref="H32" si="34">H30+H31</f>
        <v>8</v>
      </c>
      <c r="I32" s="47">
        <f t="shared" ref="I32" si="35">I30+I31</f>
        <v>3</v>
      </c>
      <c r="J32" s="50">
        <f t="shared" ref="J32" si="36">H32/(E32+F32)</f>
        <v>1</v>
      </c>
      <c r="K32" s="51">
        <f t="shared" ref="K32" si="37">E32/D32</f>
        <v>0.77777777777777779</v>
      </c>
      <c r="L32" s="51">
        <f t="shared" ref="L32" si="38" xml:space="preserve"> G32/D32</f>
        <v>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Entry data</vt:lpstr>
      <vt:lpstr>NHL PBP</vt:lpstr>
      <vt:lpstr>calc</vt:lpstr>
      <vt:lpstr>Entry list</vt:lpstr>
      <vt:lpstr>5v5 entries</vt:lpstr>
      <vt:lpstr>5v5 Entry stats</vt:lpstr>
      <vt:lpstr>For export</vt:lpstr>
      <vt:lpstr>Entries</vt:lpstr>
      <vt:lpstr>Home Lines</vt:lpstr>
      <vt:lpstr>Road Lines</vt:lpstr>
      <vt:lpstr>Home Defense</vt:lpstr>
      <vt:lpstr>Away Defense</vt:lpstr>
      <vt:lpstr>'NHL PBP'!PL020064_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sisomphone</dc:creator>
  <cp:lastModifiedBy>CoreySzn</cp:lastModifiedBy>
  <dcterms:created xsi:type="dcterms:W3CDTF">2011-10-06T23:10:08Z</dcterms:created>
  <dcterms:modified xsi:type="dcterms:W3CDTF">2016-10-25T06:51:23Z</dcterms:modified>
</cp:coreProperties>
</file>